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filterPrivacy="1" defaultThemeVersion="124226"/>
  <xr:revisionPtr revIDLastSave="0" documentId="13_ncr:8001_{0AB8A8D4-0C72-4C06-B955-899F5F049302}" xr6:coauthVersionLast="46" xr6:coauthVersionMax="46" xr10:uidLastSave="{00000000-0000-0000-0000-000000000000}"/>
  <bookViews>
    <workbookView xWindow="-108" yWindow="-108" windowWidth="23256" windowHeight="12576" firstSheet="2" activeTab="2" xr2:uid="{00000000-000D-0000-FFFF-FFFF00000000}"/>
  </bookViews>
  <sheets>
    <sheet name="26944" sheetId="30" state="hidden" r:id="rId1"/>
    <sheet name="26756" sheetId="31" state="hidden" r:id="rId2"/>
    <sheet name="FILF" sheetId="59" r:id="rId3"/>
    <sheet name="FIONF" sheetId="60" r:id="rId4"/>
    <sheet name="FISF" sheetId="61" r:id="rId5"/>
    <sheet name="FIFRF" sheetId="62" r:id="rId6"/>
    <sheet name="FICDF" sheetId="63" r:id="rId7"/>
    <sheet name="FBPF" sheetId="64" r:id="rId8"/>
    <sheet name="FIGSF" sheetId="65" r:id="rId9"/>
    <sheet name="FMPS6C" sheetId="66" r:id="rId10"/>
    <sheet name="FMPS5F" sheetId="67" r:id="rId11"/>
    <sheet name="FMPS5E" sheetId="68" r:id="rId12"/>
    <sheet name="FMPS5D" sheetId="69" r:id="rId13"/>
    <sheet name="FMPS5C" sheetId="70" r:id="rId14"/>
    <sheet name="FMPS5B" sheetId="71" r:id="rId15"/>
    <sheet name="FMPS5A" sheetId="72" r:id="rId16"/>
    <sheet name="FMPS4F" sheetId="73" r:id="rId17"/>
    <sheet name="FMPS4E" sheetId="74" r:id="rId18"/>
    <sheet name="FMPS4D" sheetId="75" r:id="rId19"/>
    <sheet name="FMPS4C" sheetId="76" r:id="rId20"/>
    <sheet name="FMPS4B" sheetId="77" r:id="rId21"/>
    <sheet name="FMPS4A" sheetId="78" r:id="rId22"/>
    <sheet name="FMPS3F" sheetId="79" r:id="rId23"/>
    <sheet name="FMPS3E" sheetId="80" r:id="rId24"/>
    <sheet name="FIPP" sheetId="81" r:id="rId25"/>
    <sheet name="FIDHY" sheetId="82" r:id="rId26"/>
    <sheet name="FIDA" sheetId="83" r:id="rId27"/>
    <sheet name="FILDF" sheetId="84" r:id="rId28"/>
    <sheet name="FIUBF" sheetId="85" r:id="rId29"/>
    <sheet name="FISTIP" sheetId="86" r:id="rId30"/>
    <sheet name="FIIOF" sheetId="87" r:id="rId31"/>
    <sheet name="FICRF" sheetId="88" r:id="rId32"/>
    <sheet name="FIESF" sheetId="34" r:id="rId33"/>
    <sheet name="FIEHF" sheetId="35" r:id="rId34"/>
    <sheet name="TIVF" sheetId="36" r:id="rId35"/>
    <sheet name="TIEIF" sheetId="37" r:id="rId36"/>
    <sheet name="FITF" sheetId="38" r:id="rId37"/>
    <sheet name="FISCF" sheetId="39" r:id="rId38"/>
    <sheet name="FIPF" sheetId="40" r:id="rId39"/>
    <sheet name="FIOF" sheetId="41" r:id="rId40"/>
    <sheet name="FIFEF" sheetId="42" r:id="rId41"/>
    <sheet name="FIEF" sheetId="43" r:id="rId42"/>
    <sheet name="FIEAF" sheetId="44" r:id="rId43"/>
    <sheet name="FIBF" sheetId="45" r:id="rId44"/>
    <sheet name="FBIF" sheetId="46" r:id="rId45"/>
    <sheet name="FAEF" sheetId="47" r:id="rId46"/>
    <sheet name="FIIF-NSE" sheetId="48" r:id="rId47"/>
    <sheet name="FITX" sheetId="49" r:id="rId48"/>
    <sheet name="FIUS" sheetId="50" r:id="rId49"/>
    <sheet name="FEGF" sheetId="51" r:id="rId50"/>
    <sheet name="FIMAS" sheetId="52" r:id="rId51"/>
    <sheet name="FIFOF-50's+" sheetId="53" r:id="rId52"/>
    <sheet name="FIFOF-50's" sheetId="54" r:id="rId53"/>
    <sheet name="FIFOF-40's" sheetId="55" r:id="rId54"/>
    <sheet name="FIFOF-30's" sheetId="56" r:id="rId55"/>
    <sheet name="FIFOF-20's" sheetId="57" r:id="rId56"/>
    <sheet name="FF" sheetId="58" r:id="rId5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7" i="88" l="1"/>
  <c r="F139" i="88" s="1"/>
  <c r="E137" i="88"/>
  <c r="E141" i="88" s="1"/>
  <c r="F102" i="88"/>
  <c r="F104" i="88" s="1"/>
  <c r="E102" i="88"/>
  <c r="E104" i="88" s="1"/>
  <c r="F52" i="88"/>
  <c r="E52" i="88"/>
  <c r="F48" i="88"/>
  <c r="E48" i="88"/>
  <c r="F37" i="88"/>
  <c r="E37" i="88"/>
  <c r="F41" i="87"/>
  <c r="E41" i="87"/>
  <c r="F37" i="87"/>
  <c r="E37" i="87"/>
  <c r="F24" i="87"/>
  <c r="E24" i="87"/>
  <c r="E45" i="87" s="1"/>
  <c r="F163" i="86"/>
  <c r="F165" i="86" s="1"/>
  <c r="E163" i="86"/>
  <c r="E167" i="86" s="1"/>
  <c r="F122" i="86"/>
  <c r="F124" i="86" s="1"/>
  <c r="E122" i="86"/>
  <c r="E126" i="86" s="1"/>
  <c r="F64" i="86"/>
  <c r="E64" i="86"/>
  <c r="F60" i="86"/>
  <c r="E60" i="86"/>
  <c r="F39" i="86"/>
  <c r="F68" i="86" s="1"/>
  <c r="E39" i="86"/>
  <c r="F36" i="85"/>
  <c r="E36" i="85"/>
  <c r="F32" i="85"/>
  <c r="E32" i="85"/>
  <c r="F27" i="85"/>
  <c r="E27" i="85"/>
  <c r="E40" i="85" s="1"/>
  <c r="E84" i="84"/>
  <c r="F80" i="84"/>
  <c r="F82" i="84" s="1"/>
  <c r="E80" i="84"/>
  <c r="E82" i="84" s="1"/>
  <c r="F32" i="84"/>
  <c r="E32" i="84"/>
  <c r="F28" i="84"/>
  <c r="E28" i="84"/>
  <c r="F22" i="84"/>
  <c r="E22" i="84"/>
  <c r="E36" i="84" s="1"/>
  <c r="F127" i="83"/>
  <c r="F129" i="83" s="1"/>
  <c r="E127" i="83"/>
  <c r="E129" i="83" s="1"/>
  <c r="F92" i="83"/>
  <c r="F94" i="83" s="1"/>
  <c r="E92" i="83"/>
  <c r="E94" i="83" s="1"/>
  <c r="F43" i="83"/>
  <c r="E43" i="83"/>
  <c r="F39" i="83"/>
  <c r="E39" i="83"/>
  <c r="F26" i="83"/>
  <c r="E26" i="83"/>
  <c r="F62" i="82"/>
  <c r="E62" i="82"/>
  <c r="F53" i="82"/>
  <c r="E53" i="82"/>
  <c r="F49" i="82"/>
  <c r="E49" i="82"/>
  <c r="F45" i="82"/>
  <c r="E45" i="82"/>
  <c r="F40" i="82"/>
  <c r="E40" i="82"/>
  <c r="E66" i="82" s="1"/>
  <c r="F32" i="82"/>
  <c r="E32" i="82"/>
  <c r="F66" i="81"/>
  <c r="E66" i="81"/>
  <c r="F56" i="81"/>
  <c r="E56" i="81"/>
  <c r="F52" i="81"/>
  <c r="E52" i="81"/>
  <c r="F47" i="81"/>
  <c r="E47" i="81"/>
  <c r="F37" i="81"/>
  <c r="F70" i="81" s="1"/>
  <c r="E37" i="81"/>
  <c r="E70" i="81" s="1"/>
  <c r="F15" i="80"/>
  <c r="E15" i="80"/>
  <c r="F11" i="80"/>
  <c r="F17" i="80" s="1"/>
  <c r="E11" i="80"/>
  <c r="F18" i="79"/>
  <c r="E18" i="79"/>
  <c r="F13" i="79"/>
  <c r="F22" i="79" s="1"/>
  <c r="E13" i="79"/>
  <c r="F19" i="78"/>
  <c r="F21" i="78" s="1"/>
  <c r="E19" i="78"/>
  <c r="E23" i="78" s="1"/>
  <c r="E24" i="77"/>
  <c r="F22" i="77"/>
  <c r="F20" i="77"/>
  <c r="F24" i="77" s="1"/>
  <c r="E20" i="77"/>
  <c r="E22" i="77" s="1"/>
  <c r="E23" i="76"/>
  <c r="E21" i="76"/>
  <c r="F19" i="76"/>
  <c r="F23" i="76" s="1"/>
  <c r="E19" i="76"/>
  <c r="F20" i="75"/>
  <c r="E20" i="75"/>
  <c r="E24" i="75" s="1"/>
  <c r="F16" i="75"/>
  <c r="E16" i="75"/>
  <c r="F22" i="74"/>
  <c r="E22" i="74"/>
  <c r="E26" i="74" s="1"/>
  <c r="F18" i="74"/>
  <c r="E18" i="74"/>
  <c r="F27" i="73"/>
  <c r="E27" i="73"/>
  <c r="E31" i="73" s="1"/>
  <c r="F23" i="73"/>
  <c r="E23" i="73"/>
  <c r="F19" i="72"/>
  <c r="F23" i="72" s="1"/>
  <c r="E19" i="72"/>
  <c r="E23" i="72" s="1"/>
  <c r="F24" i="71"/>
  <c r="F26" i="71" s="1"/>
  <c r="E24" i="71"/>
  <c r="E28" i="71" s="1"/>
  <c r="F28" i="70"/>
  <c r="F24" i="70"/>
  <c r="F26" i="70" s="1"/>
  <c r="E24" i="70"/>
  <c r="E26" i="70" s="1"/>
  <c r="F21" i="69"/>
  <c r="F23" i="69" s="1"/>
  <c r="E21" i="69"/>
  <c r="E25" i="69" s="1"/>
  <c r="F20" i="68"/>
  <c r="F24" i="68" s="1"/>
  <c r="E20" i="68"/>
  <c r="E22" i="68" s="1"/>
  <c r="F21" i="67"/>
  <c r="F23" i="67" s="1"/>
  <c r="E21" i="67"/>
  <c r="E25" i="67" s="1"/>
  <c r="E26" i="66"/>
  <c r="F24" i="66"/>
  <c r="F22" i="66"/>
  <c r="F26" i="66" s="1"/>
  <c r="E22" i="66"/>
  <c r="E24" i="66" s="1"/>
  <c r="F17" i="65"/>
  <c r="E17" i="65"/>
  <c r="F8" i="65"/>
  <c r="E8" i="65"/>
  <c r="E21" i="65" s="1"/>
  <c r="F51" i="64"/>
  <c r="E51" i="64"/>
  <c r="F45" i="64"/>
  <c r="E45" i="64"/>
  <c r="F39" i="64"/>
  <c r="E39" i="64"/>
  <c r="E55" i="64" s="1"/>
  <c r="F58" i="63"/>
  <c r="F54" i="63"/>
  <c r="E54" i="63"/>
  <c r="F48" i="63"/>
  <c r="F56" i="63" s="1"/>
  <c r="E48" i="63"/>
  <c r="F32" i="62"/>
  <c r="E32" i="62"/>
  <c r="F23" i="62"/>
  <c r="E23" i="62"/>
  <c r="F19" i="62"/>
  <c r="E19" i="62"/>
  <c r="E36" i="62" s="1"/>
  <c r="F13" i="62"/>
  <c r="E13" i="62"/>
  <c r="F36" i="61"/>
  <c r="E36" i="61"/>
  <c r="F31" i="61"/>
  <c r="E31" i="61"/>
  <c r="F25" i="61"/>
  <c r="E25" i="61"/>
  <c r="F13" i="61"/>
  <c r="E13" i="61"/>
  <c r="F38" i="59"/>
  <c r="E38" i="59"/>
  <c r="F34" i="59"/>
  <c r="E34" i="59"/>
  <c r="F22" i="59"/>
  <c r="E22" i="59"/>
  <c r="F8" i="59"/>
  <c r="E8" i="59"/>
  <c r="F23" i="78" l="1"/>
  <c r="F40" i="59"/>
  <c r="E40" i="61"/>
  <c r="E34" i="62"/>
  <c r="E56" i="63"/>
  <c r="F55" i="64"/>
  <c r="F53" i="64"/>
  <c r="E23" i="69"/>
  <c r="E22" i="79"/>
  <c r="E47" i="83"/>
  <c r="F40" i="85"/>
  <c r="E19" i="65"/>
  <c r="E40" i="59"/>
  <c r="E42" i="59"/>
  <c r="F25" i="67"/>
  <c r="F38" i="61"/>
  <c r="F36" i="62"/>
  <c r="E58" i="63"/>
  <c r="E53" i="64"/>
  <c r="F19" i="65"/>
  <c r="E28" i="70"/>
  <c r="F28" i="71"/>
  <c r="F29" i="73"/>
  <c r="F26" i="74"/>
  <c r="F22" i="75"/>
  <c r="F20" i="79"/>
  <c r="E19" i="80"/>
  <c r="F19" i="80"/>
  <c r="F66" i="82"/>
  <c r="E68" i="86"/>
  <c r="E54" i="88"/>
  <c r="E106" i="88"/>
  <c r="F54" i="88"/>
  <c r="E139" i="88"/>
  <c r="F45" i="87"/>
  <c r="E124" i="86"/>
  <c r="E66" i="86"/>
  <c r="F66" i="86"/>
  <c r="E38" i="85"/>
  <c r="F38" i="85"/>
  <c r="F36" i="84"/>
  <c r="F34" i="84"/>
  <c r="E34" i="84"/>
  <c r="F47" i="83"/>
  <c r="E45" i="83"/>
  <c r="E131" i="83"/>
  <c r="F34" i="62"/>
  <c r="F42" i="59"/>
  <c r="E56" i="88"/>
  <c r="E38" i="61"/>
  <c r="E21" i="72"/>
  <c r="E24" i="74"/>
  <c r="F22" i="68"/>
  <c r="F25" i="69"/>
  <c r="F21" i="72"/>
  <c r="F24" i="74"/>
  <c r="F68" i="81"/>
  <c r="F64" i="82"/>
  <c r="E23" i="67"/>
  <c r="E24" i="68"/>
  <c r="E26" i="71"/>
  <c r="E20" i="79"/>
  <c r="E96" i="83"/>
  <c r="E165" i="86"/>
  <c r="F40" i="61"/>
  <c r="F31" i="73"/>
  <c r="F24" i="75"/>
  <c r="F45" i="83"/>
  <c r="E43" i="87"/>
  <c r="F21" i="76"/>
  <c r="E29" i="73"/>
  <c r="E22" i="75"/>
  <c r="E68" i="81"/>
  <c r="E64" i="82"/>
  <c r="F56" i="88"/>
  <c r="F21" i="65"/>
  <c r="E21" i="78"/>
  <c r="E17" i="80"/>
  <c r="F43" i="87"/>
  <c r="E7" i="50" l="1"/>
  <c r="E11" i="50" s="1"/>
  <c r="D7" i="50"/>
  <c r="D11" i="50" s="1"/>
  <c r="E7" i="51"/>
  <c r="E11" i="51" s="1"/>
  <c r="D7" i="51"/>
  <c r="D11" i="51" s="1"/>
  <c r="E10" i="58"/>
  <c r="E14" i="58" s="1"/>
  <c r="D10" i="58"/>
  <c r="D14" i="58" s="1"/>
  <c r="E13" i="57"/>
  <c r="E17" i="57" s="1"/>
  <c r="D13" i="57"/>
  <c r="D15" i="57" s="1"/>
  <c r="E13" i="56"/>
  <c r="E17" i="56" s="1"/>
  <c r="D13" i="56"/>
  <c r="D17" i="56" s="1"/>
  <c r="E13" i="55"/>
  <c r="E17" i="55" s="1"/>
  <c r="D13" i="55"/>
  <c r="D17" i="55" s="1"/>
  <c r="E9" i="53"/>
  <c r="E13" i="53" s="1"/>
  <c r="D9" i="53"/>
  <c r="D13" i="53" s="1"/>
  <c r="E11" i="52"/>
  <c r="E13" i="52" s="1"/>
  <c r="D11" i="52"/>
  <c r="D13" i="52" s="1"/>
  <c r="D9" i="50" l="1"/>
  <c r="E9" i="50"/>
  <c r="D9" i="51"/>
  <c r="E9" i="51"/>
  <c r="D12" i="58"/>
  <c r="E12" i="58"/>
  <c r="E15" i="57"/>
  <c r="D17" i="57"/>
  <c r="D15" i="56"/>
  <c r="E15" i="56"/>
  <c r="D15" i="55"/>
  <c r="E15" i="55"/>
  <c r="D11" i="53"/>
  <c r="E11" i="53"/>
  <c r="E15" i="52"/>
  <c r="D15" i="52"/>
  <c r="G38" i="34" l="1"/>
  <c r="D78" i="34" s="1"/>
  <c r="E12" i="54" l="1"/>
  <c r="E14" i="54" s="1"/>
  <c r="D12" i="54"/>
  <c r="D14" i="54" s="1"/>
  <c r="E69" i="49"/>
  <c r="F65" i="49"/>
  <c r="E65" i="49"/>
  <c r="F59" i="49"/>
  <c r="F69" i="49" s="1"/>
  <c r="F67" i="49"/>
  <c r="E59" i="49"/>
  <c r="E67" i="49" s="1"/>
  <c r="F62" i="48"/>
  <c r="F60" i="48"/>
  <c r="F58" i="48"/>
  <c r="E58" i="48"/>
  <c r="E62" i="48"/>
  <c r="F69" i="47"/>
  <c r="E69" i="47"/>
  <c r="F22" i="47"/>
  <c r="E22" i="47"/>
  <c r="E71" i="47" s="1"/>
  <c r="F33" i="46"/>
  <c r="F35" i="46" s="1"/>
  <c r="F37" i="46"/>
  <c r="E33" i="46"/>
  <c r="E37" i="46" s="1"/>
  <c r="F33" i="45"/>
  <c r="F37" i="45" s="1"/>
  <c r="E33" i="45"/>
  <c r="E37" i="45" s="1"/>
  <c r="F56" i="44"/>
  <c r="F60" i="44" s="1"/>
  <c r="E56" i="44"/>
  <c r="E58" i="44" s="1"/>
  <c r="E60" i="44"/>
  <c r="F62" i="43"/>
  <c r="E62" i="43"/>
  <c r="F56" i="43"/>
  <c r="E56" i="43"/>
  <c r="E66" i="43" s="1"/>
  <c r="F33" i="42"/>
  <c r="F37" i="42" s="1"/>
  <c r="E33" i="42"/>
  <c r="E37" i="42" s="1"/>
  <c r="F47" i="41"/>
  <c r="F49" i="41" s="1"/>
  <c r="E47" i="41"/>
  <c r="F40" i="41"/>
  <c r="E40" i="41"/>
  <c r="E49" i="41" s="1"/>
  <c r="F61" i="40"/>
  <c r="E61" i="40"/>
  <c r="F57" i="40"/>
  <c r="F63" i="40" s="1"/>
  <c r="E57" i="40"/>
  <c r="F66" i="39"/>
  <c r="F70" i="39" s="1"/>
  <c r="E66" i="39"/>
  <c r="E68" i="39" s="1"/>
  <c r="F49" i="38"/>
  <c r="F45" i="38"/>
  <c r="E45" i="38"/>
  <c r="F41" i="38"/>
  <c r="E41" i="38"/>
  <c r="F23" i="38"/>
  <c r="E23" i="38"/>
  <c r="F19" i="38"/>
  <c r="F47" i="38"/>
  <c r="E19" i="38"/>
  <c r="E49" i="38" s="1"/>
  <c r="F64" i="37"/>
  <c r="E64" i="37"/>
  <c r="F52" i="37"/>
  <c r="E52" i="37"/>
  <c r="F47" i="37"/>
  <c r="F66" i="37" s="1"/>
  <c r="E47" i="37"/>
  <c r="E68" i="37" s="1"/>
  <c r="F41" i="36"/>
  <c r="F43" i="36" s="1"/>
  <c r="E41" i="36"/>
  <c r="E45" i="36" s="1"/>
  <c r="F83" i="35"/>
  <c r="E83" i="35"/>
  <c r="F74" i="35"/>
  <c r="E74" i="35"/>
  <c r="F70" i="35"/>
  <c r="E70" i="35"/>
  <c r="F65" i="35"/>
  <c r="E65" i="35"/>
  <c r="F60" i="35"/>
  <c r="E60" i="35"/>
  <c r="F52" i="35"/>
  <c r="E52" i="35"/>
  <c r="F47" i="35"/>
  <c r="F87" i="35" s="1"/>
  <c r="E47" i="35"/>
  <c r="F42" i="35"/>
  <c r="E42" i="35"/>
  <c r="E87" i="35" s="1"/>
  <c r="F46" i="34"/>
  <c r="E46" i="34"/>
  <c r="F42" i="34"/>
  <c r="F50" i="34" s="1"/>
  <c r="E42" i="34"/>
  <c r="F38" i="34"/>
  <c r="E38" i="34"/>
  <c r="E50" i="34" s="1"/>
  <c r="E60" i="48"/>
  <c r="E35" i="46"/>
  <c r="F35" i="42"/>
  <c r="E47" i="38"/>
  <c r="E73" i="47" l="1"/>
  <c r="F51" i="41"/>
  <c r="F85" i="35"/>
  <c r="F58" i="44"/>
  <c r="E51" i="41"/>
  <c r="E85" i="35"/>
  <c r="F68" i="37"/>
  <c r="E63" i="40"/>
  <c r="F71" i="47"/>
  <c r="F64" i="43"/>
  <c r="F48" i="34"/>
  <c r="F73" i="47"/>
  <c r="E35" i="45"/>
  <c r="F35" i="45"/>
  <c r="F66" i="43"/>
  <c r="E64" i="43"/>
  <c r="E35" i="42"/>
  <c r="E65" i="40"/>
  <c r="F65" i="40"/>
  <c r="F68" i="39"/>
  <c r="E70" i="39"/>
  <c r="E66" i="37"/>
  <c r="F45" i="36"/>
  <c r="E43" i="36"/>
  <c r="E16" i="54"/>
  <c r="D16" i="54"/>
  <c r="E48" i="34"/>
</calcChain>
</file>

<file path=xl/sharedStrings.xml><?xml version="1.0" encoding="utf-8"?>
<sst xmlns="http://schemas.openxmlformats.org/spreadsheetml/2006/main" count="6533" uniqueCount="1389">
  <si>
    <t>Name of the Instrument</t>
  </si>
  <si>
    <t>Quantity</t>
  </si>
  <si>
    <t>ISIN Number</t>
  </si>
  <si>
    <t xml:space="preserve">Market Value(Rs. in Lakhs) </t>
  </si>
  <si>
    <t>% to Net Assets</t>
  </si>
  <si>
    <t>Industry Classification / Rating</t>
  </si>
  <si>
    <t>YTM</t>
  </si>
  <si>
    <t>Portfolio Statement as on April 30, 2021</t>
  </si>
  <si>
    <t>Franklin India Fixed Maturity Plans-Series 3-Plan A (1157 Days)</t>
  </si>
  <si>
    <t>FMPS3A</t>
  </si>
  <si>
    <t>Franklin India Fixed Maturity Plans- Series 2 - Plan C (1205 Days)</t>
  </si>
  <si>
    <t>FMPS2C</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</si>
  <si>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</si>
  <si>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</si>
  <si>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</si>
  <si>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</si>
  <si>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</si>
  <si>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</si>
  <si>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</si>
  <si>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</si>
  <si>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</si>
  <si>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</si>
  <si>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</si>
  <si>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</si>
  <si>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</si>
  <si>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</si>
  <si>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</si>
  <si>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</si>
  <si>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</si>
  <si>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</si>
  <si>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</si>
  <si>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</si>
  <si>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</si>
  <si>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</si>
  <si>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</si>
  <si>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</si>
  <si>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</si>
  <si>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CARE AA-</t>
  </si>
  <si>
    <t>CRISIL AAA</t>
  </si>
  <si>
    <t>Sub Total</t>
  </si>
  <si>
    <t>Mutual Fund Units</t>
  </si>
  <si>
    <t>Mutual Fund</t>
  </si>
  <si>
    <t>Total</t>
  </si>
  <si>
    <t>Net Assets</t>
  </si>
  <si>
    <t>Call, Cash &amp; Other Assets</t>
  </si>
  <si>
    <t>Rating</t>
  </si>
  <si>
    <t>** Non- Traded Scrips</t>
  </si>
  <si>
    <t>Notes</t>
  </si>
  <si>
    <t>a) NAV at the beginning and at the end of the Half-year ended 30-Apr-2021</t>
  </si>
  <si>
    <t xml:space="preserve">      Plan/Option</t>
  </si>
  <si>
    <t>As on 30-Apr-2021</t>
  </si>
  <si>
    <t>As on 29-Oct-2020</t>
  </si>
  <si>
    <t>IDCW - Income Distribution cum capital withdrawal</t>
  </si>
  <si>
    <t>b) Aggregate Distributions declared during the Half - year ended 30-Apr-2021</t>
  </si>
  <si>
    <t>Nil</t>
  </si>
  <si>
    <t>(In Years)</t>
  </si>
  <si>
    <t xml:space="preserve">d) During the month additional instances of fair valuation/deviation from valuation price provided by the valuation agencies </t>
  </si>
  <si>
    <t>https://www.franklintempletonindia.com/downloadsServlet/pdf/product-labels-jg9o5k7l</t>
  </si>
  <si>
    <t>Refer below link for rationale of devation under Valuation policy</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</si>
  <si>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</si>
  <si>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</si>
  <si>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</si>
  <si>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</si>
  <si>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</si>
  <si>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</si>
  <si>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</si>
  <si>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</si>
  <si>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</si>
  <si>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</si>
  <si>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Treasury Bill</t>
  </si>
  <si>
    <t xml:space="preserve"> SOVEREIGN</t>
  </si>
  <si>
    <t>Government Securities</t>
  </si>
  <si>
    <t>8.20% GOI 2022 (15-Feb-2022)</t>
  </si>
  <si>
    <t>IN0020060037</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</si>
  <si>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</si>
  <si>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</si>
  <si>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</si>
  <si>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</si>
  <si>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</si>
  <si>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</si>
  <si>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</si>
  <si>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</si>
  <si>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</si>
  <si>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</si>
  <si>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</si>
  <si>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</si>
  <si>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</si>
  <si>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91 DTB (29-Jul-2021)</t>
  </si>
  <si>
    <t>IN002021X041</t>
  </si>
  <si>
    <t>5.15% GOI 2025 (09-Nov-2025)</t>
  </si>
  <si>
    <t>IN0020200278</t>
  </si>
  <si>
    <t>7.27% GOI 2026 (08-Apr-2026)</t>
  </si>
  <si>
    <t>IN0020190016</t>
  </si>
  <si>
    <t>7.32% GOI 2024 (28-Jan-2024)</t>
  </si>
  <si>
    <t>IN0020180488</t>
  </si>
  <si>
    <t>5.22% GOI 2025 (15-Jun-2025)</t>
  </si>
  <si>
    <t>IN0020200112</t>
  </si>
  <si>
    <t xml:space="preserve">      Growth Option</t>
  </si>
  <si>
    <t xml:space="preserve">      Direct Growth Option</t>
  </si>
  <si>
    <t>Indostar Capital Finance Ltd (1Y SBI MCLR + 200 Bps) (02-May-2023) **</t>
  </si>
  <si>
    <t>INE896L07561</t>
  </si>
  <si>
    <t>8.85% REC Ltd (16-Apr-2029)</t>
  </si>
  <si>
    <t>INE020B08BQ7</t>
  </si>
  <si>
    <t>6.18% GOI 2024 (04-Nov-2024)</t>
  </si>
  <si>
    <t>IN0020190396</t>
  </si>
  <si>
    <t>Equity &amp; Equity related</t>
  </si>
  <si>
    <t>HDFC Bank Ltd</t>
  </si>
  <si>
    <t>INE040A01034</t>
  </si>
  <si>
    <t>Banks</t>
  </si>
  <si>
    <t>Infosys Ltd</t>
  </si>
  <si>
    <t>INE009A01021</t>
  </si>
  <si>
    <t>Software</t>
  </si>
  <si>
    <t>Axis Bank Ltd</t>
  </si>
  <si>
    <t>INE238A01034</t>
  </si>
  <si>
    <t>ICICI Bank Ltd</t>
  </si>
  <si>
    <t>INE090A01021</t>
  </si>
  <si>
    <t>Bharti Airtel Ltd</t>
  </si>
  <si>
    <t>INE397D01024</t>
  </si>
  <si>
    <t>Telecom - Services</t>
  </si>
  <si>
    <t>Balkrishna Industries Ltd</t>
  </si>
  <si>
    <t>INE787D01026</t>
  </si>
  <si>
    <t>Auto Ancillaries</t>
  </si>
  <si>
    <t>Kotak Mahindra Bank Ltd</t>
  </si>
  <si>
    <t>INE237A01028</t>
  </si>
  <si>
    <t>Voltas Ltd</t>
  </si>
  <si>
    <t>INE226A01021</t>
  </si>
  <si>
    <t>Consumer Durables</t>
  </si>
  <si>
    <t>Hindalco Industries Ltd</t>
  </si>
  <si>
    <t>INE038A01020</t>
  </si>
  <si>
    <t>Non - Ferrous Metals</t>
  </si>
  <si>
    <t>Petronet LNG Ltd</t>
  </si>
  <si>
    <t>INE347G01014</t>
  </si>
  <si>
    <t>Gas</t>
  </si>
  <si>
    <t>Dr. Reddy's Laboratories Ltd</t>
  </si>
  <si>
    <t>INE089A01023</t>
  </si>
  <si>
    <t>Pharmaceuticals</t>
  </si>
  <si>
    <t>Gujarat State Petronet Ltd</t>
  </si>
  <si>
    <t>INE246F01010</t>
  </si>
  <si>
    <t>Colgate Palmolive (India) Ltd</t>
  </si>
  <si>
    <t>INE259A01022</t>
  </si>
  <si>
    <t>Consumer Non Durables</t>
  </si>
  <si>
    <t>Hindustan Petroleum Corporation Ltd</t>
  </si>
  <si>
    <t>INE094A01015</t>
  </si>
  <si>
    <t>Petroleum Products</t>
  </si>
  <si>
    <t>Tata Consultancy Services Ltd</t>
  </si>
  <si>
    <t>INE467B01029</t>
  </si>
  <si>
    <t>State Bank of India</t>
  </si>
  <si>
    <t>INE062A01020</t>
  </si>
  <si>
    <t>Hindustan Unilever Ltd</t>
  </si>
  <si>
    <t>INE030A01027</t>
  </si>
  <si>
    <t>Power Grid Corporation of India Ltd</t>
  </si>
  <si>
    <t>INE752E01010</t>
  </si>
  <si>
    <t>Power</t>
  </si>
  <si>
    <t>NTPC Ltd</t>
  </si>
  <si>
    <t>INE733E01010</t>
  </si>
  <si>
    <t>Mahindra &amp; Mahindra Ltd</t>
  </si>
  <si>
    <t>INE101A01026</t>
  </si>
  <si>
    <t>Auto</t>
  </si>
  <si>
    <t>Bajaj Auto Ltd</t>
  </si>
  <si>
    <t>INE917I01010</t>
  </si>
  <si>
    <t>United Breweries Ltd</t>
  </si>
  <si>
    <t>INE686F01025</t>
  </si>
  <si>
    <t>Bharat Petroleum Corporation Ltd</t>
  </si>
  <si>
    <t>INE029A01011</t>
  </si>
  <si>
    <t>City Union Bank Ltd</t>
  </si>
  <si>
    <t>INE491A01021</t>
  </si>
  <si>
    <t>Cadila Healthcare Ltd</t>
  </si>
  <si>
    <t>INE010B01027</t>
  </si>
  <si>
    <t>Tata Motors Ltd</t>
  </si>
  <si>
    <t>INE155A01022</t>
  </si>
  <si>
    <t>Aditya Birla Fashion and Retail Ltd</t>
  </si>
  <si>
    <t>INE647O01011</t>
  </si>
  <si>
    <t>Retailing</t>
  </si>
  <si>
    <t>Jagran Prakashan Ltd</t>
  </si>
  <si>
    <t>INE199G01027</t>
  </si>
  <si>
    <t>Media</t>
  </si>
  <si>
    <t>Aditya Birla Fashion and Retail Ltd – Partly Paid</t>
  </si>
  <si>
    <t>IN9647O01027</t>
  </si>
  <si>
    <t>6.95% Housing Development Finance Corporation Ltd (27-Apr-2023) **</t>
  </si>
  <si>
    <t>INE001A07SK8</t>
  </si>
  <si>
    <t>Kansai Nerolac Paints Ltd</t>
  </si>
  <si>
    <t>INE531A01024</t>
  </si>
  <si>
    <t>Grasim Industries Ltd</t>
  </si>
  <si>
    <t>INE047A01021</t>
  </si>
  <si>
    <t>Cement &amp; Cement Products</t>
  </si>
  <si>
    <t>Coal India Ltd</t>
  </si>
  <si>
    <t>INE522F01014</t>
  </si>
  <si>
    <t>Minerals/Mining</t>
  </si>
  <si>
    <t>National Bank For Agriculture &amp; Rural Development (18-Feb-2022) **</t>
  </si>
  <si>
    <t>INE261F16595</t>
  </si>
  <si>
    <t>Housing Development Finance Corporation Ltd</t>
  </si>
  <si>
    <t>INE001A01036</t>
  </si>
  <si>
    <t>Finance</t>
  </si>
  <si>
    <t>Sun TV Network Ltd</t>
  </si>
  <si>
    <t>INE424H01027</t>
  </si>
  <si>
    <t>Entertainment</t>
  </si>
  <si>
    <t>Maruti Suzuki India Ltd</t>
  </si>
  <si>
    <t>INE585B01010</t>
  </si>
  <si>
    <t>Dabur India Ltd</t>
  </si>
  <si>
    <t>INE016A01026</t>
  </si>
  <si>
    <t>Larsen &amp; Toubro Ltd</t>
  </si>
  <si>
    <t>INE018A01030</t>
  </si>
  <si>
    <t>Construction Project</t>
  </si>
  <si>
    <t>Tata Power Co Ltd</t>
  </si>
  <si>
    <t>INE245A01021</t>
  </si>
  <si>
    <t>Tech Mahindra Ltd</t>
  </si>
  <si>
    <t>INE669C01036</t>
  </si>
  <si>
    <t>Indian Hotels Co Ltd</t>
  </si>
  <si>
    <t>INE053A01029</t>
  </si>
  <si>
    <t>Leisure Services</t>
  </si>
  <si>
    <t>Cholamandalam Financial Holdings Ltd</t>
  </si>
  <si>
    <t>INE149A01033</t>
  </si>
  <si>
    <t>Himatsingka Seide Ltd</t>
  </si>
  <si>
    <t>INE049A01027</t>
  </si>
  <si>
    <t>Textile Products</t>
  </si>
  <si>
    <t>Mahindra CIE Automotive Ltd</t>
  </si>
  <si>
    <t>INE536H01010</t>
  </si>
  <si>
    <t>Industrial Products</t>
  </si>
  <si>
    <t>Indian Oil Corporation Ltd</t>
  </si>
  <si>
    <t>INE242A01010</t>
  </si>
  <si>
    <t>PNB Housing Finance Ltd</t>
  </si>
  <si>
    <t>INE572E01012</t>
  </si>
  <si>
    <t>Nestle India Ltd</t>
  </si>
  <si>
    <t>INE239A01016</t>
  </si>
  <si>
    <t>GAIL (India) Ltd</t>
  </si>
  <si>
    <t>INE129A01019</t>
  </si>
  <si>
    <t>Federal Bank Ltd</t>
  </si>
  <si>
    <t>INE171A01029</t>
  </si>
  <si>
    <t>(b) Units of Real Estate Investment Trusts (REITs)</t>
  </si>
  <si>
    <t>Embassy Office Parks REIT</t>
  </si>
  <si>
    <t>INE041025011</t>
  </si>
  <si>
    <t>c) Portfolio Turnover Ratio during the Half - year 30-Apr-2021</t>
  </si>
  <si>
    <t>d) Average Maturity as on 30-Apr-2021</t>
  </si>
  <si>
    <t xml:space="preserve">e) During the month additional instances of fair valuation/deviation from valuation price provided by the valuation agencies </t>
  </si>
  <si>
    <t>NHPC Ltd</t>
  </si>
  <si>
    <t>INE848E01016</t>
  </si>
  <si>
    <t>Titan Co Ltd</t>
  </si>
  <si>
    <t>INE280A01028</t>
  </si>
  <si>
    <t xml:space="preserve">(b) Unlisted </t>
  </si>
  <si>
    <t>INE671B01018</t>
  </si>
  <si>
    <t>Commercial Services</t>
  </si>
  <si>
    <t>(c) Units of Real Estate Investment Trusts (REITs)</t>
  </si>
  <si>
    <t>Brookfield India Real Estate Trust</t>
  </si>
  <si>
    <t>INE0FDU25010</t>
  </si>
  <si>
    <t>Indostar Capital Finance Ltd (1Y SBI MCLR + 325 Bps) (02-Nov-2021) **</t>
  </si>
  <si>
    <t>INE896L07660</t>
  </si>
  <si>
    <t>Tata Motors Ltd DVR</t>
  </si>
  <si>
    <t>IN9155A01020</t>
  </si>
  <si>
    <t>Bharat Electronics Ltd</t>
  </si>
  <si>
    <t>INE263A01024</t>
  </si>
  <si>
    <t>Aerospace &amp; Defense</t>
  </si>
  <si>
    <t>ITC Ltd</t>
  </si>
  <si>
    <t>INE154A01025</t>
  </si>
  <si>
    <t>Finolex Cables Ltd</t>
  </si>
  <si>
    <t>INE235A01022</t>
  </si>
  <si>
    <t>Oil &amp; Natural Gas Corporation Ltd</t>
  </si>
  <si>
    <t>INE213A01029</t>
  </si>
  <si>
    <t>Oil</t>
  </si>
  <si>
    <t>Bosch Ltd</t>
  </si>
  <si>
    <t>INE323A01026</t>
  </si>
  <si>
    <t>HCL Technologies Ltd</t>
  </si>
  <si>
    <t>INE860A01027</t>
  </si>
  <si>
    <t>Tata Chemicals Ltd</t>
  </si>
  <si>
    <t>INE092A01019</t>
  </si>
  <si>
    <t>Chemicals</t>
  </si>
  <si>
    <t>Sundaram Clayton Ltd</t>
  </si>
  <si>
    <t>INE105A01035</t>
  </si>
  <si>
    <t>Century Textile &amp; Industries Ltd</t>
  </si>
  <si>
    <t>INE055A01016</t>
  </si>
  <si>
    <t>Paper</t>
  </si>
  <si>
    <t>Equitas Holdings Ltd</t>
  </si>
  <si>
    <t>INE988K01017</t>
  </si>
  <si>
    <t>ACC Ltd</t>
  </si>
  <si>
    <t>INE012A01025</t>
  </si>
  <si>
    <t>United Spirits Ltd</t>
  </si>
  <si>
    <t>INE854D01024</t>
  </si>
  <si>
    <t>Gulf Oil Lubricants India Ltd</t>
  </si>
  <si>
    <t>INE635Q01029</t>
  </si>
  <si>
    <t>Industry Classification</t>
  </si>
  <si>
    <t>Finolex Industries Ltd</t>
  </si>
  <si>
    <t>INE183A01024</t>
  </si>
  <si>
    <t>Tata Consumer Products Ltd</t>
  </si>
  <si>
    <t>INE192A01025</t>
  </si>
  <si>
    <t>K.P.R. Mill Ltd</t>
  </si>
  <si>
    <t>INE930H01023</t>
  </si>
  <si>
    <t>Redington (India) Ltd</t>
  </si>
  <si>
    <t>INE891D01026</t>
  </si>
  <si>
    <t>Trading</t>
  </si>
  <si>
    <t>National Aluminium Co Ltd</t>
  </si>
  <si>
    <t>INE139A01034</t>
  </si>
  <si>
    <t>Vardhman Textiles Ltd</t>
  </si>
  <si>
    <t>INE825A01012</t>
  </si>
  <si>
    <t>Textiles - Cotton</t>
  </si>
  <si>
    <t>J.K. Cement Ltd</t>
  </si>
  <si>
    <t>INE823G01014</t>
  </si>
  <si>
    <t>Ashok Leyland Ltd</t>
  </si>
  <si>
    <t>INE208A01029</t>
  </si>
  <si>
    <t>NMDC Ltd</t>
  </si>
  <si>
    <t>INE584A01023</t>
  </si>
  <si>
    <t>Tata Investment Corporation Ltd</t>
  </si>
  <si>
    <t>INE672A01018</t>
  </si>
  <si>
    <t>Cyient Ltd</t>
  </si>
  <si>
    <t>INE136B01020</t>
  </si>
  <si>
    <t>Dalmia Bharat Ltd</t>
  </si>
  <si>
    <t>INE00R701025</t>
  </si>
  <si>
    <t>CESC Ltd</t>
  </si>
  <si>
    <t>INE486A01013</t>
  </si>
  <si>
    <t>Foreign Equity Securities</t>
  </si>
  <si>
    <t>Unilever PLC, (ADR)</t>
  </si>
  <si>
    <t>US9047677045</t>
  </si>
  <si>
    <t>Novatek Microelectronics Corp. Ltd</t>
  </si>
  <si>
    <t>TW0003034005</t>
  </si>
  <si>
    <t>Xtep International Holdings Ltd</t>
  </si>
  <si>
    <t>KYG982771092</t>
  </si>
  <si>
    <t>Aramex PJSC</t>
  </si>
  <si>
    <t>AEA002301017</t>
  </si>
  <si>
    <t>Transportation</t>
  </si>
  <si>
    <t>Xinyi Solar Holdings Ltd</t>
  </si>
  <si>
    <t>KYG9829N1025</t>
  </si>
  <si>
    <t>Industrial Capital Goods</t>
  </si>
  <si>
    <t>Travelsky Technology Ltd, H</t>
  </si>
  <si>
    <t>CNE1000004J3</t>
  </si>
  <si>
    <t>Primax Electronics Ltd</t>
  </si>
  <si>
    <t>TW0004915004</t>
  </si>
  <si>
    <t>Hardware</t>
  </si>
  <si>
    <t>Mahle-Metal Leve S A</t>
  </si>
  <si>
    <t>BRLEVEACNOR2</t>
  </si>
  <si>
    <t>Fanhua Inc, (ADR)</t>
  </si>
  <si>
    <t>US30712A1034</t>
  </si>
  <si>
    <t>Info Edge (India) Ltd</t>
  </si>
  <si>
    <t>INE663F01024</t>
  </si>
  <si>
    <t>Happiest Minds Technologies Ltd</t>
  </si>
  <si>
    <t>INE419U01012</t>
  </si>
  <si>
    <t>Larsen &amp; Toubro Infotech Ltd</t>
  </si>
  <si>
    <t>INE214T01019</t>
  </si>
  <si>
    <t>JustDial Ltd</t>
  </si>
  <si>
    <t>INE599M01018</t>
  </si>
  <si>
    <t>Indiamart Intermesh Ltd</t>
  </si>
  <si>
    <t>INE933S01016</t>
  </si>
  <si>
    <t>Xelpmoc Design and Tech Ltd</t>
  </si>
  <si>
    <t>INE01P501012</t>
  </si>
  <si>
    <t>Nvidia Corp</t>
  </si>
  <si>
    <t>US67066G1040</t>
  </si>
  <si>
    <t>Taiwan Semiconductor Manufacturing Co. Ltd</t>
  </si>
  <si>
    <t>TW0002330008</t>
  </si>
  <si>
    <t>Makemytrip Ltd</t>
  </si>
  <si>
    <t>MU0295S00016</t>
  </si>
  <si>
    <t>Samsung Electronics Co. Ltd</t>
  </si>
  <si>
    <t>KR7005930003</t>
  </si>
  <si>
    <t>Salesforce.Com Inc</t>
  </si>
  <si>
    <t>US79466L3024</t>
  </si>
  <si>
    <t xml:space="preserve">Software                                </t>
  </si>
  <si>
    <t>Qualcomm Inc.</t>
  </si>
  <si>
    <t>US7475251036</t>
  </si>
  <si>
    <t>Telecom -  Equipment &amp; Accessories</t>
  </si>
  <si>
    <t>Sunny Optical Technology Group Co. Ltd</t>
  </si>
  <si>
    <t>KYG8586D1097</t>
  </si>
  <si>
    <t>Mediatek Inc</t>
  </si>
  <si>
    <t>TW0002454006</t>
  </si>
  <si>
    <t>Intel Corp</t>
  </si>
  <si>
    <t>US4581401001</t>
  </si>
  <si>
    <t>Uber Technologies Inc</t>
  </si>
  <si>
    <t>US90353T1007</t>
  </si>
  <si>
    <t>Alibaba Group Holding Ltd</t>
  </si>
  <si>
    <t>KYG017191142</t>
  </si>
  <si>
    <t>Alphabet Inc</t>
  </si>
  <si>
    <t>US02079K3059</t>
  </si>
  <si>
    <t>Wix.Com Ltd</t>
  </si>
  <si>
    <t>IL0011301780</t>
  </si>
  <si>
    <t>Amazon.com INC</t>
  </si>
  <si>
    <t>US0231351067</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</si>
  <si>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</si>
  <si>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</si>
  <si>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</si>
  <si>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</si>
  <si>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</si>
  <si>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</si>
  <si>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</si>
  <si>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</si>
  <si>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</si>
  <si>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</si>
  <si>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Construction</t>
  </si>
  <si>
    <t>J.B. Chemicals &amp; Pharmaceuticals Ltd</t>
  </si>
  <si>
    <t>INE572A01028</t>
  </si>
  <si>
    <t>Quess Corp Ltd</t>
  </si>
  <si>
    <t>INE615P01015</t>
  </si>
  <si>
    <t>Other Services</t>
  </si>
  <si>
    <t>Jyothy Labs Ltd</t>
  </si>
  <si>
    <t>INE668F01031</t>
  </si>
  <si>
    <t>CCL Products (India) Ltd</t>
  </si>
  <si>
    <t>INE421D01022</t>
  </si>
  <si>
    <t>Blue Star Ltd</t>
  </si>
  <si>
    <t>INE472A01039</t>
  </si>
  <si>
    <t>Sobha Ltd</t>
  </si>
  <si>
    <t>INE671H01015</t>
  </si>
  <si>
    <t>Nesco Ltd</t>
  </si>
  <si>
    <t>INE317F01035</t>
  </si>
  <si>
    <t>Teamlease Services Ltd</t>
  </si>
  <si>
    <t>INE985S01024</t>
  </si>
  <si>
    <t>Tube Investments of India Ltd</t>
  </si>
  <si>
    <t>INE974X01010</t>
  </si>
  <si>
    <t>Carborundum Universal Ltd</t>
  </si>
  <si>
    <t>INE120A01034</t>
  </si>
  <si>
    <t>Eris Lifesciences Ltd</t>
  </si>
  <si>
    <t>INE406M01024</t>
  </si>
  <si>
    <t>KPIT Technologies Ltd</t>
  </si>
  <si>
    <t>INE04I401011</t>
  </si>
  <si>
    <t>Atul Ltd</t>
  </si>
  <si>
    <t>INE100A01010</t>
  </si>
  <si>
    <t>KNR Constructions Ltd</t>
  </si>
  <si>
    <t>INE634I01029</t>
  </si>
  <si>
    <t>Karur Vysya Bank Ltd</t>
  </si>
  <si>
    <t>INE036D01028</t>
  </si>
  <si>
    <t>Metropolis Healthcare Ltd</t>
  </si>
  <si>
    <t>INE112L01020</t>
  </si>
  <si>
    <t>Healthcare Services</t>
  </si>
  <si>
    <t>Ahluwalia Contracts (India) Ltd</t>
  </si>
  <si>
    <t>INE758C01029</t>
  </si>
  <si>
    <t>TTK Prestige Ltd</t>
  </si>
  <si>
    <t>INE690A01010</t>
  </si>
  <si>
    <t>GHCL Ltd</t>
  </si>
  <si>
    <t>INE539A01019</t>
  </si>
  <si>
    <t>DCB Bank Ltd</t>
  </si>
  <si>
    <t>INE503A01015</t>
  </si>
  <si>
    <t>Cholamandalam Investment and Finance Co Ltd</t>
  </si>
  <si>
    <t>INE121A01024</t>
  </si>
  <si>
    <t>Lemon Tree Hotels Ltd</t>
  </si>
  <si>
    <t>INE970X01018</t>
  </si>
  <si>
    <t>Equitas Small Finance Bank Ltd</t>
  </si>
  <si>
    <t>INE063P01018</t>
  </si>
  <si>
    <t>TV Today Network Ltd</t>
  </si>
  <si>
    <t>INE038F01029</t>
  </si>
  <si>
    <t>Navneet Education Ltd</t>
  </si>
  <si>
    <t>INE060A01024</t>
  </si>
  <si>
    <t>Printing &amp; Publication</t>
  </si>
  <si>
    <t>Multi Commodity Exchange Of India Ltd</t>
  </si>
  <si>
    <t>INE745G01035</t>
  </si>
  <si>
    <t>Capital Markets</t>
  </si>
  <si>
    <t>Ramkrishna Forgings Ltd</t>
  </si>
  <si>
    <t>INE399G01015</t>
  </si>
  <si>
    <t>V.I.P. Industries Ltd</t>
  </si>
  <si>
    <t>INE054A01027</t>
  </si>
  <si>
    <t>JK Lakshmi Cement Ltd</t>
  </si>
  <si>
    <t>INE786A01032</t>
  </si>
  <si>
    <t>Techno Electric &amp; Engineering Co Ltd</t>
  </si>
  <si>
    <t>INE285K01026</t>
  </si>
  <si>
    <t>Mrs Bectors Food Specialities Ltd</t>
  </si>
  <si>
    <t>INE495P01012</t>
  </si>
  <si>
    <t>Westlife Development Ltd</t>
  </si>
  <si>
    <t>INE274F01020</t>
  </si>
  <si>
    <t>Music Broadcast Ltd</t>
  </si>
  <si>
    <t>INE919I01024</t>
  </si>
  <si>
    <t>M M Forgings Ltd</t>
  </si>
  <si>
    <t>INE227C01017</t>
  </si>
  <si>
    <t>CARE Ratings Ltd</t>
  </si>
  <si>
    <t>INE752H01013</t>
  </si>
  <si>
    <t>Ashoka Buildcon Ltd</t>
  </si>
  <si>
    <t>INE442H01029</t>
  </si>
  <si>
    <t>Shankara Building Products Ltd</t>
  </si>
  <si>
    <t>INE274V01019</t>
  </si>
  <si>
    <t>Borosil Renewables Ltd</t>
  </si>
  <si>
    <t>INE666D01022</t>
  </si>
  <si>
    <t>HT Media Ltd</t>
  </si>
  <si>
    <t>INE501G01024</t>
  </si>
  <si>
    <t>Indoco Remedies Ltd</t>
  </si>
  <si>
    <t>INE873D01024</t>
  </si>
  <si>
    <t>Pennar Industries Ltd</t>
  </si>
  <si>
    <t>INE932A01024</t>
  </si>
  <si>
    <t>Ferrous Metals</t>
  </si>
  <si>
    <t>Crompton Greaves Consumer Electricals Ltd</t>
  </si>
  <si>
    <t>INE299U01018</t>
  </si>
  <si>
    <t>The Ramco Cements Ltd</t>
  </si>
  <si>
    <t>INE331A01037</t>
  </si>
  <si>
    <t>Apollo Hospitals Enterprise Ltd</t>
  </si>
  <si>
    <t>INE437A01024</t>
  </si>
  <si>
    <t>Mphasis Ltd</t>
  </si>
  <si>
    <t>INE356A01018</t>
  </si>
  <si>
    <t>Aarti Industries Ltd</t>
  </si>
  <si>
    <t>INE769A01020</t>
  </si>
  <si>
    <t>Sundaram Finance Ltd</t>
  </si>
  <si>
    <t>INE660A01013</t>
  </si>
  <si>
    <t>Emami Ltd</t>
  </si>
  <si>
    <t>INE548C01032</t>
  </si>
  <si>
    <t>Oberoi Realty Ltd</t>
  </si>
  <si>
    <t>INE093I01010</t>
  </si>
  <si>
    <t>Trent Ltd</t>
  </si>
  <si>
    <t>INE849A01020</t>
  </si>
  <si>
    <t>IPCA Laboratories Ltd</t>
  </si>
  <si>
    <t>INE571A01020</t>
  </si>
  <si>
    <t>Sundram Fasteners Ltd</t>
  </si>
  <si>
    <t>INE387A01021</t>
  </si>
  <si>
    <t>Apollo Tyres Ltd</t>
  </si>
  <si>
    <t>INE438A01022</t>
  </si>
  <si>
    <t>Coromandel International Ltd</t>
  </si>
  <si>
    <t>INE169A01031</t>
  </si>
  <si>
    <t>Fertilisers</t>
  </si>
  <si>
    <t>Container Corporation Of India Ltd</t>
  </si>
  <si>
    <t>INE111A01025</t>
  </si>
  <si>
    <t>PI Industries Ltd</t>
  </si>
  <si>
    <t>INE603J01030</t>
  </si>
  <si>
    <t>Pesticides</t>
  </si>
  <si>
    <t>RBL Bank Ltd</t>
  </si>
  <si>
    <t>INE976G01028</t>
  </si>
  <si>
    <t>Kajaria Ceramics Ltd</t>
  </si>
  <si>
    <t>INE217B01036</t>
  </si>
  <si>
    <t>AIA Engineering Ltd</t>
  </si>
  <si>
    <t>INE212H01026</t>
  </si>
  <si>
    <t>Phoenix Mills Ltd</t>
  </si>
  <si>
    <t>INE211B01039</t>
  </si>
  <si>
    <t>EPL Ltd</t>
  </si>
  <si>
    <t>INE255A01020</t>
  </si>
  <si>
    <t>Bata India Ltd</t>
  </si>
  <si>
    <t>INE176A01028</t>
  </si>
  <si>
    <t>Persistent Systems Ltd</t>
  </si>
  <si>
    <t>INE262H01013</t>
  </si>
  <si>
    <t>Schaeffler India Ltd</t>
  </si>
  <si>
    <t>INE513A01014</t>
  </si>
  <si>
    <t>Bharat Forge Ltd</t>
  </si>
  <si>
    <t>INE465A01025</t>
  </si>
  <si>
    <t>* Less than 0.01%</t>
  </si>
  <si>
    <t>Asian Paints Ltd</t>
  </si>
  <si>
    <t>INE021A01026</t>
  </si>
  <si>
    <t>Caplin Point Laboratories Ltd</t>
  </si>
  <si>
    <t>INE475E01026</t>
  </si>
  <si>
    <t>GTPL Hathway Ltd</t>
  </si>
  <si>
    <t>INE869I01013</t>
  </si>
  <si>
    <t>Kalyani Invest Co Ltd</t>
  </si>
  <si>
    <t>INE029L01018</t>
  </si>
  <si>
    <t>Majesco Ltd</t>
  </si>
  <si>
    <t>INE898S01029</t>
  </si>
  <si>
    <t>INE696201123</t>
  </si>
  <si>
    <t>Interglobe Aviation Ltd</t>
  </si>
  <si>
    <t>INE646L01027</t>
  </si>
  <si>
    <t>Cipla Ltd</t>
  </si>
  <si>
    <t>INE059A01026</t>
  </si>
  <si>
    <t>Lupin Ltd</t>
  </si>
  <si>
    <t>INE326A01037</t>
  </si>
  <si>
    <t>KEI Industries Ltd</t>
  </si>
  <si>
    <t>INE878B01027</t>
  </si>
  <si>
    <t>Orient Cement Ltd</t>
  </si>
  <si>
    <t>INE876N01018</t>
  </si>
  <si>
    <t>Somany Ceramics Ltd</t>
  </si>
  <si>
    <t>INE355A01028</t>
  </si>
  <si>
    <t>ITD Cementation India Ltd</t>
  </si>
  <si>
    <t>INE686A01026</t>
  </si>
  <si>
    <t>Ultratech Cement Ltd</t>
  </si>
  <si>
    <t>INE481G01011</t>
  </si>
  <si>
    <t>Hindustan Aeronautics Ltd</t>
  </si>
  <si>
    <t>INE066F01012</t>
  </si>
  <si>
    <t>Spicejet Ltd</t>
  </si>
  <si>
    <t>INE285B01017</t>
  </si>
  <si>
    <t>Marico Ltd</t>
  </si>
  <si>
    <t>INE196A01026</t>
  </si>
  <si>
    <t>Sun Pharmaceutical Industries Ltd</t>
  </si>
  <si>
    <t>INE044A01036</t>
  </si>
  <si>
    <t>ICICI Prudential Life Insurance Co Ltd</t>
  </si>
  <si>
    <t>INE726G01019</t>
  </si>
  <si>
    <t>Insurance</t>
  </si>
  <si>
    <t>Aditya Birla Capital Ltd</t>
  </si>
  <si>
    <t>INE674K01013</t>
  </si>
  <si>
    <t>SBI Cards and Payment Services Ltd</t>
  </si>
  <si>
    <t>INE018E01016</t>
  </si>
  <si>
    <t>SKF India Ltd</t>
  </si>
  <si>
    <t>INE640A01023</t>
  </si>
  <si>
    <t>Arvind Fashions Ltd</t>
  </si>
  <si>
    <t>INE955V01021</t>
  </si>
  <si>
    <t>Gujarat Pipavav Port Ltd</t>
  </si>
  <si>
    <t>INE517F01014</t>
  </si>
  <si>
    <t>MTAR Technologies Ltd</t>
  </si>
  <si>
    <t>INE864I01014</t>
  </si>
  <si>
    <t>IN9955V01011</t>
  </si>
  <si>
    <t>IndusInd Bank Ltd</t>
  </si>
  <si>
    <t>INE095A01012</t>
  </si>
  <si>
    <t>Ambuja Cements Ltd</t>
  </si>
  <si>
    <t>INE079A01024</t>
  </si>
  <si>
    <t>SBI Life Insurance Co Ltd</t>
  </si>
  <si>
    <t>INE123W01016</t>
  </si>
  <si>
    <t>Gateway Distriparks Ltd</t>
  </si>
  <si>
    <t>INE852F01015</t>
  </si>
  <si>
    <t>Puravankara Ltd</t>
  </si>
  <si>
    <t>INE323I01011</t>
  </si>
  <si>
    <t>NRB Bearings Ltd</t>
  </si>
  <si>
    <t>INE349A01021</t>
  </si>
  <si>
    <t>The New India Assurance Co Ltd</t>
  </si>
  <si>
    <t>INE470Y01017</t>
  </si>
  <si>
    <t>Godrej Properties Ltd</t>
  </si>
  <si>
    <t>INE484J01027</t>
  </si>
  <si>
    <t>Motilal Oswal Financial Services Ltd</t>
  </si>
  <si>
    <t>INE338I01027</t>
  </si>
  <si>
    <t>Narayana Hrudayalaya Ltd</t>
  </si>
  <si>
    <t>INE410P01011</t>
  </si>
  <si>
    <t>Tencent Holdings Ltd</t>
  </si>
  <si>
    <t>KYG875721634</t>
  </si>
  <si>
    <t>AIA Group Ltd</t>
  </si>
  <si>
    <t>HK0000069689</t>
  </si>
  <si>
    <t>Naver Corp</t>
  </si>
  <si>
    <t>KR7035420009</t>
  </si>
  <si>
    <t>Meituan Dianping</t>
  </si>
  <si>
    <t>KYG596691041</t>
  </si>
  <si>
    <t>Ping An Insurance (Group) Co. Of China Ltd, H</t>
  </si>
  <si>
    <t>CNE1000003X6</t>
  </si>
  <si>
    <t>LG Chem Ltd</t>
  </si>
  <si>
    <t>KR7051910008</t>
  </si>
  <si>
    <t>China Merchants Bank Co Ltd</t>
  </si>
  <si>
    <t>CNE1000002M1</t>
  </si>
  <si>
    <t>JD.Com Inc</t>
  </si>
  <si>
    <t>KYG8208B1014</t>
  </si>
  <si>
    <t>Country Garden Services Holdings Co Ltd</t>
  </si>
  <si>
    <t>KYG2453A1085</t>
  </si>
  <si>
    <t>Kweichow Moutai Co. Ltd, A</t>
  </si>
  <si>
    <t>CNE0000018R8</t>
  </si>
  <si>
    <t>New Oriental Education &amp; Technology Group Inc</t>
  </si>
  <si>
    <t>KYG6470A1168</t>
  </si>
  <si>
    <t>Techtronic Industries Co. Ltd</t>
  </si>
  <si>
    <t>HK0669013440</t>
  </si>
  <si>
    <t>Midea Group Co Ltd</t>
  </si>
  <si>
    <t>CNE100001QQ5</t>
  </si>
  <si>
    <t>Sea Ltd (ADR)</t>
  </si>
  <si>
    <t>US81141R1005</t>
  </si>
  <si>
    <t>China Mengniu Dairy Co. Ltd</t>
  </si>
  <si>
    <t>KYG210961051</t>
  </si>
  <si>
    <t>Semen Indonesia (Persero) Tbk PT</t>
  </si>
  <si>
    <t>ID1000106800</t>
  </si>
  <si>
    <t>Bank Central Asia Tbk Pt</t>
  </si>
  <si>
    <t>ID1000109507</t>
  </si>
  <si>
    <t>Budweiser Brewing Co APAC Ltd</t>
  </si>
  <si>
    <t>KYG1674K1013</t>
  </si>
  <si>
    <t>China Resources Land Ltd</t>
  </si>
  <si>
    <t>KYG2108Y1052</t>
  </si>
  <si>
    <t>Yum China Holdings INC</t>
  </si>
  <si>
    <t>US98850P1093</t>
  </si>
  <si>
    <t>Trip.Com Group Ltd, (ADR)</t>
  </si>
  <si>
    <t>US89677Q1076</t>
  </si>
  <si>
    <t>The Siam Cement PCL, Fgn.</t>
  </si>
  <si>
    <t>TH0003010Z12</t>
  </si>
  <si>
    <t>SM Investments Corp</t>
  </si>
  <si>
    <t>PHY806761029</t>
  </si>
  <si>
    <t>China Resources Cement Holdings Ltd</t>
  </si>
  <si>
    <t>KYG2113L1068</t>
  </si>
  <si>
    <t>Indocement Tunggal Prakarsa Tbk Pt</t>
  </si>
  <si>
    <t>ID1000061302</t>
  </si>
  <si>
    <t>Alibaba Health Information Technology Ltd</t>
  </si>
  <si>
    <t>BMG0171K1018</t>
  </si>
  <si>
    <t>ACE Hardware Indonesia Tbk Pt</t>
  </si>
  <si>
    <t>ID1000125503</t>
  </si>
  <si>
    <t>SK Hynix Inc</t>
  </si>
  <si>
    <t>KR7000660001</t>
  </si>
  <si>
    <t>Minor International Pcl, Fgn.</t>
  </si>
  <si>
    <t>TH0128B10Z17</t>
  </si>
  <si>
    <t>Hotels/ Resorts And Other Recreational Activities</t>
  </si>
  <si>
    <t>Beijing Oriental Yuhong Waterproof Technology Co Ltd</t>
  </si>
  <si>
    <t>CNE100000CS3</t>
  </si>
  <si>
    <t>Engineering Services</t>
  </si>
  <si>
    <t>Kuaishou Technology</t>
  </si>
  <si>
    <t>KYG532631028</t>
  </si>
  <si>
    <t>Tal Education Group, (ADR)</t>
  </si>
  <si>
    <t>US8740801043</t>
  </si>
  <si>
    <t>Laobaixing Pharmacy Chain Jsc</t>
  </si>
  <si>
    <t>CNE1000023Q8</t>
  </si>
  <si>
    <t>Longi Green Energy Technology Co Ltd</t>
  </si>
  <si>
    <t>CNE100001FR6</t>
  </si>
  <si>
    <t>Bangkok Dusit Medical Services Pcl</t>
  </si>
  <si>
    <t>TH0264A10Z12</t>
  </si>
  <si>
    <t>China Resources Mixc Lifestyle Services Ltd</t>
  </si>
  <si>
    <t>KYG2122G1064</t>
  </si>
  <si>
    <t>Minor International PCL- Warrants (31-July-2023)</t>
  </si>
  <si>
    <t>TH0128053707</t>
  </si>
  <si>
    <t>Minor International PCL- Warrants (30-Sep-2021)</t>
  </si>
  <si>
    <t>TH0128051909</t>
  </si>
  <si>
    <t>Reliance Industries Ltd</t>
  </si>
  <si>
    <t>INE002A01018</t>
  </si>
  <si>
    <t>Bajaj Finance Ltd</t>
  </si>
  <si>
    <t>INE296A01024</t>
  </si>
  <si>
    <t>Tata Steel Ltd</t>
  </si>
  <si>
    <t>INE081A01012</t>
  </si>
  <si>
    <t>Wipro Ltd</t>
  </si>
  <si>
    <t>INE075A01022</t>
  </si>
  <si>
    <t>JSW Steel Ltd</t>
  </si>
  <si>
    <t>INE019A01038</t>
  </si>
  <si>
    <t>Bajaj Finserv Ltd</t>
  </si>
  <si>
    <t>INE918I01018</t>
  </si>
  <si>
    <t>Adani Ports and Special Economic Zone Ltd</t>
  </si>
  <si>
    <t>INE742F01042</t>
  </si>
  <si>
    <t>HDFC Life Insurance Co Ltd</t>
  </si>
  <si>
    <t>INE795G01014</t>
  </si>
  <si>
    <t>Divi's Laboratories Ltd</t>
  </si>
  <si>
    <t>INE361B01024</t>
  </si>
  <si>
    <t>Britannia Industries Ltd</t>
  </si>
  <si>
    <t>INE216A01030</t>
  </si>
  <si>
    <t>Shree Cement Ltd</t>
  </si>
  <si>
    <t>INE070A01015</t>
  </si>
  <si>
    <t>Hero MotoCorp Ltd</t>
  </si>
  <si>
    <t>INE158A01026</t>
  </si>
  <si>
    <t>Eicher Motors Ltd</t>
  </si>
  <si>
    <t>INE066A01021</t>
  </si>
  <si>
    <t>UPL Ltd</t>
  </si>
  <si>
    <t>INE628A01036</t>
  </si>
  <si>
    <t>Yes Bank Ltd</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</si>
  <si>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</si>
  <si>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</si>
  <si>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</si>
  <si>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</si>
  <si>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</si>
  <si>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</si>
  <si>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</si>
  <si>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</si>
  <si>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</si>
  <si>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</si>
  <si>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</si>
  <si>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INF090I01GK1</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</si>
  <si>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</si>
  <si>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</si>
  <si>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</si>
  <si>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</si>
  <si>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</si>
  <si>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</si>
  <si>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</si>
  <si>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</si>
  <si>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</si>
  <si>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</si>
  <si>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</si>
  <si>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</si>
  <si>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</si>
  <si>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</si>
  <si>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</si>
  <si>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</si>
  <si>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</si>
  <si>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</si>
  <si>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</si>
  <si>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Flexi Cap Fund-Direct Growth Plan (Formerly known as Franklin India Equity Fund)</t>
  </si>
  <si>
    <t>INF090I01FK3</t>
  </si>
  <si>
    <t>As on 30-Oct-2020</t>
  </si>
  <si>
    <t xml:space="preserve">c) Total outstanding position (as at April 30, 2021) in Derivative Instruments (Gross Notional) </t>
  </si>
  <si>
    <t>d) Outstanding derivative exposure as % to net assets</t>
  </si>
  <si>
    <t>e) Portfolio Turnover Ratio during the Half - year 30-Apr-2021</t>
  </si>
  <si>
    <t>f) Average Maturity as on 30-Apr-2021</t>
  </si>
  <si>
    <t xml:space="preserve">g) During the month additional instances of fair valuation/deviation from valuation price provided by the valuation agencies </t>
  </si>
  <si>
    <t>% to Net Assets(Hedged &amp; Unhedged)</t>
  </si>
  <si>
    <t>% to Net Assets Derivative</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</si>
  <si>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</si>
  <si>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</si>
  <si>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</si>
  <si>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d) For product labeling and risk-o-meter refer the link below</t>
  </si>
  <si>
    <t>Franklin India Dynamic Accrual Fund (No. of Segregated Portfolios in the Scheme- 3) - (under winding up) Direct-Growth Plan ^^ $$$</t>
  </si>
  <si>
    <t>https://www.franklintempletonindia.com/investor/reports?firstFilter-4</t>
  </si>
  <si>
    <t>e) For product labeling and risk-o-meter refer the link below</t>
  </si>
  <si>
    <t>Franklin India Feeder - Templeton European Opportunities Fund</t>
  </si>
  <si>
    <t>Globsyn Technologies Ltd ** ^^</t>
  </si>
  <si>
    <t>Quantum Information Services ** ^^</t>
  </si>
  <si>
    <t>Numero Uno International Ltd ** ^^</t>
  </si>
  <si>
    <t>^^ Securities are fair valued</t>
  </si>
  <si>
    <t>Rs. 4,180.91 Lacs</t>
  </si>
  <si>
    <t>h) For product labeling and risk-o-meter refer the link below</t>
  </si>
  <si>
    <t>f) For product labeling and risk-o-meter refer the link below</t>
  </si>
  <si>
    <t>Brillio Technologies Pvt Ltd ** ^^</t>
  </si>
  <si>
    <t>Chennai Interactive Business Services Pvt Ltd **  ^^</t>
  </si>
  <si>
    <t>Franklin India Flexi Cap Fund ^</t>
  </si>
  <si>
    <t>^ Franklin India Equity Fund is renamed as Franklin India Flexi Cap Fund effective Jan 29, 2021.</t>
  </si>
  <si>
    <t>Quantum Information Systems ** ^^</t>
  </si>
  <si>
    <t>Arvind Fashions Ltd - Partly-Paid ##</t>
  </si>
  <si>
    <t>## Suspended</t>
  </si>
  <si>
    <t>Franklin India Liquid Fund</t>
  </si>
  <si>
    <t>INE001A07SF8</t>
  </si>
  <si>
    <t>6.77% Housing Development Finance Corporation Ltd (28-Jun-2021)</t>
  </si>
  <si>
    <t>INE752E14492</t>
  </si>
  <si>
    <t>Power Grid Corporation of India Ltd (19-May-2021) **@</t>
  </si>
  <si>
    <t>CARE A1+</t>
  </si>
  <si>
    <t>INE700G14447</t>
  </si>
  <si>
    <t>HDFC Securities Ltd (25-May-2021) **@</t>
  </si>
  <si>
    <t>INE002A14HR0</t>
  </si>
  <si>
    <t>Reliance Industries Ltd (29-Jun-2021) **@</t>
  </si>
  <si>
    <t>INE929O14164</t>
  </si>
  <si>
    <t>Reliance Retail Ventures Ltd (05-May-2021) **@</t>
  </si>
  <si>
    <t>INE929O14180</t>
  </si>
  <si>
    <t>Reliance Retail Ventures Ltd (12-May-2021) **@</t>
  </si>
  <si>
    <t>INE891K14KH0</t>
  </si>
  <si>
    <t>Axis Finance Ltd (20-May-2021) **@</t>
  </si>
  <si>
    <t>INE028E14HY3</t>
  </si>
  <si>
    <t>Kotak Securities Ltd (31-May-2021) **@</t>
  </si>
  <si>
    <t>INE110L14PE9</t>
  </si>
  <si>
    <t>Reliance Jio Infocomm Ltd (15-Jul-2021) **@</t>
  </si>
  <si>
    <t>INE002A14HN9</t>
  </si>
  <si>
    <t>Reliance Industries Ltd (01-Jun-2021) **@</t>
  </si>
  <si>
    <t>INE891K14KI8</t>
  </si>
  <si>
    <t>Axis Finance Ltd (03-Jun-2021) **@</t>
  </si>
  <si>
    <t>IN002020Z097</t>
  </si>
  <si>
    <t>364 DTB (03-Jun-2021)</t>
  </si>
  <si>
    <t>IN002020Z113</t>
  </si>
  <si>
    <t>364 DTB (17-Jun-2021)</t>
  </si>
  <si>
    <t>IN002020X530</t>
  </si>
  <si>
    <t>91 DTB (24-Jun-2021)</t>
  </si>
  <si>
    <t>IN002020X464</t>
  </si>
  <si>
    <t>91 DTB (06-May-2021)</t>
  </si>
  <si>
    <t>IN002020Z055</t>
  </si>
  <si>
    <t>364 DTB (07-May-2021)</t>
  </si>
  <si>
    <t>IN002021X017</t>
  </si>
  <si>
    <t>91 DTB (08-Jul-2021)</t>
  </si>
  <si>
    <t>IN002020Z089</t>
  </si>
  <si>
    <t>364 DTB (27-May-2021)</t>
  </si>
  <si>
    <t>IN002020X480</t>
  </si>
  <si>
    <t>91 DTB (20-May-2021)</t>
  </si>
  <si>
    <t>IN002020Z121</t>
  </si>
  <si>
    <t>364 DTB (24-Jun-2021)</t>
  </si>
  <si>
    <t>IN0020190099</t>
  </si>
  <si>
    <t>6.17% GOI 2021 (15-Jul-2021)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</si>
  <si>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</si>
  <si>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</si>
  <si>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</si>
  <si>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</si>
  <si>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</si>
  <si>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</si>
  <si>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</si>
  <si>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</si>
  <si>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</si>
  <si>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</si>
  <si>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</si>
  <si>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</si>
  <si>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</si>
  <si>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</si>
  <si>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</si>
  <si>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30-Apr-2021</t>
  </si>
  <si>
    <t xml:space="preserve">e) For product labeling and risk-o-meter refer the link below </t>
  </si>
  <si>
    <t>Franklin India Overnight Fund</t>
  </si>
  <si>
    <t xml:space="preserve">      Daily IDCW Plan</t>
  </si>
  <si>
    <t xml:space="preserve">      Weekly IDCW Plan</t>
  </si>
  <si>
    <t xml:space="preserve">      Direct Daily IDCW Plan</t>
  </si>
  <si>
    <t xml:space="preserve">      Direct Weekly IDCW Plan</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</si>
  <si>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</si>
  <si>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</si>
  <si>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</si>
  <si>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</si>
  <si>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</si>
  <si>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</si>
  <si>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</si>
  <si>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</si>
  <si>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t>
  </si>
  <si>
    <t>INE261F16587</t>
  </si>
  <si>
    <t>National Bank For Agriculture &amp; Rural Development (08-Feb-2022) **</t>
  </si>
  <si>
    <t>INE261F16603</t>
  </si>
  <si>
    <t>National Bank For Agriculture &amp; Rural Development (24-Feb-2022) **</t>
  </si>
  <si>
    <t>INE115A14CY7</t>
  </si>
  <si>
    <t>LIC Housing Finance Ltd (20-Jul-2021) **@</t>
  </si>
  <si>
    <t>INE002A14HJ7</t>
  </si>
  <si>
    <t>Reliance Industries Ltd (12-Aug-2021) **@</t>
  </si>
  <si>
    <t>INE763G14JQ2</t>
  </si>
  <si>
    <t>ICICI Securities Ltd (11-Aug-2021) **@</t>
  </si>
  <si>
    <t>INE377Y14801</t>
  </si>
  <si>
    <t>Bajaj Housing Finance Ltd (24-Feb-2022) **@</t>
  </si>
  <si>
    <t>INE134E14AR8</t>
  </si>
  <si>
    <t>Power Finance Corporation Ltd (30-Jul-2021) **@</t>
  </si>
  <si>
    <t>INE296A14RI6</t>
  </si>
  <si>
    <t>Bajaj Finance Ltd (16-Feb-2022) **@</t>
  </si>
  <si>
    <t>IN002020Z519</t>
  </si>
  <si>
    <t>364 DTB (24-Mar-2022)</t>
  </si>
  <si>
    <t>IN002020Z527</t>
  </si>
  <si>
    <t>364 DTB (30-Mar-2022)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</si>
  <si>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</si>
  <si>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</si>
  <si>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</si>
  <si>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</si>
  <si>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</si>
  <si>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</si>
  <si>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</si>
  <si>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</si>
  <si>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</si>
  <si>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</si>
  <si>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Franklin India Floating Rate Fund</t>
  </si>
  <si>
    <t>INE261F08BQ8</t>
  </si>
  <si>
    <t>6.70% National Bank For Agriculture &amp; Rural Development (11-Nov-2022) **</t>
  </si>
  <si>
    <t>INE831R07268</t>
  </si>
  <si>
    <t>Aditya Birla Housing Finance Ltd (364DTB +250 Bps) (17-Feb-2023) **</t>
  </si>
  <si>
    <t>ICRA AAA</t>
  </si>
  <si>
    <t>INE756I07CA5</t>
  </si>
  <si>
    <t>HDB Financial Services Ltd (91DTB + 205 Bps) (12-Jul-2021) **</t>
  </si>
  <si>
    <t>INE861G08035</t>
  </si>
  <si>
    <t>9.95% Food Corporation Of India (07-Mar-2022) **</t>
  </si>
  <si>
    <t>CRISIL AAA(CE)</t>
  </si>
  <si>
    <t>INE651J07739</t>
  </si>
  <si>
    <t>JM Financial Credit Solutions Ltd (1Y SBI MCLR + 460 Bps) (23-Jul-2024) **</t>
  </si>
  <si>
    <t>ICRA AA</t>
  </si>
  <si>
    <t>IN002020Z493</t>
  </si>
  <si>
    <t>364 DTB (11-Mar-2022)</t>
  </si>
  <si>
    <t>IN0020160084</t>
  </si>
  <si>
    <t>GOI FRB 2024 (07-Nov-2024)</t>
  </si>
  <si>
    <t>IN0020180041</t>
  </si>
  <si>
    <t>GOI FRB 2031 (07-Dec-2031)</t>
  </si>
  <si>
    <t>IN0020020072</t>
  </si>
  <si>
    <t>8.35% GOI 2022 (14-May-2022)</t>
  </si>
  <si>
    <t>IN0020200211</t>
  </si>
  <si>
    <t>4.48% GOI 2023 (02-Nov-2023)</t>
  </si>
  <si>
    <t>IN0020160050</t>
  </si>
  <si>
    <t>6.84% GOI 2022 (19-Dec-2022)</t>
  </si>
  <si>
    <t>IN0020200120</t>
  </si>
  <si>
    <t>GOI FRB 2033 (22-Sep-2033)</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</si>
  <si>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</si>
  <si>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</si>
  <si>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</si>
  <si>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</si>
  <si>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</si>
  <si>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</si>
  <si>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</si>
  <si>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</si>
  <si>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</si>
  <si>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</si>
  <si>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</si>
  <si>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</si>
  <si>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</si>
  <si>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</si>
  <si>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</si>
  <si>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</si>
  <si>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</si>
  <si>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INE261F08BI5</t>
  </si>
  <si>
    <t>7.90% National Bank For Agriculture &amp; Rural Development (18-Apr-2022) **</t>
  </si>
  <si>
    <t>INE020B08AM8</t>
  </si>
  <si>
    <t>7.09% REC Ltd (17-Oct-2022) **</t>
  </si>
  <si>
    <t>INE906B07FG1</t>
  </si>
  <si>
    <t>7.60% National Highways Authority Of India (18-Mar-2022) **</t>
  </si>
  <si>
    <t>INE053F07CC9</t>
  </si>
  <si>
    <t>6.19% Indian Railway Finance Corporation Ltd (28-Apr-2023) **</t>
  </si>
  <si>
    <t>INE557F08FJ5</t>
  </si>
  <si>
    <t>5.80% National Housing Bank (15-May-2023) **</t>
  </si>
  <si>
    <t>INE242A08460</t>
  </si>
  <si>
    <t>5.05% Indian Oil Corporation Ltd (25-Nov-2022) **</t>
  </si>
  <si>
    <t>INE115A07NM3</t>
  </si>
  <si>
    <t>0.00% LIC Housing Finance Ltd (25-Feb-2022) **</t>
  </si>
  <si>
    <t>INE848E07989</t>
  </si>
  <si>
    <t>7.52% NHPC Ltd (06-Jun-2023) **</t>
  </si>
  <si>
    <t>CARE AAA</t>
  </si>
  <si>
    <t>INE094A08036</t>
  </si>
  <si>
    <t>7.00% Hindustan Petroleum Corporation Ltd (14-Aug-2024) **</t>
  </si>
  <si>
    <t>INE941D08065</t>
  </si>
  <si>
    <t>10.25% Sikka Ports &amp; Terminals Ltd (22-Aug-2021) **</t>
  </si>
  <si>
    <t>INE906B07FE6</t>
  </si>
  <si>
    <t>7.17% National Highways Authority Of India (23-Dec-2021)</t>
  </si>
  <si>
    <t>INE295J08022</t>
  </si>
  <si>
    <t>9.90% Coastal Gujarat Power Ltd (25-Aug-2028) **</t>
  </si>
  <si>
    <t>CARE AA(CE)</t>
  </si>
  <si>
    <t>INE053F07BB3</t>
  </si>
  <si>
    <t>8.25% Indian Railway Finance Corporation Ltd (28-Feb-2024) **</t>
  </si>
  <si>
    <t>INE115A07PA3</t>
  </si>
  <si>
    <t>5.23% LIC Housing Finance Ltd (26-Jul-2023) **</t>
  </si>
  <si>
    <t>INE261F08AL1</t>
  </si>
  <si>
    <t>8.39% National Bank For Agriculture &amp; Rural Development (19-Jul-2021)</t>
  </si>
  <si>
    <t>INE020B08930</t>
  </si>
  <si>
    <t>8.30% REC Ltd (10-Apr-2025) **</t>
  </si>
  <si>
    <t>INE134E08KH0</t>
  </si>
  <si>
    <t>7.42% Power Finance Corporation Ltd (19-Nov-2024)</t>
  </si>
  <si>
    <t>INE721A08DC8</t>
  </si>
  <si>
    <t>10.25% Shriram Transport Finance Co Ltd (26-Apr-2024) **</t>
  </si>
  <si>
    <t>CRISIL AA+</t>
  </si>
  <si>
    <t>INE134E08KN8</t>
  </si>
  <si>
    <t>6.98% Power Finance Corporation Ltd (20-Apr-2023) **</t>
  </si>
  <si>
    <t>INE261F08AI7</t>
  </si>
  <si>
    <t>8.60% National Bank For Agriculture &amp; Rural Development (31-Jan-2022)</t>
  </si>
  <si>
    <t>INE134E08JW1</t>
  </si>
  <si>
    <t>8.18% Power Finance Corporation Ltd (19-Mar-2022) **</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</si>
  <si>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</si>
  <si>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</si>
  <si>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</si>
  <si>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</si>
  <si>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</si>
  <si>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</si>
  <si>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</si>
  <si>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</si>
  <si>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</si>
  <si>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</si>
  <si>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INE752E07MZ9</t>
  </si>
  <si>
    <t>8.40% Power Grid Corporation of India Ltd (14-Sep-2021) **</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</si>
  <si>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</si>
  <si>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</si>
  <si>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</si>
  <si>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</si>
  <si>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</si>
  <si>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</si>
  <si>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</si>
  <si>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</si>
  <si>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INE053F07942</t>
  </si>
  <si>
    <t>6.70% Indian Railway Finance Corporation Ltd (24-Nov-2021)</t>
  </si>
  <si>
    <t>INE053F09HR2</t>
  </si>
  <si>
    <t>9.57% Indian Railway Finance Corporation Ltd (31-May-2021) **</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</si>
  <si>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</si>
  <si>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</si>
  <si>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</si>
  <si>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</si>
  <si>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</si>
  <si>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</si>
  <si>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</si>
  <si>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</si>
  <si>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For product labeling and risk-o-meter refer the link below </t>
  </si>
  <si>
    <t>Franklin India Banking &amp; PSU Debt Fund</t>
  </si>
  <si>
    <t>INE557F08FG1</t>
  </si>
  <si>
    <t>7.05% National Housing Bank (18-Dec-2024) **</t>
  </si>
  <si>
    <t>INE031A08756</t>
  </si>
  <si>
    <t>6.99% Housing &amp; Urban Development Corporation Ltd (11-Nov-2022) **</t>
  </si>
  <si>
    <t>IND AAA</t>
  </si>
  <si>
    <t>INE020B08997</t>
  </si>
  <si>
    <t>7.24% REC Ltd (21-Oct-2021) **</t>
  </si>
  <si>
    <t>INE514E08FG5</t>
  </si>
  <si>
    <t>7.62% Export-Import Bank of India (01-Sep-2026) **</t>
  </si>
  <si>
    <t>INE556F08JM3</t>
  </si>
  <si>
    <t>7.29% Small Industries Development Bank Of India (01-Aug-2022) **</t>
  </si>
  <si>
    <t>INE733E07JO9</t>
  </si>
  <si>
    <t>9.17% NTPC Ltd (21-Sep-2024) **</t>
  </si>
  <si>
    <t>INE906B07FT4</t>
  </si>
  <si>
    <t>7.27% National Highways Authority Of India (06-Jun-2022)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</si>
  <si>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</si>
  <si>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</si>
  <si>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</si>
  <si>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</si>
  <si>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</si>
  <si>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</si>
  <si>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</si>
  <si>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</si>
  <si>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</si>
  <si>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</si>
  <si>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</si>
  <si>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</si>
  <si>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</si>
  <si>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</si>
  <si>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</si>
  <si>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</si>
  <si>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t>
  </si>
  <si>
    <t>INE020B08BM6</t>
  </si>
  <si>
    <t>8.35% REC Ltd (11-Mar-2022) **</t>
  </si>
  <si>
    <t>INE261F16538</t>
  </si>
  <si>
    <t>National Bank For Agriculture &amp; Rural Development (10-Jun-2021) **</t>
  </si>
  <si>
    <t>INE556F16861</t>
  </si>
  <si>
    <t>Small Industries Development Bank of India (25-Mar-2022) **</t>
  </si>
  <si>
    <t>Franklin India Government Securities Fund</t>
  </si>
  <si>
    <t>IN0020170174</t>
  </si>
  <si>
    <t>7.17% GOI 2028 (08-Jan-2028)</t>
  </si>
  <si>
    <t>IN0020170026</t>
  </si>
  <si>
    <t>6.79% GOI 2027 (15-May-2027)</t>
  </si>
  <si>
    <t xml:space="preserve">      Quarterly IDCW Option</t>
  </si>
  <si>
    <t xml:space="preserve">      Direct Quarterly IDCW Option</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</si>
  <si>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</si>
  <si>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</si>
  <si>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</si>
  <si>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</si>
  <si>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</si>
  <si>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</si>
  <si>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</si>
  <si>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</si>
  <si>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</si>
  <si>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</si>
  <si>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</si>
  <si>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</si>
  <si>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</si>
  <si>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</si>
  <si>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</si>
  <si>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</si>
  <si>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</si>
  <si>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</si>
  <si>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</si>
  <si>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</si>
  <si>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</si>
  <si>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</si>
  <si>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</si>
  <si>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</si>
  <si>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</si>
  <si>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</si>
  <si>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</si>
  <si>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</si>
  <si>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</si>
  <si>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</si>
  <si>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</si>
  <si>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</si>
  <si>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</si>
  <si>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</si>
  <si>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</si>
  <si>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</si>
  <si>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</si>
  <si>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</si>
  <si>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</si>
  <si>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</si>
  <si>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</si>
  <si>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</si>
  <si>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</si>
  <si>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</si>
  <si>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</si>
  <si>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</si>
  <si>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</si>
  <si>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</si>
  <si>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Fixed Maturity Plans - Series 4 - Plan E (1098 days)</t>
  </si>
  <si>
    <t>INE481G08057</t>
  </si>
  <si>
    <t>8.36% Ultratech Cement Ltd (07-Jun-2021) **</t>
  </si>
  <si>
    <t>INE027E07709</t>
  </si>
  <si>
    <t>8.9492% L&amp;T Finance Ltd (16-Aug-2021) **</t>
  </si>
  <si>
    <t>INE110L07070</t>
  </si>
  <si>
    <t>8.32% Reliance Industries Ltd (08-Jul-2021) **</t>
  </si>
  <si>
    <t>INE660A07PT8</t>
  </si>
  <si>
    <t>0.00% Sundaram Finance Ltd (31-Aug-2021) **</t>
  </si>
  <si>
    <t>INE556F08JH3</t>
  </si>
  <si>
    <t>8.40% Small Industries Development Bank Of India (10-Aug-2021) **</t>
  </si>
  <si>
    <t>INE261F08AM9</t>
  </si>
  <si>
    <t>8.37% National Bank For Agriculture &amp; Rural Development (03-Aug-2021)</t>
  </si>
  <si>
    <t>INE020B08AO4</t>
  </si>
  <si>
    <t>7.18% REC Ltd (21-May-2021) **</t>
  </si>
  <si>
    <t>INE860H07FW4</t>
  </si>
  <si>
    <t>0.00% Aditya Birla Finance Ltd (26-Jul-2021) **</t>
  </si>
  <si>
    <t>INE895D08634</t>
  </si>
  <si>
    <t>8.01% Tata Sons Pvt Ltd (02-Sep-2021) **</t>
  </si>
  <si>
    <t>Franklin India Fixed Maturity Plans - Series 4 - Plan D (1098 Days)</t>
  </si>
  <si>
    <t>INE721A07NV9</t>
  </si>
  <si>
    <t>9.10% Shriram Transport Finance Co Ltd (12-Jul-2021)</t>
  </si>
  <si>
    <t>INE377Y07045</t>
  </si>
  <si>
    <t>8.1352% Bajaj Housing Finance Ltd (04-Jun-2021) **</t>
  </si>
  <si>
    <t>Franklin India Fixed Maturity Plans - Series 4 - Plan C (1098 Days)</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</si>
  <si>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</si>
  <si>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</si>
  <si>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</si>
  <si>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</si>
  <si>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</si>
  <si>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</si>
  <si>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</si>
  <si>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</si>
  <si>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</si>
  <si>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</si>
  <si>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</si>
  <si>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</si>
  <si>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</si>
  <si>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INE752E07MN5</t>
  </si>
  <si>
    <t>8.40% Power Grid Corporation of India Ltd (27-May-2021) **</t>
  </si>
  <si>
    <t>INE660A07PN1</t>
  </si>
  <si>
    <t>0.00% Sundaram Finance Ltd (15-Jun-2021) **</t>
  </si>
  <si>
    <t>INE071G07314</t>
  </si>
  <si>
    <t>8.22% ICICI Home Finance Co Ltd (27-May-2021) **</t>
  </si>
  <si>
    <t>Franklin India Fixed Maturity Plans-Series 4 - Plan A (1098 Days)</t>
  </si>
  <si>
    <t>INE891K07390</t>
  </si>
  <si>
    <t>0.00% Axis Finance Ltd (14-Jun-2021) **</t>
  </si>
  <si>
    <t>INE110L07112</t>
  </si>
  <si>
    <t>8.70% Reliance Industries Ltd (15-Jun-2021) **</t>
  </si>
  <si>
    <t>INE476M07BM9</t>
  </si>
  <si>
    <t>8.80% L&amp;T Finance Ltd (23-Jun-2021) **</t>
  </si>
  <si>
    <t>INE556F08JF7</t>
  </si>
  <si>
    <t>8.50% Small Industries Development Bank of India (21-Jun-2021) **</t>
  </si>
  <si>
    <t>INE020B08AW7</t>
  </si>
  <si>
    <t>7.73% REC Ltd (15-Jun-2021) **</t>
  </si>
  <si>
    <t>Franklin India Fixed Maturity Plans - Series 3 - Plan F (1098 days)</t>
  </si>
  <si>
    <t>INE883A07174</t>
  </si>
  <si>
    <t>10.09% MRF Ltd (27-May-2021) **</t>
  </si>
  <si>
    <t>IN002020X506</t>
  </si>
  <si>
    <t>91 DTB (03-Jun-2021)</t>
  </si>
  <si>
    <t>Franklin India Fixed Maturity Plans - Series 3 - Plan E (1104 Days)</t>
  </si>
  <si>
    <t>INE916DA7PO3</t>
  </si>
  <si>
    <t>0.00% Kotak Mahindra Prime Ltd (27-May-2021) **</t>
  </si>
  <si>
    <t>IN0020060318</t>
  </si>
  <si>
    <t>7.94% GOI 2021 (24-May-2021)</t>
  </si>
  <si>
    <t>Franklin India Pension Plan</t>
  </si>
  <si>
    <t>INE685A01028</t>
  </si>
  <si>
    <t>Torrent Pharmaceuticals Ltd</t>
  </si>
  <si>
    <t>INE110L08037</t>
  </si>
  <si>
    <t>9.25% Reliance Industries Ltd (17-Jun-2024) **</t>
  </si>
  <si>
    <t>INE020B08BS3</t>
  </si>
  <si>
    <t>8.80% REC Ltd (14-May-2029) **</t>
  </si>
  <si>
    <t>INE115A14CU5</t>
  </si>
  <si>
    <t>LIC Housing Finance Ltd (14-Dec-2021) **@</t>
  </si>
  <si>
    <t>Franklin India Debt Hybrid Fund (No. of segregated Portfolio in the scheme - 1)</t>
  </si>
  <si>
    <t>Main Portfolio</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</si>
  <si>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</si>
  <si>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</si>
  <si>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INE540P07301</t>
  </si>
  <si>
    <t>10.15% Uttar Pradesh Power Corporation Ltd (20-Jan-2023) **</t>
  </si>
  <si>
    <t>CRISIL A+(CE)</t>
  </si>
  <si>
    <t>INE01E708040</t>
  </si>
  <si>
    <t>10.32% Andhra Pradesh Capital Region Development Authority (16-Aug-2027) **</t>
  </si>
  <si>
    <t>INE657N07605</t>
  </si>
  <si>
    <t>Edelweiss Rural &amp; Corporate Services Ltd (1Y SBI MCLR + 250 Bps) (29-Nov-2021) - Series II **</t>
  </si>
  <si>
    <t>CRISIL AA-</t>
  </si>
  <si>
    <t>INE641O08035</t>
  </si>
  <si>
    <t>9.55% Piramal Capital &amp; Housing Finance Ltd (08-Mar-2027) **</t>
  </si>
  <si>
    <t>CARE AA</t>
  </si>
  <si>
    <t>INE205A07162</t>
  </si>
  <si>
    <t>8.90% Vedanta Ltd (09-Dec-2021) **</t>
  </si>
  <si>
    <t>INE146O08100</t>
  </si>
  <si>
    <t>9.40% Hinduja Leyland Finance Ltd (28-Aug-2024) **</t>
  </si>
  <si>
    <t>INE657N07381</t>
  </si>
  <si>
    <t>8.70% Edelweiss Rural &amp; Corporate Services Ltd (30-Jun-2027) **</t>
  </si>
  <si>
    <t>ICRA A+</t>
  </si>
  <si>
    <t>INE764L07181</t>
  </si>
  <si>
    <t>0.00% Sadbhav Infrastructure Project Ltd (06-Jun-2023) **</t>
  </si>
  <si>
    <t>CARE BBB(CE)</t>
  </si>
  <si>
    <t>INE540P07210</t>
  </si>
  <si>
    <t>9.75% Uttar Pradesh Power Corporation Ltd (20-Oct-2022) **</t>
  </si>
  <si>
    <t>INE540P07228</t>
  </si>
  <si>
    <t>9.75% Uttar Pradesh Power Corporation Ltd (20-Oct-2023) **</t>
  </si>
  <si>
    <t>INE616U07036</t>
  </si>
  <si>
    <t>INE146O08159</t>
  </si>
  <si>
    <t>11.60% Hinduja Leyland Finance Ltd (29-Sep-2024) **</t>
  </si>
  <si>
    <t>INE540P07293</t>
  </si>
  <si>
    <t>10.15% Uttar Pradesh Power Corporation Ltd (20-Jan-2022) **</t>
  </si>
  <si>
    <t>INE516Y07105</t>
  </si>
  <si>
    <t>9.50% Piramal Capital &amp; Housing Finance Ltd (15-Apr-2022) **</t>
  </si>
  <si>
    <t>INE146O08092</t>
  </si>
  <si>
    <t>11.10% Hinduja Leyland Finance Ltd (08-Apr-2022) **</t>
  </si>
  <si>
    <t>INE764L07173</t>
  </si>
  <si>
    <t>0.00% Sadbhav Infrastructure Project Ltd (23-Apr-2023) **</t>
  </si>
  <si>
    <t>INE245A08034</t>
  </si>
  <si>
    <t>11.40% Tata Power Co Ltd (02-Jun-2021) ** ~~~</t>
  </si>
  <si>
    <t>INE575P08024</t>
  </si>
  <si>
    <t>10.20% Star Health &amp; Allied Insurance Co Ltd (31-Oct-2024) **</t>
  </si>
  <si>
    <t>IND A+</t>
  </si>
  <si>
    <t>INE659X07014</t>
  </si>
  <si>
    <t>9.95% Molagavalli Renewable Pvt Ltd (31-Mar-2023) **</t>
  </si>
  <si>
    <t>CARE A+(CE)</t>
  </si>
  <si>
    <t>INE964Q07012</t>
  </si>
  <si>
    <t>9.60% Renew Wind Energy (Rajasthan One) Pvt Ltd (31-Mar-2023) **</t>
  </si>
  <si>
    <t>INE003S07189</t>
  </si>
  <si>
    <t>9.45% Renew Power Pvt Ltd (31-Jul-2025) **</t>
  </si>
  <si>
    <t>CARE A+</t>
  </si>
  <si>
    <t>INE575P08016</t>
  </si>
  <si>
    <t>10.25% Star Health &amp; Allied Insurance Co Ltd (06-Sep-2024) **</t>
  </si>
  <si>
    <t>INE01EA07016</t>
  </si>
  <si>
    <t>11.90% Vishal Mega Mart Pvt Ltd (20-Oct-2023) **</t>
  </si>
  <si>
    <t>INE209W07028</t>
  </si>
  <si>
    <t>9.95% Narmada Wind Energy Pvt Ltd (31-Mar-2023) **</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</si>
  <si>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</si>
  <si>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</si>
  <si>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</si>
  <si>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</si>
  <si>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</si>
  <si>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</si>
  <si>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</si>
  <si>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</si>
  <si>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</si>
  <si>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 xml:space="preserve">~~~  Perpetual bond. Call option has been exercised by the issuer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</si>
  <si>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</si>
  <si>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</si>
  <si>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</si>
  <si>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</si>
  <si>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</si>
  <si>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</si>
  <si>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Dynamic Accrual Fund - Segregated Portfolio 2 - 10.90% Vodafone Idea Ltd (02-Sep-2023) P/C 03 Sep 2021</t>
  </si>
  <si>
    <t>INE669E08318</t>
  </si>
  <si>
    <t>10.90% Vodafone Idea Ltd (02-Sep-2023) $$ ^^ **</t>
  </si>
  <si>
    <t>CARE B+</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</si>
  <si>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</si>
  <si>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</si>
  <si>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</si>
  <si>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</si>
  <si>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</si>
  <si>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</si>
  <si>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</si>
  <si>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</si>
  <si>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INE265J07316</t>
  </si>
  <si>
    <t>11.50% JM Financial Asset Reconstruction Co Ltd (29-May-2022) **</t>
  </si>
  <si>
    <t>INE657N07597</t>
  </si>
  <si>
    <t>Edelweiss Rural &amp; Corporate Services Ltd (1Y SBI MCLR + 250 Bps) (29-Nov-2021) **</t>
  </si>
  <si>
    <t>INE157D08027</t>
  </si>
  <si>
    <t>11.25% Clix Capital Services Pvt Ltd (27-Jun-2023) **</t>
  </si>
  <si>
    <t>INE721A08DE4</t>
  </si>
  <si>
    <t>10.25% Shriram Transport Finance Co Ltd (27-Dec-2024) **</t>
  </si>
  <si>
    <t>INE721A08DF1</t>
  </si>
  <si>
    <t>9.90% Shriram Transport Finance Co Ltd (21-Jun-2024) **</t>
  </si>
  <si>
    <t>INE146O08084</t>
  </si>
  <si>
    <t>11.30% Hinduja Leyland Finance Ltd (21-Jul-2021) **</t>
  </si>
  <si>
    <t>INE128S07333</t>
  </si>
  <si>
    <t>10.21% Five-Star Business Finance Ltd Series C (28-Mar-2023) **</t>
  </si>
  <si>
    <t>CARE A</t>
  </si>
  <si>
    <t>INE540P07202</t>
  </si>
  <si>
    <t>9.75% Uttar Pradesh Power Corporation Ltd (20-Oct-2021) **</t>
  </si>
  <si>
    <t>INE540P07319</t>
  </si>
  <si>
    <t>10.15% Uttar Pradesh Power Corporation Ltd (19-Jan-2024) **</t>
  </si>
  <si>
    <t>INE540P07327</t>
  </si>
  <si>
    <t>10.15% Uttar Pradesh Power Corporation Ltd (20-Jan-2025)</t>
  </si>
  <si>
    <t>INE209W07010</t>
  </si>
  <si>
    <t>9.60% Narmada Wind Energy Pvt Ltd (31-Mar-2023)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</si>
  <si>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</si>
  <si>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</si>
  <si>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</si>
  <si>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For product labeling and risk-o-meter refer the link below </t>
  </si>
  <si>
    <t>Franklin India Low Duration Fund-Segregated Portfolio 2 - 10.90% Vodafone Idea Ltd (02-Sep-2023) P/C 03 Sep 2021</t>
  </si>
  <si>
    <t>Franklin India Ultra Short Bond Fund - (No. of segregated Portfolio in the scheme -1) - (under winding up) $$$</t>
  </si>
  <si>
    <t>INE371K08128</t>
  </si>
  <si>
    <t>0.00% Tata Realty &amp; Infrastructure Ltd (04-Jun-2021) **</t>
  </si>
  <si>
    <t>INE157D08019</t>
  </si>
  <si>
    <t>11.25% Clix Capital Services Pvt Ltd (25-May-2023) **</t>
  </si>
  <si>
    <t>INE572E09361</t>
  </si>
  <si>
    <t>8.47% PNB Housing Finance Ltd (01-Jul-2021) **</t>
  </si>
  <si>
    <t>INE157D08035</t>
  </si>
  <si>
    <t>13.65% Clix Capital Services Pvt Ltd (06-Sep-2021) **</t>
  </si>
  <si>
    <t>INE157D08068</t>
  </si>
  <si>
    <t>13.65% Clix Capital Services Pvt Ltd (06-Jul-2021) **</t>
  </si>
  <si>
    <t>INE157D08050</t>
  </si>
  <si>
    <t>13.65% Clix Capital Services Pvt Ltd (06-May-2021) **</t>
  </si>
  <si>
    <t>INE157D08043</t>
  </si>
  <si>
    <t>13.65% Clix Capital Services Pvt Ltd (12-Nov-2021) **</t>
  </si>
  <si>
    <t>INE572E09429</t>
  </si>
  <si>
    <t>7.80% PNB Housing Finance Ltd (07-May-2021) **</t>
  </si>
  <si>
    <t>INE949L08152</t>
  </si>
  <si>
    <t>11.75% AU Small Finance Bank Ltd (04-May-2021) **</t>
  </si>
  <si>
    <t>IND AA-</t>
  </si>
  <si>
    <t>INE155A08316</t>
  </si>
  <si>
    <t>7.50% Tata Motors Ltd (20-Oct-2021) **</t>
  </si>
  <si>
    <t>INE587B08037</t>
  </si>
  <si>
    <t>13.65% Clix Finance India Pvt Ltd (06-Jan-2022) **</t>
  </si>
  <si>
    <t>INE003S07155</t>
  </si>
  <si>
    <t>11.96% Renew Power Pvt Ltd (28-Sep-2022) **</t>
  </si>
  <si>
    <t xml:space="preserve">      Retail Plan Weekly IDCW Option</t>
  </si>
  <si>
    <t xml:space="preserve">      Institutional Plan Growth Option</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</si>
  <si>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</si>
  <si>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</si>
  <si>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</si>
  <si>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</si>
  <si>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</si>
  <si>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</si>
  <si>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</si>
  <si>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</si>
  <si>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</si>
  <si>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</si>
  <si>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</si>
  <si>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</si>
  <si>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INE852O07097</t>
  </si>
  <si>
    <t>10.00% Aptus Value Housing Finance India Ltd (20-Aug-2025) **</t>
  </si>
  <si>
    <t>INE572E09403</t>
  </si>
  <si>
    <t>7.91% PNB Housing Finance Ltd (29-Mar-2022)</t>
  </si>
  <si>
    <t>INE540P07335</t>
  </si>
  <si>
    <t>10.15% Uttar Pradesh Power Corporation Ltd (20-Jan-2026) **</t>
  </si>
  <si>
    <t>INE016P07146</t>
  </si>
  <si>
    <t>10.50% Vistaar Financial Services Pvt Ltd (24-Aug-2025) **</t>
  </si>
  <si>
    <t>ICRA A-</t>
  </si>
  <si>
    <t>INE01E708032</t>
  </si>
  <si>
    <t>10.32% Andhra Pradesh Capital Region Development Authority (16-Aug-2026) **</t>
  </si>
  <si>
    <t>INE608A08025</t>
  </si>
  <si>
    <t>10.90% Punjab &amp; Sind Bank (08-May-2117) ** ~~~</t>
  </si>
  <si>
    <t>INE503A08028</t>
  </si>
  <si>
    <t>9.85% DCB Bank Ltd (18-Nov-2026) **</t>
  </si>
  <si>
    <t>INE128S07317</t>
  </si>
  <si>
    <t>10.21% Five-Star Business Finance Ltd Series A (28-Mar-2023) **</t>
  </si>
  <si>
    <t>INE00MX08011</t>
  </si>
  <si>
    <t>11.70% Svatantra Microfin Pvt Ltd (30-Nov-2023) **</t>
  </si>
  <si>
    <t>INE971Z07125</t>
  </si>
  <si>
    <t>12.25% Rivaaz Trade Ventures Pvt Ltd (30-Jun-2022)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</si>
  <si>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</si>
  <si>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</si>
  <si>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</si>
  <si>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</si>
  <si>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</si>
  <si>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</si>
  <si>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</si>
  <si>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</si>
  <si>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</si>
  <si>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</si>
  <si>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</si>
  <si>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</si>
  <si>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Perpetual bond. Call option due on May, 7 2022</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</si>
  <si>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</si>
  <si>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</si>
  <si>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</si>
  <si>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and by Nufuture Digital (India) Ltd. on March 31,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</si>
  <si>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</si>
  <si>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</si>
  <si>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 Term Income Plan - Segregated Portfolio 2 - 10.90% Vodafone Idea Ltd (02-Sep-2023) P/C 03 Sep 2021</t>
  </si>
  <si>
    <t>Franklin India Short Term Income Plan - Segregated Portfolio 3 - 9.50% Yes Bank Ltd CO 23 Dec 2021</t>
  </si>
  <si>
    <t>Segregated Portfolio 3</t>
  </si>
  <si>
    <t>Franklin India Income Opportunities Fund (No. of segregated Portfolio in the scheme - 2) - (under winding up) $$$</t>
  </si>
  <si>
    <t>INE503A08044</t>
  </si>
  <si>
    <t>9.85% DCB Bank Ltd (12-Jan-2028) **</t>
  </si>
  <si>
    <t>INE146O08134</t>
  </si>
  <si>
    <t>10.15% Hinduja Leyland Finance Ltd (27-Mar-2025) **</t>
  </si>
  <si>
    <t>INE01E708057</t>
  </si>
  <si>
    <t>10.32% Andhra Pradesh Capital Region Development Authority (16-Aug-2028) **</t>
  </si>
  <si>
    <t>INE922K07039</t>
  </si>
  <si>
    <t>0.00% India Shelter Finance Corporation Ltd (02-May-2025) **</t>
  </si>
  <si>
    <t>ICRA A</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</si>
  <si>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</si>
  <si>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</si>
  <si>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</si>
  <si>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</si>
  <si>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</si>
  <si>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</si>
  <si>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</si>
  <si>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 $$$</t>
  </si>
  <si>
    <t>INE128S07341</t>
  </si>
  <si>
    <t>10.21% Five-Star Business Finance Ltd Series D (28-Mar-2023) **</t>
  </si>
  <si>
    <t>INE852O07071</t>
  </si>
  <si>
    <t>10.00% Aptus Value Housing Finance India Ltd (20-Jun-2025) **</t>
  </si>
  <si>
    <t>INE128S07325</t>
  </si>
  <si>
    <t>10.21% Five-Star Business Finance Ltd Series B (28-Mar-2023)</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</si>
  <si>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</si>
  <si>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</si>
  <si>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</si>
  <si>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</si>
  <si>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</si>
  <si>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i) For product labeling and risk-o-meter refer the link below </t>
  </si>
  <si>
    <t>Franklin India Credit Risk Fund-Segregated Portfolio 2 - 10.90% Vodafone Idea Ltd (02-Sep-2023) P/C 03 Sep 2021</t>
  </si>
  <si>
    <t>Franklin India Credit Risk Fund - Segregated Portfolio 3 - 9.50% Yes Bank Ltd CO 23 Dec 2021</t>
  </si>
  <si>
    <t xml:space="preserve">b) During the month additional instances of fair valuation/deviation from valuation price provided by the valuation agencies </t>
  </si>
  <si>
    <t>Mutual Fund Units /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</si>
</sst>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6" fillId="3" borderId="0" xfId="0" applyFont="1" applyFill="1"/>
    <xf numFmtId="0" fontId="7" fillId="3" borderId="0" xfId="0" applyFont="1" applyFill="1"/>
    <xf numFmtId="0" fontId="9" fillId="3" borderId="0" xfId="0" applyFont="1" applyFill="1" applyAlignment="1">
      <alignment horizontal="right"/>
    </xf>
    <xf numFmtId="2" fontId="6" fillId="0" borderId="1" xfId="0" applyNumberFormat="1" applyFont="1" applyBorder="1" applyAlignment="1">
      <alignment horizontal="center" vertical="center" wrapText="1"/>
    </xf>
    <xf numFmtId="164" fontId="7" fillId="2" borderId="0" xfId="0" applyNumberFormat="1" applyFont="1" applyFill="1" applyAlignment="1">
      <alignment horizontal="right"/>
    </xf>
    <xf numFmtId="0" fontId="7" fillId="2" borderId="4" xfId="0" applyFont="1" applyFill="1" applyBorder="1" applyAlignment="1">
      <alignment wrapText="1"/>
    </xf>
    <xf numFmtId="0" fontId="10" fillId="2" borderId="0" xfId="1" applyFont="1" applyFill="1"/>
    <xf numFmtId="166" fontId="7" fillId="2" borderId="0" xfId="0" applyNumberFormat="1" applyFont="1" applyFill="1"/>
    <xf numFmtId="0" fontId="10" fillId="0" borderId="0" xfId="1" applyFont="1" applyAlignment="1">
      <alignment vertical="center"/>
    </xf>
    <xf numFmtId="0" fontId="6" fillId="2" borderId="0" xfId="0" applyNumberFormat="1" applyFont="1" applyFill="1" applyAlignment="1">
      <alignment horizontal="right" vertical="top"/>
    </xf>
    <xf numFmtId="0" fontId="11" fillId="2" borderId="0" xfId="0" applyFont="1" applyFill="1"/>
    <xf numFmtId="0" fontId="6" fillId="2" borderId="0" xfId="0" applyFont="1" applyFill="1" applyAlignment="1">
      <alignment horizontal="left" vertical="top" wrapText="1"/>
    </xf>
    <xf numFmtId="0" fontId="6" fillId="2" borderId="0" xfId="0" quotePrefix="1" applyFont="1" applyFill="1" applyAlignment="1">
      <alignment horizontal="justify" vertical="top" wrapText="1"/>
    </xf>
    <xf numFmtId="0" fontId="10" fillId="3" borderId="0" xfId="1" applyFont="1" applyFill="1" applyBorder="1"/>
    <xf numFmtId="0" fontId="6" fillId="3" borderId="0" xfId="0" applyFont="1" applyFill="1" applyBorder="1" applyAlignment="1">
      <alignment horizontal="justify" vertical="top" wrapText="1"/>
    </xf>
    <xf numFmtId="2" fontId="6" fillId="0" borderId="6" xfId="0" applyNumberFormat="1" applyFont="1" applyBorder="1" applyAlignment="1">
      <alignment horizontal="center" vertical="center"/>
    </xf>
    <xf numFmtId="39" fontId="7" fillId="2" borderId="8" xfId="0" applyNumberFormat="1" applyFont="1" applyFill="1" applyBorder="1"/>
    <xf numFmtId="39" fontId="7" fillId="2" borderId="2" xfId="0" applyNumberFormat="1" applyFont="1" applyFill="1" applyBorder="1"/>
    <xf numFmtId="39" fontId="6" fillId="2" borderId="2" xfId="0" applyNumberFormat="1" applyFont="1" applyFill="1" applyBorder="1"/>
    <xf numFmtId="39" fontId="6" fillId="2" borderId="9" xfId="0" applyNumberFormat="1" applyFont="1" applyFill="1" applyBorder="1"/>
    <xf numFmtId="0" fontId="6" fillId="2" borderId="0" xfId="0" applyFont="1" applyFill="1" applyBorder="1"/>
    <xf numFmtId="0" fontId="6" fillId="2" borderId="0" xfId="0" applyFont="1" applyFill="1" applyAlignment="1">
      <alignment horizontal="justify" vertical="top" wrapText="1"/>
    </xf>
    <xf numFmtId="0" fontId="7" fillId="2" borderId="0" xfId="0" applyFont="1" applyFill="1" applyBorder="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39" fontId="7" fillId="2" borderId="4" xfId="0" applyNumberFormat="1" applyFont="1" applyFill="1" applyBorder="1"/>
    <xf numFmtId="2" fontId="6" fillId="0" borderId="1" xfId="0" applyNumberFormat="1"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7" fillId="2" borderId="6" xfId="0" applyFont="1" applyFill="1" applyBorder="1"/>
    <xf numFmtId="0" fontId="7" fillId="2" borderId="7" xfId="0" applyFont="1" applyFill="1" applyBorder="1"/>
    <xf numFmtId="0" fontId="6" fillId="2" borderId="0" xfId="0" applyFont="1" applyFill="1" applyAlignment="1">
      <alignment vertical="top" wrapText="1"/>
    </xf>
    <xf numFmtId="0" fontId="0" fillId="0" borderId="0" xfId="0" applyAlignment="1">
      <alignment vertical="top"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0" fillId="0" borderId="0" xfId="0" applyAlignment="1">
      <alignment wrapText="1"/>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3" borderId="0" xfId="0" applyFont="1" applyFill="1" applyBorder="1" applyAlignment="1">
      <alignment horizontal="justify" vertical="top" wrapText="1"/>
    </xf>
    <xf numFmtId="0" fontId="6" fillId="2" borderId="0" xfId="0" applyFont="1" applyFill="1" applyAlignment="1">
      <alignment horizontal="justify" vertical="top"/>
    </xf>
    <xf numFmtId="0" fontId="6" fillId="2" borderId="0" xfId="0" applyFont="1" applyFill="1" applyAlignment="1">
      <alignment wrapText="1"/>
    </xf>
  </cellXfs>
  <cellStyles count="2">
    <cellStyle name="Hyperlink" xfId="1" builtinId="8"/>
    <cellStyle name="Normal" xfId="0" builtinId="0"/>
  </cellStyles>
  <dxfs count="155">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product-labels-jg9o5k7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27.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28.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www.franklintempletonindia.com/investor/reports?firstFilter-4"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31.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
  <sheetViews>
    <sheetView workbookViewId="0">
      <selection activeCell="B4" sqref="B4"/>
    </sheetView>
  </sheetViews>
  <sheetFormatPr defaultColWidth="9.109375" defaultRowHeight="10.199999999999999" x14ac:dyDescent="0.2"/>
  <cols>
    <col min="1" max="1" width="9.109375" style="9"/>
    <col min="2" max="2" width="23.88671875" style="9" customWidth="1"/>
    <col min="3" max="3" width="52.44140625" style="9" customWidth="1"/>
    <col min="4" max="4" width="25.109375" style="9" bestFit="1" customWidth="1"/>
    <col min="5" max="5" width="18.88671875" style="10" customWidth="1"/>
    <col min="6" max="6" width="23" style="13" bestFit="1" customWidth="1"/>
    <col min="7" max="7" width="16.33203125" style="14" customWidth="1"/>
    <col min="8" max="8" width="14.33203125" style="13" customWidth="1"/>
    <col min="9" max="16384" width="9.109375" style="9"/>
  </cols>
  <sheetData>
    <row r="1" spans="2:8" s="1" customFormat="1" ht="13.8" x14ac:dyDescent="0.2">
      <c r="B1" s="76" t="s">
        <v>8</v>
      </c>
      <c r="C1" s="77"/>
      <c r="D1" s="77"/>
      <c r="E1" s="77"/>
      <c r="F1" s="77"/>
      <c r="G1" s="77"/>
      <c r="H1" s="77"/>
    </row>
    <row r="2" spans="2:8" s="1" customFormat="1" ht="11.4" x14ac:dyDescent="0.2">
      <c r="E2" s="6"/>
      <c r="F2" s="7"/>
      <c r="G2" s="12" t="s">
        <v>9</v>
      </c>
      <c r="H2" s="13"/>
    </row>
    <row r="3" spans="2:8" s="1" customFormat="1" ht="12" x14ac:dyDescent="0.2">
      <c r="B3" s="11" t="s">
        <v>7</v>
      </c>
      <c r="C3" s="2"/>
      <c r="D3" s="3"/>
      <c r="E3" s="4"/>
      <c r="F3" s="5"/>
      <c r="G3" s="12"/>
      <c r="H3" s="13"/>
    </row>
    <row r="4" spans="2:8" s="1" customFormat="1" ht="17.399999999999999" customHeight="1" x14ac:dyDescent="0.2">
      <c r="B4" s="8" t="s">
        <v>2</v>
      </c>
      <c r="C4" s="8" t="s">
        <v>0</v>
      </c>
      <c r="D4" s="17" t="s">
        <v>5</v>
      </c>
      <c r="E4" s="16" t="s">
        <v>1</v>
      </c>
      <c r="F4" s="15" t="s">
        <v>3</v>
      </c>
      <c r="G4" s="15" t="s">
        <v>4</v>
      </c>
      <c r="H4" s="15" t="s">
        <v>6</v>
      </c>
    </row>
  </sheetData>
  <mergeCells count="1">
    <mergeCell ref="B1:H1"/>
  </mergeCells>
  <conditionalFormatting sqref="G2:G3 G5:G65536">
    <cfRule type="cellIs" dxfId="154" priority="1" stopIfTrue="1" operator="between">
      <formula>0.009</formula>
      <formula>-0.009</formula>
    </cfRule>
  </conditionalFormatting>
  <pageMargins left="0.7" right="0.7" top="0.75" bottom="0.75" header="0.3" footer="0.3"/>
  <pageSetup paperSize="9" orientation="portrait" r:id="rId1"/>
  <headerFooter>
    <oddFooter>&amp;R&amp;1#&amp;"Calibri"&amp;10&amp;KFF0000|PUBLIC|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
  <sheetViews>
    <sheetView workbookViewId="0">
      <selection activeCell="B4" sqref="B4"/>
    </sheetView>
  </sheetViews>
  <sheetFormatPr defaultColWidth="9.109375" defaultRowHeight="10.199999999999999" x14ac:dyDescent="0.2"/>
  <cols>
    <col min="1" max="1" width="9.109375" style="9"/>
    <col min="2" max="2" width="23.88671875" style="9" customWidth="1"/>
    <col min="3" max="3" width="52.44140625" style="9" customWidth="1"/>
    <col min="4" max="4" width="25.109375" style="9" bestFit="1" customWidth="1"/>
    <col min="5" max="5" width="18.88671875" style="10" customWidth="1"/>
    <col min="6" max="6" width="23" style="13" bestFit="1" customWidth="1"/>
    <col min="7" max="7" width="16.33203125" style="14" customWidth="1"/>
    <col min="8" max="8" width="14.33203125" style="13" customWidth="1"/>
    <col min="9" max="16384" width="9.109375" style="9"/>
  </cols>
  <sheetData>
    <row r="1" spans="2:8" s="1" customFormat="1" ht="13.8" x14ac:dyDescent="0.2">
      <c r="B1" s="76" t="s">
        <v>10</v>
      </c>
      <c r="C1" s="77"/>
      <c r="D1" s="77"/>
      <c r="E1" s="77"/>
      <c r="F1" s="77"/>
      <c r="G1" s="77"/>
      <c r="H1" s="77"/>
    </row>
    <row r="2" spans="2:8" s="1" customFormat="1" ht="11.4" x14ac:dyDescent="0.2">
      <c r="E2" s="6"/>
      <c r="F2" s="7"/>
      <c r="G2" s="12" t="s">
        <v>11</v>
      </c>
      <c r="H2" s="13"/>
    </row>
    <row r="3" spans="2:8" s="1" customFormat="1" ht="12" x14ac:dyDescent="0.2">
      <c r="B3" s="11" t="s">
        <v>7</v>
      </c>
      <c r="C3" s="2"/>
      <c r="D3" s="3"/>
      <c r="E3" s="4"/>
      <c r="F3" s="5"/>
      <c r="G3" s="12"/>
      <c r="H3" s="13"/>
    </row>
    <row r="4" spans="2:8" s="1" customFormat="1" ht="17.399999999999999" customHeight="1" x14ac:dyDescent="0.2">
      <c r="B4" s="8" t="s">
        <v>2</v>
      </c>
      <c r="C4" s="8" t="s">
        <v>0</v>
      </c>
      <c r="D4" s="17" t="s">
        <v>5</v>
      </c>
      <c r="E4" s="16" t="s">
        <v>1</v>
      </c>
      <c r="F4" s="15" t="s">
        <v>3</v>
      </c>
      <c r="G4" s="15" t="s">
        <v>4</v>
      </c>
      <c r="H4" s="15" t="s">
        <v>6</v>
      </c>
    </row>
  </sheetData>
  <mergeCells count="1">
    <mergeCell ref="B1:H1"/>
  </mergeCells>
  <conditionalFormatting sqref="G2:G3 G5:G65536">
    <cfRule type="cellIs" dxfId="153" priority="1" stopIfTrue="1" operator="between">
      <formula>0.009</formula>
      <formula>-0.009</formula>
    </cfRule>
  </conditionalFormatting>
  <pageMargins left="0.7" right="0.7" top="0.75" bottom="0.75" header="0.3" footer="0.3"/>
  <pageSetup paperSize="9" orientation="portrait" r:id="rId1"/>
  <headerFooter>
    <oddFooter>&amp;R&amp;1#&amp;"Calibri"&amp;10&amp;KFF0000|PUBLIC|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8"/>
  <sheetViews>
    <sheetView tabSelected="1" workbookViewId="0">
      <selection sqref="A1:G1"/>
    </sheetView>
  </sheetViews>
  <sheetFormatPr defaultColWidth="9.109375" defaultRowHeight="10.199999999999999" x14ac:dyDescent="0.2"/>
  <cols>
    <col min="1" max="1" width="38.6640625" style="9" bestFit="1" customWidth="1"/>
    <col min="2" max="2" width="49.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761</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35</v>
      </c>
      <c r="B5" s="22"/>
      <c r="C5" s="22"/>
      <c r="D5" s="23"/>
      <c r="E5" s="24"/>
      <c r="F5" s="25"/>
      <c r="G5" s="24"/>
    </row>
    <row r="6" spans="1:9" x14ac:dyDescent="0.2">
      <c r="A6" s="26" t="s">
        <v>36</v>
      </c>
      <c r="B6" s="27"/>
      <c r="C6" s="27"/>
      <c r="D6" s="28"/>
      <c r="E6" s="29"/>
      <c r="F6" s="30"/>
      <c r="G6" s="29"/>
    </row>
    <row r="7" spans="1:9" x14ac:dyDescent="0.2">
      <c r="A7" s="27" t="s">
        <v>762</v>
      </c>
      <c r="B7" s="27" t="s">
        <v>763</v>
      </c>
      <c r="C7" s="27" t="s">
        <v>38</v>
      </c>
      <c r="D7" s="31">
        <v>750</v>
      </c>
      <c r="E7" s="29">
        <v>7538.0325000000003</v>
      </c>
      <c r="F7" s="30">
        <v>3.8081367104800199</v>
      </c>
      <c r="G7" s="29">
        <v>3.3698000000000001</v>
      </c>
    </row>
    <row r="8" spans="1:9" x14ac:dyDescent="0.2">
      <c r="A8" s="26" t="s">
        <v>39</v>
      </c>
      <c r="B8" s="26"/>
      <c r="C8" s="26"/>
      <c r="D8" s="32"/>
      <c r="E8" s="33">
        <f>SUM(E6:E7)</f>
        <v>7538.0325000000003</v>
      </c>
      <c r="F8" s="34">
        <f>SUM(F6:F7)</f>
        <v>3.8081367104800199</v>
      </c>
      <c r="G8" s="33"/>
      <c r="H8" s="18"/>
      <c r="I8" s="18"/>
    </row>
    <row r="9" spans="1:9" x14ac:dyDescent="0.2">
      <c r="A9" s="27"/>
      <c r="B9" s="27"/>
      <c r="C9" s="27"/>
      <c r="D9" s="28"/>
      <c r="E9" s="29"/>
      <c r="F9" s="30"/>
      <c r="G9" s="29"/>
    </row>
    <row r="10" spans="1:9" x14ac:dyDescent="0.2">
      <c r="A10" s="26" t="s">
        <v>59</v>
      </c>
      <c r="B10" s="27"/>
      <c r="C10" s="27"/>
      <c r="D10" s="28"/>
      <c r="E10" s="29"/>
      <c r="F10" s="30"/>
      <c r="G10" s="29"/>
    </row>
    <row r="11" spans="1:9" x14ac:dyDescent="0.2">
      <c r="A11" s="26" t="s">
        <v>63</v>
      </c>
      <c r="B11" s="27"/>
      <c r="C11" s="27"/>
      <c r="D11" s="28"/>
      <c r="E11" s="29"/>
      <c r="F11" s="30"/>
      <c r="G11" s="29"/>
    </row>
    <row r="12" spans="1:9" x14ac:dyDescent="0.2">
      <c r="A12" s="27" t="s">
        <v>764</v>
      </c>
      <c r="B12" s="27" t="s">
        <v>765</v>
      </c>
      <c r="C12" s="27" t="s">
        <v>766</v>
      </c>
      <c r="D12" s="31">
        <v>2000</v>
      </c>
      <c r="E12" s="29">
        <v>9984</v>
      </c>
      <c r="F12" s="30">
        <v>5.0438144061374697</v>
      </c>
      <c r="G12" s="29">
        <v>3.2496</v>
      </c>
    </row>
    <row r="13" spans="1:9" x14ac:dyDescent="0.2">
      <c r="A13" s="27" t="s">
        <v>767</v>
      </c>
      <c r="B13" s="27" t="s">
        <v>768</v>
      </c>
      <c r="C13" s="27" t="s">
        <v>61</v>
      </c>
      <c r="D13" s="31">
        <v>2000</v>
      </c>
      <c r="E13" s="29">
        <v>9977.2999999999993</v>
      </c>
      <c r="F13" s="30">
        <v>5.0404296348513</v>
      </c>
      <c r="G13" s="29">
        <v>3.4601000000000002</v>
      </c>
    </row>
    <row r="14" spans="1:9" x14ac:dyDescent="0.2">
      <c r="A14" s="27" t="s">
        <v>769</v>
      </c>
      <c r="B14" s="27" t="s">
        <v>770</v>
      </c>
      <c r="C14" s="27" t="s">
        <v>766</v>
      </c>
      <c r="D14" s="31">
        <v>1500</v>
      </c>
      <c r="E14" s="29">
        <v>7459.6049999999996</v>
      </c>
      <c r="F14" s="30">
        <v>3.7685159418164198</v>
      </c>
      <c r="G14" s="29">
        <v>3.3500999999999999</v>
      </c>
    </row>
    <row r="15" spans="1:9" x14ac:dyDescent="0.2">
      <c r="A15" s="27" t="s">
        <v>771</v>
      </c>
      <c r="B15" s="27" t="s">
        <v>772</v>
      </c>
      <c r="C15" s="27" t="s">
        <v>61</v>
      </c>
      <c r="D15" s="31">
        <v>1000</v>
      </c>
      <c r="E15" s="29">
        <v>4998.1850000000004</v>
      </c>
      <c r="F15" s="30">
        <v>2.52503180163664</v>
      </c>
      <c r="G15" s="29">
        <v>3.3136000000000001</v>
      </c>
    </row>
    <row r="16" spans="1:9" x14ac:dyDescent="0.2">
      <c r="A16" s="27" t="s">
        <v>773</v>
      </c>
      <c r="B16" s="27" t="s">
        <v>774</v>
      </c>
      <c r="C16" s="27" t="s">
        <v>61</v>
      </c>
      <c r="D16" s="31">
        <v>1000</v>
      </c>
      <c r="E16" s="29">
        <v>4994.9849999999997</v>
      </c>
      <c r="F16" s="30">
        <v>2.5234151944551901</v>
      </c>
      <c r="G16" s="29">
        <v>3.3315000000000001</v>
      </c>
    </row>
    <row r="17" spans="1:9" x14ac:dyDescent="0.2">
      <c r="A17" s="27" t="s">
        <v>775</v>
      </c>
      <c r="B17" s="27" t="s">
        <v>776</v>
      </c>
      <c r="C17" s="27" t="s">
        <v>62</v>
      </c>
      <c r="D17" s="31">
        <v>1000</v>
      </c>
      <c r="E17" s="29">
        <v>4991.1000000000004</v>
      </c>
      <c r="F17" s="30">
        <v>2.5214525322989498</v>
      </c>
      <c r="G17" s="29">
        <v>3.4256000000000002</v>
      </c>
    </row>
    <row r="18" spans="1:9" x14ac:dyDescent="0.2">
      <c r="A18" s="27" t="s">
        <v>777</v>
      </c>
      <c r="B18" s="27" t="s">
        <v>778</v>
      </c>
      <c r="C18" s="27" t="s">
        <v>61</v>
      </c>
      <c r="D18" s="31">
        <v>1000</v>
      </c>
      <c r="E18" s="29">
        <v>4985.5600000000004</v>
      </c>
      <c r="F18" s="30">
        <v>2.5186537811160599</v>
      </c>
      <c r="G18" s="29">
        <v>3.5245000000000002</v>
      </c>
    </row>
    <row r="19" spans="1:9" x14ac:dyDescent="0.2">
      <c r="A19" s="27" t="s">
        <v>779</v>
      </c>
      <c r="B19" s="27" t="s">
        <v>780</v>
      </c>
      <c r="C19" s="27" t="s">
        <v>61</v>
      </c>
      <c r="D19" s="31">
        <v>1000</v>
      </c>
      <c r="E19" s="29">
        <v>4965.3599999999997</v>
      </c>
      <c r="F19" s="30">
        <v>2.5084489482831298</v>
      </c>
      <c r="G19" s="29">
        <v>3.3950999999999998</v>
      </c>
    </row>
    <row r="20" spans="1:9" x14ac:dyDescent="0.2">
      <c r="A20" s="27" t="s">
        <v>781</v>
      </c>
      <c r="B20" s="27" t="s">
        <v>782</v>
      </c>
      <c r="C20" s="27" t="s">
        <v>766</v>
      </c>
      <c r="D20" s="31">
        <v>500</v>
      </c>
      <c r="E20" s="29">
        <v>2492.9074999999998</v>
      </c>
      <c r="F20" s="30">
        <v>1.25939130225042</v>
      </c>
      <c r="G20" s="29">
        <v>3.3498000000000001</v>
      </c>
    </row>
    <row r="21" spans="1:9" x14ac:dyDescent="0.2">
      <c r="A21" s="27" t="s">
        <v>783</v>
      </c>
      <c r="B21" s="27" t="s">
        <v>784</v>
      </c>
      <c r="C21" s="27" t="s">
        <v>62</v>
      </c>
      <c r="D21" s="31">
        <v>500</v>
      </c>
      <c r="E21" s="29">
        <v>2492.2824999999998</v>
      </c>
      <c r="F21" s="30">
        <v>1.25907555866029</v>
      </c>
      <c r="G21" s="29">
        <v>3.4249999999999998</v>
      </c>
    </row>
    <row r="22" spans="1:9" x14ac:dyDescent="0.2">
      <c r="A22" s="26" t="s">
        <v>39</v>
      </c>
      <c r="B22" s="26"/>
      <c r="C22" s="26"/>
      <c r="D22" s="32"/>
      <c r="E22" s="33">
        <f>SUM(E11:E21)</f>
        <v>57341.284999999996</v>
      </c>
      <c r="F22" s="34">
        <f>SUM(F11:F21)</f>
        <v>28.968229101505866</v>
      </c>
      <c r="G22" s="33"/>
      <c r="H22" s="18"/>
      <c r="I22" s="18"/>
    </row>
    <row r="23" spans="1:9" x14ac:dyDescent="0.2">
      <c r="A23" s="27"/>
      <c r="B23" s="27"/>
      <c r="C23" s="27"/>
      <c r="D23" s="28"/>
      <c r="E23" s="29"/>
      <c r="F23" s="30"/>
      <c r="G23" s="29"/>
    </row>
    <row r="24" spans="1:9" x14ac:dyDescent="0.2">
      <c r="A24" s="26" t="s">
        <v>69</v>
      </c>
      <c r="B24" s="27"/>
      <c r="C24" s="27"/>
      <c r="D24" s="28"/>
      <c r="E24" s="29"/>
      <c r="F24" s="30"/>
      <c r="G24" s="29"/>
    </row>
    <row r="25" spans="1:9" x14ac:dyDescent="0.2">
      <c r="A25" s="27" t="s">
        <v>785</v>
      </c>
      <c r="B25" s="27" t="s">
        <v>786</v>
      </c>
      <c r="C25" s="27" t="s">
        <v>74</v>
      </c>
      <c r="D25" s="31">
        <v>20000000</v>
      </c>
      <c r="E25" s="29">
        <v>19941.86</v>
      </c>
      <c r="F25" s="30">
        <v>10.074423152361399</v>
      </c>
      <c r="G25" s="29">
        <v>3.2252000000000001</v>
      </c>
    </row>
    <row r="26" spans="1:9" x14ac:dyDescent="0.2">
      <c r="A26" s="27" t="s">
        <v>787</v>
      </c>
      <c r="B26" s="27" t="s">
        <v>788</v>
      </c>
      <c r="C26" s="27" t="s">
        <v>74</v>
      </c>
      <c r="D26" s="31">
        <v>20000000</v>
      </c>
      <c r="E26" s="29">
        <v>19916.66</v>
      </c>
      <c r="F26" s="30">
        <v>10.061692370807499</v>
      </c>
      <c r="G26" s="29">
        <v>3.2496</v>
      </c>
    </row>
    <row r="27" spans="1:9" x14ac:dyDescent="0.2">
      <c r="A27" s="27" t="s">
        <v>789</v>
      </c>
      <c r="B27" s="27" t="s">
        <v>790</v>
      </c>
      <c r="C27" s="27" t="s">
        <v>74</v>
      </c>
      <c r="D27" s="31">
        <v>12500000</v>
      </c>
      <c r="E27" s="29">
        <v>12440.65</v>
      </c>
      <c r="F27" s="30">
        <v>6.2848887912373996</v>
      </c>
      <c r="G27" s="29">
        <v>3.2248999999999999</v>
      </c>
    </row>
    <row r="28" spans="1:9" x14ac:dyDescent="0.2">
      <c r="A28" s="27" t="s">
        <v>791</v>
      </c>
      <c r="B28" s="27" t="s">
        <v>792</v>
      </c>
      <c r="C28" s="27" t="s">
        <v>74</v>
      </c>
      <c r="D28" s="31">
        <v>10000000</v>
      </c>
      <c r="E28" s="29">
        <v>9995.6200000000008</v>
      </c>
      <c r="F28" s="30">
        <v>5.0496847109651304</v>
      </c>
      <c r="G28" s="29">
        <v>3.1987999999999999</v>
      </c>
    </row>
    <row r="29" spans="1:9" x14ac:dyDescent="0.2">
      <c r="A29" s="27" t="s">
        <v>793</v>
      </c>
      <c r="B29" s="27" t="s">
        <v>794</v>
      </c>
      <c r="C29" s="27" t="s">
        <v>74</v>
      </c>
      <c r="D29" s="31">
        <v>10000000</v>
      </c>
      <c r="E29" s="29">
        <v>9994.74</v>
      </c>
      <c r="F29" s="30">
        <v>5.0492401439902297</v>
      </c>
      <c r="G29" s="29">
        <v>3.2014999999999998</v>
      </c>
    </row>
    <row r="30" spans="1:9" x14ac:dyDescent="0.2">
      <c r="A30" s="27" t="s">
        <v>795</v>
      </c>
      <c r="B30" s="27" t="s">
        <v>796</v>
      </c>
      <c r="C30" s="27" t="s">
        <v>74</v>
      </c>
      <c r="D30" s="31">
        <v>10000000</v>
      </c>
      <c r="E30" s="29">
        <v>9939.08</v>
      </c>
      <c r="F30" s="30">
        <v>5.02112128282781</v>
      </c>
      <c r="G30" s="29">
        <v>3.29</v>
      </c>
    </row>
    <row r="31" spans="1:9" x14ac:dyDescent="0.2">
      <c r="A31" s="27" t="s">
        <v>797</v>
      </c>
      <c r="B31" s="27" t="s">
        <v>798</v>
      </c>
      <c r="C31" s="27" t="s">
        <v>74</v>
      </c>
      <c r="D31" s="31">
        <v>6500000</v>
      </c>
      <c r="E31" s="29">
        <v>6485.2190000000001</v>
      </c>
      <c r="F31" s="30">
        <v>3.27626612772</v>
      </c>
      <c r="G31" s="29">
        <v>3.1996000000000002</v>
      </c>
    </row>
    <row r="32" spans="1:9" x14ac:dyDescent="0.2">
      <c r="A32" s="27" t="s">
        <v>799</v>
      </c>
      <c r="B32" s="27" t="s">
        <v>800</v>
      </c>
      <c r="C32" s="27" t="s">
        <v>74</v>
      </c>
      <c r="D32" s="31">
        <v>5000000</v>
      </c>
      <c r="E32" s="29">
        <v>4991.6850000000004</v>
      </c>
      <c r="F32" s="30">
        <v>2.5217480682993099</v>
      </c>
      <c r="G32" s="29">
        <v>3.2</v>
      </c>
    </row>
    <row r="33" spans="1:9" x14ac:dyDescent="0.2">
      <c r="A33" s="27" t="s">
        <v>801</v>
      </c>
      <c r="B33" s="27" t="s">
        <v>802</v>
      </c>
      <c r="C33" s="27" t="s">
        <v>74</v>
      </c>
      <c r="D33" s="31">
        <v>2500000</v>
      </c>
      <c r="E33" s="29">
        <v>2488.13</v>
      </c>
      <c r="F33" s="30">
        <v>1.2569777582474799</v>
      </c>
      <c r="G33" s="29">
        <v>3.2248999999999999</v>
      </c>
    </row>
    <row r="34" spans="1:9" x14ac:dyDescent="0.2">
      <c r="A34" s="26" t="s">
        <v>39</v>
      </c>
      <c r="B34" s="26"/>
      <c r="C34" s="26"/>
      <c r="D34" s="32"/>
      <c r="E34" s="33">
        <f>SUM(E24:E33)</f>
        <v>96193.644000000015</v>
      </c>
      <c r="F34" s="34">
        <f>SUM(F24:F33)</f>
        <v>48.596042406456256</v>
      </c>
      <c r="G34" s="33"/>
      <c r="H34" s="18"/>
      <c r="I34" s="18"/>
    </row>
    <row r="35" spans="1:9" x14ac:dyDescent="0.2">
      <c r="A35" s="27"/>
      <c r="B35" s="27"/>
      <c r="C35" s="27"/>
      <c r="D35" s="28"/>
      <c r="E35" s="29"/>
      <c r="F35" s="30"/>
      <c r="G35" s="29"/>
    </row>
    <row r="36" spans="1:9" x14ac:dyDescent="0.2">
      <c r="A36" s="26" t="s">
        <v>71</v>
      </c>
      <c r="B36" s="27"/>
      <c r="C36" s="27"/>
      <c r="D36" s="28"/>
      <c r="E36" s="29"/>
      <c r="F36" s="30"/>
      <c r="G36" s="29"/>
    </row>
    <row r="37" spans="1:9" x14ac:dyDescent="0.2">
      <c r="A37" s="27" t="s">
        <v>803</v>
      </c>
      <c r="B37" s="27" t="s">
        <v>804</v>
      </c>
      <c r="C37" s="27" t="s">
        <v>74</v>
      </c>
      <c r="D37" s="31">
        <v>10000000</v>
      </c>
      <c r="E37" s="29">
        <v>10056.39</v>
      </c>
      <c r="F37" s="30">
        <v>5.0803850917204398</v>
      </c>
      <c r="G37" s="29">
        <v>3.3485</v>
      </c>
    </row>
    <row r="38" spans="1:9" x14ac:dyDescent="0.2">
      <c r="A38" s="26" t="s">
        <v>39</v>
      </c>
      <c r="B38" s="26"/>
      <c r="C38" s="26"/>
      <c r="D38" s="32"/>
      <c r="E38" s="33">
        <f>SUM(E37:E37)</f>
        <v>10056.39</v>
      </c>
      <c r="F38" s="34">
        <f>SUM(F37:F37)</f>
        <v>5.0803850917204398</v>
      </c>
      <c r="G38" s="33"/>
      <c r="H38" s="18"/>
      <c r="I38" s="18"/>
    </row>
    <row r="39" spans="1:9" x14ac:dyDescent="0.2">
      <c r="A39" s="27"/>
      <c r="B39" s="27"/>
      <c r="C39" s="27"/>
      <c r="D39" s="28"/>
      <c r="E39" s="29"/>
      <c r="F39" s="30"/>
      <c r="G39" s="29"/>
    </row>
    <row r="40" spans="1:9" x14ac:dyDescent="0.2">
      <c r="A40" s="26" t="s">
        <v>42</v>
      </c>
      <c r="B40" s="26"/>
      <c r="C40" s="26"/>
      <c r="D40" s="32"/>
      <c r="E40" s="33">
        <f>E8+E22+E34+E38</f>
        <v>171129.35149999999</v>
      </c>
      <c r="F40" s="34">
        <f>F8+F22+F34+F38</f>
        <v>86.452793310162576</v>
      </c>
      <c r="G40" s="33"/>
      <c r="H40" s="18"/>
      <c r="I40" s="18"/>
    </row>
    <row r="41" spans="1:9" x14ac:dyDescent="0.2">
      <c r="A41" s="26"/>
      <c r="B41" s="26"/>
      <c r="C41" s="26"/>
      <c r="D41" s="32"/>
      <c r="E41" s="33"/>
      <c r="F41" s="34"/>
      <c r="G41" s="33"/>
      <c r="H41" s="18"/>
      <c r="I41" s="18"/>
    </row>
    <row r="42" spans="1:9" x14ac:dyDescent="0.2">
      <c r="A42" s="26" t="s">
        <v>44</v>
      </c>
      <c r="B42" s="26"/>
      <c r="C42" s="26"/>
      <c r="D42" s="32"/>
      <c r="E42" s="33">
        <f>E44-(E8+E22+E34+E38)</f>
        <v>26816.076227300015</v>
      </c>
      <c r="F42" s="34">
        <f>F44-(F8+F22+F34+F38)</f>
        <v>13.547206689837424</v>
      </c>
      <c r="G42" s="33"/>
      <c r="H42" s="18"/>
      <c r="I42" s="18"/>
    </row>
    <row r="43" spans="1:9" x14ac:dyDescent="0.2">
      <c r="A43" s="26"/>
      <c r="B43" s="26"/>
      <c r="C43" s="26"/>
      <c r="D43" s="32"/>
      <c r="E43" s="33"/>
      <c r="F43" s="34"/>
      <c r="G43" s="33"/>
      <c r="H43" s="18"/>
      <c r="I43" s="18"/>
    </row>
    <row r="44" spans="1:9" x14ac:dyDescent="0.2">
      <c r="A44" s="35" t="s">
        <v>43</v>
      </c>
      <c r="B44" s="35"/>
      <c r="C44" s="35"/>
      <c r="D44" s="36"/>
      <c r="E44" s="37">
        <v>197945.4277273</v>
      </c>
      <c r="F44" s="38">
        <v>100</v>
      </c>
      <c r="G44" s="37"/>
      <c r="H44" s="18"/>
      <c r="I44" s="18"/>
    </row>
    <row r="46" spans="1:9" x14ac:dyDescent="0.2">
      <c r="A46" s="18" t="s">
        <v>75</v>
      </c>
    </row>
    <row r="47" spans="1:9" x14ac:dyDescent="0.2">
      <c r="A47" s="18" t="s">
        <v>46</v>
      </c>
    </row>
    <row r="49" spans="1:4" x14ac:dyDescent="0.2">
      <c r="A49" s="18" t="s">
        <v>47</v>
      </c>
    </row>
    <row r="50" spans="1:4" x14ac:dyDescent="0.2">
      <c r="A50" s="18" t="s">
        <v>48</v>
      </c>
    </row>
    <row r="51" spans="1:4" x14ac:dyDescent="0.2">
      <c r="A51" s="18" t="s">
        <v>49</v>
      </c>
      <c r="B51" s="18"/>
      <c r="C51" s="39" t="s">
        <v>51</v>
      </c>
      <c r="D51" s="41" t="s">
        <v>50</v>
      </c>
    </row>
    <row r="52" spans="1:4" x14ac:dyDescent="0.2">
      <c r="A52" s="9" t="s">
        <v>805</v>
      </c>
      <c r="C52" s="40">
        <v>4711.4303</v>
      </c>
      <c r="D52" s="40">
        <v>4768.0775000000003</v>
      </c>
    </row>
    <row r="53" spans="1:4" x14ac:dyDescent="0.2">
      <c r="A53" s="9" t="s">
        <v>806</v>
      </c>
      <c r="C53" s="40">
        <v>1510.5263</v>
      </c>
      <c r="D53" s="40">
        <v>1510.4899</v>
      </c>
    </row>
    <row r="54" spans="1:4" x14ac:dyDescent="0.2">
      <c r="A54" s="9" t="s">
        <v>807</v>
      </c>
      <c r="C54" s="40">
        <v>1244.6015</v>
      </c>
      <c r="D54" s="40">
        <v>1244.6866</v>
      </c>
    </row>
    <row r="55" spans="1:4" x14ac:dyDescent="0.2">
      <c r="A55" s="9" t="s">
        <v>808</v>
      </c>
      <c r="C55" s="40">
        <v>1000</v>
      </c>
      <c r="D55" s="40">
        <v>1000</v>
      </c>
    </row>
    <row r="56" spans="1:4" x14ac:dyDescent="0.2">
      <c r="A56" s="9" t="s">
        <v>809</v>
      </c>
      <c r="C56" s="40">
        <v>1055.0094999999999</v>
      </c>
      <c r="D56" s="40">
        <v>1055.0872999999999</v>
      </c>
    </row>
    <row r="57" spans="1:4" x14ac:dyDescent="0.2">
      <c r="A57" s="9" t="s">
        <v>810</v>
      </c>
      <c r="C57" s="40">
        <v>3036.9164999999998</v>
      </c>
      <c r="D57" s="40">
        <v>3083.8006999999998</v>
      </c>
    </row>
    <row r="58" spans="1:4" x14ac:dyDescent="0.2">
      <c r="A58" s="9" t="s">
        <v>811</v>
      </c>
      <c r="C58" s="40">
        <v>1000</v>
      </c>
      <c r="D58" s="40">
        <v>1000</v>
      </c>
    </row>
    <row r="59" spans="1:4" x14ac:dyDescent="0.2">
      <c r="A59" s="9" t="s">
        <v>812</v>
      </c>
      <c r="C59" s="40">
        <v>1022.2499</v>
      </c>
      <c r="D59" s="40">
        <v>1022.3385</v>
      </c>
    </row>
    <row r="60" spans="1:4" x14ac:dyDescent="0.2">
      <c r="A60" s="9" t="s">
        <v>813</v>
      </c>
      <c r="C60" s="40">
        <v>3051.6134000000002</v>
      </c>
      <c r="D60" s="40">
        <v>3099.9306999999999</v>
      </c>
    </row>
    <row r="61" spans="1:4" x14ac:dyDescent="0.2">
      <c r="A61" s="9" t="s">
        <v>814</v>
      </c>
      <c r="C61" s="40">
        <v>1002.2243</v>
      </c>
      <c r="D61" s="40">
        <v>1002.2204</v>
      </c>
    </row>
    <row r="62" spans="1:4" x14ac:dyDescent="0.2">
      <c r="A62" s="9" t="s">
        <v>815</v>
      </c>
      <c r="C62" s="40">
        <v>1021.7224</v>
      </c>
      <c r="D62" s="40">
        <v>1021.813</v>
      </c>
    </row>
    <row r="63" spans="1:4" x14ac:dyDescent="0.2">
      <c r="A63" s="9" t="s">
        <v>816</v>
      </c>
      <c r="C63" s="40">
        <v>12.882199999999999</v>
      </c>
      <c r="D63" s="40">
        <v>13.085599999999999</v>
      </c>
    </row>
    <row r="64" spans="1:4" x14ac:dyDescent="0.2">
      <c r="A64" s="9" t="s">
        <v>817</v>
      </c>
      <c r="C64" s="40">
        <v>12.882199999999999</v>
      </c>
      <c r="D64" s="40">
        <v>13.085599999999999</v>
      </c>
    </row>
    <row r="65" spans="1:4" x14ac:dyDescent="0.2">
      <c r="A65" s="9" t="s">
        <v>818</v>
      </c>
      <c r="C65" s="40">
        <v>10</v>
      </c>
      <c r="D65" s="40">
        <v>10</v>
      </c>
    </row>
    <row r="66" spans="1:4" x14ac:dyDescent="0.2">
      <c r="A66" s="9" t="s">
        <v>819</v>
      </c>
      <c r="C66" s="40">
        <v>10</v>
      </c>
      <c r="D66" s="40">
        <v>10</v>
      </c>
    </row>
    <row r="68" spans="1:4" x14ac:dyDescent="0.2">
      <c r="A68" s="18" t="s">
        <v>53</v>
      </c>
    </row>
    <row r="69" spans="1:4" x14ac:dyDescent="0.2">
      <c r="A69" s="82" t="s">
        <v>76</v>
      </c>
      <c r="B69" s="83"/>
      <c r="C69" s="44" t="s">
        <v>77</v>
      </c>
    </row>
    <row r="70" spans="1:4" x14ac:dyDescent="0.2">
      <c r="A70" s="78" t="s">
        <v>806</v>
      </c>
      <c r="B70" s="79"/>
      <c r="C70" s="45">
        <v>18.090246917000002</v>
      </c>
    </row>
    <row r="71" spans="1:4" x14ac:dyDescent="0.2">
      <c r="A71" s="78" t="s">
        <v>807</v>
      </c>
      <c r="B71" s="79"/>
      <c r="C71" s="45">
        <v>14.789760803</v>
      </c>
    </row>
    <row r="72" spans="1:4" x14ac:dyDescent="0.2">
      <c r="A72" s="78" t="s">
        <v>808</v>
      </c>
      <c r="B72" s="79"/>
      <c r="C72" s="45">
        <v>13.204802881999999</v>
      </c>
    </row>
    <row r="73" spans="1:4" x14ac:dyDescent="0.2">
      <c r="A73" s="78" t="s">
        <v>809</v>
      </c>
      <c r="B73" s="79"/>
      <c r="C73" s="45">
        <v>13.887760629000001</v>
      </c>
    </row>
    <row r="74" spans="1:4" x14ac:dyDescent="0.2">
      <c r="A74" s="78" t="s">
        <v>811</v>
      </c>
      <c r="B74" s="79"/>
      <c r="C74" s="45">
        <v>15.315719931</v>
      </c>
    </row>
    <row r="75" spans="1:4" x14ac:dyDescent="0.2">
      <c r="A75" s="78" t="s">
        <v>812</v>
      </c>
      <c r="B75" s="79"/>
      <c r="C75" s="45">
        <v>15.571294752</v>
      </c>
    </row>
    <row r="76" spans="1:4" x14ac:dyDescent="0.2">
      <c r="A76" s="78" t="s">
        <v>814</v>
      </c>
      <c r="B76" s="79"/>
      <c r="C76" s="45">
        <v>15.701968537000001</v>
      </c>
    </row>
    <row r="77" spans="1:4" x14ac:dyDescent="0.2">
      <c r="A77" s="78" t="s">
        <v>815</v>
      </c>
      <c r="B77" s="79"/>
      <c r="C77" s="45">
        <v>15.923993286</v>
      </c>
    </row>
    <row r="78" spans="1:4" x14ac:dyDescent="0.2">
      <c r="A78" s="9" t="s">
        <v>78</v>
      </c>
    </row>
    <row r="79" spans="1:4" x14ac:dyDescent="0.2">
      <c r="A79" s="9" t="s">
        <v>52</v>
      </c>
    </row>
    <row r="81" spans="1:7" x14ac:dyDescent="0.2">
      <c r="A81" s="18" t="s">
        <v>820</v>
      </c>
      <c r="D81" s="42">
        <v>9.0279363753424671E-2</v>
      </c>
      <c r="E81" s="13" t="s">
        <v>55</v>
      </c>
    </row>
    <row r="83" spans="1:7" x14ac:dyDescent="0.2">
      <c r="A83" s="18" t="s">
        <v>56</v>
      </c>
      <c r="D83" s="41" t="s">
        <v>54</v>
      </c>
    </row>
    <row r="85" spans="1:7" ht="14.4" x14ac:dyDescent="0.2">
      <c r="A85" s="80" t="s">
        <v>821</v>
      </c>
      <c r="B85" s="81"/>
      <c r="C85" s="81"/>
      <c r="D85" s="81"/>
      <c r="E85" s="81"/>
      <c r="F85" s="81"/>
      <c r="G85" s="81"/>
    </row>
    <row r="86" spans="1:7" x14ac:dyDescent="0.2">
      <c r="A86" s="53" t="s">
        <v>57</v>
      </c>
    </row>
    <row r="88" spans="1:7" x14ac:dyDescent="0.2">
      <c r="A88" s="53"/>
    </row>
  </sheetData>
  <mergeCells count="11">
    <mergeCell ref="A73:B73"/>
    <mergeCell ref="A1:G1"/>
    <mergeCell ref="A69:B69"/>
    <mergeCell ref="A70:B70"/>
    <mergeCell ref="A71:B71"/>
    <mergeCell ref="A72:B72"/>
    <mergeCell ref="A74:B74"/>
    <mergeCell ref="A75:B75"/>
    <mergeCell ref="A76:B76"/>
    <mergeCell ref="A77:B77"/>
    <mergeCell ref="A85:G85"/>
  </mergeCells>
  <conditionalFormatting sqref="F2:F3 F5:F84 F89:F65536">
    <cfRule type="cellIs" dxfId="152" priority="3" stopIfTrue="1" operator="between">
      <formula>0.009</formula>
      <formula>-0.009</formula>
    </cfRule>
  </conditionalFormatting>
  <conditionalFormatting sqref="F87:F88">
    <cfRule type="cellIs" dxfId="151" priority="2" stopIfTrue="1" operator="between">
      <formula>0.009</formula>
      <formula>-0.009</formula>
    </cfRule>
  </conditionalFormatting>
  <conditionalFormatting sqref="F86">
    <cfRule type="cellIs" dxfId="150" priority="1" stopIfTrue="1" operator="between">
      <formula>0.009</formula>
      <formula>-0.009</formula>
    </cfRule>
  </conditionalFormatting>
  <hyperlinks>
    <hyperlink ref="A86" r:id="rId1" xr:uid="{00000000-0004-0000-0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election sqref="A1:G1"/>
    </sheetView>
  </sheetViews>
  <sheetFormatPr defaultColWidth="9.109375" defaultRowHeight="10.199999999999999" x14ac:dyDescent="0.2"/>
  <cols>
    <col min="1" max="1" width="32.33203125" style="9" bestFit="1" customWidth="1"/>
    <col min="2" max="2" width="20"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822</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6" t="s">
        <v>44</v>
      </c>
      <c r="B5" s="26"/>
      <c r="C5" s="26"/>
      <c r="D5" s="32"/>
      <c r="E5" s="33">
        <v>20233.442762499999</v>
      </c>
      <c r="F5" s="34">
        <v>100</v>
      </c>
      <c r="G5" s="33"/>
      <c r="H5" s="18"/>
      <c r="I5" s="18"/>
    </row>
    <row r="6" spans="1:9" x14ac:dyDescent="0.2">
      <c r="A6" s="26"/>
      <c r="B6" s="26"/>
      <c r="C6" s="26"/>
      <c r="D6" s="32"/>
      <c r="E6" s="33"/>
      <c r="F6" s="34"/>
      <c r="G6" s="33"/>
      <c r="H6" s="18"/>
      <c r="I6" s="18"/>
    </row>
    <row r="7" spans="1:9" x14ac:dyDescent="0.2">
      <c r="A7" s="35" t="s">
        <v>43</v>
      </c>
      <c r="B7" s="35"/>
      <c r="C7" s="35"/>
      <c r="D7" s="36"/>
      <c r="E7" s="37">
        <v>20233.442762499999</v>
      </c>
      <c r="F7" s="38">
        <v>100</v>
      </c>
      <c r="G7" s="37"/>
      <c r="H7" s="18"/>
      <c r="I7" s="18"/>
    </row>
    <row r="9" spans="1:9" x14ac:dyDescent="0.2">
      <c r="A9" s="18" t="s">
        <v>47</v>
      </c>
    </row>
    <row r="10" spans="1:9" x14ac:dyDescent="0.2">
      <c r="A10" s="18" t="s">
        <v>48</v>
      </c>
    </row>
    <row r="11" spans="1:9" x14ac:dyDescent="0.2">
      <c r="A11" s="18" t="s">
        <v>49</v>
      </c>
      <c r="B11" s="18"/>
      <c r="C11" s="39" t="s">
        <v>51</v>
      </c>
      <c r="D11" s="41" t="s">
        <v>50</v>
      </c>
    </row>
    <row r="12" spans="1:9" x14ac:dyDescent="0.2">
      <c r="A12" s="9" t="s">
        <v>79</v>
      </c>
      <c r="C12" s="40">
        <v>1061.5063</v>
      </c>
      <c r="D12" s="40">
        <v>1077.0118</v>
      </c>
    </row>
    <row r="13" spans="1:9" x14ac:dyDescent="0.2">
      <c r="A13" s="9" t="s">
        <v>823</v>
      </c>
      <c r="C13" s="40">
        <v>1000</v>
      </c>
      <c r="D13" s="40">
        <v>1000</v>
      </c>
    </row>
    <row r="14" spans="1:9" x14ac:dyDescent="0.2">
      <c r="A14" s="9" t="s">
        <v>824</v>
      </c>
      <c r="C14" s="40">
        <v>1000.3157</v>
      </c>
      <c r="D14" s="40">
        <v>1000.4179</v>
      </c>
    </row>
    <row r="15" spans="1:9" x14ac:dyDescent="0.2">
      <c r="A15" s="9" t="s">
        <v>82</v>
      </c>
      <c r="C15" s="40">
        <v>1062.4494999999999</v>
      </c>
      <c r="D15" s="40">
        <v>1078.2428</v>
      </c>
    </row>
    <row r="16" spans="1:9" x14ac:dyDescent="0.2">
      <c r="A16" s="9" t="s">
        <v>825</v>
      </c>
      <c r="C16" s="40">
        <v>1000</v>
      </c>
      <c r="D16" s="40">
        <v>1000</v>
      </c>
    </row>
    <row r="17" spans="1:7" x14ac:dyDescent="0.2">
      <c r="A17" s="9" t="s">
        <v>826</v>
      </c>
      <c r="C17" s="40">
        <v>1000.3211</v>
      </c>
      <c r="D17" s="40">
        <v>1000.4229</v>
      </c>
    </row>
    <row r="19" spans="1:7" x14ac:dyDescent="0.2">
      <c r="A19" s="18" t="s">
        <v>53</v>
      </c>
    </row>
    <row r="20" spans="1:7" x14ac:dyDescent="0.2">
      <c r="A20" s="82" t="s">
        <v>76</v>
      </c>
      <c r="B20" s="83"/>
      <c r="C20" s="44" t="s">
        <v>77</v>
      </c>
    </row>
    <row r="21" spans="1:7" x14ac:dyDescent="0.2">
      <c r="A21" s="78" t="s">
        <v>823</v>
      </c>
      <c r="B21" s="79"/>
      <c r="C21" s="45">
        <v>14.500702901</v>
      </c>
    </row>
    <row r="22" spans="1:7" x14ac:dyDescent="0.2">
      <c r="A22" s="78" t="s">
        <v>824</v>
      </c>
      <c r="B22" s="79"/>
      <c r="C22" s="45">
        <v>14.449283386999999</v>
      </c>
    </row>
    <row r="23" spans="1:7" x14ac:dyDescent="0.2">
      <c r="A23" s="78" t="s">
        <v>825</v>
      </c>
      <c r="B23" s="79"/>
      <c r="C23" s="45">
        <v>14.765342612</v>
      </c>
    </row>
    <row r="24" spans="1:7" x14ac:dyDescent="0.2">
      <c r="A24" s="78" t="s">
        <v>826</v>
      </c>
      <c r="B24" s="79"/>
      <c r="C24" s="45">
        <v>14.683097712</v>
      </c>
    </row>
    <row r="25" spans="1:7" x14ac:dyDescent="0.2">
      <c r="A25" s="9" t="s">
        <v>78</v>
      </c>
    </row>
    <row r="26" spans="1:7" x14ac:dyDescent="0.2">
      <c r="A26" s="9" t="s">
        <v>52</v>
      </c>
    </row>
    <row r="28" spans="1:7" x14ac:dyDescent="0.2">
      <c r="A28" s="18" t="s">
        <v>820</v>
      </c>
      <c r="D28" s="54">
        <v>8.21917808219178E-3</v>
      </c>
      <c r="E28" s="13" t="s">
        <v>55</v>
      </c>
    </row>
    <row r="30" spans="1:7" ht="25.5" customHeight="1" x14ac:dyDescent="0.2">
      <c r="A30" s="84" t="s">
        <v>56</v>
      </c>
      <c r="B30" s="84"/>
      <c r="C30" s="84"/>
      <c r="D30" s="41" t="s">
        <v>54</v>
      </c>
    </row>
    <row r="32" spans="1:7" ht="14.4" x14ac:dyDescent="0.2">
      <c r="A32" s="80" t="s">
        <v>821</v>
      </c>
      <c r="B32" s="81"/>
      <c r="C32" s="81"/>
      <c r="D32" s="81"/>
      <c r="E32" s="81"/>
      <c r="F32" s="81"/>
      <c r="G32" s="81"/>
    </row>
    <row r="33" spans="1:1" x14ac:dyDescent="0.2">
      <c r="A33" s="53" t="s">
        <v>57</v>
      </c>
    </row>
    <row r="35" spans="1:1" x14ac:dyDescent="0.2">
      <c r="A35" s="53"/>
    </row>
  </sheetData>
  <mergeCells count="8">
    <mergeCell ref="A30:C30"/>
    <mergeCell ref="A32:G32"/>
    <mergeCell ref="A1:G1"/>
    <mergeCell ref="A20:B20"/>
    <mergeCell ref="A21:B21"/>
    <mergeCell ref="A22:B22"/>
    <mergeCell ref="A23:B23"/>
    <mergeCell ref="A24:B24"/>
  </mergeCells>
  <conditionalFormatting sqref="F2:F3 F36:F65532 F5:F31">
    <cfRule type="cellIs" dxfId="149" priority="3" stopIfTrue="1" operator="between">
      <formula>0.009</formula>
      <formula>-0.009</formula>
    </cfRule>
  </conditionalFormatting>
  <conditionalFormatting sqref="F34:F35">
    <cfRule type="cellIs" dxfId="148" priority="2" stopIfTrue="1" operator="between">
      <formula>0.009</formula>
      <formula>-0.009</formula>
    </cfRule>
  </conditionalFormatting>
  <conditionalFormatting sqref="F33">
    <cfRule type="cellIs" dxfId="147" priority="1" stopIfTrue="1" operator="between">
      <formula>0.009</formula>
      <formula>-0.009</formula>
    </cfRule>
  </conditionalFormatting>
  <hyperlinks>
    <hyperlink ref="A33" r:id="rId1" xr:uid="{00000000-0004-0000-0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7"/>
  <sheetViews>
    <sheetView workbookViewId="0">
      <selection sqref="A1:G1"/>
    </sheetView>
  </sheetViews>
  <sheetFormatPr defaultColWidth="9.109375" defaultRowHeight="10.199999999999999" x14ac:dyDescent="0.2"/>
  <cols>
    <col min="1" max="1" width="32.33203125" style="9" bestFit="1" customWidth="1"/>
    <col min="2" max="2" width="49"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827</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59</v>
      </c>
      <c r="B5" s="22"/>
      <c r="C5" s="22"/>
      <c r="D5" s="23"/>
      <c r="E5" s="24"/>
      <c r="F5" s="25"/>
      <c r="G5" s="24"/>
    </row>
    <row r="6" spans="1:9" x14ac:dyDescent="0.2">
      <c r="A6" s="26" t="s">
        <v>60</v>
      </c>
      <c r="B6" s="27"/>
      <c r="C6" s="27"/>
      <c r="D6" s="28"/>
      <c r="E6" s="29"/>
      <c r="F6" s="30"/>
      <c r="G6" s="29"/>
    </row>
    <row r="7" spans="1:9" x14ac:dyDescent="0.2">
      <c r="A7" s="27" t="s">
        <v>828</v>
      </c>
      <c r="B7" s="27" t="s">
        <v>829</v>
      </c>
      <c r="C7" s="27" t="s">
        <v>61</v>
      </c>
      <c r="D7" s="31">
        <v>5000</v>
      </c>
      <c r="E7" s="29">
        <v>5003.3950000000004</v>
      </c>
      <c r="F7" s="30">
        <v>4.2629533011974701</v>
      </c>
      <c r="G7" s="29">
        <v>3.7549999999999999</v>
      </c>
    </row>
    <row r="8" spans="1:9" x14ac:dyDescent="0.2">
      <c r="A8" s="27" t="s">
        <v>830</v>
      </c>
      <c r="B8" s="27" t="s">
        <v>831</v>
      </c>
      <c r="C8" s="27" t="s">
        <v>61</v>
      </c>
      <c r="D8" s="31">
        <v>5000</v>
      </c>
      <c r="E8" s="29">
        <v>4891.8450000000003</v>
      </c>
      <c r="F8" s="30">
        <v>4.1679113465349804</v>
      </c>
      <c r="G8" s="29">
        <v>3.5550000000000002</v>
      </c>
    </row>
    <row r="9" spans="1:9" x14ac:dyDescent="0.2">
      <c r="A9" s="27" t="s">
        <v>832</v>
      </c>
      <c r="B9" s="27" t="s">
        <v>833</v>
      </c>
      <c r="C9" s="27" t="s">
        <v>61</v>
      </c>
      <c r="D9" s="31">
        <v>5000</v>
      </c>
      <c r="E9" s="29">
        <v>4850.1149999999998</v>
      </c>
      <c r="F9" s="30">
        <v>4.1323568797661201</v>
      </c>
      <c r="G9" s="29">
        <v>3.76</v>
      </c>
    </row>
    <row r="10" spans="1:9" x14ac:dyDescent="0.2">
      <c r="A10" s="27" t="s">
        <v>834</v>
      </c>
      <c r="B10" s="27" t="s">
        <v>835</v>
      </c>
      <c r="C10" s="27" t="s">
        <v>766</v>
      </c>
      <c r="D10" s="31">
        <v>5000</v>
      </c>
      <c r="E10" s="29">
        <v>4840.2299999999996</v>
      </c>
      <c r="F10" s="30">
        <v>4.1239347397227402</v>
      </c>
      <c r="G10" s="29">
        <v>3.7532999999999999</v>
      </c>
    </row>
    <row r="11" spans="1:9" x14ac:dyDescent="0.2">
      <c r="A11" s="27" t="s">
        <v>836</v>
      </c>
      <c r="B11" s="27" t="s">
        <v>837</v>
      </c>
      <c r="C11" s="27" t="s">
        <v>61</v>
      </c>
      <c r="D11" s="31">
        <v>2500</v>
      </c>
      <c r="E11" s="29">
        <v>2429</v>
      </c>
      <c r="F11" s="30">
        <v>2.0695374977607499</v>
      </c>
      <c r="G11" s="29">
        <v>3.77</v>
      </c>
    </row>
    <row r="12" spans="1:9" x14ac:dyDescent="0.2">
      <c r="A12" s="27" t="s">
        <v>838</v>
      </c>
      <c r="B12" s="27" t="s">
        <v>839</v>
      </c>
      <c r="C12" s="27" t="s">
        <v>62</v>
      </c>
      <c r="D12" s="31">
        <v>2500</v>
      </c>
      <c r="E12" s="29">
        <v>2425.105</v>
      </c>
      <c r="F12" s="30">
        <v>2.0662189104599</v>
      </c>
      <c r="G12" s="29">
        <v>3.77</v>
      </c>
    </row>
    <row r="13" spans="1:9" x14ac:dyDescent="0.2">
      <c r="A13" s="26" t="s">
        <v>39</v>
      </c>
      <c r="B13" s="26"/>
      <c r="C13" s="26"/>
      <c r="D13" s="32"/>
      <c r="E13" s="33">
        <f>SUM(E6:E12)</f>
        <v>24439.69</v>
      </c>
      <c r="F13" s="34">
        <f>SUM(F6:F12)</f>
        <v>20.822912675441959</v>
      </c>
      <c r="G13" s="33"/>
      <c r="H13" s="18"/>
      <c r="I13" s="18"/>
    </row>
    <row r="14" spans="1:9" x14ac:dyDescent="0.2">
      <c r="A14" s="27"/>
      <c r="B14" s="27"/>
      <c r="C14" s="27"/>
      <c r="D14" s="28"/>
      <c r="E14" s="29"/>
      <c r="F14" s="30"/>
      <c r="G14" s="29"/>
    </row>
    <row r="15" spans="1:9" x14ac:dyDescent="0.2">
      <c r="A15" s="26" t="s">
        <v>63</v>
      </c>
      <c r="B15" s="27"/>
      <c r="C15" s="27"/>
      <c r="D15" s="28"/>
      <c r="E15" s="29"/>
      <c r="F15" s="30"/>
      <c r="G15" s="29"/>
    </row>
    <row r="16" spans="1:9" x14ac:dyDescent="0.2">
      <c r="A16" s="27" t="s">
        <v>773</v>
      </c>
      <c r="B16" s="27" t="s">
        <v>774</v>
      </c>
      <c r="C16" s="27" t="s">
        <v>61</v>
      </c>
      <c r="D16" s="31">
        <v>1000</v>
      </c>
      <c r="E16" s="29">
        <v>4994.9849999999997</v>
      </c>
      <c r="F16" s="30">
        <v>4.2557878790664896</v>
      </c>
      <c r="G16" s="29">
        <v>3.3315000000000001</v>
      </c>
    </row>
    <row r="17" spans="1:9" x14ac:dyDescent="0.2">
      <c r="A17" s="27" t="s">
        <v>840</v>
      </c>
      <c r="B17" s="27" t="s">
        <v>841</v>
      </c>
      <c r="C17" s="27" t="s">
        <v>61</v>
      </c>
      <c r="D17" s="31">
        <v>1000</v>
      </c>
      <c r="E17" s="29">
        <v>4962.9049999999997</v>
      </c>
      <c r="F17" s="30">
        <v>4.2284553294871703</v>
      </c>
      <c r="G17" s="29">
        <v>3.4102000000000001</v>
      </c>
    </row>
    <row r="18" spans="1:9" x14ac:dyDescent="0.2">
      <c r="A18" s="27" t="s">
        <v>842</v>
      </c>
      <c r="B18" s="27" t="s">
        <v>843</v>
      </c>
      <c r="C18" s="27" t="s">
        <v>61</v>
      </c>
      <c r="D18" s="31">
        <v>1000</v>
      </c>
      <c r="E18" s="29">
        <v>4950.8249999999998</v>
      </c>
      <c r="F18" s="30">
        <v>4.2181630227877198</v>
      </c>
      <c r="G18" s="29">
        <v>3.52</v>
      </c>
    </row>
    <row r="19" spans="1:9" x14ac:dyDescent="0.2">
      <c r="A19" s="27" t="s">
        <v>844</v>
      </c>
      <c r="B19" s="27" t="s">
        <v>845</v>
      </c>
      <c r="C19" s="27" t="s">
        <v>61</v>
      </c>
      <c r="D19" s="31">
        <v>1000</v>
      </c>
      <c r="E19" s="29">
        <v>4948.2150000000001</v>
      </c>
      <c r="F19" s="30">
        <v>4.2159392710918997</v>
      </c>
      <c r="G19" s="29">
        <v>3.7452000000000001</v>
      </c>
    </row>
    <row r="20" spans="1:9" x14ac:dyDescent="0.2">
      <c r="A20" s="27" t="s">
        <v>65</v>
      </c>
      <c r="B20" s="27" t="s">
        <v>64</v>
      </c>
      <c r="C20" s="27" t="s">
        <v>66</v>
      </c>
      <c r="D20" s="31">
        <v>1000</v>
      </c>
      <c r="E20" s="29">
        <v>4842.2299999999996</v>
      </c>
      <c r="F20" s="30">
        <v>4.1256387640107297</v>
      </c>
      <c r="G20" s="29">
        <v>3.9249999999999998</v>
      </c>
    </row>
    <row r="21" spans="1:9" x14ac:dyDescent="0.2">
      <c r="A21" s="27" t="s">
        <v>846</v>
      </c>
      <c r="B21" s="27" t="s">
        <v>847</v>
      </c>
      <c r="C21" s="27" t="s">
        <v>62</v>
      </c>
      <c r="D21" s="31">
        <v>1000</v>
      </c>
      <c r="E21" s="29">
        <v>4841.3649999999998</v>
      </c>
      <c r="F21" s="30">
        <v>4.1249017735061697</v>
      </c>
      <c r="G21" s="29">
        <v>3.9998999999999998</v>
      </c>
    </row>
    <row r="22" spans="1:9" x14ac:dyDescent="0.2">
      <c r="A22" s="27" t="s">
        <v>848</v>
      </c>
      <c r="B22" s="27" t="s">
        <v>849</v>
      </c>
      <c r="C22" s="27" t="s">
        <v>766</v>
      </c>
      <c r="D22" s="31">
        <v>500</v>
      </c>
      <c r="E22" s="29">
        <v>2479.3074999999999</v>
      </c>
      <c r="F22" s="30">
        <v>2.11240009869472</v>
      </c>
      <c r="G22" s="29">
        <v>3.3849999999999998</v>
      </c>
    </row>
    <row r="23" spans="1:9" x14ac:dyDescent="0.2">
      <c r="A23" s="27" t="s">
        <v>68</v>
      </c>
      <c r="B23" s="27" t="s">
        <v>67</v>
      </c>
      <c r="C23" s="27" t="s">
        <v>61</v>
      </c>
      <c r="D23" s="31">
        <v>500</v>
      </c>
      <c r="E23" s="29">
        <v>2457.7150000000001</v>
      </c>
      <c r="F23" s="30">
        <v>2.09400302647553</v>
      </c>
      <c r="G23" s="29">
        <v>3.9249999999999998</v>
      </c>
    </row>
    <row r="24" spans="1:9" x14ac:dyDescent="0.2">
      <c r="A24" s="27" t="s">
        <v>850</v>
      </c>
      <c r="B24" s="27" t="s">
        <v>851</v>
      </c>
      <c r="C24" s="27" t="s">
        <v>61</v>
      </c>
      <c r="D24" s="31">
        <v>500</v>
      </c>
      <c r="E24" s="29">
        <v>2420.6799999999998</v>
      </c>
      <c r="F24" s="30">
        <v>2.0624487567227301</v>
      </c>
      <c r="G24" s="29">
        <v>4.1100000000000003</v>
      </c>
    </row>
    <row r="25" spans="1:9" x14ac:dyDescent="0.2">
      <c r="A25" s="26" t="s">
        <v>39</v>
      </c>
      <c r="B25" s="26"/>
      <c r="C25" s="26"/>
      <c r="D25" s="32"/>
      <c r="E25" s="33">
        <f>SUM(E15:E24)</f>
        <v>36898.227500000001</v>
      </c>
      <c r="F25" s="34">
        <f>SUM(F15:F24)</f>
        <v>31.437737921843166</v>
      </c>
      <c r="G25" s="33"/>
      <c r="H25" s="18"/>
      <c r="I25" s="18"/>
    </row>
    <row r="26" spans="1:9" x14ac:dyDescent="0.2">
      <c r="A26" s="27"/>
      <c r="B26" s="27"/>
      <c r="C26" s="27"/>
      <c r="D26" s="28"/>
      <c r="E26" s="29"/>
      <c r="F26" s="30"/>
      <c r="G26" s="29"/>
    </row>
    <row r="27" spans="1:9" x14ac:dyDescent="0.2">
      <c r="A27" s="26" t="s">
        <v>69</v>
      </c>
      <c r="B27" s="27"/>
      <c r="C27" s="27"/>
      <c r="D27" s="28"/>
      <c r="E27" s="29"/>
      <c r="F27" s="30"/>
      <c r="G27" s="29"/>
    </row>
    <row r="28" spans="1:9" x14ac:dyDescent="0.2">
      <c r="A28" s="27" t="s">
        <v>852</v>
      </c>
      <c r="B28" s="27" t="s">
        <v>853</v>
      </c>
      <c r="C28" s="27" t="s">
        <v>74</v>
      </c>
      <c r="D28" s="31">
        <v>15000000</v>
      </c>
      <c r="E28" s="29">
        <v>14523.764999999999</v>
      </c>
      <c r="F28" s="30">
        <v>12.374424156510999</v>
      </c>
      <c r="G28" s="29">
        <v>3.6600999999999999</v>
      </c>
    </row>
    <row r="29" spans="1:9" x14ac:dyDescent="0.2">
      <c r="A29" s="27" t="s">
        <v>795</v>
      </c>
      <c r="B29" s="27" t="s">
        <v>796</v>
      </c>
      <c r="C29" s="27" t="s">
        <v>74</v>
      </c>
      <c r="D29" s="31">
        <v>10000000</v>
      </c>
      <c r="E29" s="29">
        <v>9939.08</v>
      </c>
      <c r="F29" s="30">
        <v>8.4682168601251302</v>
      </c>
      <c r="G29" s="29">
        <v>3.29</v>
      </c>
    </row>
    <row r="30" spans="1:9" x14ac:dyDescent="0.2">
      <c r="A30" s="27" t="s">
        <v>854</v>
      </c>
      <c r="B30" s="27" t="s">
        <v>855</v>
      </c>
      <c r="C30" s="27" t="s">
        <v>74</v>
      </c>
      <c r="D30" s="31">
        <v>10000000</v>
      </c>
      <c r="E30" s="29">
        <v>9676.8799999999992</v>
      </c>
      <c r="F30" s="30">
        <v>8.2448192759699808</v>
      </c>
      <c r="G30" s="29">
        <v>3.66</v>
      </c>
    </row>
    <row r="31" spans="1:9" x14ac:dyDescent="0.2">
      <c r="A31" s="26" t="s">
        <v>39</v>
      </c>
      <c r="B31" s="26"/>
      <c r="C31" s="26"/>
      <c r="D31" s="32"/>
      <c r="E31" s="33">
        <f>SUM(E27:E30)</f>
        <v>34139.724999999999</v>
      </c>
      <c r="F31" s="34">
        <f>SUM(F27:F30)</f>
        <v>29.08746029260611</v>
      </c>
      <c r="G31" s="33"/>
      <c r="H31" s="18"/>
      <c r="I31" s="18"/>
    </row>
    <row r="32" spans="1:9" x14ac:dyDescent="0.2">
      <c r="A32" s="27"/>
      <c r="B32" s="27"/>
      <c r="C32" s="27"/>
      <c r="D32" s="28"/>
      <c r="E32" s="29"/>
      <c r="F32" s="30"/>
      <c r="G32" s="29"/>
    </row>
    <row r="33" spans="1:9" x14ac:dyDescent="0.2">
      <c r="A33" s="26" t="s">
        <v>71</v>
      </c>
      <c r="B33" s="27"/>
      <c r="C33" s="27"/>
      <c r="D33" s="28"/>
      <c r="E33" s="29"/>
      <c r="F33" s="30"/>
      <c r="G33" s="29"/>
    </row>
    <row r="34" spans="1:9" x14ac:dyDescent="0.2">
      <c r="A34" s="27" t="s">
        <v>73</v>
      </c>
      <c r="B34" s="27" t="s">
        <v>72</v>
      </c>
      <c r="C34" s="27" t="s">
        <v>74</v>
      </c>
      <c r="D34" s="31">
        <v>10000000</v>
      </c>
      <c r="E34" s="29">
        <v>10345.879999999999</v>
      </c>
      <c r="F34" s="30">
        <v>8.8148154003017805</v>
      </c>
      <c r="G34" s="29">
        <v>3.6989999999999998</v>
      </c>
    </row>
    <row r="35" spans="1:9" x14ac:dyDescent="0.2">
      <c r="A35" s="27" t="s">
        <v>856</v>
      </c>
      <c r="B35" s="27" t="s">
        <v>857</v>
      </c>
      <c r="C35" s="27" t="s">
        <v>74</v>
      </c>
      <c r="D35" s="31">
        <v>5000000</v>
      </c>
      <c r="E35" s="29">
        <v>5132.8900000000003</v>
      </c>
      <c r="F35" s="30">
        <v>4.3732846137839401</v>
      </c>
      <c r="G35" s="29">
        <v>3.5771999999999999</v>
      </c>
    </row>
    <row r="36" spans="1:9" x14ac:dyDescent="0.2">
      <c r="A36" s="26" t="s">
        <v>39</v>
      </c>
      <c r="B36" s="26"/>
      <c r="C36" s="26"/>
      <c r="D36" s="32"/>
      <c r="E36" s="33">
        <f>SUM(E34:E35)</f>
        <v>15478.77</v>
      </c>
      <c r="F36" s="34">
        <f>SUM(F34:F35)</f>
        <v>13.18810001408572</v>
      </c>
      <c r="G36" s="33"/>
      <c r="H36" s="18"/>
      <c r="I36" s="18"/>
    </row>
    <row r="37" spans="1:9" x14ac:dyDescent="0.2">
      <c r="A37" s="27"/>
      <c r="B37" s="27"/>
      <c r="C37" s="27"/>
      <c r="D37" s="28"/>
      <c r="E37" s="29"/>
      <c r="F37" s="30"/>
      <c r="G37" s="29"/>
    </row>
    <row r="38" spans="1:9" x14ac:dyDescent="0.2">
      <c r="A38" s="26" t="s">
        <v>42</v>
      </c>
      <c r="B38" s="26"/>
      <c r="C38" s="26"/>
      <c r="D38" s="32"/>
      <c r="E38" s="33">
        <f>E13+E25+E31+E36</f>
        <v>110956.41249999999</v>
      </c>
      <c r="F38" s="34">
        <f>F13+F25+F31+F36</f>
        <v>94.536210903976951</v>
      </c>
      <c r="G38" s="33"/>
      <c r="H38" s="18"/>
      <c r="I38" s="18"/>
    </row>
    <row r="39" spans="1:9" x14ac:dyDescent="0.2">
      <c r="A39" s="26"/>
      <c r="B39" s="26"/>
      <c r="C39" s="26"/>
      <c r="D39" s="32"/>
      <c r="E39" s="33"/>
      <c r="F39" s="34"/>
      <c r="G39" s="33"/>
      <c r="H39" s="18"/>
      <c r="I39" s="18"/>
    </row>
    <row r="40" spans="1:9" x14ac:dyDescent="0.2">
      <c r="A40" s="26" t="s">
        <v>44</v>
      </c>
      <c r="B40" s="26"/>
      <c r="C40" s="26"/>
      <c r="D40" s="32"/>
      <c r="E40" s="33">
        <f>E42-(E13+E25+E31+E36)</f>
        <v>6412.8065950000018</v>
      </c>
      <c r="F40" s="34">
        <f>F42-(F13+F25+F31+F36)</f>
        <v>5.4637890960230493</v>
      </c>
      <c r="G40" s="33"/>
      <c r="H40" s="18"/>
      <c r="I40" s="18"/>
    </row>
    <row r="41" spans="1:9" x14ac:dyDescent="0.2">
      <c r="A41" s="26"/>
      <c r="B41" s="26"/>
      <c r="C41" s="26"/>
      <c r="D41" s="32"/>
      <c r="E41" s="33"/>
      <c r="F41" s="34"/>
      <c r="G41" s="33"/>
      <c r="H41" s="18"/>
      <c r="I41" s="18"/>
    </row>
    <row r="42" spans="1:9" x14ac:dyDescent="0.2">
      <c r="A42" s="35" t="s">
        <v>43</v>
      </c>
      <c r="B42" s="35"/>
      <c r="C42" s="35"/>
      <c r="D42" s="36"/>
      <c r="E42" s="37">
        <v>117369.21909499999</v>
      </c>
      <c r="F42" s="38">
        <v>100</v>
      </c>
      <c r="G42" s="37"/>
      <c r="H42" s="18"/>
      <c r="I42" s="18"/>
    </row>
    <row r="44" spans="1:9" x14ac:dyDescent="0.2">
      <c r="A44" s="18" t="s">
        <v>75</v>
      </c>
    </row>
    <row r="45" spans="1:9" x14ac:dyDescent="0.2">
      <c r="A45" s="18" t="s">
        <v>46</v>
      </c>
    </row>
    <row r="47" spans="1:9" x14ac:dyDescent="0.2">
      <c r="A47" s="18" t="s">
        <v>47</v>
      </c>
    </row>
    <row r="48" spans="1:9" x14ac:dyDescent="0.2">
      <c r="A48" s="18" t="s">
        <v>48</v>
      </c>
    </row>
    <row r="49" spans="1:4" x14ac:dyDescent="0.2">
      <c r="A49" s="18" t="s">
        <v>49</v>
      </c>
      <c r="B49" s="18"/>
      <c r="C49" s="39" t="s">
        <v>51</v>
      </c>
      <c r="D49" s="19" t="s">
        <v>50</v>
      </c>
    </row>
    <row r="50" spans="1:4" x14ac:dyDescent="0.2">
      <c r="A50" s="9" t="s">
        <v>858</v>
      </c>
      <c r="C50" s="40">
        <v>38.3857</v>
      </c>
      <c r="D50" s="40">
        <v>39.072200000000002</v>
      </c>
    </row>
    <row r="51" spans="1:4" x14ac:dyDescent="0.2">
      <c r="A51" s="9" t="s">
        <v>859</v>
      </c>
      <c r="C51" s="40">
        <v>10.110799999999999</v>
      </c>
      <c r="D51" s="40">
        <v>10.1088</v>
      </c>
    </row>
    <row r="52" spans="1:4" x14ac:dyDescent="0.2">
      <c r="A52" s="9" t="s">
        <v>860</v>
      </c>
      <c r="C52" s="40">
        <v>10.1755</v>
      </c>
      <c r="D52" s="40">
        <v>10.1355</v>
      </c>
    </row>
    <row r="53" spans="1:4" x14ac:dyDescent="0.2">
      <c r="A53" s="9" t="s">
        <v>861</v>
      </c>
      <c r="C53" s="40">
        <v>10.7661</v>
      </c>
      <c r="D53" s="40">
        <v>10.5146</v>
      </c>
    </row>
    <row r="54" spans="1:4" x14ac:dyDescent="0.2">
      <c r="A54" s="9" t="s">
        <v>862</v>
      </c>
      <c r="C54" s="40">
        <v>39.366999999999997</v>
      </c>
      <c r="D54" s="40">
        <v>40.101599999999998</v>
      </c>
    </row>
    <row r="55" spans="1:4" x14ac:dyDescent="0.2">
      <c r="A55" s="9" t="s">
        <v>863</v>
      </c>
      <c r="C55" s="40">
        <v>10.1205</v>
      </c>
      <c r="D55" s="40">
        <v>10.1187</v>
      </c>
    </row>
    <row r="56" spans="1:4" x14ac:dyDescent="0.2">
      <c r="A56" s="9" t="s">
        <v>864</v>
      </c>
      <c r="C56" s="40">
        <v>10.510400000000001</v>
      </c>
      <c r="D56" s="40">
        <v>10.484400000000001</v>
      </c>
    </row>
    <row r="57" spans="1:4" x14ac:dyDescent="0.2">
      <c r="A57" s="9" t="s">
        <v>865</v>
      </c>
      <c r="C57" s="40">
        <v>11.1496</v>
      </c>
      <c r="D57" s="40">
        <v>10.913399999999999</v>
      </c>
    </row>
    <row r="59" spans="1:4" x14ac:dyDescent="0.2">
      <c r="A59" s="18" t="s">
        <v>53</v>
      </c>
    </row>
    <row r="60" spans="1:4" x14ac:dyDescent="0.2">
      <c r="A60" s="82" t="s">
        <v>76</v>
      </c>
      <c r="B60" s="83"/>
      <c r="C60" s="44" t="s">
        <v>77</v>
      </c>
    </row>
    <row r="61" spans="1:4" x14ac:dyDescent="0.2">
      <c r="A61" s="78" t="s">
        <v>859</v>
      </c>
      <c r="B61" s="79"/>
      <c r="C61" s="45">
        <v>0.1812674802</v>
      </c>
    </row>
    <row r="62" spans="1:4" x14ac:dyDescent="0.2">
      <c r="A62" s="78" t="s">
        <v>860</v>
      </c>
      <c r="B62" s="79"/>
      <c r="C62" s="45">
        <v>0.22</v>
      </c>
    </row>
    <row r="63" spans="1:4" x14ac:dyDescent="0.2">
      <c r="A63" s="78" t="s">
        <v>861</v>
      </c>
      <c r="B63" s="79"/>
      <c r="C63" s="45">
        <v>0.44</v>
      </c>
    </row>
    <row r="64" spans="1:4" x14ac:dyDescent="0.2">
      <c r="A64" s="78" t="s">
        <v>863</v>
      </c>
      <c r="B64" s="79"/>
      <c r="C64" s="45">
        <v>0.18887682829999999</v>
      </c>
    </row>
    <row r="65" spans="1:7" x14ac:dyDescent="0.2">
      <c r="A65" s="78" t="s">
        <v>864</v>
      </c>
      <c r="B65" s="79"/>
      <c r="C65" s="45">
        <v>0.22</v>
      </c>
    </row>
    <row r="66" spans="1:7" x14ac:dyDescent="0.2">
      <c r="A66" s="78" t="s">
        <v>865</v>
      </c>
      <c r="B66" s="79"/>
      <c r="C66" s="45">
        <v>0.44</v>
      </c>
    </row>
    <row r="67" spans="1:7" x14ac:dyDescent="0.2">
      <c r="A67" s="9" t="s">
        <v>78</v>
      </c>
    </row>
    <row r="68" spans="1:7" x14ac:dyDescent="0.2">
      <c r="A68" s="9" t="s">
        <v>52</v>
      </c>
    </row>
    <row r="70" spans="1:7" x14ac:dyDescent="0.2">
      <c r="A70" s="18" t="s">
        <v>820</v>
      </c>
      <c r="D70" s="42">
        <v>0.58716168786301359</v>
      </c>
      <c r="E70" s="13" t="s">
        <v>55</v>
      </c>
    </row>
    <row r="72" spans="1:7" x14ac:dyDescent="0.2">
      <c r="A72" s="18" t="s">
        <v>56</v>
      </c>
      <c r="D72" s="41" t="s">
        <v>54</v>
      </c>
    </row>
    <row r="74" spans="1:7" ht="14.4" x14ac:dyDescent="0.2">
      <c r="A74" s="80" t="s">
        <v>821</v>
      </c>
      <c r="B74" s="81"/>
      <c r="C74" s="81"/>
      <c r="D74" s="81"/>
      <c r="E74" s="81"/>
      <c r="F74" s="81"/>
      <c r="G74" s="81"/>
    </row>
    <row r="75" spans="1:7" x14ac:dyDescent="0.2">
      <c r="A75" s="53" t="s">
        <v>57</v>
      </c>
    </row>
    <row r="77" spans="1:7" x14ac:dyDescent="0.2">
      <c r="A77" s="53"/>
    </row>
  </sheetData>
  <mergeCells count="9">
    <mergeCell ref="A65:B65"/>
    <mergeCell ref="A66:B66"/>
    <mergeCell ref="A74:G74"/>
    <mergeCell ref="A1:G1"/>
    <mergeCell ref="A60:B60"/>
    <mergeCell ref="A61:B61"/>
    <mergeCell ref="A62:B62"/>
    <mergeCell ref="A63:B63"/>
    <mergeCell ref="A64:B64"/>
  </mergeCells>
  <conditionalFormatting sqref="F2:F3 F5:F73 F78:F65536">
    <cfRule type="cellIs" dxfId="146" priority="3" stopIfTrue="1" operator="between">
      <formula>0.009</formula>
      <formula>-0.009</formula>
    </cfRule>
  </conditionalFormatting>
  <conditionalFormatting sqref="F76:F77">
    <cfRule type="cellIs" dxfId="145" priority="2" stopIfTrue="1" operator="between">
      <formula>0.009</formula>
      <formula>-0.009</formula>
    </cfRule>
  </conditionalFormatting>
  <conditionalFormatting sqref="F75">
    <cfRule type="cellIs" dxfId="144" priority="1" stopIfTrue="1" operator="between">
      <formula>0.009</formula>
      <formula>-0.009</formula>
    </cfRule>
  </conditionalFormatting>
  <hyperlinks>
    <hyperlink ref="A75" r:id="rId1" xr:uid="{00000000-0004-0000-04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866</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35</v>
      </c>
      <c r="B5" s="22"/>
      <c r="C5" s="22"/>
      <c r="D5" s="23"/>
      <c r="E5" s="24"/>
      <c r="F5" s="25"/>
      <c r="G5" s="24"/>
    </row>
    <row r="6" spans="1:9" x14ac:dyDescent="0.2">
      <c r="A6" s="26" t="s">
        <v>36</v>
      </c>
      <c r="B6" s="27"/>
      <c r="C6" s="27"/>
      <c r="D6" s="28"/>
      <c r="E6" s="29"/>
      <c r="F6" s="30"/>
      <c r="G6" s="29"/>
    </row>
    <row r="7" spans="1:9" x14ac:dyDescent="0.2">
      <c r="A7" s="27" t="s">
        <v>867</v>
      </c>
      <c r="B7" s="27" t="s">
        <v>868</v>
      </c>
      <c r="C7" s="27" t="s">
        <v>38</v>
      </c>
      <c r="D7" s="31">
        <v>250</v>
      </c>
      <c r="E7" s="29">
        <v>2579.1350000000002</v>
      </c>
      <c r="F7" s="30">
        <v>8.2956222295982496</v>
      </c>
      <c r="G7" s="29">
        <v>4.49</v>
      </c>
    </row>
    <row r="8" spans="1:9" x14ac:dyDescent="0.2">
      <c r="A8" s="27" t="s">
        <v>869</v>
      </c>
      <c r="B8" s="27" t="s">
        <v>870</v>
      </c>
      <c r="C8" s="27" t="s">
        <v>871</v>
      </c>
      <c r="D8" s="31">
        <v>250</v>
      </c>
      <c r="E8" s="29">
        <v>2524.8575000000001</v>
      </c>
      <c r="F8" s="30">
        <v>8.1210421337261796</v>
      </c>
      <c r="G8" s="29">
        <v>5.9649999999999999</v>
      </c>
    </row>
    <row r="9" spans="1:9" x14ac:dyDescent="0.2">
      <c r="A9" s="27" t="s">
        <v>872</v>
      </c>
      <c r="B9" s="27" t="s">
        <v>873</v>
      </c>
      <c r="C9" s="27" t="s">
        <v>38</v>
      </c>
      <c r="D9" s="31">
        <v>250</v>
      </c>
      <c r="E9" s="29">
        <v>2507.6675</v>
      </c>
      <c r="F9" s="30">
        <v>8.0657516017738793</v>
      </c>
      <c r="G9" s="29">
        <v>3.6</v>
      </c>
    </row>
    <row r="10" spans="1:9" x14ac:dyDescent="0.2">
      <c r="A10" s="27" t="s">
        <v>874</v>
      </c>
      <c r="B10" s="27" t="s">
        <v>875</v>
      </c>
      <c r="C10" s="27" t="s">
        <v>876</v>
      </c>
      <c r="D10" s="31">
        <v>100</v>
      </c>
      <c r="E10" s="29">
        <v>1049.431</v>
      </c>
      <c r="F10" s="30">
        <v>3.3754274716249899</v>
      </c>
      <c r="G10" s="29">
        <v>3.88</v>
      </c>
    </row>
    <row r="11" spans="1:9" x14ac:dyDescent="0.2">
      <c r="A11" s="27" t="s">
        <v>100</v>
      </c>
      <c r="B11" s="27" t="s">
        <v>99</v>
      </c>
      <c r="C11" s="27" t="s">
        <v>37</v>
      </c>
      <c r="D11" s="31">
        <v>100</v>
      </c>
      <c r="E11" s="29">
        <v>1003.8049999999999</v>
      </c>
      <c r="F11" s="30">
        <v>3.2286743703535801</v>
      </c>
      <c r="G11" s="29">
        <v>8.9498999999999995</v>
      </c>
    </row>
    <row r="12" spans="1:9" x14ac:dyDescent="0.2">
      <c r="A12" s="27" t="s">
        <v>877</v>
      </c>
      <c r="B12" s="27" t="s">
        <v>878</v>
      </c>
      <c r="C12" s="27" t="s">
        <v>879</v>
      </c>
      <c r="D12" s="31">
        <v>100</v>
      </c>
      <c r="E12" s="29">
        <v>991.51599999999996</v>
      </c>
      <c r="F12" s="30">
        <v>3.1891475904139699</v>
      </c>
      <c r="G12" s="29">
        <v>7.2625000000000002</v>
      </c>
    </row>
    <row r="13" spans="1:9" x14ac:dyDescent="0.2">
      <c r="A13" s="26" t="s">
        <v>39</v>
      </c>
      <c r="B13" s="26"/>
      <c r="C13" s="26"/>
      <c r="D13" s="32"/>
      <c r="E13" s="33">
        <f>SUM(E6:E12)</f>
        <v>10656.412</v>
      </c>
      <c r="F13" s="34">
        <f>SUM(F6:F12)</f>
        <v>34.275665397490847</v>
      </c>
      <c r="G13" s="33"/>
      <c r="H13" s="18"/>
      <c r="I13" s="18"/>
    </row>
    <row r="14" spans="1:9" x14ac:dyDescent="0.2">
      <c r="A14" s="27"/>
      <c r="B14" s="27"/>
      <c r="C14" s="27"/>
      <c r="D14" s="28"/>
      <c r="E14" s="29"/>
      <c r="F14" s="30"/>
      <c r="G14" s="29"/>
    </row>
    <row r="15" spans="1:9" x14ac:dyDescent="0.2">
      <c r="A15" s="26" t="s">
        <v>59</v>
      </c>
      <c r="B15" s="27"/>
      <c r="C15" s="27"/>
      <c r="D15" s="28"/>
      <c r="E15" s="29"/>
      <c r="F15" s="30"/>
      <c r="G15" s="29"/>
    </row>
    <row r="16" spans="1:9" x14ac:dyDescent="0.2">
      <c r="A16" s="26" t="s">
        <v>60</v>
      </c>
      <c r="B16" s="27"/>
      <c r="C16" s="27"/>
      <c r="D16" s="28"/>
      <c r="E16" s="29"/>
      <c r="F16" s="30"/>
      <c r="G16" s="29"/>
    </row>
    <row r="17" spans="1:9" x14ac:dyDescent="0.2">
      <c r="A17" s="27" t="s">
        <v>832</v>
      </c>
      <c r="B17" s="27" t="s">
        <v>833</v>
      </c>
      <c r="C17" s="27" t="s">
        <v>61</v>
      </c>
      <c r="D17" s="31">
        <v>1500</v>
      </c>
      <c r="E17" s="29">
        <v>1455.0345</v>
      </c>
      <c r="F17" s="30">
        <v>4.6800251026147803</v>
      </c>
      <c r="G17" s="29">
        <v>3.76</v>
      </c>
    </row>
    <row r="18" spans="1:9" x14ac:dyDescent="0.2">
      <c r="A18" s="27" t="s">
        <v>828</v>
      </c>
      <c r="B18" s="27" t="s">
        <v>829</v>
      </c>
      <c r="C18" s="27" t="s">
        <v>61</v>
      </c>
      <c r="D18" s="31">
        <v>1000</v>
      </c>
      <c r="E18" s="29">
        <v>1000.679</v>
      </c>
      <c r="F18" s="30">
        <v>3.21861979194271</v>
      </c>
      <c r="G18" s="29">
        <v>3.7549999999999999</v>
      </c>
    </row>
    <row r="19" spans="1:9" x14ac:dyDescent="0.2">
      <c r="A19" s="26" t="s">
        <v>39</v>
      </c>
      <c r="B19" s="26"/>
      <c r="C19" s="26"/>
      <c r="D19" s="32"/>
      <c r="E19" s="33">
        <f>SUM(E16:E18)</f>
        <v>2455.7134999999998</v>
      </c>
      <c r="F19" s="34">
        <f>SUM(F16:F18)</f>
        <v>7.8986448945574903</v>
      </c>
      <c r="G19" s="33"/>
      <c r="H19" s="18"/>
      <c r="I19" s="18"/>
    </row>
    <row r="20" spans="1:9" x14ac:dyDescent="0.2">
      <c r="A20" s="27"/>
      <c r="B20" s="27"/>
      <c r="C20" s="27"/>
      <c r="D20" s="28"/>
      <c r="E20" s="29"/>
      <c r="F20" s="30"/>
      <c r="G20" s="29"/>
    </row>
    <row r="21" spans="1:9" x14ac:dyDescent="0.2">
      <c r="A21" s="26" t="s">
        <v>69</v>
      </c>
      <c r="B21" s="27"/>
      <c r="C21" s="27"/>
      <c r="D21" s="28"/>
      <c r="E21" s="29"/>
      <c r="F21" s="30"/>
      <c r="G21" s="29"/>
    </row>
    <row r="22" spans="1:9" x14ac:dyDescent="0.2">
      <c r="A22" s="27" t="s">
        <v>880</v>
      </c>
      <c r="B22" s="27" t="s">
        <v>881</v>
      </c>
      <c r="C22" s="27" t="s">
        <v>74</v>
      </c>
      <c r="D22" s="31">
        <v>2500000</v>
      </c>
      <c r="E22" s="29">
        <v>2423.6875</v>
      </c>
      <c r="F22" s="30">
        <v>7.7956353206014501</v>
      </c>
      <c r="G22" s="29">
        <v>3.66</v>
      </c>
    </row>
    <row r="23" spans="1:9" x14ac:dyDescent="0.2">
      <c r="A23" s="26" t="s">
        <v>39</v>
      </c>
      <c r="B23" s="26"/>
      <c r="C23" s="26"/>
      <c r="D23" s="32"/>
      <c r="E23" s="33">
        <f>SUM(E21:E22)</f>
        <v>2423.6875</v>
      </c>
      <c r="F23" s="34">
        <f>SUM(F21:F22)</f>
        <v>7.7956353206014501</v>
      </c>
      <c r="G23" s="33"/>
      <c r="H23" s="18"/>
      <c r="I23" s="18"/>
    </row>
    <row r="24" spans="1:9" x14ac:dyDescent="0.2">
      <c r="A24" s="27"/>
      <c r="B24" s="27"/>
      <c r="C24" s="27"/>
      <c r="D24" s="28"/>
      <c r="E24" s="29"/>
      <c r="F24" s="30"/>
      <c r="G24" s="29"/>
    </row>
    <row r="25" spans="1:9" x14ac:dyDescent="0.2">
      <c r="A25" s="26" t="s">
        <v>71</v>
      </c>
      <c r="B25" s="27"/>
      <c r="C25" s="27"/>
      <c r="D25" s="28"/>
      <c r="E25" s="29"/>
      <c r="F25" s="30"/>
      <c r="G25" s="29"/>
    </row>
    <row r="26" spans="1:9" x14ac:dyDescent="0.2">
      <c r="A26" s="27" t="s">
        <v>882</v>
      </c>
      <c r="B26" s="27" t="s">
        <v>883</v>
      </c>
      <c r="C26" s="27" t="s">
        <v>74</v>
      </c>
      <c r="D26" s="31">
        <v>6500000</v>
      </c>
      <c r="E26" s="29">
        <v>6424.6909999999998</v>
      </c>
      <c r="F26" s="30">
        <v>20.66460634201</v>
      </c>
      <c r="G26" s="29">
        <v>3.7143379828704401</v>
      </c>
    </row>
    <row r="27" spans="1:9" x14ac:dyDescent="0.2">
      <c r="A27" s="27" t="s">
        <v>884</v>
      </c>
      <c r="B27" s="27" t="s">
        <v>885</v>
      </c>
      <c r="C27" s="27" t="s">
        <v>74</v>
      </c>
      <c r="D27" s="31">
        <v>3000000</v>
      </c>
      <c r="E27" s="29">
        <v>3020.268</v>
      </c>
      <c r="F27" s="30">
        <v>9.7144982174815393</v>
      </c>
      <c r="G27" s="29">
        <v>4.20990886996508</v>
      </c>
    </row>
    <row r="28" spans="1:9" x14ac:dyDescent="0.2">
      <c r="A28" s="27" t="s">
        <v>886</v>
      </c>
      <c r="B28" s="27" t="s">
        <v>887</v>
      </c>
      <c r="C28" s="27" t="s">
        <v>74</v>
      </c>
      <c r="D28" s="31">
        <v>2500000</v>
      </c>
      <c r="E28" s="29">
        <v>2612.2049999999999</v>
      </c>
      <c r="F28" s="30">
        <v>8.4019897625629199</v>
      </c>
      <c r="G28" s="29">
        <v>3.8858000000000001</v>
      </c>
    </row>
    <row r="29" spans="1:9" x14ac:dyDescent="0.2">
      <c r="A29" s="27" t="s">
        <v>888</v>
      </c>
      <c r="B29" s="27" t="s">
        <v>889</v>
      </c>
      <c r="C29" s="27" t="s">
        <v>74</v>
      </c>
      <c r="D29" s="31">
        <v>1000000</v>
      </c>
      <c r="E29" s="29">
        <v>1000.5</v>
      </c>
      <c r="F29" s="30">
        <v>3.2180440499287801</v>
      </c>
      <c r="G29" s="29">
        <v>4.4585999999999997</v>
      </c>
    </row>
    <row r="30" spans="1:9" x14ac:dyDescent="0.2">
      <c r="A30" s="27" t="s">
        <v>890</v>
      </c>
      <c r="B30" s="27" t="s">
        <v>891</v>
      </c>
      <c r="C30" s="27" t="s">
        <v>74</v>
      </c>
      <c r="D30" s="31">
        <v>500000</v>
      </c>
      <c r="E30" s="29">
        <v>520.83749999999998</v>
      </c>
      <c r="F30" s="30">
        <v>1.67524039765595</v>
      </c>
      <c r="G30" s="29">
        <v>4.1696999999999997</v>
      </c>
    </row>
    <row r="31" spans="1:9" x14ac:dyDescent="0.2">
      <c r="A31" s="27" t="s">
        <v>892</v>
      </c>
      <c r="B31" s="27" t="s">
        <v>893</v>
      </c>
      <c r="C31" s="27" t="s">
        <v>74</v>
      </c>
      <c r="D31" s="31">
        <v>500000</v>
      </c>
      <c r="E31" s="29">
        <v>492.70400000000001</v>
      </c>
      <c r="F31" s="30">
        <v>1.58475080017602</v>
      </c>
      <c r="G31" s="29">
        <v>4.8575970305378302</v>
      </c>
    </row>
    <row r="32" spans="1:9" x14ac:dyDescent="0.2">
      <c r="A32" s="26" t="s">
        <v>39</v>
      </c>
      <c r="B32" s="26"/>
      <c r="C32" s="26"/>
      <c r="D32" s="32"/>
      <c r="E32" s="33">
        <f>SUM(E26:E31)</f>
        <v>14071.205499999998</v>
      </c>
      <c r="F32" s="34">
        <f>SUM(F26:F31)</f>
        <v>45.259129569815201</v>
      </c>
      <c r="G32" s="33"/>
      <c r="H32" s="18"/>
      <c r="I32" s="18"/>
    </row>
    <row r="33" spans="1:9" x14ac:dyDescent="0.2">
      <c r="A33" s="27"/>
      <c r="B33" s="27"/>
      <c r="C33" s="27"/>
      <c r="D33" s="28"/>
      <c r="E33" s="29"/>
      <c r="F33" s="30"/>
      <c r="G33" s="29"/>
    </row>
    <row r="34" spans="1:9" x14ac:dyDescent="0.2">
      <c r="A34" s="26" t="s">
        <v>42</v>
      </c>
      <c r="B34" s="26"/>
      <c r="C34" s="26"/>
      <c r="D34" s="32"/>
      <c r="E34" s="33">
        <f>E13+E19+E23+E32</f>
        <v>29607.018499999998</v>
      </c>
      <c r="F34" s="34">
        <f>F13+F19+F23+F32</f>
        <v>95.229075182464982</v>
      </c>
      <c r="G34" s="33"/>
      <c r="H34" s="18"/>
      <c r="I34" s="18"/>
    </row>
    <row r="35" spans="1:9" x14ac:dyDescent="0.2">
      <c r="A35" s="26"/>
      <c r="B35" s="26"/>
      <c r="C35" s="26"/>
      <c r="D35" s="32"/>
      <c r="E35" s="33"/>
      <c r="F35" s="34"/>
      <c r="G35" s="33"/>
      <c r="H35" s="18"/>
      <c r="I35" s="18"/>
    </row>
    <row r="36" spans="1:9" x14ac:dyDescent="0.2">
      <c r="A36" s="26" t="s">
        <v>44</v>
      </c>
      <c r="B36" s="26"/>
      <c r="C36" s="26"/>
      <c r="D36" s="32"/>
      <c r="E36" s="33">
        <f>E38-(E13+E19+E23+E32)</f>
        <v>1483.295506800001</v>
      </c>
      <c r="F36" s="34">
        <f>F38-(F13+F19+F23+F32)</f>
        <v>4.7709248175350183</v>
      </c>
      <c r="G36" s="33"/>
      <c r="H36" s="18"/>
      <c r="I36" s="18"/>
    </row>
    <row r="37" spans="1:9" x14ac:dyDescent="0.2">
      <c r="A37" s="26"/>
      <c r="B37" s="26"/>
      <c r="C37" s="26"/>
      <c r="D37" s="32"/>
      <c r="E37" s="33"/>
      <c r="F37" s="34"/>
      <c r="G37" s="33"/>
      <c r="H37" s="18"/>
      <c r="I37" s="18"/>
    </row>
    <row r="38" spans="1:9" x14ac:dyDescent="0.2">
      <c r="A38" s="35" t="s">
        <v>43</v>
      </c>
      <c r="B38" s="35"/>
      <c r="C38" s="35"/>
      <c r="D38" s="36"/>
      <c r="E38" s="37">
        <v>31090.314006799999</v>
      </c>
      <c r="F38" s="38">
        <v>100</v>
      </c>
      <c r="G38" s="37"/>
      <c r="H38" s="18"/>
      <c r="I38" s="18"/>
    </row>
    <row r="40" spans="1:9" x14ac:dyDescent="0.2">
      <c r="A40" s="18" t="s">
        <v>46</v>
      </c>
    </row>
    <row r="42" spans="1:9" x14ac:dyDescent="0.2">
      <c r="A42" s="18" t="s">
        <v>47</v>
      </c>
    </row>
    <row r="43" spans="1:9" x14ac:dyDescent="0.2">
      <c r="A43" s="18" t="s">
        <v>48</v>
      </c>
    </row>
    <row r="44" spans="1:9" x14ac:dyDescent="0.2">
      <c r="A44" s="18" t="s">
        <v>49</v>
      </c>
      <c r="B44" s="18"/>
      <c r="C44" s="39" t="s">
        <v>51</v>
      </c>
      <c r="D44" s="19" t="s">
        <v>50</v>
      </c>
    </row>
    <row r="45" spans="1:9" x14ac:dyDescent="0.2">
      <c r="A45" s="9" t="s">
        <v>79</v>
      </c>
      <c r="C45" s="40">
        <v>30.896599999999999</v>
      </c>
      <c r="D45" s="40">
        <v>31.492100000000001</v>
      </c>
    </row>
    <row r="46" spans="1:9" x14ac:dyDescent="0.2">
      <c r="A46" s="9" t="s">
        <v>823</v>
      </c>
      <c r="C46" s="40">
        <v>10.1637</v>
      </c>
      <c r="D46" s="40">
        <v>10.1471</v>
      </c>
    </row>
    <row r="47" spans="1:9" x14ac:dyDescent="0.2">
      <c r="A47" s="9" t="s">
        <v>82</v>
      </c>
      <c r="C47" s="40">
        <v>32.643999999999998</v>
      </c>
      <c r="D47" s="40">
        <v>33.376899999999999</v>
      </c>
    </row>
    <row r="48" spans="1:9" x14ac:dyDescent="0.2">
      <c r="A48" s="9" t="s">
        <v>825</v>
      </c>
      <c r="C48" s="40">
        <v>10.0646</v>
      </c>
      <c r="D48" s="40">
        <v>10.047800000000001</v>
      </c>
    </row>
    <row r="50" spans="1:7" x14ac:dyDescent="0.2">
      <c r="A50" s="18" t="s">
        <v>53</v>
      </c>
    </row>
    <row r="51" spans="1:7" x14ac:dyDescent="0.2">
      <c r="A51" s="82" t="s">
        <v>76</v>
      </c>
      <c r="B51" s="83"/>
      <c r="C51" s="44" t="s">
        <v>77</v>
      </c>
    </row>
    <row r="52" spans="1:7" x14ac:dyDescent="0.2">
      <c r="A52" s="78" t="s">
        <v>823</v>
      </c>
      <c r="B52" s="79"/>
      <c r="C52" s="45">
        <v>0.2105075344</v>
      </c>
    </row>
    <row r="53" spans="1:7" x14ac:dyDescent="0.2">
      <c r="A53" s="78" t="s">
        <v>825</v>
      </c>
      <c r="B53" s="79"/>
      <c r="C53" s="45">
        <v>0.23897554979999999</v>
      </c>
    </row>
    <row r="54" spans="1:7" x14ac:dyDescent="0.2">
      <c r="A54" s="9" t="s">
        <v>78</v>
      </c>
    </row>
    <row r="55" spans="1:7" x14ac:dyDescent="0.2">
      <c r="A55" s="9" t="s">
        <v>52</v>
      </c>
    </row>
    <row r="57" spans="1:7" x14ac:dyDescent="0.2">
      <c r="A57" s="18" t="s">
        <v>820</v>
      </c>
      <c r="D57" s="42">
        <v>2.7606958371232873</v>
      </c>
      <c r="E57" s="13" t="s">
        <v>55</v>
      </c>
    </row>
    <row r="59" spans="1:7" x14ac:dyDescent="0.2">
      <c r="A59" s="18" t="s">
        <v>56</v>
      </c>
      <c r="D59" s="41" t="s">
        <v>54</v>
      </c>
    </row>
    <row r="61" spans="1:7" ht="14.4" x14ac:dyDescent="0.2">
      <c r="A61" s="80" t="s">
        <v>821</v>
      </c>
      <c r="B61" s="81"/>
      <c r="C61" s="81"/>
      <c r="D61" s="81"/>
      <c r="E61" s="81"/>
      <c r="F61" s="81"/>
      <c r="G61" s="81"/>
    </row>
    <row r="62" spans="1:7" x14ac:dyDescent="0.2">
      <c r="A62" s="53" t="s">
        <v>57</v>
      </c>
    </row>
    <row r="64" spans="1:7" x14ac:dyDescent="0.2">
      <c r="A64" s="53"/>
    </row>
  </sheetData>
  <mergeCells count="5">
    <mergeCell ref="A1:G1"/>
    <mergeCell ref="A51:B51"/>
    <mergeCell ref="A52:B52"/>
    <mergeCell ref="A53:B53"/>
    <mergeCell ref="A61:G61"/>
  </mergeCells>
  <conditionalFormatting sqref="F2:F3 F5:F60 F65:F65536">
    <cfRule type="cellIs" dxfId="143" priority="3" stopIfTrue="1" operator="between">
      <formula>0.009</formula>
      <formula>-0.009</formula>
    </cfRule>
  </conditionalFormatting>
  <conditionalFormatting sqref="F63:F64">
    <cfRule type="cellIs" dxfId="142" priority="2" stopIfTrue="1" operator="between">
      <formula>0.009</formula>
      <formula>-0.009</formula>
    </cfRule>
  </conditionalFormatting>
  <conditionalFormatting sqref="F62">
    <cfRule type="cellIs" dxfId="141" priority="1" stopIfTrue="1" operator="between">
      <formula>0.009</formula>
      <formula>-0.009</formula>
    </cfRule>
  </conditionalFormatting>
  <hyperlinks>
    <hyperlink ref="A62" r:id="rId1" xr:uid="{00000000-0004-0000-0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894</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895</v>
      </c>
      <c r="B7" s="27" t="s">
        <v>896</v>
      </c>
      <c r="C7" s="27" t="s">
        <v>897</v>
      </c>
      <c r="D7" s="31">
        <v>550</v>
      </c>
      <c r="E7" s="29">
        <v>5883.5095000000001</v>
      </c>
      <c r="F7" s="30">
        <v>6.87735950876794</v>
      </c>
      <c r="G7" s="29">
        <v>4.67</v>
      </c>
    </row>
    <row r="8" spans="1:7" x14ac:dyDescent="0.2">
      <c r="A8" s="27" t="s">
        <v>898</v>
      </c>
      <c r="B8" s="27" t="s">
        <v>899</v>
      </c>
      <c r="C8" s="27" t="s">
        <v>38</v>
      </c>
      <c r="D8" s="31">
        <v>500</v>
      </c>
      <c r="E8" s="29">
        <v>5333.09</v>
      </c>
      <c r="F8" s="30">
        <v>6.2339624373199696</v>
      </c>
      <c r="G8" s="29">
        <v>5.04</v>
      </c>
    </row>
    <row r="9" spans="1:7" x14ac:dyDescent="0.2">
      <c r="A9" s="27" t="s">
        <v>900</v>
      </c>
      <c r="B9" s="27" t="s">
        <v>901</v>
      </c>
      <c r="C9" s="27" t="s">
        <v>38</v>
      </c>
      <c r="D9" s="31">
        <v>500</v>
      </c>
      <c r="E9" s="29">
        <v>5092.3549999999996</v>
      </c>
      <c r="F9" s="30">
        <v>5.9525621708050203</v>
      </c>
      <c r="G9" s="29">
        <v>3.9</v>
      </c>
    </row>
    <row r="10" spans="1:7" x14ac:dyDescent="0.2">
      <c r="A10" s="27" t="s">
        <v>902</v>
      </c>
      <c r="B10" s="27" t="s">
        <v>903</v>
      </c>
      <c r="C10" s="27" t="s">
        <v>904</v>
      </c>
      <c r="D10" s="31">
        <v>430</v>
      </c>
      <c r="E10" s="29">
        <v>4416.7020000000002</v>
      </c>
      <c r="F10" s="30">
        <v>5.1627769951071496</v>
      </c>
      <c r="G10" s="29">
        <v>5.2746000000000004</v>
      </c>
    </row>
    <row r="11" spans="1:7" x14ac:dyDescent="0.2">
      <c r="A11" s="27" t="s">
        <v>905</v>
      </c>
      <c r="B11" s="27" t="s">
        <v>906</v>
      </c>
      <c r="C11" s="27" t="s">
        <v>897</v>
      </c>
      <c r="D11" s="31">
        <v>264</v>
      </c>
      <c r="E11" s="29">
        <v>2716.9639200000001</v>
      </c>
      <c r="F11" s="30">
        <v>3.1759169676179502</v>
      </c>
      <c r="G11" s="29">
        <v>5.6599000000000004</v>
      </c>
    </row>
    <row r="12" spans="1:7" x14ac:dyDescent="0.2">
      <c r="A12" s="27" t="s">
        <v>907</v>
      </c>
      <c r="B12" s="27" t="s">
        <v>908</v>
      </c>
      <c r="C12" s="27" t="s">
        <v>38</v>
      </c>
      <c r="D12" s="31">
        <v>250</v>
      </c>
      <c r="E12" s="29">
        <v>2608.1275000000001</v>
      </c>
      <c r="F12" s="30">
        <v>3.048695759258</v>
      </c>
      <c r="G12" s="29">
        <v>6.5537000000000001</v>
      </c>
    </row>
    <row r="13" spans="1:7" x14ac:dyDescent="0.2">
      <c r="A13" s="27" t="s">
        <v>909</v>
      </c>
      <c r="B13" s="27" t="s">
        <v>910</v>
      </c>
      <c r="C13" s="27" t="s">
        <v>38</v>
      </c>
      <c r="D13" s="31">
        <v>250</v>
      </c>
      <c r="E13" s="29">
        <v>2602.9749999999999</v>
      </c>
      <c r="F13" s="30">
        <v>3.0426728923162698</v>
      </c>
      <c r="G13" s="29">
        <v>5.6349</v>
      </c>
    </row>
    <row r="14" spans="1:7" x14ac:dyDescent="0.2">
      <c r="A14" s="27" t="s">
        <v>911</v>
      </c>
      <c r="B14" s="27" t="s">
        <v>912</v>
      </c>
      <c r="C14" s="27" t="s">
        <v>38</v>
      </c>
      <c r="D14" s="31">
        <v>250</v>
      </c>
      <c r="E14" s="29">
        <v>2587.625</v>
      </c>
      <c r="F14" s="30">
        <v>3.0247299505296401</v>
      </c>
      <c r="G14" s="29">
        <v>4.1100000000000003</v>
      </c>
    </row>
    <row r="15" spans="1:7" x14ac:dyDescent="0.2">
      <c r="A15" s="27" t="s">
        <v>913</v>
      </c>
      <c r="B15" s="27" t="s">
        <v>914</v>
      </c>
      <c r="C15" s="27" t="s">
        <v>38</v>
      </c>
      <c r="D15" s="31">
        <v>250</v>
      </c>
      <c r="E15" s="29">
        <v>2585.7224999999999</v>
      </c>
      <c r="F15" s="30">
        <v>3.0225060777772499</v>
      </c>
      <c r="G15" s="29">
        <v>4.5849000000000002</v>
      </c>
    </row>
    <row r="16" spans="1:7" x14ac:dyDescent="0.2">
      <c r="A16" s="27" t="s">
        <v>915</v>
      </c>
      <c r="B16" s="27" t="s">
        <v>916</v>
      </c>
      <c r="C16" s="27" t="s">
        <v>38</v>
      </c>
      <c r="D16" s="31">
        <v>250</v>
      </c>
      <c r="E16" s="29">
        <v>2579.8825000000002</v>
      </c>
      <c r="F16" s="30">
        <v>3.0156795774493101</v>
      </c>
      <c r="G16" s="29">
        <v>3.8115999999999999</v>
      </c>
    </row>
    <row r="17" spans="1:7" x14ac:dyDescent="0.2">
      <c r="A17" s="27" t="s">
        <v>917</v>
      </c>
      <c r="B17" s="27" t="s">
        <v>918</v>
      </c>
      <c r="C17" s="27" t="s">
        <v>38</v>
      </c>
      <c r="D17" s="31">
        <v>250</v>
      </c>
      <c r="E17" s="29">
        <v>2576.27</v>
      </c>
      <c r="F17" s="30">
        <v>3.0114568492926899</v>
      </c>
      <c r="G17" s="29">
        <v>4.5525000000000002</v>
      </c>
    </row>
    <row r="18" spans="1:7" x14ac:dyDescent="0.2">
      <c r="A18" s="27" t="s">
        <v>919</v>
      </c>
      <c r="B18" s="27" t="s">
        <v>920</v>
      </c>
      <c r="C18" s="27" t="s">
        <v>38</v>
      </c>
      <c r="D18" s="31">
        <v>250</v>
      </c>
      <c r="E18" s="29">
        <v>2559.19</v>
      </c>
      <c r="F18" s="30">
        <v>2.99149167367603</v>
      </c>
      <c r="G18" s="29">
        <v>4.5549999999999997</v>
      </c>
    </row>
    <row r="19" spans="1:7" x14ac:dyDescent="0.2">
      <c r="A19" s="27" t="s">
        <v>921</v>
      </c>
      <c r="B19" s="27" t="s">
        <v>922</v>
      </c>
      <c r="C19" s="27" t="s">
        <v>38</v>
      </c>
      <c r="D19" s="31">
        <v>250</v>
      </c>
      <c r="E19" s="29">
        <v>2524.9699999999998</v>
      </c>
      <c r="F19" s="30">
        <v>2.9514911871653799</v>
      </c>
      <c r="G19" s="29">
        <v>4.3899999999999997</v>
      </c>
    </row>
    <row r="20" spans="1:7" x14ac:dyDescent="0.2">
      <c r="A20" s="27" t="s">
        <v>923</v>
      </c>
      <c r="B20" s="27" t="s">
        <v>924</v>
      </c>
      <c r="C20" s="27" t="s">
        <v>38</v>
      </c>
      <c r="D20" s="31">
        <v>166</v>
      </c>
      <c r="E20" s="29">
        <v>2132.44596</v>
      </c>
      <c r="F20" s="30">
        <v>2.4926614803528002</v>
      </c>
      <c r="G20" s="29">
        <v>4.0250000000000004</v>
      </c>
    </row>
    <row r="21" spans="1:7" x14ac:dyDescent="0.2">
      <c r="A21" s="27" t="s">
        <v>925</v>
      </c>
      <c r="B21" s="27" t="s">
        <v>926</v>
      </c>
      <c r="C21" s="27" t="s">
        <v>927</v>
      </c>
      <c r="D21" s="31">
        <v>200</v>
      </c>
      <c r="E21" s="29">
        <v>2110.982</v>
      </c>
      <c r="F21" s="30">
        <v>2.4675718005618901</v>
      </c>
      <c r="G21" s="29">
        <v>4.6749000000000001</v>
      </c>
    </row>
    <row r="22" spans="1:7" x14ac:dyDescent="0.2">
      <c r="A22" s="27" t="s">
        <v>928</v>
      </c>
      <c r="B22" s="27" t="s">
        <v>929</v>
      </c>
      <c r="C22" s="27" t="s">
        <v>38</v>
      </c>
      <c r="D22" s="31">
        <v>200</v>
      </c>
      <c r="E22" s="29">
        <v>2105.2460000000001</v>
      </c>
      <c r="F22" s="30">
        <v>2.4608668680479999</v>
      </c>
      <c r="G22" s="29">
        <v>5.2050000000000001</v>
      </c>
    </row>
    <row r="23" spans="1:7" x14ac:dyDescent="0.2">
      <c r="A23" s="27" t="s">
        <v>930</v>
      </c>
      <c r="B23" s="27" t="s">
        <v>931</v>
      </c>
      <c r="C23" s="27" t="s">
        <v>38</v>
      </c>
      <c r="D23" s="31">
        <v>187</v>
      </c>
      <c r="E23" s="29">
        <v>1905.8983900000001</v>
      </c>
      <c r="F23" s="30">
        <v>2.2278452028014901</v>
      </c>
      <c r="G23" s="29">
        <v>3.7149999999999999</v>
      </c>
    </row>
    <row r="24" spans="1:7" x14ac:dyDescent="0.2">
      <c r="A24" s="27" t="s">
        <v>932</v>
      </c>
      <c r="B24" s="27" t="s">
        <v>933</v>
      </c>
      <c r="C24" s="27" t="s">
        <v>38</v>
      </c>
      <c r="D24" s="31">
        <v>180</v>
      </c>
      <c r="E24" s="29">
        <v>1838.3904</v>
      </c>
      <c r="F24" s="30">
        <v>2.1489336761107798</v>
      </c>
      <c r="G24" s="29">
        <v>3.6987999999999999</v>
      </c>
    </row>
    <row r="25" spans="1:7" x14ac:dyDescent="0.2">
      <c r="A25" s="27" t="s">
        <v>934</v>
      </c>
      <c r="B25" s="27" t="s">
        <v>935</v>
      </c>
      <c r="C25" s="27" t="s">
        <v>936</v>
      </c>
      <c r="D25" s="31">
        <v>160</v>
      </c>
      <c r="E25" s="29">
        <v>1806.3040000000001</v>
      </c>
      <c r="F25" s="30">
        <v>2.1114272000624101</v>
      </c>
      <c r="G25" s="29">
        <v>7.53</v>
      </c>
    </row>
    <row r="26" spans="1:7" x14ac:dyDescent="0.2">
      <c r="A26" s="27" t="s">
        <v>937</v>
      </c>
      <c r="B26" s="27" t="s">
        <v>938</v>
      </c>
      <c r="C26" s="27" t="s">
        <v>927</v>
      </c>
      <c r="D26" s="31">
        <v>140</v>
      </c>
      <c r="E26" s="29">
        <v>1517.6224</v>
      </c>
      <c r="F26" s="30">
        <v>1.7739811320707899</v>
      </c>
      <c r="G26" s="29">
        <v>4.99</v>
      </c>
    </row>
    <row r="27" spans="1:7" x14ac:dyDescent="0.2">
      <c r="A27" s="27" t="s">
        <v>939</v>
      </c>
      <c r="B27" s="27" t="s">
        <v>940</v>
      </c>
      <c r="C27" s="27" t="s">
        <v>927</v>
      </c>
      <c r="D27" s="31">
        <v>150</v>
      </c>
      <c r="E27" s="29">
        <v>1506.0645</v>
      </c>
      <c r="F27" s="30">
        <v>1.7604708567042899</v>
      </c>
      <c r="G27" s="29">
        <v>5.0373999999999999</v>
      </c>
    </row>
    <row r="28" spans="1:7" x14ac:dyDescent="0.2">
      <c r="A28" s="27" t="s">
        <v>941</v>
      </c>
      <c r="B28" s="27" t="s">
        <v>942</v>
      </c>
      <c r="C28" s="27" t="s">
        <v>38</v>
      </c>
      <c r="D28" s="31">
        <v>118</v>
      </c>
      <c r="E28" s="29">
        <v>1192.08438</v>
      </c>
      <c r="F28" s="30">
        <v>1.39345281010369</v>
      </c>
      <c r="G28" s="29">
        <v>3.4001000000000001</v>
      </c>
    </row>
    <row r="29" spans="1:7" x14ac:dyDescent="0.2">
      <c r="A29" s="27" t="s">
        <v>943</v>
      </c>
      <c r="B29" s="27" t="s">
        <v>944</v>
      </c>
      <c r="C29" s="27" t="s">
        <v>38</v>
      </c>
      <c r="D29" s="31">
        <v>100</v>
      </c>
      <c r="E29" s="29">
        <v>1080.866</v>
      </c>
      <c r="F29" s="30">
        <v>1.26344727799011</v>
      </c>
      <c r="G29" s="29">
        <v>5.9349999999999996</v>
      </c>
    </row>
    <row r="30" spans="1:7" x14ac:dyDescent="0.2">
      <c r="A30" s="27" t="s">
        <v>945</v>
      </c>
      <c r="B30" s="27" t="s">
        <v>946</v>
      </c>
      <c r="C30" s="27" t="s">
        <v>38</v>
      </c>
      <c r="D30" s="31">
        <v>100</v>
      </c>
      <c r="E30" s="29">
        <v>1056.9970000000001</v>
      </c>
      <c r="F30" s="30">
        <v>1.2355462957422201</v>
      </c>
      <c r="G30" s="29">
        <v>5.5911999999999997</v>
      </c>
    </row>
    <row r="31" spans="1:7" x14ac:dyDescent="0.2">
      <c r="A31" s="27" t="s">
        <v>947</v>
      </c>
      <c r="B31" s="27" t="s">
        <v>948</v>
      </c>
      <c r="C31" s="27" t="s">
        <v>949</v>
      </c>
      <c r="D31" s="31">
        <v>100</v>
      </c>
      <c r="E31" s="29">
        <v>1045.5999999999999</v>
      </c>
      <c r="F31" s="30">
        <v>1.22222409981113</v>
      </c>
      <c r="G31" s="29">
        <v>8.8552999999999997</v>
      </c>
    </row>
    <row r="32" spans="1:7" x14ac:dyDescent="0.2">
      <c r="A32" s="27" t="s">
        <v>950</v>
      </c>
      <c r="B32" s="27" t="s">
        <v>951</v>
      </c>
      <c r="C32" s="27" t="s">
        <v>38</v>
      </c>
      <c r="D32" s="31">
        <v>100</v>
      </c>
      <c r="E32" s="29">
        <v>1039.45</v>
      </c>
      <c r="F32" s="30">
        <v>1.2150352338835899</v>
      </c>
      <c r="G32" s="29">
        <v>4.83</v>
      </c>
    </row>
    <row r="33" spans="1:9" x14ac:dyDescent="0.2">
      <c r="A33" s="27" t="s">
        <v>952</v>
      </c>
      <c r="B33" s="27" t="s">
        <v>953</v>
      </c>
      <c r="C33" s="27" t="s">
        <v>38</v>
      </c>
      <c r="D33" s="31">
        <v>76</v>
      </c>
      <c r="E33" s="29">
        <v>785.68420000000003</v>
      </c>
      <c r="F33" s="30">
        <v>0.91840298783553098</v>
      </c>
      <c r="G33" s="29">
        <v>3.9</v>
      </c>
    </row>
    <row r="34" spans="1:9" x14ac:dyDescent="0.2">
      <c r="A34" s="27" t="s">
        <v>954</v>
      </c>
      <c r="B34" s="27" t="s">
        <v>955</v>
      </c>
      <c r="C34" s="27" t="s">
        <v>871</v>
      </c>
      <c r="D34" s="31">
        <v>59</v>
      </c>
      <c r="E34" s="29">
        <v>611.26832000000002</v>
      </c>
      <c r="F34" s="30">
        <v>0.71452455255840097</v>
      </c>
      <c r="G34" s="29">
        <v>3.915</v>
      </c>
    </row>
    <row r="35" spans="1:9" x14ac:dyDescent="0.2">
      <c r="A35" s="27" t="s">
        <v>956</v>
      </c>
      <c r="B35" s="27" t="s">
        <v>957</v>
      </c>
      <c r="C35" s="27" t="s">
        <v>927</v>
      </c>
      <c r="D35" s="31">
        <v>53</v>
      </c>
      <c r="E35" s="29">
        <v>537.45392000000004</v>
      </c>
      <c r="F35" s="30">
        <v>0.628241328961329</v>
      </c>
      <c r="G35" s="29">
        <v>3.4849999999999999</v>
      </c>
    </row>
    <row r="36" spans="1:9" x14ac:dyDescent="0.2">
      <c r="A36" s="27" t="s">
        <v>958</v>
      </c>
      <c r="B36" s="27" t="s">
        <v>959</v>
      </c>
      <c r="C36" s="27" t="s">
        <v>38</v>
      </c>
      <c r="D36" s="31">
        <v>45</v>
      </c>
      <c r="E36" s="29">
        <v>494.75835000000001</v>
      </c>
      <c r="F36" s="30">
        <v>0.57833356824100202</v>
      </c>
      <c r="G36" s="29">
        <v>5.9458000000000002</v>
      </c>
    </row>
    <row r="37" spans="1:9" x14ac:dyDescent="0.2">
      <c r="A37" s="27" t="s">
        <v>960</v>
      </c>
      <c r="B37" s="27" t="s">
        <v>961</v>
      </c>
      <c r="C37" s="27" t="s">
        <v>38</v>
      </c>
      <c r="D37" s="31">
        <v>31</v>
      </c>
      <c r="E37" s="29">
        <v>388.12589000000003</v>
      </c>
      <c r="F37" s="30">
        <v>0.453688615645223</v>
      </c>
      <c r="G37" s="29">
        <v>4.2499000000000002</v>
      </c>
    </row>
    <row r="38" spans="1:9" x14ac:dyDescent="0.2">
      <c r="A38" s="27" t="s">
        <v>962</v>
      </c>
      <c r="B38" s="27" t="s">
        <v>963</v>
      </c>
      <c r="C38" s="27" t="s">
        <v>927</v>
      </c>
      <c r="D38" s="31">
        <v>34</v>
      </c>
      <c r="E38" s="29">
        <v>351.90714000000003</v>
      </c>
      <c r="F38" s="30">
        <v>0.411351747708121</v>
      </c>
      <c r="G38" s="29">
        <v>3.835</v>
      </c>
    </row>
    <row r="39" spans="1:9" x14ac:dyDescent="0.2">
      <c r="A39" s="27" t="s">
        <v>964</v>
      </c>
      <c r="B39" s="27" t="s">
        <v>965</v>
      </c>
      <c r="C39" s="27" t="s">
        <v>38</v>
      </c>
      <c r="D39" s="31">
        <v>33</v>
      </c>
      <c r="E39" s="29">
        <v>333.57686999999999</v>
      </c>
      <c r="F39" s="30">
        <v>0.38992510487142901</v>
      </c>
      <c r="G39" s="29">
        <v>3.5750000000000002</v>
      </c>
    </row>
    <row r="40" spans="1:9" x14ac:dyDescent="0.2">
      <c r="A40" s="27" t="s">
        <v>966</v>
      </c>
      <c r="B40" s="27" t="s">
        <v>967</v>
      </c>
      <c r="C40" s="27" t="s">
        <v>927</v>
      </c>
      <c r="D40" s="31">
        <v>19</v>
      </c>
      <c r="E40" s="29">
        <v>193.28415000000001</v>
      </c>
      <c r="F40" s="30">
        <v>0.22593395776732</v>
      </c>
      <c r="G40" s="29">
        <v>3.5150000000000001</v>
      </c>
    </row>
    <row r="41" spans="1:9" x14ac:dyDescent="0.2">
      <c r="A41" s="27" t="s">
        <v>968</v>
      </c>
      <c r="B41" s="27" t="s">
        <v>969</v>
      </c>
      <c r="C41" s="27" t="s">
        <v>38</v>
      </c>
      <c r="D41" s="31">
        <v>15</v>
      </c>
      <c r="E41" s="29">
        <v>193.1652</v>
      </c>
      <c r="F41" s="30">
        <v>0.22579491457999001</v>
      </c>
      <c r="G41" s="29">
        <v>4.0350000000000001</v>
      </c>
    </row>
    <row r="42" spans="1:9" x14ac:dyDescent="0.2">
      <c r="A42" s="27" t="s">
        <v>102</v>
      </c>
      <c r="B42" s="27" t="s">
        <v>101</v>
      </c>
      <c r="C42" s="27" t="s">
        <v>38</v>
      </c>
      <c r="D42" s="31">
        <v>13</v>
      </c>
      <c r="E42" s="29">
        <v>144.29012</v>
      </c>
      <c r="F42" s="30">
        <v>0.16866379306488199</v>
      </c>
      <c r="G42" s="29">
        <v>7</v>
      </c>
    </row>
    <row r="43" spans="1:9" x14ac:dyDescent="0.2">
      <c r="A43" s="27" t="s">
        <v>970</v>
      </c>
      <c r="B43" s="27" t="s">
        <v>971</v>
      </c>
      <c r="C43" s="27" t="s">
        <v>927</v>
      </c>
      <c r="D43" s="31">
        <v>70</v>
      </c>
      <c r="E43" s="29">
        <v>70.700069999999997</v>
      </c>
      <c r="F43" s="30">
        <v>8.2642816959003607E-2</v>
      </c>
      <c r="G43" s="29">
        <v>3.3098999999999998</v>
      </c>
    </row>
    <row r="44" spans="1:9" x14ac:dyDescent="0.2">
      <c r="A44" s="27" t="s">
        <v>972</v>
      </c>
      <c r="B44" s="27" t="s">
        <v>973</v>
      </c>
      <c r="C44" s="27" t="s">
        <v>871</v>
      </c>
      <c r="D44" s="31">
        <v>3</v>
      </c>
      <c r="E44" s="29">
        <v>39.201000000000001</v>
      </c>
      <c r="F44" s="30">
        <v>4.5822883451316299E-2</v>
      </c>
      <c r="G44" s="29">
        <v>5</v>
      </c>
    </row>
    <row r="45" spans="1:9" x14ac:dyDescent="0.2">
      <c r="A45" s="27" t="s">
        <v>974</v>
      </c>
      <c r="B45" s="27" t="s">
        <v>975</v>
      </c>
      <c r="C45" s="27" t="s">
        <v>38</v>
      </c>
      <c r="D45" s="31">
        <v>3</v>
      </c>
      <c r="E45" s="29">
        <v>30.754079999999998</v>
      </c>
      <c r="F45" s="30">
        <v>3.5949098836571901E-2</v>
      </c>
      <c r="G45" s="29">
        <v>4.3696999999999999</v>
      </c>
    </row>
    <row r="46" spans="1:9" x14ac:dyDescent="0.2">
      <c r="A46" s="27" t="s">
        <v>976</v>
      </c>
      <c r="B46" s="27" t="s">
        <v>977</v>
      </c>
      <c r="C46" s="27" t="s">
        <v>38</v>
      </c>
      <c r="D46" s="31">
        <v>2</v>
      </c>
      <c r="E46" s="29">
        <v>20.344059999999999</v>
      </c>
      <c r="F46" s="30">
        <v>2.3780604839330199E-2</v>
      </c>
      <c r="G46" s="29">
        <v>3.55</v>
      </c>
    </row>
    <row r="47" spans="1:9" x14ac:dyDescent="0.2">
      <c r="A47" s="27" t="s">
        <v>978</v>
      </c>
      <c r="B47" s="27" t="s">
        <v>979</v>
      </c>
      <c r="C47" s="27" t="s">
        <v>38</v>
      </c>
      <c r="D47" s="31">
        <v>2</v>
      </c>
      <c r="E47" s="29">
        <v>20.103560000000002</v>
      </c>
      <c r="F47" s="30">
        <v>2.34994792693182E-2</v>
      </c>
      <c r="G47" s="29">
        <v>3.2397</v>
      </c>
    </row>
    <row r="48" spans="1:9" x14ac:dyDescent="0.2">
      <c r="A48" s="26" t="s">
        <v>39</v>
      </c>
      <c r="B48" s="26"/>
      <c r="C48" s="26"/>
      <c r="D48" s="32"/>
      <c r="E48" s="33">
        <f>SUM(E6:E47)</f>
        <v>68619.950880000019</v>
      </c>
      <c r="F48" s="34">
        <f>SUM(F6:F47)</f>
        <v>80.211321435914584</v>
      </c>
      <c r="G48" s="33"/>
      <c r="H48" s="18"/>
      <c r="I48" s="18"/>
    </row>
    <row r="49" spans="1:9" x14ac:dyDescent="0.2">
      <c r="A49" s="27"/>
      <c r="B49" s="27"/>
      <c r="C49" s="27"/>
      <c r="D49" s="28"/>
      <c r="E49" s="29"/>
      <c r="F49" s="30"/>
      <c r="G49" s="29"/>
    </row>
    <row r="50" spans="1:9" x14ac:dyDescent="0.2">
      <c r="A50" s="26" t="s">
        <v>71</v>
      </c>
      <c r="B50" s="27"/>
      <c r="C50" s="27"/>
      <c r="D50" s="28"/>
      <c r="E50" s="29"/>
      <c r="F50" s="30"/>
      <c r="G50" s="29"/>
    </row>
    <row r="51" spans="1:9" x14ac:dyDescent="0.2">
      <c r="A51" s="27" t="s">
        <v>104</v>
      </c>
      <c r="B51" s="27" t="s">
        <v>103</v>
      </c>
      <c r="C51" s="27" t="s">
        <v>74</v>
      </c>
      <c r="D51" s="31">
        <v>4500000</v>
      </c>
      <c r="E51" s="29">
        <v>4658.8005000000003</v>
      </c>
      <c r="F51" s="30">
        <v>5.4457710857997004</v>
      </c>
      <c r="G51" s="29">
        <v>5.0692000000000004</v>
      </c>
    </row>
    <row r="52" spans="1:9" x14ac:dyDescent="0.2">
      <c r="A52" s="27" t="s">
        <v>94</v>
      </c>
      <c r="B52" s="27" t="s">
        <v>93</v>
      </c>
      <c r="C52" s="27" t="s">
        <v>74</v>
      </c>
      <c r="D52" s="31">
        <v>2000000</v>
      </c>
      <c r="E52" s="29">
        <v>2129.248</v>
      </c>
      <c r="F52" s="30">
        <v>2.4889233168273299</v>
      </c>
      <c r="G52" s="29">
        <v>4.7731000000000003</v>
      </c>
    </row>
    <row r="53" spans="1:9" x14ac:dyDescent="0.2">
      <c r="A53" s="27" t="s">
        <v>980</v>
      </c>
      <c r="B53" s="27" t="s">
        <v>981</v>
      </c>
      <c r="C53" s="27" t="s">
        <v>74</v>
      </c>
      <c r="D53" s="31">
        <v>2000000</v>
      </c>
      <c r="E53" s="29">
        <v>2109.11</v>
      </c>
      <c r="F53" s="30">
        <v>2.4653835799088202</v>
      </c>
      <c r="G53" s="29">
        <v>4.4292999999999996</v>
      </c>
    </row>
    <row r="54" spans="1:9" x14ac:dyDescent="0.2">
      <c r="A54" s="26" t="s">
        <v>39</v>
      </c>
      <c r="B54" s="26"/>
      <c r="C54" s="26"/>
      <c r="D54" s="32"/>
      <c r="E54" s="33">
        <f>SUM(E51:E53)</f>
        <v>8897.1585000000014</v>
      </c>
      <c r="F54" s="34">
        <f>SUM(F51:F53)</f>
        <v>10.400077982535851</v>
      </c>
      <c r="G54" s="33"/>
      <c r="H54" s="18"/>
      <c r="I54" s="18"/>
    </row>
    <row r="55" spans="1:9" x14ac:dyDescent="0.2">
      <c r="A55" s="27"/>
      <c r="B55" s="27"/>
      <c r="C55" s="27"/>
      <c r="D55" s="28"/>
      <c r="E55" s="29"/>
      <c r="F55" s="30"/>
      <c r="G55" s="29"/>
    </row>
    <row r="56" spans="1:9" x14ac:dyDescent="0.2">
      <c r="A56" s="26" t="s">
        <v>42</v>
      </c>
      <c r="B56" s="26"/>
      <c r="C56" s="26"/>
      <c r="D56" s="32"/>
      <c r="E56" s="33">
        <f>E48+E54</f>
        <v>77517.109380000024</v>
      </c>
      <c r="F56" s="34">
        <f>F48+F54</f>
        <v>90.611399418450432</v>
      </c>
      <c r="G56" s="33"/>
      <c r="H56" s="18"/>
      <c r="I56" s="18"/>
    </row>
    <row r="57" spans="1:9" x14ac:dyDescent="0.2">
      <c r="A57" s="26"/>
      <c r="B57" s="26"/>
      <c r="C57" s="26"/>
      <c r="D57" s="32"/>
      <c r="E57" s="33"/>
      <c r="F57" s="34"/>
      <c r="G57" s="33"/>
      <c r="H57" s="18"/>
      <c r="I57" s="18"/>
    </row>
    <row r="58" spans="1:9" x14ac:dyDescent="0.2">
      <c r="A58" s="26" t="s">
        <v>44</v>
      </c>
      <c r="B58" s="26"/>
      <c r="C58" s="26"/>
      <c r="D58" s="32"/>
      <c r="E58" s="33">
        <f>E60-(E48+E54)</f>
        <v>8031.8501079999696</v>
      </c>
      <c r="F58" s="34">
        <f>F60-(F48+F54)</f>
        <v>9.3886005815495679</v>
      </c>
      <c r="G58" s="33"/>
      <c r="H58" s="18"/>
      <c r="I58" s="18"/>
    </row>
    <row r="59" spans="1:9" x14ac:dyDescent="0.2">
      <c r="A59" s="26"/>
      <c r="B59" s="26"/>
      <c r="C59" s="26"/>
      <c r="D59" s="32"/>
      <c r="E59" s="33"/>
      <c r="F59" s="34"/>
      <c r="G59" s="33"/>
      <c r="H59" s="18"/>
      <c r="I59" s="18"/>
    </row>
    <row r="60" spans="1:9" x14ac:dyDescent="0.2">
      <c r="A60" s="35" t="s">
        <v>43</v>
      </c>
      <c r="B60" s="35"/>
      <c r="C60" s="35"/>
      <c r="D60" s="36"/>
      <c r="E60" s="37">
        <v>85548.959487999993</v>
      </c>
      <c r="F60" s="38">
        <v>100</v>
      </c>
      <c r="G60" s="37"/>
      <c r="H60" s="18"/>
      <c r="I60" s="18"/>
    </row>
    <row r="62" spans="1:9" x14ac:dyDescent="0.2">
      <c r="A62" s="18" t="s">
        <v>46</v>
      </c>
    </row>
    <row r="64" spans="1:9" x14ac:dyDescent="0.2">
      <c r="A64" s="18" t="s">
        <v>47</v>
      </c>
    </row>
    <row r="65" spans="1:4" x14ac:dyDescent="0.2">
      <c r="A65" s="18" t="s">
        <v>48</v>
      </c>
    </row>
    <row r="66" spans="1:4" x14ac:dyDescent="0.2">
      <c r="A66" s="18" t="s">
        <v>49</v>
      </c>
      <c r="B66" s="18"/>
      <c r="C66" s="39" t="s">
        <v>51</v>
      </c>
      <c r="D66" s="41" t="s">
        <v>50</v>
      </c>
    </row>
    <row r="67" spans="1:4" x14ac:dyDescent="0.2">
      <c r="A67" s="9" t="s">
        <v>79</v>
      </c>
      <c r="C67" s="40">
        <v>75.753500000000003</v>
      </c>
      <c r="D67" s="40">
        <v>77.706999999999994</v>
      </c>
    </row>
    <row r="68" spans="1:4" x14ac:dyDescent="0.2">
      <c r="A68" s="9" t="s">
        <v>80</v>
      </c>
      <c r="C68" s="40">
        <v>16.232700000000001</v>
      </c>
      <c r="D68" s="40">
        <v>16.023900000000001</v>
      </c>
    </row>
    <row r="69" spans="1:4" x14ac:dyDescent="0.2">
      <c r="A69" s="9" t="s">
        <v>81</v>
      </c>
      <c r="C69" s="40">
        <v>13.510999999999999</v>
      </c>
      <c r="D69" s="40">
        <v>13.3024</v>
      </c>
    </row>
    <row r="70" spans="1:4" x14ac:dyDescent="0.2">
      <c r="A70" s="9" t="s">
        <v>982</v>
      </c>
      <c r="C70" s="40">
        <v>14.0273</v>
      </c>
      <c r="D70" s="40">
        <v>13.832599999999999</v>
      </c>
    </row>
    <row r="71" spans="1:4" x14ac:dyDescent="0.2">
      <c r="A71" s="9" t="s">
        <v>983</v>
      </c>
      <c r="C71" s="40">
        <v>18.213699999999999</v>
      </c>
      <c r="D71" s="40">
        <v>17.413599999999999</v>
      </c>
    </row>
    <row r="72" spans="1:4" x14ac:dyDescent="0.2">
      <c r="A72" s="9" t="s">
        <v>82</v>
      </c>
      <c r="C72" s="40">
        <v>79.971999999999994</v>
      </c>
      <c r="D72" s="40">
        <v>82.265299999999996</v>
      </c>
    </row>
    <row r="73" spans="1:4" x14ac:dyDescent="0.2">
      <c r="A73" s="9" t="s">
        <v>83</v>
      </c>
      <c r="C73" s="40">
        <v>17.526199999999999</v>
      </c>
      <c r="D73" s="40">
        <v>17.400500000000001</v>
      </c>
    </row>
    <row r="74" spans="1:4" x14ac:dyDescent="0.2">
      <c r="A74" s="9" t="s">
        <v>84</v>
      </c>
      <c r="C74" s="40">
        <v>14.626300000000001</v>
      </c>
      <c r="D74" s="40">
        <v>14.488200000000001</v>
      </c>
    </row>
    <row r="75" spans="1:4" x14ac:dyDescent="0.2">
      <c r="A75" s="9" t="s">
        <v>984</v>
      </c>
      <c r="C75" s="40">
        <v>15.489000000000001</v>
      </c>
      <c r="D75" s="40">
        <v>15.377599999999999</v>
      </c>
    </row>
    <row r="76" spans="1:4" x14ac:dyDescent="0.2">
      <c r="A76" s="9" t="s">
        <v>985</v>
      </c>
      <c r="C76" s="40">
        <v>19.691700000000001</v>
      </c>
      <c r="D76" s="40">
        <v>18.9862</v>
      </c>
    </row>
    <row r="78" spans="1:4" x14ac:dyDescent="0.2">
      <c r="A78" s="18" t="s">
        <v>53</v>
      </c>
    </row>
    <row r="79" spans="1:4" x14ac:dyDescent="0.2">
      <c r="A79" s="82" t="s">
        <v>76</v>
      </c>
      <c r="B79" s="83"/>
      <c r="C79" s="44" t="s">
        <v>77</v>
      </c>
    </row>
    <row r="80" spans="1:4" x14ac:dyDescent="0.2">
      <c r="A80" s="78" t="s">
        <v>80</v>
      </c>
      <c r="B80" s="79"/>
      <c r="C80" s="45">
        <v>0.62</v>
      </c>
    </row>
    <row r="81" spans="1:5" x14ac:dyDescent="0.2">
      <c r="A81" s="78" t="s">
        <v>81</v>
      </c>
      <c r="B81" s="79"/>
      <c r="C81" s="45">
        <v>0.55000000000000004</v>
      </c>
    </row>
    <row r="82" spans="1:5" x14ac:dyDescent="0.2">
      <c r="A82" s="78" t="s">
        <v>982</v>
      </c>
      <c r="B82" s="79"/>
      <c r="C82" s="45">
        <v>0.55000000000000004</v>
      </c>
    </row>
    <row r="83" spans="1:5" x14ac:dyDescent="0.2">
      <c r="A83" s="78" t="s">
        <v>983</v>
      </c>
      <c r="B83" s="79"/>
      <c r="C83" s="45">
        <v>1.2549999999999999</v>
      </c>
    </row>
    <row r="84" spans="1:5" x14ac:dyDescent="0.2">
      <c r="A84" s="78" t="s">
        <v>83</v>
      </c>
      <c r="B84" s="79"/>
      <c r="C84" s="45">
        <v>0.62</v>
      </c>
    </row>
    <row r="85" spans="1:5" x14ac:dyDescent="0.2">
      <c r="A85" s="78" t="s">
        <v>84</v>
      </c>
      <c r="B85" s="79"/>
      <c r="C85" s="45">
        <v>0.55000000000000004</v>
      </c>
    </row>
    <row r="86" spans="1:5" x14ac:dyDescent="0.2">
      <c r="A86" s="78" t="s">
        <v>984</v>
      </c>
      <c r="B86" s="79"/>
      <c r="C86" s="45">
        <v>0.55000000000000004</v>
      </c>
    </row>
    <row r="87" spans="1:5" x14ac:dyDescent="0.2">
      <c r="A87" s="78" t="s">
        <v>985</v>
      </c>
      <c r="B87" s="79"/>
      <c r="C87" s="45">
        <v>1.2549999999999999</v>
      </c>
    </row>
    <row r="88" spans="1:5" x14ac:dyDescent="0.2">
      <c r="A88" s="9" t="s">
        <v>78</v>
      </c>
    </row>
    <row r="89" spans="1:5" x14ac:dyDescent="0.2">
      <c r="A89" s="9" t="s">
        <v>52</v>
      </c>
    </row>
    <row r="91" spans="1:5" x14ac:dyDescent="0.2">
      <c r="A91" s="18" t="s">
        <v>820</v>
      </c>
      <c r="D91" s="42">
        <v>1.876999933589041</v>
      </c>
      <c r="E91" s="13" t="s">
        <v>55</v>
      </c>
    </row>
    <row r="93" spans="1:5" x14ac:dyDescent="0.2">
      <c r="A93" s="18" t="s">
        <v>56</v>
      </c>
      <c r="D93" s="41" t="s">
        <v>54</v>
      </c>
    </row>
    <row r="95" spans="1:5" ht="15" customHeight="1" x14ac:dyDescent="0.2">
      <c r="A95" s="18" t="s">
        <v>986</v>
      </c>
    </row>
    <row r="96" spans="1:5" x14ac:dyDescent="0.2">
      <c r="A96" s="55" t="s">
        <v>987</v>
      </c>
    </row>
    <row r="97" spans="1:7" x14ac:dyDescent="0.2">
      <c r="A97" s="55"/>
    </row>
    <row r="98" spans="1:7" ht="14.4" x14ac:dyDescent="0.2">
      <c r="A98" s="80" t="s">
        <v>988</v>
      </c>
      <c r="B98" s="81"/>
      <c r="C98" s="81"/>
      <c r="D98" s="81"/>
      <c r="E98" s="81"/>
      <c r="F98" s="81"/>
      <c r="G98" s="81"/>
    </row>
    <row r="99" spans="1:7" x14ac:dyDescent="0.2">
      <c r="A99" s="53" t="s">
        <v>57</v>
      </c>
    </row>
    <row r="101" spans="1:7" x14ac:dyDescent="0.2">
      <c r="A101" s="53"/>
    </row>
  </sheetData>
  <mergeCells count="11">
    <mergeCell ref="A83:B83"/>
    <mergeCell ref="A1:G1"/>
    <mergeCell ref="A79:B79"/>
    <mergeCell ref="A80:B80"/>
    <mergeCell ref="A81:B81"/>
    <mergeCell ref="A82:B82"/>
    <mergeCell ref="A84:B84"/>
    <mergeCell ref="A85:B85"/>
    <mergeCell ref="A86:B86"/>
    <mergeCell ref="A87:B87"/>
    <mergeCell ref="A98:G98"/>
  </mergeCells>
  <conditionalFormatting sqref="F2:F3 F5:F94 F100:F65536">
    <cfRule type="cellIs" dxfId="140" priority="3" stopIfTrue="1" operator="between">
      <formula>0.009</formula>
      <formula>-0.009</formula>
    </cfRule>
  </conditionalFormatting>
  <conditionalFormatting sqref="F95:F97">
    <cfRule type="cellIs" dxfId="139" priority="2" stopIfTrue="1" operator="between">
      <formula>0.009</formula>
      <formula>-0.009</formula>
    </cfRule>
  </conditionalFormatting>
  <conditionalFormatting sqref="F99">
    <cfRule type="cellIs" dxfId="138" priority="1" stopIfTrue="1" operator="between">
      <formula>0.009</formula>
      <formula>-0.009</formula>
    </cfRule>
  </conditionalFormatting>
  <hyperlinks>
    <hyperlink ref="A96" r:id="rId1" xr:uid="{00000000-0004-0000-0600-000000000000}"/>
    <hyperlink ref="A99" r:id="rId2" xr:uid="{00000000-0004-0000-06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3"/>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989</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990</v>
      </c>
      <c r="B7" s="27" t="s">
        <v>991</v>
      </c>
      <c r="C7" s="27" t="s">
        <v>38</v>
      </c>
      <c r="D7" s="31">
        <v>750</v>
      </c>
      <c r="E7" s="29">
        <v>7945.71</v>
      </c>
      <c r="F7" s="30">
        <v>7.91711264356901</v>
      </c>
      <c r="G7" s="29">
        <v>5.1999000000000004</v>
      </c>
    </row>
    <row r="8" spans="1:7" x14ac:dyDescent="0.2">
      <c r="A8" s="27" t="s">
        <v>992</v>
      </c>
      <c r="B8" s="27" t="s">
        <v>993</v>
      </c>
      <c r="C8" s="27" t="s">
        <v>994</v>
      </c>
      <c r="D8" s="31">
        <v>500</v>
      </c>
      <c r="E8" s="29">
        <v>5171.33</v>
      </c>
      <c r="F8" s="30">
        <v>5.1527178977168502</v>
      </c>
      <c r="G8" s="29">
        <v>4.5949999999999998</v>
      </c>
    </row>
    <row r="9" spans="1:7" x14ac:dyDescent="0.2">
      <c r="A9" s="27" t="s">
        <v>995</v>
      </c>
      <c r="B9" s="27" t="s">
        <v>996</v>
      </c>
      <c r="C9" s="27" t="s">
        <v>38</v>
      </c>
      <c r="D9" s="31">
        <v>500</v>
      </c>
      <c r="E9" s="29">
        <v>5078.6000000000004</v>
      </c>
      <c r="F9" s="30">
        <v>5.0603216416946504</v>
      </c>
      <c r="G9" s="29">
        <v>3.7301000000000002</v>
      </c>
    </row>
    <row r="10" spans="1:7" x14ac:dyDescent="0.2">
      <c r="A10" s="27" t="s">
        <v>921</v>
      </c>
      <c r="B10" s="27" t="s">
        <v>922</v>
      </c>
      <c r="C10" s="27" t="s">
        <v>38</v>
      </c>
      <c r="D10" s="31">
        <v>500</v>
      </c>
      <c r="E10" s="29">
        <v>5049.9399999999996</v>
      </c>
      <c r="F10" s="30">
        <v>5.0317647917259603</v>
      </c>
      <c r="G10" s="29">
        <v>4.3899999999999997</v>
      </c>
    </row>
    <row r="11" spans="1:7" x14ac:dyDescent="0.2">
      <c r="A11" s="27" t="s">
        <v>997</v>
      </c>
      <c r="B11" s="27" t="s">
        <v>998</v>
      </c>
      <c r="C11" s="27" t="s">
        <v>38</v>
      </c>
      <c r="D11" s="31">
        <v>400</v>
      </c>
      <c r="E11" s="29">
        <v>4274.616</v>
      </c>
      <c r="F11" s="30">
        <v>4.25923125560867</v>
      </c>
      <c r="G11" s="29">
        <v>6.0646000000000004</v>
      </c>
    </row>
    <row r="12" spans="1:7" x14ac:dyDescent="0.2">
      <c r="A12" s="27" t="s">
        <v>945</v>
      </c>
      <c r="B12" s="27" t="s">
        <v>946</v>
      </c>
      <c r="C12" s="27" t="s">
        <v>38</v>
      </c>
      <c r="D12" s="31">
        <v>400</v>
      </c>
      <c r="E12" s="29">
        <v>4227.9880000000003</v>
      </c>
      <c r="F12" s="30">
        <v>4.2127710741592699</v>
      </c>
      <c r="G12" s="29">
        <v>5.5911999999999997</v>
      </c>
    </row>
    <row r="13" spans="1:7" x14ac:dyDescent="0.2">
      <c r="A13" s="27" t="s">
        <v>937</v>
      </c>
      <c r="B13" s="27" t="s">
        <v>938</v>
      </c>
      <c r="C13" s="27" t="s">
        <v>927</v>
      </c>
      <c r="D13" s="31">
        <v>360</v>
      </c>
      <c r="E13" s="29">
        <v>3902.4576000000002</v>
      </c>
      <c r="F13" s="30">
        <v>3.8884122886377699</v>
      </c>
      <c r="G13" s="29">
        <v>4.99</v>
      </c>
    </row>
    <row r="14" spans="1:7" x14ac:dyDescent="0.2">
      <c r="A14" s="27" t="s">
        <v>925</v>
      </c>
      <c r="B14" s="27" t="s">
        <v>926</v>
      </c>
      <c r="C14" s="27" t="s">
        <v>927</v>
      </c>
      <c r="D14" s="31">
        <v>300</v>
      </c>
      <c r="E14" s="29">
        <v>3166.473</v>
      </c>
      <c r="F14" s="30">
        <v>3.1550765663257199</v>
      </c>
      <c r="G14" s="29">
        <v>4.6749000000000001</v>
      </c>
    </row>
    <row r="15" spans="1:7" x14ac:dyDescent="0.2">
      <c r="A15" s="27" t="s">
        <v>999</v>
      </c>
      <c r="B15" s="27" t="s">
        <v>1000</v>
      </c>
      <c r="C15" s="27" t="s">
        <v>927</v>
      </c>
      <c r="D15" s="31">
        <v>300</v>
      </c>
      <c r="E15" s="29">
        <v>3108.105</v>
      </c>
      <c r="F15" s="30">
        <v>3.0969186382387601</v>
      </c>
      <c r="G15" s="29">
        <v>4.25</v>
      </c>
    </row>
    <row r="16" spans="1:7" x14ac:dyDescent="0.2">
      <c r="A16" s="27" t="s">
        <v>902</v>
      </c>
      <c r="B16" s="27" t="s">
        <v>903</v>
      </c>
      <c r="C16" s="27" t="s">
        <v>904</v>
      </c>
      <c r="D16" s="31">
        <v>300</v>
      </c>
      <c r="E16" s="29">
        <v>3081.42</v>
      </c>
      <c r="F16" s="30">
        <v>3.07032968005961</v>
      </c>
      <c r="G16" s="29">
        <v>5.2746000000000004</v>
      </c>
    </row>
    <row r="17" spans="1:7" x14ac:dyDescent="0.2">
      <c r="A17" s="27" t="s">
        <v>1001</v>
      </c>
      <c r="B17" s="27" t="s">
        <v>1002</v>
      </c>
      <c r="C17" s="27" t="s">
        <v>38</v>
      </c>
      <c r="D17" s="31">
        <v>250</v>
      </c>
      <c r="E17" s="29">
        <v>2804.26</v>
      </c>
      <c r="F17" s="30">
        <v>2.79416720492629</v>
      </c>
      <c r="G17" s="29">
        <v>5.15</v>
      </c>
    </row>
    <row r="18" spans="1:7" x14ac:dyDescent="0.2">
      <c r="A18" s="27" t="s">
        <v>1003</v>
      </c>
      <c r="B18" s="27" t="s">
        <v>1004</v>
      </c>
      <c r="C18" s="27" t="s">
        <v>927</v>
      </c>
      <c r="D18" s="31">
        <v>250</v>
      </c>
      <c r="E18" s="29">
        <v>2581.605</v>
      </c>
      <c r="F18" s="30">
        <v>2.5723135611796799</v>
      </c>
      <c r="G18" s="29">
        <v>4.1566000000000001</v>
      </c>
    </row>
    <row r="19" spans="1:7" x14ac:dyDescent="0.2">
      <c r="A19" s="27" t="s">
        <v>867</v>
      </c>
      <c r="B19" s="27" t="s">
        <v>868</v>
      </c>
      <c r="C19" s="27" t="s">
        <v>38</v>
      </c>
      <c r="D19" s="31">
        <v>250</v>
      </c>
      <c r="E19" s="29">
        <v>2579.1350000000002</v>
      </c>
      <c r="F19" s="30">
        <v>2.5698524509416201</v>
      </c>
      <c r="G19" s="29">
        <v>4.49</v>
      </c>
    </row>
    <row r="20" spans="1:7" x14ac:dyDescent="0.2">
      <c r="A20" s="27" t="s">
        <v>1005</v>
      </c>
      <c r="B20" s="27" t="s">
        <v>1006</v>
      </c>
      <c r="C20" s="27" t="s">
        <v>38</v>
      </c>
      <c r="D20" s="31">
        <v>250</v>
      </c>
      <c r="E20" s="29">
        <v>2480.0700000000002</v>
      </c>
      <c r="F20" s="30">
        <v>2.4711439951793102</v>
      </c>
      <c r="G20" s="29">
        <v>5.59</v>
      </c>
    </row>
    <row r="21" spans="1:7" x14ac:dyDescent="0.2">
      <c r="A21" s="27" t="s">
        <v>950</v>
      </c>
      <c r="B21" s="27" t="s">
        <v>951</v>
      </c>
      <c r="C21" s="27" t="s">
        <v>38</v>
      </c>
      <c r="D21" s="31">
        <v>150</v>
      </c>
      <c r="E21" s="29">
        <v>1559.175</v>
      </c>
      <c r="F21" s="30">
        <v>1.5535633827608499</v>
      </c>
      <c r="G21" s="29">
        <v>4.83</v>
      </c>
    </row>
    <row r="22" spans="1:7" x14ac:dyDescent="0.2">
      <c r="A22" s="27" t="s">
        <v>932</v>
      </c>
      <c r="B22" s="27" t="s">
        <v>933</v>
      </c>
      <c r="C22" s="27" t="s">
        <v>38</v>
      </c>
      <c r="D22" s="31">
        <v>120</v>
      </c>
      <c r="E22" s="29">
        <v>1225.5935999999999</v>
      </c>
      <c r="F22" s="30">
        <v>1.22118257354437</v>
      </c>
      <c r="G22" s="29">
        <v>3.6987999999999999</v>
      </c>
    </row>
    <row r="23" spans="1:7" x14ac:dyDescent="0.2">
      <c r="A23" s="27" t="s">
        <v>956</v>
      </c>
      <c r="B23" s="27" t="s">
        <v>957</v>
      </c>
      <c r="C23" s="27" t="s">
        <v>927</v>
      </c>
      <c r="D23" s="31">
        <v>120</v>
      </c>
      <c r="E23" s="29">
        <v>1216.8768</v>
      </c>
      <c r="F23" s="30">
        <v>1.21249714612612</v>
      </c>
      <c r="G23" s="29">
        <v>3.4849999999999999</v>
      </c>
    </row>
    <row r="24" spans="1:7" x14ac:dyDescent="0.2">
      <c r="A24" s="27" t="s">
        <v>958</v>
      </c>
      <c r="B24" s="27" t="s">
        <v>959</v>
      </c>
      <c r="C24" s="27" t="s">
        <v>38</v>
      </c>
      <c r="D24" s="31">
        <v>110</v>
      </c>
      <c r="E24" s="29">
        <v>1209.4093</v>
      </c>
      <c r="F24" s="30">
        <v>1.2050565223598599</v>
      </c>
      <c r="G24" s="29">
        <v>5.9458000000000002</v>
      </c>
    </row>
    <row r="25" spans="1:7" x14ac:dyDescent="0.2">
      <c r="A25" s="27" t="s">
        <v>1007</v>
      </c>
      <c r="B25" s="27" t="s">
        <v>1008</v>
      </c>
      <c r="C25" s="27" t="s">
        <v>927</v>
      </c>
      <c r="D25" s="31">
        <v>100</v>
      </c>
      <c r="E25" s="29">
        <v>1094.1110000000001</v>
      </c>
      <c r="F25" s="30">
        <v>1.0901731917686299</v>
      </c>
      <c r="G25" s="29">
        <v>5.9844999999999997</v>
      </c>
    </row>
    <row r="26" spans="1:7" x14ac:dyDescent="0.2">
      <c r="A26" s="27" t="s">
        <v>1009</v>
      </c>
      <c r="B26" s="27" t="s">
        <v>1010</v>
      </c>
      <c r="C26" s="27" t="s">
        <v>38</v>
      </c>
      <c r="D26" s="31">
        <v>100</v>
      </c>
      <c r="E26" s="29">
        <v>1077.1479999999999</v>
      </c>
      <c r="F26" s="30">
        <v>1.0732712431985401</v>
      </c>
      <c r="G26" s="29">
        <v>5.9349999999999996</v>
      </c>
    </row>
    <row r="27" spans="1:7" x14ac:dyDescent="0.2">
      <c r="A27" s="27" t="s">
        <v>1011</v>
      </c>
      <c r="B27" s="27" t="s">
        <v>1012</v>
      </c>
      <c r="C27" s="27" t="s">
        <v>1013</v>
      </c>
      <c r="D27" s="31">
        <v>100</v>
      </c>
      <c r="E27" s="29">
        <v>1017.136</v>
      </c>
      <c r="F27" s="30">
        <v>1.01347523202196</v>
      </c>
      <c r="G27" s="29">
        <v>9.5546000000000006</v>
      </c>
    </row>
    <row r="28" spans="1:7" x14ac:dyDescent="0.2">
      <c r="A28" s="27" t="s">
        <v>1014</v>
      </c>
      <c r="B28" s="27" t="s">
        <v>1015</v>
      </c>
      <c r="C28" s="27" t="s">
        <v>38</v>
      </c>
      <c r="D28" s="31">
        <v>50</v>
      </c>
      <c r="E28" s="29">
        <v>551.24950000000001</v>
      </c>
      <c r="F28" s="30">
        <v>0.54926550128447904</v>
      </c>
      <c r="G28" s="29">
        <v>5.6</v>
      </c>
    </row>
    <row r="29" spans="1:7" x14ac:dyDescent="0.2">
      <c r="A29" s="27" t="s">
        <v>1016</v>
      </c>
      <c r="B29" s="27" t="s">
        <v>1017</v>
      </c>
      <c r="C29" s="27" t="s">
        <v>38</v>
      </c>
      <c r="D29" s="31">
        <v>50</v>
      </c>
      <c r="E29" s="29">
        <v>547.23149999999998</v>
      </c>
      <c r="F29" s="30">
        <v>0.54526196244378899</v>
      </c>
      <c r="G29" s="29">
        <v>5.75</v>
      </c>
    </row>
    <row r="30" spans="1:7" x14ac:dyDescent="0.2">
      <c r="A30" s="27" t="s">
        <v>1018</v>
      </c>
      <c r="B30" s="27" t="s">
        <v>1019</v>
      </c>
      <c r="C30" s="27" t="s">
        <v>38</v>
      </c>
      <c r="D30" s="31">
        <v>50</v>
      </c>
      <c r="E30" s="29">
        <v>543.77700000000004</v>
      </c>
      <c r="F30" s="30">
        <v>0.54181989551368304</v>
      </c>
      <c r="G30" s="29">
        <v>5.2348999999999997</v>
      </c>
    </row>
    <row r="31" spans="1:7" x14ac:dyDescent="0.2">
      <c r="A31" s="27" t="s">
        <v>943</v>
      </c>
      <c r="B31" s="27" t="s">
        <v>944</v>
      </c>
      <c r="C31" s="27" t="s">
        <v>38</v>
      </c>
      <c r="D31" s="31">
        <v>50</v>
      </c>
      <c r="E31" s="29">
        <v>540.43299999999999</v>
      </c>
      <c r="F31" s="30">
        <v>0.53848793088370095</v>
      </c>
      <c r="G31" s="29">
        <v>5.9349999999999996</v>
      </c>
    </row>
    <row r="32" spans="1:7" x14ac:dyDescent="0.2">
      <c r="A32" s="27" t="s">
        <v>905</v>
      </c>
      <c r="B32" s="27" t="s">
        <v>906</v>
      </c>
      <c r="C32" s="27" t="s">
        <v>897</v>
      </c>
      <c r="D32" s="31">
        <v>50</v>
      </c>
      <c r="E32" s="29">
        <v>514.57650000000001</v>
      </c>
      <c r="F32" s="30">
        <v>0.51272449085525296</v>
      </c>
      <c r="G32" s="29">
        <v>5.6599000000000004</v>
      </c>
    </row>
    <row r="33" spans="1:9" x14ac:dyDescent="0.2">
      <c r="A33" s="27" t="s">
        <v>1020</v>
      </c>
      <c r="B33" s="27" t="s">
        <v>1021</v>
      </c>
      <c r="C33" s="27" t="s">
        <v>897</v>
      </c>
      <c r="D33" s="31">
        <v>50</v>
      </c>
      <c r="E33" s="29">
        <v>492.12900000000002</v>
      </c>
      <c r="F33" s="30">
        <v>0.49035778151568299</v>
      </c>
      <c r="G33" s="29">
        <v>6.8733000000000004</v>
      </c>
    </row>
    <row r="34" spans="1:9" x14ac:dyDescent="0.2">
      <c r="A34" s="27" t="s">
        <v>911</v>
      </c>
      <c r="B34" s="27" t="s">
        <v>912</v>
      </c>
      <c r="C34" s="27" t="s">
        <v>38</v>
      </c>
      <c r="D34" s="31">
        <v>32</v>
      </c>
      <c r="E34" s="29">
        <v>331.21600000000001</v>
      </c>
      <c r="F34" s="30">
        <v>0.33002392251320001</v>
      </c>
      <c r="G34" s="29">
        <v>4.1100000000000003</v>
      </c>
    </row>
    <row r="35" spans="1:9" x14ac:dyDescent="0.2">
      <c r="A35" s="27" t="s">
        <v>874</v>
      </c>
      <c r="B35" s="27" t="s">
        <v>875</v>
      </c>
      <c r="C35" s="27" t="s">
        <v>876</v>
      </c>
      <c r="D35" s="31">
        <v>27</v>
      </c>
      <c r="E35" s="29">
        <v>283.34636999999998</v>
      </c>
      <c r="F35" s="30">
        <v>0.28232657980676201</v>
      </c>
      <c r="G35" s="29">
        <v>3.88</v>
      </c>
    </row>
    <row r="36" spans="1:9" x14ac:dyDescent="0.2">
      <c r="A36" s="27" t="s">
        <v>976</v>
      </c>
      <c r="B36" s="27" t="s">
        <v>977</v>
      </c>
      <c r="C36" s="27" t="s">
        <v>38</v>
      </c>
      <c r="D36" s="31">
        <v>23</v>
      </c>
      <c r="E36" s="29">
        <v>233.95669000000001</v>
      </c>
      <c r="F36" s="30">
        <v>0.233114657903014</v>
      </c>
      <c r="G36" s="29">
        <v>3.55</v>
      </c>
    </row>
    <row r="37" spans="1:9" x14ac:dyDescent="0.2">
      <c r="A37" s="27" t="s">
        <v>102</v>
      </c>
      <c r="B37" s="27" t="s">
        <v>101</v>
      </c>
      <c r="C37" s="27" t="s">
        <v>38</v>
      </c>
      <c r="D37" s="31">
        <v>18</v>
      </c>
      <c r="E37" s="29">
        <v>199.78631999999999</v>
      </c>
      <c r="F37" s="30">
        <v>0.19906727027340901</v>
      </c>
      <c r="G37" s="29">
        <v>7</v>
      </c>
    </row>
    <row r="38" spans="1:9" x14ac:dyDescent="0.2">
      <c r="A38" s="27" t="s">
        <v>1022</v>
      </c>
      <c r="B38" s="27" t="s">
        <v>1023</v>
      </c>
      <c r="C38" s="27" t="s">
        <v>927</v>
      </c>
      <c r="D38" s="31">
        <v>5</v>
      </c>
      <c r="E38" s="29">
        <v>51.818550000000002</v>
      </c>
      <c r="F38" s="30">
        <v>5.1632050172534999E-2</v>
      </c>
      <c r="G38" s="29">
        <v>3.9350000000000001</v>
      </c>
    </row>
    <row r="39" spans="1:9" x14ac:dyDescent="0.2">
      <c r="A39" s="26" t="s">
        <v>39</v>
      </c>
      <c r="B39" s="26"/>
      <c r="C39" s="26"/>
      <c r="D39" s="32"/>
      <c r="E39" s="33">
        <f>SUM(E6:E38)</f>
        <v>68140.679730000003</v>
      </c>
      <c r="F39" s="34">
        <f>SUM(F6:F38)</f>
        <v>67.895435024908991</v>
      </c>
      <c r="G39" s="33"/>
      <c r="H39" s="18"/>
      <c r="I39" s="18"/>
    </row>
    <row r="40" spans="1:9" x14ac:dyDescent="0.2">
      <c r="A40" s="27"/>
      <c r="B40" s="27"/>
      <c r="C40" s="27"/>
      <c r="D40" s="28"/>
      <c r="E40" s="29"/>
      <c r="F40" s="30"/>
      <c r="G40" s="29"/>
    </row>
    <row r="41" spans="1:9" x14ac:dyDescent="0.2">
      <c r="A41" s="26" t="s">
        <v>59</v>
      </c>
      <c r="B41" s="27"/>
      <c r="C41" s="27"/>
      <c r="D41" s="28"/>
      <c r="E41" s="29"/>
      <c r="F41" s="30"/>
      <c r="G41" s="29"/>
    </row>
    <row r="42" spans="1:9" x14ac:dyDescent="0.2">
      <c r="A42" s="26" t="s">
        <v>60</v>
      </c>
      <c r="B42" s="27"/>
      <c r="C42" s="27"/>
      <c r="D42" s="28"/>
      <c r="E42" s="29"/>
      <c r="F42" s="30"/>
      <c r="G42" s="29"/>
    </row>
    <row r="43" spans="1:9" x14ac:dyDescent="0.2">
      <c r="A43" s="27" t="s">
        <v>1024</v>
      </c>
      <c r="B43" s="27" t="s">
        <v>1025</v>
      </c>
      <c r="C43" s="27" t="s">
        <v>61</v>
      </c>
      <c r="D43" s="31">
        <v>2500</v>
      </c>
      <c r="E43" s="29">
        <v>2490.9924999999998</v>
      </c>
      <c r="F43" s="30">
        <v>2.4820271840761299</v>
      </c>
      <c r="G43" s="29">
        <v>3.2995999999999999</v>
      </c>
    </row>
    <row r="44" spans="1:9" x14ac:dyDescent="0.2">
      <c r="A44" s="27" t="s">
        <v>1026</v>
      </c>
      <c r="B44" s="27" t="s">
        <v>1027</v>
      </c>
      <c r="C44" s="27" t="s">
        <v>61</v>
      </c>
      <c r="D44" s="31">
        <v>1000</v>
      </c>
      <c r="E44" s="29">
        <v>967.38599999999997</v>
      </c>
      <c r="F44" s="30">
        <v>0.96390428694372798</v>
      </c>
      <c r="G44" s="29">
        <v>3.7517</v>
      </c>
    </row>
    <row r="45" spans="1:9" x14ac:dyDescent="0.2">
      <c r="A45" s="26" t="s">
        <v>39</v>
      </c>
      <c r="B45" s="26"/>
      <c r="C45" s="26"/>
      <c r="D45" s="32"/>
      <c r="E45" s="33">
        <f>SUM(E42:E44)</f>
        <v>3458.3784999999998</v>
      </c>
      <c r="F45" s="34">
        <f>SUM(F42:F44)</f>
        <v>3.4459314710198576</v>
      </c>
      <c r="G45" s="33"/>
      <c r="H45" s="18"/>
      <c r="I45" s="18"/>
    </row>
    <row r="46" spans="1:9" x14ac:dyDescent="0.2">
      <c r="A46" s="27"/>
      <c r="B46" s="27"/>
      <c r="C46" s="27"/>
      <c r="D46" s="28"/>
      <c r="E46" s="29"/>
      <c r="F46" s="30"/>
      <c r="G46" s="29"/>
    </row>
    <row r="47" spans="1:9" x14ac:dyDescent="0.2">
      <c r="A47" s="26" t="s">
        <v>71</v>
      </c>
      <c r="B47" s="27"/>
      <c r="C47" s="27"/>
      <c r="D47" s="28"/>
      <c r="E47" s="29"/>
      <c r="F47" s="30"/>
      <c r="G47" s="29"/>
    </row>
    <row r="48" spans="1:9" x14ac:dyDescent="0.2">
      <c r="A48" s="27" t="s">
        <v>104</v>
      </c>
      <c r="B48" s="27" t="s">
        <v>103</v>
      </c>
      <c r="C48" s="27" t="s">
        <v>74</v>
      </c>
      <c r="D48" s="31">
        <v>5500000</v>
      </c>
      <c r="E48" s="29">
        <v>5694.0895</v>
      </c>
      <c r="F48" s="30">
        <v>5.67359593718668</v>
      </c>
      <c r="G48" s="29">
        <v>5.0692000000000004</v>
      </c>
    </row>
    <row r="49" spans="1:9" x14ac:dyDescent="0.2">
      <c r="A49" s="27" t="s">
        <v>94</v>
      </c>
      <c r="B49" s="27" t="s">
        <v>93</v>
      </c>
      <c r="C49" s="27" t="s">
        <v>74</v>
      </c>
      <c r="D49" s="31">
        <v>3000000</v>
      </c>
      <c r="E49" s="29">
        <v>3193.8719999999998</v>
      </c>
      <c r="F49" s="30">
        <v>3.1823769547518199</v>
      </c>
      <c r="G49" s="29">
        <v>4.7731000000000003</v>
      </c>
    </row>
    <row r="50" spans="1:9" x14ac:dyDescent="0.2">
      <c r="A50" s="27" t="s">
        <v>980</v>
      </c>
      <c r="B50" s="27" t="s">
        <v>981</v>
      </c>
      <c r="C50" s="27" t="s">
        <v>74</v>
      </c>
      <c r="D50" s="31">
        <v>3000000</v>
      </c>
      <c r="E50" s="29">
        <v>3163.665</v>
      </c>
      <c r="F50" s="30">
        <v>3.1522786725813998</v>
      </c>
      <c r="G50" s="29">
        <v>4.4292999999999996</v>
      </c>
    </row>
    <row r="51" spans="1:9" x14ac:dyDescent="0.2">
      <c r="A51" s="26" t="s">
        <v>39</v>
      </c>
      <c r="B51" s="26"/>
      <c r="C51" s="26"/>
      <c r="D51" s="32"/>
      <c r="E51" s="33">
        <f>SUM(E48:E50)</f>
        <v>12051.626499999998</v>
      </c>
      <c r="F51" s="34">
        <f>SUM(F48:F50)</f>
        <v>12.008251564519899</v>
      </c>
      <c r="G51" s="33"/>
      <c r="H51" s="18"/>
      <c r="I51" s="18"/>
    </row>
    <row r="52" spans="1:9" x14ac:dyDescent="0.2">
      <c r="A52" s="27"/>
      <c r="B52" s="27"/>
      <c r="C52" s="27"/>
      <c r="D52" s="28"/>
      <c r="E52" s="29"/>
      <c r="F52" s="30"/>
      <c r="G52" s="29"/>
    </row>
    <row r="53" spans="1:9" x14ac:dyDescent="0.2">
      <c r="A53" s="26" t="s">
        <v>42</v>
      </c>
      <c r="B53" s="26"/>
      <c r="C53" s="26"/>
      <c r="D53" s="32"/>
      <c r="E53" s="33">
        <f>E39+E45+E51</f>
        <v>83650.684730000008</v>
      </c>
      <c r="F53" s="34">
        <f>F39+F45+F51</f>
        <v>83.349618060448748</v>
      </c>
      <c r="G53" s="33"/>
      <c r="H53" s="18"/>
      <c r="I53" s="18"/>
    </row>
    <row r="54" spans="1:9" x14ac:dyDescent="0.2">
      <c r="A54" s="26"/>
      <c r="B54" s="26"/>
      <c r="C54" s="26"/>
      <c r="D54" s="32"/>
      <c r="E54" s="33"/>
      <c r="F54" s="34"/>
      <c r="G54" s="33"/>
      <c r="H54" s="18"/>
      <c r="I54" s="18"/>
    </row>
    <row r="55" spans="1:9" x14ac:dyDescent="0.2">
      <c r="A55" s="26" t="s">
        <v>44</v>
      </c>
      <c r="B55" s="26"/>
      <c r="C55" s="26"/>
      <c r="D55" s="32"/>
      <c r="E55" s="33">
        <f>E57-(E39+E45+E51)</f>
        <v>16710.524687099998</v>
      </c>
      <c r="F55" s="34">
        <f>F57-(F39+F45+F51)</f>
        <v>16.650381939551252</v>
      </c>
      <c r="G55" s="33"/>
      <c r="H55" s="18"/>
      <c r="I55" s="18"/>
    </row>
    <row r="56" spans="1:9" x14ac:dyDescent="0.2">
      <c r="A56" s="26"/>
      <c r="B56" s="26"/>
      <c r="C56" s="26"/>
      <c r="D56" s="32"/>
      <c r="E56" s="33"/>
      <c r="F56" s="34"/>
      <c r="G56" s="33"/>
      <c r="H56" s="18"/>
      <c r="I56" s="18"/>
    </row>
    <row r="57" spans="1:9" x14ac:dyDescent="0.2">
      <c r="A57" s="35" t="s">
        <v>43</v>
      </c>
      <c r="B57" s="35"/>
      <c r="C57" s="35"/>
      <c r="D57" s="36"/>
      <c r="E57" s="37">
        <v>100361.20941710001</v>
      </c>
      <c r="F57" s="38">
        <v>100</v>
      </c>
      <c r="G57" s="37"/>
      <c r="H57" s="18"/>
      <c r="I57" s="18"/>
    </row>
    <row r="59" spans="1:9" x14ac:dyDescent="0.2">
      <c r="A59" s="18" t="s">
        <v>46</v>
      </c>
    </row>
    <row r="61" spans="1:9" x14ac:dyDescent="0.2">
      <c r="A61" s="18" t="s">
        <v>47</v>
      </c>
    </row>
    <row r="62" spans="1:9" x14ac:dyDescent="0.2">
      <c r="A62" s="18" t="s">
        <v>48</v>
      </c>
    </row>
    <row r="63" spans="1:9" x14ac:dyDescent="0.2">
      <c r="A63" s="18" t="s">
        <v>49</v>
      </c>
      <c r="B63" s="18"/>
      <c r="C63" s="39" t="s">
        <v>51</v>
      </c>
      <c r="D63" s="19" t="s">
        <v>50</v>
      </c>
    </row>
    <row r="64" spans="1:9" x14ac:dyDescent="0.2">
      <c r="A64" s="9" t="s">
        <v>79</v>
      </c>
      <c r="C64" s="40">
        <v>17.281300000000002</v>
      </c>
      <c r="D64" s="40">
        <v>17.6296</v>
      </c>
    </row>
    <row r="65" spans="1:7" x14ac:dyDescent="0.2">
      <c r="A65" s="9" t="s">
        <v>85</v>
      </c>
      <c r="C65" s="40">
        <v>10.872</v>
      </c>
      <c r="D65" s="40">
        <v>10.6861</v>
      </c>
    </row>
    <row r="66" spans="1:7" x14ac:dyDescent="0.2">
      <c r="A66" s="9" t="s">
        <v>82</v>
      </c>
      <c r="C66" s="40">
        <v>17.774999999999999</v>
      </c>
      <c r="D66" s="40">
        <v>18.1615</v>
      </c>
    </row>
    <row r="67" spans="1:7" x14ac:dyDescent="0.2">
      <c r="A67" s="9" t="s">
        <v>86</v>
      </c>
      <c r="C67" s="40">
        <v>11.2601</v>
      </c>
      <c r="D67" s="40">
        <v>11.0997</v>
      </c>
    </row>
    <row r="69" spans="1:7" x14ac:dyDescent="0.2">
      <c r="A69" s="18" t="s">
        <v>53</v>
      </c>
    </row>
    <row r="70" spans="1:7" x14ac:dyDescent="0.2">
      <c r="A70" s="82" t="s">
        <v>76</v>
      </c>
      <c r="B70" s="83"/>
      <c r="C70" s="44" t="s">
        <v>77</v>
      </c>
    </row>
    <row r="71" spans="1:7" x14ac:dyDescent="0.2">
      <c r="A71" s="78" t="s">
        <v>85</v>
      </c>
      <c r="B71" s="79"/>
      <c r="C71" s="45">
        <v>0.4</v>
      </c>
    </row>
    <row r="72" spans="1:7" x14ac:dyDescent="0.2">
      <c r="A72" s="78" t="s">
        <v>86</v>
      </c>
      <c r="B72" s="79"/>
      <c r="C72" s="45">
        <v>0.4</v>
      </c>
    </row>
    <row r="73" spans="1:7" x14ac:dyDescent="0.2">
      <c r="A73" s="9" t="s">
        <v>78</v>
      </c>
    </row>
    <row r="74" spans="1:7" x14ac:dyDescent="0.2">
      <c r="A74" s="9" t="s">
        <v>52</v>
      </c>
    </row>
    <row r="76" spans="1:7" x14ac:dyDescent="0.2">
      <c r="A76" s="18" t="s">
        <v>820</v>
      </c>
      <c r="D76" s="42">
        <v>2.0685567426027398</v>
      </c>
      <c r="E76" s="13" t="s">
        <v>55</v>
      </c>
    </row>
    <row r="78" spans="1:7" x14ac:dyDescent="0.2">
      <c r="A78" s="18" t="s">
        <v>56</v>
      </c>
      <c r="D78" s="41" t="s">
        <v>54</v>
      </c>
    </row>
    <row r="80" spans="1:7" ht="14.4" x14ac:dyDescent="0.2">
      <c r="A80" s="80" t="s">
        <v>821</v>
      </c>
      <c r="B80" s="81"/>
      <c r="C80" s="81"/>
      <c r="D80" s="81"/>
      <c r="E80" s="81"/>
      <c r="F80" s="81"/>
      <c r="G80" s="81"/>
    </row>
    <row r="81" spans="1:1" x14ac:dyDescent="0.2">
      <c r="A81" s="53" t="s">
        <v>57</v>
      </c>
    </row>
    <row r="83" spans="1:1" x14ac:dyDescent="0.2">
      <c r="A83" s="53"/>
    </row>
  </sheetData>
  <mergeCells count="5">
    <mergeCell ref="A1:G1"/>
    <mergeCell ref="A70:B70"/>
    <mergeCell ref="A71:B71"/>
    <mergeCell ref="A72:B72"/>
    <mergeCell ref="A80:G80"/>
  </mergeCells>
  <conditionalFormatting sqref="F2:F3 F5:F79 F84:F65536">
    <cfRule type="cellIs" dxfId="137" priority="3" stopIfTrue="1" operator="between">
      <formula>0.009</formula>
      <formula>-0.009</formula>
    </cfRule>
  </conditionalFormatting>
  <conditionalFormatting sqref="F82:F83">
    <cfRule type="cellIs" dxfId="136" priority="2" stopIfTrue="1" operator="between">
      <formula>0.009</formula>
      <formula>-0.009</formula>
    </cfRule>
  </conditionalFormatting>
  <conditionalFormatting sqref="F81">
    <cfRule type="cellIs" dxfId="135" priority="1" stopIfTrue="1" operator="between">
      <formula>0.009</formula>
      <formula>-0.009</formula>
    </cfRule>
  </conditionalFormatting>
  <hyperlinks>
    <hyperlink ref="A81" r:id="rId1" xr:uid="{00000000-0004-0000-07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7"/>
  <sheetViews>
    <sheetView workbookViewId="0">
      <selection sqref="A1:G1"/>
    </sheetView>
  </sheetViews>
  <sheetFormatPr defaultColWidth="9.109375" defaultRowHeight="10.199999999999999" x14ac:dyDescent="0.2"/>
  <cols>
    <col min="1" max="1" width="32.33203125" style="9" bestFit="1" customWidth="1"/>
    <col min="2" max="2" width="23.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1028</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59</v>
      </c>
      <c r="B5" s="22"/>
      <c r="C5" s="22"/>
      <c r="D5" s="23"/>
      <c r="E5" s="24"/>
      <c r="F5" s="25"/>
      <c r="G5" s="24"/>
    </row>
    <row r="6" spans="1:9" x14ac:dyDescent="0.2">
      <c r="A6" s="26" t="s">
        <v>69</v>
      </c>
      <c r="B6" s="27"/>
      <c r="C6" s="27"/>
      <c r="D6" s="28"/>
      <c r="E6" s="29"/>
      <c r="F6" s="30"/>
      <c r="G6" s="29"/>
    </row>
    <row r="7" spans="1:9" x14ac:dyDescent="0.2">
      <c r="A7" s="27" t="s">
        <v>88</v>
      </c>
      <c r="B7" s="27" t="s">
        <v>87</v>
      </c>
      <c r="C7" s="27" t="s">
        <v>74</v>
      </c>
      <c r="D7" s="31">
        <v>4500000</v>
      </c>
      <c r="E7" s="29">
        <v>4464.0810000000001</v>
      </c>
      <c r="F7" s="30">
        <v>20.328924193525499</v>
      </c>
      <c r="G7" s="29">
        <v>3.2999000000000001</v>
      </c>
    </row>
    <row r="8" spans="1:9" x14ac:dyDescent="0.2">
      <c r="A8" s="26" t="s">
        <v>39</v>
      </c>
      <c r="B8" s="26"/>
      <c r="C8" s="26"/>
      <c r="D8" s="32"/>
      <c r="E8" s="33">
        <f>SUM(E6:E7)</f>
        <v>4464.0810000000001</v>
      </c>
      <c r="F8" s="34">
        <f>SUM(F6:F7)</f>
        <v>20.328924193525499</v>
      </c>
      <c r="G8" s="33"/>
      <c r="H8" s="18"/>
      <c r="I8" s="18"/>
    </row>
    <row r="9" spans="1:9" x14ac:dyDescent="0.2">
      <c r="A9" s="27"/>
      <c r="B9" s="27"/>
      <c r="C9" s="27"/>
      <c r="D9" s="28"/>
      <c r="E9" s="29"/>
      <c r="F9" s="30"/>
      <c r="G9" s="29"/>
    </row>
    <row r="10" spans="1:9" x14ac:dyDescent="0.2">
      <c r="A10" s="26" t="s">
        <v>71</v>
      </c>
      <c r="B10" s="27"/>
      <c r="C10" s="27"/>
      <c r="D10" s="28"/>
      <c r="E10" s="29"/>
      <c r="F10" s="30"/>
      <c r="G10" s="29"/>
    </row>
    <row r="11" spans="1:9" x14ac:dyDescent="0.2">
      <c r="A11" s="27" t="s">
        <v>90</v>
      </c>
      <c r="B11" s="27" t="s">
        <v>89</v>
      </c>
      <c r="C11" s="27" t="s">
        <v>74</v>
      </c>
      <c r="D11" s="31">
        <v>5000000</v>
      </c>
      <c r="E11" s="29">
        <v>4946.4250000000002</v>
      </c>
      <c r="F11" s="30">
        <v>22.5254646709949</v>
      </c>
      <c r="G11" s="29">
        <v>5.42</v>
      </c>
    </row>
    <row r="12" spans="1:9" x14ac:dyDescent="0.2">
      <c r="A12" s="27" t="s">
        <v>1029</v>
      </c>
      <c r="B12" s="27" t="s">
        <v>1030</v>
      </c>
      <c r="C12" s="27" t="s">
        <v>74</v>
      </c>
      <c r="D12" s="31">
        <v>3450000</v>
      </c>
      <c r="E12" s="29">
        <v>3634.3852499999998</v>
      </c>
      <c r="F12" s="30">
        <v>16.550582804684201</v>
      </c>
      <c r="G12" s="29">
        <v>6.1797000000000004</v>
      </c>
    </row>
    <row r="13" spans="1:9" x14ac:dyDescent="0.2">
      <c r="A13" s="27" t="s">
        <v>1031</v>
      </c>
      <c r="B13" s="27" t="s">
        <v>1032</v>
      </c>
      <c r="C13" s="27" t="s">
        <v>74</v>
      </c>
      <c r="D13" s="31">
        <v>2940000</v>
      </c>
      <c r="E13" s="29">
        <v>3048.7182600000001</v>
      </c>
      <c r="F13" s="30">
        <v>13.8835210192102</v>
      </c>
      <c r="G13" s="29">
        <v>6.0491999999999999</v>
      </c>
    </row>
    <row r="14" spans="1:9" x14ac:dyDescent="0.2">
      <c r="A14" s="27" t="s">
        <v>92</v>
      </c>
      <c r="B14" s="27" t="s">
        <v>91</v>
      </c>
      <c r="C14" s="27" t="s">
        <v>74</v>
      </c>
      <c r="D14" s="31">
        <v>1900000</v>
      </c>
      <c r="E14" s="29">
        <v>2019.6221</v>
      </c>
      <c r="F14" s="30">
        <v>9.1971325274941993</v>
      </c>
      <c r="G14" s="29">
        <v>5.7842000000000002</v>
      </c>
    </row>
    <row r="15" spans="1:9" x14ac:dyDescent="0.2">
      <c r="A15" s="27" t="s">
        <v>94</v>
      </c>
      <c r="B15" s="27" t="s">
        <v>93</v>
      </c>
      <c r="C15" s="27" t="s">
        <v>74</v>
      </c>
      <c r="D15" s="31">
        <v>300000</v>
      </c>
      <c r="E15" s="29">
        <v>319.38720000000001</v>
      </c>
      <c r="F15" s="30">
        <v>1.45445348710796</v>
      </c>
      <c r="G15" s="29">
        <v>4.7731000000000003</v>
      </c>
    </row>
    <row r="16" spans="1:9" x14ac:dyDescent="0.2">
      <c r="A16" s="27" t="s">
        <v>96</v>
      </c>
      <c r="B16" s="27" t="s">
        <v>95</v>
      </c>
      <c r="C16" s="27" t="s">
        <v>74</v>
      </c>
      <c r="D16" s="31">
        <v>200000</v>
      </c>
      <c r="E16" s="29">
        <v>198.786</v>
      </c>
      <c r="F16" s="30">
        <v>0.90524914864541395</v>
      </c>
      <c r="G16" s="29">
        <v>5.3844000000000003</v>
      </c>
    </row>
    <row r="17" spans="1:9" x14ac:dyDescent="0.2">
      <c r="A17" s="26" t="s">
        <v>39</v>
      </c>
      <c r="B17" s="26"/>
      <c r="C17" s="26"/>
      <c r="D17" s="32"/>
      <c r="E17" s="33">
        <f>SUM(E11:E16)</f>
        <v>14167.32381</v>
      </c>
      <c r="F17" s="34">
        <f>SUM(F11:F16)</f>
        <v>64.51640365813688</v>
      </c>
      <c r="G17" s="33"/>
      <c r="H17" s="18"/>
      <c r="I17" s="18"/>
    </row>
    <row r="18" spans="1:9" x14ac:dyDescent="0.2">
      <c r="A18" s="27"/>
      <c r="B18" s="27"/>
      <c r="C18" s="27"/>
      <c r="D18" s="28"/>
      <c r="E18" s="29"/>
      <c r="F18" s="30"/>
      <c r="G18" s="29"/>
    </row>
    <row r="19" spans="1:9" x14ac:dyDescent="0.2">
      <c r="A19" s="26" t="s">
        <v>42</v>
      </c>
      <c r="B19" s="26"/>
      <c r="C19" s="26"/>
      <c r="D19" s="32"/>
      <c r="E19" s="33">
        <f>E8+E17</f>
        <v>18631.40481</v>
      </c>
      <c r="F19" s="34">
        <f>F8+F17</f>
        <v>84.845327851662375</v>
      </c>
      <c r="G19" s="33"/>
      <c r="H19" s="18"/>
      <c r="I19" s="18"/>
    </row>
    <row r="20" spans="1:9" x14ac:dyDescent="0.2">
      <c r="A20" s="26"/>
      <c r="B20" s="26"/>
      <c r="C20" s="26"/>
      <c r="D20" s="32"/>
      <c r="E20" s="33"/>
      <c r="F20" s="34"/>
      <c r="G20" s="33"/>
      <c r="H20" s="18"/>
      <c r="I20" s="18"/>
    </row>
    <row r="21" spans="1:9" x14ac:dyDescent="0.2">
      <c r="A21" s="26" t="s">
        <v>44</v>
      </c>
      <c r="B21" s="26"/>
      <c r="C21" s="26"/>
      <c r="D21" s="32"/>
      <c r="E21" s="33">
        <f>E23-(E8+E17)</f>
        <v>3327.8536214999986</v>
      </c>
      <c r="F21" s="34">
        <f>F23-(F8+F17)</f>
        <v>15.154672148337625</v>
      </c>
      <c r="G21" s="33"/>
      <c r="H21" s="18"/>
      <c r="I21" s="18"/>
    </row>
    <row r="22" spans="1:9" x14ac:dyDescent="0.2">
      <c r="A22" s="26"/>
      <c r="B22" s="26"/>
      <c r="C22" s="26"/>
      <c r="D22" s="32"/>
      <c r="E22" s="33"/>
      <c r="F22" s="34"/>
      <c r="G22" s="33"/>
      <c r="H22" s="18"/>
      <c r="I22" s="18"/>
    </row>
    <row r="23" spans="1:9" x14ac:dyDescent="0.2">
      <c r="A23" s="35" t="s">
        <v>43</v>
      </c>
      <c r="B23" s="35"/>
      <c r="C23" s="35"/>
      <c r="D23" s="36"/>
      <c r="E23" s="37">
        <v>21959.258431499999</v>
      </c>
      <c r="F23" s="38">
        <v>100</v>
      </c>
      <c r="G23" s="37"/>
      <c r="H23" s="18"/>
      <c r="I23" s="18"/>
    </row>
    <row r="25" spans="1:9" x14ac:dyDescent="0.2">
      <c r="A25" s="18" t="s">
        <v>47</v>
      </c>
    </row>
    <row r="26" spans="1:9" x14ac:dyDescent="0.2">
      <c r="A26" s="18" t="s">
        <v>48</v>
      </c>
    </row>
    <row r="27" spans="1:9" x14ac:dyDescent="0.2">
      <c r="A27" s="18" t="s">
        <v>49</v>
      </c>
      <c r="B27" s="18"/>
      <c r="C27" s="39" t="s">
        <v>51</v>
      </c>
      <c r="D27" s="41" t="s">
        <v>50</v>
      </c>
    </row>
    <row r="28" spans="1:9" x14ac:dyDescent="0.2">
      <c r="A28" s="9" t="s">
        <v>97</v>
      </c>
      <c r="C28" s="40">
        <v>47.131799999999998</v>
      </c>
      <c r="D28" s="40">
        <v>47.4983</v>
      </c>
    </row>
    <row r="29" spans="1:9" x14ac:dyDescent="0.2">
      <c r="A29" s="9" t="s">
        <v>1033</v>
      </c>
      <c r="C29" s="40">
        <v>10.8378</v>
      </c>
      <c r="D29" s="40">
        <v>10.4938</v>
      </c>
    </row>
    <row r="30" spans="1:9" x14ac:dyDescent="0.2">
      <c r="A30" s="9" t="s">
        <v>98</v>
      </c>
      <c r="C30" s="40">
        <v>50.501600000000003</v>
      </c>
      <c r="D30" s="40">
        <v>51.005600000000001</v>
      </c>
    </row>
    <row r="31" spans="1:9" x14ac:dyDescent="0.2">
      <c r="A31" s="9" t="s">
        <v>1034</v>
      </c>
      <c r="C31" s="40">
        <v>11.919700000000001</v>
      </c>
      <c r="D31" s="40">
        <v>11.6098</v>
      </c>
    </row>
    <row r="33" spans="1:7" x14ac:dyDescent="0.2">
      <c r="A33" s="18" t="s">
        <v>53</v>
      </c>
    </row>
    <row r="34" spans="1:7" x14ac:dyDescent="0.2">
      <c r="A34" s="82" t="s">
        <v>76</v>
      </c>
      <c r="B34" s="83"/>
      <c r="C34" s="44" t="s">
        <v>77</v>
      </c>
    </row>
    <row r="35" spans="1:7" x14ac:dyDescent="0.2">
      <c r="A35" s="78" t="s">
        <v>1033</v>
      </c>
      <c r="B35" s="79"/>
      <c r="C35" s="45">
        <v>0.42499999999999999</v>
      </c>
    </row>
    <row r="36" spans="1:7" x14ac:dyDescent="0.2">
      <c r="A36" s="78" t="s">
        <v>1034</v>
      </c>
      <c r="B36" s="79"/>
      <c r="C36" s="45">
        <v>0.42499999999999999</v>
      </c>
    </row>
    <row r="37" spans="1:7" x14ac:dyDescent="0.2">
      <c r="A37" s="9" t="s">
        <v>78</v>
      </c>
    </row>
    <row r="38" spans="1:7" x14ac:dyDescent="0.2">
      <c r="A38" s="9" t="s">
        <v>52</v>
      </c>
    </row>
    <row r="40" spans="1:7" x14ac:dyDescent="0.2">
      <c r="A40" s="18" t="s">
        <v>820</v>
      </c>
      <c r="D40" s="42">
        <v>3.5500835337534253</v>
      </c>
      <c r="E40" s="13" t="s">
        <v>55</v>
      </c>
    </row>
    <row r="42" spans="1:7" ht="27" customHeight="1" x14ac:dyDescent="0.3">
      <c r="A42" s="80" t="s">
        <v>56</v>
      </c>
      <c r="B42" s="85"/>
      <c r="C42" s="85"/>
      <c r="D42" s="56" t="s">
        <v>54</v>
      </c>
    </row>
    <row r="44" spans="1:7" ht="14.4" x14ac:dyDescent="0.2">
      <c r="A44" s="80" t="s">
        <v>821</v>
      </c>
      <c r="B44" s="81"/>
      <c r="C44" s="81"/>
      <c r="D44" s="81"/>
      <c r="E44" s="81"/>
      <c r="F44" s="81"/>
      <c r="G44" s="81"/>
    </row>
    <row r="45" spans="1:7" x14ac:dyDescent="0.2">
      <c r="A45" s="53" t="s">
        <v>57</v>
      </c>
    </row>
    <row r="47" spans="1:7" x14ac:dyDescent="0.2">
      <c r="A47" s="53"/>
    </row>
  </sheetData>
  <mergeCells count="6">
    <mergeCell ref="A44:G44"/>
    <mergeCell ref="A1:G1"/>
    <mergeCell ref="A34:B34"/>
    <mergeCell ref="A35:B35"/>
    <mergeCell ref="A36:B36"/>
    <mergeCell ref="A42:C42"/>
  </mergeCells>
  <conditionalFormatting sqref="F2:F3 F5:F43 F48:F65534">
    <cfRule type="cellIs" dxfId="134" priority="3" stopIfTrue="1" operator="between">
      <formula>0.009</formula>
      <formula>-0.009</formula>
    </cfRule>
  </conditionalFormatting>
  <conditionalFormatting sqref="F46:F47">
    <cfRule type="cellIs" dxfId="133" priority="2" stopIfTrue="1" operator="between">
      <formula>0.009</formula>
      <formula>-0.009</formula>
    </cfRule>
  </conditionalFormatting>
  <conditionalFormatting sqref="F45">
    <cfRule type="cellIs" dxfId="132" priority="1" stopIfTrue="1" operator="between">
      <formula>0.009</formula>
      <formula>-0.009</formula>
    </cfRule>
  </conditionalFormatting>
  <hyperlinks>
    <hyperlink ref="A45" r:id="rId1" xr:uid="{00000000-0004-0000-0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1035</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1036</v>
      </c>
      <c r="B7" s="27" t="s">
        <v>1037</v>
      </c>
      <c r="C7" s="27" t="s">
        <v>994</v>
      </c>
      <c r="D7" s="31">
        <v>40</v>
      </c>
      <c r="E7" s="29">
        <v>527.04639999999995</v>
      </c>
      <c r="F7" s="30">
        <v>10.141147421535599</v>
      </c>
      <c r="G7" s="29">
        <v>4.7847999999999997</v>
      </c>
    </row>
    <row r="8" spans="1:7" x14ac:dyDescent="0.2">
      <c r="A8" s="27" t="s">
        <v>1038</v>
      </c>
      <c r="B8" s="27" t="s">
        <v>1039</v>
      </c>
      <c r="C8" s="27" t="s">
        <v>38</v>
      </c>
      <c r="D8" s="31">
        <v>40</v>
      </c>
      <c r="E8" s="29">
        <v>523.66840000000002</v>
      </c>
      <c r="F8" s="30">
        <v>10.076149736341399</v>
      </c>
      <c r="G8" s="29">
        <v>4.5</v>
      </c>
    </row>
    <row r="9" spans="1:7" x14ac:dyDescent="0.2">
      <c r="A9" s="27" t="s">
        <v>1022</v>
      </c>
      <c r="B9" s="27" t="s">
        <v>1023</v>
      </c>
      <c r="C9" s="27" t="s">
        <v>927</v>
      </c>
      <c r="D9" s="31">
        <v>42</v>
      </c>
      <c r="E9" s="29">
        <v>435.27582000000001</v>
      </c>
      <c r="F9" s="30">
        <v>8.3753465722369302</v>
      </c>
      <c r="G9" s="29">
        <v>3.9350000000000001</v>
      </c>
    </row>
    <row r="10" spans="1:7" x14ac:dyDescent="0.2">
      <c r="A10" s="27" t="s">
        <v>954</v>
      </c>
      <c r="B10" s="27" t="s">
        <v>955</v>
      </c>
      <c r="C10" s="27" t="s">
        <v>871</v>
      </c>
      <c r="D10" s="31">
        <v>41</v>
      </c>
      <c r="E10" s="29">
        <v>424.77967999999998</v>
      </c>
      <c r="F10" s="30">
        <v>8.1733854107583994</v>
      </c>
      <c r="G10" s="29">
        <v>3.915</v>
      </c>
    </row>
    <row r="11" spans="1:7" x14ac:dyDescent="0.2">
      <c r="A11" s="27" t="s">
        <v>930</v>
      </c>
      <c r="B11" s="27" t="s">
        <v>931</v>
      </c>
      <c r="C11" s="27" t="s">
        <v>38</v>
      </c>
      <c r="D11" s="31">
        <v>41</v>
      </c>
      <c r="E11" s="29">
        <v>417.87076999999999</v>
      </c>
      <c r="F11" s="30">
        <v>8.0404478272133399</v>
      </c>
      <c r="G11" s="29">
        <v>3.7149999999999999</v>
      </c>
    </row>
    <row r="12" spans="1:7" x14ac:dyDescent="0.2">
      <c r="A12" s="27" t="s">
        <v>905</v>
      </c>
      <c r="B12" s="27" t="s">
        <v>906</v>
      </c>
      <c r="C12" s="27" t="s">
        <v>897</v>
      </c>
      <c r="D12" s="31">
        <v>40</v>
      </c>
      <c r="E12" s="29">
        <v>411.66120000000001</v>
      </c>
      <c r="F12" s="30">
        <v>7.9209665732016497</v>
      </c>
      <c r="G12" s="29">
        <v>5.6599000000000004</v>
      </c>
    </row>
    <row r="13" spans="1:7" x14ac:dyDescent="0.2">
      <c r="A13" s="27" t="s">
        <v>874</v>
      </c>
      <c r="B13" s="27" t="s">
        <v>875</v>
      </c>
      <c r="C13" s="27" t="s">
        <v>876</v>
      </c>
      <c r="D13" s="31">
        <v>37</v>
      </c>
      <c r="E13" s="29">
        <v>388.28946999999999</v>
      </c>
      <c r="F13" s="30">
        <v>7.4712601347811898</v>
      </c>
      <c r="G13" s="29">
        <v>3.88</v>
      </c>
    </row>
    <row r="14" spans="1:7" x14ac:dyDescent="0.2">
      <c r="A14" s="27" t="s">
        <v>960</v>
      </c>
      <c r="B14" s="27" t="s">
        <v>961</v>
      </c>
      <c r="C14" s="27" t="s">
        <v>38</v>
      </c>
      <c r="D14" s="31">
        <v>30</v>
      </c>
      <c r="E14" s="29">
        <v>375.60570000000001</v>
      </c>
      <c r="F14" s="30">
        <v>7.2272057565882104</v>
      </c>
      <c r="G14" s="29">
        <v>4.2499000000000002</v>
      </c>
    </row>
    <row r="15" spans="1:7" x14ac:dyDescent="0.2">
      <c r="A15" s="27" t="s">
        <v>952</v>
      </c>
      <c r="B15" s="27" t="s">
        <v>953</v>
      </c>
      <c r="C15" s="27" t="s">
        <v>38</v>
      </c>
      <c r="D15" s="31">
        <v>30</v>
      </c>
      <c r="E15" s="29">
        <v>310.13850000000002</v>
      </c>
      <c r="F15" s="30">
        <v>5.9675206008312198</v>
      </c>
      <c r="G15" s="29">
        <v>3.9</v>
      </c>
    </row>
    <row r="16" spans="1:7" x14ac:dyDescent="0.2">
      <c r="A16" s="27" t="s">
        <v>1040</v>
      </c>
      <c r="B16" s="27" t="s">
        <v>1041</v>
      </c>
      <c r="C16" s="27" t="s">
        <v>994</v>
      </c>
      <c r="D16" s="31">
        <v>21</v>
      </c>
      <c r="E16" s="29">
        <v>270.11333999999999</v>
      </c>
      <c r="F16" s="30">
        <v>5.1973776909649301</v>
      </c>
      <c r="G16" s="29">
        <v>4.8148999999999997</v>
      </c>
    </row>
    <row r="17" spans="1:9" x14ac:dyDescent="0.2">
      <c r="A17" s="27" t="s">
        <v>1042</v>
      </c>
      <c r="B17" s="27" t="s">
        <v>1043</v>
      </c>
      <c r="C17" s="27" t="s">
        <v>38</v>
      </c>
      <c r="D17" s="31">
        <v>19</v>
      </c>
      <c r="E17" s="29">
        <v>244.98068000000001</v>
      </c>
      <c r="F17" s="30">
        <v>4.71378837102018</v>
      </c>
      <c r="G17" s="29">
        <v>4.45</v>
      </c>
    </row>
    <row r="18" spans="1:9" x14ac:dyDescent="0.2">
      <c r="A18" s="27" t="s">
        <v>1044</v>
      </c>
      <c r="B18" s="27" t="s">
        <v>1045</v>
      </c>
      <c r="C18" s="27" t="s">
        <v>871</v>
      </c>
      <c r="D18" s="31">
        <v>18</v>
      </c>
      <c r="E18" s="29">
        <v>186.60347999999999</v>
      </c>
      <c r="F18" s="30">
        <v>3.59052523658558</v>
      </c>
      <c r="G18" s="29">
        <v>4.2300000000000004</v>
      </c>
    </row>
    <row r="19" spans="1:9" x14ac:dyDescent="0.2">
      <c r="A19" s="27" t="s">
        <v>1046</v>
      </c>
      <c r="B19" s="27" t="s">
        <v>1047</v>
      </c>
      <c r="C19" s="27" t="s">
        <v>38</v>
      </c>
      <c r="D19" s="31">
        <v>12</v>
      </c>
      <c r="E19" s="29">
        <v>153.66659999999999</v>
      </c>
      <c r="F19" s="30">
        <v>2.9567712527135201</v>
      </c>
      <c r="G19" s="29">
        <v>5.4793000000000003</v>
      </c>
    </row>
    <row r="20" spans="1:9" x14ac:dyDescent="0.2">
      <c r="A20" s="27" t="s">
        <v>911</v>
      </c>
      <c r="B20" s="27" t="s">
        <v>912</v>
      </c>
      <c r="C20" s="27" t="s">
        <v>38</v>
      </c>
      <c r="D20" s="31">
        <v>10</v>
      </c>
      <c r="E20" s="29">
        <v>103.505</v>
      </c>
      <c r="F20" s="30">
        <v>1.9915883380781001</v>
      </c>
      <c r="G20" s="29">
        <v>4.1100000000000003</v>
      </c>
    </row>
    <row r="21" spans="1:9" x14ac:dyDescent="0.2">
      <c r="A21" s="27" t="s">
        <v>902</v>
      </c>
      <c r="B21" s="27" t="s">
        <v>903</v>
      </c>
      <c r="C21" s="27" t="s">
        <v>904</v>
      </c>
      <c r="D21" s="31">
        <v>5</v>
      </c>
      <c r="E21" s="29">
        <v>51.356999999999999</v>
      </c>
      <c r="F21" s="30">
        <v>0.98818416770858497</v>
      </c>
      <c r="G21" s="29">
        <v>5.2746000000000004</v>
      </c>
    </row>
    <row r="22" spans="1:9" x14ac:dyDescent="0.2">
      <c r="A22" s="26" t="s">
        <v>39</v>
      </c>
      <c r="B22" s="26"/>
      <c r="C22" s="26"/>
      <c r="D22" s="32"/>
      <c r="E22" s="33">
        <f>SUM(E6:E21)</f>
        <v>4824.5620399999998</v>
      </c>
      <c r="F22" s="34">
        <f>SUM(F6:F21)</f>
        <v>92.831665090558829</v>
      </c>
      <c r="G22" s="33"/>
      <c r="H22" s="18"/>
      <c r="I22" s="18"/>
    </row>
    <row r="23" spans="1:9" x14ac:dyDescent="0.2">
      <c r="A23" s="27"/>
      <c r="B23" s="27"/>
      <c r="C23" s="27"/>
      <c r="D23" s="28"/>
      <c r="E23" s="29"/>
      <c r="F23" s="30"/>
      <c r="G23" s="29"/>
    </row>
    <row r="24" spans="1:9" x14ac:dyDescent="0.2">
      <c r="A24" s="26" t="s">
        <v>42</v>
      </c>
      <c r="B24" s="26"/>
      <c r="C24" s="26"/>
      <c r="D24" s="32"/>
      <c r="E24" s="33">
        <f>E22</f>
        <v>4824.5620399999998</v>
      </c>
      <c r="F24" s="34">
        <f>F22</f>
        <v>92.831665090558829</v>
      </c>
      <c r="G24" s="33"/>
      <c r="H24" s="18"/>
      <c r="I24" s="18"/>
    </row>
    <row r="25" spans="1:9" x14ac:dyDescent="0.2">
      <c r="A25" s="26"/>
      <c r="B25" s="26"/>
      <c r="C25" s="26"/>
      <c r="D25" s="32"/>
      <c r="E25" s="33"/>
      <c r="F25" s="34"/>
      <c r="G25" s="33"/>
      <c r="H25" s="18"/>
      <c r="I25" s="18"/>
    </row>
    <row r="26" spans="1:9" x14ac:dyDescent="0.2">
      <c r="A26" s="26" t="s">
        <v>44</v>
      </c>
      <c r="B26" s="26"/>
      <c r="C26" s="26"/>
      <c r="D26" s="32"/>
      <c r="E26" s="33">
        <f>E28-(E22)</f>
        <v>372.54611840000052</v>
      </c>
      <c r="F26" s="34">
        <f>F28-(F22)</f>
        <v>7.168334909441171</v>
      </c>
      <c r="G26" s="33"/>
      <c r="H26" s="18"/>
      <c r="I26" s="18"/>
    </row>
    <row r="27" spans="1:9" x14ac:dyDescent="0.2">
      <c r="A27" s="26"/>
      <c r="B27" s="26"/>
      <c r="C27" s="26"/>
      <c r="D27" s="32"/>
      <c r="E27" s="33"/>
      <c r="F27" s="34"/>
      <c r="G27" s="33"/>
      <c r="H27" s="18"/>
      <c r="I27" s="18"/>
    </row>
    <row r="28" spans="1:9" x14ac:dyDescent="0.2">
      <c r="A28" s="35" t="s">
        <v>43</v>
      </c>
      <c r="B28" s="35"/>
      <c r="C28" s="35"/>
      <c r="D28" s="36"/>
      <c r="E28" s="37">
        <v>5197.1081584000003</v>
      </c>
      <c r="F28" s="38">
        <v>100</v>
      </c>
      <c r="G28" s="37"/>
      <c r="H28" s="18"/>
      <c r="I28" s="18"/>
    </row>
    <row r="30" spans="1:9" x14ac:dyDescent="0.2">
      <c r="A30" s="18" t="s">
        <v>46</v>
      </c>
    </row>
    <row r="32" spans="1:9" x14ac:dyDescent="0.2">
      <c r="A32" s="18" t="s">
        <v>47</v>
      </c>
    </row>
    <row r="33" spans="1:5" x14ac:dyDescent="0.2">
      <c r="A33" s="18" t="s">
        <v>48</v>
      </c>
    </row>
    <row r="34" spans="1:5" x14ac:dyDescent="0.2">
      <c r="A34" s="18" t="s">
        <v>49</v>
      </c>
      <c r="B34" s="18"/>
      <c r="C34" s="39" t="s">
        <v>51</v>
      </c>
      <c r="D34" s="41" t="s">
        <v>50</v>
      </c>
    </row>
    <row r="35" spans="1:5" x14ac:dyDescent="0.2">
      <c r="A35" s="9" t="s">
        <v>79</v>
      </c>
      <c r="C35" s="40">
        <v>11.821199999999999</v>
      </c>
      <c r="D35" s="40">
        <v>12.1068</v>
      </c>
    </row>
    <row r="36" spans="1:5" x14ac:dyDescent="0.2">
      <c r="A36" s="9" t="s">
        <v>1048</v>
      </c>
      <c r="C36" s="40">
        <v>10.990600000000001</v>
      </c>
      <c r="D36" s="40">
        <v>10.4696</v>
      </c>
    </row>
    <row r="37" spans="1:5" x14ac:dyDescent="0.2">
      <c r="A37" s="9" t="s">
        <v>81</v>
      </c>
      <c r="C37" s="40">
        <v>10.598000000000001</v>
      </c>
      <c r="D37" s="40">
        <v>10.468999999999999</v>
      </c>
    </row>
    <row r="38" spans="1:5" x14ac:dyDescent="0.2">
      <c r="A38" s="9" t="s">
        <v>82</v>
      </c>
      <c r="C38" s="40">
        <v>11.859500000000001</v>
      </c>
      <c r="D38" s="40">
        <v>12.158099999999999</v>
      </c>
    </row>
    <row r="40" spans="1:5" x14ac:dyDescent="0.2">
      <c r="A40" s="18" t="s">
        <v>53</v>
      </c>
    </row>
    <row r="41" spans="1:5" x14ac:dyDescent="0.2">
      <c r="A41" s="82" t="s">
        <v>76</v>
      </c>
      <c r="B41" s="83"/>
      <c r="C41" s="44" t="s">
        <v>77</v>
      </c>
    </row>
    <row r="42" spans="1:5" x14ac:dyDescent="0.2">
      <c r="A42" s="78" t="s">
        <v>1048</v>
      </c>
      <c r="B42" s="79"/>
      <c r="C42" s="45">
        <v>0.78</v>
      </c>
    </row>
    <row r="43" spans="1:5" x14ac:dyDescent="0.2">
      <c r="A43" s="78" t="s">
        <v>81</v>
      </c>
      <c r="B43" s="79"/>
      <c r="C43" s="45">
        <v>0.38</v>
      </c>
    </row>
    <row r="44" spans="1:5" x14ac:dyDescent="0.2">
      <c r="A44" s="9" t="s">
        <v>78</v>
      </c>
    </row>
    <row r="45" spans="1:5" x14ac:dyDescent="0.2">
      <c r="A45" s="9" t="s">
        <v>52</v>
      </c>
    </row>
    <row r="47" spans="1:5" x14ac:dyDescent="0.2">
      <c r="A47" s="18" t="s">
        <v>820</v>
      </c>
      <c r="D47" s="42">
        <v>0.80234323654794515</v>
      </c>
      <c r="E47" s="13" t="s">
        <v>55</v>
      </c>
    </row>
    <row r="49" spans="1:7" x14ac:dyDescent="0.2">
      <c r="A49" s="18" t="s">
        <v>56</v>
      </c>
      <c r="D49" s="41" t="s">
        <v>54</v>
      </c>
    </row>
    <row r="51" spans="1:7" ht="14.4" x14ac:dyDescent="0.2">
      <c r="A51" s="80" t="s">
        <v>821</v>
      </c>
      <c r="B51" s="81"/>
      <c r="C51" s="81"/>
      <c r="D51" s="81"/>
      <c r="E51" s="81"/>
      <c r="F51" s="81"/>
      <c r="G51" s="81"/>
    </row>
    <row r="52" spans="1:7" x14ac:dyDescent="0.2">
      <c r="A52" s="53" t="s">
        <v>57</v>
      </c>
    </row>
    <row r="54" spans="1:7" x14ac:dyDescent="0.2">
      <c r="A54" s="53"/>
    </row>
  </sheetData>
  <mergeCells count="5">
    <mergeCell ref="A1:G1"/>
    <mergeCell ref="A41:B41"/>
    <mergeCell ref="A42:B42"/>
    <mergeCell ref="A43:B43"/>
    <mergeCell ref="A51:G51"/>
  </mergeCells>
  <conditionalFormatting sqref="F2:F3 F5:F50 F55:F65536">
    <cfRule type="cellIs" dxfId="131" priority="3" stopIfTrue="1" operator="between">
      <formula>0.009</formula>
      <formula>-0.009</formula>
    </cfRule>
  </conditionalFormatting>
  <conditionalFormatting sqref="F53:F54">
    <cfRule type="cellIs" dxfId="130" priority="2" stopIfTrue="1" operator="between">
      <formula>0.009</formula>
      <formula>-0.009</formula>
    </cfRule>
  </conditionalFormatting>
  <conditionalFormatting sqref="F52">
    <cfRule type="cellIs" dxfId="129" priority="1" stopIfTrue="1" operator="between">
      <formula>0.009</formula>
      <formula>-0.009</formula>
    </cfRule>
  </conditionalFormatting>
  <hyperlinks>
    <hyperlink ref="A52" r:id="rId1" xr:uid="{00000000-0004-0000-09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1049</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960</v>
      </c>
      <c r="B7" s="27" t="s">
        <v>961</v>
      </c>
      <c r="C7" s="27" t="s">
        <v>38</v>
      </c>
      <c r="D7" s="31">
        <v>39</v>
      </c>
      <c r="E7" s="29">
        <v>488.28741000000002</v>
      </c>
      <c r="F7" s="30">
        <v>12.0235363345436</v>
      </c>
      <c r="G7" s="29">
        <v>4.2499000000000002</v>
      </c>
    </row>
    <row r="8" spans="1:7" x14ac:dyDescent="0.2">
      <c r="A8" s="27" t="s">
        <v>1050</v>
      </c>
      <c r="B8" s="27" t="s">
        <v>1051</v>
      </c>
      <c r="C8" s="27" t="s">
        <v>38</v>
      </c>
      <c r="D8" s="31">
        <v>39</v>
      </c>
      <c r="E8" s="29">
        <v>405.36561</v>
      </c>
      <c r="F8" s="30">
        <v>9.9816789063011697</v>
      </c>
      <c r="G8" s="29">
        <v>3.9350000000000001</v>
      </c>
    </row>
    <row r="9" spans="1:7" x14ac:dyDescent="0.2">
      <c r="A9" s="27" t="s">
        <v>1052</v>
      </c>
      <c r="B9" s="27" t="s">
        <v>1053</v>
      </c>
      <c r="C9" s="27" t="s">
        <v>38</v>
      </c>
      <c r="D9" s="31">
        <v>39</v>
      </c>
      <c r="E9" s="29">
        <v>400.91453999999999</v>
      </c>
      <c r="F9" s="30">
        <v>9.8720762403782505</v>
      </c>
      <c r="G9" s="29">
        <v>3.72</v>
      </c>
    </row>
    <row r="10" spans="1:7" x14ac:dyDescent="0.2">
      <c r="A10" s="27" t="s">
        <v>930</v>
      </c>
      <c r="B10" s="27" t="s">
        <v>931</v>
      </c>
      <c r="C10" s="27" t="s">
        <v>38</v>
      </c>
      <c r="D10" s="31">
        <v>38</v>
      </c>
      <c r="E10" s="29">
        <v>387.29486000000003</v>
      </c>
      <c r="F10" s="30">
        <v>9.5367067141706094</v>
      </c>
      <c r="G10" s="29">
        <v>3.7149999999999999</v>
      </c>
    </row>
    <row r="11" spans="1:7" x14ac:dyDescent="0.2">
      <c r="A11" s="27" t="s">
        <v>1044</v>
      </c>
      <c r="B11" s="27" t="s">
        <v>1045</v>
      </c>
      <c r="C11" s="27" t="s">
        <v>871</v>
      </c>
      <c r="D11" s="31">
        <v>37</v>
      </c>
      <c r="E11" s="29">
        <v>383.57382000000001</v>
      </c>
      <c r="F11" s="30">
        <v>9.4450802279536301</v>
      </c>
      <c r="G11" s="29">
        <v>4.2300000000000004</v>
      </c>
    </row>
    <row r="12" spans="1:7" x14ac:dyDescent="0.2">
      <c r="A12" s="27" t="s">
        <v>1040</v>
      </c>
      <c r="B12" s="27" t="s">
        <v>1041</v>
      </c>
      <c r="C12" s="27" t="s">
        <v>994</v>
      </c>
      <c r="D12" s="31">
        <v>29</v>
      </c>
      <c r="E12" s="29">
        <v>373.01366000000002</v>
      </c>
      <c r="F12" s="30">
        <v>9.1850479910819196</v>
      </c>
      <c r="G12" s="29">
        <v>4.8148999999999997</v>
      </c>
    </row>
    <row r="13" spans="1:7" x14ac:dyDescent="0.2">
      <c r="A13" s="27" t="s">
        <v>902</v>
      </c>
      <c r="B13" s="27" t="s">
        <v>903</v>
      </c>
      <c r="C13" s="27" t="s">
        <v>904</v>
      </c>
      <c r="D13" s="31">
        <v>34</v>
      </c>
      <c r="E13" s="29">
        <v>349.2276</v>
      </c>
      <c r="F13" s="30">
        <v>8.5993426241021798</v>
      </c>
      <c r="G13" s="29">
        <v>5.2746000000000004</v>
      </c>
    </row>
    <row r="14" spans="1:7" x14ac:dyDescent="0.2">
      <c r="A14" s="27" t="s">
        <v>968</v>
      </c>
      <c r="B14" s="27" t="s">
        <v>969</v>
      </c>
      <c r="C14" s="27" t="s">
        <v>38</v>
      </c>
      <c r="D14" s="31">
        <v>27</v>
      </c>
      <c r="E14" s="29">
        <v>347.69736</v>
      </c>
      <c r="F14" s="30">
        <v>8.5616621599661702</v>
      </c>
      <c r="G14" s="29">
        <v>4.0350000000000001</v>
      </c>
    </row>
    <row r="15" spans="1:7" x14ac:dyDescent="0.2">
      <c r="A15" s="27" t="s">
        <v>1046</v>
      </c>
      <c r="B15" s="27" t="s">
        <v>1047</v>
      </c>
      <c r="C15" s="27" t="s">
        <v>38</v>
      </c>
      <c r="D15" s="31">
        <v>24</v>
      </c>
      <c r="E15" s="29">
        <v>307.33319999999998</v>
      </c>
      <c r="F15" s="30">
        <v>7.5677394529004003</v>
      </c>
      <c r="G15" s="29">
        <v>5.4793000000000003</v>
      </c>
    </row>
    <row r="16" spans="1:7" x14ac:dyDescent="0.2">
      <c r="A16" s="27" t="s">
        <v>952</v>
      </c>
      <c r="B16" s="27" t="s">
        <v>953</v>
      </c>
      <c r="C16" s="27" t="s">
        <v>38</v>
      </c>
      <c r="D16" s="31">
        <v>13</v>
      </c>
      <c r="E16" s="29">
        <v>134.39335</v>
      </c>
      <c r="F16" s="30">
        <v>3.3092873044710198</v>
      </c>
      <c r="G16" s="29">
        <v>3.9</v>
      </c>
    </row>
    <row r="17" spans="1:9" x14ac:dyDescent="0.2">
      <c r="A17" s="27" t="s">
        <v>911</v>
      </c>
      <c r="B17" s="27" t="s">
        <v>912</v>
      </c>
      <c r="C17" s="27" t="s">
        <v>38</v>
      </c>
      <c r="D17" s="31">
        <v>12</v>
      </c>
      <c r="E17" s="29">
        <v>124.206</v>
      </c>
      <c r="F17" s="30">
        <v>3.0584351006885901</v>
      </c>
      <c r="G17" s="29">
        <v>4.1100000000000003</v>
      </c>
    </row>
    <row r="18" spans="1:9" x14ac:dyDescent="0.2">
      <c r="A18" s="27" t="s">
        <v>1038</v>
      </c>
      <c r="B18" s="27" t="s">
        <v>1039</v>
      </c>
      <c r="C18" s="27" t="s">
        <v>38</v>
      </c>
      <c r="D18" s="31">
        <v>4</v>
      </c>
      <c r="E18" s="29">
        <v>52.366840000000003</v>
      </c>
      <c r="F18" s="30">
        <v>1.28947540028778</v>
      </c>
      <c r="G18" s="29">
        <v>4.5</v>
      </c>
    </row>
    <row r="19" spans="1:9" x14ac:dyDescent="0.2">
      <c r="A19" s="27" t="s">
        <v>1054</v>
      </c>
      <c r="B19" s="27" t="s">
        <v>1055</v>
      </c>
      <c r="C19" s="27" t="s">
        <v>994</v>
      </c>
      <c r="D19" s="31">
        <v>1</v>
      </c>
      <c r="E19" s="29">
        <v>12.85317</v>
      </c>
      <c r="F19" s="30">
        <v>0.316495066930081</v>
      </c>
      <c r="G19" s="29">
        <v>4.9499000000000004</v>
      </c>
    </row>
    <row r="20" spans="1:9" x14ac:dyDescent="0.2">
      <c r="A20" s="27" t="s">
        <v>905</v>
      </c>
      <c r="B20" s="27" t="s">
        <v>906</v>
      </c>
      <c r="C20" s="27" t="s">
        <v>897</v>
      </c>
      <c r="D20" s="31">
        <v>1</v>
      </c>
      <c r="E20" s="29">
        <v>10.29153</v>
      </c>
      <c r="F20" s="30">
        <v>0.25341752082660801</v>
      </c>
      <c r="G20" s="29">
        <v>5.6599000000000004</v>
      </c>
    </row>
    <row r="21" spans="1:9" x14ac:dyDescent="0.2">
      <c r="A21" s="26" t="s">
        <v>39</v>
      </c>
      <c r="B21" s="26"/>
      <c r="C21" s="26"/>
      <c r="D21" s="32"/>
      <c r="E21" s="33">
        <f>SUM(E6:E20)</f>
        <v>3776.8189500000003</v>
      </c>
      <c r="F21" s="34">
        <f>SUM(F6:F20)</f>
        <v>92.999981044602009</v>
      </c>
      <c r="G21" s="33"/>
      <c r="H21" s="18"/>
      <c r="I21" s="18"/>
    </row>
    <row r="22" spans="1:9" x14ac:dyDescent="0.2">
      <c r="A22" s="27"/>
      <c r="B22" s="27"/>
      <c r="C22" s="27"/>
      <c r="D22" s="28"/>
      <c r="E22" s="29"/>
      <c r="F22" s="30"/>
      <c r="G22" s="29"/>
    </row>
    <row r="23" spans="1:9" x14ac:dyDescent="0.2">
      <c r="A23" s="26" t="s">
        <v>42</v>
      </c>
      <c r="B23" s="26"/>
      <c r="C23" s="26"/>
      <c r="D23" s="32"/>
      <c r="E23" s="33">
        <f>E21</f>
        <v>3776.8189500000003</v>
      </c>
      <c r="F23" s="34">
        <f>F21</f>
        <v>92.999981044602009</v>
      </c>
      <c r="G23" s="33"/>
      <c r="H23" s="18"/>
      <c r="I23" s="18"/>
    </row>
    <row r="24" spans="1:9" x14ac:dyDescent="0.2">
      <c r="A24" s="26"/>
      <c r="B24" s="26"/>
      <c r="C24" s="26"/>
      <c r="D24" s="32"/>
      <c r="E24" s="33"/>
      <c r="F24" s="34"/>
      <c r="G24" s="33"/>
      <c r="H24" s="18"/>
      <c r="I24" s="18"/>
    </row>
    <row r="25" spans="1:9" x14ac:dyDescent="0.2">
      <c r="A25" s="26" t="s">
        <v>44</v>
      </c>
      <c r="B25" s="26"/>
      <c r="C25" s="26"/>
      <c r="D25" s="32"/>
      <c r="E25" s="33">
        <f>E27-(E21)</f>
        <v>284.27752289999989</v>
      </c>
      <c r="F25" s="34">
        <f>F27-(F21)</f>
        <v>7.0000189553979908</v>
      </c>
      <c r="G25" s="33"/>
      <c r="H25" s="18"/>
      <c r="I25" s="18"/>
    </row>
    <row r="26" spans="1:9" x14ac:dyDescent="0.2">
      <c r="A26" s="26"/>
      <c r="B26" s="26"/>
      <c r="C26" s="26"/>
      <c r="D26" s="32"/>
      <c r="E26" s="33"/>
      <c r="F26" s="34"/>
      <c r="G26" s="33"/>
      <c r="H26" s="18"/>
      <c r="I26" s="18"/>
    </row>
    <row r="27" spans="1:9" x14ac:dyDescent="0.2">
      <c r="A27" s="35" t="s">
        <v>43</v>
      </c>
      <c r="B27" s="35"/>
      <c r="C27" s="35"/>
      <c r="D27" s="36"/>
      <c r="E27" s="37">
        <v>4061.0964729000002</v>
      </c>
      <c r="F27" s="38">
        <v>100</v>
      </c>
      <c r="G27" s="37"/>
      <c r="H27" s="18"/>
      <c r="I27" s="18"/>
    </row>
    <row r="29" spans="1:9" x14ac:dyDescent="0.2">
      <c r="A29" s="18" t="s">
        <v>46</v>
      </c>
    </row>
    <row r="31" spans="1:9" x14ac:dyDescent="0.2">
      <c r="A31" s="18" t="s">
        <v>47</v>
      </c>
    </row>
    <row r="32" spans="1:9" x14ac:dyDescent="0.2">
      <c r="A32" s="18" t="s">
        <v>48</v>
      </c>
    </row>
    <row r="33" spans="1:4" x14ac:dyDescent="0.2">
      <c r="A33" s="18" t="s">
        <v>49</v>
      </c>
      <c r="B33" s="18"/>
      <c r="C33" s="39" t="s">
        <v>51</v>
      </c>
      <c r="D33" s="41" t="s">
        <v>50</v>
      </c>
    </row>
    <row r="34" spans="1:4" x14ac:dyDescent="0.2">
      <c r="A34" s="9" t="s">
        <v>79</v>
      </c>
      <c r="C34" s="40">
        <v>11.9602</v>
      </c>
      <c r="D34" s="40">
        <v>12.240399999999999</v>
      </c>
    </row>
    <row r="35" spans="1:4" x14ac:dyDescent="0.2">
      <c r="A35" s="9" t="s">
        <v>1048</v>
      </c>
      <c r="C35" s="40">
        <v>11.1031</v>
      </c>
      <c r="D35" s="40">
        <v>10.519600000000001</v>
      </c>
    </row>
    <row r="36" spans="1:4" x14ac:dyDescent="0.2">
      <c r="A36" s="9" t="s">
        <v>81</v>
      </c>
      <c r="C36" s="40">
        <v>10.670500000000001</v>
      </c>
      <c r="D36" s="40">
        <v>10.5143</v>
      </c>
    </row>
    <row r="37" spans="1:4" x14ac:dyDescent="0.2">
      <c r="A37" s="9" t="s">
        <v>82</v>
      </c>
      <c r="C37" s="40">
        <v>12.001099999999999</v>
      </c>
      <c r="D37" s="40">
        <v>12.294600000000001</v>
      </c>
    </row>
    <row r="38" spans="1:4" x14ac:dyDescent="0.2">
      <c r="A38" s="9" t="s">
        <v>86</v>
      </c>
      <c r="C38" s="40">
        <v>11.1419</v>
      </c>
      <c r="D38" s="40">
        <v>10.5694</v>
      </c>
    </row>
    <row r="39" spans="1:4" x14ac:dyDescent="0.2">
      <c r="A39" s="9" t="s">
        <v>84</v>
      </c>
      <c r="C39" s="40">
        <v>10.7094</v>
      </c>
      <c r="D39" s="40">
        <v>10.5654</v>
      </c>
    </row>
    <row r="41" spans="1:4" x14ac:dyDescent="0.2">
      <c r="A41" s="18" t="s">
        <v>53</v>
      </c>
    </row>
    <row r="42" spans="1:4" x14ac:dyDescent="0.2">
      <c r="A42" s="82" t="s">
        <v>76</v>
      </c>
      <c r="B42" s="83"/>
      <c r="C42" s="44" t="s">
        <v>77</v>
      </c>
    </row>
    <row r="43" spans="1:4" x14ac:dyDescent="0.2">
      <c r="A43" s="78" t="s">
        <v>1048</v>
      </c>
      <c r="B43" s="79"/>
      <c r="C43" s="45">
        <v>0.83499999999999996</v>
      </c>
    </row>
    <row r="44" spans="1:4" x14ac:dyDescent="0.2">
      <c r="A44" s="78" t="s">
        <v>81</v>
      </c>
      <c r="B44" s="79"/>
      <c r="C44" s="45">
        <v>0.4</v>
      </c>
    </row>
    <row r="45" spans="1:4" x14ac:dyDescent="0.2">
      <c r="A45" s="78" t="s">
        <v>86</v>
      </c>
      <c r="B45" s="79"/>
      <c r="C45" s="45">
        <v>0.83499999999999996</v>
      </c>
    </row>
    <row r="46" spans="1:4" x14ac:dyDescent="0.2">
      <c r="A46" s="78" t="s">
        <v>84</v>
      </c>
      <c r="B46" s="79"/>
      <c r="C46" s="45">
        <v>0.4</v>
      </c>
    </row>
    <row r="47" spans="1:4" x14ac:dyDescent="0.2">
      <c r="A47" s="9" t="s">
        <v>78</v>
      </c>
    </row>
    <row r="48" spans="1:4" x14ac:dyDescent="0.2">
      <c r="A48" s="9" t="s">
        <v>52</v>
      </c>
    </row>
    <row r="50" spans="1:7" x14ac:dyDescent="0.2">
      <c r="A50" s="18" t="s">
        <v>820</v>
      </c>
      <c r="D50" s="42">
        <v>0.73631835254794542</v>
      </c>
      <c r="E50" s="13" t="s">
        <v>55</v>
      </c>
    </row>
    <row r="52" spans="1:7" x14ac:dyDescent="0.2">
      <c r="A52" s="18" t="s">
        <v>56</v>
      </c>
      <c r="D52" s="41" t="s">
        <v>54</v>
      </c>
    </row>
    <row r="54" spans="1:7" ht="14.4" x14ac:dyDescent="0.2">
      <c r="A54" s="80" t="s">
        <v>821</v>
      </c>
      <c r="B54" s="81"/>
      <c r="C54" s="81"/>
      <c r="D54" s="81"/>
      <c r="E54" s="81"/>
      <c r="F54" s="81"/>
      <c r="G54" s="81"/>
    </row>
    <row r="55" spans="1:7" x14ac:dyDescent="0.2">
      <c r="A55" s="53" t="s">
        <v>57</v>
      </c>
    </row>
    <row r="57" spans="1:7" x14ac:dyDescent="0.2">
      <c r="A57" s="53"/>
    </row>
  </sheetData>
  <mergeCells count="7">
    <mergeCell ref="A54:G54"/>
    <mergeCell ref="A1:G1"/>
    <mergeCell ref="A42:B42"/>
    <mergeCell ref="A43:B43"/>
    <mergeCell ref="A44:B44"/>
    <mergeCell ref="A45:B45"/>
    <mergeCell ref="A46:B46"/>
  </mergeCells>
  <conditionalFormatting sqref="F2:F3 F5:F53 F58:F65536">
    <cfRule type="cellIs" dxfId="128" priority="3" stopIfTrue="1" operator="between">
      <formula>0.009</formula>
      <formula>-0.009</formula>
    </cfRule>
  </conditionalFormatting>
  <conditionalFormatting sqref="F56:F57">
    <cfRule type="cellIs" dxfId="127" priority="2" stopIfTrue="1" operator="between">
      <formula>0.009</formula>
      <formula>-0.009</formula>
    </cfRule>
  </conditionalFormatting>
  <conditionalFormatting sqref="F55">
    <cfRule type="cellIs" dxfId="126" priority="1" stopIfTrue="1" operator="between">
      <formula>0.009</formula>
      <formula>-0.009</formula>
    </cfRule>
  </conditionalFormatting>
  <hyperlinks>
    <hyperlink ref="A55" r:id="rId1" xr:uid="{00000000-0004-0000-0A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1056</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1057</v>
      </c>
      <c r="B7" s="27" t="s">
        <v>1058</v>
      </c>
      <c r="C7" s="27" t="s">
        <v>38</v>
      </c>
      <c r="D7" s="31">
        <v>23</v>
      </c>
      <c r="E7" s="29">
        <v>298.57357999999999</v>
      </c>
      <c r="F7" s="30">
        <v>12.0253374983557</v>
      </c>
      <c r="G7" s="29">
        <v>4.5149999999999997</v>
      </c>
    </row>
    <row r="8" spans="1:7" x14ac:dyDescent="0.2">
      <c r="A8" s="27" t="s">
        <v>1059</v>
      </c>
      <c r="B8" s="27" t="s">
        <v>1060</v>
      </c>
      <c r="C8" s="27" t="s">
        <v>38</v>
      </c>
      <c r="D8" s="31">
        <v>23</v>
      </c>
      <c r="E8" s="29">
        <v>296.43159000000003</v>
      </c>
      <c r="F8" s="30">
        <v>11.9390667952744</v>
      </c>
      <c r="G8" s="29">
        <v>4.45</v>
      </c>
    </row>
    <row r="9" spans="1:7" x14ac:dyDescent="0.2">
      <c r="A9" s="27" t="s">
        <v>1044</v>
      </c>
      <c r="B9" s="27" t="s">
        <v>1045</v>
      </c>
      <c r="C9" s="27" t="s">
        <v>871</v>
      </c>
      <c r="D9" s="31">
        <v>24</v>
      </c>
      <c r="E9" s="29">
        <v>248.80464000000001</v>
      </c>
      <c r="F9" s="30">
        <v>10.020845672805001</v>
      </c>
      <c r="G9" s="29">
        <v>4.2300000000000004</v>
      </c>
    </row>
    <row r="10" spans="1:7" x14ac:dyDescent="0.2">
      <c r="A10" s="27" t="s">
        <v>1052</v>
      </c>
      <c r="B10" s="27" t="s">
        <v>1053</v>
      </c>
      <c r="C10" s="27" t="s">
        <v>38</v>
      </c>
      <c r="D10" s="31">
        <v>24</v>
      </c>
      <c r="E10" s="29">
        <v>246.71664000000001</v>
      </c>
      <c r="F10" s="30">
        <v>9.9367494687920104</v>
      </c>
      <c r="G10" s="29">
        <v>3.72</v>
      </c>
    </row>
    <row r="11" spans="1:7" x14ac:dyDescent="0.2">
      <c r="A11" s="27" t="s">
        <v>1050</v>
      </c>
      <c r="B11" s="27" t="s">
        <v>1051</v>
      </c>
      <c r="C11" s="27" t="s">
        <v>38</v>
      </c>
      <c r="D11" s="31">
        <v>23</v>
      </c>
      <c r="E11" s="29">
        <v>239.06177</v>
      </c>
      <c r="F11" s="30">
        <v>9.6284422325789496</v>
      </c>
      <c r="G11" s="29">
        <v>3.9350000000000001</v>
      </c>
    </row>
    <row r="12" spans="1:7" x14ac:dyDescent="0.2">
      <c r="A12" s="27" t="s">
        <v>930</v>
      </c>
      <c r="B12" s="27" t="s">
        <v>931</v>
      </c>
      <c r="C12" s="27" t="s">
        <v>38</v>
      </c>
      <c r="D12" s="31">
        <v>23</v>
      </c>
      <c r="E12" s="29">
        <v>234.41531000000001</v>
      </c>
      <c r="F12" s="30">
        <v>9.4413015965166096</v>
      </c>
      <c r="G12" s="29">
        <v>3.7149999999999999</v>
      </c>
    </row>
    <row r="13" spans="1:7" x14ac:dyDescent="0.2">
      <c r="A13" s="27" t="s">
        <v>1054</v>
      </c>
      <c r="B13" s="27" t="s">
        <v>1055</v>
      </c>
      <c r="C13" s="27" t="s">
        <v>994</v>
      </c>
      <c r="D13" s="31">
        <v>18</v>
      </c>
      <c r="E13" s="29">
        <v>231.35705999999999</v>
      </c>
      <c r="F13" s="30">
        <v>9.3181276425306407</v>
      </c>
      <c r="G13" s="29">
        <v>4.9499000000000004</v>
      </c>
    </row>
    <row r="14" spans="1:7" x14ac:dyDescent="0.2">
      <c r="A14" s="27" t="s">
        <v>902</v>
      </c>
      <c r="B14" s="27" t="s">
        <v>903</v>
      </c>
      <c r="C14" s="27" t="s">
        <v>904</v>
      </c>
      <c r="D14" s="31">
        <v>21</v>
      </c>
      <c r="E14" s="29">
        <v>215.6994</v>
      </c>
      <c r="F14" s="30">
        <v>8.6875003581791397</v>
      </c>
      <c r="G14" s="29">
        <v>5.2746000000000004</v>
      </c>
    </row>
    <row r="15" spans="1:7" x14ac:dyDescent="0.2">
      <c r="A15" s="27" t="s">
        <v>1046</v>
      </c>
      <c r="B15" s="27" t="s">
        <v>1047</v>
      </c>
      <c r="C15" s="27" t="s">
        <v>38</v>
      </c>
      <c r="D15" s="31">
        <v>14</v>
      </c>
      <c r="E15" s="29">
        <v>179.27770000000001</v>
      </c>
      <c r="F15" s="30">
        <v>7.2205814339934804</v>
      </c>
      <c r="G15" s="29">
        <v>5.4793000000000003</v>
      </c>
    </row>
    <row r="16" spans="1:7" x14ac:dyDescent="0.2">
      <c r="A16" s="27" t="s">
        <v>911</v>
      </c>
      <c r="B16" s="27" t="s">
        <v>912</v>
      </c>
      <c r="C16" s="27" t="s">
        <v>38</v>
      </c>
      <c r="D16" s="31">
        <v>6</v>
      </c>
      <c r="E16" s="29">
        <v>62.103000000000002</v>
      </c>
      <c r="F16" s="30">
        <v>2.5012579299895998</v>
      </c>
      <c r="G16" s="29">
        <v>4.1100000000000003</v>
      </c>
    </row>
    <row r="17" spans="1:9" x14ac:dyDescent="0.2">
      <c r="A17" s="27" t="s">
        <v>952</v>
      </c>
      <c r="B17" s="27" t="s">
        <v>953</v>
      </c>
      <c r="C17" s="27" t="s">
        <v>38</v>
      </c>
      <c r="D17" s="31">
        <v>3</v>
      </c>
      <c r="E17" s="29">
        <v>31.013850000000001</v>
      </c>
      <c r="F17" s="30">
        <v>1.24911257510922</v>
      </c>
      <c r="G17" s="29">
        <v>3.9</v>
      </c>
    </row>
    <row r="18" spans="1:9" x14ac:dyDescent="0.2">
      <c r="A18" s="27" t="s">
        <v>915</v>
      </c>
      <c r="B18" s="27" t="s">
        <v>916</v>
      </c>
      <c r="C18" s="27" t="s">
        <v>38</v>
      </c>
      <c r="D18" s="31">
        <v>2</v>
      </c>
      <c r="E18" s="29">
        <v>20.639060000000001</v>
      </c>
      <c r="F18" s="30">
        <v>0.831257950381322</v>
      </c>
      <c r="G18" s="29">
        <v>3.8115999999999999</v>
      </c>
    </row>
    <row r="19" spans="1:9" x14ac:dyDescent="0.2">
      <c r="A19" s="27" t="s">
        <v>1061</v>
      </c>
      <c r="B19" s="27" t="s">
        <v>1062</v>
      </c>
      <c r="C19" s="27" t="s">
        <v>871</v>
      </c>
      <c r="D19" s="31">
        <v>1</v>
      </c>
      <c r="E19" s="29">
        <v>10.51843</v>
      </c>
      <c r="F19" s="30">
        <v>0.42363986359017303</v>
      </c>
      <c r="G19" s="29">
        <v>4.8498000000000001</v>
      </c>
    </row>
    <row r="20" spans="1:9" x14ac:dyDescent="0.2">
      <c r="A20" s="26" t="s">
        <v>39</v>
      </c>
      <c r="B20" s="26"/>
      <c r="C20" s="26"/>
      <c r="D20" s="32"/>
      <c r="E20" s="33">
        <f>SUM(E6:E19)</f>
        <v>2314.6120300000002</v>
      </c>
      <c r="F20" s="34">
        <f>SUM(F6:F19)</f>
        <v>93.22322101809624</v>
      </c>
      <c r="G20" s="33"/>
      <c r="H20" s="18"/>
      <c r="I20" s="18"/>
    </row>
    <row r="21" spans="1:9" x14ac:dyDescent="0.2">
      <c r="A21" s="27"/>
      <c r="B21" s="27"/>
      <c r="C21" s="27"/>
      <c r="D21" s="28"/>
      <c r="E21" s="29"/>
      <c r="F21" s="30"/>
      <c r="G21" s="29"/>
    </row>
    <row r="22" spans="1:9" x14ac:dyDescent="0.2">
      <c r="A22" s="26" t="s">
        <v>42</v>
      </c>
      <c r="B22" s="26"/>
      <c r="C22" s="26"/>
      <c r="D22" s="32"/>
      <c r="E22" s="33">
        <f>E20</f>
        <v>2314.6120300000002</v>
      </c>
      <c r="F22" s="34">
        <f>F20</f>
        <v>93.22322101809624</v>
      </c>
      <c r="G22" s="33"/>
      <c r="H22" s="18"/>
      <c r="I22" s="18"/>
    </row>
    <row r="23" spans="1:9" x14ac:dyDescent="0.2">
      <c r="A23" s="26"/>
      <c r="B23" s="26"/>
      <c r="C23" s="26"/>
      <c r="D23" s="32"/>
      <c r="E23" s="33"/>
      <c r="F23" s="34"/>
      <c r="G23" s="33"/>
      <c r="H23" s="18"/>
      <c r="I23" s="18"/>
    </row>
    <row r="24" spans="1:9" x14ac:dyDescent="0.2">
      <c r="A24" s="26" t="s">
        <v>44</v>
      </c>
      <c r="B24" s="26"/>
      <c r="C24" s="26"/>
      <c r="D24" s="32"/>
      <c r="E24" s="33">
        <f>E26-(E20)</f>
        <v>168.25865899999962</v>
      </c>
      <c r="F24" s="34">
        <f>F26-(F20)</f>
        <v>6.7767789819037603</v>
      </c>
      <c r="G24" s="33"/>
      <c r="H24" s="18"/>
      <c r="I24" s="18"/>
    </row>
    <row r="25" spans="1:9" x14ac:dyDescent="0.2">
      <c r="A25" s="26"/>
      <c r="B25" s="26"/>
      <c r="C25" s="26"/>
      <c r="D25" s="32"/>
      <c r="E25" s="33"/>
      <c r="F25" s="34"/>
      <c r="G25" s="33"/>
      <c r="H25" s="18"/>
      <c r="I25" s="18"/>
    </row>
    <row r="26" spans="1:9" x14ac:dyDescent="0.2">
      <c r="A26" s="35" t="s">
        <v>43</v>
      </c>
      <c r="B26" s="35"/>
      <c r="C26" s="35"/>
      <c r="D26" s="36"/>
      <c r="E26" s="37">
        <v>2482.8706889999999</v>
      </c>
      <c r="F26" s="38">
        <v>100</v>
      </c>
      <c r="G26" s="37"/>
      <c r="H26" s="18"/>
      <c r="I26" s="18"/>
    </row>
    <row r="28" spans="1:9" x14ac:dyDescent="0.2">
      <c r="A28" s="18" t="s">
        <v>46</v>
      </c>
    </row>
    <row r="30" spans="1:9" x14ac:dyDescent="0.2">
      <c r="A30" s="18" t="s">
        <v>47</v>
      </c>
    </row>
    <row r="31" spans="1:9" x14ac:dyDescent="0.2">
      <c r="A31" s="18" t="s">
        <v>48</v>
      </c>
    </row>
    <row r="32" spans="1:9" x14ac:dyDescent="0.2">
      <c r="A32" s="18" t="s">
        <v>49</v>
      </c>
      <c r="B32" s="18"/>
      <c r="C32" s="39" t="s">
        <v>51</v>
      </c>
      <c r="D32" s="41" t="s">
        <v>50</v>
      </c>
    </row>
    <row r="33" spans="1:4" x14ac:dyDescent="0.2">
      <c r="A33" s="9" t="s">
        <v>79</v>
      </c>
      <c r="C33" s="40">
        <v>12.020799999999999</v>
      </c>
      <c r="D33" s="40">
        <v>12.3216</v>
      </c>
    </row>
    <row r="34" spans="1:4" x14ac:dyDescent="0.2">
      <c r="A34" s="9" t="s">
        <v>1048</v>
      </c>
      <c r="C34" s="40">
        <v>11.213800000000001</v>
      </c>
      <c r="D34" s="40">
        <v>10.601100000000001</v>
      </c>
    </row>
    <row r="35" spans="1:4" x14ac:dyDescent="0.2">
      <c r="A35" s="9" t="s">
        <v>81</v>
      </c>
      <c r="C35" s="40">
        <v>10.5443</v>
      </c>
      <c r="D35" s="40">
        <v>10.4245</v>
      </c>
    </row>
    <row r="36" spans="1:4" x14ac:dyDescent="0.2">
      <c r="A36" s="9" t="s">
        <v>82</v>
      </c>
      <c r="C36" s="40">
        <v>12.0739</v>
      </c>
      <c r="D36" s="40">
        <v>12.3916</v>
      </c>
    </row>
    <row r="37" spans="1:4" x14ac:dyDescent="0.2">
      <c r="A37" s="9" t="s">
        <v>86</v>
      </c>
      <c r="C37" s="40">
        <v>11.265499999999999</v>
      </c>
      <c r="D37" s="40">
        <v>10.668100000000001</v>
      </c>
    </row>
    <row r="38" spans="1:4" x14ac:dyDescent="0.2">
      <c r="A38" s="9" t="s">
        <v>84</v>
      </c>
      <c r="C38" s="40">
        <v>10.5946</v>
      </c>
      <c r="D38" s="40">
        <v>10.489599999999999</v>
      </c>
    </row>
    <row r="40" spans="1:4" x14ac:dyDescent="0.2">
      <c r="A40" s="18" t="s">
        <v>53</v>
      </c>
    </row>
    <row r="41" spans="1:4" x14ac:dyDescent="0.2">
      <c r="A41" s="82" t="s">
        <v>76</v>
      </c>
      <c r="B41" s="83"/>
      <c r="C41" s="44" t="s">
        <v>77</v>
      </c>
    </row>
    <row r="42" spans="1:4" x14ac:dyDescent="0.2">
      <c r="A42" s="78" t="s">
        <v>1048</v>
      </c>
      <c r="B42" s="79"/>
      <c r="C42" s="45">
        <v>0.88</v>
      </c>
    </row>
    <row r="43" spans="1:4" x14ac:dyDescent="0.2">
      <c r="A43" s="78" t="s">
        <v>81</v>
      </c>
      <c r="B43" s="79"/>
      <c r="C43" s="45">
        <v>0.38</v>
      </c>
    </row>
    <row r="44" spans="1:4" x14ac:dyDescent="0.2">
      <c r="A44" s="78" t="s">
        <v>86</v>
      </c>
      <c r="B44" s="79"/>
      <c r="C44" s="45">
        <v>0.88</v>
      </c>
    </row>
    <row r="45" spans="1:4" x14ac:dyDescent="0.2">
      <c r="A45" s="78" t="s">
        <v>84</v>
      </c>
      <c r="B45" s="79"/>
      <c r="C45" s="45">
        <v>0.38</v>
      </c>
    </row>
    <row r="46" spans="1:4" x14ac:dyDescent="0.2">
      <c r="A46" s="9" t="s">
        <v>78</v>
      </c>
    </row>
    <row r="47" spans="1:4" x14ac:dyDescent="0.2">
      <c r="A47" s="9" t="s">
        <v>52</v>
      </c>
    </row>
    <row r="49" spans="1:7" x14ac:dyDescent="0.2">
      <c r="A49" s="18" t="s">
        <v>820</v>
      </c>
      <c r="D49" s="42">
        <v>0.78300644402739705</v>
      </c>
      <c r="E49" s="13" t="s">
        <v>55</v>
      </c>
    </row>
    <row r="51" spans="1:7" x14ac:dyDescent="0.2">
      <c r="A51" s="18" t="s">
        <v>56</v>
      </c>
      <c r="D51" s="41" t="s">
        <v>54</v>
      </c>
    </row>
    <row r="53" spans="1:7" ht="14.4" x14ac:dyDescent="0.2">
      <c r="A53" s="80" t="s">
        <v>821</v>
      </c>
      <c r="B53" s="81"/>
      <c r="C53" s="81"/>
      <c r="D53" s="81"/>
      <c r="E53" s="81"/>
      <c r="F53" s="81"/>
      <c r="G53" s="81"/>
    </row>
    <row r="54" spans="1:7" x14ac:dyDescent="0.2">
      <c r="A54" s="53" t="s">
        <v>57</v>
      </c>
    </row>
    <row r="56" spans="1:7" x14ac:dyDescent="0.2">
      <c r="A56" s="53"/>
    </row>
  </sheetData>
  <mergeCells count="7">
    <mergeCell ref="A53:G53"/>
    <mergeCell ref="A1:G1"/>
    <mergeCell ref="A41:B41"/>
    <mergeCell ref="A42:B42"/>
    <mergeCell ref="A43:B43"/>
    <mergeCell ref="A44:B44"/>
    <mergeCell ref="A45:B45"/>
  </mergeCells>
  <conditionalFormatting sqref="F2:F3 F5:F52 F57:F65536">
    <cfRule type="cellIs" dxfId="125" priority="3" stopIfTrue="1" operator="between">
      <formula>0.009</formula>
      <formula>-0.009</formula>
    </cfRule>
  </conditionalFormatting>
  <conditionalFormatting sqref="F55:F56">
    <cfRule type="cellIs" dxfId="124" priority="2" stopIfTrue="1" operator="between">
      <formula>0.009</formula>
      <formula>-0.009</formula>
    </cfRule>
  </conditionalFormatting>
  <conditionalFormatting sqref="F54">
    <cfRule type="cellIs" dxfId="123" priority="1" stopIfTrue="1" operator="between">
      <formula>0.009</formula>
      <formula>-0.009</formula>
    </cfRule>
  </conditionalFormatting>
  <hyperlinks>
    <hyperlink ref="A54" r:id="rId1" xr:uid="{00000000-0004-0000-0B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5"/>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1063</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1057</v>
      </c>
      <c r="B7" s="27" t="s">
        <v>1058</v>
      </c>
      <c r="C7" s="27" t="s">
        <v>38</v>
      </c>
      <c r="D7" s="31">
        <v>68</v>
      </c>
      <c r="E7" s="29">
        <v>882.73928000000001</v>
      </c>
      <c r="F7" s="30">
        <v>11.9045373546638</v>
      </c>
      <c r="G7" s="29">
        <v>4.5149999999999997</v>
      </c>
    </row>
    <row r="8" spans="1:7" x14ac:dyDescent="0.2">
      <c r="A8" s="27" t="s">
        <v>1044</v>
      </c>
      <c r="B8" s="27" t="s">
        <v>1045</v>
      </c>
      <c r="C8" s="27" t="s">
        <v>871</v>
      </c>
      <c r="D8" s="31">
        <v>71</v>
      </c>
      <c r="E8" s="29">
        <v>736.04705999999999</v>
      </c>
      <c r="F8" s="30">
        <v>9.9262601303529596</v>
      </c>
      <c r="G8" s="29">
        <v>4.2300000000000004</v>
      </c>
    </row>
    <row r="9" spans="1:7" x14ac:dyDescent="0.2">
      <c r="A9" s="27" t="s">
        <v>1052</v>
      </c>
      <c r="B9" s="27" t="s">
        <v>1053</v>
      </c>
      <c r="C9" s="27" t="s">
        <v>38</v>
      </c>
      <c r="D9" s="31">
        <v>71</v>
      </c>
      <c r="E9" s="29">
        <v>729.87005999999997</v>
      </c>
      <c r="F9" s="30">
        <v>9.8429577001724908</v>
      </c>
      <c r="G9" s="29">
        <v>3.72</v>
      </c>
    </row>
    <row r="10" spans="1:7" x14ac:dyDescent="0.2">
      <c r="A10" s="27" t="s">
        <v>1050</v>
      </c>
      <c r="B10" s="27" t="s">
        <v>1051</v>
      </c>
      <c r="C10" s="27" t="s">
        <v>38</v>
      </c>
      <c r="D10" s="31">
        <v>70</v>
      </c>
      <c r="E10" s="29">
        <v>727.57929999999999</v>
      </c>
      <c r="F10" s="30">
        <v>9.8120647302906292</v>
      </c>
      <c r="G10" s="29">
        <v>3.9350000000000001</v>
      </c>
    </row>
    <row r="11" spans="1:7" x14ac:dyDescent="0.2">
      <c r="A11" s="27" t="s">
        <v>1064</v>
      </c>
      <c r="B11" s="27" t="s">
        <v>1065</v>
      </c>
      <c r="C11" s="27" t="s">
        <v>927</v>
      </c>
      <c r="D11" s="31">
        <v>70000</v>
      </c>
      <c r="E11" s="29">
        <v>725.20839999999998</v>
      </c>
      <c r="F11" s="30">
        <v>9.78009100004701</v>
      </c>
      <c r="G11" s="29">
        <v>5.12</v>
      </c>
    </row>
    <row r="12" spans="1:7" x14ac:dyDescent="0.2">
      <c r="A12" s="27" t="s">
        <v>902</v>
      </c>
      <c r="B12" s="27" t="s">
        <v>903</v>
      </c>
      <c r="C12" s="27" t="s">
        <v>904</v>
      </c>
      <c r="D12" s="31">
        <v>70</v>
      </c>
      <c r="E12" s="29">
        <v>718.99800000000005</v>
      </c>
      <c r="F12" s="30">
        <v>9.6963381406665992</v>
      </c>
      <c r="G12" s="29">
        <v>5.2746000000000004</v>
      </c>
    </row>
    <row r="13" spans="1:7" x14ac:dyDescent="0.2">
      <c r="A13" s="27" t="s">
        <v>930</v>
      </c>
      <c r="B13" s="27" t="s">
        <v>931</v>
      </c>
      <c r="C13" s="27" t="s">
        <v>38</v>
      </c>
      <c r="D13" s="31">
        <v>69</v>
      </c>
      <c r="E13" s="29">
        <v>703.24593000000004</v>
      </c>
      <c r="F13" s="30">
        <v>9.4839072338553798</v>
      </c>
      <c r="G13" s="29">
        <v>3.7149999999999999</v>
      </c>
    </row>
    <row r="14" spans="1:7" x14ac:dyDescent="0.2">
      <c r="A14" s="27" t="s">
        <v>972</v>
      </c>
      <c r="B14" s="27" t="s">
        <v>973</v>
      </c>
      <c r="C14" s="27" t="s">
        <v>871</v>
      </c>
      <c r="D14" s="31">
        <v>47</v>
      </c>
      <c r="E14" s="29">
        <v>614.149</v>
      </c>
      <c r="F14" s="30">
        <v>8.2823545722689804</v>
      </c>
      <c r="G14" s="29">
        <v>5</v>
      </c>
    </row>
    <row r="15" spans="1:7" x14ac:dyDescent="0.2">
      <c r="A15" s="27" t="s">
        <v>1061</v>
      </c>
      <c r="B15" s="27" t="s">
        <v>1062</v>
      </c>
      <c r="C15" s="27" t="s">
        <v>871</v>
      </c>
      <c r="D15" s="31">
        <v>31</v>
      </c>
      <c r="E15" s="29">
        <v>326.07132999999999</v>
      </c>
      <c r="F15" s="30">
        <v>4.3973667154246403</v>
      </c>
      <c r="G15" s="29">
        <v>4.8498000000000001</v>
      </c>
    </row>
    <row r="16" spans="1:7" x14ac:dyDescent="0.2">
      <c r="A16" s="27" t="s">
        <v>1054</v>
      </c>
      <c r="B16" s="27" t="s">
        <v>1055</v>
      </c>
      <c r="C16" s="27" t="s">
        <v>994</v>
      </c>
      <c r="D16" s="31">
        <v>20</v>
      </c>
      <c r="E16" s="29">
        <v>257.0634</v>
      </c>
      <c r="F16" s="30">
        <v>3.4667323831073702</v>
      </c>
      <c r="G16" s="29">
        <v>4.9499000000000004</v>
      </c>
    </row>
    <row r="17" spans="1:9" x14ac:dyDescent="0.2">
      <c r="A17" s="27" t="s">
        <v>911</v>
      </c>
      <c r="B17" s="27" t="s">
        <v>912</v>
      </c>
      <c r="C17" s="27" t="s">
        <v>38</v>
      </c>
      <c r="D17" s="31">
        <v>22</v>
      </c>
      <c r="E17" s="29">
        <v>227.71100000000001</v>
      </c>
      <c r="F17" s="30">
        <v>3.07088872896633</v>
      </c>
      <c r="G17" s="29">
        <v>4.1100000000000003</v>
      </c>
    </row>
    <row r="18" spans="1:9" x14ac:dyDescent="0.2">
      <c r="A18" s="27" t="s">
        <v>874</v>
      </c>
      <c r="B18" s="27" t="s">
        <v>875</v>
      </c>
      <c r="C18" s="27" t="s">
        <v>876</v>
      </c>
      <c r="D18" s="31">
        <v>11</v>
      </c>
      <c r="E18" s="29">
        <v>115.43741</v>
      </c>
      <c r="F18" s="30">
        <v>1.5567778511800701</v>
      </c>
      <c r="G18" s="29">
        <v>3.88</v>
      </c>
    </row>
    <row r="19" spans="1:9" x14ac:dyDescent="0.2">
      <c r="A19" s="27" t="s">
        <v>1042</v>
      </c>
      <c r="B19" s="27" t="s">
        <v>1043</v>
      </c>
      <c r="C19" s="27" t="s">
        <v>38</v>
      </c>
      <c r="D19" s="31">
        <v>2</v>
      </c>
      <c r="E19" s="29">
        <v>25.78744</v>
      </c>
      <c r="F19" s="30">
        <v>0.34776694514053103</v>
      </c>
      <c r="G19" s="29">
        <v>4.45</v>
      </c>
    </row>
    <row r="20" spans="1:9" x14ac:dyDescent="0.2">
      <c r="A20" s="27" t="s">
        <v>952</v>
      </c>
      <c r="B20" s="27" t="s">
        <v>953</v>
      </c>
      <c r="C20" s="27" t="s">
        <v>38</v>
      </c>
      <c r="D20" s="31">
        <v>1</v>
      </c>
      <c r="E20" s="29">
        <v>10.337949999999999</v>
      </c>
      <c r="F20" s="30">
        <v>0.13941660321906901</v>
      </c>
      <c r="G20" s="29">
        <v>3.9</v>
      </c>
    </row>
    <row r="21" spans="1:9" x14ac:dyDescent="0.2">
      <c r="A21" s="26" t="s">
        <v>39</v>
      </c>
      <c r="B21" s="26"/>
      <c r="C21" s="26"/>
      <c r="D21" s="32"/>
      <c r="E21" s="33">
        <f>SUM(E6:E20)</f>
        <v>6800.2455600000003</v>
      </c>
      <c r="F21" s="34">
        <f>SUM(F6:F20)</f>
        <v>91.707460089355862</v>
      </c>
      <c r="G21" s="33"/>
      <c r="H21" s="18"/>
      <c r="I21" s="18"/>
    </row>
    <row r="22" spans="1:9" x14ac:dyDescent="0.2">
      <c r="A22" s="27"/>
      <c r="B22" s="27"/>
      <c r="C22" s="27"/>
      <c r="D22" s="28"/>
      <c r="E22" s="29"/>
      <c r="F22" s="30"/>
      <c r="G22" s="29"/>
    </row>
    <row r="23" spans="1:9" x14ac:dyDescent="0.2">
      <c r="A23" s="26" t="s">
        <v>42</v>
      </c>
      <c r="B23" s="26"/>
      <c r="C23" s="26"/>
      <c r="D23" s="32"/>
      <c r="E23" s="33">
        <f>E21</f>
        <v>6800.2455600000003</v>
      </c>
      <c r="F23" s="34">
        <f>F21</f>
        <v>91.707460089355862</v>
      </c>
      <c r="G23" s="33"/>
      <c r="H23" s="18"/>
      <c r="I23" s="18"/>
    </row>
    <row r="24" spans="1:9" x14ac:dyDescent="0.2">
      <c r="A24" s="26"/>
      <c r="B24" s="26"/>
      <c r="C24" s="26"/>
      <c r="D24" s="32"/>
      <c r="E24" s="33"/>
      <c r="F24" s="34"/>
      <c r="G24" s="33"/>
      <c r="H24" s="18"/>
      <c r="I24" s="18"/>
    </row>
    <row r="25" spans="1:9" x14ac:dyDescent="0.2">
      <c r="A25" s="26" t="s">
        <v>44</v>
      </c>
      <c r="B25" s="26"/>
      <c r="C25" s="26"/>
      <c r="D25" s="32"/>
      <c r="E25" s="33">
        <f>E27-(E21)</f>
        <v>614.90425809999942</v>
      </c>
      <c r="F25" s="34">
        <f>F27-(F21)</f>
        <v>8.2925399106441375</v>
      </c>
      <c r="G25" s="33"/>
      <c r="H25" s="18"/>
      <c r="I25" s="18"/>
    </row>
    <row r="26" spans="1:9" x14ac:dyDescent="0.2">
      <c r="A26" s="26"/>
      <c r="B26" s="26"/>
      <c r="C26" s="26"/>
      <c r="D26" s="32"/>
      <c r="E26" s="33"/>
      <c r="F26" s="34"/>
      <c r="G26" s="33"/>
      <c r="H26" s="18"/>
      <c r="I26" s="18"/>
    </row>
    <row r="27" spans="1:9" x14ac:dyDescent="0.2">
      <c r="A27" s="35" t="s">
        <v>43</v>
      </c>
      <c r="B27" s="35"/>
      <c r="C27" s="35"/>
      <c r="D27" s="36"/>
      <c r="E27" s="37">
        <v>7415.1498180999997</v>
      </c>
      <c r="F27" s="38">
        <v>100</v>
      </c>
      <c r="G27" s="37"/>
      <c r="H27" s="18"/>
      <c r="I27" s="18"/>
    </row>
    <row r="29" spans="1:9" x14ac:dyDescent="0.2">
      <c r="A29" s="18" t="s">
        <v>46</v>
      </c>
    </row>
    <row r="31" spans="1:9" x14ac:dyDescent="0.2">
      <c r="A31" s="18" t="s">
        <v>47</v>
      </c>
    </row>
    <row r="32" spans="1:9" x14ac:dyDescent="0.2">
      <c r="A32" s="18" t="s">
        <v>48</v>
      </c>
    </row>
    <row r="33" spans="1:5" x14ac:dyDescent="0.2">
      <c r="A33" s="18" t="s">
        <v>49</v>
      </c>
      <c r="B33" s="18"/>
      <c r="C33" s="39" t="s">
        <v>51</v>
      </c>
      <c r="D33" s="41" t="s">
        <v>50</v>
      </c>
    </row>
    <row r="34" spans="1:5" x14ac:dyDescent="0.2">
      <c r="A34" s="9" t="s">
        <v>79</v>
      </c>
      <c r="C34" s="40">
        <v>12.0441</v>
      </c>
      <c r="D34" s="40">
        <v>12.341100000000001</v>
      </c>
    </row>
    <row r="35" spans="1:5" x14ac:dyDescent="0.2">
      <c r="A35" s="9" t="s">
        <v>1048</v>
      </c>
      <c r="C35" s="40">
        <v>11.2058</v>
      </c>
      <c r="D35" s="40">
        <v>10.599299999999999</v>
      </c>
    </row>
    <row r="36" spans="1:5" x14ac:dyDescent="0.2">
      <c r="A36" s="9" t="s">
        <v>81</v>
      </c>
      <c r="C36" s="40">
        <v>10.545199999999999</v>
      </c>
      <c r="D36" s="40">
        <v>10.4268</v>
      </c>
    </row>
    <row r="37" spans="1:5" x14ac:dyDescent="0.2">
      <c r="A37" s="9" t="s">
        <v>82</v>
      </c>
      <c r="C37" s="40">
        <v>12.0985</v>
      </c>
      <c r="D37" s="40">
        <v>12.4124</v>
      </c>
    </row>
    <row r="38" spans="1:5" x14ac:dyDescent="0.2">
      <c r="A38" s="9" t="s">
        <v>86</v>
      </c>
      <c r="C38" s="40">
        <v>11.258699999999999</v>
      </c>
      <c r="D38" s="40">
        <v>10.667400000000001</v>
      </c>
    </row>
    <row r="40" spans="1:5" x14ac:dyDescent="0.2">
      <c r="A40" s="18" t="s">
        <v>53</v>
      </c>
    </row>
    <row r="41" spans="1:5" x14ac:dyDescent="0.2">
      <c r="A41" s="82" t="s">
        <v>76</v>
      </c>
      <c r="B41" s="83"/>
      <c r="C41" s="44" t="s">
        <v>77</v>
      </c>
    </row>
    <row r="42" spans="1:5" x14ac:dyDescent="0.2">
      <c r="A42" s="78" t="s">
        <v>1048</v>
      </c>
      <c r="B42" s="79"/>
      <c r="C42" s="45">
        <v>0.87</v>
      </c>
    </row>
    <row r="43" spans="1:5" x14ac:dyDescent="0.2">
      <c r="A43" s="78" t="s">
        <v>81</v>
      </c>
      <c r="B43" s="79"/>
      <c r="C43" s="45">
        <v>0.375</v>
      </c>
    </row>
    <row r="44" spans="1:5" x14ac:dyDescent="0.2">
      <c r="A44" s="78" t="s">
        <v>86</v>
      </c>
      <c r="B44" s="79"/>
      <c r="C44" s="45">
        <v>0.87</v>
      </c>
    </row>
    <row r="45" spans="1:5" x14ac:dyDescent="0.2">
      <c r="A45" s="9" t="s">
        <v>78</v>
      </c>
    </row>
    <row r="46" spans="1:5" x14ac:dyDescent="0.2">
      <c r="A46" s="9" t="s">
        <v>52</v>
      </c>
    </row>
    <row r="48" spans="1:5" x14ac:dyDescent="0.2">
      <c r="A48" s="18" t="s">
        <v>820</v>
      </c>
      <c r="D48" s="42">
        <v>0.77098453517808219</v>
      </c>
      <c r="E48" s="13" t="s">
        <v>55</v>
      </c>
    </row>
    <row r="50" spans="1:7" x14ac:dyDescent="0.2">
      <c r="A50" s="18" t="s">
        <v>56</v>
      </c>
      <c r="D50" s="41" t="s">
        <v>54</v>
      </c>
    </row>
    <row r="52" spans="1:7" ht="14.4" x14ac:dyDescent="0.2">
      <c r="A52" s="80" t="s">
        <v>821</v>
      </c>
      <c r="B52" s="81"/>
      <c r="C52" s="81"/>
      <c r="D52" s="81"/>
      <c r="E52" s="81"/>
      <c r="F52" s="81"/>
      <c r="G52" s="81"/>
    </row>
    <row r="53" spans="1:7" x14ac:dyDescent="0.2">
      <c r="A53" s="53" t="s">
        <v>57</v>
      </c>
    </row>
    <row r="55" spans="1:7" x14ac:dyDescent="0.2">
      <c r="A55" s="53"/>
    </row>
  </sheetData>
  <mergeCells count="6">
    <mergeCell ref="A52:G52"/>
    <mergeCell ref="A1:G1"/>
    <mergeCell ref="A41:B41"/>
    <mergeCell ref="A42:B42"/>
    <mergeCell ref="A43:B43"/>
    <mergeCell ref="A44:B44"/>
  </mergeCells>
  <conditionalFormatting sqref="F2:F3 F5:F51 F56:F65536">
    <cfRule type="cellIs" dxfId="122" priority="3" stopIfTrue="1" operator="between">
      <formula>0.009</formula>
      <formula>-0.009</formula>
    </cfRule>
  </conditionalFormatting>
  <conditionalFormatting sqref="F54:F55">
    <cfRule type="cellIs" dxfId="121" priority="2" stopIfTrue="1" operator="between">
      <formula>0.009</formula>
      <formula>-0.009</formula>
    </cfRule>
  </conditionalFormatting>
  <conditionalFormatting sqref="F53">
    <cfRule type="cellIs" dxfId="120" priority="1" stopIfTrue="1" operator="between">
      <formula>0.009</formula>
      <formula>-0.009</formula>
    </cfRule>
  </conditionalFormatting>
  <hyperlinks>
    <hyperlink ref="A53" r:id="rId1" xr:uid="{00000000-0004-0000-0C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1066</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923</v>
      </c>
      <c r="B7" s="27" t="s">
        <v>924</v>
      </c>
      <c r="C7" s="27" t="s">
        <v>38</v>
      </c>
      <c r="D7" s="31">
        <v>37</v>
      </c>
      <c r="E7" s="29">
        <v>475.30421999999999</v>
      </c>
      <c r="F7" s="30">
        <v>12.0254855352528</v>
      </c>
      <c r="G7" s="29">
        <v>4.0250000000000004</v>
      </c>
    </row>
    <row r="8" spans="1:7" x14ac:dyDescent="0.2">
      <c r="A8" s="27" t="s">
        <v>1022</v>
      </c>
      <c r="B8" s="27" t="s">
        <v>1023</v>
      </c>
      <c r="C8" s="27" t="s">
        <v>927</v>
      </c>
      <c r="D8" s="31">
        <v>37</v>
      </c>
      <c r="E8" s="29">
        <v>383.45726999999999</v>
      </c>
      <c r="F8" s="30">
        <v>9.7017018989912298</v>
      </c>
      <c r="G8" s="29">
        <v>3.9350000000000001</v>
      </c>
    </row>
    <row r="9" spans="1:7" x14ac:dyDescent="0.2">
      <c r="A9" s="27" t="s">
        <v>974</v>
      </c>
      <c r="B9" s="27" t="s">
        <v>975</v>
      </c>
      <c r="C9" s="27" t="s">
        <v>38</v>
      </c>
      <c r="D9" s="31">
        <v>37</v>
      </c>
      <c r="E9" s="29">
        <v>379.30032</v>
      </c>
      <c r="F9" s="30">
        <v>9.5965285384522296</v>
      </c>
      <c r="G9" s="29">
        <v>4.3696999999999999</v>
      </c>
    </row>
    <row r="10" spans="1:7" x14ac:dyDescent="0.2">
      <c r="A10" s="27" t="s">
        <v>1061</v>
      </c>
      <c r="B10" s="27" t="s">
        <v>1062</v>
      </c>
      <c r="C10" s="27" t="s">
        <v>871</v>
      </c>
      <c r="D10" s="31">
        <v>36</v>
      </c>
      <c r="E10" s="29">
        <v>378.66347999999999</v>
      </c>
      <c r="F10" s="30">
        <v>9.5804160995425303</v>
      </c>
      <c r="G10" s="29">
        <v>4.8498000000000001</v>
      </c>
    </row>
    <row r="11" spans="1:7" x14ac:dyDescent="0.2">
      <c r="A11" s="27" t="s">
        <v>930</v>
      </c>
      <c r="B11" s="27" t="s">
        <v>931</v>
      </c>
      <c r="C11" s="27" t="s">
        <v>38</v>
      </c>
      <c r="D11" s="31">
        <v>36</v>
      </c>
      <c r="E11" s="29">
        <v>366.91091999999998</v>
      </c>
      <c r="F11" s="30">
        <v>9.28306919131985</v>
      </c>
      <c r="G11" s="29">
        <v>3.7149999999999999</v>
      </c>
    </row>
    <row r="12" spans="1:7" x14ac:dyDescent="0.2">
      <c r="A12" s="27" t="s">
        <v>902</v>
      </c>
      <c r="B12" s="27" t="s">
        <v>903</v>
      </c>
      <c r="C12" s="27" t="s">
        <v>904</v>
      </c>
      <c r="D12" s="31">
        <v>33</v>
      </c>
      <c r="E12" s="29">
        <v>338.95620000000002</v>
      </c>
      <c r="F12" s="30">
        <v>8.5757977915371093</v>
      </c>
      <c r="G12" s="29">
        <v>5.2746000000000004</v>
      </c>
    </row>
    <row r="13" spans="1:7" x14ac:dyDescent="0.2">
      <c r="A13" s="27" t="s">
        <v>952</v>
      </c>
      <c r="B13" s="27" t="s">
        <v>953</v>
      </c>
      <c r="C13" s="27" t="s">
        <v>38</v>
      </c>
      <c r="D13" s="31">
        <v>27</v>
      </c>
      <c r="E13" s="29">
        <v>279.12464999999997</v>
      </c>
      <c r="F13" s="30">
        <v>7.0620232261087699</v>
      </c>
      <c r="G13" s="29">
        <v>3.9</v>
      </c>
    </row>
    <row r="14" spans="1:7" x14ac:dyDescent="0.2">
      <c r="A14" s="27" t="s">
        <v>1067</v>
      </c>
      <c r="B14" s="27" t="s">
        <v>1068</v>
      </c>
      <c r="C14" s="27" t="s">
        <v>38</v>
      </c>
      <c r="D14" s="31">
        <v>21</v>
      </c>
      <c r="E14" s="29">
        <v>272.75891999999999</v>
      </c>
      <c r="F14" s="30">
        <v>6.9009663896339699</v>
      </c>
      <c r="G14" s="29">
        <v>5.4793000000000003</v>
      </c>
    </row>
    <row r="15" spans="1:7" x14ac:dyDescent="0.2">
      <c r="A15" s="27" t="s">
        <v>962</v>
      </c>
      <c r="B15" s="27" t="s">
        <v>963</v>
      </c>
      <c r="C15" s="27" t="s">
        <v>927</v>
      </c>
      <c r="D15" s="31">
        <v>20</v>
      </c>
      <c r="E15" s="29">
        <v>207.0042</v>
      </c>
      <c r="F15" s="30">
        <v>5.2373320246064496</v>
      </c>
      <c r="G15" s="29">
        <v>3.835</v>
      </c>
    </row>
    <row r="16" spans="1:7" x14ac:dyDescent="0.2">
      <c r="A16" s="27" t="s">
        <v>972</v>
      </c>
      <c r="B16" s="27" t="s">
        <v>973</v>
      </c>
      <c r="C16" s="27" t="s">
        <v>871</v>
      </c>
      <c r="D16" s="31">
        <v>12</v>
      </c>
      <c r="E16" s="29">
        <v>156.804</v>
      </c>
      <c r="F16" s="30">
        <v>3.9672364656677899</v>
      </c>
      <c r="G16" s="29">
        <v>5</v>
      </c>
    </row>
    <row r="17" spans="1:9" x14ac:dyDescent="0.2">
      <c r="A17" s="27" t="s">
        <v>911</v>
      </c>
      <c r="B17" s="27" t="s">
        <v>912</v>
      </c>
      <c r="C17" s="27" t="s">
        <v>38</v>
      </c>
      <c r="D17" s="31">
        <v>10</v>
      </c>
      <c r="E17" s="29">
        <v>103.505</v>
      </c>
      <c r="F17" s="30">
        <v>2.6187393840651101</v>
      </c>
      <c r="G17" s="29">
        <v>4.1100000000000003</v>
      </c>
    </row>
    <row r="18" spans="1:9" x14ac:dyDescent="0.2">
      <c r="A18" s="27" t="s">
        <v>968</v>
      </c>
      <c r="B18" s="27" t="s">
        <v>969</v>
      </c>
      <c r="C18" s="27" t="s">
        <v>38</v>
      </c>
      <c r="D18" s="31">
        <v>8</v>
      </c>
      <c r="E18" s="29">
        <v>103.02144</v>
      </c>
      <c r="F18" s="30">
        <v>2.6065050222800901</v>
      </c>
      <c r="G18" s="29">
        <v>4.0350000000000001</v>
      </c>
    </row>
    <row r="19" spans="1:9" x14ac:dyDescent="0.2">
      <c r="A19" s="27" t="s">
        <v>1038</v>
      </c>
      <c r="B19" s="27" t="s">
        <v>1039</v>
      </c>
      <c r="C19" s="27" t="s">
        <v>38</v>
      </c>
      <c r="D19" s="31">
        <v>3</v>
      </c>
      <c r="E19" s="29">
        <v>39.275129999999997</v>
      </c>
      <c r="F19" s="30">
        <v>0.99368465045434495</v>
      </c>
      <c r="G19" s="29">
        <v>4.5</v>
      </c>
    </row>
    <row r="20" spans="1:9" x14ac:dyDescent="0.2">
      <c r="A20" s="27" t="s">
        <v>1054</v>
      </c>
      <c r="B20" s="27" t="s">
        <v>1055</v>
      </c>
      <c r="C20" s="27" t="s">
        <v>994</v>
      </c>
      <c r="D20" s="31">
        <v>3</v>
      </c>
      <c r="E20" s="29">
        <v>38.559510000000003</v>
      </c>
      <c r="F20" s="30">
        <v>0.97557902968216303</v>
      </c>
      <c r="G20" s="29">
        <v>4.9499000000000004</v>
      </c>
    </row>
    <row r="21" spans="1:9" x14ac:dyDescent="0.2">
      <c r="A21" s="27" t="s">
        <v>1069</v>
      </c>
      <c r="B21" s="27" t="s">
        <v>1070</v>
      </c>
      <c r="C21" s="27" t="s">
        <v>871</v>
      </c>
      <c r="D21" s="31">
        <v>3</v>
      </c>
      <c r="E21" s="29">
        <v>31.435469999999999</v>
      </c>
      <c r="F21" s="30">
        <v>0.79533648949903002</v>
      </c>
      <c r="G21" s="29">
        <v>4.6984000000000004</v>
      </c>
    </row>
    <row r="22" spans="1:9" x14ac:dyDescent="0.2">
      <c r="A22" s="27" t="s">
        <v>915</v>
      </c>
      <c r="B22" s="27" t="s">
        <v>916</v>
      </c>
      <c r="C22" s="27" t="s">
        <v>38</v>
      </c>
      <c r="D22" s="31">
        <v>3</v>
      </c>
      <c r="E22" s="29">
        <v>30.958590000000001</v>
      </c>
      <c r="F22" s="30">
        <v>0.78327113577241803</v>
      </c>
      <c r="G22" s="29">
        <v>3.8115999999999999</v>
      </c>
    </row>
    <row r="23" spans="1:9" x14ac:dyDescent="0.2">
      <c r="A23" s="27" t="s">
        <v>1042</v>
      </c>
      <c r="B23" s="27" t="s">
        <v>1043</v>
      </c>
      <c r="C23" s="27" t="s">
        <v>38</v>
      </c>
      <c r="D23" s="31">
        <v>2</v>
      </c>
      <c r="E23" s="29">
        <v>25.78744</v>
      </c>
      <c r="F23" s="30">
        <v>0.65243789906010197</v>
      </c>
      <c r="G23" s="29">
        <v>4.45</v>
      </c>
    </row>
    <row r="24" spans="1:9" x14ac:dyDescent="0.2">
      <c r="A24" s="26" t="s">
        <v>39</v>
      </c>
      <c r="B24" s="26"/>
      <c r="C24" s="26"/>
      <c r="D24" s="32"/>
      <c r="E24" s="33">
        <f>SUM(E6:E23)</f>
        <v>3610.8267600000004</v>
      </c>
      <c r="F24" s="34">
        <f>SUM(F6:F23)</f>
        <v>91.356110771925984</v>
      </c>
      <c r="G24" s="33"/>
      <c r="H24" s="18"/>
      <c r="I24" s="18"/>
    </row>
    <row r="25" spans="1:9" x14ac:dyDescent="0.2">
      <c r="A25" s="27"/>
      <c r="B25" s="27"/>
      <c r="C25" s="27"/>
      <c r="D25" s="28"/>
      <c r="E25" s="29"/>
      <c r="F25" s="30"/>
      <c r="G25" s="29"/>
    </row>
    <row r="26" spans="1:9" x14ac:dyDescent="0.2">
      <c r="A26" s="26" t="s">
        <v>42</v>
      </c>
      <c r="B26" s="26"/>
      <c r="C26" s="26"/>
      <c r="D26" s="32"/>
      <c r="E26" s="33">
        <f>E24</f>
        <v>3610.8267600000004</v>
      </c>
      <c r="F26" s="34">
        <f>F24</f>
        <v>91.356110771925984</v>
      </c>
      <c r="G26" s="33"/>
      <c r="H26" s="18"/>
      <c r="I26" s="18"/>
    </row>
    <row r="27" spans="1:9" x14ac:dyDescent="0.2">
      <c r="A27" s="26"/>
      <c r="B27" s="26"/>
      <c r="C27" s="26"/>
      <c r="D27" s="32"/>
      <c r="E27" s="33"/>
      <c r="F27" s="34"/>
      <c r="G27" s="33"/>
      <c r="H27" s="18"/>
      <c r="I27" s="18"/>
    </row>
    <row r="28" spans="1:9" x14ac:dyDescent="0.2">
      <c r="A28" s="26" t="s">
        <v>44</v>
      </c>
      <c r="B28" s="26"/>
      <c r="C28" s="26"/>
      <c r="D28" s="32"/>
      <c r="E28" s="33">
        <f>E30-(E24)</f>
        <v>341.64749649999976</v>
      </c>
      <c r="F28" s="34">
        <f>F30-(F24)</f>
        <v>8.6438892280740163</v>
      </c>
      <c r="G28" s="33"/>
      <c r="H28" s="18"/>
      <c r="I28" s="18"/>
    </row>
    <row r="29" spans="1:9" x14ac:dyDescent="0.2">
      <c r="A29" s="26"/>
      <c r="B29" s="26"/>
      <c r="C29" s="26"/>
      <c r="D29" s="32"/>
      <c r="E29" s="33"/>
      <c r="F29" s="34"/>
      <c r="G29" s="33"/>
      <c r="H29" s="18"/>
      <c r="I29" s="18"/>
    </row>
    <row r="30" spans="1:9" x14ac:dyDescent="0.2">
      <c r="A30" s="35" t="s">
        <v>43</v>
      </c>
      <c r="B30" s="35"/>
      <c r="C30" s="35"/>
      <c r="D30" s="36"/>
      <c r="E30" s="37">
        <v>3952.4742565000001</v>
      </c>
      <c r="F30" s="38">
        <v>100</v>
      </c>
      <c r="G30" s="37"/>
      <c r="H30" s="18"/>
      <c r="I30" s="18"/>
    </row>
    <row r="32" spans="1:9" x14ac:dyDescent="0.2">
      <c r="A32" s="18" t="s">
        <v>46</v>
      </c>
    </row>
    <row r="34" spans="1:4" x14ac:dyDescent="0.2">
      <c r="A34" s="18" t="s">
        <v>47</v>
      </c>
    </row>
    <row r="35" spans="1:4" x14ac:dyDescent="0.2">
      <c r="A35" s="18" t="s">
        <v>48</v>
      </c>
    </row>
    <row r="36" spans="1:4" x14ac:dyDescent="0.2">
      <c r="A36" s="18" t="s">
        <v>49</v>
      </c>
      <c r="B36" s="18"/>
      <c r="C36" s="39" t="s">
        <v>51</v>
      </c>
      <c r="D36" s="41" t="s">
        <v>50</v>
      </c>
    </row>
    <row r="37" spans="1:4" x14ac:dyDescent="0.2">
      <c r="A37" s="9" t="s">
        <v>79</v>
      </c>
      <c r="C37" s="40">
        <v>12.1309</v>
      </c>
      <c r="D37" s="40">
        <v>12.43</v>
      </c>
    </row>
    <row r="38" spans="1:4" x14ac:dyDescent="0.2">
      <c r="A38" s="9" t="s">
        <v>1048</v>
      </c>
      <c r="C38" s="40">
        <v>11.2554</v>
      </c>
      <c r="D38" s="40">
        <v>10.6996</v>
      </c>
    </row>
    <row r="39" spans="1:4" x14ac:dyDescent="0.2">
      <c r="A39" s="9" t="s">
        <v>81</v>
      </c>
      <c r="C39" s="40">
        <v>10.6251</v>
      </c>
      <c r="D39" s="40">
        <v>10.487299999999999</v>
      </c>
    </row>
    <row r="40" spans="1:4" x14ac:dyDescent="0.2">
      <c r="A40" s="9" t="s">
        <v>82</v>
      </c>
      <c r="C40" s="40">
        <v>12.1874</v>
      </c>
      <c r="D40" s="40">
        <v>12.5036</v>
      </c>
    </row>
    <row r="41" spans="1:4" x14ac:dyDescent="0.2">
      <c r="A41" s="9" t="s">
        <v>86</v>
      </c>
      <c r="C41" s="40">
        <v>11.310499999999999</v>
      </c>
      <c r="D41" s="40">
        <v>10.7699</v>
      </c>
    </row>
    <row r="42" spans="1:4" x14ac:dyDescent="0.2">
      <c r="A42" s="9" t="s">
        <v>84</v>
      </c>
      <c r="C42" s="40">
        <v>10.681699999999999</v>
      </c>
      <c r="D42" s="40">
        <v>10.559799999999999</v>
      </c>
    </row>
    <row r="44" spans="1:4" x14ac:dyDescent="0.2">
      <c r="A44" s="18" t="s">
        <v>53</v>
      </c>
    </row>
    <row r="45" spans="1:4" x14ac:dyDescent="0.2">
      <c r="A45" s="82" t="s">
        <v>76</v>
      </c>
      <c r="B45" s="83"/>
      <c r="C45" s="44" t="s">
        <v>77</v>
      </c>
    </row>
    <row r="46" spans="1:4" x14ac:dyDescent="0.2">
      <c r="A46" s="78" t="s">
        <v>1048</v>
      </c>
      <c r="B46" s="79"/>
      <c r="C46" s="45">
        <v>0.82</v>
      </c>
    </row>
    <row r="47" spans="1:4" x14ac:dyDescent="0.2">
      <c r="A47" s="78" t="s">
        <v>81</v>
      </c>
      <c r="B47" s="79"/>
      <c r="C47" s="45">
        <v>0.39500000000000002</v>
      </c>
    </row>
    <row r="48" spans="1:4" x14ac:dyDescent="0.2">
      <c r="A48" s="78" t="s">
        <v>86</v>
      </c>
      <c r="B48" s="79"/>
      <c r="C48" s="45">
        <v>0.82</v>
      </c>
    </row>
    <row r="49" spans="1:7" x14ac:dyDescent="0.2">
      <c r="A49" s="78" t="s">
        <v>84</v>
      </c>
      <c r="B49" s="79"/>
      <c r="C49" s="45">
        <v>0.39500000000000002</v>
      </c>
    </row>
    <row r="50" spans="1:7" x14ac:dyDescent="0.2">
      <c r="A50" s="9" t="s">
        <v>78</v>
      </c>
    </row>
    <row r="51" spans="1:7" x14ac:dyDescent="0.2">
      <c r="A51" s="9" t="s">
        <v>52</v>
      </c>
    </row>
    <row r="53" spans="1:7" x14ac:dyDescent="0.2">
      <c r="A53" s="18" t="s">
        <v>820</v>
      </c>
      <c r="D53" s="42">
        <v>0.73157190512328762</v>
      </c>
      <c r="E53" s="13" t="s">
        <v>55</v>
      </c>
    </row>
    <row r="55" spans="1:7" x14ac:dyDescent="0.2">
      <c r="A55" s="18" t="s">
        <v>56</v>
      </c>
      <c r="D55" s="41" t="s">
        <v>54</v>
      </c>
    </row>
    <row r="57" spans="1:7" ht="14.4" x14ac:dyDescent="0.2">
      <c r="A57" s="80" t="s">
        <v>821</v>
      </c>
      <c r="B57" s="81"/>
      <c r="C57" s="81"/>
      <c r="D57" s="81"/>
      <c r="E57" s="81"/>
      <c r="F57" s="81"/>
      <c r="G57" s="81"/>
    </row>
    <row r="58" spans="1:7" x14ac:dyDescent="0.2">
      <c r="A58" s="53" t="s">
        <v>57</v>
      </c>
    </row>
    <row r="60" spans="1:7" x14ac:dyDescent="0.2">
      <c r="A60" s="53"/>
    </row>
  </sheetData>
  <mergeCells count="7">
    <mergeCell ref="A57:G57"/>
    <mergeCell ref="A1:G1"/>
    <mergeCell ref="A45:B45"/>
    <mergeCell ref="A46:B46"/>
    <mergeCell ref="A47:B47"/>
    <mergeCell ref="A48:B48"/>
    <mergeCell ref="A49:B49"/>
  </mergeCells>
  <conditionalFormatting sqref="F2:F3 F5:F56 F61:F65536">
    <cfRule type="cellIs" dxfId="119" priority="3" stopIfTrue="1" operator="between">
      <formula>0.009</formula>
      <formula>-0.009</formula>
    </cfRule>
  </conditionalFormatting>
  <conditionalFormatting sqref="F59:F60">
    <cfRule type="cellIs" dxfId="118" priority="2" stopIfTrue="1" operator="between">
      <formula>0.009</formula>
      <formula>-0.009</formula>
    </cfRule>
  </conditionalFormatting>
  <conditionalFormatting sqref="F58">
    <cfRule type="cellIs" dxfId="117" priority="1" stopIfTrue="1" operator="between">
      <formula>0.009</formula>
      <formula>-0.009</formula>
    </cfRule>
  </conditionalFormatting>
  <hyperlinks>
    <hyperlink ref="A58" r:id="rId1" xr:uid="{00000000-0004-0000-0D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1071</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923</v>
      </c>
      <c r="B7" s="27" t="s">
        <v>924</v>
      </c>
      <c r="C7" s="27" t="s">
        <v>38</v>
      </c>
      <c r="D7" s="31">
        <v>47</v>
      </c>
      <c r="E7" s="29">
        <v>603.76481999999999</v>
      </c>
      <c r="F7" s="30">
        <v>12.0531748372245</v>
      </c>
      <c r="G7" s="29">
        <v>4.0250000000000004</v>
      </c>
    </row>
    <row r="8" spans="1:7" x14ac:dyDescent="0.2">
      <c r="A8" s="27" t="s">
        <v>972</v>
      </c>
      <c r="B8" s="27" t="s">
        <v>973</v>
      </c>
      <c r="C8" s="27" t="s">
        <v>871</v>
      </c>
      <c r="D8" s="31">
        <v>38</v>
      </c>
      <c r="E8" s="29">
        <v>496.54599999999999</v>
      </c>
      <c r="F8" s="30">
        <v>9.9127268672667697</v>
      </c>
      <c r="G8" s="29">
        <v>5</v>
      </c>
    </row>
    <row r="9" spans="1:7" x14ac:dyDescent="0.2">
      <c r="A9" s="27" t="s">
        <v>1022</v>
      </c>
      <c r="B9" s="27" t="s">
        <v>1023</v>
      </c>
      <c r="C9" s="27" t="s">
        <v>927</v>
      </c>
      <c r="D9" s="31">
        <v>47</v>
      </c>
      <c r="E9" s="29">
        <v>487.09437000000003</v>
      </c>
      <c r="F9" s="30">
        <v>9.7240405690376797</v>
      </c>
      <c r="G9" s="29">
        <v>3.9350000000000001</v>
      </c>
    </row>
    <row r="10" spans="1:7" x14ac:dyDescent="0.2">
      <c r="A10" s="27" t="s">
        <v>976</v>
      </c>
      <c r="B10" s="27" t="s">
        <v>977</v>
      </c>
      <c r="C10" s="27" t="s">
        <v>38</v>
      </c>
      <c r="D10" s="31">
        <v>47</v>
      </c>
      <c r="E10" s="29">
        <v>478.08541000000002</v>
      </c>
      <c r="F10" s="30">
        <v>9.5441914516585609</v>
      </c>
      <c r="G10" s="29">
        <v>3.55</v>
      </c>
    </row>
    <row r="11" spans="1:7" x14ac:dyDescent="0.2">
      <c r="A11" s="27" t="s">
        <v>930</v>
      </c>
      <c r="B11" s="27" t="s">
        <v>931</v>
      </c>
      <c r="C11" s="27" t="s">
        <v>38</v>
      </c>
      <c r="D11" s="31">
        <v>46</v>
      </c>
      <c r="E11" s="29">
        <v>468.83062000000001</v>
      </c>
      <c r="F11" s="30">
        <v>9.3594347413358303</v>
      </c>
      <c r="G11" s="29">
        <v>3.7149999999999999</v>
      </c>
    </row>
    <row r="12" spans="1:7" x14ac:dyDescent="0.2">
      <c r="A12" s="27" t="s">
        <v>915</v>
      </c>
      <c r="B12" s="27" t="s">
        <v>916</v>
      </c>
      <c r="C12" s="27" t="s">
        <v>38</v>
      </c>
      <c r="D12" s="31">
        <v>45</v>
      </c>
      <c r="E12" s="29">
        <v>464.37885</v>
      </c>
      <c r="F12" s="30">
        <v>9.2705624513850609</v>
      </c>
      <c r="G12" s="29">
        <v>3.8115999999999999</v>
      </c>
    </row>
    <row r="13" spans="1:7" x14ac:dyDescent="0.2">
      <c r="A13" s="27" t="s">
        <v>1067</v>
      </c>
      <c r="B13" s="27" t="s">
        <v>1068</v>
      </c>
      <c r="C13" s="27" t="s">
        <v>38</v>
      </c>
      <c r="D13" s="31">
        <v>29</v>
      </c>
      <c r="E13" s="29">
        <v>376.66708</v>
      </c>
      <c r="F13" s="30">
        <v>7.5195407554001497</v>
      </c>
      <c r="G13" s="29">
        <v>5.4793000000000003</v>
      </c>
    </row>
    <row r="14" spans="1:7" x14ac:dyDescent="0.2">
      <c r="A14" s="27" t="s">
        <v>1072</v>
      </c>
      <c r="B14" s="27" t="s">
        <v>1073</v>
      </c>
      <c r="C14" s="27" t="s">
        <v>38</v>
      </c>
      <c r="D14" s="31">
        <v>35</v>
      </c>
      <c r="E14" s="29">
        <v>367.49545000000001</v>
      </c>
      <c r="F14" s="30">
        <v>7.3364441981473902</v>
      </c>
      <c r="G14" s="29">
        <v>4.6925999999999997</v>
      </c>
    </row>
    <row r="15" spans="1:7" x14ac:dyDescent="0.2">
      <c r="A15" s="27" t="s">
        <v>952</v>
      </c>
      <c r="B15" s="27" t="s">
        <v>953</v>
      </c>
      <c r="C15" s="27" t="s">
        <v>38</v>
      </c>
      <c r="D15" s="31">
        <v>24</v>
      </c>
      <c r="E15" s="29">
        <v>248.11080000000001</v>
      </c>
      <c r="F15" s="30">
        <v>4.9531253765392398</v>
      </c>
      <c r="G15" s="29">
        <v>3.9</v>
      </c>
    </row>
    <row r="16" spans="1:7" x14ac:dyDescent="0.2">
      <c r="A16" s="27" t="s">
        <v>874</v>
      </c>
      <c r="B16" s="27" t="s">
        <v>875</v>
      </c>
      <c r="C16" s="27" t="s">
        <v>876</v>
      </c>
      <c r="D16" s="31">
        <v>22</v>
      </c>
      <c r="E16" s="29">
        <v>230.87482</v>
      </c>
      <c r="F16" s="30">
        <v>4.6090372919918403</v>
      </c>
      <c r="G16" s="29">
        <v>3.88</v>
      </c>
    </row>
    <row r="17" spans="1:9" x14ac:dyDescent="0.2">
      <c r="A17" s="27" t="s">
        <v>974</v>
      </c>
      <c r="B17" s="27" t="s">
        <v>975</v>
      </c>
      <c r="C17" s="27" t="s">
        <v>38</v>
      </c>
      <c r="D17" s="31">
        <v>10</v>
      </c>
      <c r="E17" s="29">
        <v>102.5136</v>
      </c>
      <c r="F17" s="30">
        <v>2.0465159662553698</v>
      </c>
      <c r="G17" s="29">
        <v>4.3696999999999999</v>
      </c>
    </row>
    <row r="18" spans="1:9" x14ac:dyDescent="0.2">
      <c r="A18" s="27" t="s">
        <v>911</v>
      </c>
      <c r="B18" s="27" t="s">
        <v>912</v>
      </c>
      <c r="C18" s="27" t="s">
        <v>38</v>
      </c>
      <c r="D18" s="31">
        <v>8</v>
      </c>
      <c r="E18" s="29">
        <v>82.804000000000002</v>
      </c>
      <c r="F18" s="30">
        <v>1.6530461135869701</v>
      </c>
      <c r="G18" s="29">
        <v>4.1100000000000003</v>
      </c>
    </row>
    <row r="19" spans="1:9" x14ac:dyDescent="0.2">
      <c r="A19" s="27" t="s">
        <v>1054</v>
      </c>
      <c r="B19" s="27" t="s">
        <v>1055</v>
      </c>
      <c r="C19" s="27" t="s">
        <v>994</v>
      </c>
      <c r="D19" s="31">
        <v>5</v>
      </c>
      <c r="E19" s="29">
        <v>64.26585</v>
      </c>
      <c r="F19" s="30">
        <v>1.2829623397283201</v>
      </c>
      <c r="G19" s="29">
        <v>4.9499000000000004</v>
      </c>
    </row>
    <row r="20" spans="1:9" x14ac:dyDescent="0.2">
      <c r="A20" s="27" t="s">
        <v>902</v>
      </c>
      <c r="B20" s="27" t="s">
        <v>903</v>
      </c>
      <c r="C20" s="27" t="s">
        <v>904</v>
      </c>
      <c r="D20" s="31">
        <v>6</v>
      </c>
      <c r="E20" s="29">
        <v>61.628399999999999</v>
      </c>
      <c r="F20" s="30">
        <v>1.2303099742353401</v>
      </c>
      <c r="G20" s="29">
        <v>5.2746000000000004</v>
      </c>
    </row>
    <row r="21" spans="1:9" x14ac:dyDescent="0.2">
      <c r="A21" s="27" t="s">
        <v>1061</v>
      </c>
      <c r="B21" s="27" t="s">
        <v>1062</v>
      </c>
      <c r="C21" s="27" t="s">
        <v>871</v>
      </c>
      <c r="D21" s="31">
        <v>4</v>
      </c>
      <c r="E21" s="29">
        <v>42.073720000000002</v>
      </c>
      <c r="F21" s="30">
        <v>0.839932845395712</v>
      </c>
      <c r="G21" s="29">
        <v>4.8498000000000001</v>
      </c>
    </row>
    <row r="22" spans="1:9" x14ac:dyDescent="0.2">
      <c r="A22" s="27" t="s">
        <v>1042</v>
      </c>
      <c r="B22" s="27" t="s">
        <v>1043</v>
      </c>
      <c r="C22" s="27" t="s">
        <v>38</v>
      </c>
      <c r="D22" s="31">
        <v>1</v>
      </c>
      <c r="E22" s="29">
        <v>12.89372</v>
      </c>
      <c r="F22" s="30">
        <v>0.25740198221920002</v>
      </c>
      <c r="G22" s="29">
        <v>4.45</v>
      </c>
    </row>
    <row r="23" spans="1:9" x14ac:dyDescent="0.2">
      <c r="A23" s="27" t="s">
        <v>905</v>
      </c>
      <c r="B23" s="27" t="s">
        <v>906</v>
      </c>
      <c r="C23" s="27" t="s">
        <v>897</v>
      </c>
      <c r="D23" s="31">
        <v>1</v>
      </c>
      <c r="E23" s="29">
        <v>10.29153</v>
      </c>
      <c r="F23" s="30">
        <v>0.20545352482203499</v>
      </c>
      <c r="G23" s="29">
        <v>5.6599000000000004</v>
      </c>
    </row>
    <row r="24" spans="1:9" x14ac:dyDescent="0.2">
      <c r="A24" s="26" t="s">
        <v>39</v>
      </c>
      <c r="B24" s="26"/>
      <c r="C24" s="26"/>
      <c r="D24" s="32"/>
      <c r="E24" s="33">
        <f>SUM(E6:E23)</f>
        <v>4598.3190400000003</v>
      </c>
      <c r="F24" s="34">
        <f>SUM(F6:F23)</f>
        <v>91.797901286229958</v>
      </c>
      <c r="G24" s="33"/>
      <c r="H24" s="18"/>
      <c r="I24" s="18"/>
    </row>
    <row r="25" spans="1:9" x14ac:dyDescent="0.2">
      <c r="A25" s="27"/>
      <c r="B25" s="27"/>
      <c r="C25" s="27"/>
      <c r="D25" s="28"/>
      <c r="E25" s="29"/>
      <c r="F25" s="30"/>
      <c r="G25" s="29"/>
    </row>
    <row r="26" spans="1:9" x14ac:dyDescent="0.2">
      <c r="A26" s="26" t="s">
        <v>42</v>
      </c>
      <c r="B26" s="26"/>
      <c r="C26" s="26"/>
      <c r="D26" s="32"/>
      <c r="E26" s="33">
        <f>E24</f>
        <v>4598.3190400000003</v>
      </c>
      <c r="F26" s="34">
        <f>F24</f>
        <v>91.797901286229958</v>
      </c>
      <c r="G26" s="33"/>
      <c r="H26" s="18"/>
      <c r="I26" s="18"/>
    </row>
    <row r="27" spans="1:9" x14ac:dyDescent="0.2">
      <c r="A27" s="26"/>
      <c r="B27" s="26"/>
      <c r="C27" s="26"/>
      <c r="D27" s="32"/>
      <c r="E27" s="33"/>
      <c r="F27" s="34"/>
      <c r="G27" s="33"/>
      <c r="H27" s="18"/>
      <c r="I27" s="18"/>
    </row>
    <row r="28" spans="1:9" x14ac:dyDescent="0.2">
      <c r="A28" s="26" t="s">
        <v>44</v>
      </c>
      <c r="B28" s="26"/>
      <c r="C28" s="26"/>
      <c r="D28" s="32"/>
      <c r="E28" s="33">
        <f>E30-(E24)</f>
        <v>410.85761389999971</v>
      </c>
      <c r="F28" s="34">
        <f>F30-(F24)</f>
        <v>8.2020987137700416</v>
      </c>
      <c r="G28" s="33"/>
      <c r="H28" s="18"/>
      <c r="I28" s="18"/>
    </row>
    <row r="29" spans="1:9" x14ac:dyDescent="0.2">
      <c r="A29" s="26"/>
      <c r="B29" s="26"/>
      <c r="C29" s="26"/>
      <c r="D29" s="32"/>
      <c r="E29" s="33"/>
      <c r="F29" s="34"/>
      <c r="G29" s="33"/>
      <c r="H29" s="18"/>
      <c r="I29" s="18"/>
    </row>
    <row r="30" spans="1:9" x14ac:dyDescent="0.2">
      <c r="A30" s="35" t="s">
        <v>43</v>
      </c>
      <c r="B30" s="35"/>
      <c r="C30" s="35"/>
      <c r="D30" s="36"/>
      <c r="E30" s="37">
        <v>5009.1766539</v>
      </c>
      <c r="F30" s="38">
        <v>100</v>
      </c>
      <c r="G30" s="37"/>
      <c r="H30" s="18"/>
      <c r="I30" s="18"/>
    </row>
    <row r="32" spans="1:9" x14ac:dyDescent="0.2">
      <c r="A32" s="18" t="s">
        <v>46</v>
      </c>
    </row>
    <row r="34" spans="1:4" x14ac:dyDescent="0.2">
      <c r="A34" s="18" t="s">
        <v>47</v>
      </c>
    </row>
    <row r="35" spans="1:4" x14ac:dyDescent="0.2">
      <c r="A35" s="18" t="s">
        <v>48</v>
      </c>
    </row>
    <row r="36" spans="1:4" x14ac:dyDescent="0.2">
      <c r="A36" s="18" t="s">
        <v>49</v>
      </c>
      <c r="B36" s="18"/>
      <c r="C36" s="39" t="s">
        <v>51</v>
      </c>
      <c r="D36" s="41" t="s">
        <v>50</v>
      </c>
    </row>
    <row r="37" spans="1:4" x14ac:dyDescent="0.2">
      <c r="A37" s="9" t="s">
        <v>79</v>
      </c>
      <c r="C37" s="40">
        <v>12.2273</v>
      </c>
      <c r="D37" s="40">
        <v>12.5136</v>
      </c>
    </row>
    <row r="38" spans="1:4" x14ac:dyDescent="0.2">
      <c r="A38" s="9" t="s">
        <v>1048</v>
      </c>
      <c r="C38" s="40">
        <v>11.3764</v>
      </c>
      <c r="D38" s="40">
        <v>10.786899999999999</v>
      </c>
    </row>
    <row r="39" spans="1:4" x14ac:dyDescent="0.2">
      <c r="A39" s="9" t="s">
        <v>81</v>
      </c>
      <c r="C39" s="40">
        <v>10.716799999999999</v>
      </c>
      <c r="D39" s="40">
        <v>10.557</v>
      </c>
    </row>
    <row r="40" spans="1:4" x14ac:dyDescent="0.2">
      <c r="A40" s="9" t="s">
        <v>82</v>
      </c>
      <c r="C40" s="40">
        <v>12.297499999999999</v>
      </c>
      <c r="D40" s="40">
        <v>12.6043</v>
      </c>
    </row>
    <row r="42" spans="1:4" x14ac:dyDescent="0.2">
      <c r="A42" s="18" t="s">
        <v>53</v>
      </c>
    </row>
    <row r="43" spans="1:4" x14ac:dyDescent="0.2">
      <c r="A43" s="82" t="s">
        <v>76</v>
      </c>
      <c r="B43" s="83"/>
      <c r="C43" s="44" t="s">
        <v>77</v>
      </c>
    </row>
    <row r="44" spans="1:4" x14ac:dyDescent="0.2">
      <c r="A44" s="78" t="s">
        <v>1048</v>
      </c>
      <c r="B44" s="79"/>
      <c r="C44" s="45">
        <v>0.84</v>
      </c>
    </row>
    <row r="45" spans="1:4" x14ac:dyDescent="0.2">
      <c r="A45" s="78" t="s">
        <v>81</v>
      </c>
      <c r="B45" s="79"/>
      <c r="C45" s="45">
        <v>0.40500000000000003</v>
      </c>
    </row>
    <row r="46" spans="1:4" x14ac:dyDescent="0.2">
      <c r="A46" s="9" t="s">
        <v>78</v>
      </c>
    </row>
    <row r="47" spans="1:4" x14ac:dyDescent="0.2">
      <c r="A47" s="9" t="s">
        <v>52</v>
      </c>
    </row>
    <row r="49" spans="1:7" x14ac:dyDescent="0.2">
      <c r="A49" s="18" t="s">
        <v>820</v>
      </c>
      <c r="D49" s="42">
        <v>0.73020272243835627</v>
      </c>
      <c r="E49" s="13" t="s">
        <v>55</v>
      </c>
    </row>
    <row r="51" spans="1:7" x14ac:dyDescent="0.2">
      <c r="A51" s="18" t="s">
        <v>56</v>
      </c>
      <c r="D51" s="41" t="s">
        <v>54</v>
      </c>
    </row>
    <row r="53" spans="1:7" ht="14.4" x14ac:dyDescent="0.2">
      <c r="A53" s="80" t="s">
        <v>821</v>
      </c>
      <c r="B53" s="81"/>
      <c r="C53" s="81"/>
      <c r="D53" s="81"/>
      <c r="E53" s="81"/>
      <c r="F53" s="81"/>
      <c r="G53" s="81"/>
    </row>
    <row r="54" spans="1:7" x14ac:dyDescent="0.2">
      <c r="A54" s="53" t="s">
        <v>57</v>
      </c>
    </row>
    <row r="56" spans="1:7" x14ac:dyDescent="0.2">
      <c r="A56" s="53"/>
    </row>
  </sheetData>
  <mergeCells count="5">
    <mergeCell ref="A1:G1"/>
    <mergeCell ref="A43:B43"/>
    <mergeCell ref="A44:B44"/>
    <mergeCell ref="A45:B45"/>
    <mergeCell ref="A53:G53"/>
  </mergeCells>
  <conditionalFormatting sqref="F2:F3 F5:F52 F57:F65536">
    <cfRule type="cellIs" dxfId="116" priority="3" stopIfTrue="1" operator="between">
      <formula>0.009</formula>
      <formula>-0.009</formula>
    </cfRule>
  </conditionalFormatting>
  <conditionalFormatting sqref="F55:F56">
    <cfRule type="cellIs" dxfId="115" priority="2" stopIfTrue="1" operator="between">
      <formula>0.009</formula>
      <formula>-0.009</formula>
    </cfRule>
  </conditionalFormatting>
  <conditionalFormatting sqref="F54">
    <cfRule type="cellIs" dxfId="114" priority="1" stopIfTrue="1" operator="between">
      <formula>0.009</formula>
      <formula>-0.009</formula>
    </cfRule>
  </conditionalFormatting>
  <hyperlinks>
    <hyperlink ref="A54" r:id="rId1" xr:uid="{00000000-0004-0000-0E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1074</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972</v>
      </c>
      <c r="B7" s="27" t="s">
        <v>973</v>
      </c>
      <c r="C7" s="27" t="s">
        <v>871</v>
      </c>
      <c r="D7" s="31">
        <v>26</v>
      </c>
      <c r="E7" s="29">
        <v>339.74200000000002</v>
      </c>
      <c r="F7" s="30">
        <v>12.008554273641501</v>
      </c>
      <c r="G7" s="29">
        <v>5</v>
      </c>
    </row>
    <row r="8" spans="1:7" x14ac:dyDescent="0.2">
      <c r="A8" s="27" t="s">
        <v>976</v>
      </c>
      <c r="B8" s="27" t="s">
        <v>977</v>
      </c>
      <c r="C8" s="27" t="s">
        <v>38</v>
      </c>
      <c r="D8" s="31">
        <v>28</v>
      </c>
      <c r="E8" s="29">
        <v>284.81684000000001</v>
      </c>
      <c r="F8" s="30">
        <v>10.067164145696101</v>
      </c>
      <c r="G8" s="29">
        <v>3.55</v>
      </c>
    </row>
    <row r="9" spans="1:7" x14ac:dyDescent="0.2">
      <c r="A9" s="27" t="s">
        <v>1022</v>
      </c>
      <c r="B9" s="27" t="s">
        <v>1023</v>
      </c>
      <c r="C9" s="27" t="s">
        <v>927</v>
      </c>
      <c r="D9" s="31">
        <v>27</v>
      </c>
      <c r="E9" s="29">
        <v>279.82017000000002</v>
      </c>
      <c r="F9" s="30">
        <v>9.8905513545708299</v>
      </c>
      <c r="G9" s="29">
        <v>3.9350000000000001</v>
      </c>
    </row>
    <row r="10" spans="1:7" x14ac:dyDescent="0.2">
      <c r="A10" s="27" t="s">
        <v>1069</v>
      </c>
      <c r="B10" s="27" t="s">
        <v>1070</v>
      </c>
      <c r="C10" s="27" t="s">
        <v>871</v>
      </c>
      <c r="D10" s="31">
        <v>26</v>
      </c>
      <c r="E10" s="29">
        <v>272.44074000000001</v>
      </c>
      <c r="F10" s="30">
        <v>9.6297172932432993</v>
      </c>
      <c r="G10" s="29">
        <v>4.6984000000000004</v>
      </c>
    </row>
    <row r="11" spans="1:7" x14ac:dyDescent="0.2">
      <c r="A11" s="27" t="s">
        <v>962</v>
      </c>
      <c r="B11" s="27" t="s">
        <v>963</v>
      </c>
      <c r="C11" s="27" t="s">
        <v>927</v>
      </c>
      <c r="D11" s="31">
        <v>26</v>
      </c>
      <c r="E11" s="29">
        <v>269.10545999999999</v>
      </c>
      <c r="F11" s="30">
        <v>9.5118281570817604</v>
      </c>
      <c r="G11" s="29">
        <v>3.835</v>
      </c>
    </row>
    <row r="12" spans="1:7" x14ac:dyDescent="0.2">
      <c r="A12" s="27" t="s">
        <v>952</v>
      </c>
      <c r="B12" s="27" t="s">
        <v>953</v>
      </c>
      <c r="C12" s="27" t="s">
        <v>38</v>
      </c>
      <c r="D12" s="31">
        <v>26</v>
      </c>
      <c r="E12" s="29">
        <v>268.7867</v>
      </c>
      <c r="F12" s="30">
        <v>9.5005612346516095</v>
      </c>
      <c r="G12" s="29">
        <v>3.9</v>
      </c>
    </row>
    <row r="13" spans="1:7" x14ac:dyDescent="0.2">
      <c r="A13" s="27" t="s">
        <v>930</v>
      </c>
      <c r="B13" s="27" t="s">
        <v>931</v>
      </c>
      <c r="C13" s="27" t="s">
        <v>38</v>
      </c>
      <c r="D13" s="31">
        <v>26</v>
      </c>
      <c r="E13" s="29">
        <v>264.99122</v>
      </c>
      <c r="F13" s="30">
        <v>9.3664058238560006</v>
      </c>
      <c r="G13" s="29">
        <v>3.7149999999999999</v>
      </c>
    </row>
    <row r="14" spans="1:7" x14ac:dyDescent="0.2">
      <c r="A14" s="27" t="s">
        <v>905</v>
      </c>
      <c r="B14" s="27" t="s">
        <v>906</v>
      </c>
      <c r="C14" s="27" t="s">
        <v>897</v>
      </c>
      <c r="D14" s="31">
        <v>24</v>
      </c>
      <c r="E14" s="29">
        <v>246.99672000000001</v>
      </c>
      <c r="F14" s="30">
        <v>8.7303704503165402</v>
      </c>
      <c r="G14" s="29">
        <v>5.6599000000000004</v>
      </c>
    </row>
    <row r="15" spans="1:7" x14ac:dyDescent="0.2">
      <c r="A15" s="27" t="s">
        <v>1067</v>
      </c>
      <c r="B15" s="27" t="s">
        <v>1068</v>
      </c>
      <c r="C15" s="27" t="s">
        <v>38</v>
      </c>
      <c r="D15" s="31">
        <v>10</v>
      </c>
      <c r="E15" s="29">
        <v>129.8852</v>
      </c>
      <c r="F15" s="30">
        <v>4.5909351023505698</v>
      </c>
      <c r="G15" s="29">
        <v>5.4793000000000003</v>
      </c>
    </row>
    <row r="16" spans="1:7" x14ac:dyDescent="0.2">
      <c r="A16" s="27" t="s">
        <v>1052</v>
      </c>
      <c r="B16" s="27" t="s">
        <v>1053</v>
      </c>
      <c r="C16" s="27" t="s">
        <v>38</v>
      </c>
      <c r="D16" s="31">
        <v>12</v>
      </c>
      <c r="E16" s="29">
        <v>123.35832000000001</v>
      </c>
      <c r="F16" s="30">
        <v>4.3602353574925701</v>
      </c>
      <c r="G16" s="29">
        <v>3.72</v>
      </c>
    </row>
    <row r="17" spans="1:9" x14ac:dyDescent="0.2">
      <c r="A17" s="27" t="s">
        <v>1042</v>
      </c>
      <c r="B17" s="27" t="s">
        <v>1043</v>
      </c>
      <c r="C17" s="27" t="s">
        <v>38</v>
      </c>
      <c r="D17" s="31">
        <v>2</v>
      </c>
      <c r="E17" s="29">
        <v>25.78744</v>
      </c>
      <c r="F17" s="30">
        <v>0.91148540015151103</v>
      </c>
      <c r="G17" s="29">
        <v>4.45</v>
      </c>
    </row>
    <row r="18" spans="1:9" x14ac:dyDescent="0.2">
      <c r="A18" s="27" t="s">
        <v>1061</v>
      </c>
      <c r="B18" s="27" t="s">
        <v>1062</v>
      </c>
      <c r="C18" s="27" t="s">
        <v>871</v>
      </c>
      <c r="D18" s="31">
        <v>2</v>
      </c>
      <c r="E18" s="29">
        <v>21.036860000000001</v>
      </c>
      <c r="F18" s="30">
        <v>0.74357093046193501</v>
      </c>
      <c r="G18" s="29">
        <v>4.8498000000000001</v>
      </c>
    </row>
    <row r="19" spans="1:9" x14ac:dyDescent="0.2">
      <c r="A19" s="26" t="s">
        <v>39</v>
      </c>
      <c r="B19" s="26"/>
      <c r="C19" s="26"/>
      <c r="D19" s="32"/>
      <c r="E19" s="33">
        <f>SUM(E6:E18)</f>
        <v>2526.7676700000002</v>
      </c>
      <c r="F19" s="34">
        <f>SUM(F6:F18)</f>
        <v>89.311379523514205</v>
      </c>
      <c r="G19" s="33"/>
      <c r="H19" s="18"/>
      <c r="I19" s="18"/>
    </row>
    <row r="20" spans="1:9" x14ac:dyDescent="0.2">
      <c r="A20" s="27"/>
      <c r="B20" s="27"/>
      <c r="C20" s="27"/>
      <c r="D20" s="28"/>
      <c r="E20" s="29"/>
      <c r="F20" s="30"/>
      <c r="G20" s="29"/>
    </row>
    <row r="21" spans="1:9" x14ac:dyDescent="0.2">
      <c r="A21" s="26" t="s">
        <v>42</v>
      </c>
      <c r="B21" s="26"/>
      <c r="C21" s="26"/>
      <c r="D21" s="32"/>
      <c r="E21" s="33">
        <f>E19</f>
        <v>2526.7676700000002</v>
      </c>
      <c r="F21" s="34">
        <f>F19</f>
        <v>89.311379523514205</v>
      </c>
      <c r="G21" s="33"/>
      <c r="H21" s="18"/>
      <c r="I21" s="18"/>
    </row>
    <row r="22" spans="1:9" x14ac:dyDescent="0.2">
      <c r="A22" s="26"/>
      <c r="B22" s="26"/>
      <c r="C22" s="26"/>
      <c r="D22" s="32"/>
      <c r="E22" s="33"/>
      <c r="F22" s="34"/>
      <c r="G22" s="33"/>
      <c r="H22" s="18"/>
      <c r="I22" s="18"/>
    </row>
    <row r="23" spans="1:9" x14ac:dyDescent="0.2">
      <c r="A23" s="26" t="s">
        <v>44</v>
      </c>
      <c r="B23" s="26"/>
      <c r="C23" s="26"/>
      <c r="D23" s="32"/>
      <c r="E23" s="33">
        <f>E25-(E19)</f>
        <v>302.3988746</v>
      </c>
      <c r="F23" s="34">
        <f>F25-(F19)</f>
        <v>10.688620476485795</v>
      </c>
      <c r="G23" s="33"/>
      <c r="H23" s="18"/>
      <c r="I23" s="18"/>
    </row>
    <row r="24" spans="1:9" x14ac:dyDescent="0.2">
      <c r="A24" s="26"/>
      <c r="B24" s="26"/>
      <c r="C24" s="26"/>
      <c r="D24" s="32"/>
      <c r="E24" s="33"/>
      <c r="F24" s="34"/>
      <c r="G24" s="33"/>
      <c r="H24" s="18"/>
      <c r="I24" s="18"/>
    </row>
    <row r="25" spans="1:9" x14ac:dyDescent="0.2">
      <c r="A25" s="35" t="s">
        <v>43</v>
      </c>
      <c r="B25" s="35"/>
      <c r="C25" s="35"/>
      <c r="D25" s="36"/>
      <c r="E25" s="37">
        <v>2829.1665446000002</v>
      </c>
      <c r="F25" s="38">
        <v>100</v>
      </c>
      <c r="G25" s="37"/>
      <c r="H25" s="18"/>
      <c r="I25" s="18"/>
    </row>
    <row r="27" spans="1:9" x14ac:dyDescent="0.2">
      <c r="A27" s="18" t="s">
        <v>46</v>
      </c>
    </row>
    <row r="29" spans="1:9" x14ac:dyDescent="0.2">
      <c r="A29" s="18" t="s">
        <v>47</v>
      </c>
    </row>
    <row r="30" spans="1:9" x14ac:dyDescent="0.2">
      <c r="A30" s="18" t="s">
        <v>48</v>
      </c>
    </row>
    <row r="31" spans="1:9" x14ac:dyDescent="0.2">
      <c r="A31" s="18" t="s">
        <v>49</v>
      </c>
      <c r="B31" s="18"/>
      <c r="C31" s="39" t="s">
        <v>51</v>
      </c>
      <c r="D31" s="41" t="s">
        <v>50</v>
      </c>
    </row>
    <row r="32" spans="1:9" x14ac:dyDescent="0.2">
      <c r="A32" s="9" t="s">
        <v>79</v>
      </c>
      <c r="C32" s="40">
        <v>12.3531</v>
      </c>
      <c r="D32" s="40">
        <v>12.6708</v>
      </c>
    </row>
    <row r="33" spans="1:5" x14ac:dyDescent="0.2">
      <c r="A33" s="9" t="s">
        <v>1048</v>
      </c>
      <c r="C33" s="40">
        <v>10.5608</v>
      </c>
      <c r="D33" s="40">
        <v>10.8344</v>
      </c>
    </row>
    <row r="34" spans="1:5" x14ac:dyDescent="0.2">
      <c r="A34" s="9" t="s">
        <v>81</v>
      </c>
      <c r="C34" s="40">
        <v>10.544</v>
      </c>
      <c r="D34" s="40">
        <v>10.431699999999999</v>
      </c>
    </row>
    <row r="35" spans="1:5" x14ac:dyDescent="0.2">
      <c r="A35" s="9" t="s">
        <v>82</v>
      </c>
      <c r="C35" s="40">
        <v>12.427300000000001</v>
      </c>
      <c r="D35" s="40">
        <v>12.7661</v>
      </c>
    </row>
    <row r="36" spans="1:5" x14ac:dyDescent="0.2">
      <c r="A36" s="9" t="s">
        <v>86</v>
      </c>
      <c r="C36" s="40">
        <v>10.628399999999999</v>
      </c>
      <c r="D36" s="40">
        <v>10.917999999999999</v>
      </c>
    </row>
    <row r="37" spans="1:5" x14ac:dyDescent="0.2">
      <c r="A37" s="9" t="s">
        <v>84</v>
      </c>
      <c r="C37" s="40">
        <v>10.6135</v>
      </c>
      <c r="D37" s="40">
        <v>10.5192</v>
      </c>
    </row>
    <row r="39" spans="1:5" x14ac:dyDescent="0.2">
      <c r="A39" s="18" t="s">
        <v>53</v>
      </c>
    </row>
    <row r="40" spans="1:5" x14ac:dyDescent="0.2">
      <c r="A40" s="82" t="s">
        <v>76</v>
      </c>
      <c r="B40" s="83"/>
      <c r="C40" s="44" t="s">
        <v>77</v>
      </c>
    </row>
    <row r="41" spans="1:5" x14ac:dyDescent="0.2">
      <c r="A41" s="78" t="s">
        <v>81</v>
      </c>
      <c r="B41" s="79"/>
      <c r="C41" s="45">
        <v>0.38</v>
      </c>
    </row>
    <row r="42" spans="1:5" x14ac:dyDescent="0.2">
      <c r="A42" s="78" t="s">
        <v>84</v>
      </c>
      <c r="B42" s="79"/>
      <c r="C42" s="45">
        <v>0.38</v>
      </c>
    </row>
    <row r="43" spans="1:5" x14ac:dyDescent="0.2">
      <c r="A43" s="9" t="s">
        <v>78</v>
      </c>
    </row>
    <row r="44" spans="1:5" x14ac:dyDescent="0.2">
      <c r="A44" s="9" t="s">
        <v>52</v>
      </c>
    </row>
    <row r="46" spans="1:5" x14ac:dyDescent="0.2">
      <c r="A46" s="18" t="s">
        <v>820</v>
      </c>
      <c r="D46" s="42">
        <v>0.68145017430136989</v>
      </c>
      <c r="E46" s="13" t="s">
        <v>55</v>
      </c>
    </row>
    <row r="48" spans="1:5" x14ac:dyDescent="0.2">
      <c r="A48" s="18" t="s">
        <v>56</v>
      </c>
      <c r="D48" s="41" t="s">
        <v>54</v>
      </c>
    </row>
    <row r="50" spans="1:7" ht="14.4" x14ac:dyDescent="0.2">
      <c r="A50" s="80" t="s">
        <v>821</v>
      </c>
      <c r="B50" s="81"/>
      <c r="C50" s="81"/>
      <c r="D50" s="81"/>
      <c r="E50" s="81"/>
      <c r="F50" s="81"/>
      <c r="G50" s="81"/>
    </row>
    <row r="51" spans="1:7" x14ac:dyDescent="0.2">
      <c r="A51" s="53" t="s">
        <v>57</v>
      </c>
    </row>
    <row r="53" spans="1:7" x14ac:dyDescent="0.2">
      <c r="A53" s="53"/>
    </row>
  </sheetData>
  <mergeCells count="5">
    <mergeCell ref="A1:G1"/>
    <mergeCell ref="A40:B40"/>
    <mergeCell ref="A41:B41"/>
    <mergeCell ref="A42:B42"/>
    <mergeCell ref="A50:G50"/>
  </mergeCells>
  <conditionalFormatting sqref="F2:F3 F5:F49 F54:F65536">
    <cfRule type="cellIs" dxfId="113" priority="3" stopIfTrue="1" operator="between">
      <formula>0.009</formula>
      <formula>-0.009</formula>
    </cfRule>
  </conditionalFormatting>
  <conditionalFormatting sqref="F52:F53">
    <cfRule type="cellIs" dxfId="112" priority="2" stopIfTrue="1" operator="between">
      <formula>0.009</formula>
      <formula>-0.009</formula>
    </cfRule>
  </conditionalFormatting>
  <conditionalFormatting sqref="F51">
    <cfRule type="cellIs" dxfId="111" priority="1" stopIfTrue="1" operator="between">
      <formula>0.009</formula>
      <formula>-0.009</formula>
    </cfRule>
  </conditionalFormatting>
  <hyperlinks>
    <hyperlink ref="A51" r:id="rId1" xr:uid="{00000000-0004-0000-0F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1"/>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1075</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972</v>
      </c>
      <c r="B7" s="27" t="s">
        <v>973</v>
      </c>
      <c r="C7" s="27" t="s">
        <v>871</v>
      </c>
      <c r="D7" s="31">
        <v>50</v>
      </c>
      <c r="E7" s="29">
        <v>653.35</v>
      </c>
      <c r="F7" s="30">
        <v>12.079741498296199</v>
      </c>
      <c r="G7" s="29">
        <v>5</v>
      </c>
    </row>
    <row r="8" spans="1:7" x14ac:dyDescent="0.2">
      <c r="A8" s="27" t="s">
        <v>1022</v>
      </c>
      <c r="B8" s="27" t="s">
        <v>1023</v>
      </c>
      <c r="C8" s="27" t="s">
        <v>927</v>
      </c>
      <c r="D8" s="31">
        <v>50</v>
      </c>
      <c r="E8" s="29">
        <v>518.18550000000005</v>
      </c>
      <c r="F8" s="30">
        <v>9.58069470906152</v>
      </c>
      <c r="G8" s="29">
        <v>3.9350000000000001</v>
      </c>
    </row>
    <row r="9" spans="1:7" x14ac:dyDescent="0.2">
      <c r="A9" s="27" t="s">
        <v>952</v>
      </c>
      <c r="B9" s="27" t="s">
        <v>953</v>
      </c>
      <c r="C9" s="27" t="s">
        <v>38</v>
      </c>
      <c r="D9" s="31">
        <v>50</v>
      </c>
      <c r="E9" s="29">
        <v>516.89750000000004</v>
      </c>
      <c r="F9" s="30">
        <v>9.5568809690296792</v>
      </c>
      <c r="G9" s="29">
        <v>3.9</v>
      </c>
    </row>
    <row r="10" spans="1:7" x14ac:dyDescent="0.2">
      <c r="A10" s="27" t="s">
        <v>1076</v>
      </c>
      <c r="B10" s="27" t="s">
        <v>1077</v>
      </c>
      <c r="C10" s="27" t="s">
        <v>38</v>
      </c>
      <c r="D10" s="31">
        <v>50</v>
      </c>
      <c r="E10" s="29">
        <v>516.82600000000002</v>
      </c>
      <c r="F10" s="30">
        <v>9.5555590106350508</v>
      </c>
      <c r="G10" s="29">
        <v>4.0250000000000004</v>
      </c>
    </row>
    <row r="11" spans="1:7" x14ac:dyDescent="0.2">
      <c r="A11" s="27" t="s">
        <v>1078</v>
      </c>
      <c r="B11" s="27" t="s">
        <v>1079</v>
      </c>
      <c r="C11" s="27" t="s">
        <v>38</v>
      </c>
      <c r="D11" s="31">
        <v>50</v>
      </c>
      <c r="E11" s="29">
        <v>510.858</v>
      </c>
      <c r="F11" s="30">
        <v>9.4452170847732209</v>
      </c>
      <c r="G11" s="29">
        <v>3.72</v>
      </c>
    </row>
    <row r="12" spans="1:7" x14ac:dyDescent="0.2">
      <c r="A12" s="27" t="s">
        <v>874</v>
      </c>
      <c r="B12" s="27" t="s">
        <v>875</v>
      </c>
      <c r="C12" s="27" t="s">
        <v>876</v>
      </c>
      <c r="D12" s="31">
        <v>48</v>
      </c>
      <c r="E12" s="29">
        <v>503.72687999999999</v>
      </c>
      <c r="F12" s="30">
        <v>9.3133703162826205</v>
      </c>
      <c r="G12" s="29">
        <v>3.88</v>
      </c>
    </row>
    <row r="13" spans="1:7" x14ac:dyDescent="0.2">
      <c r="A13" s="27" t="s">
        <v>930</v>
      </c>
      <c r="B13" s="27" t="s">
        <v>931</v>
      </c>
      <c r="C13" s="27" t="s">
        <v>38</v>
      </c>
      <c r="D13" s="31">
        <v>49</v>
      </c>
      <c r="E13" s="29">
        <v>499.40652999999998</v>
      </c>
      <c r="F13" s="30">
        <v>9.2334916736222397</v>
      </c>
      <c r="G13" s="29">
        <v>3.7149999999999999</v>
      </c>
    </row>
    <row r="14" spans="1:7" x14ac:dyDescent="0.2">
      <c r="A14" s="27" t="s">
        <v>962</v>
      </c>
      <c r="B14" s="27" t="s">
        <v>963</v>
      </c>
      <c r="C14" s="27" t="s">
        <v>927</v>
      </c>
      <c r="D14" s="31">
        <v>20</v>
      </c>
      <c r="E14" s="29">
        <v>207.0042</v>
      </c>
      <c r="F14" s="30">
        <v>3.8272858729036501</v>
      </c>
      <c r="G14" s="29">
        <v>3.835</v>
      </c>
    </row>
    <row r="15" spans="1:7" x14ac:dyDescent="0.2">
      <c r="A15" s="27" t="s">
        <v>1069</v>
      </c>
      <c r="B15" s="27" t="s">
        <v>1070</v>
      </c>
      <c r="C15" s="27" t="s">
        <v>871</v>
      </c>
      <c r="D15" s="31">
        <v>15</v>
      </c>
      <c r="E15" s="29">
        <v>157.17734999999999</v>
      </c>
      <c r="F15" s="30">
        <v>2.9060408010824501</v>
      </c>
      <c r="G15" s="29">
        <v>4.6984000000000004</v>
      </c>
    </row>
    <row r="16" spans="1:7" x14ac:dyDescent="0.2">
      <c r="A16" s="27" t="s">
        <v>1061</v>
      </c>
      <c r="B16" s="27" t="s">
        <v>1062</v>
      </c>
      <c r="C16" s="27" t="s">
        <v>871</v>
      </c>
      <c r="D16" s="31">
        <v>6</v>
      </c>
      <c r="E16" s="29">
        <v>63.110579999999999</v>
      </c>
      <c r="F16" s="30">
        <v>1.1668470072817601</v>
      </c>
      <c r="G16" s="29">
        <v>4.8498000000000001</v>
      </c>
    </row>
    <row r="17" spans="1:9" x14ac:dyDescent="0.2">
      <c r="A17" s="27" t="s">
        <v>1052</v>
      </c>
      <c r="B17" s="27" t="s">
        <v>1053</v>
      </c>
      <c r="C17" s="27" t="s">
        <v>38</v>
      </c>
      <c r="D17" s="31">
        <v>4</v>
      </c>
      <c r="E17" s="29">
        <v>41.119439999999997</v>
      </c>
      <c r="F17" s="30">
        <v>0.76025439007377205</v>
      </c>
      <c r="G17" s="29">
        <v>3.72</v>
      </c>
    </row>
    <row r="18" spans="1:9" x14ac:dyDescent="0.2">
      <c r="A18" s="27" t="s">
        <v>1038</v>
      </c>
      <c r="B18" s="27" t="s">
        <v>1039</v>
      </c>
      <c r="C18" s="27" t="s">
        <v>38</v>
      </c>
      <c r="D18" s="31">
        <v>3</v>
      </c>
      <c r="E18" s="29">
        <v>39.275129999999997</v>
      </c>
      <c r="F18" s="30">
        <v>0.72615507417460301</v>
      </c>
      <c r="G18" s="29">
        <v>4.5</v>
      </c>
    </row>
    <row r="19" spans="1:9" x14ac:dyDescent="0.2">
      <c r="A19" s="27" t="s">
        <v>1042</v>
      </c>
      <c r="B19" s="27" t="s">
        <v>1043</v>
      </c>
      <c r="C19" s="27" t="s">
        <v>38</v>
      </c>
      <c r="D19" s="31">
        <v>3</v>
      </c>
      <c r="E19" s="29">
        <v>38.681159999999998</v>
      </c>
      <c r="F19" s="30">
        <v>0.71517320525634598</v>
      </c>
      <c r="G19" s="29">
        <v>4.45</v>
      </c>
    </row>
    <row r="20" spans="1:9" x14ac:dyDescent="0.2">
      <c r="A20" s="27" t="s">
        <v>1054</v>
      </c>
      <c r="B20" s="27" t="s">
        <v>1055</v>
      </c>
      <c r="C20" s="27" t="s">
        <v>994</v>
      </c>
      <c r="D20" s="31">
        <v>3</v>
      </c>
      <c r="E20" s="29">
        <v>38.559510000000003</v>
      </c>
      <c r="F20" s="30">
        <v>0.71292402709262404</v>
      </c>
      <c r="G20" s="29">
        <v>4.9499000000000004</v>
      </c>
    </row>
    <row r="21" spans="1:9" x14ac:dyDescent="0.2">
      <c r="A21" s="27" t="s">
        <v>956</v>
      </c>
      <c r="B21" s="27" t="s">
        <v>957</v>
      </c>
      <c r="C21" s="27" t="s">
        <v>927</v>
      </c>
      <c r="D21" s="31">
        <v>2</v>
      </c>
      <c r="E21" s="29">
        <v>20.281279999999999</v>
      </c>
      <c r="F21" s="30">
        <v>0.374979137758574</v>
      </c>
      <c r="G21" s="29">
        <v>3.4849999999999999</v>
      </c>
    </row>
    <row r="22" spans="1:9" x14ac:dyDescent="0.2">
      <c r="A22" s="27" t="s">
        <v>902</v>
      </c>
      <c r="B22" s="27" t="s">
        <v>903</v>
      </c>
      <c r="C22" s="27" t="s">
        <v>904</v>
      </c>
      <c r="D22" s="31">
        <v>1</v>
      </c>
      <c r="E22" s="29">
        <v>10.2714</v>
      </c>
      <c r="F22" s="30">
        <v>0.18990718118252001</v>
      </c>
      <c r="G22" s="29">
        <v>5.2746000000000004</v>
      </c>
    </row>
    <row r="23" spans="1:9" x14ac:dyDescent="0.2">
      <c r="A23" s="26" t="s">
        <v>39</v>
      </c>
      <c r="B23" s="26"/>
      <c r="C23" s="26"/>
      <c r="D23" s="32"/>
      <c r="E23" s="33">
        <f>SUM(E6:E22)</f>
        <v>4334.7304600000007</v>
      </c>
      <c r="F23" s="34">
        <f>SUM(F6:F22)</f>
        <v>80.144521958506814</v>
      </c>
      <c r="G23" s="33"/>
      <c r="H23" s="18"/>
      <c r="I23" s="18"/>
    </row>
    <row r="24" spans="1:9" x14ac:dyDescent="0.2">
      <c r="A24" s="27"/>
      <c r="B24" s="27"/>
      <c r="C24" s="27"/>
      <c r="D24" s="28"/>
      <c r="E24" s="29"/>
      <c r="F24" s="30"/>
      <c r="G24" s="29"/>
    </row>
    <row r="25" spans="1:9" x14ac:dyDescent="0.2">
      <c r="A25" s="26" t="s">
        <v>1080</v>
      </c>
      <c r="B25" s="27"/>
      <c r="C25" s="27"/>
      <c r="D25" s="28"/>
      <c r="E25" s="29"/>
      <c r="F25" s="30"/>
      <c r="G25" s="29"/>
    </row>
    <row r="26" spans="1:9" x14ac:dyDescent="0.2">
      <c r="A26" s="27" t="s">
        <v>1081</v>
      </c>
      <c r="B26" s="27" t="s">
        <v>1082</v>
      </c>
      <c r="C26" s="27" t="s">
        <v>38</v>
      </c>
      <c r="D26" s="31">
        <v>50</v>
      </c>
      <c r="E26" s="29">
        <v>515.13699999999994</v>
      </c>
      <c r="F26" s="30">
        <v>9.5243312102361504</v>
      </c>
      <c r="G26" s="29">
        <v>4.6900000000000004</v>
      </c>
    </row>
    <row r="27" spans="1:9" x14ac:dyDescent="0.2">
      <c r="A27" s="26" t="s">
        <v>39</v>
      </c>
      <c r="B27" s="26"/>
      <c r="C27" s="26"/>
      <c r="D27" s="32"/>
      <c r="E27" s="33">
        <f>SUM(E25:E26)</f>
        <v>515.13699999999994</v>
      </c>
      <c r="F27" s="34">
        <f>SUM(F25:F26)</f>
        <v>9.5243312102361504</v>
      </c>
      <c r="G27" s="33"/>
      <c r="H27" s="18"/>
      <c r="I27" s="18"/>
    </row>
    <row r="28" spans="1:9" x14ac:dyDescent="0.2">
      <c r="A28" s="27"/>
      <c r="B28" s="27"/>
      <c r="C28" s="27"/>
      <c r="D28" s="28"/>
      <c r="E28" s="29"/>
      <c r="F28" s="30"/>
      <c r="G28" s="29"/>
    </row>
    <row r="29" spans="1:9" x14ac:dyDescent="0.2">
      <c r="A29" s="26" t="s">
        <v>42</v>
      </c>
      <c r="B29" s="26"/>
      <c r="C29" s="26"/>
      <c r="D29" s="32"/>
      <c r="E29" s="33">
        <f>E23+E27</f>
        <v>4849.8674600000004</v>
      </c>
      <c r="F29" s="34">
        <f>F23+F27</f>
        <v>89.66885316874297</v>
      </c>
      <c r="G29" s="33"/>
      <c r="H29" s="18"/>
      <c r="I29" s="18"/>
    </row>
    <row r="30" spans="1:9" x14ac:dyDescent="0.2">
      <c r="A30" s="26"/>
      <c r="B30" s="26"/>
      <c r="C30" s="26"/>
      <c r="D30" s="32"/>
      <c r="E30" s="33"/>
      <c r="F30" s="34"/>
      <c r="G30" s="33"/>
      <c r="H30" s="18"/>
      <c r="I30" s="18"/>
    </row>
    <row r="31" spans="1:9" x14ac:dyDescent="0.2">
      <c r="A31" s="26" t="s">
        <v>44</v>
      </c>
      <c r="B31" s="26"/>
      <c r="C31" s="26"/>
      <c r="D31" s="32"/>
      <c r="E31" s="33">
        <f>E33-(E23+E27)</f>
        <v>558.7747703999994</v>
      </c>
      <c r="F31" s="34">
        <f>F33-(F23+F27)</f>
        <v>10.33114683125703</v>
      </c>
      <c r="G31" s="33"/>
      <c r="H31" s="18"/>
      <c r="I31" s="18"/>
    </row>
    <row r="32" spans="1:9" x14ac:dyDescent="0.2">
      <c r="A32" s="26"/>
      <c r="B32" s="26"/>
      <c r="C32" s="26"/>
      <c r="D32" s="32"/>
      <c r="E32" s="33"/>
      <c r="F32" s="34"/>
      <c r="G32" s="33"/>
      <c r="H32" s="18"/>
      <c r="I32" s="18"/>
    </row>
    <row r="33" spans="1:9" x14ac:dyDescent="0.2">
      <c r="A33" s="35" t="s">
        <v>43</v>
      </c>
      <c r="B33" s="35"/>
      <c r="C33" s="35"/>
      <c r="D33" s="36"/>
      <c r="E33" s="37">
        <v>5408.6422303999998</v>
      </c>
      <c r="F33" s="38">
        <v>100</v>
      </c>
      <c r="G33" s="37"/>
      <c r="H33" s="18"/>
      <c r="I33" s="18"/>
    </row>
    <row r="35" spans="1:9" x14ac:dyDescent="0.2">
      <c r="A35" s="18" t="s">
        <v>46</v>
      </c>
    </row>
    <row r="37" spans="1:9" x14ac:dyDescent="0.2">
      <c r="A37" s="18" t="s">
        <v>47</v>
      </c>
    </row>
    <row r="38" spans="1:9" x14ac:dyDescent="0.2">
      <c r="A38" s="18" t="s">
        <v>48</v>
      </c>
    </row>
    <row r="39" spans="1:9" x14ac:dyDescent="0.2">
      <c r="A39" s="18" t="s">
        <v>49</v>
      </c>
      <c r="B39" s="18"/>
      <c r="C39" s="39" t="s">
        <v>51</v>
      </c>
      <c r="D39" s="41" t="s">
        <v>50</v>
      </c>
    </row>
    <row r="40" spans="1:9" x14ac:dyDescent="0.2">
      <c r="A40" s="9" t="s">
        <v>79</v>
      </c>
      <c r="C40" s="40">
        <v>12.3522</v>
      </c>
      <c r="D40" s="40">
        <v>12.6577</v>
      </c>
    </row>
    <row r="41" spans="1:9" x14ac:dyDescent="0.2">
      <c r="A41" s="9" t="s">
        <v>1048</v>
      </c>
      <c r="C41" s="40">
        <v>10.6214</v>
      </c>
      <c r="D41" s="40">
        <v>10.8865</v>
      </c>
    </row>
    <row r="42" spans="1:9" x14ac:dyDescent="0.2">
      <c r="A42" s="9" t="s">
        <v>81</v>
      </c>
      <c r="C42" s="40">
        <v>10.600099999999999</v>
      </c>
      <c r="D42" s="40">
        <v>10.460599999999999</v>
      </c>
    </row>
    <row r="43" spans="1:9" x14ac:dyDescent="0.2">
      <c r="A43" s="9" t="s">
        <v>82</v>
      </c>
      <c r="C43" s="40">
        <v>12.482699999999999</v>
      </c>
      <c r="D43" s="40">
        <v>12.791499999999999</v>
      </c>
    </row>
    <row r="44" spans="1:9" x14ac:dyDescent="0.2">
      <c r="A44" s="9" t="s">
        <v>86</v>
      </c>
      <c r="C44" s="40">
        <v>10.637</v>
      </c>
      <c r="D44" s="40">
        <v>10.9</v>
      </c>
    </row>
    <row r="45" spans="1:9" x14ac:dyDescent="0.2">
      <c r="A45" s="9" t="s">
        <v>84</v>
      </c>
      <c r="C45" s="40">
        <v>10.626899999999999</v>
      </c>
      <c r="D45" s="40">
        <v>10.487399999999999</v>
      </c>
    </row>
    <row r="47" spans="1:9" x14ac:dyDescent="0.2">
      <c r="A47" s="18" t="s">
        <v>53</v>
      </c>
    </row>
    <row r="48" spans="1:9" x14ac:dyDescent="0.2">
      <c r="A48" s="82" t="s">
        <v>76</v>
      </c>
      <c r="B48" s="83"/>
      <c r="C48" s="44" t="s">
        <v>77</v>
      </c>
    </row>
    <row r="49" spans="1:7" x14ac:dyDescent="0.2">
      <c r="A49" s="78" t="s">
        <v>81</v>
      </c>
      <c r="B49" s="79"/>
      <c r="C49" s="45">
        <v>0.4</v>
      </c>
    </row>
    <row r="50" spans="1:7" x14ac:dyDescent="0.2">
      <c r="A50" s="78" t="s">
        <v>84</v>
      </c>
      <c r="B50" s="79"/>
      <c r="C50" s="45">
        <v>0.4</v>
      </c>
    </row>
    <row r="51" spans="1:7" x14ac:dyDescent="0.2">
      <c r="A51" s="9" t="s">
        <v>78</v>
      </c>
    </row>
    <row r="52" spans="1:7" x14ac:dyDescent="0.2">
      <c r="A52" s="9" t="s">
        <v>52</v>
      </c>
    </row>
    <row r="54" spans="1:7" x14ac:dyDescent="0.2">
      <c r="A54" s="18" t="s">
        <v>820</v>
      </c>
      <c r="D54" s="42">
        <v>0.70060067449315067</v>
      </c>
      <c r="E54" s="13" t="s">
        <v>55</v>
      </c>
    </row>
    <row r="56" spans="1:7" x14ac:dyDescent="0.2">
      <c r="A56" s="18" t="s">
        <v>56</v>
      </c>
      <c r="D56" s="41" t="s">
        <v>54</v>
      </c>
    </row>
    <row r="58" spans="1:7" ht="14.4" x14ac:dyDescent="0.2">
      <c r="A58" s="80" t="s">
        <v>821</v>
      </c>
      <c r="B58" s="81"/>
      <c r="C58" s="81"/>
      <c r="D58" s="81"/>
      <c r="E58" s="81"/>
      <c r="F58" s="81"/>
      <c r="G58" s="81"/>
    </row>
    <row r="59" spans="1:7" x14ac:dyDescent="0.2">
      <c r="A59" s="53" t="s">
        <v>57</v>
      </c>
    </row>
    <row r="61" spans="1:7" x14ac:dyDescent="0.2">
      <c r="A61" s="53"/>
    </row>
  </sheetData>
  <mergeCells count="5">
    <mergeCell ref="A1:G1"/>
    <mergeCell ref="A48:B48"/>
    <mergeCell ref="A49:B49"/>
    <mergeCell ref="A50:B50"/>
    <mergeCell ref="A58:G58"/>
  </mergeCells>
  <conditionalFormatting sqref="F2:F3 F5:F57 F62:F65536">
    <cfRule type="cellIs" dxfId="110" priority="3" stopIfTrue="1" operator="between">
      <formula>0.009</formula>
      <formula>-0.009</formula>
    </cfRule>
  </conditionalFormatting>
  <conditionalFormatting sqref="F60:F61">
    <cfRule type="cellIs" dxfId="109" priority="2" stopIfTrue="1" operator="between">
      <formula>0.009</formula>
      <formula>-0.009</formula>
    </cfRule>
  </conditionalFormatting>
  <conditionalFormatting sqref="F59">
    <cfRule type="cellIs" dxfId="108" priority="1" stopIfTrue="1" operator="between">
      <formula>0.009</formula>
      <formula>-0.009</formula>
    </cfRule>
  </conditionalFormatting>
  <hyperlinks>
    <hyperlink ref="A59" r:id="rId1" xr:uid="{00000000-0004-0000-1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5"/>
  <sheetViews>
    <sheetView workbookViewId="0">
      <selection sqref="A1:G1"/>
    </sheetView>
  </sheetViews>
  <sheetFormatPr defaultColWidth="9.109375" defaultRowHeight="10.199999999999999" x14ac:dyDescent="0.2"/>
  <cols>
    <col min="1" max="1" width="38.6640625" style="9" bestFit="1" customWidth="1"/>
    <col min="2" max="2" width="52.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1083</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966</v>
      </c>
      <c r="B7" s="27" t="s">
        <v>967</v>
      </c>
      <c r="C7" s="27" t="s">
        <v>927</v>
      </c>
      <c r="D7" s="31">
        <v>31</v>
      </c>
      <c r="E7" s="29">
        <v>315.35834999999997</v>
      </c>
      <c r="F7" s="30">
        <v>9.5795441310311702</v>
      </c>
      <c r="G7" s="29">
        <v>3.5150000000000001</v>
      </c>
    </row>
    <row r="8" spans="1:7" x14ac:dyDescent="0.2">
      <c r="A8" s="27" t="s">
        <v>964</v>
      </c>
      <c r="B8" s="27" t="s">
        <v>965</v>
      </c>
      <c r="C8" s="27" t="s">
        <v>38</v>
      </c>
      <c r="D8" s="31">
        <v>31</v>
      </c>
      <c r="E8" s="29">
        <v>313.36009000000001</v>
      </c>
      <c r="F8" s="30">
        <v>9.5188435982712907</v>
      </c>
      <c r="G8" s="29">
        <v>3.5750000000000002</v>
      </c>
    </row>
    <row r="9" spans="1:7" x14ac:dyDescent="0.2">
      <c r="A9" s="27" t="s">
        <v>1084</v>
      </c>
      <c r="B9" s="27" t="s">
        <v>1085</v>
      </c>
      <c r="C9" s="27" t="s">
        <v>38</v>
      </c>
      <c r="D9" s="31">
        <v>31</v>
      </c>
      <c r="E9" s="29">
        <v>311.47559999999999</v>
      </c>
      <c r="F9" s="30">
        <v>9.4615990219996107</v>
      </c>
      <c r="G9" s="29">
        <v>3.4352</v>
      </c>
    </row>
    <row r="10" spans="1:7" x14ac:dyDescent="0.2">
      <c r="A10" s="27" t="s">
        <v>930</v>
      </c>
      <c r="B10" s="27" t="s">
        <v>931</v>
      </c>
      <c r="C10" s="27" t="s">
        <v>38</v>
      </c>
      <c r="D10" s="31">
        <v>30</v>
      </c>
      <c r="E10" s="29">
        <v>305.75909999999999</v>
      </c>
      <c r="F10" s="30">
        <v>9.2879506501551994</v>
      </c>
      <c r="G10" s="29">
        <v>3.7149999999999999</v>
      </c>
    </row>
    <row r="11" spans="1:7" x14ac:dyDescent="0.2">
      <c r="A11" s="27" t="s">
        <v>1086</v>
      </c>
      <c r="B11" s="27" t="s">
        <v>1087</v>
      </c>
      <c r="C11" s="27" t="s">
        <v>927</v>
      </c>
      <c r="D11" s="31">
        <v>26</v>
      </c>
      <c r="E11" s="29">
        <v>264.29363999999998</v>
      </c>
      <c r="F11" s="30">
        <v>8.0283670558615707</v>
      </c>
      <c r="G11" s="29">
        <v>4.0650000000000004</v>
      </c>
    </row>
    <row r="12" spans="1:7" x14ac:dyDescent="0.2">
      <c r="A12" s="27" t="s">
        <v>1088</v>
      </c>
      <c r="B12" s="27" t="s">
        <v>1089</v>
      </c>
      <c r="C12" s="27" t="s">
        <v>38</v>
      </c>
      <c r="D12" s="31">
        <v>22</v>
      </c>
      <c r="E12" s="29">
        <v>221.89266000000001</v>
      </c>
      <c r="F12" s="30">
        <v>6.7403654566999496</v>
      </c>
      <c r="G12" s="29">
        <v>3.44</v>
      </c>
    </row>
    <row r="13" spans="1:7" x14ac:dyDescent="0.2">
      <c r="A13" s="27" t="s">
        <v>1090</v>
      </c>
      <c r="B13" s="27" t="s">
        <v>1091</v>
      </c>
      <c r="C13" s="27" t="s">
        <v>38</v>
      </c>
      <c r="D13" s="31">
        <v>20</v>
      </c>
      <c r="E13" s="29">
        <v>197.54060000000001</v>
      </c>
      <c r="F13" s="30">
        <v>6.0006303792824101</v>
      </c>
      <c r="G13" s="29">
        <v>3.7250000000000001</v>
      </c>
    </row>
    <row r="14" spans="1:7" x14ac:dyDescent="0.2">
      <c r="A14" s="27" t="s">
        <v>1092</v>
      </c>
      <c r="B14" s="27" t="s">
        <v>1093</v>
      </c>
      <c r="C14" s="27" t="s">
        <v>927</v>
      </c>
      <c r="D14" s="31">
        <v>19</v>
      </c>
      <c r="E14" s="29">
        <v>192.51616999999999</v>
      </c>
      <c r="F14" s="30">
        <v>5.8480048061264203</v>
      </c>
      <c r="G14" s="29">
        <v>3.3651</v>
      </c>
    </row>
    <row r="15" spans="1:7" x14ac:dyDescent="0.2">
      <c r="A15" s="27" t="s">
        <v>1094</v>
      </c>
      <c r="B15" s="27" t="s">
        <v>1095</v>
      </c>
      <c r="C15" s="27" t="s">
        <v>38</v>
      </c>
      <c r="D15" s="31">
        <v>19</v>
      </c>
      <c r="E15" s="29">
        <v>192.25624999999999</v>
      </c>
      <c r="F15" s="30">
        <v>5.8401092957949601</v>
      </c>
      <c r="G15" s="29">
        <v>3.4998999999999998</v>
      </c>
    </row>
    <row r="16" spans="1:7" x14ac:dyDescent="0.2">
      <c r="A16" s="27" t="s">
        <v>1096</v>
      </c>
      <c r="B16" s="27" t="s">
        <v>1097</v>
      </c>
      <c r="C16" s="27" t="s">
        <v>38</v>
      </c>
      <c r="D16" s="31">
        <v>16</v>
      </c>
      <c r="E16" s="29">
        <v>160.31392</v>
      </c>
      <c r="F16" s="30">
        <v>4.8698069084221203</v>
      </c>
      <c r="G16" s="29">
        <v>3.3653</v>
      </c>
    </row>
    <row r="17" spans="1:9" x14ac:dyDescent="0.2">
      <c r="A17" s="27" t="s">
        <v>1098</v>
      </c>
      <c r="B17" s="27" t="s">
        <v>1099</v>
      </c>
      <c r="C17" s="27" t="s">
        <v>994</v>
      </c>
      <c r="D17" s="31">
        <v>7</v>
      </c>
      <c r="E17" s="29">
        <v>89.182940000000002</v>
      </c>
      <c r="F17" s="30">
        <v>2.7090828876581301</v>
      </c>
      <c r="G17" s="29">
        <v>4.0449999999999999</v>
      </c>
    </row>
    <row r="18" spans="1:9" x14ac:dyDescent="0.2">
      <c r="A18" s="26" t="s">
        <v>39</v>
      </c>
      <c r="B18" s="26"/>
      <c r="C18" s="26"/>
      <c r="D18" s="32"/>
      <c r="E18" s="33">
        <f>SUM(E6:E17)</f>
        <v>2563.9493200000002</v>
      </c>
      <c r="F18" s="34">
        <f>SUM(F6:F17)</f>
        <v>77.884304191302832</v>
      </c>
      <c r="G18" s="33"/>
      <c r="H18" s="18"/>
      <c r="I18" s="18"/>
    </row>
    <row r="19" spans="1:9" x14ac:dyDescent="0.2">
      <c r="A19" s="27"/>
      <c r="B19" s="27"/>
      <c r="C19" s="27"/>
      <c r="D19" s="28"/>
      <c r="E19" s="29"/>
      <c r="F19" s="30"/>
      <c r="G19" s="29"/>
    </row>
    <row r="20" spans="1:9" x14ac:dyDescent="0.2">
      <c r="A20" s="26" t="s">
        <v>1080</v>
      </c>
      <c r="B20" s="27"/>
      <c r="C20" s="27"/>
      <c r="D20" s="28"/>
      <c r="E20" s="29"/>
      <c r="F20" s="30"/>
      <c r="G20" s="29"/>
    </row>
    <row r="21" spans="1:9" x14ac:dyDescent="0.2">
      <c r="A21" s="27" t="s">
        <v>1100</v>
      </c>
      <c r="B21" s="27" t="s">
        <v>1101</v>
      </c>
      <c r="C21" s="27" t="s">
        <v>38</v>
      </c>
      <c r="D21" s="31">
        <v>3</v>
      </c>
      <c r="E21" s="29">
        <v>30.379020000000001</v>
      </c>
      <c r="F21" s="30">
        <v>0.92281419771342199</v>
      </c>
      <c r="G21" s="29">
        <v>4.1950000000000003</v>
      </c>
    </row>
    <row r="22" spans="1:9" x14ac:dyDescent="0.2">
      <c r="A22" s="26" t="s">
        <v>39</v>
      </c>
      <c r="B22" s="26"/>
      <c r="C22" s="26"/>
      <c r="D22" s="32"/>
      <c r="E22" s="33">
        <f>SUM(E20:E21)</f>
        <v>30.379020000000001</v>
      </c>
      <c r="F22" s="34">
        <f>SUM(F20:F21)</f>
        <v>0.92281419771342199</v>
      </c>
      <c r="G22" s="33"/>
      <c r="H22" s="18"/>
      <c r="I22" s="18"/>
    </row>
    <row r="23" spans="1:9" x14ac:dyDescent="0.2">
      <c r="A23" s="27"/>
      <c r="B23" s="27"/>
      <c r="C23" s="27"/>
      <c r="D23" s="28"/>
      <c r="E23" s="29"/>
      <c r="F23" s="30"/>
      <c r="G23" s="29"/>
    </row>
    <row r="24" spans="1:9" x14ac:dyDescent="0.2">
      <c r="A24" s="26" t="s">
        <v>42</v>
      </c>
      <c r="B24" s="26"/>
      <c r="C24" s="26"/>
      <c r="D24" s="32"/>
      <c r="E24" s="33">
        <f>E18+E22</f>
        <v>2594.32834</v>
      </c>
      <c r="F24" s="34">
        <f>F18+F22</f>
        <v>78.807118389016253</v>
      </c>
      <c r="G24" s="33"/>
      <c r="H24" s="18"/>
      <c r="I24" s="18"/>
    </row>
    <row r="25" spans="1:9" x14ac:dyDescent="0.2">
      <c r="A25" s="26"/>
      <c r="B25" s="26"/>
      <c r="C25" s="26"/>
      <c r="D25" s="32"/>
      <c r="E25" s="33"/>
      <c r="F25" s="34"/>
      <c r="G25" s="33"/>
      <c r="H25" s="18"/>
      <c r="I25" s="18"/>
    </row>
    <row r="26" spans="1:9" x14ac:dyDescent="0.2">
      <c r="A26" s="26" t="s">
        <v>44</v>
      </c>
      <c r="B26" s="26"/>
      <c r="C26" s="26"/>
      <c r="D26" s="32"/>
      <c r="E26" s="33">
        <f>E28-(E18+E22)</f>
        <v>697.66912550000006</v>
      </c>
      <c r="F26" s="34">
        <f>F28-(F18+F22)</f>
        <v>21.192881610983747</v>
      </c>
      <c r="G26" s="33"/>
      <c r="H26" s="18"/>
      <c r="I26" s="18"/>
    </row>
    <row r="27" spans="1:9" x14ac:dyDescent="0.2">
      <c r="A27" s="26"/>
      <c r="B27" s="26"/>
      <c r="C27" s="26"/>
      <c r="D27" s="32"/>
      <c r="E27" s="33"/>
      <c r="F27" s="34"/>
      <c r="G27" s="33"/>
      <c r="H27" s="18"/>
      <c r="I27" s="18"/>
    </row>
    <row r="28" spans="1:9" x14ac:dyDescent="0.2">
      <c r="A28" s="35" t="s">
        <v>43</v>
      </c>
      <c r="B28" s="35"/>
      <c r="C28" s="35"/>
      <c r="D28" s="36"/>
      <c r="E28" s="37">
        <v>3291.9974655000001</v>
      </c>
      <c r="F28" s="38">
        <v>100</v>
      </c>
      <c r="G28" s="37"/>
      <c r="H28" s="18"/>
      <c r="I28" s="18"/>
    </row>
    <row r="30" spans="1:9" x14ac:dyDescent="0.2">
      <c r="A30" s="18" t="s">
        <v>46</v>
      </c>
    </row>
    <row r="32" spans="1:9" x14ac:dyDescent="0.2">
      <c r="A32" s="18" t="s">
        <v>47</v>
      </c>
    </row>
    <row r="33" spans="1:5" x14ac:dyDescent="0.2">
      <c r="A33" s="18" t="s">
        <v>48</v>
      </c>
    </row>
    <row r="34" spans="1:5" x14ac:dyDescent="0.2">
      <c r="A34" s="18" t="s">
        <v>49</v>
      </c>
      <c r="B34" s="18"/>
      <c r="C34" s="39" t="s">
        <v>51</v>
      </c>
      <c r="D34" s="19" t="s">
        <v>50</v>
      </c>
    </row>
    <row r="35" spans="1:5" x14ac:dyDescent="0.2">
      <c r="A35" s="9" t="s">
        <v>79</v>
      </c>
      <c r="C35" s="40">
        <v>12.2362</v>
      </c>
      <c r="D35" s="40">
        <v>12.4838</v>
      </c>
    </row>
    <row r="36" spans="1:5" x14ac:dyDescent="0.2">
      <c r="A36" s="9" t="s">
        <v>1048</v>
      </c>
      <c r="C36" s="40">
        <v>10.5304</v>
      </c>
      <c r="D36" s="40">
        <v>10.743499999999999</v>
      </c>
    </row>
    <row r="37" spans="1:5" x14ac:dyDescent="0.2">
      <c r="A37" s="9" t="s">
        <v>81</v>
      </c>
      <c r="C37" s="40">
        <v>10.5215</v>
      </c>
      <c r="D37" s="40">
        <v>10.305400000000001</v>
      </c>
    </row>
    <row r="38" spans="1:5" x14ac:dyDescent="0.2">
      <c r="A38" s="9" t="s">
        <v>82</v>
      </c>
      <c r="C38" s="40">
        <v>12.3588</v>
      </c>
      <c r="D38" s="40">
        <v>12.6089</v>
      </c>
    </row>
    <row r="39" spans="1:5" x14ac:dyDescent="0.2">
      <c r="A39" s="9" t="s">
        <v>84</v>
      </c>
      <c r="C39" s="40">
        <v>10.6411</v>
      </c>
      <c r="D39" s="40">
        <v>10.427300000000001</v>
      </c>
    </row>
    <row r="41" spans="1:5" x14ac:dyDescent="0.2">
      <c r="A41" s="18" t="s">
        <v>53</v>
      </c>
    </row>
    <row r="42" spans="1:5" x14ac:dyDescent="0.2">
      <c r="A42" s="82" t="s">
        <v>76</v>
      </c>
      <c r="B42" s="83"/>
      <c r="C42" s="44" t="s">
        <v>77</v>
      </c>
    </row>
    <row r="43" spans="1:5" x14ac:dyDescent="0.2">
      <c r="A43" s="78" t="s">
        <v>81</v>
      </c>
      <c r="B43" s="79"/>
      <c r="C43" s="45">
        <v>0.42499999999999999</v>
      </c>
    </row>
    <row r="44" spans="1:5" x14ac:dyDescent="0.2">
      <c r="A44" s="78" t="s">
        <v>84</v>
      </c>
      <c r="B44" s="79"/>
      <c r="C44" s="45">
        <v>0.42499999999999999</v>
      </c>
    </row>
    <row r="45" spans="1:5" x14ac:dyDescent="0.2">
      <c r="A45" s="9" t="s">
        <v>78</v>
      </c>
    </row>
    <row r="46" spans="1:5" x14ac:dyDescent="0.2">
      <c r="A46" s="9" t="s">
        <v>52</v>
      </c>
    </row>
    <row r="48" spans="1:5" x14ac:dyDescent="0.2">
      <c r="A48" s="18" t="s">
        <v>820</v>
      </c>
      <c r="D48" s="42">
        <v>0.20366139589041099</v>
      </c>
      <c r="E48" s="13" t="s">
        <v>55</v>
      </c>
    </row>
    <row r="50" spans="1:7" x14ac:dyDescent="0.2">
      <c r="A50" s="18" t="s">
        <v>56</v>
      </c>
      <c r="D50" s="41" t="s">
        <v>54</v>
      </c>
    </row>
    <row r="52" spans="1:7" ht="14.4" x14ac:dyDescent="0.2">
      <c r="A52" s="80" t="s">
        <v>821</v>
      </c>
      <c r="B52" s="81"/>
      <c r="C52" s="81"/>
      <c r="D52" s="81"/>
      <c r="E52" s="81"/>
      <c r="F52" s="81"/>
      <c r="G52" s="81"/>
    </row>
    <row r="53" spans="1:7" x14ac:dyDescent="0.2">
      <c r="A53" s="53" t="s">
        <v>57</v>
      </c>
    </row>
    <row r="55" spans="1:7" x14ac:dyDescent="0.2">
      <c r="A55" s="53"/>
    </row>
  </sheetData>
  <mergeCells count="5">
    <mergeCell ref="A1:G1"/>
    <mergeCell ref="A42:B42"/>
    <mergeCell ref="A43:B43"/>
    <mergeCell ref="A44:B44"/>
    <mergeCell ref="A52:G52"/>
  </mergeCells>
  <conditionalFormatting sqref="F2:F3 F5:F51 F56:F65536">
    <cfRule type="cellIs" dxfId="107" priority="3" stopIfTrue="1" operator="between">
      <formula>0.009</formula>
      <formula>-0.009</formula>
    </cfRule>
  </conditionalFormatting>
  <conditionalFormatting sqref="F54:F55">
    <cfRule type="cellIs" dxfId="106" priority="2" stopIfTrue="1" operator="between">
      <formula>0.009</formula>
      <formula>-0.009</formula>
    </cfRule>
  </conditionalFormatting>
  <conditionalFormatting sqref="F53">
    <cfRule type="cellIs" dxfId="105" priority="1" stopIfTrue="1" operator="between">
      <formula>0.009</formula>
      <formula>-0.009</formula>
    </cfRule>
  </conditionalFormatting>
  <hyperlinks>
    <hyperlink ref="A53" r:id="rId1" xr:uid="{00000000-0004-0000-1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1"/>
  <sheetViews>
    <sheetView workbookViewId="0">
      <selection sqref="A1:G1"/>
    </sheetView>
  </sheetViews>
  <sheetFormatPr defaultColWidth="9.109375" defaultRowHeight="10.199999999999999" x14ac:dyDescent="0.2"/>
  <cols>
    <col min="1" max="1" width="38.6640625" style="9" bestFit="1" customWidth="1"/>
    <col min="2" max="2" width="52.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1102</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35</v>
      </c>
      <c r="B5" s="22"/>
      <c r="C5" s="22"/>
      <c r="D5" s="23"/>
      <c r="E5" s="24"/>
      <c r="F5" s="25"/>
      <c r="G5" s="24"/>
    </row>
    <row r="6" spans="1:9" x14ac:dyDescent="0.2">
      <c r="A6" s="26" t="s">
        <v>36</v>
      </c>
      <c r="B6" s="27"/>
      <c r="C6" s="27"/>
      <c r="D6" s="28"/>
      <c r="E6" s="29"/>
      <c r="F6" s="30"/>
      <c r="G6" s="29"/>
    </row>
    <row r="7" spans="1:9" x14ac:dyDescent="0.2">
      <c r="A7" s="27" t="s">
        <v>964</v>
      </c>
      <c r="B7" s="27" t="s">
        <v>965</v>
      </c>
      <c r="C7" s="27" t="s">
        <v>38</v>
      </c>
      <c r="D7" s="31">
        <v>44</v>
      </c>
      <c r="E7" s="29">
        <v>444.76916</v>
      </c>
      <c r="F7" s="30">
        <v>10.829595909185</v>
      </c>
      <c r="G7" s="29">
        <v>3.5750000000000002</v>
      </c>
    </row>
    <row r="8" spans="1:9" x14ac:dyDescent="0.2">
      <c r="A8" s="27" t="s">
        <v>1092</v>
      </c>
      <c r="B8" s="27" t="s">
        <v>1093</v>
      </c>
      <c r="C8" s="27" t="s">
        <v>927</v>
      </c>
      <c r="D8" s="31">
        <v>41</v>
      </c>
      <c r="E8" s="29">
        <v>415.42962999999997</v>
      </c>
      <c r="F8" s="30">
        <v>10.1152135224534</v>
      </c>
      <c r="G8" s="29">
        <v>3.3651</v>
      </c>
    </row>
    <row r="9" spans="1:9" x14ac:dyDescent="0.2">
      <c r="A9" s="27" t="s">
        <v>1094</v>
      </c>
      <c r="B9" s="27" t="s">
        <v>1095</v>
      </c>
      <c r="C9" s="27" t="s">
        <v>38</v>
      </c>
      <c r="D9" s="31">
        <v>41</v>
      </c>
      <c r="E9" s="29">
        <v>414.86874999999998</v>
      </c>
      <c r="F9" s="30">
        <v>10.1015567667702</v>
      </c>
      <c r="G9" s="29">
        <v>3.4998999999999998</v>
      </c>
    </row>
    <row r="10" spans="1:9" x14ac:dyDescent="0.2">
      <c r="A10" s="27" t="s">
        <v>930</v>
      </c>
      <c r="B10" s="27" t="s">
        <v>931</v>
      </c>
      <c r="C10" s="27" t="s">
        <v>38</v>
      </c>
      <c r="D10" s="31">
        <v>40</v>
      </c>
      <c r="E10" s="29">
        <v>407.67880000000002</v>
      </c>
      <c r="F10" s="30">
        <v>9.9264901027342898</v>
      </c>
      <c r="G10" s="29">
        <v>3.7149999999999999</v>
      </c>
    </row>
    <row r="11" spans="1:9" x14ac:dyDescent="0.2">
      <c r="A11" s="27" t="s">
        <v>1090</v>
      </c>
      <c r="B11" s="27" t="s">
        <v>1091</v>
      </c>
      <c r="C11" s="27" t="s">
        <v>38</v>
      </c>
      <c r="D11" s="31">
        <v>33</v>
      </c>
      <c r="E11" s="29">
        <v>325.94198999999998</v>
      </c>
      <c r="F11" s="30">
        <v>7.9362967556824602</v>
      </c>
      <c r="G11" s="29">
        <v>3.7250000000000001</v>
      </c>
    </row>
    <row r="12" spans="1:9" x14ac:dyDescent="0.2">
      <c r="A12" s="27" t="s">
        <v>1088</v>
      </c>
      <c r="B12" s="27" t="s">
        <v>1089</v>
      </c>
      <c r="C12" s="27" t="s">
        <v>38</v>
      </c>
      <c r="D12" s="31">
        <v>30</v>
      </c>
      <c r="E12" s="29">
        <v>302.58089999999999</v>
      </c>
      <c r="F12" s="30">
        <v>7.3674822167020597</v>
      </c>
      <c r="G12" s="29">
        <v>3.44</v>
      </c>
    </row>
    <row r="13" spans="1:9" x14ac:dyDescent="0.2">
      <c r="A13" s="27" t="s">
        <v>1103</v>
      </c>
      <c r="B13" s="27" t="s">
        <v>1104</v>
      </c>
      <c r="C13" s="27" t="s">
        <v>949</v>
      </c>
      <c r="D13" s="31">
        <v>26000</v>
      </c>
      <c r="E13" s="29">
        <v>261.48174</v>
      </c>
      <c r="F13" s="30">
        <v>6.3667669355280196</v>
      </c>
      <c r="G13" s="29">
        <v>5.7575000000000003</v>
      </c>
    </row>
    <row r="14" spans="1:9" x14ac:dyDescent="0.2">
      <c r="A14" s="27" t="s">
        <v>1105</v>
      </c>
      <c r="B14" s="27" t="s">
        <v>1106</v>
      </c>
      <c r="C14" s="27" t="s">
        <v>38</v>
      </c>
      <c r="D14" s="31">
        <v>26</v>
      </c>
      <c r="E14" s="29">
        <v>261.06574000000001</v>
      </c>
      <c r="F14" s="30">
        <v>6.35663783417976</v>
      </c>
      <c r="G14" s="29">
        <v>3.4649999999999999</v>
      </c>
    </row>
    <row r="15" spans="1:9" x14ac:dyDescent="0.2">
      <c r="A15" s="27" t="s">
        <v>970</v>
      </c>
      <c r="B15" s="27" t="s">
        <v>971</v>
      </c>
      <c r="C15" s="27" t="s">
        <v>927</v>
      </c>
      <c r="D15" s="31">
        <v>150</v>
      </c>
      <c r="E15" s="29">
        <v>151.50014999999999</v>
      </c>
      <c r="F15" s="30">
        <v>3.6888470519874001</v>
      </c>
      <c r="G15" s="29">
        <v>3.3098999999999998</v>
      </c>
    </row>
    <row r="16" spans="1:9" x14ac:dyDescent="0.2">
      <c r="A16" s="26" t="s">
        <v>39</v>
      </c>
      <c r="B16" s="26"/>
      <c r="C16" s="26"/>
      <c r="D16" s="32"/>
      <c r="E16" s="33">
        <f>SUM(E6:E15)</f>
        <v>2985.3168600000004</v>
      </c>
      <c r="F16" s="34">
        <f>SUM(F6:F15)</f>
        <v>72.688887095222583</v>
      </c>
      <c r="G16" s="33"/>
      <c r="H16" s="18"/>
      <c r="I16" s="18"/>
    </row>
    <row r="17" spans="1:9" x14ac:dyDescent="0.2">
      <c r="A17" s="27"/>
      <c r="B17" s="27"/>
      <c r="C17" s="27"/>
      <c r="D17" s="28"/>
      <c r="E17" s="29"/>
      <c r="F17" s="30"/>
      <c r="G17" s="29"/>
    </row>
    <row r="18" spans="1:9" x14ac:dyDescent="0.2">
      <c r="A18" s="26" t="s">
        <v>1080</v>
      </c>
      <c r="B18" s="27"/>
      <c r="C18" s="27"/>
      <c r="D18" s="28"/>
      <c r="E18" s="29"/>
      <c r="F18" s="30"/>
      <c r="G18" s="29"/>
    </row>
    <row r="19" spans="1:9" x14ac:dyDescent="0.2">
      <c r="A19" s="27" t="s">
        <v>1100</v>
      </c>
      <c r="B19" s="27" t="s">
        <v>1101</v>
      </c>
      <c r="C19" s="27" t="s">
        <v>38</v>
      </c>
      <c r="D19" s="31">
        <v>34</v>
      </c>
      <c r="E19" s="29">
        <v>344.29556000000002</v>
      </c>
      <c r="F19" s="30">
        <v>8.3831841850872806</v>
      </c>
      <c r="G19" s="29">
        <v>4.1950000000000003</v>
      </c>
    </row>
    <row r="20" spans="1:9" x14ac:dyDescent="0.2">
      <c r="A20" s="26" t="s">
        <v>39</v>
      </c>
      <c r="B20" s="26"/>
      <c r="C20" s="26"/>
      <c r="D20" s="32"/>
      <c r="E20" s="33">
        <f>SUM(E18:E19)</f>
        <v>344.29556000000002</v>
      </c>
      <c r="F20" s="34">
        <f>SUM(F18:F19)</f>
        <v>8.3831841850872806</v>
      </c>
      <c r="G20" s="33"/>
      <c r="H20" s="18"/>
      <c r="I20" s="18"/>
    </row>
    <row r="21" spans="1:9" x14ac:dyDescent="0.2">
      <c r="A21" s="27"/>
      <c r="B21" s="27"/>
      <c r="C21" s="27"/>
      <c r="D21" s="28"/>
      <c r="E21" s="29"/>
      <c r="F21" s="30"/>
      <c r="G21" s="29"/>
    </row>
    <row r="22" spans="1:9" x14ac:dyDescent="0.2">
      <c r="A22" s="26" t="s">
        <v>42</v>
      </c>
      <c r="B22" s="26"/>
      <c r="C22" s="26"/>
      <c r="D22" s="32"/>
      <c r="E22" s="33">
        <f>E16+E20</f>
        <v>3329.6124200000004</v>
      </c>
      <c r="F22" s="34">
        <f>F16+F20</f>
        <v>81.072071280309871</v>
      </c>
      <c r="G22" s="33"/>
      <c r="H22" s="18"/>
      <c r="I22" s="18"/>
    </row>
    <row r="23" spans="1:9" x14ac:dyDescent="0.2">
      <c r="A23" s="26"/>
      <c r="B23" s="26"/>
      <c r="C23" s="26"/>
      <c r="D23" s="32"/>
      <c r="E23" s="33"/>
      <c r="F23" s="34"/>
      <c r="G23" s="33"/>
      <c r="H23" s="18"/>
      <c r="I23" s="18"/>
    </row>
    <row r="24" spans="1:9" x14ac:dyDescent="0.2">
      <c r="A24" s="26" t="s">
        <v>44</v>
      </c>
      <c r="B24" s="26"/>
      <c r="C24" s="26"/>
      <c r="D24" s="32"/>
      <c r="E24" s="33">
        <f>E26-(E16+E20)</f>
        <v>777.36593569999968</v>
      </c>
      <c r="F24" s="34">
        <f>F26-(F16+F20)</f>
        <v>18.927928719690129</v>
      </c>
      <c r="G24" s="33"/>
      <c r="H24" s="18"/>
      <c r="I24" s="18"/>
    </row>
    <row r="25" spans="1:9" x14ac:dyDescent="0.2">
      <c r="A25" s="26"/>
      <c r="B25" s="26"/>
      <c r="C25" s="26"/>
      <c r="D25" s="32"/>
      <c r="E25" s="33"/>
      <c r="F25" s="34"/>
      <c r="G25" s="33"/>
      <c r="H25" s="18"/>
      <c r="I25" s="18"/>
    </row>
    <row r="26" spans="1:9" x14ac:dyDescent="0.2">
      <c r="A26" s="35" t="s">
        <v>43</v>
      </c>
      <c r="B26" s="35"/>
      <c r="C26" s="35"/>
      <c r="D26" s="36"/>
      <c r="E26" s="37">
        <v>4106.9783557000001</v>
      </c>
      <c r="F26" s="38">
        <v>100</v>
      </c>
      <c r="G26" s="37"/>
      <c r="H26" s="18"/>
      <c r="I26" s="18"/>
    </row>
    <row r="28" spans="1:9" x14ac:dyDescent="0.2">
      <c r="A28" s="18" t="s">
        <v>46</v>
      </c>
    </row>
    <row r="30" spans="1:9" x14ac:dyDescent="0.2">
      <c r="A30" s="18" t="s">
        <v>47</v>
      </c>
    </row>
    <row r="31" spans="1:9" x14ac:dyDescent="0.2">
      <c r="A31" s="18" t="s">
        <v>48</v>
      </c>
    </row>
    <row r="32" spans="1:9" x14ac:dyDescent="0.2">
      <c r="A32" s="18" t="s">
        <v>49</v>
      </c>
      <c r="B32" s="18"/>
      <c r="C32" s="39" t="s">
        <v>51</v>
      </c>
      <c r="D32" s="41" t="s">
        <v>50</v>
      </c>
    </row>
    <row r="33" spans="1:7" x14ac:dyDescent="0.2">
      <c r="A33" s="9" t="s">
        <v>79</v>
      </c>
      <c r="C33" s="40">
        <v>11.617599999999999</v>
      </c>
      <c r="D33" s="40">
        <v>11.8713</v>
      </c>
    </row>
    <row r="34" spans="1:7" x14ac:dyDescent="0.2">
      <c r="A34" s="9" t="s">
        <v>1048</v>
      </c>
      <c r="C34" s="40">
        <v>10.485200000000001</v>
      </c>
      <c r="D34" s="40">
        <v>10.7142</v>
      </c>
    </row>
    <row r="35" spans="1:7" x14ac:dyDescent="0.2">
      <c r="A35" s="9" t="s">
        <v>81</v>
      </c>
      <c r="C35" s="40">
        <v>10.465400000000001</v>
      </c>
      <c r="D35" s="40">
        <v>10.2799</v>
      </c>
    </row>
    <row r="36" spans="1:7" x14ac:dyDescent="0.2">
      <c r="A36" s="9" t="s">
        <v>82</v>
      </c>
      <c r="C36" s="40">
        <v>11.733599999999999</v>
      </c>
      <c r="D36" s="40">
        <v>11.9899</v>
      </c>
    </row>
    <row r="38" spans="1:7" x14ac:dyDescent="0.2">
      <c r="A38" s="18" t="s">
        <v>53</v>
      </c>
    </row>
    <row r="39" spans="1:7" x14ac:dyDescent="0.2">
      <c r="A39" s="82" t="s">
        <v>76</v>
      </c>
      <c r="B39" s="83"/>
      <c r="C39" s="44" t="s">
        <v>77</v>
      </c>
    </row>
    <row r="40" spans="1:7" x14ac:dyDescent="0.2">
      <c r="A40" s="78" t="s">
        <v>81</v>
      </c>
      <c r="B40" s="79"/>
      <c r="C40" s="45">
        <v>0.41</v>
      </c>
    </row>
    <row r="41" spans="1:7" x14ac:dyDescent="0.2">
      <c r="A41" s="9" t="s">
        <v>78</v>
      </c>
    </row>
    <row r="42" spans="1:7" x14ac:dyDescent="0.2">
      <c r="A42" s="9" t="s">
        <v>52</v>
      </c>
    </row>
    <row r="44" spans="1:7" x14ac:dyDescent="0.2">
      <c r="A44" s="18" t="s">
        <v>820</v>
      </c>
      <c r="D44" s="42">
        <v>0.21339601660273974</v>
      </c>
      <c r="E44" s="13" t="s">
        <v>55</v>
      </c>
    </row>
    <row r="46" spans="1:7" x14ac:dyDescent="0.2">
      <c r="A46" s="18" t="s">
        <v>56</v>
      </c>
      <c r="D46" s="41" t="s">
        <v>54</v>
      </c>
    </row>
    <row r="48" spans="1:7" ht="14.4" x14ac:dyDescent="0.2">
      <c r="A48" s="80" t="s">
        <v>821</v>
      </c>
      <c r="B48" s="81"/>
      <c r="C48" s="81"/>
      <c r="D48" s="81"/>
      <c r="E48" s="81"/>
      <c r="F48" s="81"/>
      <c r="G48" s="81"/>
    </row>
    <row r="49" spans="1:1" x14ac:dyDescent="0.2">
      <c r="A49" s="53" t="s">
        <v>57</v>
      </c>
    </row>
    <row r="51" spans="1:1" x14ac:dyDescent="0.2">
      <c r="A51" s="53"/>
    </row>
  </sheetData>
  <mergeCells count="4">
    <mergeCell ref="A1:G1"/>
    <mergeCell ref="A39:B39"/>
    <mergeCell ref="A40:B40"/>
    <mergeCell ref="A48:G48"/>
  </mergeCells>
  <conditionalFormatting sqref="F2:F3 F5:F47 F52:F65536">
    <cfRule type="cellIs" dxfId="104" priority="3" stopIfTrue="1" operator="between">
      <formula>0.009</formula>
      <formula>-0.009</formula>
    </cfRule>
  </conditionalFormatting>
  <conditionalFormatting sqref="F50:F51">
    <cfRule type="cellIs" dxfId="103" priority="2" stopIfTrue="1" operator="between">
      <formula>0.009</formula>
      <formula>-0.009</formula>
    </cfRule>
  </conditionalFormatting>
  <conditionalFormatting sqref="F49">
    <cfRule type="cellIs" dxfId="102" priority="1" stopIfTrue="1" operator="between">
      <formula>0.009</formula>
      <formula>-0.009</formula>
    </cfRule>
  </conditionalFormatting>
  <hyperlinks>
    <hyperlink ref="A49" r:id="rId1" xr:uid="{00000000-0004-0000-1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2"/>
  <sheetViews>
    <sheetView workbookViewId="0">
      <selection sqref="A1:G1"/>
    </sheetView>
  </sheetViews>
  <sheetFormatPr defaultColWidth="9.109375" defaultRowHeight="10.199999999999999" x14ac:dyDescent="0.2"/>
  <cols>
    <col min="1" max="1" width="38.6640625" style="9" bestFit="1" customWidth="1"/>
    <col min="2" max="2" width="52.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1107</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930</v>
      </c>
      <c r="B7" s="27" t="s">
        <v>931</v>
      </c>
      <c r="C7" s="27" t="s">
        <v>38</v>
      </c>
      <c r="D7" s="31">
        <v>98</v>
      </c>
      <c r="E7" s="29">
        <v>998.81305999999995</v>
      </c>
      <c r="F7" s="30">
        <v>10.316113015574199</v>
      </c>
      <c r="G7" s="29">
        <v>3.7149999999999999</v>
      </c>
    </row>
    <row r="8" spans="1:7" x14ac:dyDescent="0.2">
      <c r="A8" s="27" t="s">
        <v>964</v>
      </c>
      <c r="B8" s="27" t="s">
        <v>965</v>
      </c>
      <c r="C8" s="27" t="s">
        <v>38</v>
      </c>
      <c r="D8" s="31">
        <v>92</v>
      </c>
      <c r="E8" s="29">
        <v>929.97188000000006</v>
      </c>
      <c r="F8" s="30">
        <v>9.6050956876615494</v>
      </c>
      <c r="G8" s="29">
        <v>3.5750000000000002</v>
      </c>
    </row>
    <row r="9" spans="1:7" x14ac:dyDescent="0.2">
      <c r="A9" s="27" t="s">
        <v>1092</v>
      </c>
      <c r="B9" s="27" t="s">
        <v>1093</v>
      </c>
      <c r="C9" s="27" t="s">
        <v>927</v>
      </c>
      <c r="D9" s="31">
        <v>90</v>
      </c>
      <c r="E9" s="29">
        <v>911.91869999999994</v>
      </c>
      <c r="F9" s="30">
        <v>9.4186357257037994</v>
      </c>
      <c r="G9" s="29">
        <v>3.3651</v>
      </c>
    </row>
    <row r="10" spans="1:7" x14ac:dyDescent="0.2">
      <c r="A10" s="27" t="s">
        <v>1094</v>
      </c>
      <c r="B10" s="27" t="s">
        <v>1095</v>
      </c>
      <c r="C10" s="27" t="s">
        <v>38</v>
      </c>
      <c r="D10" s="31">
        <v>90</v>
      </c>
      <c r="E10" s="29">
        <v>910.6875</v>
      </c>
      <c r="F10" s="30">
        <v>9.4059194338836107</v>
      </c>
      <c r="G10" s="29">
        <v>3.4998999999999998</v>
      </c>
    </row>
    <row r="11" spans="1:7" x14ac:dyDescent="0.2">
      <c r="A11" s="27" t="s">
        <v>1108</v>
      </c>
      <c r="B11" s="27" t="s">
        <v>1109</v>
      </c>
      <c r="C11" s="27" t="s">
        <v>38</v>
      </c>
      <c r="D11" s="31">
        <v>60</v>
      </c>
      <c r="E11" s="29">
        <v>760.72619999999995</v>
      </c>
      <c r="F11" s="30">
        <v>7.8570633158404304</v>
      </c>
      <c r="G11" s="29">
        <v>4.0999999999999996</v>
      </c>
    </row>
    <row r="12" spans="1:7" x14ac:dyDescent="0.2">
      <c r="A12" s="27" t="s">
        <v>1090</v>
      </c>
      <c r="B12" s="27" t="s">
        <v>1091</v>
      </c>
      <c r="C12" s="27" t="s">
        <v>38</v>
      </c>
      <c r="D12" s="31">
        <v>75</v>
      </c>
      <c r="E12" s="29">
        <v>740.77724999999998</v>
      </c>
      <c r="F12" s="30">
        <v>7.6510231357670504</v>
      </c>
      <c r="G12" s="29">
        <v>3.7250000000000001</v>
      </c>
    </row>
    <row r="13" spans="1:7" x14ac:dyDescent="0.2">
      <c r="A13" s="27" t="s">
        <v>1098</v>
      </c>
      <c r="B13" s="27" t="s">
        <v>1099</v>
      </c>
      <c r="C13" s="27" t="s">
        <v>994</v>
      </c>
      <c r="D13" s="31">
        <v>58</v>
      </c>
      <c r="E13" s="29">
        <v>738.94435999999996</v>
      </c>
      <c r="F13" s="30">
        <v>7.6320923656937101</v>
      </c>
      <c r="G13" s="29">
        <v>4.0449999999999999</v>
      </c>
    </row>
    <row r="14" spans="1:7" x14ac:dyDescent="0.2">
      <c r="A14" s="27" t="s">
        <v>1088</v>
      </c>
      <c r="B14" s="27" t="s">
        <v>1089</v>
      </c>
      <c r="C14" s="27" t="s">
        <v>38</v>
      </c>
      <c r="D14" s="31">
        <v>71</v>
      </c>
      <c r="E14" s="29">
        <v>716.10812999999996</v>
      </c>
      <c r="F14" s="30">
        <v>7.3962312832108204</v>
      </c>
      <c r="G14" s="29">
        <v>3.44</v>
      </c>
    </row>
    <row r="15" spans="1:7" x14ac:dyDescent="0.2">
      <c r="A15" s="27" t="s">
        <v>970</v>
      </c>
      <c r="B15" s="27" t="s">
        <v>971</v>
      </c>
      <c r="C15" s="27" t="s">
        <v>927</v>
      </c>
      <c r="D15" s="31">
        <v>470</v>
      </c>
      <c r="E15" s="29">
        <v>474.70047</v>
      </c>
      <c r="F15" s="30">
        <v>4.9028831251627798</v>
      </c>
      <c r="G15" s="29">
        <v>3.3098999999999998</v>
      </c>
    </row>
    <row r="16" spans="1:7" x14ac:dyDescent="0.2">
      <c r="A16" s="27" t="s">
        <v>1110</v>
      </c>
      <c r="B16" s="27" t="s">
        <v>1111</v>
      </c>
      <c r="C16" s="27" t="s">
        <v>994</v>
      </c>
      <c r="D16" s="31">
        <v>10</v>
      </c>
      <c r="E16" s="29">
        <v>127.71299999999999</v>
      </c>
      <c r="F16" s="30">
        <v>1.31906739541234</v>
      </c>
      <c r="G16" s="29">
        <v>3.8199000000000001</v>
      </c>
    </row>
    <row r="17" spans="1:9" x14ac:dyDescent="0.2">
      <c r="A17" s="27" t="s">
        <v>941</v>
      </c>
      <c r="B17" s="27" t="s">
        <v>942</v>
      </c>
      <c r="C17" s="27" t="s">
        <v>38</v>
      </c>
      <c r="D17" s="31">
        <v>8</v>
      </c>
      <c r="E17" s="29">
        <v>80.819280000000006</v>
      </c>
      <c r="F17" s="30">
        <v>0.83473160264578194</v>
      </c>
      <c r="G17" s="29">
        <v>3.4001000000000001</v>
      </c>
    </row>
    <row r="18" spans="1:9" x14ac:dyDescent="0.2">
      <c r="A18" s="27" t="s">
        <v>1105</v>
      </c>
      <c r="B18" s="27" t="s">
        <v>1106</v>
      </c>
      <c r="C18" s="27" t="s">
        <v>38</v>
      </c>
      <c r="D18" s="31">
        <v>4</v>
      </c>
      <c r="E18" s="29">
        <v>40.163960000000003</v>
      </c>
      <c r="F18" s="30">
        <v>0.414828326847271</v>
      </c>
      <c r="G18" s="29">
        <v>3.4649999999999999</v>
      </c>
    </row>
    <row r="19" spans="1:9" x14ac:dyDescent="0.2">
      <c r="A19" s="26" t="s">
        <v>39</v>
      </c>
      <c r="B19" s="26"/>
      <c r="C19" s="26"/>
      <c r="D19" s="32"/>
      <c r="E19" s="33">
        <f>SUM(E6:E18)</f>
        <v>7431.3437899999981</v>
      </c>
      <c r="F19" s="34">
        <f>SUM(F6:F18)</f>
        <v>76.753684413403349</v>
      </c>
      <c r="G19" s="33"/>
      <c r="H19" s="18"/>
      <c r="I19" s="18"/>
    </row>
    <row r="20" spans="1:9" x14ac:dyDescent="0.2">
      <c r="A20" s="27"/>
      <c r="B20" s="27"/>
      <c r="C20" s="27"/>
      <c r="D20" s="28"/>
      <c r="E20" s="29"/>
      <c r="F20" s="30"/>
      <c r="G20" s="29"/>
    </row>
    <row r="21" spans="1:9" x14ac:dyDescent="0.2">
      <c r="A21" s="26" t="s">
        <v>42</v>
      </c>
      <c r="B21" s="26"/>
      <c r="C21" s="26"/>
      <c r="D21" s="32"/>
      <c r="E21" s="33">
        <f>E19</f>
        <v>7431.3437899999981</v>
      </c>
      <c r="F21" s="34">
        <f>F19</f>
        <v>76.753684413403349</v>
      </c>
      <c r="G21" s="33"/>
      <c r="H21" s="18"/>
      <c r="I21" s="18"/>
    </row>
    <row r="22" spans="1:9" x14ac:dyDescent="0.2">
      <c r="A22" s="26"/>
      <c r="B22" s="26"/>
      <c r="C22" s="26"/>
      <c r="D22" s="32"/>
      <c r="E22" s="33"/>
      <c r="F22" s="34"/>
      <c r="G22" s="33"/>
      <c r="H22" s="18"/>
      <c r="I22" s="18"/>
    </row>
    <row r="23" spans="1:9" x14ac:dyDescent="0.2">
      <c r="A23" s="26" t="s">
        <v>44</v>
      </c>
      <c r="B23" s="26"/>
      <c r="C23" s="26"/>
      <c r="D23" s="32"/>
      <c r="E23" s="33">
        <f>E25-(E19)</f>
        <v>2250.7240440000014</v>
      </c>
      <c r="F23" s="34">
        <f>F25-(F19)</f>
        <v>23.246315586596651</v>
      </c>
      <c r="G23" s="33"/>
      <c r="H23" s="18"/>
      <c r="I23" s="18"/>
    </row>
    <row r="24" spans="1:9" x14ac:dyDescent="0.2">
      <c r="A24" s="26"/>
      <c r="B24" s="26"/>
      <c r="C24" s="26"/>
      <c r="D24" s="32"/>
      <c r="E24" s="33"/>
      <c r="F24" s="34"/>
      <c r="G24" s="33"/>
      <c r="H24" s="18"/>
      <c r="I24" s="18"/>
    </row>
    <row r="25" spans="1:9" x14ac:dyDescent="0.2">
      <c r="A25" s="35" t="s">
        <v>43</v>
      </c>
      <c r="B25" s="35"/>
      <c r="C25" s="35"/>
      <c r="D25" s="36"/>
      <c r="E25" s="37">
        <v>9682.0678339999995</v>
      </c>
      <c r="F25" s="38">
        <v>100</v>
      </c>
      <c r="G25" s="37"/>
      <c r="H25" s="18"/>
      <c r="I25" s="18"/>
    </row>
    <row r="27" spans="1:9" x14ac:dyDescent="0.2">
      <c r="A27" s="18" t="s">
        <v>46</v>
      </c>
    </row>
    <row r="29" spans="1:9" x14ac:dyDescent="0.2">
      <c r="A29" s="18" t="s">
        <v>47</v>
      </c>
    </row>
    <row r="30" spans="1:9" x14ac:dyDescent="0.2">
      <c r="A30" s="18" t="s">
        <v>48</v>
      </c>
    </row>
    <row r="31" spans="1:9" x14ac:dyDescent="0.2">
      <c r="A31" s="18" t="s">
        <v>49</v>
      </c>
      <c r="B31" s="18"/>
      <c r="C31" s="39" t="s">
        <v>51</v>
      </c>
      <c r="D31" s="19" t="s">
        <v>50</v>
      </c>
    </row>
    <row r="32" spans="1:9" x14ac:dyDescent="0.2">
      <c r="A32" s="9" t="s">
        <v>79</v>
      </c>
      <c r="C32" s="40">
        <v>12.191800000000001</v>
      </c>
      <c r="D32" s="40">
        <v>12.437900000000001</v>
      </c>
    </row>
    <row r="33" spans="1:5" x14ac:dyDescent="0.2">
      <c r="A33" s="9" t="s">
        <v>1048</v>
      </c>
      <c r="C33" s="40">
        <v>10.5412</v>
      </c>
      <c r="D33" s="40">
        <v>10.7539</v>
      </c>
    </row>
    <row r="34" spans="1:5" x14ac:dyDescent="0.2">
      <c r="A34" s="9" t="s">
        <v>81</v>
      </c>
      <c r="C34" s="40">
        <v>10.5246</v>
      </c>
      <c r="D34" s="40">
        <v>10.3223</v>
      </c>
    </row>
    <row r="35" spans="1:5" x14ac:dyDescent="0.2">
      <c r="A35" s="9" t="s">
        <v>82</v>
      </c>
      <c r="C35" s="40">
        <v>12.3019</v>
      </c>
      <c r="D35" s="40">
        <v>12.5502</v>
      </c>
    </row>
    <row r="36" spans="1:5" x14ac:dyDescent="0.2">
      <c r="A36" s="9" t="s">
        <v>84</v>
      </c>
      <c r="C36" s="40">
        <v>10.532500000000001</v>
      </c>
      <c r="D36" s="40">
        <v>10.331300000000001</v>
      </c>
    </row>
    <row r="38" spans="1:5" x14ac:dyDescent="0.2">
      <c r="A38" s="18" t="s">
        <v>53</v>
      </c>
    </row>
    <row r="39" spans="1:5" x14ac:dyDescent="0.2">
      <c r="A39" s="82" t="s">
        <v>76</v>
      </c>
      <c r="B39" s="83"/>
      <c r="C39" s="44" t="s">
        <v>77</v>
      </c>
    </row>
    <row r="40" spans="1:5" x14ac:dyDescent="0.2">
      <c r="A40" s="78" t="s">
        <v>81</v>
      </c>
      <c r="B40" s="79"/>
      <c r="C40" s="45">
        <v>0.41</v>
      </c>
    </row>
    <row r="41" spans="1:5" x14ac:dyDescent="0.2">
      <c r="A41" s="78" t="s">
        <v>84</v>
      </c>
      <c r="B41" s="79"/>
      <c r="C41" s="45">
        <v>0.41</v>
      </c>
    </row>
    <row r="42" spans="1:5" x14ac:dyDescent="0.2">
      <c r="A42" s="9" t="s">
        <v>78</v>
      </c>
    </row>
    <row r="43" spans="1:5" x14ac:dyDescent="0.2">
      <c r="A43" s="9" t="s">
        <v>52</v>
      </c>
    </row>
    <row r="45" spans="1:5" x14ac:dyDescent="0.2">
      <c r="A45" s="18" t="s">
        <v>820</v>
      </c>
      <c r="D45" s="42">
        <v>0.21132190526027397</v>
      </c>
      <c r="E45" s="13" t="s">
        <v>55</v>
      </c>
    </row>
    <row r="47" spans="1:5" x14ac:dyDescent="0.2">
      <c r="A47" s="18" t="s">
        <v>56</v>
      </c>
      <c r="D47" s="41" t="s">
        <v>54</v>
      </c>
    </row>
    <row r="49" spans="1:7" ht="14.4" x14ac:dyDescent="0.2">
      <c r="A49" s="80" t="s">
        <v>821</v>
      </c>
      <c r="B49" s="81"/>
      <c r="C49" s="81"/>
      <c r="D49" s="81"/>
      <c r="E49" s="81"/>
      <c r="F49" s="81"/>
      <c r="G49" s="81"/>
    </row>
    <row r="50" spans="1:7" x14ac:dyDescent="0.2">
      <c r="A50" s="53" t="s">
        <v>57</v>
      </c>
    </row>
    <row r="52" spans="1:7" x14ac:dyDescent="0.2">
      <c r="A52" s="53"/>
    </row>
  </sheetData>
  <mergeCells count="5">
    <mergeCell ref="A1:G1"/>
    <mergeCell ref="A39:B39"/>
    <mergeCell ref="A40:B40"/>
    <mergeCell ref="A41:B41"/>
    <mergeCell ref="A49:G49"/>
  </mergeCells>
  <conditionalFormatting sqref="F2:F3 F5:F48 F53:F65536">
    <cfRule type="cellIs" dxfId="101" priority="3" stopIfTrue="1" operator="between">
      <formula>0.009</formula>
      <formula>-0.009</formula>
    </cfRule>
  </conditionalFormatting>
  <conditionalFormatting sqref="F51:F52">
    <cfRule type="cellIs" dxfId="100" priority="2" stopIfTrue="1" operator="between">
      <formula>0.009</formula>
      <formula>-0.009</formula>
    </cfRule>
  </conditionalFormatting>
  <conditionalFormatting sqref="F50">
    <cfRule type="cellIs" dxfId="99" priority="1" stopIfTrue="1" operator="between">
      <formula>0.009</formula>
      <formula>-0.009</formula>
    </cfRule>
  </conditionalFormatting>
  <hyperlinks>
    <hyperlink ref="A50" r:id="rId1" xr:uid="{00000000-0004-0000-1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2"/>
  <sheetViews>
    <sheetView workbookViewId="0">
      <selection sqref="A1:G1"/>
    </sheetView>
  </sheetViews>
  <sheetFormatPr defaultColWidth="9.109375" defaultRowHeight="10.199999999999999" x14ac:dyDescent="0.2"/>
  <cols>
    <col min="1" max="1" width="38.6640625" style="9" bestFit="1" customWidth="1"/>
    <col min="2" max="2" width="51.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1112</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1110</v>
      </c>
      <c r="B7" s="27" t="s">
        <v>1111</v>
      </c>
      <c r="C7" s="27" t="s">
        <v>994</v>
      </c>
      <c r="D7" s="31">
        <v>103</v>
      </c>
      <c r="E7" s="29">
        <v>1315.4439</v>
      </c>
      <c r="F7" s="30">
        <v>11.128976534662501</v>
      </c>
      <c r="G7" s="29">
        <v>3.8199000000000001</v>
      </c>
    </row>
    <row r="8" spans="1:7" x14ac:dyDescent="0.2">
      <c r="A8" s="27" t="s">
        <v>1088</v>
      </c>
      <c r="B8" s="27" t="s">
        <v>1089</v>
      </c>
      <c r="C8" s="27" t="s">
        <v>38</v>
      </c>
      <c r="D8" s="31">
        <v>115</v>
      </c>
      <c r="E8" s="29">
        <v>1159.89345</v>
      </c>
      <c r="F8" s="30">
        <v>9.81298175297227</v>
      </c>
      <c r="G8" s="29">
        <v>3.44</v>
      </c>
    </row>
    <row r="9" spans="1:7" x14ac:dyDescent="0.2">
      <c r="A9" s="27" t="s">
        <v>941</v>
      </c>
      <c r="B9" s="27" t="s">
        <v>942</v>
      </c>
      <c r="C9" s="27" t="s">
        <v>38</v>
      </c>
      <c r="D9" s="31">
        <v>112</v>
      </c>
      <c r="E9" s="29">
        <v>1131.46992</v>
      </c>
      <c r="F9" s="30">
        <v>9.5725117501068695</v>
      </c>
      <c r="G9" s="29">
        <v>3.4001000000000001</v>
      </c>
    </row>
    <row r="10" spans="1:7" x14ac:dyDescent="0.2">
      <c r="A10" s="27" t="s">
        <v>1098</v>
      </c>
      <c r="B10" s="27" t="s">
        <v>1099</v>
      </c>
      <c r="C10" s="27" t="s">
        <v>994</v>
      </c>
      <c r="D10" s="31">
        <v>85</v>
      </c>
      <c r="E10" s="29">
        <v>1082.9357</v>
      </c>
      <c r="F10" s="30">
        <v>9.1619004001981796</v>
      </c>
      <c r="G10" s="29">
        <v>4.0449999999999999</v>
      </c>
    </row>
    <row r="11" spans="1:7" x14ac:dyDescent="0.2">
      <c r="A11" s="27" t="s">
        <v>1113</v>
      </c>
      <c r="B11" s="27" t="s">
        <v>1114</v>
      </c>
      <c r="C11" s="27" t="s">
        <v>38</v>
      </c>
      <c r="D11" s="31">
        <v>100</v>
      </c>
      <c r="E11" s="29">
        <v>1011.846</v>
      </c>
      <c r="F11" s="30">
        <v>8.56046418299713</v>
      </c>
      <c r="G11" s="29">
        <v>3.4851000000000001</v>
      </c>
    </row>
    <row r="12" spans="1:7" x14ac:dyDescent="0.2">
      <c r="A12" s="27" t="s">
        <v>1115</v>
      </c>
      <c r="B12" s="27" t="s">
        <v>1116</v>
      </c>
      <c r="C12" s="27" t="s">
        <v>38</v>
      </c>
      <c r="D12" s="31">
        <v>70</v>
      </c>
      <c r="E12" s="29">
        <v>902.44770000000005</v>
      </c>
      <c r="F12" s="30">
        <v>7.6349278574784503</v>
      </c>
      <c r="G12" s="29">
        <v>3.7002000000000002</v>
      </c>
    </row>
    <row r="13" spans="1:7" x14ac:dyDescent="0.2">
      <c r="A13" s="27" t="s">
        <v>1117</v>
      </c>
      <c r="B13" s="27" t="s">
        <v>1118</v>
      </c>
      <c r="C13" s="27" t="s">
        <v>38</v>
      </c>
      <c r="D13" s="31">
        <v>77</v>
      </c>
      <c r="E13" s="29">
        <v>774.93262000000004</v>
      </c>
      <c r="F13" s="30">
        <v>6.5561191502917699</v>
      </c>
      <c r="G13" s="29">
        <v>3.3896999999999999</v>
      </c>
    </row>
    <row r="14" spans="1:7" x14ac:dyDescent="0.2">
      <c r="A14" s="27" t="s">
        <v>956</v>
      </c>
      <c r="B14" s="27" t="s">
        <v>957</v>
      </c>
      <c r="C14" s="27" t="s">
        <v>927</v>
      </c>
      <c r="D14" s="31">
        <v>75</v>
      </c>
      <c r="E14" s="29">
        <v>760.548</v>
      </c>
      <c r="F14" s="30">
        <v>6.4344217533597998</v>
      </c>
      <c r="G14" s="29">
        <v>3.4849999999999999</v>
      </c>
    </row>
    <row r="15" spans="1:7" x14ac:dyDescent="0.2">
      <c r="A15" s="27" t="s">
        <v>1119</v>
      </c>
      <c r="B15" s="27" t="s">
        <v>1120</v>
      </c>
      <c r="C15" s="27" t="s">
        <v>927</v>
      </c>
      <c r="D15" s="31">
        <v>21</v>
      </c>
      <c r="E15" s="29">
        <v>528.24450000000002</v>
      </c>
      <c r="F15" s="30">
        <v>4.4690774308691497</v>
      </c>
      <c r="G15" s="29">
        <v>3.7751000000000001</v>
      </c>
    </row>
    <row r="16" spans="1:7" x14ac:dyDescent="0.2">
      <c r="A16" s="27" t="s">
        <v>1121</v>
      </c>
      <c r="B16" s="27" t="s">
        <v>1122</v>
      </c>
      <c r="C16" s="27" t="s">
        <v>38</v>
      </c>
      <c r="D16" s="31">
        <v>32</v>
      </c>
      <c r="E16" s="29">
        <v>321.10368</v>
      </c>
      <c r="F16" s="30">
        <v>2.71661552416926</v>
      </c>
      <c r="G16" s="29">
        <v>3.2900999999999998</v>
      </c>
    </row>
    <row r="17" spans="1:9" x14ac:dyDescent="0.2">
      <c r="A17" s="27" t="s">
        <v>1123</v>
      </c>
      <c r="B17" s="27" t="s">
        <v>1124</v>
      </c>
      <c r="C17" s="27" t="s">
        <v>871</v>
      </c>
      <c r="D17" s="31">
        <v>32</v>
      </c>
      <c r="E17" s="29">
        <v>318.64479999999998</v>
      </c>
      <c r="F17" s="30">
        <v>2.6958127990803802</v>
      </c>
      <c r="G17" s="29">
        <v>3.4497</v>
      </c>
    </row>
    <row r="18" spans="1:9" x14ac:dyDescent="0.2">
      <c r="A18" s="27" t="s">
        <v>970</v>
      </c>
      <c r="B18" s="27" t="s">
        <v>971</v>
      </c>
      <c r="C18" s="27" t="s">
        <v>927</v>
      </c>
      <c r="D18" s="31">
        <v>310</v>
      </c>
      <c r="E18" s="29">
        <v>313.10030999999998</v>
      </c>
      <c r="F18" s="30">
        <v>2.6489050600983699</v>
      </c>
      <c r="G18" s="29">
        <v>3.3098999999999998</v>
      </c>
    </row>
    <row r="19" spans="1:9" x14ac:dyDescent="0.2">
      <c r="A19" s="27" t="s">
        <v>1125</v>
      </c>
      <c r="B19" s="27" t="s">
        <v>1126</v>
      </c>
      <c r="C19" s="27" t="s">
        <v>871</v>
      </c>
      <c r="D19" s="31">
        <v>26</v>
      </c>
      <c r="E19" s="29">
        <v>130.41379000000001</v>
      </c>
      <c r="F19" s="30">
        <v>1.1033325014517099</v>
      </c>
      <c r="G19" s="29">
        <v>3.7054</v>
      </c>
    </row>
    <row r="20" spans="1:9" x14ac:dyDescent="0.2">
      <c r="A20" s="26" t="s">
        <v>39</v>
      </c>
      <c r="B20" s="26"/>
      <c r="C20" s="26"/>
      <c r="D20" s="32"/>
      <c r="E20" s="33">
        <f>SUM(E6:E19)</f>
        <v>9751.0243699999992</v>
      </c>
      <c r="F20" s="34">
        <f>SUM(F6:F19)</f>
        <v>82.496046697735835</v>
      </c>
      <c r="G20" s="33"/>
      <c r="H20" s="18"/>
      <c r="I20" s="18"/>
    </row>
    <row r="21" spans="1:9" x14ac:dyDescent="0.2">
      <c r="A21" s="27"/>
      <c r="B21" s="27"/>
      <c r="C21" s="27"/>
      <c r="D21" s="28"/>
      <c r="E21" s="29"/>
      <c r="F21" s="30"/>
      <c r="G21" s="29"/>
    </row>
    <row r="22" spans="1:9" x14ac:dyDescent="0.2">
      <c r="A22" s="26" t="s">
        <v>42</v>
      </c>
      <c r="B22" s="26"/>
      <c r="C22" s="26"/>
      <c r="D22" s="32"/>
      <c r="E22" s="33">
        <f>E20</f>
        <v>9751.0243699999992</v>
      </c>
      <c r="F22" s="34">
        <f>F20</f>
        <v>82.496046697735835</v>
      </c>
      <c r="G22" s="33"/>
      <c r="H22" s="18"/>
      <c r="I22" s="18"/>
    </row>
    <row r="23" spans="1:9" x14ac:dyDescent="0.2">
      <c r="A23" s="26"/>
      <c r="B23" s="26"/>
      <c r="C23" s="26"/>
      <c r="D23" s="32"/>
      <c r="E23" s="33"/>
      <c r="F23" s="34"/>
      <c r="G23" s="33"/>
      <c r="H23" s="18"/>
      <c r="I23" s="18"/>
    </row>
    <row r="24" spans="1:9" x14ac:dyDescent="0.2">
      <c r="A24" s="26" t="s">
        <v>44</v>
      </c>
      <c r="B24" s="26"/>
      <c r="C24" s="26"/>
      <c r="D24" s="32"/>
      <c r="E24" s="33">
        <f>E26-(E20)</f>
        <v>2068.965508700001</v>
      </c>
      <c r="F24" s="34">
        <f>F26-(F20)</f>
        <v>17.503953302264165</v>
      </c>
      <c r="G24" s="33"/>
      <c r="H24" s="18"/>
      <c r="I24" s="18"/>
    </row>
    <row r="25" spans="1:9" x14ac:dyDescent="0.2">
      <c r="A25" s="26"/>
      <c r="B25" s="26"/>
      <c r="C25" s="26"/>
      <c r="D25" s="32"/>
      <c r="E25" s="33"/>
      <c r="F25" s="34"/>
      <c r="G25" s="33"/>
      <c r="H25" s="18"/>
      <c r="I25" s="18"/>
    </row>
    <row r="26" spans="1:9" x14ac:dyDescent="0.2">
      <c r="A26" s="35" t="s">
        <v>43</v>
      </c>
      <c r="B26" s="35"/>
      <c r="C26" s="35"/>
      <c r="D26" s="36"/>
      <c r="E26" s="37">
        <v>11819.9898787</v>
      </c>
      <c r="F26" s="38">
        <v>100</v>
      </c>
      <c r="G26" s="37"/>
      <c r="H26" s="18"/>
      <c r="I26" s="18"/>
    </row>
    <row r="28" spans="1:9" x14ac:dyDescent="0.2">
      <c r="A28" s="18" t="s">
        <v>46</v>
      </c>
    </row>
    <row r="30" spans="1:9" x14ac:dyDescent="0.2">
      <c r="A30" s="18" t="s">
        <v>47</v>
      </c>
    </row>
    <row r="31" spans="1:9" x14ac:dyDescent="0.2">
      <c r="A31" s="18" t="s">
        <v>48</v>
      </c>
    </row>
    <row r="32" spans="1:9" x14ac:dyDescent="0.2">
      <c r="A32" s="18" t="s">
        <v>49</v>
      </c>
      <c r="B32" s="18"/>
      <c r="C32" s="39" t="s">
        <v>51</v>
      </c>
      <c r="D32" s="41" t="s">
        <v>50</v>
      </c>
    </row>
    <row r="33" spans="1:5" x14ac:dyDescent="0.2">
      <c r="A33" s="9" t="s">
        <v>79</v>
      </c>
      <c r="C33" s="40">
        <v>12.1981</v>
      </c>
      <c r="D33" s="40">
        <v>12.4704</v>
      </c>
    </row>
    <row r="34" spans="1:5" x14ac:dyDescent="0.2">
      <c r="A34" s="9" t="s">
        <v>1048</v>
      </c>
      <c r="C34" s="40">
        <v>10.537800000000001</v>
      </c>
      <c r="D34" s="40">
        <v>10.773099999999999</v>
      </c>
    </row>
    <row r="35" spans="1:5" x14ac:dyDescent="0.2">
      <c r="A35" s="9" t="s">
        <v>81</v>
      </c>
      <c r="C35" s="40">
        <v>10.325699999999999</v>
      </c>
      <c r="D35" s="40">
        <v>10.183199999999999</v>
      </c>
    </row>
    <row r="36" spans="1:5" x14ac:dyDescent="0.2">
      <c r="A36" s="9" t="s">
        <v>82</v>
      </c>
      <c r="C36" s="40">
        <v>12.3207</v>
      </c>
      <c r="D36" s="40">
        <v>12.595800000000001</v>
      </c>
    </row>
    <row r="37" spans="1:5" x14ac:dyDescent="0.2">
      <c r="A37" s="9" t="s">
        <v>86</v>
      </c>
      <c r="C37" s="40">
        <v>10.662800000000001</v>
      </c>
      <c r="D37" s="40">
        <v>10.9025</v>
      </c>
    </row>
    <row r="39" spans="1:5" x14ac:dyDescent="0.2">
      <c r="A39" s="18" t="s">
        <v>53</v>
      </c>
    </row>
    <row r="40" spans="1:5" x14ac:dyDescent="0.2">
      <c r="A40" s="82" t="s">
        <v>76</v>
      </c>
      <c r="B40" s="83"/>
      <c r="C40" s="44" t="s">
        <v>77</v>
      </c>
    </row>
    <row r="41" spans="1:5" x14ac:dyDescent="0.2">
      <c r="A41" s="78" t="s">
        <v>81</v>
      </c>
      <c r="B41" s="79"/>
      <c r="C41" s="45">
        <v>0.37</v>
      </c>
    </row>
    <row r="42" spans="1:5" x14ac:dyDescent="0.2">
      <c r="A42" s="9" t="s">
        <v>78</v>
      </c>
    </row>
    <row r="43" spans="1:5" x14ac:dyDescent="0.2">
      <c r="A43" s="9" t="s">
        <v>52</v>
      </c>
    </row>
    <row r="45" spans="1:5" x14ac:dyDescent="0.2">
      <c r="A45" s="18" t="s">
        <v>820</v>
      </c>
      <c r="D45" s="42">
        <v>0.16123133520547947</v>
      </c>
      <c r="E45" s="13" t="s">
        <v>55</v>
      </c>
    </row>
    <row r="47" spans="1:5" x14ac:dyDescent="0.2">
      <c r="A47" s="18" t="s">
        <v>56</v>
      </c>
      <c r="D47" s="41" t="s">
        <v>54</v>
      </c>
    </row>
    <row r="49" spans="1:7" ht="14.4" x14ac:dyDescent="0.2">
      <c r="A49" s="80" t="s">
        <v>821</v>
      </c>
      <c r="B49" s="81"/>
      <c r="C49" s="81"/>
      <c r="D49" s="81"/>
      <c r="E49" s="81"/>
      <c r="F49" s="81"/>
      <c r="G49" s="81"/>
    </row>
    <row r="50" spans="1:7" x14ac:dyDescent="0.2">
      <c r="A50" s="53" t="s">
        <v>57</v>
      </c>
    </row>
    <row r="52" spans="1:7" x14ac:dyDescent="0.2">
      <c r="A52" s="53"/>
    </row>
  </sheetData>
  <mergeCells count="4">
    <mergeCell ref="A1:G1"/>
    <mergeCell ref="A40:B40"/>
    <mergeCell ref="A41:B41"/>
    <mergeCell ref="A49:G49"/>
  </mergeCells>
  <conditionalFormatting sqref="F2:F3 F5:F48 F53:F65536">
    <cfRule type="cellIs" dxfId="98" priority="3" stopIfTrue="1" operator="between">
      <formula>0.009</formula>
      <formula>-0.009</formula>
    </cfRule>
  </conditionalFormatting>
  <conditionalFormatting sqref="F51:F52">
    <cfRule type="cellIs" dxfId="97" priority="2" stopIfTrue="1" operator="between">
      <formula>0.009</formula>
      <formula>-0.009</formula>
    </cfRule>
  </conditionalFormatting>
  <conditionalFormatting sqref="F50">
    <cfRule type="cellIs" dxfId="96" priority="1" stopIfTrue="1" operator="between">
      <formula>0.009</formula>
      <formula>-0.009</formula>
    </cfRule>
  </conditionalFormatting>
  <hyperlinks>
    <hyperlink ref="A50" r:id="rId1" xr:uid="{00000000-0004-0000-14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48.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1127</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1128</v>
      </c>
      <c r="B7" s="27" t="s">
        <v>1129</v>
      </c>
      <c r="C7" s="27" t="s">
        <v>38</v>
      </c>
      <c r="D7" s="31">
        <v>99</v>
      </c>
      <c r="E7" s="29">
        <v>1269.0552600000001</v>
      </c>
      <c r="F7" s="30">
        <v>10.085333759091199</v>
      </c>
      <c r="G7" s="29">
        <v>3.8249</v>
      </c>
    </row>
    <row r="8" spans="1:7" x14ac:dyDescent="0.2">
      <c r="A8" s="27" t="s">
        <v>1130</v>
      </c>
      <c r="B8" s="27" t="s">
        <v>1131</v>
      </c>
      <c r="C8" s="27" t="s">
        <v>38</v>
      </c>
      <c r="D8" s="31">
        <v>119</v>
      </c>
      <c r="E8" s="29">
        <v>1197.3732399999999</v>
      </c>
      <c r="F8" s="30">
        <v>9.5156681826482306</v>
      </c>
      <c r="G8" s="29">
        <v>3.3948</v>
      </c>
    </row>
    <row r="9" spans="1:7" x14ac:dyDescent="0.2">
      <c r="A9" s="27" t="s">
        <v>1084</v>
      </c>
      <c r="B9" s="27" t="s">
        <v>1085</v>
      </c>
      <c r="C9" s="27" t="s">
        <v>38</v>
      </c>
      <c r="D9" s="31">
        <v>119</v>
      </c>
      <c r="E9" s="29">
        <v>1195.6643999999999</v>
      </c>
      <c r="F9" s="30">
        <v>9.5020878270214109</v>
      </c>
      <c r="G9" s="29">
        <v>3.4352</v>
      </c>
    </row>
    <row r="10" spans="1:7" x14ac:dyDescent="0.2">
      <c r="A10" s="27" t="s">
        <v>1132</v>
      </c>
      <c r="B10" s="27" t="s">
        <v>1133</v>
      </c>
      <c r="C10" s="27" t="s">
        <v>927</v>
      </c>
      <c r="D10" s="31">
        <v>100</v>
      </c>
      <c r="E10" s="29">
        <v>1006.864</v>
      </c>
      <c r="F10" s="30">
        <v>8.0016684931541704</v>
      </c>
      <c r="G10" s="29">
        <v>3.7749000000000001</v>
      </c>
    </row>
    <row r="11" spans="1:7" x14ac:dyDescent="0.2">
      <c r="A11" s="27" t="s">
        <v>1134</v>
      </c>
      <c r="B11" s="27" t="s">
        <v>1135</v>
      </c>
      <c r="C11" s="27" t="s">
        <v>927</v>
      </c>
      <c r="D11" s="31">
        <v>100</v>
      </c>
      <c r="E11" s="29">
        <v>1006.86</v>
      </c>
      <c r="F11" s="30">
        <v>8.0016367046763097</v>
      </c>
      <c r="G11" s="29">
        <v>3.3248000000000002</v>
      </c>
    </row>
    <row r="12" spans="1:7" x14ac:dyDescent="0.2">
      <c r="A12" s="27" t="s">
        <v>1136</v>
      </c>
      <c r="B12" s="27" t="s">
        <v>1137</v>
      </c>
      <c r="C12" s="27" t="s">
        <v>38</v>
      </c>
      <c r="D12" s="31">
        <v>100</v>
      </c>
      <c r="E12" s="29">
        <v>1005.047</v>
      </c>
      <c r="F12" s="30">
        <v>7.9872285770860003</v>
      </c>
      <c r="G12" s="29">
        <v>3.3898999999999999</v>
      </c>
    </row>
    <row r="13" spans="1:7" x14ac:dyDescent="0.2">
      <c r="A13" s="27" t="s">
        <v>1123</v>
      </c>
      <c r="B13" s="27" t="s">
        <v>1124</v>
      </c>
      <c r="C13" s="27" t="s">
        <v>871</v>
      </c>
      <c r="D13" s="31">
        <v>96</v>
      </c>
      <c r="E13" s="29">
        <v>955.93439999999998</v>
      </c>
      <c r="F13" s="30">
        <v>7.5969248776420999</v>
      </c>
      <c r="G13" s="29">
        <v>3.4497</v>
      </c>
    </row>
    <row r="14" spans="1:7" x14ac:dyDescent="0.2">
      <c r="A14" s="27" t="s">
        <v>1121</v>
      </c>
      <c r="B14" s="27" t="s">
        <v>1122</v>
      </c>
      <c r="C14" s="27" t="s">
        <v>38</v>
      </c>
      <c r="D14" s="31">
        <v>67</v>
      </c>
      <c r="E14" s="29">
        <v>672.31083000000001</v>
      </c>
      <c r="F14" s="30">
        <v>5.3429344837210699</v>
      </c>
      <c r="G14" s="29">
        <v>3.2900999999999998</v>
      </c>
    </row>
    <row r="15" spans="1:7" x14ac:dyDescent="0.2">
      <c r="A15" s="27" t="s">
        <v>978</v>
      </c>
      <c r="B15" s="27" t="s">
        <v>979</v>
      </c>
      <c r="C15" s="27" t="s">
        <v>38</v>
      </c>
      <c r="D15" s="31">
        <v>46</v>
      </c>
      <c r="E15" s="29">
        <v>462.38188000000002</v>
      </c>
      <c r="F15" s="30">
        <v>3.6746040388785302</v>
      </c>
      <c r="G15" s="29">
        <v>3.2397</v>
      </c>
    </row>
    <row r="16" spans="1:7" x14ac:dyDescent="0.2">
      <c r="A16" s="27" t="s">
        <v>1117</v>
      </c>
      <c r="B16" s="27" t="s">
        <v>1118</v>
      </c>
      <c r="C16" s="27" t="s">
        <v>38</v>
      </c>
      <c r="D16" s="31">
        <v>23</v>
      </c>
      <c r="E16" s="29">
        <v>231.47337999999999</v>
      </c>
      <c r="F16" s="30">
        <v>1.839546603861</v>
      </c>
      <c r="G16" s="29">
        <v>3.3896999999999999</v>
      </c>
    </row>
    <row r="17" spans="1:9" x14ac:dyDescent="0.2">
      <c r="A17" s="27" t="s">
        <v>1096</v>
      </c>
      <c r="B17" s="27" t="s">
        <v>1097</v>
      </c>
      <c r="C17" s="27" t="s">
        <v>38</v>
      </c>
      <c r="D17" s="31">
        <v>20</v>
      </c>
      <c r="E17" s="29">
        <v>200.39240000000001</v>
      </c>
      <c r="F17" s="30">
        <v>1.5925423427072001</v>
      </c>
      <c r="G17" s="29">
        <v>3.3653</v>
      </c>
    </row>
    <row r="18" spans="1:9" x14ac:dyDescent="0.2">
      <c r="A18" s="27" t="s">
        <v>1125</v>
      </c>
      <c r="B18" s="27" t="s">
        <v>1126</v>
      </c>
      <c r="C18" s="27" t="s">
        <v>871</v>
      </c>
      <c r="D18" s="31">
        <v>4</v>
      </c>
      <c r="E18" s="29">
        <v>20.063659999999999</v>
      </c>
      <c r="F18" s="30">
        <v>0.159448302928059</v>
      </c>
      <c r="G18" s="29">
        <v>3.7054</v>
      </c>
    </row>
    <row r="19" spans="1:9" x14ac:dyDescent="0.2">
      <c r="A19" s="26" t="s">
        <v>39</v>
      </c>
      <c r="B19" s="26"/>
      <c r="C19" s="26"/>
      <c r="D19" s="32"/>
      <c r="E19" s="33">
        <f>SUM(E6:E18)</f>
        <v>9223.4204499999996</v>
      </c>
      <c r="F19" s="34">
        <f>SUM(F6:F18)</f>
        <v>73.299624193415269</v>
      </c>
      <c r="G19" s="33"/>
      <c r="H19" s="18"/>
      <c r="I19" s="18"/>
    </row>
    <row r="20" spans="1:9" x14ac:dyDescent="0.2">
      <c r="A20" s="27"/>
      <c r="B20" s="27"/>
      <c r="C20" s="27"/>
      <c r="D20" s="28"/>
      <c r="E20" s="29"/>
      <c r="F20" s="30"/>
      <c r="G20" s="29"/>
    </row>
    <row r="21" spans="1:9" x14ac:dyDescent="0.2">
      <c r="A21" s="26" t="s">
        <v>42</v>
      </c>
      <c r="B21" s="26"/>
      <c r="C21" s="26"/>
      <c r="D21" s="32"/>
      <c r="E21" s="33">
        <f>E19</f>
        <v>9223.4204499999996</v>
      </c>
      <c r="F21" s="34">
        <f>F19</f>
        <v>73.299624193415269</v>
      </c>
      <c r="G21" s="33"/>
      <c r="H21" s="18"/>
      <c r="I21" s="18"/>
    </row>
    <row r="22" spans="1:9" x14ac:dyDescent="0.2">
      <c r="A22" s="26"/>
      <c r="B22" s="26"/>
      <c r="C22" s="26"/>
      <c r="D22" s="32"/>
      <c r="E22" s="33"/>
      <c r="F22" s="34"/>
      <c r="G22" s="33"/>
      <c r="H22" s="18"/>
      <c r="I22" s="18"/>
    </row>
    <row r="23" spans="1:9" x14ac:dyDescent="0.2">
      <c r="A23" s="26" t="s">
        <v>44</v>
      </c>
      <c r="B23" s="26"/>
      <c r="C23" s="26"/>
      <c r="D23" s="32"/>
      <c r="E23" s="33">
        <f>E25-(E19)</f>
        <v>3359.7551822000005</v>
      </c>
      <c r="F23" s="34">
        <f>F25-(F19)</f>
        <v>26.700375806584731</v>
      </c>
      <c r="G23" s="33"/>
      <c r="H23" s="18"/>
      <c r="I23" s="18"/>
    </row>
    <row r="24" spans="1:9" x14ac:dyDescent="0.2">
      <c r="A24" s="26"/>
      <c r="B24" s="26"/>
      <c r="C24" s="26"/>
      <c r="D24" s="32"/>
      <c r="E24" s="33"/>
      <c r="F24" s="34"/>
      <c r="G24" s="33"/>
      <c r="H24" s="18"/>
      <c r="I24" s="18"/>
    </row>
    <row r="25" spans="1:9" x14ac:dyDescent="0.2">
      <c r="A25" s="35" t="s">
        <v>43</v>
      </c>
      <c r="B25" s="35"/>
      <c r="C25" s="35"/>
      <c r="D25" s="36"/>
      <c r="E25" s="37">
        <v>12583.1756322</v>
      </c>
      <c r="F25" s="38">
        <v>100</v>
      </c>
      <c r="G25" s="37"/>
      <c r="H25" s="18"/>
      <c r="I25" s="18"/>
    </row>
    <row r="27" spans="1:9" x14ac:dyDescent="0.2">
      <c r="A27" s="18" t="s">
        <v>46</v>
      </c>
    </row>
    <row r="29" spans="1:9" x14ac:dyDescent="0.2">
      <c r="A29" s="18" t="s">
        <v>47</v>
      </c>
    </row>
    <row r="30" spans="1:9" x14ac:dyDescent="0.2">
      <c r="A30" s="18" t="s">
        <v>48</v>
      </c>
    </row>
    <row r="31" spans="1:9" x14ac:dyDescent="0.2">
      <c r="A31" s="18" t="s">
        <v>49</v>
      </c>
      <c r="B31" s="18"/>
      <c r="C31" s="39" t="s">
        <v>51</v>
      </c>
      <c r="D31" s="41" t="s">
        <v>50</v>
      </c>
    </row>
    <row r="32" spans="1:9" x14ac:dyDescent="0.2">
      <c r="A32" s="9" t="s">
        <v>79</v>
      </c>
      <c r="C32" s="40">
        <v>12.240600000000001</v>
      </c>
      <c r="D32" s="40">
        <v>12.479799999999999</v>
      </c>
    </row>
    <row r="33" spans="1:5" x14ac:dyDescent="0.2">
      <c r="A33" s="9" t="s">
        <v>1048</v>
      </c>
      <c r="C33" s="40">
        <v>10.6084</v>
      </c>
      <c r="D33" s="40">
        <v>10.816000000000001</v>
      </c>
    </row>
    <row r="34" spans="1:5" x14ac:dyDescent="0.2">
      <c r="A34" s="9" t="s">
        <v>81</v>
      </c>
      <c r="C34" s="40">
        <v>10.403700000000001</v>
      </c>
      <c r="D34" s="40">
        <v>10.208500000000001</v>
      </c>
    </row>
    <row r="35" spans="1:5" x14ac:dyDescent="0.2">
      <c r="A35" s="9" t="s">
        <v>82</v>
      </c>
      <c r="C35" s="40">
        <v>12.363300000000001</v>
      </c>
      <c r="D35" s="40">
        <v>12.604900000000001</v>
      </c>
    </row>
    <row r="36" spans="1:5" x14ac:dyDescent="0.2">
      <c r="A36" s="9" t="s">
        <v>86</v>
      </c>
      <c r="C36" s="40">
        <v>10.732100000000001</v>
      </c>
      <c r="D36" s="40">
        <v>10.943</v>
      </c>
    </row>
    <row r="37" spans="1:5" x14ac:dyDescent="0.2">
      <c r="A37" s="9" t="s">
        <v>84</v>
      </c>
      <c r="C37" s="40">
        <v>10.4748</v>
      </c>
      <c r="D37" s="40">
        <v>10.280099999999999</v>
      </c>
    </row>
    <row r="39" spans="1:5" x14ac:dyDescent="0.2">
      <c r="A39" s="18" t="s">
        <v>53</v>
      </c>
    </row>
    <row r="40" spans="1:5" x14ac:dyDescent="0.2">
      <c r="A40" s="82" t="s">
        <v>76</v>
      </c>
      <c r="B40" s="83"/>
      <c r="C40" s="44" t="s">
        <v>77</v>
      </c>
    </row>
    <row r="41" spans="1:5" x14ac:dyDescent="0.2">
      <c r="A41" s="78" t="s">
        <v>81</v>
      </c>
      <c r="B41" s="79"/>
      <c r="C41" s="45">
        <v>0.39500000000000002</v>
      </c>
    </row>
    <row r="42" spans="1:5" x14ac:dyDescent="0.2">
      <c r="A42" s="78" t="s">
        <v>84</v>
      </c>
      <c r="B42" s="79"/>
      <c r="C42" s="45">
        <v>0.39500000000000002</v>
      </c>
    </row>
    <row r="43" spans="1:5" x14ac:dyDescent="0.2">
      <c r="A43" s="9" t="s">
        <v>78</v>
      </c>
    </row>
    <row r="44" spans="1:5" x14ac:dyDescent="0.2">
      <c r="A44" s="9" t="s">
        <v>52</v>
      </c>
    </row>
    <row r="46" spans="1:5" x14ac:dyDescent="0.2">
      <c r="A46" s="18" t="s">
        <v>820</v>
      </c>
      <c r="D46" s="42">
        <v>8.7320237863013683E-2</v>
      </c>
      <c r="E46" s="13" t="s">
        <v>55</v>
      </c>
    </row>
    <row r="48" spans="1:5" x14ac:dyDescent="0.2">
      <c r="A48" s="18" t="s">
        <v>56</v>
      </c>
      <c r="D48" s="41" t="s">
        <v>54</v>
      </c>
    </row>
    <row r="50" spans="1:7" ht="14.4" x14ac:dyDescent="0.2">
      <c r="A50" s="80" t="s">
        <v>821</v>
      </c>
      <c r="B50" s="81"/>
      <c r="C50" s="81"/>
      <c r="D50" s="81"/>
      <c r="E50" s="81"/>
      <c r="F50" s="81"/>
      <c r="G50" s="81"/>
    </row>
    <row r="51" spans="1:7" x14ac:dyDescent="0.2">
      <c r="A51" s="53" t="s">
        <v>57</v>
      </c>
    </row>
    <row r="53" spans="1:7" x14ac:dyDescent="0.2">
      <c r="A53" s="53"/>
    </row>
  </sheetData>
  <mergeCells count="5">
    <mergeCell ref="A1:G1"/>
    <mergeCell ref="A40:B40"/>
    <mergeCell ref="A41:B41"/>
    <mergeCell ref="A42:B42"/>
    <mergeCell ref="A50:G50"/>
  </mergeCells>
  <conditionalFormatting sqref="F2:F3 F5:F49 F54:F65536">
    <cfRule type="cellIs" dxfId="95" priority="3" stopIfTrue="1" operator="between">
      <formula>0.009</formula>
      <formula>-0.009</formula>
    </cfRule>
  </conditionalFormatting>
  <conditionalFormatting sqref="F52:F53">
    <cfRule type="cellIs" dxfId="94" priority="2" stopIfTrue="1" operator="between">
      <formula>0.009</formula>
      <formula>-0.009</formula>
    </cfRule>
  </conditionalFormatting>
  <conditionalFormatting sqref="F51">
    <cfRule type="cellIs" dxfId="93" priority="1" stopIfTrue="1" operator="between">
      <formula>0.009</formula>
      <formula>-0.009</formula>
    </cfRule>
  </conditionalFormatting>
  <hyperlinks>
    <hyperlink ref="A51" r:id="rId1" xr:uid="{00000000-0004-0000-1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6"/>
  <sheetViews>
    <sheetView workbookViewId="0">
      <selection sqref="A1:G1"/>
    </sheetView>
  </sheetViews>
  <sheetFormatPr defaultColWidth="9.109375" defaultRowHeight="10.199999999999999" x14ac:dyDescent="0.2"/>
  <cols>
    <col min="1" max="1" width="38.6640625" style="9" bestFit="1" customWidth="1"/>
    <col min="2" max="2" width="46.3320312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1138</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35</v>
      </c>
      <c r="B5" s="22"/>
      <c r="C5" s="22"/>
      <c r="D5" s="23"/>
      <c r="E5" s="24"/>
      <c r="F5" s="25"/>
      <c r="G5" s="24"/>
    </row>
    <row r="6" spans="1:9" x14ac:dyDescent="0.2">
      <c r="A6" s="26" t="s">
        <v>36</v>
      </c>
      <c r="B6" s="27"/>
      <c r="C6" s="27"/>
      <c r="D6" s="28"/>
      <c r="E6" s="29"/>
      <c r="F6" s="30"/>
      <c r="G6" s="29"/>
    </row>
    <row r="7" spans="1:9" x14ac:dyDescent="0.2">
      <c r="A7" s="27" t="s">
        <v>1096</v>
      </c>
      <c r="B7" s="27" t="s">
        <v>1097</v>
      </c>
      <c r="C7" s="27" t="s">
        <v>38</v>
      </c>
      <c r="D7" s="31">
        <v>105</v>
      </c>
      <c r="E7" s="29">
        <v>1052.0600999999999</v>
      </c>
      <c r="F7" s="30">
        <v>9.7866422069251495</v>
      </c>
      <c r="G7" s="29">
        <v>3.3653</v>
      </c>
    </row>
    <row r="8" spans="1:9" x14ac:dyDescent="0.2">
      <c r="A8" s="27" t="s">
        <v>1125</v>
      </c>
      <c r="B8" s="27" t="s">
        <v>1126</v>
      </c>
      <c r="C8" s="27" t="s">
        <v>871</v>
      </c>
      <c r="D8" s="31">
        <v>170</v>
      </c>
      <c r="E8" s="29">
        <v>852.70555000000002</v>
      </c>
      <c r="F8" s="30">
        <v>7.9321743365320296</v>
      </c>
      <c r="G8" s="29">
        <v>3.7054</v>
      </c>
    </row>
    <row r="9" spans="1:9" x14ac:dyDescent="0.2">
      <c r="A9" s="27" t="s">
        <v>1128</v>
      </c>
      <c r="B9" s="27" t="s">
        <v>1129</v>
      </c>
      <c r="C9" s="27" t="s">
        <v>38</v>
      </c>
      <c r="D9" s="31">
        <v>50</v>
      </c>
      <c r="E9" s="29">
        <v>640.93700000000001</v>
      </c>
      <c r="F9" s="30">
        <v>5.9622269642009798</v>
      </c>
      <c r="G9" s="29">
        <v>3.8249</v>
      </c>
    </row>
    <row r="10" spans="1:9" x14ac:dyDescent="0.2">
      <c r="A10" s="27" t="s">
        <v>1139</v>
      </c>
      <c r="B10" s="27" t="s">
        <v>1140</v>
      </c>
      <c r="C10" s="27" t="s">
        <v>927</v>
      </c>
      <c r="D10" s="31">
        <v>50</v>
      </c>
      <c r="E10" s="29">
        <v>502.10950000000003</v>
      </c>
      <c r="F10" s="30">
        <v>4.6708035265267496</v>
      </c>
      <c r="G10" s="29">
        <v>3.7955000000000001</v>
      </c>
    </row>
    <row r="11" spans="1:9" x14ac:dyDescent="0.2">
      <c r="A11" s="27" t="s">
        <v>1130</v>
      </c>
      <c r="B11" s="27" t="s">
        <v>1131</v>
      </c>
      <c r="C11" s="27" t="s">
        <v>38</v>
      </c>
      <c r="D11" s="31">
        <v>31</v>
      </c>
      <c r="E11" s="29">
        <v>311.92075999999997</v>
      </c>
      <c r="F11" s="30">
        <v>2.90159932406159</v>
      </c>
      <c r="G11" s="29">
        <v>3.3948</v>
      </c>
    </row>
    <row r="12" spans="1:9" x14ac:dyDescent="0.2">
      <c r="A12" s="27" t="s">
        <v>978</v>
      </c>
      <c r="B12" s="27" t="s">
        <v>979</v>
      </c>
      <c r="C12" s="27" t="s">
        <v>38</v>
      </c>
      <c r="D12" s="31">
        <v>2</v>
      </c>
      <c r="E12" s="29">
        <v>20.103560000000002</v>
      </c>
      <c r="F12" s="30">
        <v>0.18701056033343699</v>
      </c>
      <c r="G12" s="29">
        <v>3.2397</v>
      </c>
    </row>
    <row r="13" spans="1:9" x14ac:dyDescent="0.2">
      <c r="A13" s="26" t="s">
        <v>39</v>
      </c>
      <c r="B13" s="26"/>
      <c r="C13" s="26"/>
      <c r="D13" s="32"/>
      <c r="E13" s="33">
        <f>SUM(E6:E12)</f>
        <v>3379.8364699999997</v>
      </c>
      <c r="F13" s="34">
        <f>SUM(F6:F12)</f>
        <v>31.440456918579937</v>
      </c>
      <c r="G13" s="33"/>
      <c r="H13" s="18"/>
      <c r="I13" s="18"/>
    </row>
    <row r="14" spans="1:9" x14ac:dyDescent="0.2">
      <c r="A14" s="27"/>
      <c r="B14" s="27"/>
      <c r="C14" s="27"/>
      <c r="D14" s="28"/>
      <c r="E14" s="29"/>
      <c r="F14" s="30"/>
      <c r="G14" s="29"/>
    </row>
    <row r="15" spans="1:9" x14ac:dyDescent="0.2">
      <c r="A15" s="26" t="s">
        <v>59</v>
      </c>
      <c r="B15" s="27"/>
      <c r="C15" s="27"/>
      <c r="D15" s="28"/>
      <c r="E15" s="29"/>
      <c r="F15" s="30"/>
      <c r="G15" s="29"/>
    </row>
    <row r="16" spans="1:9" x14ac:dyDescent="0.2">
      <c r="A16" s="26" t="s">
        <v>69</v>
      </c>
      <c r="B16" s="27"/>
      <c r="C16" s="27"/>
      <c r="D16" s="28"/>
      <c r="E16" s="29"/>
      <c r="F16" s="30"/>
      <c r="G16" s="29"/>
    </row>
    <row r="17" spans="1:9" x14ac:dyDescent="0.2">
      <c r="A17" s="27" t="s">
        <v>1141</v>
      </c>
      <c r="B17" s="27" t="s">
        <v>1142</v>
      </c>
      <c r="C17" s="27" t="s">
        <v>74</v>
      </c>
      <c r="D17" s="31">
        <v>2000000</v>
      </c>
      <c r="E17" s="29">
        <v>1994.1859999999999</v>
      </c>
      <c r="F17" s="30">
        <v>18.550636865763899</v>
      </c>
      <c r="G17" s="29">
        <v>3.2252000000000001</v>
      </c>
    </row>
    <row r="18" spans="1:9" x14ac:dyDescent="0.2">
      <c r="A18" s="26" t="s">
        <v>39</v>
      </c>
      <c r="B18" s="26"/>
      <c r="C18" s="26"/>
      <c r="D18" s="32"/>
      <c r="E18" s="33">
        <f>SUM(E16:E17)</f>
        <v>1994.1859999999999</v>
      </c>
      <c r="F18" s="34">
        <f>SUM(F16:F17)</f>
        <v>18.550636865763899</v>
      </c>
      <c r="G18" s="33"/>
      <c r="H18" s="18"/>
      <c r="I18" s="18"/>
    </row>
    <row r="19" spans="1:9" x14ac:dyDescent="0.2">
      <c r="A19" s="27"/>
      <c r="B19" s="27"/>
      <c r="C19" s="27"/>
      <c r="D19" s="28"/>
      <c r="E19" s="29"/>
      <c r="F19" s="30"/>
      <c r="G19" s="29"/>
    </row>
    <row r="20" spans="1:9" x14ac:dyDescent="0.2">
      <c r="A20" s="26" t="s">
        <v>42</v>
      </c>
      <c r="B20" s="26"/>
      <c r="C20" s="26"/>
      <c r="D20" s="32"/>
      <c r="E20" s="33">
        <f>E13+E18</f>
        <v>5374.0224699999999</v>
      </c>
      <c r="F20" s="34">
        <f>F13+F18</f>
        <v>49.991093784343832</v>
      </c>
      <c r="G20" s="33"/>
      <c r="H20" s="18"/>
      <c r="I20" s="18"/>
    </row>
    <row r="21" spans="1:9" x14ac:dyDescent="0.2">
      <c r="A21" s="26"/>
      <c r="B21" s="26"/>
      <c r="C21" s="26"/>
      <c r="D21" s="32"/>
      <c r="E21" s="33"/>
      <c r="F21" s="34"/>
      <c r="G21" s="33"/>
      <c r="H21" s="18"/>
      <c r="I21" s="18"/>
    </row>
    <row r="22" spans="1:9" x14ac:dyDescent="0.2">
      <c r="A22" s="26" t="s">
        <v>44</v>
      </c>
      <c r="B22" s="26"/>
      <c r="C22" s="26"/>
      <c r="D22" s="32"/>
      <c r="E22" s="33">
        <f>E24-(E13+E18)</f>
        <v>5375.9372992000008</v>
      </c>
      <c r="F22" s="34">
        <f>F24-(F13+F18)</f>
        <v>50.008906215656168</v>
      </c>
      <c r="G22" s="33"/>
      <c r="H22" s="18"/>
      <c r="I22" s="18"/>
    </row>
    <row r="23" spans="1:9" x14ac:dyDescent="0.2">
      <c r="A23" s="26"/>
      <c r="B23" s="26"/>
      <c r="C23" s="26"/>
      <c r="D23" s="32"/>
      <c r="E23" s="33"/>
      <c r="F23" s="34"/>
      <c r="G23" s="33"/>
      <c r="H23" s="18"/>
      <c r="I23" s="18"/>
    </row>
    <row r="24" spans="1:9" x14ac:dyDescent="0.2">
      <c r="A24" s="35" t="s">
        <v>43</v>
      </c>
      <c r="B24" s="35"/>
      <c r="C24" s="35"/>
      <c r="D24" s="36"/>
      <c r="E24" s="37">
        <v>10749.959769200001</v>
      </c>
      <c r="F24" s="38">
        <v>100</v>
      </c>
      <c r="G24" s="37"/>
      <c r="H24" s="18"/>
      <c r="I24" s="18"/>
    </row>
    <row r="26" spans="1:9" x14ac:dyDescent="0.2">
      <c r="A26" s="18" t="s">
        <v>46</v>
      </c>
    </row>
    <row r="28" spans="1:9" x14ac:dyDescent="0.2">
      <c r="A28" s="18" t="s">
        <v>47</v>
      </c>
    </row>
    <row r="29" spans="1:9" x14ac:dyDescent="0.2">
      <c r="A29" s="18" t="s">
        <v>48</v>
      </c>
    </row>
    <row r="30" spans="1:9" x14ac:dyDescent="0.2">
      <c r="A30" s="18" t="s">
        <v>49</v>
      </c>
      <c r="B30" s="18"/>
      <c r="C30" s="39" t="s">
        <v>51</v>
      </c>
      <c r="D30" s="41" t="s">
        <v>50</v>
      </c>
    </row>
    <row r="31" spans="1:9" x14ac:dyDescent="0.2">
      <c r="A31" s="9" t="s">
        <v>79</v>
      </c>
      <c r="C31" s="40">
        <v>12.3141</v>
      </c>
      <c r="D31" s="40">
        <v>12.5501</v>
      </c>
    </row>
    <row r="32" spans="1:9" x14ac:dyDescent="0.2">
      <c r="A32" s="9" t="s">
        <v>1048</v>
      </c>
      <c r="C32" s="40">
        <v>10.5799</v>
      </c>
      <c r="D32" s="40">
        <v>10.7828</v>
      </c>
    </row>
    <row r="33" spans="1:7" x14ac:dyDescent="0.2">
      <c r="A33" s="9" t="s">
        <v>82</v>
      </c>
      <c r="C33" s="40">
        <v>12.406700000000001</v>
      </c>
      <c r="D33" s="40">
        <v>12.644500000000001</v>
      </c>
    </row>
    <row r="35" spans="1:7" x14ac:dyDescent="0.2">
      <c r="A35" s="9" t="s">
        <v>52</v>
      </c>
    </row>
    <row r="37" spans="1:7" x14ac:dyDescent="0.2">
      <c r="A37" s="18" t="s">
        <v>53</v>
      </c>
      <c r="D37" s="41" t="s">
        <v>54</v>
      </c>
    </row>
    <row r="39" spans="1:7" x14ac:dyDescent="0.2">
      <c r="A39" s="18" t="s">
        <v>820</v>
      </c>
      <c r="D39" s="42">
        <v>4.339979879452055E-2</v>
      </c>
      <c r="E39" s="13" t="s">
        <v>55</v>
      </c>
    </row>
    <row r="41" spans="1:7" x14ac:dyDescent="0.2">
      <c r="A41" s="18" t="s">
        <v>56</v>
      </c>
      <c r="D41" s="41" t="s">
        <v>54</v>
      </c>
    </row>
    <row r="43" spans="1:7" ht="14.4" x14ac:dyDescent="0.2">
      <c r="A43" s="80" t="s">
        <v>821</v>
      </c>
      <c r="B43" s="81"/>
      <c r="C43" s="81"/>
      <c r="D43" s="81"/>
      <c r="E43" s="81"/>
      <c r="F43" s="81"/>
      <c r="G43" s="81"/>
    </row>
    <row r="44" spans="1:7" x14ac:dyDescent="0.2">
      <c r="A44" s="53" t="s">
        <v>57</v>
      </c>
    </row>
    <row r="46" spans="1:7" x14ac:dyDescent="0.2">
      <c r="A46" s="53"/>
    </row>
  </sheetData>
  <mergeCells count="2">
    <mergeCell ref="A1:G1"/>
    <mergeCell ref="A43:G43"/>
  </mergeCells>
  <conditionalFormatting sqref="F2:F3 F5:F42 F47:F65536">
    <cfRule type="cellIs" dxfId="92" priority="3" stopIfTrue="1" operator="between">
      <formula>0.009</formula>
      <formula>-0.009</formula>
    </cfRule>
  </conditionalFormatting>
  <conditionalFormatting sqref="F45:F46">
    <cfRule type="cellIs" dxfId="91" priority="2" stopIfTrue="1" operator="between">
      <formula>0.009</formula>
      <formula>-0.009</formula>
    </cfRule>
  </conditionalFormatting>
  <conditionalFormatting sqref="F44">
    <cfRule type="cellIs" dxfId="90" priority="1" stopIfTrue="1" operator="between">
      <formula>0.009</formula>
      <formula>-0.009</formula>
    </cfRule>
  </conditionalFormatting>
  <hyperlinks>
    <hyperlink ref="A44" r:id="rId1" xr:uid="{00000000-0004-0000-16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49"/>
  <sheetViews>
    <sheetView workbookViewId="0">
      <selection sqref="A1:G1"/>
    </sheetView>
  </sheetViews>
  <sheetFormatPr defaultColWidth="9.109375" defaultRowHeight="10.199999999999999" x14ac:dyDescent="0.2"/>
  <cols>
    <col min="1" max="1" width="38.6640625" style="9" bestFit="1" customWidth="1"/>
    <col min="2" max="2" width="43.55468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6" t="s">
        <v>1143</v>
      </c>
      <c r="B1" s="77"/>
      <c r="C1" s="77"/>
      <c r="D1" s="77"/>
      <c r="E1" s="77"/>
      <c r="F1" s="77"/>
      <c r="G1" s="77"/>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45</v>
      </c>
      <c r="D4" s="16" t="s">
        <v>1</v>
      </c>
      <c r="E4" s="15" t="s">
        <v>3</v>
      </c>
      <c r="F4" s="15" t="s">
        <v>4</v>
      </c>
      <c r="G4" s="15" t="s">
        <v>6</v>
      </c>
    </row>
    <row r="5" spans="1:9" x14ac:dyDescent="0.2">
      <c r="A5" s="21" t="s">
        <v>35</v>
      </c>
      <c r="B5" s="22"/>
      <c r="C5" s="22"/>
      <c r="D5" s="23"/>
      <c r="E5" s="24"/>
      <c r="F5" s="25"/>
      <c r="G5" s="24"/>
    </row>
    <row r="6" spans="1:9" x14ac:dyDescent="0.2">
      <c r="A6" s="26" t="s">
        <v>36</v>
      </c>
      <c r="B6" s="27"/>
      <c r="C6" s="27"/>
      <c r="D6" s="28"/>
      <c r="E6" s="29"/>
      <c r="F6" s="30"/>
      <c r="G6" s="29"/>
    </row>
    <row r="7" spans="1:9" x14ac:dyDescent="0.2">
      <c r="A7" s="27" t="s">
        <v>1125</v>
      </c>
      <c r="B7" s="27" t="s">
        <v>1126</v>
      </c>
      <c r="C7" s="27" t="s">
        <v>871</v>
      </c>
      <c r="D7" s="31">
        <v>300</v>
      </c>
      <c r="E7" s="29">
        <v>1504.7745</v>
      </c>
      <c r="F7" s="30">
        <v>7.8902212098437996</v>
      </c>
      <c r="G7" s="29">
        <v>3.7054</v>
      </c>
    </row>
    <row r="8" spans="1:9" x14ac:dyDescent="0.2">
      <c r="A8" s="27" t="s">
        <v>1144</v>
      </c>
      <c r="B8" s="27" t="s">
        <v>1145</v>
      </c>
      <c r="C8" s="27" t="s">
        <v>38</v>
      </c>
      <c r="D8" s="31">
        <v>128</v>
      </c>
      <c r="E8" s="29">
        <v>1276.83968</v>
      </c>
      <c r="F8" s="30">
        <v>6.6950546574959704</v>
      </c>
      <c r="G8" s="29">
        <v>3.4754</v>
      </c>
    </row>
    <row r="9" spans="1:9" x14ac:dyDescent="0.2">
      <c r="A9" s="27" t="s">
        <v>1121</v>
      </c>
      <c r="B9" s="27" t="s">
        <v>1122</v>
      </c>
      <c r="C9" s="27" t="s">
        <v>38</v>
      </c>
      <c r="D9" s="31">
        <v>101</v>
      </c>
      <c r="E9" s="29">
        <v>1013.48349</v>
      </c>
      <c r="F9" s="30">
        <v>5.3141576552662997</v>
      </c>
      <c r="G9" s="29">
        <v>3.2900999999999998</v>
      </c>
    </row>
    <row r="10" spans="1:9" x14ac:dyDescent="0.2">
      <c r="A10" s="27" t="s">
        <v>1096</v>
      </c>
      <c r="B10" s="27" t="s">
        <v>1097</v>
      </c>
      <c r="C10" s="27" t="s">
        <v>38</v>
      </c>
      <c r="D10" s="31">
        <v>9</v>
      </c>
      <c r="E10" s="29">
        <v>90.176580000000001</v>
      </c>
      <c r="F10" s="30">
        <v>0.472837069040694</v>
      </c>
      <c r="G10" s="29">
        <v>3.3653</v>
      </c>
    </row>
    <row r="11" spans="1:9" x14ac:dyDescent="0.2">
      <c r="A11" s="26" t="s">
        <v>39</v>
      </c>
      <c r="B11" s="26"/>
      <c r="C11" s="26"/>
      <c r="D11" s="32"/>
      <c r="E11" s="33">
        <f>SUM(E6:E10)</f>
        <v>3885.2742499999999</v>
      </c>
      <c r="F11" s="34">
        <f>SUM(F6:F10)</f>
        <v>20.372270591646764</v>
      </c>
      <c r="G11" s="33"/>
      <c r="H11" s="18"/>
      <c r="I11" s="18"/>
    </row>
    <row r="12" spans="1:9" x14ac:dyDescent="0.2">
      <c r="A12" s="27"/>
      <c r="B12" s="27"/>
      <c r="C12" s="27"/>
      <c r="D12" s="28"/>
      <c r="E12" s="29"/>
      <c r="F12" s="30"/>
      <c r="G12" s="29"/>
    </row>
    <row r="13" spans="1:9" x14ac:dyDescent="0.2">
      <c r="A13" s="26" t="s">
        <v>71</v>
      </c>
      <c r="B13" s="27"/>
      <c r="C13" s="27"/>
      <c r="D13" s="28"/>
      <c r="E13" s="29"/>
      <c r="F13" s="30"/>
      <c r="G13" s="29"/>
    </row>
    <row r="14" spans="1:9" x14ac:dyDescent="0.2">
      <c r="A14" s="27" t="s">
        <v>1146</v>
      </c>
      <c r="B14" s="27" t="s">
        <v>1147</v>
      </c>
      <c r="C14" s="27" t="s">
        <v>74</v>
      </c>
      <c r="D14" s="31">
        <v>7000000</v>
      </c>
      <c r="E14" s="29">
        <v>7020.4889999999996</v>
      </c>
      <c r="F14" s="30">
        <v>36.8116360366786</v>
      </c>
      <c r="G14" s="29">
        <v>3.2827999999999999</v>
      </c>
    </row>
    <row r="15" spans="1:9" x14ac:dyDescent="0.2">
      <c r="A15" s="26" t="s">
        <v>39</v>
      </c>
      <c r="B15" s="26"/>
      <c r="C15" s="26"/>
      <c r="D15" s="32"/>
      <c r="E15" s="33">
        <f>SUM(E14:E14)</f>
        <v>7020.4889999999996</v>
      </c>
      <c r="F15" s="34">
        <f>SUM(F14:F14)</f>
        <v>36.8116360366786</v>
      </c>
      <c r="G15" s="33"/>
      <c r="H15" s="18"/>
      <c r="I15" s="18"/>
    </row>
    <row r="16" spans="1:9" x14ac:dyDescent="0.2">
      <c r="A16" s="27"/>
      <c r="B16" s="27"/>
      <c r="C16" s="27"/>
      <c r="D16" s="28"/>
      <c r="E16" s="29"/>
      <c r="F16" s="30"/>
      <c r="G16" s="29"/>
    </row>
    <row r="17" spans="1:9" x14ac:dyDescent="0.2">
      <c r="A17" s="26" t="s">
        <v>42</v>
      </c>
      <c r="B17" s="26"/>
      <c r="C17" s="26"/>
      <c r="D17" s="32"/>
      <c r="E17" s="33">
        <f>E11+E15</f>
        <v>10905.76325</v>
      </c>
      <c r="F17" s="34">
        <f>F11+F15</f>
        <v>57.18390662832536</v>
      </c>
      <c r="G17" s="33"/>
      <c r="H17" s="18"/>
      <c r="I17" s="18"/>
    </row>
    <row r="18" spans="1:9" x14ac:dyDescent="0.2">
      <c r="A18" s="26"/>
      <c r="B18" s="26"/>
      <c r="C18" s="26"/>
      <c r="D18" s="32"/>
      <c r="E18" s="33"/>
      <c r="F18" s="34"/>
      <c r="G18" s="33"/>
      <c r="H18" s="18"/>
      <c r="I18" s="18"/>
    </row>
    <row r="19" spans="1:9" x14ac:dyDescent="0.2">
      <c r="A19" s="26" t="s">
        <v>44</v>
      </c>
      <c r="B19" s="26"/>
      <c r="C19" s="26"/>
      <c r="D19" s="32"/>
      <c r="E19" s="33">
        <f>E21-(E11+E15)</f>
        <v>8165.6222027000003</v>
      </c>
      <c r="F19" s="34">
        <f>F21-(F11+F15)</f>
        <v>42.81609337167464</v>
      </c>
      <c r="G19" s="33"/>
      <c r="H19" s="18"/>
      <c r="I19" s="18"/>
    </row>
    <row r="20" spans="1:9" x14ac:dyDescent="0.2">
      <c r="A20" s="26"/>
      <c r="B20" s="26"/>
      <c r="C20" s="26"/>
      <c r="D20" s="32"/>
      <c r="E20" s="33"/>
      <c r="F20" s="34"/>
      <c r="G20" s="33"/>
      <c r="H20" s="18"/>
      <c r="I20" s="18"/>
    </row>
    <row r="21" spans="1:9" x14ac:dyDescent="0.2">
      <c r="A21" s="35" t="s">
        <v>43</v>
      </c>
      <c r="B21" s="35"/>
      <c r="C21" s="35"/>
      <c r="D21" s="36"/>
      <c r="E21" s="37">
        <v>19071.3854527</v>
      </c>
      <c r="F21" s="38">
        <v>100</v>
      </c>
      <c r="G21" s="37"/>
      <c r="H21" s="18"/>
      <c r="I21" s="18"/>
    </row>
    <row r="23" spans="1:9" x14ac:dyDescent="0.2">
      <c r="A23" s="18" t="s">
        <v>46</v>
      </c>
    </row>
    <row r="25" spans="1:9" x14ac:dyDescent="0.2">
      <c r="A25" s="18" t="s">
        <v>47</v>
      </c>
    </row>
    <row r="26" spans="1:9" x14ac:dyDescent="0.2">
      <c r="A26" s="18" t="s">
        <v>48</v>
      </c>
    </row>
    <row r="27" spans="1:9" x14ac:dyDescent="0.2">
      <c r="A27" s="18" t="s">
        <v>49</v>
      </c>
      <c r="B27" s="18"/>
      <c r="C27" s="39" t="s">
        <v>51</v>
      </c>
      <c r="D27" s="41" t="s">
        <v>50</v>
      </c>
    </row>
    <row r="28" spans="1:9" x14ac:dyDescent="0.2">
      <c r="A28" s="9" t="s">
        <v>79</v>
      </c>
      <c r="C28" s="40">
        <v>12.343999999999999</v>
      </c>
      <c r="D28" s="40">
        <v>12.5665</v>
      </c>
    </row>
    <row r="29" spans="1:9" x14ac:dyDescent="0.2">
      <c r="A29" s="9" t="s">
        <v>1048</v>
      </c>
      <c r="C29" s="40">
        <v>10.567299999999999</v>
      </c>
      <c r="D29" s="40">
        <v>10.7577</v>
      </c>
    </row>
    <row r="30" spans="1:9" x14ac:dyDescent="0.2">
      <c r="A30" s="9" t="s">
        <v>81</v>
      </c>
      <c r="C30" s="40">
        <v>10.3589</v>
      </c>
      <c r="D30" s="40">
        <v>10.147399999999999</v>
      </c>
    </row>
    <row r="31" spans="1:9" x14ac:dyDescent="0.2">
      <c r="A31" s="9" t="s">
        <v>82</v>
      </c>
      <c r="C31" s="40">
        <v>12.4183</v>
      </c>
      <c r="D31" s="40">
        <v>12.642099999999999</v>
      </c>
    </row>
    <row r="32" spans="1:9" x14ac:dyDescent="0.2">
      <c r="A32" s="9" t="s">
        <v>86</v>
      </c>
      <c r="C32" s="40">
        <v>10.6442</v>
      </c>
      <c r="D32" s="40">
        <v>10.8377</v>
      </c>
    </row>
    <row r="33" spans="1:7" x14ac:dyDescent="0.2">
      <c r="A33" s="9" t="s">
        <v>84</v>
      </c>
      <c r="C33" s="40">
        <v>10.4222</v>
      </c>
      <c r="D33" s="40">
        <v>10.212899999999999</v>
      </c>
    </row>
    <row r="35" spans="1:7" x14ac:dyDescent="0.2">
      <c r="A35" s="18" t="s">
        <v>53</v>
      </c>
    </row>
    <row r="36" spans="1:7" x14ac:dyDescent="0.2">
      <c r="A36" s="82" t="s">
        <v>76</v>
      </c>
      <c r="B36" s="83"/>
      <c r="C36" s="44" t="s">
        <v>77</v>
      </c>
    </row>
    <row r="37" spans="1:7" x14ac:dyDescent="0.2">
      <c r="A37" s="78" t="s">
        <v>81</v>
      </c>
      <c r="B37" s="79"/>
      <c r="C37" s="45">
        <v>0.39500000000000002</v>
      </c>
    </row>
    <row r="38" spans="1:7" x14ac:dyDescent="0.2">
      <c r="A38" s="78" t="s">
        <v>84</v>
      </c>
      <c r="B38" s="79"/>
      <c r="C38" s="45">
        <v>0.39500000000000002</v>
      </c>
    </row>
    <row r="39" spans="1:7" x14ac:dyDescent="0.2">
      <c r="A39" s="9" t="s">
        <v>78</v>
      </c>
    </row>
    <row r="40" spans="1:7" x14ac:dyDescent="0.2">
      <c r="A40" s="9" t="s">
        <v>52</v>
      </c>
    </row>
    <row r="42" spans="1:7" x14ac:dyDescent="0.2">
      <c r="A42" s="18" t="s">
        <v>820</v>
      </c>
      <c r="D42" s="42">
        <v>3.9197083808219173E-2</v>
      </c>
      <c r="E42" s="13" t="s">
        <v>55</v>
      </c>
    </row>
    <row r="44" spans="1:7" x14ac:dyDescent="0.2">
      <c r="A44" s="18" t="s">
        <v>56</v>
      </c>
      <c r="D44" s="41" t="s">
        <v>54</v>
      </c>
    </row>
    <row r="46" spans="1:7" ht="15" customHeight="1" x14ac:dyDescent="0.2">
      <c r="A46" s="80" t="s">
        <v>821</v>
      </c>
      <c r="B46" s="81"/>
      <c r="C46" s="81"/>
      <c r="D46" s="81"/>
      <c r="E46" s="81"/>
      <c r="F46" s="81"/>
      <c r="G46" s="81"/>
    </row>
    <row r="47" spans="1:7" x14ac:dyDescent="0.2">
      <c r="A47" s="53" t="s">
        <v>57</v>
      </c>
    </row>
    <row r="49" spans="1:1" x14ac:dyDescent="0.2">
      <c r="A49" s="53"/>
    </row>
  </sheetData>
  <mergeCells count="5">
    <mergeCell ref="A1:G1"/>
    <mergeCell ref="A36:B36"/>
    <mergeCell ref="A37:B37"/>
    <mergeCell ref="A38:B38"/>
    <mergeCell ref="A46:G46"/>
  </mergeCells>
  <conditionalFormatting sqref="F2:F3 F5:F45 F50:F65536">
    <cfRule type="cellIs" dxfId="89" priority="3" stopIfTrue="1" operator="between">
      <formula>0.009</formula>
      <formula>-0.009</formula>
    </cfRule>
  </conditionalFormatting>
  <conditionalFormatting sqref="F48:F49">
    <cfRule type="cellIs" dxfId="88" priority="2" stopIfTrue="1" operator="between">
      <formula>0.009</formula>
      <formula>-0.009</formula>
    </cfRule>
  </conditionalFormatting>
  <conditionalFormatting sqref="F47">
    <cfRule type="cellIs" dxfId="87" priority="1" stopIfTrue="1" operator="between">
      <formula>0.009</formula>
      <formula>-0.009</formula>
    </cfRule>
  </conditionalFormatting>
  <hyperlinks>
    <hyperlink ref="A47" r:id="rId1" xr:uid="{00000000-0004-0000-17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99"/>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1148</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105</v>
      </c>
      <c r="B5" s="22"/>
      <c r="C5" s="22"/>
      <c r="D5" s="23"/>
      <c r="E5" s="24"/>
      <c r="F5" s="25"/>
      <c r="G5" s="24"/>
    </row>
    <row r="6" spans="1:7" x14ac:dyDescent="0.2">
      <c r="A6" s="26" t="s">
        <v>36</v>
      </c>
      <c r="B6" s="27"/>
      <c r="C6" s="27"/>
      <c r="D6" s="28"/>
      <c r="E6" s="29"/>
      <c r="F6" s="30"/>
      <c r="G6" s="29"/>
    </row>
    <row r="7" spans="1:7" x14ac:dyDescent="0.2">
      <c r="A7" s="27" t="s">
        <v>107</v>
      </c>
      <c r="B7" s="27" t="s">
        <v>106</v>
      </c>
      <c r="C7" s="27" t="s">
        <v>108</v>
      </c>
      <c r="D7" s="31">
        <v>108000</v>
      </c>
      <c r="E7" s="29">
        <v>1525.2840000000001</v>
      </c>
      <c r="F7" s="30">
        <v>3.3926630417742998</v>
      </c>
      <c r="G7" s="29"/>
    </row>
    <row r="8" spans="1:7" x14ac:dyDescent="0.2">
      <c r="A8" s="27" t="s">
        <v>110</v>
      </c>
      <c r="B8" s="27" t="s">
        <v>109</v>
      </c>
      <c r="C8" s="27" t="s">
        <v>111</v>
      </c>
      <c r="D8" s="31">
        <v>109904</v>
      </c>
      <c r="E8" s="29">
        <v>1488.4848239999999</v>
      </c>
      <c r="F8" s="30">
        <v>3.3108112657227902</v>
      </c>
      <c r="G8" s="29"/>
    </row>
    <row r="9" spans="1:7" x14ac:dyDescent="0.2">
      <c r="A9" s="27" t="s">
        <v>113</v>
      </c>
      <c r="B9" s="27" t="s">
        <v>112</v>
      </c>
      <c r="C9" s="27" t="s">
        <v>108</v>
      </c>
      <c r="D9" s="31">
        <v>206475</v>
      </c>
      <c r="E9" s="29">
        <v>1476.0897749999999</v>
      </c>
      <c r="F9" s="30">
        <v>3.2832411708137199</v>
      </c>
      <c r="G9" s="29"/>
    </row>
    <row r="10" spans="1:7" x14ac:dyDescent="0.2">
      <c r="A10" s="27" t="s">
        <v>115</v>
      </c>
      <c r="B10" s="27" t="s">
        <v>114</v>
      </c>
      <c r="C10" s="27" t="s">
        <v>108</v>
      </c>
      <c r="D10" s="31">
        <v>146474</v>
      </c>
      <c r="E10" s="29">
        <v>879.57637</v>
      </c>
      <c r="F10" s="30">
        <v>1.9564266345919801</v>
      </c>
      <c r="G10" s="29"/>
    </row>
    <row r="11" spans="1:7" x14ac:dyDescent="0.2">
      <c r="A11" s="27" t="s">
        <v>117</v>
      </c>
      <c r="B11" s="27" t="s">
        <v>116</v>
      </c>
      <c r="C11" s="27" t="s">
        <v>118</v>
      </c>
      <c r="D11" s="31">
        <v>145373</v>
      </c>
      <c r="E11" s="29">
        <v>780.28957749999995</v>
      </c>
      <c r="F11" s="30">
        <v>1.7355847248551299</v>
      </c>
      <c r="G11" s="29"/>
    </row>
    <row r="12" spans="1:7" x14ac:dyDescent="0.2">
      <c r="A12" s="27" t="s">
        <v>120</v>
      </c>
      <c r="B12" s="27" t="s">
        <v>119</v>
      </c>
      <c r="C12" s="27" t="s">
        <v>121</v>
      </c>
      <c r="D12" s="31">
        <v>40000</v>
      </c>
      <c r="E12" s="29">
        <v>707.98</v>
      </c>
      <c r="F12" s="30">
        <v>1.5747477717692999</v>
      </c>
      <c r="G12" s="29"/>
    </row>
    <row r="13" spans="1:7" x14ac:dyDescent="0.2">
      <c r="A13" s="27" t="s">
        <v>123</v>
      </c>
      <c r="B13" s="27" t="s">
        <v>122</v>
      </c>
      <c r="C13" s="27" t="s">
        <v>108</v>
      </c>
      <c r="D13" s="31">
        <v>33853</v>
      </c>
      <c r="E13" s="29">
        <v>592.02126399999997</v>
      </c>
      <c r="F13" s="30">
        <v>1.31682274403803</v>
      </c>
      <c r="G13" s="29"/>
    </row>
    <row r="14" spans="1:7" x14ac:dyDescent="0.2">
      <c r="A14" s="27" t="s">
        <v>125</v>
      </c>
      <c r="B14" s="27" t="s">
        <v>124</v>
      </c>
      <c r="C14" s="27" t="s">
        <v>126</v>
      </c>
      <c r="D14" s="31">
        <v>60000</v>
      </c>
      <c r="E14" s="29">
        <v>574.29</v>
      </c>
      <c r="F14" s="30">
        <v>1.2773833976233699</v>
      </c>
      <c r="G14" s="29"/>
    </row>
    <row r="15" spans="1:7" x14ac:dyDescent="0.2">
      <c r="A15" s="27" t="s">
        <v>128</v>
      </c>
      <c r="B15" s="27" t="s">
        <v>127</v>
      </c>
      <c r="C15" s="27" t="s">
        <v>129</v>
      </c>
      <c r="D15" s="31">
        <v>129936</v>
      </c>
      <c r="E15" s="29">
        <v>473.486784</v>
      </c>
      <c r="F15" s="30">
        <v>1.0531685331029299</v>
      </c>
      <c r="G15" s="29"/>
    </row>
    <row r="16" spans="1:7" x14ac:dyDescent="0.2">
      <c r="A16" s="27" t="s">
        <v>131</v>
      </c>
      <c r="B16" s="27" t="s">
        <v>130</v>
      </c>
      <c r="C16" s="27" t="s">
        <v>132</v>
      </c>
      <c r="D16" s="31">
        <v>190244</v>
      </c>
      <c r="E16" s="29">
        <v>456.490478</v>
      </c>
      <c r="F16" s="30">
        <v>1.01536394116275</v>
      </c>
      <c r="G16" s="29"/>
    </row>
    <row r="17" spans="1:7" x14ac:dyDescent="0.2">
      <c r="A17" s="27" t="s">
        <v>134</v>
      </c>
      <c r="B17" s="27" t="s">
        <v>133</v>
      </c>
      <c r="C17" s="27" t="s">
        <v>135</v>
      </c>
      <c r="D17" s="31">
        <v>8293</v>
      </c>
      <c r="E17" s="29">
        <v>428.175883</v>
      </c>
      <c r="F17" s="30">
        <v>0.95238427311450002</v>
      </c>
      <c r="G17" s="29"/>
    </row>
    <row r="18" spans="1:7" x14ac:dyDescent="0.2">
      <c r="A18" s="27" t="s">
        <v>137</v>
      </c>
      <c r="B18" s="27" t="s">
        <v>136</v>
      </c>
      <c r="C18" s="27" t="s">
        <v>132</v>
      </c>
      <c r="D18" s="31">
        <v>147389</v>
      </c>
      <c r="E18" s="29">
        <v>397.4344385</v>
      </c>
      <c r="F18" s="30">
        <v>0.88400660534514897</v>
      </c>
      <c r="G18" s="29"/>
    </row>
    <row r="19" spans="1:7" x14ac:dyDescent="0.2">
      <c r="A19" s="27" t="s">
        <v>139</v>
      </c>
      <c r="B19" s="27" t="s">
        <v>138</v>
      </c>
      <c r="C19" s="27" t="s">
        <v>140</v>
      </c>
      <c r="D19" s="31">
        <v>26468</v>
      </c>
      <c r="E19" s="29">
        <v>392.22929199999999</v>
      </c>
      <c r="F19" s="30">
        <v>0.87242888725620904</v>
      </c>
      <c r="G19" s="29"/>
    </row>
    <row r="20" spans="1:7" x14ac:dyDescent="0.2">
      <c r="A20" s="27" t="s">
        <v>142</v>
      </c>
      <c r="B20" s="27" t="s">
        <v>141</v>
      </c>
      <c r="C20" s="27" t="s">
        <v>143</v>
      </c>
      <c r="D20" s="31">
        <v>156244</v>
      </c>
      <c r="E20" s="29">
        <v>366.62654600000002</v>
      </c>
      <c r="F20" s="30">
        <v>0.81548113842901704</v>
      </c>
      <c r="G20" s="29"/>
    </row>
    <row r="21" spans="1:7" x14ac:dyDescent="0.2">
      <c r="A21" s="27" t="s">
        <v>145</v>
      </c>
      <c r="B21" s="27" t="s">
        <v>144</v>
      </c>
      <c r="C21" s="27" t="s">
        <v>111</v>
      </c>
      <c r="D21" s="31">
        <v>11019</v>
      </c>
      <c r="E21" s="29">
        <v>334.49827349999998</v>
      </c>
      <c r="F21" s="30">
        <v>0.74401877292409901</v>
      </c>
      <c r="G21" s="29"/>
    </row>
    <row r="22" spans="1:7" x14ac:dyDescent="0.2">
      <c r="A22" s="27" t="s">
        <v>147</v>
      </c>
      <c r="B22" s="27" t="s">
        <v>146</v>
      </c>
      <c r="C22" s="27" t="s">
        <v>108</v>
      </c>
      <c r="D22" s="31">
        <v>88509</v>
      </c>
      <c r="E22" s="29">
        <v>312.87931500000002</v>
      </c>
      <c r="F22" s="30">
        <v>0.69593209430909897</v>
      </c>
      <c r="G22" s="29"/>
    </row>
    <row r="23" spans="1:7" x14ac:dyDescent="0.2">
      <c r="A23" s="27" t="s">
        <v>149</v>
      </c>
      <c r="B23" s="27" t="s">
        <v>148</v>
      </c>
      <c r="C23" s="27" t="s">
        <v>140</v>
      </c>
      <c r="D23" s="31">
        <v>12800</v>
      </c>
      <c r="E23" s="29">
        <v>301.27999999999997</v>
      </c>
      <c r="F23" s="30">
        <v>0.67013193688897299</v>
      </c>
      <c r="G23" s="29"/>
    </row>
    <row r="24" spans="1:7" x14ac:dyDescent="0.2">
      <c r="A24" s="27" t="s">
        <v>151</v>
      </c>
      <c r="B24" s="27" t="s">
        <v>150</v>
      </c>
      <c r="C24" s="27" t="s">
        <v>152</v>
      </c>
      <c r="D24" s="31">
        <v>130625</v>
      </c>
      <c r="E24" s="29">
        <v>287.4403125</v>
      </c>
      <c r="F24" s="30">
        <v>0.63934855734066898</v>
      </c>
      <c r="G24" s="29"/>
    </row>
    <row r="25" spans="1:7" x14ac:dyDescent="0.2">
      <c r="A25" s="27" t="s">
        <v>154</v>
      </c>
      <c r="B25" s="27" t="s">
        <v>153</v>
      </c>
      <c r="C25" s="27" t="s">
        <v>152</v>
      </c>
      <c r="D25" s="31">
        <v>217407</v>
      </c>
      <c r="E25" s="29">
        <v>222.73347150000001</v>
      </c>
      <c r="F25" s="30">
        <v>0.495422240660847</v>
      </c>
      <c r="G25" s="29"/>
    </row>
    <row r="26" spans="1:7" x14ac:dyDescent="0.2">
      <c r="A26" s="27" t="s">
        <v>156</v>
      </c>
      <c r="B26" s="27" t="s">
        <v>155</v>
      </c>
      <c r="C26" s="27" t="s">
        <v>157</v>
      </c>
      <c r="D26" s="31">
        <v>26526</v>
      </c>
      <c r="E26" s="29">
        <v>199.62141299999999</v>
      </c>
      <c r="F26" s="30">
        <v>0.44401448532330001</v>
      </c>
      <c r="G26" s="29"/>
    </row>
    <row r="27" spans="1:7" x14ac:dyDescent="0.2">
      <c r="A27" s="27" t="s">
        <v>159</v>
      </c>
      <c r="B27" s="27" t="s">
        <v>158</v>
      </c>
      <c r="C27" s="27" t="s">
        <v>157</v>
      </c>
      <c r="D27" s="31">
        <v>4923</v>
      </c>
      <c r="E27" s="29">
        <v>188.7355125</v>
      </c>
      <c r="F27" s="30">
        <v>0.41980116354008901</v>
      </c>
      <c r="G27" s="29"/>
    </row>
    <row r="28" spans="1:7" x14ac:dyDescent="0.2">
      <c r="A28" s="27" t="s">
        <v>161</v>
      </c>
      <c r="B28" s="27" t="s">
        <v>160</v>
      </c>
      <c r="C28" s="27" t="s">
        <v>140</v>
      </c>
      <c r="D28" s="31">
        <v>15000</v>
      </c>
      <c r="E28" s="29">
        <v>181.785</v>
      </c>
      <c r="F28" s="30">
        <v>0.40434125779129698</v>
      </c>
      <c r="G28" s="29"/>
    </row>
    <row r="29" spans="1:7" x14ac:dyDescent="0.2">
      <c r="A29" s="27" t="s">
        <v>163</v>
      </c>
      <c r="B29" s="27" t="s">
        <v>162</v>
      </c>
      <c r="C29" s="27" t="s">
        <v>143</v>
      </c>
      <c r="D29" s="31">
        <v>43000</v>
      </c>
      <c r="E29" s="29">
        <v>181.374</v>
      </c>
      <c r="F29" s="30">
        <v>0.40342707754016399</v>
      </c>
      <c r="G29" s="29"/>
    </row>
    <row r="30" spans="1:7" x14ac:dyDescent="0.2">
      <c r="A30" s="27" t="s">
        <v>1149</v>
      </c>
      <c r="B30" s="27" t="s">
        <v>1150</v>
      </c>
      <c r="C30" s="27" t="s">
        <v>135</v>
      </c>
      <c r="D30" s="31">
        <v>7072</v>
      </c>
      <c r="E30" s="29">
        <v>177.45416</v>
      </c>
      <c r="F30" s="30">
        <v>0.39470824465548898</v>
      </c>
      <c r="G30" s="29"/>
    </row>
    <row r="31" spans="1:7" x14ac:dyDescent="0.2">
      <c r="A31" s="27" t="s">
        <v>165</v>
      </c>
      <c r="B31" s="27" t="s">
        <v>164</v>
      </c>
      <c r="C31" s="27" t="s">
        <v>108</v>
      </c>
      <c r="D31" s="31">
        <v>87200</v>
      </c>
      <c r="E31" s="29">
        <v>145.40600000000001</v>
      </c>
      <c r="F31" s="30">
        <v>0.32342407201034901</v>
      </c>
      <c r="G31" s="29"/>
    </row>
    <row r="32" spans="1:7" x14ac:dyDescent="0.2">
      <c r="A32" s="27" t="s">
        <v>167</v>
      </c>
      <c r="B32" s="27" t="s">
        <v>166</v>
      </c>
      <c r="C32" s="27" t="s">
        <v>135</v>
      </c>
      <c r="D32" s="31">
        <v>23760</v>
      </c>
      <c r="E32" s="29">
        <v>135.70524</v>
      </c>
      <c r="F32" s="30">
        <v>0.30184683791550398</v>
      </c>
      <c r="G32" s="29"/>
    </row>
    <row r="33" spans="1:9" x14ac:dyDescent="0.2">
      <c r="A33" s="27" t="s">
        <v>169</v>
      </c>
      <c r="B33" s="27" t="s">
        <v>168</v>
      </c>
      <c r="C33" s="27" t="s">
        <v>157</v>
      </c>
      <c r="D33" s="31">
        <v>39940</v>
      </c>
      <c r="E33" s="29">
        <v>117.36369000000001</v>
      </c>
      <c r="F33" s="30">
        <v>0.261050042817768</v>
      </c>
      <c r="G33" s="29"/>
    </row>
    <row r="34" spans="1:9" x14ac:dyDescent="0.2">
      <c r="A34" s="27" t="s">
        <v>171</v>
      </c>
      <c r="B34" s="27" t="s">
        <v>170</v>
      </c>
      <c r="C34" s="27" t="s">
        <v>172</v>
      </c>
      <c r="D34" s="31">
        <v>65910</v>
      </c>
      <c r="E34" s="29">
        <v>115.3425</v>
      </c>
      <c r="F34" s="30">
        <v>0.25655434456524301</v>
      </c>
      <c r="G34" s="29"/>
    </row>
    <row r="35" spans="1:9" x14ac:dyDescent="0.2">
      <c r="A35" s="27" t="s">
        <v>174</v>
      </c>
      <c r="B35" s="27" t="s">
        <v>173</v>
      </c>
      <c r="C35" s="27" t="s">
        <v>175</v>
      </c>
      <c r="D35" s="31">
        <v>153047</v>
      </c>
      <c r="E35" s="29">
        <v>82.951474000000005</v>
      </c>
      <c r="F35" s="30">
        <v>0.18450754095663599</v>
      </c>
      <c r="G35" s="29"/>
    </row>
    <row r="36" spans="1:9" x14ac:dyDescent="0.2">
      <c r="A36" s="27" t="s">
        <v>177</v>
      </c>
      <c r="B36" s="27" t="s">
        <v>176</v>
      </c>
      <c r="C36" s="27" t="s">
        <v>172</v>
      </c>
      <c r="D36" s="31">
        <v>7703</v>
      </c>
      <c r="E36" s="29">
        <v>11.1886075</v>
      </c>
      <c r="F36" s="30">
        <v>2.4886627771725602E-2</v>
      </c>
      <c r="G36" s="29"/>
    </row>
    <row r="37" spans="1:9" x14ac:dyDescent="0.2">
      <c r="A37" s="26" t="s">
        <v>39</v>
      </c>
      <c r="B37" s="26"/>
      <c r="C37" s="26"/>
      <c r="D37" s="32"/>
      <c r="E37" s="33">
        <f>SUM(E7:E36)</f>
        <v>13534.2182015</v>
      </c>
      <c r="F37" s="34">
        <f>SUM(F7:F36)</f>
        <v>30.103929426610435</v>
      </c>
      <c r="G37" s="33"/>
      <c r="H37" s="18"/>
      <c r="I37" s="18"/>
    </row>
    <row r="38" spans="1:9" x14ac:dyDescent="0.2">
      <c r="A38" s="27"/>
      <c r="B38" s="27"/>
      <c r="C38" s="27"/>
      <c r="D38" s="28"/>
      <c r="E38" s="29"/>
      <c r="F38" s="30"/>
      <c r="G38" s="29"/>
    </row>
    <row r="39" spans="1:9" x14ac:dyDescent="0.2">
      <c r="A39" s="26" t="s">
        <v>35</v>
      </c>
      <c r="B39" s="27"/>
      <c r="C39" s="27"/>
      <c r="D39" s="28"/>
      <c r="E39" s="29"/>
      <c r="F39" s="30"/>
      <c r="G39" s="29"/>
    </row>
    <row r="40" spans="1:9" x14ac:dyDescent="0.2">
      <c r="A40" s="26" t="s">
        <v>36</v>
      </c>
      <c r="B40" s="27"/>
      <c r="C40" s="27"/>
      <c r="D40" s="28"/>
      <c r="E40" s="29"/>
      <c r="F40" s="30"/>
      <c r="G40" s="29"/>
    </row>
    <row r="41" spans="1:9" x14ac:dyDescent="0.2">
      <c r="A41" s="27" t="s">
        <v>179</v>
      </c>
      <c r="B41" s="27" t="s">
        <v>178</v>
      </c>
      <c r="C41" s="27" t="s">
        <v>38</v>
      </c>
      <c r="D41" s="31">
        <v>200</v>
      </c>
      <c r="E41" s="29">
        <v>2075.5300000000002</v>
      </c>
      <c r="F41" s="30">
        <v>4.61656578256496</v>
      </c>
      <c r="G41" s="29">
        <v>4.91</v>
      </c>
    </row>
    <row r="42" spans="1:9" x14ac:dyDescent="0.2">
      <c r="A42" s="27" t="s">
        <v>1151</v>
      </c>
      <c r="B42" s="27" t="s">
        <v>1152</v>
      </c>
      <c r="C42" s="27" t="s">
        <v>38</v>
      </c>
      <c r="D42" s="31">
        <v>150</v>
      </c>
      <c r="E42" s="29">
        <v>1661.847</v>
      </c>
      <c r="F42" s="30">
        <v>3.6964177805467702</v>
      </c>
      <c r="G42" s="29">
        <v>5.4</v>
      </c>
    </row>
    <row r="43" spans="1:9" x14ac:dyDescent="0.2">
      <c r="A43" s="27" t="s">
        <v>1153</v>
      </c>
      <c r="B43" s="27" t="s">
        <v>1154</v>
      </c>
      <c r="C43" s="27" t="s">
        <v>38</v>
      </c>
      <c r="D43" s="31">
        <v>65</v>
      </c>
      <c r="E43" s="29">
        <v>720.03099999999995</v>
      </c>
      <c r="F43" s="30">
        <v>1.6015526043882899</v>
      </c>
      <c r="G43" s="29">
        <v>7</v>
      </c>
    </row>
    <row r="44" spans="1:9" x14ac:dyDescent="0.2">
      <c r="A44" s="27" t="s">
        <v>100</v>
      </c>
      <c r="B44" s="27" t="s">
        <v>99</v>
      </c>
      <c r="C44" s="27" t="s">
        <v>37</v>
      </c>
      <c r="D44" s="31">
        <v>50</v>
      </c>
      <c r="E44" s="29">
        <v>501.90249999999997</v>
      </c>
      <c r="F44" s="30">
        <v>1.1163731228572</v>
      </c>
      <c r="G44" s="29">
        <v>8.9498999999999995</v>
      </c>
    </row>
    <row r="45" spans="1:9" x14ac:dyDescent="0.2">
      <c r="A45" s="27" t="s">
        <v>958</v>
      </c>
      <c r="B45" s="27" t="s">
        <v>959</v>
      </c>
      <c r="C45" s="27" t="s">
        <v>38</v>
      </c>
      <c r="D45" s="31">
        <v>45</v>
      </c>
      <c r="E45" s="29">
        <v>494.75835000000001</v>
      </c>
      <c r="F45" s="30">
        <v>1.1004825125381501</v>
      </c>
      <c r="G45" s="29">
        <v>5.9458000000000002</v>
      </c>
    </row>
    <row r="46" spans="1:9" x14ac:dyDescent="0.2">
      <c r="A46" s="27" t="s">
        <v>102</v>
      </c>
      <c r="B46" s="27" t="s">
        <v>101</v>
      </c>
      <c r="C46" s="27" t="s">
        <v>38</v>
      </c>
      <c r="D46" s="31">
        <v>18</v>
      </c>
      <c r="E46" s="29">
        <v>199.78631999999999</v>
      </c>
      <c r="F46" s="30">
        <v>0.44438128513515801</v>
      </c>
      <c r="G46" s="29">
        <v>7</v>
      </c>
    </row>
    <row r="47" spans="1:9" x14ac:dyDescent="0.2">
      <c r="A47" s="26" t="s">
        <v>39</v>
      </c>
      <c r="B47" s="26"/>
      <c r="C47" s="26"/>
      <c r="D47" s="32"/>
      <c r="E47" s="33">
        <f>SUM(E40:E46)</f>
        <v>5653.8551700000007</v>
      </c>
      <c r="F47" s="34">
        <f>SUM(F40:F46)</f>
        <v>12.575773088030529</v>
      </c>
      <c r="G47" s="33"/>
      <c r="H47" s="18"/>
      <c r="I47" s="18"/>
    </row>
    <row r="48" spans="1:9" x14ac:dyDescent="0.2">
      <c r="A48" s="27"/>
      <c r="B48" s="27"/>
      <c r="C48" s="27"/>
      <c r="D48" s="28"/>
      <c r="E48" s="29"/>
      <c r="F48" s="30"/>
      <c r="G48" s="29"/>
    </row>
    <row r="49" spans="1:9" x14ac:dyDescent="0.2">
      <c r="A49" s="26" t="s">
        <v>59</v>
      </c>
      <c r="B49" s="27"/>
      <c r="C49" s="27"/>
      <c r="D49" s="28"/>
      <c r="E49" s="29"/>
      <c r="F49" s="30"/>
      <c r="G49" s="29"/>
    </row>
    <row r="50" spans="1:9" x14ac:dyDescent="0.2">
      <c r="A50" s="26" t="s">
        <v>63</v>
      </c>
      <c r="B50" s="27"/>
      <c r="C50" s="27"/>
      <c r="D50" s="28"/>
      <c r="E50" s="29"/>
      <c r="F50" s="30"/>
      <c r="G50" s="29"/>
    </row>
    <row r="51" spans="1:9" x14ac:dyDescent="0.2">
      <c r="A51" s="27" t="s">
        <v>1155</v>
      </c>
      <c r="B51" s="27" t="s">
        <v>1156</v>
      </c>
      <c r="C51" s="27" t="s">
        <v>61</v>
      </c>
      <c r="D51" s="31">
        <v>400</v>
      </c>
      <c r="E51" s="29">
        <v>1953.826</v>
      </c>
      <c r="F51" s="30">
        <v>4.3458616626528004</v>
      </c>
      <c r="G51" s="29">
        <v>3.8</v>
      </c>
    </row>
    <row r="52" spans="1:9" x14ac:dyDescent="0.2">
      <c r="A52" s="26" t="s">
        <v>39</v>
      </c>
      <c r="B52" s="26"/>
      <c r="C52" s="26"/>
      <c r="D52" s="32"/>
      <c r="E52" s="33">
        <f>SUM(E50:E51)</f>
        <v>1953.826</v>
      </c>
      <c r="F52" s="34">
        <f>SUM(F50:F51)</f>
        <v>4.3458616626528004</v>
      </c>
      <c r="G52" s="33"/>
      <c r="H52" s="18"/>
      <c r="I52" s="18"/>
    </row>
    <row r="53" spans="1:9" x14ac:dyDescent="0.2">
      <c r="A53" s="27"/>
      <c r="B53" s="27"/>
      <c r="C53" s="27"/>
      <c r="D53" s="28"/>
      <c r="E53" s="29"/>
      <c r="F53" s="30"/>
      <c r="G53" s="29"/>
    </row>
    <row r="54" spans="1:9" x14ac:dyDescent="0.2">
      <c r="A54" s="26" t="s">
        <v>69</v>
      </c>
      <c r="B54" s="27"/>
      <c r="C54" s="27"/>
      <c r="D54" s="28"/>
      <c r="E54" s="29"/>
      <c r="F54" s="30"/>
      <c r="G54" s="29"/>
    </row>
    <row r="55" spans="1:9" x14ac:dyDescent="0.2">
      <c r="A55" s="27" t="s">
        <v>88</v>
      </c>
      <c r="B55" s="27" t="s">
        <v>87</v>
      </c>
      <c r="C55" s="27" t="s">
        <v>74</v>
      </c>
      <c r="D55" s="31">
        <v>5000000</v>
      </c>
      <c r="E55" s="29">
        <v>4960.09</v>
      </c>
      <c r="F55" s="30">
        <v>11.032643118838401</v>
      </c>
      <c r="G55" s="29">
        <v>3.2999000000000001</v>
      </c>
    </row>
    <row r="56" spans="1:9" x14ac:dyDescent="0.2">
      <c r="A56" s="26" t="s">
        <v>39</v>
      </c>
      <c r="B56" s="26"/>
      <c r="C56" s="26"/>
      <c r="D56" s="32"/>
      <c r="E56" s="33">
        <f>SUM(E54:E55)</f>
        <v>4960.09</v>
      </c>
      <c r="F56" s="34">
        <f>SUM(F54:F55)</f>
        <v>11.032643118838401</v>
      </c>
      <c r="G56" s="33"/>
      <c r="H56" s="18"/>
      <c r="I56" s="18"/>
    </row>
    <row r="57" spans="1:9" x14ac:dyDescent="0.2">
      <c r="A57" s="27"/>
      <c r="B57" s="27"/>
      <c r="C57" s="27"/>
      <c r="D57" s="28"/>
      <c r="E57" s="29"/>
      <c r="F57" s="30"/>
      <c r="G57" s="29"/>
    </row>
    <row r="58" spans="1:9" x14ac:dyDescent="0.2">
      <c r="A58" s="26" t="s">
        <v>71</v>
      </c>
      <c r="B58" s="27"/>
      <c r="C58" s="27"/>
      <c r="D58" s="28"/>
      <c r="E58" s="29"/>
      <c r="F58" s="30"/>
      <c r="G58" s="29"/>
    </row>
    <row r="59" spans="1:9" x14ac:dyDescent="0.2">
      <c r="A59" s="27" t="s">
        <v>90</v>
      </c>
      <c r="B59" s="27" t="s">
        <v>89</v>
      </c>
      <c r="C59" s="27" t="s">
        <v>74</v>
      </c>
      <c r="D59" s="31">
        <v>5500000</v>
      </c>
      <c r="E59" s="29">
        <v>5441.0675000000001</v>
      </c>
      <c r="F59" s="30">
        <v>12.1024731230704</v>
      </c>
      <c r="G59" s="29">
        <v>5.42</v>
      </c>
    </row>
    <row r="60" spans="1:9" x14ac:dyDescent="0.2">
      <c r="A60" s="27" t="s">
        <v>1031</v>
      </c>
      <c r="B60" s="27" t="s">
        <v>1032</v>
      </c>
      <c r="C60" s="27" t="s">
        <v>74</v>
      </c>
      <c r="D60" s="31">
        <v>3165000</v>
      </c>
      <c r="E60" s="29">
        <v>3282.0385350000001</v>
      </c>
      <c r="F60" s="30">
        <v>7.30018202470725</v>
      </c>
      <c r="G60" s="29">
        <v>6.0491999999999999</v>
      </c>
    </row>
    <row r="61" spans="1:9" x14ac:dyDescent="0.2">
      <c r="A61" s="27" t="s">
        <v>92</v>
      </c>
      <c r="B61" s="27" t="s">
        <v>91</v>
      </c>
      <c r="C61" s="27" t="s">
        <v>74</v>
      </c>
      <c r="D61" s="31">
        <v>2600000</v>
      </c>
      <c r="E61" s="29">
        <v>2763.6934000000001</v>
      </c>
      <c r="F61" s="30">
        <v>6.1472358308194099</v>
      </c>
      <c r="G61" s="29">
        <v>5.7842000000000002</v>
      </c>
    </row>
    <row r="62" spans="1:9" x14ac:dyDescent="0.2">
      <c r="A62" s="27" t="s">
        <v>1029</v>
      </c>
      <c r="B62" s="27" t="s">
        <v>1030</v>
      </c>
      <c r="C62" s="27" t="s">
        <v>74</v>
      </c>
      <c r="D62" s="31">
        <v>2125000</v>
      </c>
      <c r="E62" s="29">
        <v>2238.5706249999998</v>
      </c>
      <c r="F62" s="30">
        <v>4.9792142485196802</v>
      </c>
      <c r="G62" s="29">
        <v>6.1797000000000004</v>
      </c>
    </row>
    <row r="63" spans="1:9" x14ac:dyDescent="0.2">
      <c r="A63" s="27" t="s">
        <v>104</v>
      </c>
      <c r="B63" s="27" t="s">
        <v>103</v>
      </c>
      <c r="C63" s="27" t="s">
        <v>74</v>
      </c>
      <c r="D63" s="31">
        <v>900000</v>
      </c>
      <c r="E63" s="29">
        <v>931.76009999999997</v>
      </c>
      <c r="F63" s="30">
        <v>2.0724980102524699</v>
      </c>
      <c r="G63" s="29">
        <v>5.0692000000000004</v>
      </c>
    </row>
    <row r="64" spans="1:9" x14ac:dyDescent="0.2">
      <c r="A64" s="27" t="s">
        <v>94</v>
      </c>
      <c r="B64" s="27" t="s">
        <v>93</v>
      </c>
      <c r="C64" s="27" t="s">
        <v>74</v>
      </c>
      <c r="D64" s="31">
        <v>400000</v>
      </c>
      <c r="E64" s="29">
        <v>425.84960000000001</v>
      </c>
      <c r="F64" s="30">
        <v>0.94720996173458105</v>
      </c>
      <c r="G64" s="29">
        <v>4.7731000000000003</v>
      </c>
    </row>
    <row r="65" spans="1:9" x14ac:dyDescent="0.2">
      <c r="A65" s="27" t="s">
        <v>96</v>
      </c>
      <c r="B65" s="27" t="s">
        <v>95</v>
      </c>
      <c r="C65" s="27" t="s">
        <v>74</v>
      </c>
      <c r="D65" s="31">
        <v>100000</v>
      </c>
      <c r="E65" s="29">
        <v>99.393000000000001</v>
      </c>
      <c r="F65" s="30">
        <v>0.22107814525758701</v>
      </c>
      <c r="G65" s="29">
        <v>5.3844000000000003</v>
      </c>
    </row>
    <row r="66" spans="1:9" x14ac:dyDescent="0.2">
      <c r="A66" s="26" t="s">
        <v>39</v>
      </c>
      <c r="B66" s="26"/>
      <c r="C66" s="26"/>
      <c r="D66" s="32"/>
      <c r="E66" s="33">
        <f>SUM(E59:E65)</f>
        <v>15182.37276</v>
      </c>
      <c r="F66" s="34">
        <f>SUM(F59:F65)</f>
        <v>33.769891344361376</v>
      </c>
      <c r="G66" s="33"/>
      <c r="H66" s="18"/>
      <c r="I66" s="18"/>
    </row>
    <row r="67" spans="1:9" x14ac:dyDescent="0.2">
      <c r="A67" s="27"/>
      <c r="B67" s="27"/>
      <c r="C67" s="27"/>
      <c r="D67" s="28"/>
      <c r="E67" s="29"/>
      <c r="F67" s="30"/>
      <c r="G67" s="29"/>
    </row>
    <row r="68" spans="1:9" x14ac:dyDescent="0.2">
      <c r="A68" s="26" t="s">
        <v>42</v>
      </c>
      <c r="B68" s="26"/>
      <c r="C68" s="26"/>
      <c r="D68" s="32"/>
      <c r="E68" s="33">
        <f>E37+E47+E52+E56+E66</f>
        <v>41284.362131500005</v>
      </c>
      <c r="F68" s="34">
        <f>F37+F47+F52+F56+F66</f>
        <v>91.82809864049355</v>
      </c>
      <c r="G68" s="33"/>
      <c r="H68" s="18"/>
      <c r="I68" s="18"/>
    </row>
    <row r="69" spans="1:9" x14ac:dyDescent="0.2">
      <c r="A69" s="26"/>
      <c r="B69" s="26"/>
      <c r="C69" s="26"/>
      <c r="D69" s="32"/>
      <c r="E69" s="33"/>
      <c r="F69" s="34"/>
      <c r="G69" s="33"/>
      <c r="H69" s="18"/>
      <c r="I69" s="18"/>
    </row>
    <row r="70" spans="1:9" x14ac:dyDescent="0.2">
      <c r="A70" s="26" t="s">
        <v>44</v>
      </c>
      <c r="B70" s="26"/>
      <c r="C70" s="26"/>
      <c r="D70" s="32"/>
      <c r="E70" s="33">
        <f>E72-(E37+E47+E52+E56+E66)</f>
        <v>3673.9488241999934</v>
      </c>
      <c r="F70" s="34">
        <f>F72-(F37+F47+F52+F56+F66)</f>
        <v>8.1719013595064496</v>
      </c>
      <c r="G70" s="33"/>
      <c r="H70" s="18"/>
      <c r="I70" s="18"/>
    </row>
    <row r="71" spans="1:9" x14ac:dyDescent="0.2">
      <c r="A71" s="26"/>
      <c r="B71" s="26"/>
      <c r="C71" s="26"/>
      <c r="D71" s="32"/>
      <c r="E71" s="33"/>
      <c r="F71" s="34"/>
      <c r="G71" s="33"/>
      <c r="H71" s="18"/>
      <c r="I71" s="18"/>
    </row>
    <row r="72" spans="1:9" x14ac:dyDescent="0.2">
      <c r="A72" s="35" t="s">
        <v>43</v>
      </c>
      <c r="B72" s="35"/>
      <c r="C72" s="35"/>
      <c r="D72" s="36"/>
      <c r="E72" s="37">
        <v>44958.310955699999</v>
      </c>
      <c r="F72" s="38">
        <v>100</v>
      </c>
      <c r="G72" s="37"/>
      <c r="H72" s="18"/>
      <c r="I72" s="18"/>
    </row>
    <row r="74" spans="1:9" x14ac:dyDescent="0.2">
      <c r="A74" s="18" t="s">
        <v>75</v>
      </c>
    </row>
    <row r="75" spans="1:9" x14ac:dyDescent="0.2">
      <c r="A75" s="18" t="s">
        <v>46</v>
      </c>
    </row>
    <row r="77" spans="1:9" x14ac:dyDescent="0.2">
      <c r="A77" s="18" t="s">
        <v>47</v>
      </c>
    </row>
    <row r="78" spans="1:9" x14ac:dyDescent="0.2">
      <c r="A78" s="18" t="s">
        <v>48</v>
      </c>
    </row>
    <row r="79" spans="1:9" x14ac:dyDescent="0.2">
      <c r="A79" s="18" t="s">
        <v>49</v>
      </c>
      <c r="B79" s="18"/>
      <c r="C79" s="41" t="s">
        <v>731</v>
      </c>
      <c r="D79" s="41" t="s">
        <v>50</v>
      </c>
    </row>
    <row r="80" spans="1:9" x14ac:dyDescent="0.2">
      <c r="A80" s="9" t="s">
        <v>79</v>
      </c>
      <c r="C80" s="40">
        <v>135.84790000000001</v>
      </c>
      <c r="D80" s="40">
        <v>150.38720000000001</v>
      </c>
    </row>
    <row r="81" spans="1:7" x14ac:dyDescent="0.2">
      <c r="A81" s="9" t="s">
        <v>85</v>
      </c>
      <c r="C81" s="40">
        <v>16.757899999999999</v>
      </c>
      <c r="D81" s="40">
        <v>17.256499999999999</v>
      </c>
    </row>
    <row r="82" spans="1:7" x14ac:dyDescent="0.2">
      <c r="A82" s="9" t="s">
        <v>82</v>
      </c>
      <c r="C82" s="40">
        <v>143.57329999999999</v>
      </c>
      <c r="D82" s="40">
        <v>159.5369</v>
      </c>
    </row>
    <row r="83" spans="1:7" x14ac:dyDescent="0.2">
      <c r="A83" s="9" t="s">
        <v>86</v>
      </c>
      <c r="C83" s="40">
        <v>17.9453</v>
      </c>
      <c r="D83" s="40">
        <v>18.6388</v>
      </c>
    </row>
    <row r="85" spans="1:7" x14ac:dyDescent="0.2">
      <c r="A85" s="18" t="s">
        <v>53</v>
      </c>
    </row>
    <row r="86" spans="1:7" x14ac:dyDescent="0.2">
      <c r="A86" s="82" t="s">
        <v>76</v>
      </c>
      <c r="B86" s="83"/>
      <c r="C86" s="44" t="s">
        <v>77</v>
      </c>
    </row>
    <row r="87" spans="1:7" x14ac:dyDescent="0.2">
      <c r="A87" s="78" t="s">
        <v>85</v>
      </c>
      <c r="B87" s="79"/>
      <c r="C87" s="45">
        <v>1.25</v>
      </c>
    </row>
    <row r="88" spans="1:7" x14ac:dyDescent="0.2">
      <c r="A88" s="78" t="s">
        <v>86</v>
      </c>
      <c r="B88" s="79"/>
      <c r="C88" s="45">
        <v>1.25</v>
      </c>
    </row>
    <row r="89" spans="1:7" x14ac:dyDescent="0.2">
      <c r="A89" s="9" t="s">
        <v>78</v>
      </c>
    </row>
    <row r="90" spans="1:7" x14ac:dyDescent="0.2">
      <c r="A90" s="9" t="s">
        <v>52</v>
      </c>
    </row>
    <row r="92" spans="1:7" x14ac:dyDescent="0.2">
      <c r="A92" s="18" t="s">
        <v>820</v>
      </c>
      <c r="D92" s="42">
        <v>3.2088786905781155</v>
      </c>
      <c r="E92" s="13" t="s">
        <v>55</v>
      </c>
    </row>
    <row r="94" spans="1:7" x14ac:dyDescent="0.2">
      <c r="A94" s="18" t="s">
        <v>56</v>
      </c>
      <c r="D94" s="41" t="s">
        <v>54</v>
      </c>
    </row>
    <row r="96" spans="1:7" ht="15" customHeight="1" x14ac:dyDescent="0.2">
      <c r="A96" s="80" t="s">
        <v>821</v>
      </c>
      <c r="B96" s="81"/>
      <c r="C96" s="81"/>
      <c r="D96" s="81"/>
      <c r="E96" s="81"/>
      <c r="F96" s="81"/>
      <c r="G96" s="81"/>
    </row>
    <row r="97" spans="1:1" x14ac:dyDescent="0.2">
      <c r="A97" s="53" t="s">
        <v>57</v>
      </c>
    </row>
    <row r="99" spans="1:1" x14ac:dyDescent="0.2">
      <c r="A99" s="53"/>
    </row>
  </sheetData>
  <mergeCells count="5">
    <mergeCell ref="A1:G1"/>
    <mergeCell ref="A86:B86"/>
    <mergeCell ref="A87:B87"/>
    <mergeCell ref="A88:B88"/>
    <mergeCell ref="A96:G96"/>
  </mergeCells>
  <conditionalFormatting sqref="F2:F3 F5:F95 F100:F65536">
    <cfRule type="cellIs" dxfId="86" priority="3" stopIfTrue="1" operator="between">
      <formula>0.009</formula>
      <formula>-0.009</formula>
    </cfRule>
  </conditionalFormatting>
  <conditionalFormatting sqref="F98:F99">
    <cfRule type="cellIs" dxfId="85" priority="2" stopIfTrue="1" operator="between">
      <formula>0.009</formula>
      <formula>-0.009</formula>
    </cfRule>
  </conditionalFormatting>
  <conditionalFormatting sqref="F97">
    <cfRule type="cellIs" dxfId="84" priority="1" stopIfTrue="1" operator="between">
      <formula>0.009</formula>
      <formula>-0.009</formula>
    </cfRule>
  </conditionalFormatting>
  <hyperlinks>
    <hyperlink ref="A97" r:id="rId1" xr:uid="{00000000-0004-0000-1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5.109375" style="9" bestFit="1" customWidth="1"/>
    <col min="4" max="4" width="15.33203125" style="10" bestFit="1" customWidth="1"/>
    <col min="5" max="5" width="23" style="13" bestFit="1" customWidth="1"/>
    <col min="6" max="6" width="14.6640625" style="14" bestFit="1" customWidth="1"/>
    <col min="7" max="7" width="14.33203125" style="13" customWidth="1"/>
    <col min="8" max="16384" width="9.109375" style="9"/>
  </cols>
  <sheetData>
    <row r="1" spans="1:7" s="1" customFormat="1" ht="13.8" x14ac:dyDescent="0.2">
      <c r="A1" s="76" t="s">
        <v>1157</v>
      </c>
      <c r="B1" s="77"/>
      <c r="C1" s="77"/>
      <c r="D1" s="77"/>
      <c r="E1" s="77"/>
      <c r="F1" s="77"/>
      <c r="G1" s="77"/>
    </row>
    <row r="2" spans="1:7" s="1" customFormat="1" ht="12" x14ac:dyDescent="0.25">
      <c r="A2" s="57" t="s">
        <v>1158</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105</v>
      </c>
      <c r="B5" s="22"/>
      <c r="C5" s="22"/>
      <c r="D5" s="23"/>
      <c r="E5" s="24"/>
      <c r="F5" s="25"/>
      <c r="G5" s="24"/>
    </row>
    <row r="6" spans="1:7" x14ac:dyDescent="0.2">
      <c r="A6" s="26" t="s">
        <v>36</v>
      </c>
      <c r="B6" s="27"/>
      <c r="C6" s="27"/>
      <c r="D6" s="28"/>
      <c r="E6" s="29"/>
      <c r="F6" s="30"/>
      <c r="G6" s="29"/>
    </row>
    <row r="7" spans="1:7" x14ac:dyDescent="0.2">
      <c r="A7" s="27" t="s">
        <v>113</v>
      </c>
      <c r="B7" s="27" t="s">
        <v>112</v>
      </c>
      <c r="C7" s="27" t="s">
        <v>108</v>
      </c>
      <c r="D7" s="31">
        <v>70488</v>
      </c>
      <c r="E7" s="29">
        <v>503.91871200000003</v>
      </c>
      <c r="F7" s="30">
        <v>2.6687247530125</v>
      </c>
      <c r="G7" s="29"/>
    </row>
    <row r="8" spans="1:7" x14ac:dyDescent="0.2">
      <c r="A8" s="27" t="s">
        <v>110</v>
      </c>
      <c r="B8" s="27" t="s">
        <v>109</v>
      </c>
      <c r="C8" s="27" t="s">
        <v>111</v>
      </c>
      <c r="D8" s="31">
        <v>34838</v>
      </c>
      <c r="E8" s="29">
        <v>471.82845300000002</v>
      </c>
      <c r="F8" s="30">
        <v>2.498776571918</v>
      </c>
      <c r="G8" s="29"/>
    </row>
    <row r="9" spans="1:7" x14ac:dyDescent="0.2">
      <c r="A9" s="27" t="s">
        <v>115</v>
      </c>
      <c r="B9" s="27" t="s">
        <v>114</v>
      </c>
      <c r="C9" s="27" t="s">
        <v>108</v>
      </c>
      <c r="D9" s="31">
        <v>45874</v>
      </c>
      <c r="E9" s="29">
        <v>275.47336999999999</v>
      </c>
      <c r="F9" s="30">
        <v>1.45889125330748</v>
      </c>
      <c r="G9" s="29"/>
    </row>
    <row r="10" spans="1:7" x14ac:dyDescent="0.2">
      <c r="A10" s="27" t="s">
        <v>107</v>
      </c>
      <c r="B10" s="27" t="s">
        <v>106</v>
      </c>
      <c r="C10" s="27" t="s">
        <v>108</v>
      </c>
      <c r="D10" s="31">
        <v>18986</v>
      </c>
      <c r="E10" s="29">
        <v>268.13927799999999</v>
      </c>
      <c r="F10" s="30">
        <v>1.42005032044434</v>
      </c>
      <c r="G10" s="29"/>
    </row>
    <row r="11" spans="1:7" x14ac:dyDescent="0.2">
      <c r="A11" s="27" t="s">
        <v>125</v>
      </c>
      <c r="B11" s="27" t="s">
        <v>124</v>
      </c>
      <c r="C11" s="27" t="s">
        <v>126</v>
      </c>
      <c r="D11" s="31">
        <v>24500</v>
      </c>
      <c r="E11" s="29">
        <v>234.50174999999999</v>
      </c>
      <c r="F11" s="30">
        <v>1.2419078909888699</v>
      </c>
      <c r="G11" s="29"/>
    </row>
    <row r="12" spans="1:7" x14ac:dyDescent="0.2">
      <c r="A12" s="27" t="s">
        <v>151</v>
      </c>
      <c r="B12" s="27" t="s">
        <v>150</v>
      </c>
      <c r="C12" s="27" t="s">
        <v>152</v>
      </c>
      <c r="D12" s="31">
        <v>103926</v>
      </c>
      <c r="E12" s="29">
        <v>228.68916300000001</v>
      </c>
      <c r="F12" s="30">
        <v>1.2111247618123999</v>
      </c>
      <c r="G12" s="29"/>
    </row>
    <row r="13" spans="1:7" x14ac:dyDescent="0.2">
      <c r="A13" s="27" t="s">
        <v>137</v>
      </c>
      <c r="B13" s="27" t="s">
        <v>136</v>
      </c>
      <c r="C13" s="27" t="s">
        <v>132</v>
      </c>
      <c r="D13" s="31">
        <v>84403</v>
      </c>
      <c r="E13" s="29">
        <v>227.59268950000001</v>
      </c>
      <c r="F13" s="30">
        <v>1.20531790070407</v>
      </c>
      <c r="G13" s="29"/>
    </row>
    <row r="14" spans="1:7" x14ac:dyDescent="0.2">
      <c r="A14" s="27" t="s">
        <v>134</v>
      </c>
      <c r="B14" s="27" t="s">
        <v>133</v>
      </c>
      <c r="C14" s="27" t="s">
        <v>135</v>
      </c>
      <c r="D14" s="31">
        <v>4300</v>
      </c>
      <c r="E14" s="29">
        <v>222.01329999999999</v>
      </c>
      <c r="F14" s="30">
        <v>1.17576977218498</v>
      </c>
      <c r="G14" s="29"/>
    </row>
    <row r="15" spans="1:7" x14ac:dyDescent="0.2">
      <c r="A15" s="27" t="s">
        <v>117</v>
      </c>
      <c r="B15" s="27" t="s">
        <v>116</v>
      </c>
      <c r="C15" s="27" t="s">
        <v>118</v>
      </c>
      <c r="D15" s="31">
        <v>36903</v>
      </c>
      <c r="E15" s="29">
        <v>198.0768525</v>
      </c>
      <c r="F15" s="30">
        <v>1.04900371166522</v>
      </c>
      <c r="G15" s="29"/>
    </row>
    <row r="16" spans="1:7" x14ac:dyDescent="0.2">
      <c r="A16" s="27" t="s">
        <v>181</v>
      </c>
      <c r="B16" s="27" t="s">
        <v>180</v>
      </c>
      <c r="C16" s="27" t="s">
        <v>140</v>
      </c>
      <c r="D16" s="31">
        <v>33697</v>
      </c>
      <c r="E16" s="29">
        <v>187.27107749999999</v>
      </c>
      <c r="F16" s="30">
        <v>0.99177694367414504</v>
      </c>
      <c r="G16" s="29"/>
    </row>
    <row r="17" spans="1:9" x14ac:dyDescent="0.2">
      <c r="A17" s="27" t="s">
        <v>128</v>
      </c>
      <c r="B17" s="27" t="s">
        <v>127</v>
      </c>
      <c r="C17" s="27" t="s">
        <v>129</v>
      </c>
      <c r="D17" s="31">
        <v>41457</v>
      </c>
      <c r="E17" s="29">
        <v>151.06930800000001</v>
      </c>
      <c r="F17" s="30">
        <v>0.80005443751028804</v>
      </c>
      <c r="G17" s="29"/>
    </row>
    <row r="18" spans="1:9" x14ac:dyDescent="0.2">
      <c r="A18" s="27" t="s">
        <v>139</v>
      </c>
      <c r="B18" s="27" t="s">
        <v>138</v>
      </c>
      <c r="C18" s="27" t="s">
        <v>140</v>
      </c>
      <c r="D18" s="31">
        <v>9526</v>
      </c>
      <c r="E18" s="29">
        <v>141.16579400000001</v>
      </c>
      <c r="F18" s="30">
        <v>0.747605992306281</v>
      </c>
      <c r="G18" s="29"/>
    </row>
    <row r="19" spans="1:9" x14ac:dyDescent="0.2">
      <c r="A19" s="27" t="s">
        <v>120</v>
      </c>
      <c r="B19" s="27" t="s">
        <v>119</v>
      </c>
      <c r="C19" s="27" t="s">
        <v>121</v>
      </c>
      <c r="D19" s="31">
        <v>7500</v>
      </c>
      <c r="E19" s="29">
        <v>132.74625</v>
      </c>
      <c r="F19" s="30">
        <v>0.703016567570099</v>
      </c>
      <c r="G19" s="29"/>
    </row>
    <row r="20" spans="1:9" x14ac:dyDescent="0.2">
      <c r="A20" s="27" t="s">
        <v>163</v>
      </c>
      <c r="B20" s="27" t="s">
        <v>162</v>
      </c>
      <c r="C20" s="27" t="s">
        <v>143</v>
      </c>
      <c r="D20" s="31">
        <v>30000</v>
      </c>
      <c r="E20" s="29">
        <v>126.54</v>
      </c>
      <c r="F20" s="30">
        <v>0.67014862160189304</v>
      </c>
      <c r="G20" s="29"/>
    </row>
    <row r="21" spans="1:9" x14ac:dyDescent="0.2">
      <c r="A21" s="27" t="s">
        <v>161</v>
      </c>
      <c r="B21" s="27" t="s">
        <v>160</v>
      </c>
      <c r="C21" s="27" t="s">
        <v>140</v>
      </c>
      <c r="D21" s="31">
        <v>10000</v>
      </c>
      <c r="E21" s="29">
        <v>121.19</v>
      </c>
      <c r="F21" s="30">
        <v>0.64181532678942199</v>
      </c>
      <c r="G21" s="29"/>
    </row>
    <row r="22" spans="1:9" x14ac:dyDescent="0.2">
      <c r="A22" s="27" t="s">
        <v>147</v>
      </c>
      <c r="B22" s="27" t="s">
        <v>146</v>
      </c>
      <c r="C22" s="27" t="s">
        <v>108</v>
      </c>
      <c r="D22" s="31">
        <v>29755</v>
      </c>
      <c r="E22" s="29">
        <v>105.183925</v>
      </c>
      <c r="F22" s="30">
        <v>0.557048066646332</v>
      </c>
      <c r="G22" s="29"/>
    </row>
    <row r="23" spans="1:9" x14ac:dyDescent="0.2">
      <c r="A23" s="27" t="s">
        <v>123</v>
      </c>
      <c r="B23" s="27" t="s">
        <v>122</v>
      </c>
      <c r="C23" s="27" t="s">
        <v>108</v>
      </c>
      <c r="D23" s="31">
        <v>5409</v>
      </c>
      <c r="E23" s="29">
        <v>94.592591999999996</v>
      </c>
      <c r="F23" s="30">
        <v>0.50095697125454597</v>
      </c>
      <c r="G23" s="29"/>
    </row>
    <row r="24" spans="1:9" x14ac:dyDescent="0.2">
      <c r="A24" s="27" t="s">
        <v>156</v>
      </c>
      <c r="B24" s="27" t="s">
        <v>155</v>
      </c>
      <c r="C24" s="27" t="s">
        <v>157</v>
      </c>
      <c r="D24" s="31">
        <v>8641</v>
      </c>
      <c r="E24" s="29">
        <v>65.027845499999998</v>
      </c>
      <c r="F24" s="30">
        <v>0.34438376029370799</v>
      </c>
      <c r="G24" s="29"/>
    </row>
    <row r="25" spans="1:9" x14ac:dyDescent="0.2">
      <c r="A25" s="27" t="s">
        <v>171</v>
      </c>
      <c r="B25" s="27" t="s">
        <v>170</v>
      </c>
      <c r="C25" s="27" t="s">
        <v>172</v>
      </c>
      <c r="D25" s="31">
        <v>35367</v>
      </c>
      <c r="E25" s="29">
        <v>61.892249999999997</v>
      </c>
      <c r="F25" s="30">
        <v>0.32777782539386602</v>
      </c>
      <c r="G25" s="29"/>
    </row>
    <row r="26" spans="1:9" x14ac:dyDescent="0.2">
      <c r="A26" s="27" t="s">
        <v>169</v>
      </c>
      <c r="B26" s="27" t="s">
        <v>168</v>
      </c>
      <c r="C26" s="27" t="s">
        <v>157</v>
      </c>
      <c r="D26" s="31">
        <v>20000</v>
      </c>
      <c r="E26" s="29">
        <v>58.77</v>
      </c>
      <c r="F26" s="30">
        <v>0.31124256750073698</v>
      </c>
      <c r="G26" s="29"/>
    </row>
    <row r="27" spans="1:9" x14ac:dyDescent="0.2">
      <c r="A27" s="27" t="s">
        <v>174</v>
      </c>
      <c r="B27" s="27" t="s">
        <v>173</v>
      </c>
      <c r="C27" s="27" t="s">
        <v>175</v>
      </c>
      <c r="D27" s="31">
        <v>97694</v>
      </c>
      <c r="E27" s="29">
        <v>52.950147999999999</v>
      </c>
      <c r="F27" s="30">
        <v>0.28042096329868998</v>
      </c>
      <c r="G27" s="29"/>
    </row>
    <row r="28" spans="1:9" x14ac:dyDescent="0.2">
      <c r="A28" s="27" t="s">
        <v>183</v>
      </c>
      <c r="B28" s="27" t="s">
        <v>182</v>
      </c>
      <c r="C28" s="27" t="s">
        <v>184</v>
      </c>
      <c r="D28" s="31">
        <v>3254</v>
      </c>
      <c r="E28" s="29">
        <v>45.612945000000003</v>
      </c>
      <c r="F28" s="30">
        <v>0.24156355475701699</v>
      </c>
      <c r="G28" s="29"/>
    </row>
    <row r="29" spans="1:9" x14ac:dyDescent="0.2">
      <c r="A29" s="27" t="s">
        <v>167</v>
      </c>
      <c r="B29" s="27" t="s">
        <v>166</v>
      </c>
      <c r="C29" s="27" t="s">
        <v>135</v>
      </c>
      <c r="D29" s="31">
        <v>7700</v>
      </c>
      <c r="E29" s="29">
        <v>43.978549999999998</v>
      </c>
      <c r="F29" s="30">
        <v>0.23290789207009599</v>
      </c>
      <c r="G29" s="29"/>
    </row>
    <row r="30" spans="1:9" x14ac:dyDescent="0.2">
      <c r="A30" s="27" t="s">
        <v>177</v>
      </c>
      <c r="B30" s="27" t="s">
        <v>176</v>
      </c>
      <c r="C30" s="27" t="s">
        <v>172</v>
      </c>
      <c r="D30" s="31">
        <v>4133</v>
      </c>
      <c r="E30" s="29">
        <v>6.0031825000000003</v>
      </c>
      <c r="F30" s="30">
        <v>3.1792512072068999E-2</v>
      </c>
      <c r="G30" s="29"/>
    </row>
    <row r="31" spans="1:9" x14ac:dyDescent="0.2">
      <c r="A31" s="27" t="s">
        <v>186</v>
      </c>
      <c r="B31" s="27" t="s">
        <v>185</v>
      </c>
      <c r="C31" s="27" t="s">
        <v>187</v>
      </c>
      <c r="D31" s="31">
        <v>581</v>
      </c>
      <c r="E31" s="29">
        <v>0.7730205</v>
      </c>
      <c r="F31" s="30">
        <v>4.09387247151103E-3</v>
      </c>
      <c r="G31" s="29"/>
    </row>
    <row r="32" spans="1:9" x14ac:dyDescent="0.2">
      <c r="A32" s="26" t="s">
        <v>39</v>
      </c>
      <c r="B32" s="26"/>
      <c r="C32" s="26"/>
      <c r="D32" s="32"/>
      <c r="E32" s="33">
        <f>SUM(E7:E31)</f>
        <v>4025.0004559999988</v>
      </c>
      <c r="F32" s="34">
        <f>SUM(F7:F31)</f>
        <v>21.316172811248563</v>
      </c>
      <c r="G32" s="33"/>
      <c r="H32" s="18"/>
      <c r="I32" s="18"/>
    </row>
    <row r="33" spans="1:9" x14ac:dyDescent="0.2">
      <c r="A33" s="27"/>
      <c r="B33" s="27"/>
      <c r="C33" s="27"/>
      <c r="D33" s="28"/>
      <c r="E33" s="29"/>
      <c r="F33" s="30"/>
      <c r="G33" s="29"/>
    </row>
    <row r="34" spans="1:9" x14ac:dyDescent="0.2">
      <c r="A34" s="26" t="s">
        <v>35</v>
      </c>
      <c r="B34" s="27"/>
      <c r="C34" s="27"/>
      <c r="D34" s="28"/>
      <c r="E34" s="29"/>
      <c r="F34" s="30"/>
      <c r="G34" s="29"/>
    </row>
    <row r="35" spans="1:9" x14ac:dyDescent="0.2">
      <c r="A35" s="26" t="s">
        <v>36</v>
      </c>
      <c r="B35" s="27"/>
      <c r="C35" s="27"/>
      <c r="D35" s="28"/>
      <c r="E35" s="29"/>
      <c r="F35" s="30"/>
      <c r="G35" s="29"/>
    </row>
    <row r="36" spans="1:9" x14ac:dyDescent="0.2">
      <c r="A36" s="27" t="s">
        <v>179</v>
      </c>
      <c r="B36" s="27" t="s">
        <v>178</v>
      </c>
      <c r="C36" s="27" t="s">
        <v>38</v>
      </c>
      <c r="D36" s="31">
        <v>200</v>
      </c>
      <c r="E36" s="29">
        <v>2075.5300000000002</v>
      </c>
      <c r="F36" s="30">
        <v>10.991888482640899</v>
      </c>
      <c r="G36" s="29">
        <v>4.91</v>
      </c>
    </row>
    <row r="37" spans="1:9" x14ac:dyDescent="0.2">
      <c r="A37" s="27" t="s">
        <v>958</v>
      </c>
      <c r="B37" s="27" t="s">
        <v>959</v>
      </c>
      <c r="C37" s="27" t="s">
        <v>38</v>
      </c>
      <c r="D37" s="31">
        <v>50</v>
      </c>
      <c r="E37" s="29">
        <v>549.73149999999998</v>
      </c>
      <c r="F37" s="30">
        <v>2.9113466648975899</v>
      </c>
      <c r="G37" s="29">
        <v>5.9458000000000002</v>
      </c>
    </row>
    <row r="38" spans="1:9" x14ac:dyDescent="0.2">
      <c r="A38" s="27" t="s">
        <v>1153</v>
      </c>
      <c r="B38" s="27" t="s">
        <v>1154</v>
      </c>
      <c r="C38" s="27" t="s">
        <v>38</v>
      </c>
      <c r="D38" s="31">
        <v>35</v>
      </c>
      <c r="E38" s="29">
        <v>387.709</v>
      </c>
      <c r="F38" s="30">
        <v>2.0532847473735401</v>
      </c>
      <c r="G38" s="29">
        <v>7</v>
      </c>
    </row>
    <row r="39" spans="1:9" x14ac:dyDescent="0.2">
      <c r="A39" s="27" t="s">
        <v>102</v>
      </c>
      <c r="B39" s="27" t="s">
        <v>101</v>
      </c>
      <c r="C39" s="27" t="s">
        <v>38</v>
      </c>
      <c r="D39" s="31">
        <v>18</v>
      </c>
      <c r="E39" s="29">
        <v>199.78631999999999</v>
      </c>
      <c r="F39" s="30">
        <v>1.05805695402967</v>
      </c>
      <c r="G39" s="29">
        <v>7</v>
      </c>
    </row>
    <row r="40" spans="1:9" x14ac:dyDescent="0.2">
      <c r="A40" s="26" t="s">
        <v>39</v>
      </c>
      <c r="B40" s="26"/>
      <c r="C40" s="26"/>
      <c r="D40" s="32"/>
      <c r="E40" s="33">
        <f>SUM(E35:E39)</f>
        <v>3212.7568200000001</v>
      </c>
      <c r="F40" s="34">
        <f>SUM(F35:F39)</f>
        <v>17.014576848941701</v>
      </c>
      <c r="G40" s="33"/>
      <c r="H40" s="18"/>
      <c r="I40" s="18"/>
    </row>
    <row r="41" spans="1:9" x14ac:dyDescent="0.2">
      <c r="A41" s="27"/>
      <c r="B41" s="27"/>
      <c r="C41" s="27"/>
      <c r="D41" s="28"/>
      <c r="E41" s="29"/>
      <c r="F41" s="30"/>
      <c r="G41" s="29"/>
    </row>
    <row r="42" spans="1:9" x14ac:dyDescent="0.2">
      <c r="A42" s="26" t="s">
        <v>59</v>
      </c>
      <c r="B42" s="27"/>
      <c r="C42" s="27"/>
      <c r="D42" s="28"/>
      <c r="E42" s="29"/>
      <c r="F42" s="30"/>
      <c r="G42" s="29"/>
    </row>
    <row r="43" spans="1:9" x14ac:dyDescent="0.2">
      <c r="A43" s="26" t="s">
        <v>60</v>
      </c>
      <c r="B43" s="27"/>
      <c r="C43" s="27"/>
      <c r="D43" s="28"/>
      <c r="E43" s="29"/>
      <c r="F43" s="30"/>
      <c r="G43" s="29"/>
    </row>
    <row r="44" spans="1:9" x14ac:dyDescent="0.2">
      <c r="A44" s="27" t="s">
        <v>189</v>
      </c>
      <c r="B44" s="27" t="s">
        <v>188</v>
      </c>
      <c r="C44" s="27" t="s">
        <v>62</v>
      </c>
      <c r="D44" s="31">
        <v>500</v>
      </c>
      <c r="E44" s="29">
        <v>485.31299999999999</v>
      </c>
      <c r="F44" s="30">
        <v>2.5701899636121301</v>
      </c>
      <c r="G44" s="29">
        <v>3.77</v>
      </c>
    </row>
    <row r="45" spans="1:9" x14ac:dyDescent="0.2">
      <c r="A45" s="26" t="s">
        <v>39</v>
      </c>
      <c r="B45" s="26"/>
      <c r="C45" s="26"/>
      <c r="D45" s="32"/>
      <c r="E45" s="33">
        <f>SUM(E43:E44)</f>
        <v>485.31299999999999</v>
      </c>
      <c r="F45" s="34">
        <f>SUM(F43:F44)</f>
        <v>2.5701899636121301</v>
      </c>
      <c r="G45" s="33"/>
      <c r="H45" s="18"/>
      <c r="I45" s="18"/>
    </row>
    <row r="46" spans="1:9" x14ac:dyDescent="0.2">
      <c r="A46" s="27"/>
      <c r="B46" s="27"/>
      <c r="C46" s="27"/>
      <c r="D46" s="28"/>
      <c r="E46" s="29"/>
      <c r="F46" s="30"/>
      <c r="G46" s="29"/>
    </row>
    <row r="47" spans="1:9" x14ac:dyDescent="0.2">
      <c r="A47" s="26" t="s">
        <v>63</v>
      </c>
      <c r="B47" s="27"/>
      <c r="C47" s="27"/>
      <c r="D47" s="28"/>
      <c r="E47" s="29"/>
      <c r="F47" s="30"/>
      <c r="G47" s="29"/>
    </row>
    <row r="48" spans="1:9" x14ac:dyDescent="0.2">
      <c r="A48" s="27" t="s">
        <v>1155</v>
      </c>
      <c r="B48" s="27" t="s">
        <v>1156</v>
      </c>
      <c r="C48" s="27" t="s">
        <v>61</v>
      </c>
      <c r="D48" s="31">
        <v>100</v>
      </c>
      <c r="E48" s="29">
        <v>488.45650000000001</v>
      </c>
      <c r="F48" s="30">
        <v>2.5868377602930699</v>
      </c>
      <c r="G48" s="29">
        <v>3.8</v>
      </c>
    </row>
    <row r="49" spans="1:9" x14ac:dyDescent="0.2">
      <c r="A49" s="26" t="s">
        <v>39</v>
      </c>
      <c r="B49" s="26"/>
      <c r="C49" s="26"/>
      <c r="D49" s="32"/>
      <c r="E49" s="33">
        <f>SUM(E47:E48)</f>
        <v>488.45650000000001</v>
      </c>
      <c r="F49" s="34">
        <f>SUM(F47:F48)</f>
        <v>2.5868377602930699</v>
      </c>
      <c r="G49" s="33"/>
      <c r="H49" s="18"/>
      <c r="I49" s="18"/>
    </row>
    <row r="50" spans="1:9" x14ac:dyDescent="0.2">
      <c r="A50" s="27"/>
      <c r="B50" s="27"/>
      <c r="C50" s="27"/>
      <c r="D50" s="28"/>
      <c r="E50" s="29"/>
      <c r="F50" s="30"/>
      <c r="G50" s="29"/>
    </row>
    <row r="51" spans="1:9" x14ac:dyDescent="0.2">
      <c r="A51" s="26" t="s">
        <v>69</v>
      </c>
      <c r="B51" s="27"/>
      <c r="C51" s="27"/>
      <c r="D51" s="28"/>
      <c r="E51" s="29"/>
      <c r="F51" s="30"/>
      <c r="G51" s="29"/>
    </row>
    <row r="52" spans="1:9" x14ac:dyDescent="0.2">
      <c r="A52" s="27" t="s">
        <v>88</v>
      </c>
      <c r="B52" s="27" t="s">
        <v>87</v>
      </c>
      <c r="C52" s="27" t="s">
        <v>74</v>
      </c>
      <c r="D52" s="31">
        <v>2000000</v>
      </c>
      <c r="E52" s="29">
        <v>1984.0360000000001</v>
      </c>
      <c r="F52" s="30">
        <v>10.507341477861001</v>
      </c>
      <c r="G52" s="29">
        <v>3.2999000000000001</v>
      </c>
    </row>
    <row r="53" spans="1:9" x14ac:dyDescent="0.2">
      <c r="A53" s="26" t="s">
        <v>39</v>
      </c>
      <c r="B53" s="26"/>
      <c r="C53" s="26"/>
      <c r="D53" s="32"/>
      <c r="E53" s="33">
        <f>SUM(E51:E52)</f>
        <v>1984.0360000000001</v>
      </c>
      <c r="F53" s="34">
        <f>SUM(F51:F52)</f>
        <v>10.507341477861001</v>
      </c>
      <c r="G53" s="33"/>
      <c r="H53" s="18"/>
      <c r="I53" s="18"/>
    </row>
    <row r="54" spans="1:9" x14ac:dyDescent="0.2">
      <c r="A54" s="27"/>
      <c r="B54" s="27"/>
      <c r="C54" s="27"/>
      <c r="D54" s="28"/>
      <c r="E54" s="29"/>
      <c r="F54" s="30"/>
      <c r="G54" s="29"/>
    </row>
    <row r="55" spans="1:9" x14ac:dyDescent="0.2">
      <c r="A55" s="26" t="s">
        <v>71</v>
      </c>
      <c r="B55" s="27"/>
      <c r="C55" s="27"/>
      <c r="D55" s="28"/>
      <c r="E55" s="29"/>
      <c r="F55" s="30"/>
      <c r="G55" s="29"/>
    </row>
    <row r="56" spans="1:9" x14ac:dyDescent="0.2">
      <c r="A56" s="27" t="s">
        <v>90</v>
      </c>
      <c r="B56" s="27" t="s">
        <v>89</v>
      </c>
      <c r="C56" s="27" t="s">
        <v>74</v>
      </c>
      <c r="D56" s="31">
        <v>3500000</v>
      </c>
      <c r="E56" s="29">
        <v>3462.4974999999999</v>
      </c>
      <c r="F56" s="30">
        <v>18.337189243914999</v>
      </c>
      <c r="G56" s="29">
        <v>5.42</v>
      </c>
    </row>
    <row r="57" spans="1:9" x14ac:dyDescent="0.2">
      <c r="A57" s="27" t="s">
        <v>1029</v>
      </c>
      <c r="B57" s="27" t="s">
        <v>1030</v>
      </c>
      <c r="C57" s="27" t="s">
        <v>74</v>
      </c>
      <c r="D57" s="31">
        <v>925000</v>
      </c>
      <c r="E57" s="29">
        <v>974.43662500000005</v>
      </c>
      <c r="F57" s="30">
        <v>5.1605607798494599</v>
      </c>
      <c r="G57" s="29">
        <v>6.1797000000000004</v>
      </c>
    </row>
    <row r="58" spans="1:9" x14ac:dyDescent="0.2">
      <c r="A58" s="27" t="s">
        <v>104</v>
      </c>
      <c r="B58" s="27" t="s">
        <v>103</v>
      </c>
      <c r="C58" s="27" t="s">
        <v>74</v>
      </c>
      <c r="D58" s="31">
        <v>800000</v>
      </c>
      <c r="E58" s="29">
        <v>828.23119999999994</v>
      </c>
      <c r="F58" s="30">
        <v>4.3862651892499001</v>
      </c>
      <c r="G58" s="29">
        <v>5.0692000000000004</v>
      </c>
    </row>
    <row r="59" spans="1:9" x14ac:dyDescent="0.2">
      <c r="A59" s="27" t="s">
        <v>96</v>
      </c>
      <c r="B59" s="27" t="s">
        <v>95</v>
      </c>
      <c r="C59" s="27" t="s">
        <v>74</v>
      </c>
      <c r="D59" s="31">
        <v>600000</v>
      </c>
      <c r="E59" s="29">
        <v>596.35799999999995</v>
      </c>
      <c r="F59" s="30">
        <v>3.1582779491169699</v>
      </c>
      <c r="G59" s="29">
        <v>5.3844000000000003</v>
      </c>
    </row>
    <row r="60" spans="1:9" x14ac:dyDescent="0.2">
      <c r="A60" s="27" t="s">
        <v>1031</v>
      </c>
      <c r="B60" s="27" t="s">
        <v>1032</v>
      </c>
      <c r="C60" s="27" t="s">
        <v>74</v>
      </c>
      <c r="D60" s="31">
        <v>395000</v>
      </c>
      <c r="E60" s="29">
        <v>409.60670499999998</v>
      </c>
      <c r="F60" s="30">
        <v>2.16925374391215</v>
      </c>
      <c r="G60" s="29">
        <v>6.0491999999999999</v>
      </c>
    </row>
    <row r="61" spans="1:9" x14ac:dyDescent="0.2">
      <c r="A61" s="27" t="s">
        <v>94</v>
      </c>
      <c r="B61" s="27" t="s">
        <v>93</v>
      </c>
      <c r="C61" s="27" t="s">
        <v>74</v>
      </c>
      <c r="D61" s="31">
        <v>200000</v>
      </c>
      <c r="E61" s="29">
        <v>212.9248</v>
      </c>
      <c r="F61" s="30">
        <v>1.12763759463299</v>
      </c>
      <c r="G61" s="29">
        <v>4.7731000000000003</v>
      </c>
    </row>
    <row r="62" spans="1:9" x14ac:dyDescent="0.2">
      <c r="A62" s="26" t="s">
        <v>39</v>
      </c>
      <c r="B62" s="26"/>
      <c r="C62" s="26"/>
      <c r="D62" s="32"/>
      <c r="E62" s="33">
        <f>SUM(E56:E61)</f>
        <v>6484.05483</v>
      </c>
      <c r="F62" s="34">
        <f>SUM(F56:F61)</f>
        <v>34.339184500676467</v>
      </c>
      <c r="G62" s="33"/>
      <c r="H62" s="18"/>
      <c r="I62" s="18"/>
    </row>
    <row r="63" spans="1:9" x14ac:dyDescent="0.2">
      <c r="A63" s="27"/>
      <c r="B63" s="27"/>
      <c r="C63" s="27"/>
      <c r="D63" s="28"/>
      <c r="E63" s="29"/>
      <c r="F63" s="30"/>
      <c r="G63" s="29"/>
    </row>
    <row r="64" spans="1:9" x14ac:dyDescent="0.2">
      <c r="A64" s="26" t="s">
        <v>42</v>
      </c>
      <c r="B64" s="26"/>
      <c r="C64" s="26"/>
      <c r="D64" s="32"/>
      <c r="E64" s="33">
        <f>E32+E40+E45+E49+E53+E62</f>
        <v>16679.617606</v>
      </c>
      <c r="F64" s="34">
        <f>F32+F40+F45+F49+F53+F62</f>
        <v>88.334303362632937</v>
      </c>
      <c r="G64" s="33"/>
      <c r="H64" s="18"/>
      <c r="I64" s="18"/>
    </row>
    <row r="65" spans="1:9" x14ac:dyDescent="0.2">
      <c r="A65" s="26"/>
      <c r="B65" s="26"/>
      <c r="C65" s="26"/>
      <c r="D65" s="32"/>
      <c r="E65" s="33"/>
      <c r="F65" s="34"/>
      <c r="G65" s="33"/>
      <c r="H65" s="18"/>
      <c r="I65" s="18"/>
    </row>
    <row r="66" spans="1:9" x14ac:dyDescent="0.2">
      <c r="A66" s="26" t="s">
        <v>44</v>
      </c>
      <c r="B66" s="26"/>
      <c r="C66" s="26"/>
      <c r="D66" s="32"/>
      <c r="E66" s="33">
        <f>E68-(E32+E40+E45+E49+E53+E62)</f>
        <v>2202.7610069000002</v>
      </c>
      <c r="F66" s="34">
        <f>F68-(F32+F40+F45+F49+F53+F62)</f>
        <v>11.665696637367063</v>
      </c>
      <c r="G66" s="33"/>
      <c r="H66" s="18"/>
      <c r="I66" s="18"/>
    </row>
    <row r="67" spans="1:9" x14ac:dyDescent="0.2">
      <c r="A67" s="26"/>
      <c r="B67" s="26"/>
      <c r="C67" s="26"/>
      <c r="D67" s="32"/>
      <c r="E67" s="33"/>
      <c r="F67" s="34"/>
      <c r="G67" s="33"/>
      <c r="H67" s="18"/>
      <c r="I67" s="18"/>
    </row>
    <row r="68" spans="1:9" x14ac:dyDescent="0.2">
      <c r="A68" s="35" t="s">
        <v>43</v>
      </c>
      <c r="B68" s="35"/>
      <c r="C68" s="35"/>
      <c r="D68" s="36"/>
      <c r="E68" s="37">
        <v>18882.3786129</v>
      </c>
      <c r="F68" s="38">
        <v>100</v>
      </c>
      <c r="G68" s="37"/>
      <c r="H68" s="18"/>
      <c r="I68" s="18"/>
    </row>
    <row r="69" spans="1:9" x14ac:dyDescent="0.2">
      <c r="F69" s="20" t="s">
        <v>519</v>
      </c>
    </row>
    <row r="70" spans="1:9" x14ac:dyDescent="0.2">
      <c r="A70" s="18" t="s">
        <v>75</v>
      </c>
    </row>
    <row r="71" spans="1:9" x14ac:dyDescent="0.2">
      <c r="A71" s="18" t="s">
        <v>46</v>
      </c>
    </row>
    <row r="73" spans="1:9" x14ac:dyDescent="0.2">
      <c r="A73" s="18" t="s">
        <v>47</v>
      </c>
    </row>
    <row r="74" spans="1:9" x14ac:dyDescent="0.2">
      <c r="A74" s="18" t="s">
        <v>48</v>
      </c>
    </row>
    <row r="75" spans="1:9" x14ac:dyDescent="0.2">
      <c r="A75" s="18" t="s">
        <v>49</v>
      </c>
      <c r="B75" s="18"/>
      <c r="C75" s="39" t="s">
        <v>731</v>
      </c>
      <c r="D75" s="41" t="s">
        <v>50</v>
      </c>
    </row>
    <row r="76" spans="1:9" x14ac:dyDescent="0.2">
      <c r="A76" s="9" t="s">
        <v>79</v>
      </c>
      <c r="C76" s="40">
        <v>59.923900000000003</v>
      </c>
      <c r="D76" s="40">
        <v>64.683599999999998</v>
      </c>
    </row>
    <row r="77" spans="1:9" x14ac:dyDescent="0.2">
      <c r="A77" s="9" t="s">
        <v>80</v>
      </c>
      <c r="C77" s="40">
        <v>12.701499999999999</v>
      </c>
      <c r="D77" s="40">
        <v>13.1889</v>
      </c>
    </row>
    <row r="78" spans="1:9" x14ac:dyDescent="0.2">
      <c r="A78" s="9" t="s">
        <v>81</v>
      </c>
      <c r="C78" s="40">
        <v>12.130699999999999</v>
      </c>
      <c r="D78" s="40">
        <v>12.560499999999999</v>
      </c>
    </row>
    <row r="79" spans="1:9" x14ac:dyDescent="0.2">
      <c r="A79" s="9" t="s">
        <v>82</v>
      </c>
      <c r="C79" s="40">
        <v>63.560400000000001</v>
      </c>
      <c r="D79" s="40">
        <v>68.8596</v>
      </c>
    </row>
    <row r="80" spans="1:9" x14ac:dyDescent="0.2">
      <c r="A80" s="9" t="s">
        <v>83</v>
      </c>
      <c r="C80" s="40">
        <v>13.711499999999999</v>
      </c>
      <c r="D80" s="40">
        <v>14.325100000000001</v>
      </c>
    </row>
    <row r="81" spans="1:7" x14ac:dyDescent="0.2">
      <c r="A81" s="9" t="s">
        <v>84</v>
      </c>
      <c r="C81" s="40">
        <v>13.1052</v>
      </c>
      <c r="D81" s="40">
        <v>13.657299999999999</v>
      </c>
    </row>
    <row r="83" spans="1:7" x14ac:dyDescent="0.2">
      <c r="A83" s="18" t="s">
        <v>53</v>
      </c>
    </row>
    <row r="84" spans="1:7" x14ac:dyDescent="0.2">
      <c r="A84" s="82" t="s">
        <v>76</v>
      </c>
      <c r="B84" s="83"/>
      <c r="C84" s="44" t="s">
        <v>77</v>
      </c>
    </row>
    <row r="85" spans="1:7" x14ac:dyDescent="0.2">
      <c r="A85" s="78" t="s">
        <v>80</v>
      </c>
      <c r="B85" s="79"/>
      <c r="C85" s="45">
        <v>0.51</v>
      </c>
    </row>
    <row r="86" spans="1:7" x14ac:dyDescent="0.2">
      <c r="A86" s="78" t="s">
        <v>81</v>
      </c>
      <c r="B86" s="79"/>
      <c r="C86" s="45">
        <v>0.52</v>
      </c>
    </row>
    <row r="87" spans="1:7" x14ac:dyDescent="0.2">
      <c r="A87" s="78" t="s">
        <v>83</v>
      </c>
      <c r="B87" s="79"/>
      <c r="C87" s="45">
        <v>0.51</v>
      </c>
    </row>
    <row r="88" spans="1:7" x14ac:dyDescent="0.2">
      <c r="A88" s="78" t="s">
        <v>84</v>
      </c>
      <c r="B88" s="79"/>
      <c r="C88" s="45">
        <v>0.52</v>
      </c>
    </row>
    <row r="89" spans="1:7" x14ac:dyDescent="0.2">
      <c r="A89" s="9" t="s">
        <v>78</v>
      </c>
    </row>
    <row r="90" spans="1:7" x14ac:dyDescent="0.2">
      <c r="A90" s="9" t="s">
        <v>52</v>
      </c>
    </row>
    <row r="92" spans="1:7" x14ac:dyDescent="0.2">
      <c r="A92" s="18" t="s">
        <v>820</v>
      </c>
      <c r="D92" s="42">
        <v>2.9528150808375164</v>
      </c>
      <c r="E92" s="13" t="s">
        <v>55</v>
      </c>
    </row>
    <row r="94" spans="1:7" x14ac:dyDescent="0.2">
      <c r="A94" s="18" t="s">
        <v>56</v>
      </c>
      <c r="D94" s="41" t="s">
        <v>54</v>
      </c>
    </row>
    <row r="96" spans="1:7" ht="27" customHeight="1" x14ac:dyDescent="0.2">
      <c r="A96" s="84" t="s">
        <v>1159</v>
      </c>
      <c r="B96" s="84"/>
      <c r="C96" s="84"/>
      <c r="D96" s="84"/>
      <c r="E96" s="84"/>
      <c r="F96" s="84"/>
      <c r="G96" s="84"/>
    </row>
    <row r="97" spans="1:7" x14ac:dyDescent="0.2">
      <c r="A97" s="58"/>
      <c r="B97" s="58"/>
      <c r="C97" s="58"/>
      <c r="D97" s="58"/>
      <c r="E97" s="58"/>
      <c r="F97" s="58"/>
      <c r="G97" s="58"/>
    </row>
    <row r="98" spans="1:7" ht="14.4" x14ac:dyDescent="0.2">
      <c r="A98" s="80" t="s">
        <v>988</v>
      </c>
      <c r="B98" s="81"/>
      <c r="C98" s="81"/>
      <c r="D98" s="81"/>
      <c r="E98" s="81"/>
      <c r="F98" s="81"/>
      <c r="G98" s="81"/>
    </row>
    <row r="99" spans="1:7" x14ac:dyDescent="0.2">
      <c r="A99" s="53" t="s">
        <v>57</v>
      </c>
    </row>
    <row r="101" spans="1:7" x14ac:dyDescent="0.2">
      <c r="A101" s="53"/>
    </row>
  </sheetData>
  <mergeCells count="8">
    <mergeCell ref="A96:G96"/>
    <mergeCell ref="A98:G98"/>
    <mergeCell ref="A1:G1"/>
    <mergeCell ref="A84:B84"/>
    <mergeCell ref="A85:B85"/>
    <mergeCell ref="A86:B86"/>
    <mergeCell ref="A87:B87"/>
    <mergeCell ref="A88:B88"/>
  </mergeCells>
  <conditionalFormatting sqref="F2:F3 F5:F68 F70:F95 F100:F65527">
    <cfRule type="cellIs" dxfId="83" priority="3" stopIfTrue="1" operator="between">
      <formula>0.009</formula>
      <formula>-0.009</formula>
    </cfRule>
  </conditionalFormatting>
  <conditionalFormatting sqref="F69">
    <cfRule type="cellIs" dxfId="82" priority="2" stopIfTrue="1" operator="between">
      <formula>0.009</formula>
      <formula>-0.009</formula>
    </cfRule>
  </conditionalFormatting>
  <conditionalFormatting sqref="F99">
    <cfRule type="cellIs" dxfId="81" priority="1" stopIfTrue="1" operator="between">
      <formula>0.009</formula>
      <formula>-0.009</formula>
    </cfRule>
  </conditionalFormatting>
  <hyperlinks>
    <hyperlink ref="A99" r:id="rId1" xr:uid="{00000000-0004-0000-19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53"/>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1160</v>
      </c>
      <c r="B1" s="77"/>
      <c r="C1" s="77"/>
      <c r="D1" s="77"/>
      <c r="E1" s="77"/>
      <c r="F1" s="77"/>
      <c r="G1" s="77"/>
    </row>
    <row r="2" spans="1:7" s="1" customFormat="1" ht="12" x14ac:dyDescent="0.25">
      <c r="A2" s="57" t="s">
        <v>1158</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947</v>
      </c>
      <c r="B7" s="27" t="s">
        <v>948</v>
      </c>
      <c r="C7" s="27" t="s">
        <v>949</v>
      </c>
      <c r="D7" s="31">
        <v>2726</v>
      </c>
      <c r="E7" s="29">
        <v>28503.056</v>
      </c>
      <c r="F7" s="30">
        <v>19.700282078820699</v>
      </c>
      <c r="G7" s="29">
        <v>8.8552999999999997</v>
      </c>
    </row>
    <row r="8" spans="1:7" x14ac:dyDescent="0.2">
      <c r="A8" s="27" t="s">
        <v>1161</v>
      </c>
      <c r="B8" s="27" t="s">
        <v>1162</v>
      </c>
      <c r="C8" s="27" t="s">
        <v>1163</v>
      </c>
      <c r="D8" s="31">
        <v>1112</v>
      </c>
      <c r="E8" s="29">
        <v>11406.584639999999</v>
      </c>
      <c r="F8" s="30">
        <v>7.8838190180008496</v>
      </c>
      <c r="G8" s="29">
        <v>8.3522999999999996</v>
      </c>
    </row>
    <row r="9" spans="1:7" x14ac:dyDescent="0.2">
      <c r="A9" s="27" t="s">
        <v>1164</v>
      </c>
      <c r="B9" s="27" t="s">
        <v>1165</v>
      </c>
      <c r="C9" s="27" t="s">
        <v>1163</v>
      </c>
      <c r="D9" s="31">
        <v>4810</v>
      </c>
      <c r="E9" s="29">
        <v>10493.26512</v>
      </c>
      <c r="F9" s="30">
        <v>7.2525655772437201</v>
      </c>
      <c r="G9" s="29">
        <v>8.6237999999999992</v>
      </c>
    </row>
    <row r="10" spans="1:7" x14ac:dyDescent="0.2">
      <c r="A10" s="27" t="s">
        <v>1166</v>
      </c>
      <c r="B10" s="27" t="s">
        <v>1167</v>
      </c>
      <c r="C10" s="27" t="s">
        <v>1168</v>
      </c>
      <c r="D10" s="31">
        <v>1000</v>
      </c>
      <c r="E10" s="29">
        <v>9901.15</v>
      </c>
      <c r="F10" s="30">
        <v>6.84331700799786</v>
      </c>
      <c r="G10" s="29">
        <v>18.051600000000001</v>
      </c>
    </row>
    <row r="11" spans="1:7" x14ac:dyDescent="0.2">
      <c r="A11" s="27" t="s">
        <v>1169</v>
      </c>
      <c r="B11" s="27" t="s">
        <v>1170</v>
      </c>
      <c r="C11" s="27" t="s">
        <v>1171</v>
      </c>
      <c r="D11" s="31">
        <v>978</v>
      </c>
      <c r="E11" s="29">
        <v>9126.8524799999996</v>
      </c>
      <c r="F11" s="30">
        <v>6.3081505487616498</v>
      </c>
      <c r="G11" s="29">
        <v>11.148899999999999</v>
      </c>
    </row>
    <row r="12" spans="1:7" x14ac:dyDescent="0.2">
      <c r="A12" s="27" t="s">
        <v>1172</v>
      </c>
      <c r="B12" s="27" t="s">
        <v>1173</v>
      </c>
      <c r="C12" s="27" t="s">
        <v>1168</v>
      </c>
      <c r="D12" s="31">
        <v>800</v>
      </c>
      <c r="E12" s="29">
        <v>8089.5039999999999</v>
      </c>
      <c r="F12" s="30">
        <v>5.5911727738158401</v>
      </c>
      <c r="G12" s="29">
        <v>6.7496999999999998</v>
      </c>
    </row>
    <row r="13" spans="1:7" x14ac:dyDescent="0.2">
      <c r="A13" s="27" t="s">
        <v>1174</v>
      </c>
      <c r="B13" s="27" t="s">
        <v>1175</v>
      </c>
      <c r="C13" s="27" t="s">
        <v>37</v>
      </c>
      <c r="D13" s="31">
        <v>450</v>
      </c>
      <c r="E13" s="29">
        <v>4569.0254999999997</v>
      </c>
      <c r="F13" s="30">
        <v>3.15794528051044</v>
      </c>
      <c r="G13" s="29">
        <v>8.8163</v>
      </c>
    </row>
    <row r="14" spans="1:7" x14ac:dyDescent="0.2">
      <c r="A14" s="27" t="s">
        <v>1176</v>
      </c>
      <c r="B14" s="27" t="s">
        <v>1177</v>
      </c>
      <c r="C14" s="27" t="s">
        <v>1178</v>
      </c>
      <c r="D14" s="31">
        <v>450</v>
      </c>
      <c r="E14" s="29">
        <v>3981.5145000000002</v>
      </c>
      <c r="F14" s="30">
        <v>2.7518789125950098</v>
      </c>
      <c r="G14" s="29">
        <v>20.702999999999999</v>
      </c>
    </row>
    <row r="15" spans="1:7" x14ac:dyDescent="0.2">
      <c r="A15" s="27" t="s">
        <v>1179</v>
      </c>
      <c r="B15" s="27" t="s">
        <v>1180</v>
      </c>
      <c r="C15" s="27" t="s">
        <v>1181</v>
      </c>
      <c r="D15" s="31">
        <v>255</v>
      </c>
      <c r="E15" s="29">
        <v>3662.0167499999998</v>
      </c>
      <c r="F15" s="30">
        <v>2.5310536158777599</v>
      </c>
      <c r="G15" s="29">
        <v>11.4148</v>
      </c>
    </row>
    <row r="16" spans="1:7" x14ac:dyDescent="0.2">
      <c r="A16" s="27" t="s">
        <v>1182</v>
      </c>
      <c r="B16" s="27" t="s">
        <v>1183</v>
      </c>
      <c r="C16" s="27" t="s">
        <v>1163</v>
      </c>
      <c r="D16" s="31">
        <v>300</v>
      </c>
      <c r="E16" s="29">
        <v>3054.3629999999998</v>
      </c>
      <c r="F16" s="30">
        <v>2.11106530721172</v>
      </c>
      <c r="G16" s="29">
        <v>8.2423999999999999</v>
      </c>
    </row>
    <row r="17" spans="1:9" x14ac:dyDescent="0.2">
      <c r="A17" s="27" t="s">
        <v>1184</v>
      </c>
      <c r="B17" s="27" t="s">
        <v>1185</v>
      </c>
      <c r="C17" s="27" t="s">
        <v>1163</v>
      </c>
      <c r="D17" s="31">
        <v>270</v>
      </c>
      <c r="E17" s="29">
        <v>2772.6921000000002</v>
      </c>
      <c r="F17" s="30">
        <v>1.9163845619823201</v>
      </c>
      <c r="G17" s="29">
        <v>8.5973000000000006</v>
      </c>
    </row>
    <row r="18" spans="1:9" x14ac:dyDescent="0.2">
      <c r="A18" s="27" t="s">
        <v>1186</v>
      </c>
      <c r="B18" s="27" t="s">
        <v>1177</v>
      </c>
      <c r="C18" s="27" t="s">
        <v>1178</v>
      </c>
      <c r="D18" s="31">
        <v>250</v>
      </c>
      <c r="E18" s="29">
        <v>2210.9025000000001</v>
      </c>
      <c r="F18" s="30">
        <v>1.5280958960600499</v>
      </c>
      <c r="G18" s="29">
        <v>20.752199999999998</v>
      </c>
    </row>
    <row r="19" spans="1:9" x14ac:dyDescent="0.2">
      <c r="A19" s="27" t="s">
        <v>1187</v>
      </c>
      <c r="B19" s="27" t="s">
        <v>1188</v>
      </c>
      <c r="C19" s="27" t="s">
        <v>37</v>
      </c>
      <c r="D19" s="31">
        <v>200</v>
      </c>
      <c r="E19" s="29">
        <v>2154.6759999999999</v>
      </c>
      <c r="F19" s="30">
        <v>1.4892341715381301</v>
      </c>
      <c r="G19" s="29">
        <v>8.8930000000000007</v>
      </c>
    </row>
    <row r="20" spans="1:9" x14ac:dyDescent="0.2">
      <c r="A20" s="27" t="s">
        <v>1189</v>
      </c>
      <c r="B20" s="27" t="s">
        <v>1190</v>
      </c>
      <c r="C20" s="27" t="s">
        <v>1163</v>
      </c>
      <c r="D20" s="31">
        <v>160</v>
      </c>
      <c r="E20" s="29">
        <v>1215.0948000000001</v>
      </c>
      <c r="F20" s="30">
        <v>0.83982960677999596</v>
      </c>
      <c r="G20" s="29">
        <v>7.6024000000000003</v>
      </c>
    </row>
    <row r="21" spans="1:9" x14ac:dyDescent="0.2">
      <c r="A21" s="27" t="s">
        <v>1191</v>
      </c>
      <c r="B21" s="27" t="s">
        <v>1192</v>
      </c>
      <c r="C21" s="27" t="s">
        <v>1171</v>
      </c>
      <c r="D21" s="31">
        <v>143</v>
      </c>
      <c r="E21" s="29">
        <v>1156.79564</v>
      </c>
      <c r="F21" s="30">
        <v>0.79953533458131298</v>
      </c>
      <c r="G21" s="29">
        <v>8.6</v>
      </c>
    </row>
    <row r="22" spans="1:9" x14ac:dyDescent="0.2">
      <c r="A22" s="27" t="s">
        <v>1193</v>
      </c>
      <c r="B22" s="27" t="s">
        <v>1194</v>
      </c>
      <c r="C22" s="27" t="s">
        <v>37</v>
      </c>
      <c r="D22" s="31">
        <v>100</v>
      </c>
      <c r="E22" s="29">
        <v>1028.674</v>
      </c>
      <c r="F22" s="30">
        <v>0.71098228790445395</v>
      </c>
      <c r="G22" s="29">
        <v>7.8223000000000003</v>
      </c>
    </row>
    <row r="23" spans="1:9" x14ac:dyDescent="0.2">
      <c r="A23" s="27" t="s">
        <v>1195</v>
      </c>
      <c r="B23" s="27" t="s">
        <v>1196</v>
      </c>
      <c r="C23" s="27" t="s">
        <v>1181</v>
      </c>
      <c r="D23" s="31">
        <v>77</v>
      </c>
      <c r="E23" s="29">
        <v>877.50370399999997</v>
      </c>
      <c r="F23" s="30">
        <v>0.60649884328227699</v>
      </c>
      <c r="G23" s="29">
        <v>11.375</v>
      </c>
    </row>
    <row r="24" spans="1:9" x14ac:dyDescent="0.2">
      <c r="A24" s="27" t="s">
        <v>1197</v>
      </c>
      <c r="B24" s="27" t="s">
        <v>1198</v>
      </c>
      <c r="C24" s="27" t="s">
        <v>1171</v>
      </c>
      <c r="D24" s="31">
        <v>20</v>
      </c>
      <c r="E24" s="29">
        <v>201.17599999999999</v>
      </c>
      <c r="F24" s="30">
        <v>0.13904557979638499</v>
      </c>
      <c r="G24" s="29">
        <v>4.6647999999999996</v>
      </c>
    </row>
    <row r="25" spans="1:9" x14ac:dyDescent="0.2">
      <c r="A25" s="27" t="s">
        <v>102</v>
      </c>
      <c r="B25" s="27" t="s">
        <v>101</v>
      </c>
      <c r="C25" s="27" t="s">
        <v>38</v>
      </c>
      <c r="D25" s="31">
        <v>5</v>
      </c>
      <c r="E25" s="29">
        <v>55.496200000000002</v>
      </c>
      <c r="F25" s="30">
        <v>3.8356967558238302E-2</v>
      </c>
      <c r="G25" s="29">
        <v>7</v>
      </c>
    </row>
    <row r="26" spans="1:9" x14ac:dyDescent="0.2">
      <c r="A26" s="26" t="s">
        <v>39</v>
      </c>
      <c r="B26" s="26"/>
      <c r="C26" s="26"/>
      <c r="D26" s="32"/>
      <c r="E26" s="33">
        <f>SUM(E6:E25)</f>
        <v>104460.342934</v>
      </c>
      <c r="F26" s="34">
        <f>SUM(F6:F25)</f>
        <v>72.199213370318745</v>
      </c>
      <c r="G26" s="33"/>
      <c r="H26" s="18"/>
      <c r="I26" s="18"/>
    </row>
    <row r="27" spans="1:9" x14ac:dyDescent="0.2">
      <c r="A27" s="27"/>
      <c r="B27" s="27"/>
      <c r="C27" s="27"/>
      <c r="D27" s="28"/>
      <c r="E27" s="29"/>
      <c r="F27" s="30"/>
      <c r="G27" s="29"/>
    </row>
    <row r="28" spans="1:9" x14ac:dyDescent="0.2">
      <c r="A28" s="26" t="s">
        <v>1080</v>
      </c>
      <c r="B28" s="27"/>
      <c r="C28" s="27"/>
      <c r="D28" s="28"/>
      <c r="E28" s="29"/>
      <c r="F28" s="30"/>
      <c r="G28" s="29"/>
    </row>
    <row r="29" spans="1:9" x14ac:dyDescent="0.2">
      <c r="A29" s="27" t="s">
        <v>1199</v>
      </c>
      <c r="B29" s="27" t="s">
        <v>1200</v>
      </c>
      <c r="C29" s="27" t="s">
        <v>1201</v>
      </c>
      <c r="D29" s="31">
        <v>390</v>
      </c>
      <c r="E29" s="29">
        <v>4046.2928999999999</v>
      </c>
      <c r="F29" s="30">
        <v>2.79665140129288</v>
      </c>
      <c r="G29" s="29">
        <v>7.5046999999999997</v>
      </c>
    </row>
    <row r="30" spans="1:9" x14ac:dyDescent="0.2">
      <c r="A30" s="27" t="s">
        <v>1202</v>
      </c>
      <c r="B30" s="27" t="s">
        <v>1203</v>
      </c>
      <c r="C30" s="27" t="s">
        <v>1204</v>
      </c>
      <c r="D30" s="31">
        <v>440</v>
      </c>
      <c r="E30" s="29">
        <v>3927.8572319999998</v>
      </c>
      <c r="F30" s="30">
        <v>2.7147929483679198</v>
      </c>
      <c r="G30" s="29">
        <v>11.4674</v>
      </c>
    </row>
    <row r="31" spans="1:9" x14ac:dyDescent="0.2">
      <c r="A31" s="27" t="s">
        <v>1205</v>
      </c>
      <c r="B31" s="27" t="s">
        <v>1206</v>
      </c>
      <c r="C31" s="27" t="s">
        <v>1204</v>
      </c>
      <c r="D31" s="31">
        <v>450</v>
      </c>
      <c r="E31" s="29">
        <v>3804.334582</v>
      </c>
      <c r="F31" s="30">
        <v>2.6294185573509199</v>
      </c>
      <c r="G31" s="29">
        <v>11.464700000000001</v>
      </c>
    </row>
    <row r="32" spans="1:9" x14ac:dyDescent="0.2">
      <c r="A32" s="27" t="s">
        <v>1207</v>
      </c>
      <c r="B32" s="27" t="s">
        <v>1208</v>
      </c>
      <c r="C32" s="27" t="s">
        <v>1209</v>
      </c>
      <c r="D32" s="31">
        <v>400</v>
      </c>
      <c r="E32" s="29">
        <v>3801.152</v>
      </c>
      <c r="F32" s="30">
        <v>2.6272188717053102</v>
      </c>
      <c r="G32" s="29">
        <v>11.965</v>
      </c>
    </row>
    <row r="33" spans="1:9" x14ac:dyDescent="0.2">
      <c r="A33" s="27" t="s">
        <v>1210</v>
      </c>
      <c r="B33" s="27" t="s">
        <v>1211</v>
      </c>
      <c r="C33" s="27" t="s">
        <v>1201</v>
      </c>
      <c r="D33" s="31">
        <v>100</v>
      </c>
      <c r="E33" s="29">
        <v>1036.8810000000001</v>
      </c>
      <c r="F33" s="30">
        <v>0.71665466966663705</v>
      </c>
      <c r="G33" s="29">
        <v>7.3144999999999998</v>
      </c>
    </row>
    <row r="34" spans="1:9" x14ac:dyDescent="0.2">
      <c r="A34" s="27" t="s">
        <v>1212</v>
      </c>
      <c r="B34" s="27" t="s">
        <v>1213</v>
      </c>
      <c r="C34" s="27" t="s">
        <v>1201</v>
      </c>
      <c r="D34" s="31">
        <v>10</v>
      </c>
      <c r="E34" s="29">
        <v>986.16310999999996</v>
      </c>
      <c r="F34" s="30">
        <v>0.68160029727082805</v>
      </c>
      <c r="G34" s="29">
        <v>8.2449999999999992</v>
      </c>
    </row>
    <row r="35" spans="1:9" x14ac:dyDescent="0.2">
      <c r="A35" s="27" t="s">
        <v>1214</v>
      </c>
      <c r="B35" s="27" t="s">
        <v>1215</v>
      </c>
      <c r="C35" s="27" t="s">
        <v>1204</v>
      </c>
      <c r="D35" s="31">
        <v>50</v>
      </c>
      <c r="E35" s="29">
        <v>436.77992399999999</v>
      </c>
      <c r="F35" s="30">
        <v>0.30188649628186698</v>
      </c>
      <c r="G35" s="29">
        <v>11.4674</v>
      </c>
    </row>
    <row r="36" spans="1:9" x14ac:dyDescent="0.2">
      <c r="A36" s="27" t="s">
        <v>1216</v>
      </c>
      <c r="B36" s="27" t="s">
        <v>1217</v>
      </c>
      <c r="C36" s="27" t="s">
        <v>1218</v>
      </c>
      <c r="D36" s="31">
        <v>600</v>
      </c>
      <c r="E36" s="29">
        <v>0</v>
      </c>
      <c r="F36" s="29">
        <v>0</v>
      </c>
      <c r="G36" s="29">
        <v>0</v>
      </c>
    </row>
    <row r="37" spans="1:9" x14ac:dyDescent="0.2">
      <c r="A37" s="27" t="s">
        <v>1219</v>
      </c>
      <c r="B37" s="27" t="s">
        <v>1220</v>
      </c>
      <c r="C37" s="27" t="s">
        <v>1218</v>
      </c>
      <c r="D37" s="31">
        <v>250</v>
      </c>
      <c r="E37" s="29">
        <v>0</v>
      </c>
      <c r="F37" s="29">
        <v>0</v>
      </c>
      <c r="G37" s="29">
        <v>0</v>
      </c>
    </row>
    <row r="38" spans="1:9" x14ac:dyDescent="0.2">
      <c r="A38" s="27" t="s">
        <v>1221</v>
      </c>
      <c r="B38" s="27" t="s">
        <v>1222</v>
      </c>
      <c r="C38" s="27" t="s">
        <v>1218</v>
      </c>
      <c r="D38" s="31">
        <v>250</v>
      </c>
      <c r="E38" s="29">
        <v>0</v>
      </c>
      <c r="F38" s="29">
        <v>0</v>
      </c>
      <c r="G38" s="29">
        <v>0</v>
      </c>
    </row>
    <row r="39" spans="1:9" x14ac:dyDescent="0.2">
      <c r="A39" s="26" t="s">
        <v>39</v>
      </c>
      <c r="B39" s="26"/>
      <c r="C39" s="26"/>
      <c r="D39" s="32"/>
      <c r="E39" s="33">
        <f>SUM(E28:E38)</f>
        <v>18039.460748000001</v>
      </c>
      <c r="F39" s="34">
        <f>SUM(F28:F38)</f>
        <v>12.468223241936361</v>
      </c>
      <c r="G39" s="33"/>
      <c r="H39" s="18"/>
      <c r="I39" s="18"/>
    </row>
    <row r="40" spans="1:9" x14ac:dyDescent="0.2">
      <c r="A40" s="27"/>
      <c r="B40" s="27"/>
      <c r="C40" s="27"/>
      <c r="D40" s="28"/>
      <c r="E40" s="29"/>
      <c r="F40" s="30"/>
      <c r="G40" s="29"/>
    </row>
    <row r="41" spans="1:9" x14ac:dyDescent="0.2">
      <c r="A41" s="26" t="s">
        <v>40</v>
      </c>
      <c r="B41" s="27"/>
      <c r="C41" s="27"/>
      <c r="D41" s="28"/>
      <c r="E41" s="29"/>
      <c r="F41" s="30"/>
      <c r="G41" s="29"/>
    </row>
    <row r="42" spans="1:9" x14ac:dyDescent="0.2">
      <c r="A42" s="27" t="s">
        <v>1223</v>
      </c>
      <c r="B42" s="27" t="s">
        <v>1224</v>
      </c>
      <c r="C42" s="27" t="s">
        <v>41</v>
      </c>
      <c r="D42" s="31">
        <v>590351.85100000002</v>
      </c>
      <c r="E42" s="29">
        <v>19837.835289999999</v>
      </c>
      <c r="F42" s="30">
        <v>13.711194724038799</v>
      </c>
      <c r="G42" s="29">
        <v>3.2094999999999998</v>
      </c>
    </row>
    <row r="43" spans="1:9" x14ac:dyDescent="0.2">
      <c r="A43" s="26" t="s">
        <v>39</v>
      </c>
      <c r="B43" s="26"/>
      <c r="C43" s="26"/>
      <c r="D43" s="32"/>
      <c r="E43" s="33">
        <f>SUM(E42:E42)</f>
        <v>19837.835289999999</v>
      </c>
      <c r="F43" s="34">
        <f>SUM(F42:F42)</f>
        <v>13.711194724038799</v>
      </c>
      <c r="G43" s="33"/>
      <c r="H43" s="18"/>
      <c r="I43" s="18"/>
    </row>
    <row r="44" spans="1:9" x14ac:dyDescent="0.2">
      <c r="A44" s="27"/>
      <c r="B44" s="27"/>
      <c r="C44" s="27"/>
      <c r="D44" s="28"/>
      <c r="E44" s="29"/>
      <c r="F44" s="30"/>
      <c r="G44" s="29"/>
    </row>
    <row r="45" spans="1:9" x14ac:dyDescent="0.2">
      <c r="A45" s="26" t="s">
        <v>42</v>
      </c>
      <c r="B45" s="26"/>
      <c r="C45" s="26"/>
      <c r="D45" s="32"/>
      <c r="E45" s="33">
        <f>E26+E39+E43</f>
        <v>142337.63897199999</v>
      </c>
      <c r="F45" s="34">
        <f>F26+F39+F43</f>
        <v>98.378631336293907</v>
      </c>
      <c r="G45" s="33"/>
      <c r="H45" s="18"/>
      <c r="I45" s="18"/>
    </row>
    <row r="46" spans="1:9" x14ac:dyDescent="0.2">
      <c r="A46" s="26"/>
      <c r="B46" s="26"/>
      <c r="C46" s="26"/>
      <c r="D46" s="32"/>
      <c r="E46" s="33"/>
      <c r="F46" s="34"/>
      <c r="G46" s="33"/>
      <c r="H46" s="18"/>
      <c r="I46" s="18"/>
    </row>
    <row r="47" spans="1:9" x14ac:dyDescent="0.2">
      <c r="A47" s="26" t="s">
        <v>44</v>
      </c>
      <c r="B47" s="26"/>
      <c r="C47" s="26"/>
      <c r="D47" s="32"/>
      <c r="E47" s="33">
        <f>E49-(E26+E39+E43)</f>
        <v>2345.8527971000003</v>
      </c>
      <c r="F47" s="34">
        <f>F49-(F26+F39+F43)</f>
        <v>1.6213686637060931</v>
      </c>
      <c r="G47" s="33"/>
      <c r="H47" s="18"/>
      <c r="I47" s="18"/>
    </row>
    <row r="48" spans="1:9" x14ac:dyDescent="0.2">
      <c r="A48" s="26"/>
      <c r="B48" s="26"/>
      <c r="C48" s="26"/>
      <c r="D48" s="32"/>
      <c r="E48" s="33"/>
      <c r="F48" s="34"/>
      <c r="G48" s="33"/>
      <c r="H48" s="18"/>
      <c r="I48" s="18"/>
    </row>
    <row r="49" spans="1:9" x14ac:dyDescent="0.2">
      <c r="A49" s="35" t="s">
        <v>43</v>
      </c>
      <c r="B49" s="35"/>
      <c r="C49" s="35"/>
      <c r="D49" s="36"/>
      <c r="E49" s="37">
        <v>144683.49176909999</v>
      </c>
      <c r="F49" s="38">
        <v>100</v>
      </c>
      <c r="G49" s="37"/>
      <c r="H49" s="18"/>
      <c r="I49" s="18"/>
    </row>
    <row r="51" spans="1:9" x14ac:dyDescent="0.2">
      <c r="A51" s="18" t="s">
        <v>46</v>
      </c>
    </row>
    <row r="52" spans="1:9" x14ac:dyDescent="0.2">
      <c r="A52" s="9" t="s">
        <v>1225</v>
      </c>
    </row>
    <row r="54" spans="1:9" x14ac:dyDescent="0.2">
      <c r="A54" s="18" t="s">
        <v>47</v>
      </c>
    </row>
    <row r="55" spans="1:9" x14ac:dyDescent="0.2">
      <c r="A55" s="18" t="s">
        <v>48</v>
      </c>
    </row>
    <row r="56" spans="1:9" x14ac:dyDescent="0.2">
      <c r="A56" s="18" t="s">
        <v>49</v>
      </c>
      <c r="B56" s="18"/>
      <c r="C56" s="39" t="s">
        <v>51</v>
      </c>
      <c r="D56" s="41" t="s">
        <v>50</v>
      </c>
    </row>
    <row r="57" spans="1:9" x14ac:dyDescent="0.2">
      <c r="A57" s="9" t="s">
        <v>79</v>
      </c>
      <c r="C57" s="40">
        <v>65.972700000000003</v>
      </c>
      <c r="D57" s="40">
        <v>71.933700000000002</v>
      </c>
    </row>
    <row r="58" spans="1:9" x14ac:dyDescent="0.2">
      <c r="A58" s="9" t="s">
        <v>85</v>
      </c>
      <c r="C58" s="40">
        <v>10.904500000000001</v>
      </c>
      <c r="D58" s="40">
        <v>11.889799999999999</v>
      </c>
    </row>
    <row r="59" spans="1:9" x14ac:dyDescent="0.2">
      <c r="A59" s="9" t="s">
        <v>82</v>
      </c>
      <c r="C59" s="40">
        <v>70.316699999999997</v>
      </c>
      <c r="D59" s="40">
        <v>76.895499999999998</v>
      </c>
    </row>
    <row r="60" spans="1:9" x14ac:dyDescent="0.2">
      <c r="A60" s="9" t="s">
        <v>86</v>
      </c>
      <c r="C60" s="40">
        <v>11.851599999999999</v>
      </c>
      <c r="D60" s="40">
        <v>12.9605</v>
      </c>
    </row>
    <row r="62" spans="1:9" x14ac:dyDescent="0.2">
      <c r="A62" s="9" t="s">
        <v>52</v>
      </c>
    </row>
    <row r="64" spans="1:9" x14ac:dyDescent="0.2">
      <c r="A64" s="18" t="s">
        <v>53</v>
      </c>
      <c r="D64" s="41" t="s">
        <v>54</v>
      </c>
    </row>
    <row r="66" spans="1:7" x14ac:dyDescent="0.2">
      <c r="A66" s="18" t="s">
        <v>820</v>
      </c>
      <c r="D66" s="42">
        <v>2.3597486157534244</v>
      </c>
      <c r="E66" s="13" t="s">
        <v>55</v>
      </c>
    </row>
    <row r="68" spans="1:7" x14ac:dyDescent="0.2">
      <c r="A68" s="18" t="s">
        <v>56</v>
      </c>
      <c r="D68" s="41" t="s">
        <v>54</v>
      </c>
    </row>
    <row r="69" spans="1:7" x14ac:dyDescent="0.2">
      <c r="A69" s="9" t="s">
        <v>58</v>
      </c>
    </row>
    <row r="70" spans="1:7" x14ac:dyDescent="0.2">
      <c r="A70" s="53" t="s">
        <v>744</v>
      </c>
    </row>
    <row r="72" spans="1:7" ht="25.5" customHeight="1" x14ac:dyDescent="0.2">
      <c r="A72" s="86" t="s">
        <v>1226</v>
      </c>
      <c r="B72" s="86"/>
      <c r="C72" s="86"/>
      <c r="D72" s="86"/>
      <c r="E72" s="86"/>
      <c r="F72" s="86"/>
      <c r="G72" s="86"/>
    </row>
    <row r="74" spans="1:7" ht="47.25" customHeight="1" x14ac:dyDescent="0.2">
      <c r="A74" s="87" t="s">
        <v>1227</v>
      </c>
      <c r="B74" s="87"/>
      <c r="C74" s="87"/>
      <c r="D74" s="87"/>
      <c r="E74" s="87"/>
      <c r="F74" s="87"/>
      <c r="G74" s="87"/>
    </row>
    <row r="76" spans="1:7" ht="37.5" customHeight="1" x14ac:dyDescent="0.2">
      <c r="A76" s="87" t="s">
        <v>1228</v>
      </c>
      <c r="B76" s="87"/>
      <c r="C76" s="87"/>
      <c r="D76" s="87"/>
      <c r="E76" s="87"/>
      <c r="F76" s="87"/>
      <c r="G76" s="87"/>
    </row>
    <row r="77" spans="1:7" x14ac:dyDescent="0.2">
      <c r="A77" s="53" t="s">
        <v>1229</v>
      </c>
      <c r="B77" s="59"/>
      <c r="C77" s="59"/>
      <c r="D77" s="59"/>
      <c r="E77" s="59"/>
      <c r="F77" s="59"/>
      <c r="G77" s="59"/>
    </row>
    <row r="79" spans="1:7" ht="27.75" customHeight="1" x14ac:dyDescent="0.2">
      <c r="A79" s="88" t="s">
        <v>1230</v>
      </c>
      <c r="B79" s="88"/>
      <c r="C79" s="88"/>
      <c r="D79" s="88"/>
      <c r="E79" s="88"/>
      <c r="F79" s="88"/>
      <c r="G79" s="88"/>
    </row>
    <row r="81" spans="1:9" ht="14.4" x14ac:dyDescent="0.2">
      <c r="A81" s="80" t="s">
        <v>1231</v>
      </c>
      <c r="B81" s="81"/>
      <c r="C81" s="81"/>
      <c r="D81" s="81"/>
      <c r="E81" s="81"/>
      <c r="F81" s="81"/>
      <c r="G81" s="81"/>
    </row>
    <row r="82" spans="1:9" x14ac:dyDescent="0.2">
      <c r="A82" s="53" t="s">
        <v>57</v>
      </c>
    </row>
    <row r="84" spans="1:9" x14ac:dyDescent="0.2">
      <c r="A84" s="18" t="s">
        <v>741</v>
      </c>
    </row>
    <row r="86" spans="1:9" s="1" customFormat="1" ht="13.8" x14ac:dyDescent="0.2">
      <c r="A86" s="76" t="s">
        <v>1232</v>
      </c>
      <c r="B86" s="77"/>
      <c r="C86" s="77"/>
      <c r="D86" s="77"/>
      <c r="E86" s="77"/>
      <c r="F86" s="77"/>
      <c r="G86" s="77"/>
    </row>
    <row r="87" spans="1:9" x14ac:dyDescent="0.2">
      <c r="A87" s="18" t="s">
        <v>7</v>
      </c>
    </row>
    <row r="88" spans="1:9" s="1" customFormat="1" ht="17.399999999999999" customHeight="1" x14ac:dyDescent="0.2">
      <c r="A88" s="8" t="s">
        <v>2</v>
      </c>
      <c r="B88" s="8" t="s">
        <v>0</v>
      </c>
      <c r="C88" s="17" t="s">
        <v>45</v>
      </c>
      <c r="D88" s="16" t="s">
        <v>1</v>
      </c>
      <c r="E88" s="15" t="s">
        <v>3</v>
      </c>
      <c r="F88" s="15" t="s">
        <v>4</v>
      </c>
      <c r="G88" s="15" t="s">
        <v>6</v>
      </c>
    </row>
    <row r="89" spans="1:9" x14ac:dyDescent="0.2">
      <c r="A89" s="21" t="s">
        <v>35</v>
      </c>
      <c r="B89" s="22"/>
      <c r="C89" s="22"/>
      <c r="D89" s="23"/>
      <c r="E89" s="24"/>
      <c r="F89" s="25"/>
      <c r="G89" s="24"/>
    </row>
    <row r="90" spans="1:9" x14ac:dyDescent="0.2">
      <c r="A90" s="26" t="s">
        <v>36</v>
      </c>
      <c r="B90" s="27"/>
      <c r="C90" s="27"/>
      <c r="D90" s="28"/>
      <c r="E90" s="29"/>
      <c r="F90" s="30"/>
      <c r="G90" s="29"/>
    </row>
    <row r="91" spans="1:9" x14ac:dyDescent="0.2">
      <c r="A91" s="27" t="s">
        <v>1233</v>
      </c>
      <c r="B91" s="27" t="s">
        <v>1234</v>
      </c>
      <c r="C91" s="27" t="s">
        <v>1235</v>
      </c>
      <c r="D91" s="31">
        <v>940</v>
      </c>
      <c r="E91" s="29">
        <v>0</v>
      </c>
      <c r="F91" s="30">
        <v>100</v>
      </c>
      <c r="G91" s="29">
        <v>0</v>
      </c>
    </row>
    <row r="92" spans="1:9" x14ac:dyDescent="0.2">
      <c r="A92" s="26" t="s">
        <v>39</v>
      </c>
      <c r="B92" s="26"/>
      <c r="C92" s="26"/>
      <c r="D92" s="32"/>
      <c r="E92" s="33">
        <f>SUM(E90:E91)</f>
        <v>0</v>
      </c>
      <c r="F92" s="34">
        <f>SUM(F90:F91)</f>
        <v>100</v>
      </c>
      <c r="G92" s="33"/>
      <c r="H92" s="18"/>
      <c r="I92" s="18"/>
    </row>
    <row r="93" spans="1:9" x14ac:dyDescent="0.2">
      <c r="A93" s="27"/>
      <c r="B93" s="27"/>
      <c r="C93" s="27"/>
      <c r="D93" s="28"/>
      <c r="E93" s="29"/>
      <c r="F93" s="30"/>
      <c r="G93" s="29"/>
    </row>
    <row r="94" spans="1:9" x14ac:dyDescent="0.2">
      <c r="A94" s="26" t="s">
        <v>42</v>
      </c>
      <c r="B94" s="26"/>
      <c r="C94" s="26"/>
      <c r="D94" s="32"/>
      <c r="E94" s="33">
        <f>E92</f>
        <v>0</v>
      </c>
      <c r="F94" s="34">
        <f>F92</f>
        <v>100</v>
      </c>
      <c r="G94" s="33"/>
      <c r="H94" s="18"/>
      <c r="I94" s="18"/>
    </row>
    <row r="95" spans="1:9" x14ac:dyDescent="0.2">
      <c r="A95" s="26"/>
      <c r="B95" s="26"/>
      <c r="C95" s="26"/>
      <c r="D95" s="32"/>
      <c r="E95" s="33"/>
      <c r="F95" s="34"/>
      <c r="G95" s="33"/>
      <c r="H95" s="18"/>
      <c r="I95" s="18"/>
    </row>
    <row r="96" spans="1:9" x14ac:dyDescent="0.2">
      <c r="A96" s="26" t="s">
        <v>44</v>
      </c>
      <c r="B96" s="26"/>
      <c r="C96" s="26"/>
      <c r="D96" s="32"/>
      <c r="E96" s="33">
        <f>E98-(E92)</f>
        <v>3.9999999999999998E-7</v>
      </c>
      <c r="F96" s="34">
        <v>0</v>
      </c>
      <c r="G96" s="33"/>
      <c r="H96" s="18"/>
      <c r="I96" s="18"/>
    </row>
    <row r="97" spans="1:9" x14ac:dyDescent="0.2">
      <c r="A97" s="26"/>
      <c r="B97" s="26"/>
      <c r="C97" s="26"/>
      <c r="D97" s="32"/>
      <c r="E97" s="33"/>
      <c r="F97" s="34"/>
      <c r="G97" s="33"/>
      <c r="H97" s="18"/>
      <c r="I97" s="18"/>
    </row>
    <row r="98" spans="1:9" x14ac:dyDescent="0.2">
      <c r="A98" s="35" t="s">
        <v>43</v>
      </c>
      <c r="B98" s="35"/>
      <c r="C98" s="35"/>
      <c r="D98" s="36"/>
      <c r="E98" s="37">
        <v>3.9999999999999998E-7</v>
      </c>
      <c r="F98" s="38">
        <v>100</v>
      </c>
      <c r="G98" s="37"/>
      <c r="H98" s="18"/>
      <c r="I98" s="18"/>
    </row>
    <row r="100" spans="1:9" x14ac:dyDescent="0.2">
      <c r="A100" s="18" t="s">
        <v>46</v>
      </c>
    </row>
    <row r="101" spans="1:9" x14ac:dyDescent="0.2">
      <c r="A101" s="18" t="s">
        <v>1236</v>
      </c>
    </row>
    <row r="102" spans="1:9" x14ac:dyDescent="0.2">
      <c r="A102" s="18" t="s">
        <v>1237</v>
      </c>
    </row>
    <row r="104" spans="1:9" x14ac:dyDescent="0.2">
      <c r="A104" s="18" t="s">
        <v>47</v>
      </c>
    </row>
    <row r="105" spans="1:9" x14ac:dyDescent="0.2">
      <c r="A105" s="18" t="s">
        <v>48</v>
      </c>
    </row>
    <row r="106" spans="1:9" x14ac:dyDescent="0.2">
      <c r="A106" s="18" t="s">
        <v>49</v>
      </c>
      <c r="B106" s="18"/>
      <c r="C106" s="39" t="s">
        <v>51</v>
      </c>
      <c r="D106" s="41" t="s">
        <v>50</v>
      </c>
    </row>
    <row r="107" spans="1:9" x14ac:dyDescent="0.2">
      <c r="A107" s="9" t="s">
        <v>79</v>
      </c>
      <c r="C107" s="40">
        <v>0</v>
      </c>
      <c r="D107" s="40">
        <v>0</v>
      </c>
    </row>
    <row r="108" spans="1:9" x14ac:dyDescent="0.2">
      <c r="A108" s="9" t="s">
        <v>85</v>
      </c>
      <c r="C108" s="40">
        <v>0</v>
      </c>
      <c r="D108" s="40">
        <v>0</v>
      </c>
    </row>
    <row r="109" spans="1:9" x14ac:dyDescent="0.2">
      <c r="A109" s="9" t="s">
        <v>82</v>
      </c>
      <c r="C109" s="40">
        <v>0</v>
      </c>
      <c r="D109" s="40">
        <v>0</v>
      </c>
    </row>
    <row r="110" spans="1:9" x14ac:dyDescent="0.2">
      <c r="A110" s="9" t="s">
        <v>86</v>
      </c>
      <c r="C110" s="40">
        <v>0</v>
      </c>
      <c r="D110" s="40">
        <v>0</v>
      </c>
    </row>
    <row r="112" spans="1:9" x14ac:dyDescent="0.2">
      <c r="A112" s="9" t="s">
        <v>52</v>
      </c>
    </row>
    <row r="114" spans="1:9" x14ac:dyDescent="0.2">
      <c r="A114" s="18" t="s">
        <v>1387</v>
      </c>
      <c r="D114" s="41" t="s">
        <v>54</v>
      </c>
    </row>
    <row r="115" spans="1:9" x14ac:dyDescent="0.2">
      <c r="A115" s="9" t="s">
        <v>58</v>
      </c>
    </row>
    <row r="116" spans="1:9" x14ac:dyDescent="0.2">
      <c r="A116" s="53" t="s">
        <v>744</v>
      </c>
    </row>
    <row r="118" spans="1:9" ht="14.4" x14ac:dyDescent="0.2">
      <c r="A118" s="80" t="s">
        <v>1238</v>
      </c>
      <c r="B118" s="81"/>
      <c r="C118" s="81"/>
      <c r="D118" s="81"/>
      <c r="E118" s="81"/>
      <c r="F118" s="81"/>
      <c r="G118" s="81"/>
    </row>
    <row r="119" spans="1:9" x14ac:dyDescent="0.2">
      <c r="A119" s="53" t="s">
        <v>57</v>
      </c>
    </row>
    <row r="121" spans="1:9" s="1" customFormat="1" ht="13.8" x14ac:dyDescent="0.2">
      <c r="A121" s="76" t="s">
        <v>1239</v>
      </c>
      <c r="B121" s="77"/>
      <c r="C121" s="77"/>
      <c r="D121" s="77"/>
      <c r="E121" s="77"/>
      <c r="F121" s="77"/>
      <c r="G121" s="77"/>
    </row>
    <row r="122" spans="1:9" x14ac:dyDescent="0.2">
      <c r="A122" s="18" t="s">
        <v>7</v>
      </c>
    </row>
    <row r="123" spans="1:9" s="1" customFormat="1" ht="17.399999999999999" customHeight="1" x14ac:dyDescent="0.2">
      <c r="A123" s="8" t="s">
        <v>2</v>
      </c>
      <c r="B123" s="8" t="s">
        <v>0</v>
      </c>
      <c r="C123" s="17" t="s">
        <v>45</v>
      </c>
      <c r="D123" s="16" t="s">
        <v>1</v>
      </c>
      <c r="E123" s="15" t="s">
        <v>3</v>
      </c>
      <c r="F123" s="15" t="s">
        <v>4</v>
      </c>
      <c r="G123" s="15" t="s">
        <v>6</v>
      </c>
    </row>
    <row r="124" spans="1:9" x14ac:dyDescent="0.2">
      <c r="A124" s="21" t="s">
        <v>35</v>
      </c>
      <c r="B124" s="22"/>
      <c r="C124" s="22"/>
      <c r="D124" s="23"/>
      <c r="E124" s="24"/>
      <c r="F124" s="25"/>
      <c r="G124" s="24"/>
    </row>
    <row r="125" spans="1:9" x14ac:dyDescent="0.2">
      <c r="A125" s="26" t="s">
        <v>36</v>
      </c>
      <c r="B125" s="27"/>
      <c r="C125" s="27"/>
      <c r="D125" s="28"/>
      <c r="E125" s="29"/>
      <c r="F125" s="30"/>
      <c r="G125" s="29"/>
    </row>
    <row r="126" spans="1:9" ht="20.399999999999999" x14ac:dyDescent="0.2">
      <c r="A126" s="27" t="s">
        <v>1240</v>
      </c>
      <c r="B126" s="27" t="s">
        <v>1241</v>
      </c>
      <c r="C126" s="52" t="s">
        <v>1242</v>
      </c>
      <c r="D126" s="31">
        <v>682</v>
      </c>
      <c r="E126" s="29">
        <v>0</v>
      </c>
      <c r="F126" s="30">
        <v>100</v>
      </c>
      <c r="G126" s="29">
        <v>0</v>
      </c>
    </row>
    <row r="127" spans="1:9" x14ac:dyDescent="0.2">
      <c r="A127" s="26" t="s">
        <v>39</v>
      </c>
      <c r="B127" s="26"/>
      <c r="C127" s="26"/>
      <c r="D127" s="32"/>
      <c r="E127" s="33">
        <f>SUM(E125:E126)</f>
        <v>0</v>
      </c>
      <c r="F127" s="34">
        <f>SUM(F125:F126)</f>
        <v>100</v>
      </c>
      <c r="G127" s="33"/>
      <c r="H127" s="18"/>
      <c r="I127" s="18"/>
    </row>
    <row r="128" spans="1:9" x14ac:dyDescent="0.2">
      <c r="A128" s="27"/>
      <c r="B128" s="27"/>
      <c r="C128" s="27"/>
      <c r="D128" s="28"/>
      <c r="E128" s="29"/>
      <c r="F128" s="30"/>
      <c r="G128" s="29"/>
    </row>
    <row r="129" spans="1:9" x14ac:dyDescent="0.2">
      <c r="A129" s="26" t="s">
        <v>42</v>
      </c>
      <c r="B129" s="26"/>
      <c r="C129" s="26"/>
      <c r="D129" s="32"/>
      <c r="E129" s="33">
        <f>E127</f>
        <v>0</v>
      </c>
      <c r="F129" s="34">
        <f>F127</f>
        <v>100</v>
      </c>
      <c r="G129" s="33"/>
      <c r="H129" s="18"/>
      <c r="I129" s="18"/>
    </row>
    <row r="130" spans="1:9" x14ac:dyDescent="0.2">
      <c r="A130" s="26"/>
      <c r="B130" s="26"/>
      <c r="C130" s="26"/>
      <c r="D130" s="32"/>
      <c r="E130" s="33"/>
      <c r="F130" s="34"/>
      <c r="G130" s="33"/>
      <c r="H130" s="18"/>
      <c r="I130" s="18"/>
    </row>
    <row r="131" spans="1:9" x14ac:dyDescent="0.2">
      <c r="A131" s="26" t="s">
        <v>44</v>
      </c>
      <c r="B131" s="26"/>
      <c r="C131" s="26"/>
      <c r="D131" s="32"/>
      <c r="E131" s="33">
        <f>E133-(E127)</f>
        <v>3.9999999999999998E-7</v>
      </c>
      <c r="F131" s="34">
        <v>0</v>
      </c>
      <c r="G131" s="33"/>
      <c r="H131" s="18"/>
      <c r="I131" s="18"/>
    </row>
    <row r="132" spans="1:9" x14ac:dyDescent="0.2">
      <c r="A132" s="26"/>
      <c r="B132" s="26"/>
      <c r="C132" s="26"/>
      <c r="D132" s="32"/>
      <c r="E132" s="33"/>
      <c r="F132" s="34"/>
      <c r="G132" s="33"/>
      <c r="H132" s="18"/>
      <c r="I132" s="18"/>
    </row>
    <row r="133" spans="1:9" x14ac:dyDescent="0.2">
      <c r="A133" s="35" t="s">
        <v>43</v>
      </c>
      <c r="B133" s="35"/>
      <c r="C133" s="35"/>
      <c r="D133" s="36"/>
      <c r="E133" s="37">
        <v>3.9999999999999998E-7</v>
      </c>
      <c r="F133" s="38">
        <v>100</v>
      </c>
      <c r="G133" s="37"/>
      <c r="H133" s="18"/>
      <c r="I133" s="18"/>
    </row>
    <row r="135" spans="1:9" x14ac:dyDescent="0.2">
      <c r="A135" s="18" t="s">
        <v>46</v>
      </c>
    </row>
    <row r="136" spans="1:9" x14ac:dyDescent="0.2">
      <c r="A136" s="47" t="s">
        <v>1236</v>
      </c>
    </row>
    <row r="138" spans="1:9" x14ac:dyDescent="0.2">
      <c r="A138" s="18" t="s">
        <v>47</v>
      </c>
    </row>
    <row r="139" spans="1:9" x14ac:dyDescent="0.2">
      <c r="A139" s="18" t="s">
        <v>48</v>
      </c>
    </row>
    <row r="140" spans="1:9" x14ac:dyDescent="0.2">
      <c r="A140" s="18" t="s">
        <v>49</v>
      </c>
      <c r="B140" s="18"/>
      <c r="C140" s="39" t="s">
        <v>51</v>
      </c>
      <c r="D140" s="41" t="s">
        <v>50</v>
      </c>
    </row>
    <row r="141" spans="1:9" x14ac:dyDescent="0.2">
      <c r="A141" s="9" t="s">
        <v>79</v>
      </c>
      <c r="C141" s="40">
        <v>0</v>
      </c>
      <c r="D141" s="40">
        <v>0</v>
      </c>
    </row>
    <row r="142" spans="1:9" x14ac:dyDescent="0.2">
      <c r="A142" s="9" t="s">
        <v>85</v>
      </c>
      <c r="C142" s="40">
        <v>0</v>
      </c>
      <c r="D142" s="40">
        <v>0</v>
      </c>
    </row>
    <row r="143" spans="1:9" x14ac:dyDescent="0.2">
      <c r="A143" s="9" t="s">
        <v>82</v>
      </c>
      <c r="C143" s="40">
        <v>0</v>
      </c>
      <c r="D143" s="40">
        <v>0</v>
      </c>
    </row>
    <row r="144" spans="1:9" x14ac:dyDescent="0.2">
      <c r="A144" s="9" t="s">
        <v>86</v>
      </c>
      <c r="C144" s="40">
        <v>0</v>
      </c>
      <c r="D144" s="40">
        <v>0</v>
      </c>
    </row>
    <row r="146" spans="1:7" x14ac:dyDescent="0.2">
      <c r="A146" s="9" t="s">
        <v>52</v>
      </c>
    </row>
    <row r="148" spans="1:7" x14ac:dyDescent="0.2">
      <c r="A148" s="18" t="s">
        <v>1387</v>
      </c>
      <c r="D148" s="41" t="s">
        <v>54</v>
      </c>
    </row>
    <row r="149" spans="1:7" x14ac:dyDescent="0.2">
      <c r="A149" s="9" t="s">
        <v>58</v>
      </c>
    </row>
    <row r="150" spans="1:7" x14ac:dyDescent="0.2">
      <c r="A150" s="53" t="s">
        <v>744</v>
      </c>
    </row>
    <row r="152" spans="1:7" ht="14.4" x14ac:dyDescent="0.2">
      <c r="A152" s="80" t="s">
        <v>1238</v>
      </c>
      <c r="B152" s="81"/>
      <c r="C152" s="81"/>
      <c r="D152" s="81"/>
      <c r="E152" s="81"/>
      <c r="F152" s="81"/>
      <c r="G152" s="81"/>
    </row>
    <row r="153" spans="1:7" x14ac:dyDescent="0.2">
      <c r="A153" s="53" t="s">
        <v>57</v>
      </c>
    </row>
  </sheetData>
  <mergeCells count="10">
    <mergeCell ref="A86:G86"/>
    <mergeCell ref="A118:G118"/>
    <mergeCell ref="A121:G121"/>
    <mergeCell ref="A152:G152"/>
    <mergeCell ref="A1:G1"/>
    <mergeCell ref="A72:G72"/>
    <mergeCell ref="A74:G74"/>
    <mergeCell ref="A76:G76"/>
    <mergeCell ref="A79:G79"/>
    <mergeCell ref="A81:G81"/>
  </mergeCells>
  <conditionalFormatting sqref="F2:F3 F5:F35 F89:F90 F124:F125 F39:F71 F80 F87 F99:F117 F120 F122 F134:F151 F154:F65545 F83:F85">
    <cfRule type="cellIs" dxfId="80" priority="14" stopIfTrue="1" operator="between">
      <formula>0.009</formula>
      <formula>-0.009</formula>
    </cfRule>
  </conditionalFormatting>
  <conditionalFormatting sqref="F73 F75 F78">
    <cfRule type="cellIs" dxfId="79" priority="13" stopIfTrue="1" operator="between">
      <formula>0.009</formula>
      <formula>-0.009</formula>
    </cfRule>
  </conditionalFormatting>
  <conditionalFormatting sqref="F82">
    <cfRule type="cellIs" dxfId="78" priority="11" stopIfTrue="1" operator="between">
      <formula>0.009</formula>
      <formula>-0.009</formula>
    </cfRule>
  </conditionalFormatting>
  <conditionalFormatting sqref="F94:F95 F97:F98">
    <cfRule type="cellIs" dxfId="77" priority="8" stopIfTrue="1" operator="between">
      <formula>0.009</formula>
      <formula>-0.009</formula>
    </cfRule>
  </conditionalFormatting>
  <conditionalFormatting sqref="F92:F93">
    <cfRule type="cellIs" dxfId="76" priority="10" stopIfTrue="1" operator="between">
      <formula>0.009</formula>
      <formula>-0.009</formula>
    </cfRule>
  </conditionalFormatting>
  <conditionalFormatting sqref="F91">
    <cfRule type="cellIs" dxfId="75" priority="9" stopIfTrue="1" operator="between">
      <formula>0.009</formula>
      <formula>-0.009</formula>
    </cfRule>
  </conditionalFormatting>
  <conditionalFormatting sqref="F119">
    <cfRule type="cellIs" dxfId="74" priority="6" stopIfTrue="1" operator="between">
      <formula>0.009</formula>
      <formula>-0.009</formula>
    </cfRule>
  </conditionalFormatting>
  <conditionalFormatting sqref="F127:F128">
    <cfRule type="cellIs" dxfId="73" priority="5" stopIfTrue="1" operator="between">
      <formula>0.009</formula>
      <formula>-0.009</formula>
    </cfRule>
  </conditionalFormatting>
  <conditionalFormatting sqref="F126">
    <cfRule type="cellIs" dxfId="72" priority="4" stopIfTrue="1" operator="between">
      <formula>0.009</formula>
      <formula>-0.009</formula>
    </cfRule>
  </conditionalFormatting>
  <conditionalFormatting sqref="F129:F130 F132:F133">
    <cfRule type="cellIs" dxfId="71" priority="3" stopIfTrue="1" operator="between">
      <formula>0.009</formula>
      <formula>-0.009</formula>
    </cfRule>
  </conditionalFormatting>
  <conditionalFormatting sqref="F153">
    <cfRule type="cellIs" dxfId="70" priority="1" stopIfTrue="1" operator="between">
      <formula>0.009</formula>
      <formula>-0.009</formula>
    </cfRule>
  </conditionalFormatting>
  <hyperlinks>
    <hyperlink ref="A70" r:id="rId1" xr:uid="{00000000-0004-0000-1A00-000000000000}"/>
    <hyperlink ref="A77" r:id="rId2" xr:uid="{00000000-0004-0000-1A00-000001000000}"/>
    <hyperlink ref="A82" r:id="rId3" xr:uid="{00000000-0004-0000-1A00-000002000000}"/>
    <hyperlink ref="A116" r:id="rId4" xr:uid="{00000000-0004-0000-1A00-000003000000}"/>
    <hyperlink ref="A119" r:id="rId5" xr:uid="{00000000-0004-0000-1A00-000004000000}"/>
    <hyperlink ref="A150" r:id="rId6" xr:uid="{00000000-0004-0000-1A00-000005000000}"/>
    <hyperlink ref="A153" r:id="rId7" xr:uid="{00000000-0004-0000-1A00-000006000000}"/>
  </hyperlinks>
  <pageMargins left="0.7" right="0.7" top="0.75" bottom="0.75" header="0.3" footer="0.3"/>
  <pageSetup paperSize="9" orientation="portrait" r:id="rId8"/>
  <headerFooter>
    <oddFooter>&amp;R&amp;1#&amp;"Calibri"&amp;10&amp;KFF0000|PUBLIC|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09"/>
  <sheetViews>
    <sheetView workbookViewId="0">
      <selection sqref="A1:G1"/>
    </sheetView>
  </sheetViews>
  <sheetFormatPr defaultColWidth="9.109375" defaultRowHeight="10.199999999999999" x14ac:dyDescent="0.2"/>
  <cols>
    <col min="1" max="1" width="38.6640625" style="9" bestFit="1" customWidth="1"/>
    <col min="2" max="2" width="62"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1243</v>
      </c>
      <c r="B1" s="77"/>
      <c r="C1" s="77"/>
      <c r="D1" s="77"/>
      <c r="E1" s="77"/>
      <c r="F1" s="77"/>
      <c r="G1" s="77"/>
    </row>
    <row r="2" spans="1:7" s="1" customFormat="1" ht="12" x14ac:dyDescent="0.25">
      <c r="A2" s="57" t="s">
        <v>1158</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1244</v>
      </c>
      <c r="B7" s="27" t="s">
        <v>1245</v>
      </c>
      <c r="C7" s="27" t="s">
        <v>1013</v>
      </c>
      <c r="D7" s="31">
        <v>1283</v>
      </c>
      <c r="E7" s="29">
        <v>13012.25015</v>
      </c>
      <c r="F7" s="30">
        <v>15.0906640238929</v>
      </c>
      <c r="G7" s="29">
        <v>10.067</v>
      </c>
    </row>
    <row r="8" spans="1:7" x14ac:dyDescent="0.2">
      <c r="A8" s="27" t="s">
        <v>1246</v>
      </c>
      <c r="B8" s="27" t="s">
        <v>1247</v>
      </c>
      <c r="C8" s="27" t="s">
        <v>1178</v>
      </c>
      <c r="D8" s="31">
        <v>2000</v>
      </c>
      <c r="E8" s="29">
        <v>9937.4599999999991</v>
      </c>
      <c r="F8" s="30">
        <v>11.524745403920299</v>
      </c>
      <c r="G8" s="29">
        <v>18.0533</v>
      </c>
    </row>
    <row r="9" spans="1:7" x14ac:dyDescent="0.2">
      <c r="A9" s="27" t="s">
        <v>1248</v>
      </c>
      <c r="B9" s="27" t="s">
        <v>1249</v>
      </c>
      <c r="C9" s="27" t="s">
        <v>1209</v>
      </c>
      <c r="D9" s="31">
        <v>650</v>
      </c>
      <c r="E9" s="29">
        <v>6494.9494999999997</v>
      </c>
      <c r="F9" s="30">
        <v>7.5323713905585299</v>
      </c>
      <c r="G9" s="29">
        <v>12.4109</v>
      </c>
    </row>
    <row r="10" spans="1:7" x14ac:dyDescent="0.2">
      <c r="A10" s="27" t="s">
        <v>877</v>
      </c>
      <c r="B10" s="27" t="s">
        <v>878</v>
      </c>
      <c r="C10" s="27" t="s">
        <v>879</v>
      </c>
      <c r="D10" s="31">
        <v>500</v>
      </c>
      <c r="E10" s="29">
        <v>4957.58</v>
      </c>
      <c r="F10" s="30">
        <v>5.74944174060247</v>
      </c>
      <c r="G10" s="29">
        <v>7.2625000000000002</v>
      </c>
    </row>
    <row r="11" spans="1:7" x14ac:dyDescent="0.2">
      <c r="A11" s="27" t="s">
        <v>1250</v>
      </c>
      <c r="B11" s="27" t="s">
        <v>1251</v>
      </c>
      <c r="C11" s="27" t="s">
        <v>949</v>
      </c>
      <c r="D11" s="31">
        <v>470</v>
      </c>
      <c r="E11" s="29">
        <v>4944.7853999999998</v>
      </c>
      <c r="F11" s="30">
        <v>5.7346034914376904</v>
      </c>
      <c r="G11" s="29">
        <v>8.9306000000000001</v>
      </c>
    </row>
    <row r="12" spans="1:7" x14ac:dyDescent="0.2">
      <c r="A12" s="27" t="s">
        <v>1252</v>
      </c>
      <c r="B12" s="27" t="s">
        <v>1253</v>
      </c>
      <c r="C12" s="27" t="s">
        <v>949</v>
      </c>
      <c r="D12" s="31">
        <v>250</v>
      </c>
      <c r="E12" s="29">
        <v>2582.4050000000002</v>
      </c>
      <c r="F12" s="30">
        <v>2.9948860327297799</v>
      </c>
      <c r="G12" s="29">
        <v>8.6555</v>
      </c>
    </row>
    <row r="13" spans="1:7" x14ac:dyDescent="0.2">
      <c r="A13" s="27" t="s">
        <v>1254</v>
      </c>
      <c r="B13" s="27" t="s">
        <v>1255</v>
      </c>
      <c r="C13" s="27" t="s">
        <v>1013</v>
      </c>
      <c r="D13" s="31">
        <v>250</v>
      </c>
      <c r="E13" s="29">
        <v>2526.85</v>
      </c>
      <c r="F13" s="30">
        <v>2.9304573727991001</v>
      </c>
      <c r="G13" s="29">
        <v>6.1999000000000004</v>
      </c>
    </row>
    <row r="14" spans="1:7" x14ac:dyDescent="0.2">
      <c r="A14" s="27" t="s">
        <v>1186</v>
      </c>
      <c r="B14" s="27" t="s">
        <v>1177</v>
      </c>
      <c r="C14" s="27" t="s">
        <v>1178</v>
      </c>
      <c r="D14" s="31">
        <v>200</v>
      </c>
      <c r="E14" s="29">
        <v>1768.722</v>
      </c>
      <c r="F14" s="30">
        <v>2.0512355008536201</v>
      </c>
      <c r="G14" s="29">
        <v>20.752199999999998</v>
      </c>
    </row>
    <row r="15" spans="1:7" x14ac:dyDescent="0.2">
      <c r="A15" s="27" t="s">
        <v>1256</v>
      </c>
      <c r="B15" s="27" t="s">
        <v>1257</v>
      </c>
      <c r="C15" s="27" t="s">
        <v>1258</v>
      </c>
      <c r="D15" s="31">
        <v>150</v>
      </c>
      <c r="E15" s="29">
        <v>1520.7059999999999</v>
      </c>
      <c r="F15" s="30">
        <v>1.7636045311592801</v>
      </c>
      <c r="G15" s="29">
        <v>9.65</v>
      </c>
    </row>
    <row r="16" spans="1:7" x14ac:dyDescent="0.2">
      <c r="A16" s="27" t="s">
        <v>1259</v>
      </c>
      <c r="B16" s="27" t="s">
        <v>1260</v>
      </c>
      <c r="C16" s="27" t="s">
        <v>1163</v>
      </c>
      <c r="D16" s="31">
        <v>300</v>
      </c>
      <c r="E16" s="29">
        <v>1512.942</v>
      </c>
      <c r="F16" s="30">
        <v>1.7546004070354</v>
      </c>
      <c r="G16" s="29">
        <v>7.3823999999999996</v>
      </c>
    </row>
    <row r="17" spans="1:9" x14ac:dyDescent="0.2">
      <c r="A17" s="27" t="s">
        <v>1195</v>
      </c>
      <c r="B17" s="27" t="s">
        <v>1196</v>
      </c>
      <c r="C17" s="27" t="s">
        <v>1181</v>
      </c>
      <c r="D17" s="31">
        <v>119</v>
      </c>
      <c r="E17" s="29">
        <v>1356.1420880000001</v>
      </c>
      <c r="F17" s="30">
        <v>1.57275524085037</v>
      </c>
      <c r="G17" s="29">
        <v>11.375</v>
      </c>
    </row>
    <row r="18" spans="1:9" x14ac:dyDescent="0.2">
      <c r="A18" s="27" t="s">
        <v>1189</v>
      </c>
      <c r="B18" s="27" t="s">
        <v>1190</v>
      </c>
      <c r="C18" s="27" t="s">
        <v>1163</v>
      </c>
      <c r="D18" s="31">
        <v>176</v>
      </c>
      <c r="E18" s="29">
        <v>1336.60428</v>
      </c>
      <c r="F18" s="30">
        <v>1.5500967080914301</v>
      </c>
      <c r="G18" s="29">
        <v>7.6024000000000003</v>
      </c>
    </row>
    <row r="19" spans="1:9" x14ac:dyDescent="0.2">
      <c r="A19" s="27" t="s">
        <v>1261</v>
      </c>
      <c r="B19" s="27" t="s">
        <v>1262</v>
      </c>
      <c r="C19" s="27" t="s">
        <v>1163</v>
      </c>
      <c r="D19" s="31">
        <v>62</v>
      </c>
      <c r="E19" s="29">
        <v>640.02538000000004</v>
      </c>
      <c r="F19" s="30">
        <v>0.74225501854069098</v>
      </c>
      <c r="G19" s="29">
        <v>8.8923000000000005</v>
      </c>
    </row>
    <row r="20" spans="1:9" x14ac:dyDescent="0.2">
      <c r="A20" s="27" t="s">
        <v>1263</v>
      </c>
      <c r="B20" s="27" t="s">
        <v>1264</v>
      </c>
      <c r="C20" s="27" t="s">
        <v>1163</v>
      </c>
      <c r="D20" s="31">
        <v>62</v>
      </c>
      <c r="E20" s="29">
        <v>637.40153999999995</v>
      </c>
      <c r="F20" s="30">
        <v>0.73921207919999199</v>
      </c>
      <c r="G20" s="29">
        <v>9.4824000000000002</v>
      </c>
    </row>
    <row r="21" spans="1:9" x14ac:dyDescent="0.2">
      <c r="A21" s="27" t="s">
        <v>1161</v>
      </c>
      <c r="B21" s="27" t="s">
        <v>1162</v>
      </c>
      <c r="C21" s="27" t="s">
        <v>1163</v>
      </c>
      <c r="D21" s="31">
        <v>55</v>
      </c>
      <c r="E21" s="29">
        <v>564.17460000000005</v>
      </c>
      <c r="F21" s="30">
        <v>0.65428878489660303</v>
      </c>
      <c r="G21" s="29">
        <v>8.3522999999999996</v>
      </c>
    </row>
    <row r="22" spans="1:9" x14ac:dyDescent="0.2">
      <c r="A22" s="26" t="s">
        <v>39</v>
      </c>
      <c r="B22" s="26"/>
      <c r="C22" s="26"/>
      <c r="D22" s="32"/>
      <c r="E22" s="33">
        <f>SUM(E6:E21)</f>
        <v>53792.997937999993</v>
      </c>
      <c r="F22" s="34">
        <f>SUM(F6:F21)</f>
        <v>62.38521772656815</v>
      </c>
      <c r="G22" s="33"/>
      <c r="H22" s="18"/>
      <c r="I22" s="18"/>
    </row>
    <row r="23" spans="1:9" x14ac:dyDescent="0.2">
      <c r="A23" s="27"/>
      <c r="B23" s="27"/>
      <c r="C23" s="27"/>
      <c r="D23" s="28"/>
      <c r="E23" s="29"/>
      <c r="F23" s="30"/>
      <c r="G23" s="29"/>
    </row>
    <row r="24" spans="1:9" x14ac:dyDescent="0.2">
      <c r="A24" s="26" t="s">
        <v>1080</v>
      </c>
      <c r="B24" s="27"/>
      <c r="C24" s="27"/>
      <c r="D24" s="28"/>
      <c r="E24" s="29"/>
      <c r="F24" s="30"/>
      <c r="G24" s="29"/>
    </row>
    <row r="25" spans="1:9" x14ac:dyDescent="0.2">
      <c r="A25" s="27" t="s">
        <v>1205</v>
      </c>
      <c r="B25" s="27" t="s">
        <v>1206</v>
      </c>
      <c r="C25" s="27" t="s">
        <v>1204</v>
      </c>
      <c r="D25" s="31">
        <v>180</v>
      </c>
      <c r="E25" s="29">
        <v>1521.733833</v>
      </c>
      <c r="F25" s="30">
        <v>1.76479653733015</v>
      </c>
      <c r="G25" s="29">
        <v>11.464700000000001</v>
      </c>
    </row>
    <row r="26" spans="1:9" x14ac:dyDescent="0.2">
      <c r="A26" s="27" t="s">
        <v>1214</v>
      </c>
      <c r="B26" s="27" t="s">
        <v>1215</v>
      </c>
      <c r="C26" s="27" t="s">
        <v>1204</v>
      </c>
      <c r="D26" s="31">
        <v>120</v>
      </c>
      <c r="E26" s="29">
        <v>1048.2718179999999</v>
      </c>
      <c r="F26" s="30">
        <v>1.21570962967949</v>
      </c>
      <c r="G26" s="29">
        <v>11.4674</v>
      </c>
    </row>
    <row r="27" spans="1:9" x14ac:dyDescent="0.2">
      <c r="A27" s="27" t="s">
        <v>1265</v>
      </c>
      <c r="B27" s="27" t="s">
        <v>1266</v>
      </c>
      <c r="C27" s="27" t="s">
        <v>1204</v>
      </c>
      <c r="D27" s="31">
        <v>40</v>
      </c>
      <c r="E27" s="29">
        <v>329.74468080000003</v>
      </c>
      <c r="F27" s="30">
        <v>0.38241396639754799</v>
      </c>
      <c r="G27" s="29">
        <v>11.4674</v>
      </c>
    </row>
    <row r="28" spans="1:9" x14ac:dyDescent="0.2">
      <c r="A28" s="26" t="s">
        <v>39</v>
      </c>
      <c r="B28" s="26"/>
      <c r="C28" s="26"/>
      <c r="D28" s="32"/>
      <c r="E28" s="33">
        <f>SUM(E24:E27)</f>
        <v>2899.7503317999999</v>
      </c>
      <c r="F28" s="34">
        <f>SUM(F24:F27)</f>
        <v>3.3629201334071879</v>
      </c>
      <c r="G28" s="33"/>
      <c r="H28" s="18"/>
      <c r="I28" s="18"/>
    </row>
    <row r="29" spans="1:9" x14ac:dyDescent="0.2">
      <c r="A29" s="27"/>
      <c r="B29" s="27"/>
      <c r="C29" s="27"/>
      <c r="D29" s="28"/>
      <c r="E29" s="29"/>
      <c r="F29" s="30"/>
      <c r="G29" s="29"/>
    </row>
    <row r="30" spans="1:9" x14ac:dyDescent="0.2">
      <c r="A30" s="26" t="s">
        <v>40</v>
      </c>
      <c r="B30" s="27"/>
      <c r="C30" s="27"/>
      <c r="D30" s="28"/>
      <c r="E30" s="29"/>
      <c r="F30" s="30"/>
      <c r="G30" s="29"/>
    </row>
    <row r="31" spans="1:9" x14ac:dyDescent="0.2">
      <c r="A31" s="27" t="s">
        <v>1223</v>
      </c>
      <c r="B31" s="27" t="s">
        <v>1224</v>
      </c>
      <c r="C31" s="27" t="s">
        <v>41</v>
      </c>
      <c r="D31" s="31">
        <v>850347.24399999995</v>
      </c>
      <c r="E31" s="29">
        <v>28574.567080000001</v>
      </c>
      <c r="F31" s="30">
        <v>33.138710558255703</v>
      </c>
      <c r="G31" s="29">
        <v>3.2094999999999998</v>
      </c>
    </row>
    <row r="32" spans="1:9" x14ac:dyDescent="0.2">
      <c r="A32" s="26" t="s">
        <v>39</v>
      </c>
      <c r="B32" s="26"/>
      <c r="C32" s="26"/>
      <c r="D32" s="32"/>
      <c r="E32" s="33">
        <f>SUM(E31:E31)</f>
        <v>28574.567080000001</v>
      </c>
      <c r="F32" s="34">
        <f>SUM(F31:F31)</f>
        <v>33.138710558255703</v>
      </c>
      <c r="G32" s="33"/>
      <c r="H32" s="18"/>
      <c r="I32" s="18"/>
    </row>
    <row r="33" spans="1:9" x14ac:dyDescent="0.2">
      <c r="A33" s="27"/>
      <c r="B33" s="27"/>
      <c r="C33" s="27"/>
      <c r="D33" s="28"/>
      <c r="E33" s="29"/>
      <c r="F33" s="30"/>
      <c r="G33" s="29"/>
    </row>
    <row r="34" spans="1:9" x14ac:dyDescent="0.2">
      <c r="A34" s="26" t="s">
        <v>42</v>
      </c>
      <c r="B34" s="26"/>
      <c r="C34" s="26"/>
      <c r="D34" s="32"/>
      <c r="E34" s="33">
        <f>E22+E28+E32</f>
        <v>85267.315349799988</v>
      </c>
      <c r="F34" s="34">
        <f>F22+F28+F32</f>
        <v>98.88684841823104</v>
      </c>
      <c r="G34" s="33"/>
      <c r="H34" s="18"/>
      <c r="I34" s="18"/>
    </row>
    <row r="35" spans="1:9" x14ac:dyDescent="0.2">
      <c r="A35" s="26"/>
      <c r="B35" s="26"/>
      <c r="C35" s="26"/>
      <c r="D35" s="32"/>
      <c r="E35" s="33"/>
      <c r="F35" s="34"/>
      <c r="G35" s="33"/>
      <c r="H35" s="18"/>
      <c r="I35" s="18"/>
    </row>
    <row r="36" spans="1:9" x14ac:dyDescent="0.2">
      <c r="A36" s="26" t="s">
        <v>44</v>
      </c>
      <c r="B36" s="26"/>
      <c r="C36" s="26"/>
      <c r="D36" s="32"/>
      <c r="E36" s="33">
        <f>E38-(E22+E28+E32)</f>
        <v>959.83893180001178</v>
      </c>
      <c r="F36" s="34">
        <f>F38-(F22+F28+F32)</f>
        <v>1.1131515817689603</v>
      </c>
      <c r="G36" s="33"/>
      <c r="H36" s="18"/>
      <c r="I36" s="18"/>
    </row>
    <row r="37" spans="1:9" x14ac:dyDescent="0.2">
      <c r="A37" s="26"/>
      <c r="B37" s="26"/>
      <c r="C37" s="26"/>
      <c r="D37" s="32"/>
      <c r="E37" s="33"/>
      <c r="F37" s="34"/>
      <c r="G37" s="33"/>
      <c r="H37" s="18"/>
      <c r="I37" s="18"/>
    </row>
    <row r="38" spans="1:9" x14ac:dyDescent="0.2">
      <c r="A38" s="35" t="s">
        <v>43</v>
      </c>
      <c r="B38" s="35"/>
      <c r="C38" s="35"/>
      <c r="D38" s="36"/>
      <c r="E38" s="37">
        <v>86227.1542816</v>
      </c>
      <c r="F38" s="38">
        <v>100</v>
      </c>
      <c r="G38" s="37"/>
      <c r="H38" s="18"/>
      <c r="I38" s="18"/>
    </row>
    <row r="40" spans="1:9" x14ac:dyDescent="0.2">
      <c r="A40" s="18" t="s">
        <v>46</v>
      </c>
    </row>
    <row r="42" spans="1:9" x14ac:dyDescent="0.2">
      <c r="A42" s="18" t="s">
        <v>47</v>
      </c>
    </row>
    <row r="43" spans="1:9" x14ac:dyDescent="0.2">
      <c r="A43" s="18" t="s">
        <v>48</v>
      </c>
    </row>
    <row r="44" spans="1:9" x14ac:dyDescent="0.2">
      <c r="A44" s="18" t="s">
        <v>49</v>
      </c>
      <c r="B44" s="18"/>
      <c r="C44" s="39" t="s">
        <v>51</v>
      </c>
      <c r="D44" s="19" t="s">
        <v>50</v>
      </c>
    </row>
    <row r="45" spans="1:9" x14ac:dyDescent="0.2">
      <c r="A45" s="9" t="s">
        <v>79</v>
      </c>
      <c r="C45" s="40">
        <v>21.846699999999998</v>
      </c>
      <c r="D45" s="40">
        <v>23.533300000000001</v>
      </c>
    </row>
    <row r="46" spans="1:9" x14ac:dyDescent="0.2">
      <c r="A46" s="9" t="s">
        <v>80</v>
      </c>
      <c r="C46" s="40">
        <v>10.073499999999999</v>
      </c>
      <c r="D46" s="40">
        <v>10.8512</v>
      </c>
    </row>
    <row r="47" spans="1:9" x14ac:dyDescent="0.2">
      <c r="A47" s="9" t="s">
        <v>81</v>
      </c>
      <c r="C47" s="40">
        <v>9.8935999999999993</v>
      </c>
      <c r="D47" s="40">
        <v>10.657500000000001</v>
      </c>
    </row>
    <row r="48" spans="1:9" x14ac:dyDescent="0.2">
      <c r="A48" s="9" t="s">
        <v>82</v>
      </c>
      <c r="C48" s="40">
        <v>22.407599999999999</v>
      </c>
      <c r="D48" s="40">
        <v>24.169699999999999</v>
      </c>
    </row>
    <row r="49" spans="1:7" x14ac:dyDescent="0.2">
      <c r="A49" s="9" t="s">
        <v>83</v>
      </c>
      <c r="C49" s="40">
        <v>10.4139</v>
      </c>
      <c r="D49" s="40">
        <v>11.232799999999999</v>
      </c>
    </row>
    <row r="50" spans="1:7" x14ac:dyDescent="0.2">
      <c r="A50" s="9" t="s">
        <v>84</v>
      </c>
      <c r="C50" s="40">
        <v>10.233599999999999</v>
      </c>
      <c r="D50" s="40">
        <v>11.038399999999999</v>
      </c>
    </row>
    <row r="52" spans="1:7" x14ac:dyDescent="0.2">
      <c r="A52" s="9" t="s">
        <v>52</v>
      </c>
    </row>
    <row r="54" spans="1:7" x14ac:dyDescent="0.2">
      <c r="A54" s="18" t="s">
        <v>53</v>
      </c>
      <c r="D54" s="41" t="s">
        <v>54</v>
      </c>
    </row>
    <row r="56" spans="1:7" x14ac:dyDescent="0.2">
      <c r="A56" s="18" t="s">
        <v>820</v>
      </c>
      <c r="D56" s="42">
        <v>1.1721786013150686</v>
      </c>
      <c r="E56" s="13" t="s">
        <v>55</v>
      </c>
    </row>
    <row r="58" spans="1:7" x14ac:dyDescent="0.2">
      <c r="A58" s="18" t="s">
        <v>56</v>
      </c>
      <c r="D58" s="41" t="s">
        <v>54</v>
      </c>
    </row>
    <row r="59" spans="1:7" x14ac:dyDescent="0.2">
      <c r="A59" s="9" t="s">
        <v>58</v>
      </c>
    </row>
    <row r="60" spans="1:7" x14ac:dyDescent="0.2">
      <c r="A60" s="53" t="s">
        <v>744</v>
      </c>
    </row>
    <row r="62" spans="1:7" ht="26.25" customHeight="1" x14ac:dyDescent="0.2">
      <c r="A62" s="86" t="s">
        <v>1267</v>
      </c>
      <c r="B62" s="86"/>
      <c r="C62" s="86"/>
      <c r="D62" s="86"/>
      <c r="E62" s="86"/>
      <c r="F62" s="86"/>
      <c r="G62" s="86"/>
    </row>
    <row r="64" spans="1:7" ht="39" customHeight="1" x14ac:dyDescent="0.2">
      <c r="A64" s="89" t="s">
        <v>1268</v>
      </c>
      <c r="B64" s="89"/>
      <c r="C64" s="89"/>
      <c r="D64" s="89"/>
      <c r="E64" s="89"/>
      <c r="F64" s="89"/>
      <c r="G64" s="89"/>
    </row>
    <row r="65" spans="1:9" x14ac:dyDescent="0.2">
      <c r="A65" s="60" t="s">
        <v>1229</v>
      </c>
      <c r="B65" s="61"/>
      <c r="C65" s="61"/>
      <c r="D65" s="61"/>
      <c r="E65" s="61"/>
      <c r="F65" s="61"/>
      <c r="G65" s="61"/>
    </row>
    <row r="67" spans="1:9" ht="26.25" customHeight="1" x14ac:dyDescent="0.2">
      <c r="A67" s="88" t="s">
        <v>1269</v>
      </c>
      <c r="B67" s="88"/>
      <c r="C67" s="88"/>
      <c r="D67" s="88"/>
      <c r="E67" s="88"/>
      <c r="F67" s="88"/>
      <c r="G67" s="88"/>
    </row>
    <row r="68" spans="1:9" ht="14.4" x14ac:dyDescent="0.3">
      <c r="A68" s="43"/>
    </row>
    <row r="69" spans="1:9" ht="14.4" x14ac:dyDescent="0.2">
      <c r="A69" s="80" t="s">
        <v>1270</v>
      </c>
      <c r="B69" s="81"/>
      <c r="C69" s="81"/>
      <c r="D69" s="81"/>
      <c r="E69" s="81"/>
      <c r="F69" s="81"/>
      <c r="G69" s="81"/>
    </row>
    <row r="70" spans="1:9" x14ac:dyDescent="0.2">
      <c r="A70" s="53" t="s">
        <v>57</v>
      </c>
    </row>
    <row r="71" spans="1:9" ht="14.4" x14ac:dyDescent="0.3">
      <c r="A71" s="43"/>
    </row>
    <row r="72" spans="1:9" x14ac:dyDescent="0.2">
      <c r="A72" s="18" t="s">
        <v>741</v>
      </c>
    </row>
    <row r="73" spans="1:9" ht="14.4" x14ac:dyDescent="0.3">
      <c r="A73" s="43"/>
    </row>
    <row r="74" spans="1:9" s="1" customFormat="1" ht="13.8" x14ac:dyDescent="0.2">
      <c r="A74" s="76" t="s">
        <v>1271</v>
      </c>
      <c r="B74" s="77"/>
      <c r="C74" s="77"/>
      <c r="D74" s="77"/>
      <c r="E74" s="77"/>
      <c r="F74" s="77"/>
      <c r="G74" s="77"/>
    </row>
    <row r="75" spans="1:9" x14ac:dyDescent="0.2">
      <c r="A75" s="18" t="s">
        <v>7</v>
      </c>
    </row>
    <row r="76" spans="1:9" s="1" customFormat="1" ht="17.399999999999999" customHeight="1" x14ac:dyDescent="0.2">
      <c r="A76" s="8" t="s">
        <v>2</v>
      </c>
      <c r="B76" s="8" t="s">
        <v>0</v>
      </c>
      <c r="C76" s="17" t="s">
        <v>45</v>
      </c>
      <c r="D76" s="16" t="s">
        <v>1</v>
      </c>
      <c r="E76" s="15" t="s">
        <v>3</v>
      </c>
      <c r="F76" s="15" t="s">
        <v>4</v>
      </c>
      <c r="G76" s="15" t="s">
        <v>6</v>
      </c>
    </row>
    <row r="77" spans="1:9" x14ac:dyDescent="0.2">
      <c r="A77" s="21" t="s">
        <v>35</v>
      </c>
      <c r="B77" s="22"/>
      <c r="C77" s="22"/>
      <c r="D77" s="23"/>
      <c r="E77" s="24"/>
      <c r="F77" s="25"/>
      <c r="G77" s="24"/>
    </row>
    <row r="78" spans="1:9" x14ac:dyDescent="0.2">
      <c r="A78" s="26" t="s">
        <v>36</v>
      </c>
      <c r="B78" s="27"/>
      <c r="C78" s="27"/>
      <c r="D78" s="28"/>
      <c r="E78" s="29"/>
      <c r="F78" s="30"/>
      <c r="G78" s="29"/>
    </row>
    <row r="79" spans="1:9" x14ac:dyDescent="0.2">
      <c r="A79" s="27" t="s">
        <v>1233</v>
      </c>
      <c r="B79" s="27" t="s">
        <v>1234</v>
      </c>
      <c r="C79" s="27" t="s">
        <v>1235</v>
      </c>
      <c r="D79" s="31">
        <v>1510</v>
      </c>
      <c r="E79" s="29">
        <v>0</v>
      </c>
      <c r="F79" s="30">
        <v>100</v>
      </c>
      <c r="G79" s="29">
        <v>0</v>
      </c>
    </row>
    <row r="80" spans="1:9" x14ac:dyDescent="0.2">
      <c r="A80" s="26" t="s">
        <v>39</v>
      </c>
      <c r="B80" s="26"/>
      <c r="C80" s="26"/>
      <c r="D80" s="32"/>
      <c r="E80" s="33">
        <f>SUM(E78:E79)</f>
        <v>0</v>
      </c>
      <c r="F80" s="34">
        <f>SUM(F78:F79)</f>
        <v>100</v>
      </c>
      <c r="G80" s="33"/>
      <c r="H80" s="18"/>
      <c r="I80" s="18"/>
    </row>
    <row r="81" spans="1:9" x14ac:dyDescent="0.2">
      <c r="A81" s="27"/>
      <c r="B81" s="27"/>
      <c r="C81" s="27"/>
      <c r="D81" s="28"/>
      <c r="E81" s="29"/>
      <c r="F81" s="30"/>
      <c r="G81" s="29"/>
    </row>
    <row r="82" spans="1:9" x14ac:dyDescent="0.2">
      <c r="A82" s="26" t="s">
        <v>42</v>
      </c>
      <c r="B82" s="26"/>
      <c r="C82" s="26"/>
      <c r="D82" s="32"/>
      <c r="E82" s="33">
        <f>E80</f>
        <v>0</v>
      </c>
      <c r="F82" s="34">
        <f>F80</f>
        <v>100</v>
      </c>
      <c r="G82" s="33"/>
      <c r="H82" s="18"/>
      <c r="I82" s="18"/>
    </row>
    <row r="83" spans="1:9" x14ac:dyDescent="0.2">
      <c r="A83" s="26"/>
      <c r="B83" s="26"/>
      <c r="C83" s="26"/>
      <c r="D83" s="32"/>
      <c r="E83" s="33"/>
      <c r="F83" s="34"/>
      <c r="G83" s="33"/>
      <c r="H83" s="18"/>
      <c r="I83" s="18"/>
    </row>
    <row r="84" spans="1:9" x14ac:dyDescent="0.2">
      <c r="A84" s="26" t="s">
        <v>44</v>
      </c>
      <c r="B84" s="26"/>
      <c r="C84" s="26"/>
      <c r="D84" s="32"/>
      <c r="E84" s="33">
        <f>E86-(E80)</f>
        <v>5.9999999999999997E-7</v>
      </c>
      <c r="F84" s="34">
        <v>0</v>
      </c>
      <c r="G84" s="33"/>
      <c r="H84" s="18"/>
      <c r="I84" s="18"/>
    </row>
    <row r="85" spans="1:9" x14ac:dyDescent="0.2">
      <c r="A85" s="26"/>
      <c r="B85" s="26"/>
      <c r="C85" s="26"/>
      <c r="D85" s="32"/>
      <c r="E85" s="33"/>
      <c r="F85" s="34"/>
      <c r="G85" s="33"/>
      <c r="H85" s="18"/>
      <c r="I85" s="18"/>
    </row>
    <row r="86" spans="1:9" x14ac:dyDescent="0.2">
      <c r="A86" s="35" t="s">
        <v>43</v>
      </c>
      <c r="B86" s="35"/>
      <c r="C86" s="35"/>
      <c r="D86" s="36"/>
      <c r="E86" s="37">
        <v>5.9999999999999997E-7</v>
      </c>
      <c r="F86" s="38">
        <v>100</v>
      </c>
      <c r="G86" s="37"/>
      <c r="H86" s="18"/>
      <c r="I86" s="18"/>
    </row>
    <row r="88" spans="1:9" x14ac:dyDescent="0.2">
      <c r="A88" s="18" t="s">
        <v>46</v>
      </c>
    </row>
    <row r="89" spans="1:9" x14ac:dyDescent="0.2">
      <c r="A89" s="47" t="s">
        <v>1236</v>
      </c>
    </row>
    <row r="90" spans="1:9" x14ac:dyDescent="0.2">
      <c r="A90" s="18" t="s">
        <v>1237</v>
      </c>
    </row>
    <row r="92" spans="1:9" x14ac:dyDescent="0.2">
      <c r="A92" s="18" t="s">
        <v>47</v>
      </c>
    </row>
    <row r="93" spans="1:9" x14ac:dyDescent="0.2">
      <c r="A93" s="18" t="s">
        <v>48</v>
      </c>
    </row>
    <row r="94" spans="1:9" x14ac:dyDescent="0.2">
      <c r="A94" s="18" t="s">
        <v>49</v>
      </c>
      <c r="B94" s="18"/>
      <c r="C94" s="39" t="s">
        <v>51</v>
      </c>
      <c r="D94" s="41" t="s">
        <v>50</v>
      </c>
    </row>
    <row r="95" spans="1:9" x14ac:dyDescent="0.2">
      <c r="A95" s="9" t="s">
        <v>79</v>
      </c>
      <c r="C95" s="40">
        <v>0</v>
      </c>
      <c r="D95" s="40">
        <v>0</v>
      </c>
    </row>
    <row r="96" spans="1:9" x14ac:dyDescent="0.2">
      <c r="A96" s="9" t="s">
        <v>80</v>
      </c>
      <c r="C96" s="40">
        <v>0</v>
      </c>
      <c r="D96" s="40">
        <v>0</v>
      </c>
    </row>
    <row r="97" spans="1:7" x14ac:dyDescent="0.2">
      <c r="A97" s="9" t="s">
        <v>81</v>
      </c>
      <c r="C97" s="40">
        <v>0</v>
      </c>
      <c r="D97" s="40">
        <v>0</v>
      </c>
    </row>
    <row r="98" spans="1:7" x14ac:dyDescent="0.2">
      <c r="A98" s="9" t="s">
        <v>82</v>
      </c>
      <c r="C98" s="40">
        <v>0</v>
      </c>
      <c r="D98" s="40">
        <v>0</v>
      </c>
    </row>
    <row r="99" spans="1:7" x14ac:dyDescent="0.2">
      <c r="A99" s="9" t="s">
        <v>83</v>
      </c>
      <c r="C99" s="40">
        <v>0</v>
      </c>
      <c r="D99" s="40">
        <v>0</v>
      </c>
    </row>
    <row r="100" spans="1:7" x14ac:dyDescent="0.2">
      <c r="A100" s="9" t="s">
        <v>84</v>
      </c>
      <c r="C100" s="40">
        <v>0</v>
      </c>
      <c r="D100" s="40">
        <v>0</v>
      </c>
    </row>
    <row r="102" spans="1:7" x14ac:dyDescent="0.2">
      <c r="A102" s="9" t="s">
        <v>52</v>
      </c>
    </row>
    <row r="104" spans="1:7" x14ac:dyDescent="0.2">
      <c r="A104" s="18" t="s">
        <v>1387</v>
      </c>
      <c r="D104" s="41" t="s">
        <v>54</v>
      </c>
    </row>
    <row r="105" spans="1:7" x14ac:dyDescent="0.2">
      <c r="A105" s="9" t="s">
        <v>58</v>
      </c>
    </row>
    <row r="106" spans="1:7" x14ac:dyDescent="0.2">
      <c r="A106" s="53" t="s">
        <v>744</v>
      </c>
    </row>
    <row r="108" spans="1:7" ht="14.4" x14ac:dyDescent="0.2">
      <c r="A108" s="80" t="s">
        <v>1238</v>
      </c>
      <c r="B108" s="81"/>
      <c r="C108" s="81"/>
      <c r="D108" s="81"/>
      <c r="E108" s="81"/>
      <c r="F108" s="81"/>
      <c r="G108" s="81"/>
    </row>
    <row r="109" spans="1:7" x14ac:dyDescent="0.2">
      <c r="A109" s="53" t="s">
        <v>57</v>
      </c>
    </row>
  </sheetData>
  <mergeCells count="7">
    <mergeCell ref="A108:G108"/>
    <mergeCell ref="A1:G1"/>
    <mergeCell ref="A62:G62"/>
    <mergeCell ref="A64:G64"/>
    <mergeCell ref="A67:G67"/>
    <mergeCell ref="A69:G69"/>
    <mergeCell ref="A74:G74"/>
  </mergeCells>
  <conditionalFormatting sqref="F2:F3 F5:F61 F77:F78 F71:F73 F75 F87:F107 F110:F65542">
    <cfRule type="cellIs" dxfId="69" priority="10" stopIfTrue="1" operator="between">
      <formula>0.009</formula>
      <formula>-0.009</formula>
    </cfRule>
  </conditionalFormatting>
  <conditionalFormatting sqref="F68">
    <cfRule type="cellIs" dxfId="68" priority="9" stopIfTrue="1" operator="between">
      <formula>0.009</formula>
      <formula>-0.009</formula>
    </cfRule>
  </conditionalFormatting>
  <conditionalFormatting sqref="F63 F66">
    <cfRule type="cellIs" dxfId="67" priority="8" stopIfTrue="1" operator="between">
      <formula>0.009</formula>
      <formula>-0.009</formula>
    </cfRule>
  </conditionalFormatting>
  <conditionalFormatting sqref="F70">
    <cfRule type="cellIs" dxfId="66" priority="6" stopIfTrue="1" operator="between">
      <formula>0.009</formula>
      <formula>-0.009</formula>
    </cfRule>
  </conditionalFormatting>
  <conditionalFormatting sqref="F80:F81">
    <cfRule type="cellIs" dxfId="65" priority="5" stopIfTrue="1" operator="between">
      <formula>0.009</formula>
      <formula>-0.009</formula>
    </cfRule>
  </conditionalFormatting>
  <conditionalFormatting sqref="F79">
    <cfRule type="cellIs" dxfId="64" priority="4" stopIfTrue="1" operator="between">
      <formula>0.009</formula>
      <formula>-0.009</formula>
    </cfRule>
  </conditionalFormatting>
  <conditionalFormatting sqref="F82:F83 F85:F86">
    <cfRule type="cellIs" dxfId="63" priority="3" stopIfTrue="1" operator="between">
      <formula>0.009</formula>
      <formula>-0.009</formula>
    </cfRule>
  </conditionalFormatting>
  <conditionalFormatting sqref="F109">
    <cfRule type="cellIs" dxfId="62" priority="1" stopIfTrue="1" operator="between">
      <formula>0.009</formula>
      <formula>-0.009</formula>
    </cfRule>
  </conditionalFormatting>
  <hyperlinks>
    <hyperlink ref="A60" r:id="rId1" xr:uid="{00000000-0004-0000-1B00-000000000000}"/>
    <hyperlink ref="A65" r:id="rId2" xr:uid="{00000000-0004-0000-1B00-000001000000}"/>
    <hyperlink ref="A70" r:id="rId3" xr:uid="{00000000-0004-0000-1B00-000002000000}"/>
    <hyperlink ref="A106" r:id="rId4" xr:uid="{00000000-0004-0000-1B00-000003000000}"/>
    <hyperlink ref="A109" r:id="rId5" xr:uid="{00000000-0004-0000-1B00-000004000000}"/>
  </hyperlinks>
  <pageMargins left="0.7" right="0.7" top="0.75" bottom="0.75" header="0.3" footer="0.3"/>
  <pageSetup paperSize="9" orientation="portrait" r:id="rId6"/>
  <headerFooter>
    <oddFooter>&amp;R&amp;1#&amp;"Calibri"&amp;10&amp;KFF0000|PUBLIC|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74"/>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6" t="s">
        <v>1272</v>
      </c>
      <c r="B1" s="77"/>
      <c r="C1" s="77"/>
      <c r="D1" s="77"/>
      <c r="E1" s="77"/>
      <c r="F1" s="77"/>
      <c r="G1" s="77"/>
    </row>
    <row r="2" spans="1:7" s="1" customFormat="1" ht="12" x14ac:dyDescent="0.25">
      <c r="A2" s="57" t="s">
        <v>1158</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45</v>
      </c>
      <c r="D4" s="16" t="s">
        <v>1</v>
      </c>
      <c r="E4" s="15" t="s">
        <v>3</v>
      </c>
      <c r="F4" s="15" t="s">
        <v>4</v>
      </c>
      <c r="G4" s="15" t="s">
        <v>6</v>
      </c>
    </row>
    <row r="5" spans="1:7" x14ac:dyDescent="0.2">
      <c r="A5" s="21" t="s">
        <v>35</v>
      </c>
      <c r="B5" s="22"/>
      <c r="C5" s="22"/>
      <c r="D5" s="23"/>
      <c r="E5" s="24"/>
      <c r="F5" s="25"/>
      <c r="G5" s="24"/>
    </row>
    <row r="6" spans="1:7" x14ac:dyDescent="0.2">
      <c r="A6" s="26" t="s">
        <v>36</v>
      </c>
      <c r="B6" s="27"/>
      <c r="C6" s="27"/>
      <c r="D6" s="28"/>
      <c r="E6" s="29"/>
      <c r="F6" s="30"/>
      <c r="G6" s="29"/>
    </row>
    <row r="7" spans="1:7" x14ac:dyDescent="0.2">
      <c r="A7" s="27" t="s">
        <v>877</v>
      </c>
      <c r="B7" s="27" t="s">
        <v>878</v>
      </c>
      <c r="C7" s="27" t="s">
        <v>879</v>
      </c>
      <c r="D7" s="31">
        <v>5400</v>
      </c>
      <c r="E7" s="29">
        <v>53541.864000000001</v>
      </c>
      <c r="F7" s="30">
        <v>14.145473706514601</v>
      </c>
      <c r="G7" s="29">
        <v>7.2625000000000002</v>
      </c>
    </row>
    <row r="8" spans="1:7" x14ac:dyDescent="0.2">
      <c r="A8" s="27" t="s">
        <v>1246</v>
      </c>
      <c r="B8" s="27" t="s">
        <v>1247</v>
      </c>
      <c r="C8" s="27" t="s">
        <v>1178</v>
      </c>
      <c r="D8" s="31">
        <v>7500</v>
      </c>
      <c r="E8" s="29">
        <v>37265.474999999999</v>
      </c>
      <c r="F8" s="30">
        <v>9.8453389066409507</v>
      </c>
      <c r="G8" s="29">
        <v>18.0533</v>
      </c>
    </row>
    <row r="9" spans="1:7" x14ac:dyDescent="0.2">
      <c r="A9" s="27" t="s">
        <v>1166</v>
      </c>
      <c r="B9" s="27" t="s">
        <v>1167</v>
      </c>
      <c r="C9" s="27" t="s">
        <v>1168</v>
      </c>
      <c r="D9" s="31">
        <v>3650</v>
      </c>
      <c r="E9" s="29">
        <v>36139.197500000002</v>
      </c>
      <c r="F9" s="30">
        <v>9.5477824233162494</v>
      </c>
      <c r="G9" s="29">
        <v>18.051600000000001</v>
      </c>
    </row>
    <row r="10" spans="1:7" x14ac:dyDescent="0.2">
      <c r="A10" s="27" t="s">
        <v>1273</v>
      </c>
      <c r="B10" s="27" t="s">
        <v>1274</v>
      </c>
      <c r="C10" s="27" t="s">
        <v>879</v>
      </c>
      <c r="D10" s="31">
        <v>2000</v>
      </c>
      <c r="E10" s="29">
        <v>23886.66</v>
      </c>
      <c r="F10" s="30">
        <v>6.31072763859052</v>
      </c>
      <c r="G10" s="29">
        <v>3.95</v>
      </c>
    </row>
    <row r="11" spans="1:7" x14ac:dyDescent="0.2">
      <c r="A11" s="27" t="s">
        <v>1248</v>
      </c>
      <c r="B11" s="27" t="s">
        <v>1249</v>
      </c>
      <c r="C11" s="27" t="s">
        <v>1209</v>
      </c>
      <c r="D11" s="31">
        <v>2350</v>
      </c>
      <c r="E11" s="29">
        <v>23481.7405</v>
      </c>
      <c r="F11" s="30">
        <v>6.2037500753793298</v>
      </c>
      <c r="G11" s="29">
        <v>12.4109</v>
      </c>
    </row>
    <row r="12" spans="1:7" x14ac:dyDescent="0.2">
      <c r="A12" s="27" t="s">
        <v>1275</v>
      </c>
      <c r="B12" s="27" t="s">
        <v>1276</v>
      </c>
      <c r="C12" s="27" t="s">
        <v>1209</v>
      </c>
      <c r="D12" s="31">
        <v>2000</v>
      </c>
      <c r="E12" s="29">
        <v>19984.72</v>
      </c>
      <c r="F12" s="30">
        <v>5.2798559888026499</v>
      </c>
      <c r="G12" s="29">
        <v>12.4183</v>
      </c>
    </row>
    <row r="13" spans="1:7" x14ac:dyDescent="0.2">
      <c r="A13" s="27" t="s">
        <v>1277</v>
      </c>
      <c r="B13" s="27" t="s">
        <v>1278</v>
      </c>
      <c r="C13" s="27" t="s">
        <v>1171</v>
      </c>
      <c r="D13" s="31">
        <v>1910</v>
      </c>
      <c r="E13" s="29">
        <v>19173.477699999999</v>
      </c>
      <c r="F13" s="30">
        <v>5.0655301180361301</v>
      </c>
      <c r="G13" s="29">
        <v>6.1006999999999998</v>
      </c>
    </row>
    <row r="14" spans="1:7" x14ac:dyDescent="0.2">
      <c r="A14" s="27" t="s">
        <v>1279</v>
      </c>
      <c r="B14" s="27" t="s">
        <v>1280</v>
      </c>
      <c r="C14" s="27" t="s">
        <v>1209</v>
      </c>
      <c r="D14" s="31">
        <v>1000</v>
      </c>
      <c r="E14" s="29">
        <v>10026.290000000001</v>
      </c>
      <c r="F14" s="30">
        <v>2.64889211867728</v>
      </c>
      <c r="G14" s="29">
        <v>12.8795</v>
      </c>
    </row>
    <row r="15" spans="1:7" x14ac:dyDescent="0.2">
      <c r="A15" s="27" t="s">
        <v>1281</v>
      </c>
      <c r="B15" s="27" t="s">
        <v>1282</v>
      </c>
      <c r="C15" s="27" t="s">
        <v>1209</v>
      </c>
      <c r="D15" s="31">
        <v>1000</v>
      </c>
      <c r="E15" s="29">
        <v>10018.540000000001</v>
      </c>
      <c r="F15" s="30">
        <v>2.6468446101851302</v>
      </c>
      <c r="G15" s="29">
        <v>12.411300000000001</v>
      </c>
    </row>
    <row r="16" spans="1:7" x14ac:dyDescent="0.2">
      <c r="A16" s="27" t="s">
        <v>1283</v>
      </c>
      <c r="B16" s="27" t="s">
        <v>1284</v>
      </c>
      <c r="C16" s="27" t="s">
        <v>1209</v>
      </c>
      <c r="D16" s="31">
        <v>1000</v>
      </c>
      <c r="E16" s="29">
        <v>10001.65</v>
      </c>
      <c r="F16" s="30">
        <v>2.6423823626454599</v>
      </c>
      <c r="G16" s="29">
        <v>12.438800000000001</v>
      </c>
    </row>
    <row r="17" spans="1:9" x14ac:dyDescent="0.2">
      <c r="A17" s="27" t="s">
        <v>1285</v>
      </c>
      <c r="B17" s="27" t="s">
        <v>1286</v>
      </c>
      <c r="C17" s="27" t="s">
        <v>1209</v>
      </c>
      <c r="D17" s="31">
        <v>900</v>
      </c>
      <c r="E17" s="29">
        <v>9030.8610000000008</v>
      </c>
      <c r="F17" s="30">
        <v>2.3859051082474201</v>
      </c>
      <c r="G17" s="29">
        <v>13.139900000000001</v>
      </c>
    </row>
    <row r="18" spans="1:9" x14ac:dyDescent="0.2">
      <c r="A18" s="27" t="s">
        <v>1189</v>
      </c>
      <c r="B18" s="27" t="s">
        <v>1190</v>
      </c>
      <c r="C18" s="27" t="s">
        <v>1163</v>
      </c>
      <c r="D18" s="31">
        <v>938</v>
      </c>
      <c r="E18" s="29">
        <v>7123.4932650000001</v>
      </c>
      <c r="F18" s="30">
        <v>1.88198876823922</v>
      </c>
      <c r="G18" s="29">
        <v>7.6024000000000003</v>
      </c>
    </row>
    <row r="19" spans="1:9" x14ac:dyDescent="0.2">
      <c r="A19" s="27" t="s">
        <v>1287</v>
      </c>
      <c r="B19" s="27" t="s">
        <v>1288</v>
      </c>
      <c r="C19" s="27" t="s">
        <v>1171</v>
      </c>
      <c r="D19" s="31">
        <v>700</v>
      </c>
      <c r="E19" s="29">
        <v>7002.4920000000002</v>
      </c>
      <c r="F19" s="30">
        <v>1.85002088209105</v>
      </c>
      <c r="G19" s="29">
        <v>5.5952999999999999</v>
      </c>
    </row>
    <row r="20" spans="1:9" x14ac:dyDescent="0.2">
      <c r="A20" s="27" t="s">
        <v>1197</v>
      </c>
      <c r="B20" s="27" t="s">
        <v>1198</v>
      </c>
      <c r="C20" s="27" t="s">
        <v>1171</v>
      </c>
      <c r="D20" s="31">
        <v>670</v>
      </c>
      <c r="E20" s="29">
        <v>6739.3959999999997</v>
      </c>
      <c r="F20" s="30">
        <v>1.7805123279942201</v>
      </c>
      <c r="G20" s="29">
        <v>4.6647999999999996</v>
      </c>
    </row>
    <row r="21" spans="1:9" x14ac:dyDescent="0.2">
      <c r="A21" s="27" t="s">
        <v>1254</v>
      </c>
      <c r="B21" s="27" t="s">
        <v>1255</v>
      </c>
      <c r="C21" s="27" t="s">
        <v>1013</v>
      </c>
      <c r="D21" s="31">
        <v>280</v>
      </c>
      <c r="E21" s="29">
        <v>2830.0720000000001</v>
      </c>
      <c r="F21" s="30">
        <v>0.74768986495395995</v>
      </c>
      <c r="G21" s="29">
        <v>6.1999000000000004</v>
      </c>
    </row>
    <row r="22" spans="1:9" x14ac:dyDescent="0.2">
      <c r="A22" s="27" t="s">
        <v>1289</v>
      </c>
      <c r="B22" s="27" t="s">
        <v>1290</v>
      </c>
      <c r="C22" s="27" t="s">
        <v>1291</v>
      </c>
      <c r="D22" s="31">
        <v>250</v>
      </c>
      <c r="E22" s="29">
        <v>2501.0374999999999</v>
      </c>
      <c r="F22" s="30">
        <v>0.66076071231395805</v>
      </c>
      <c r="G22" s="29">
        <v>6.3409000000000004</v>
      </c>
    </row>
    <row r="23" spans="1:9" x14ac:dyDescent="0.2">
      <c r="A23" s="27" t="s">
        <v>1161</v>
      </c>
      <c r="B23" s="27" t="s">
        <v>1162</v>
      </c>
      <c r="C23" s="27" t="s">
        <v>1163</v>
      </c>
      <c r="D23" s="31">
        <v>61</v>
      </c>
      <c r="E23" s="29">
        <v>625.72091999999998</v>
      </c>
      <c r="F23" s="30">
        <v>0.16531211579552299</v>
      </c>
      <c r="G23" s="29">
        <v>8.3522999999999996</v>
      </c>
    </row>
    <row r="24" spans="1:9" x14ac:dyDescent="0.2">
      <c r="A24" s="27" t="s">
        <v>1186</v>
      </c>
      <c r="B24" s="27" t="s">
        <v>1177</v>
      </c>
      <c r="C24" s="27" t="s">
        <v>1178</v>
      </c>
      <c r="D24" s="31">
        <v>70</v>
      </c>
      <c r="E24" s="29">
        <v>619.05269999999996</v>
      </c>
      <c r="F24" s="30">
        <v>0.16355040778552099</v>
      </c>
      <c r="G24" s="29">
        <v>20.752199999999998</v>
      </c>
    </row>
    <row r="25" spans="1:9" x14ac:dyDescent="0.2">
      <c r="A25" s="27" t="s">
        <v>1292</v>
      </c>
      <c r="B25" s="27" t="s">
        <v>1293</v>
      </c>
      <c r="C25" s="27" t="s">
        <v>37</v>
      </c>
      <c r="D25" s="31">
        <v>34</v>
      </c>
      <c r="E25" s="29">
        <v>344.74095999999997</v>
      </c>
      <c r="F25" s="30">
        <v>9.1078715250530198E-2</v>
      </c>
      <c r="G25" s="29">
        <v>4.3098999999999998</v>
      </c>
    </row>
    <row r="26" spans="1:9" x14ac:dyDescent="0.2">
      <c r="A26" s="27" t="s">
        <v>930</v>
      </c>
      <c r="B26" s="27" t="s">
        <v>931</v>
      </c>
      <c r="C26" s="27" t="s">
        <v>38</v>
      </c>
      <c r="D26" s="31">
        <v>22</v>
      </c>
      <c r="E26" s="29">
        <v>224.22334000000001</v>
      </c>
      <c r="F26" s="30">
        <v>5.9238605521034701E-2</v>
      </c>
      <c r="G26" s="29">
        <v>3.7149999999999999</v>
      </c>
    </row>
    <row r="27" spans="1:9" x14ac:dyDescent="0.2">
      <c r="A27" s="26" t="s">
        <v>39</v>
      </c>
      <c r="B27" s="26"/>
      <c r="C27" s="26"/>
      <c r="D27" s="32"/>
      <c r="E27" s="33">
        <f>SUM(E6:E26)</f>
        <v>280560.70438500005</v>
      </c>
      <c r="F27" s="34">
        <f>SUM(F6:F26)</f>
        <v>74.122635456980731</v>
      </c>
      <c r="G27" s="33"/>
      <c r="H27" s="18"/>
      <c r="I27" s="18"/>
    </row>
    <row r="28" spans="1:9" x14ac:dyDescent="0.2">
      <c r="A28" s="27"/>
      <c r="B28" s="27"/>
      <c r="C28" s="27"/>
      <c r="D28" s="28"/>
      <c r="E28" s="29"/>
      <c r="F28" s="30"/>
      <c r="G28" s="29"/>
    </row>
    <row r="29" spans="1:9" x14ac:dyDescent="0.2">
      <c r="A29" s="26" t="s">
        <v>1080</v>
      </c>
      <c r="B29" s="27"/>
      <c r="C29" s="27"/>
      <c r="D29" s="28"/>
      <c r="E29" s="29"/>
      <c r="F29" s="30"/>
      <c r="G29" s="29"/>
    </row>
    <row r="30" spans="1:9" x14ac:dyDescent="0.2">
      <c r="A30" s="27" t="s">
        <v>1294</v>
      </c>
      <c r="B30" s="27" t="s">
        <v>1295</v>
      </c>
      <c r="C30" s="27" t="s">
        <v>1209</v>
      </c>
      <c r="D30" s="31">
        <v>1000</v>
      </c>
      <c r="E30" s="29">
        <v>10037.780000000001</v>
      </c>
      <c r="F30" s="30">
        <v>2.6519277151385401</v>
      </c>
      <c r="G30" s="29">
        <v>13.2913</v>
      </c>
    </row>
    <row r="31" spans="1:9" x14ac:dyDescent="0.2">
      <c r="A31" s="27" t="s">
        <v>1296</v>
      </c>
      <c r="B31" s="27" t="s">
        <v>1297</v>
      </c>
      <c r="C31" s="27" t="s">
        <v>1209</v>
      </c>
      <c r="D31" s="31">
        <v>850</v>
      </c>
      <c r="E31" s="29">
        <v>8552.9210000000003</v>
      </c>
      <c r="F31" s="30">
        <v>2.2596359200232001</v>
      </c>
      <c r="G31" s="29">
        <v>12.16</v>
      </c>
    </row>
    <row r="32" spans="1:9" x14ac:dyDescent="0.2">
      <c r="A32" s="26" t="s">
        <v>39</v>
      </c>
      <c r="B32" s="26"/>
      <c r="C32" s="26"/>
      <c r="D32" s="32"/>
      <c r="E32" s="33">
        <f>SUM(E29:E31)</f>
        <v>18590.701000000001</v>
      </c>
      <c r="F32" s="34">
        <f>SUM(F29:F31)</f>
        <v>4.9115636351617402</v>
      </c>
      <c r="G32" s="33"/>
      <c r="H32" s="18"/>
      <c r="I32" s="18"/>
    </row>
    <row r="33" spans="1:9" x14ac:dyDescent="0.2">
      <c r="A33" s="27"/>
      <c r="B33" s="27"/>
      <c r="C33" s="27"/>
      <c r="D33" s="28"/>
      <c r="E33" s="29"/>
      <c r="F33" s="30"/>
      <c r="G33" s="29"/>
    </row>
    <row r="34" spans="1:9" x14ac:dyDescent="0.2">
      <c r="A34" s="26" t="s">
        <v>40</v>
      </c>
      <c r="B34" s="27"/>
      <c r="C34" s="27"/>
      <c r="D34" s="28"/>
      <c r="E34" s="29"/>
      <c r="F34" s="30"/>
      <c r="G34" s="29"/>
    </row>
    <row r="35" spans="1:9" x14ac:dyDescent="0.2">
      <c r="A35" s="27" t="s">
        <v>1223</v>
      </c>
      <c r="B35" s="27" t="s">
        <v>1224</v>
      </c>
      <c r="C35" s="27" t="s">
        <v>41</v>
      </c>
      <c r="D35" s="31">
        <v>2278671.59</v>
      </c>
      <c r="E35" s="29">
        <v>76571.135689999996</v>
      </c>
      <c r="F35" s="30">
        <v>20.2296839456478</v>
      </c>
      <c r="G35" s="29">
        <v>3.2094999999999998</v>
      </c>
    </row>
    <row r="36" spans="1:9" x14ac:dyDescent="0.2">
      <c r="A36" s="26" t="s">
        <v>39</v>
      </c>
      <c r="B36" s="26"/>
      <c r="C36" s="26"/>
      <c r="D36" s="32"/>
      <c r="E36" s="33">
        <f>SUM(E35:E35)</f>
        <v>76571.135689999996</v>
      </c>
      <c r="F36" s="34">
        <f>SUM(F35:F35)</f>
        <v>20.2296839456478</v>
      </c>
      <c r="G36" s="33"/>
      <c r="H36" s="18"/>
      <c r="I36" s="18"/>
    </row>
    <row r="37" spans="1:9" x14ac:dyDescent="0.2">
      <c r="A37" s="27"/>
      <c r="B37" s="27"/>
      <c r="C37" s="27"/>
      <c r="D37" s="28"/>
      <c r="E37" s="29"/>
      <c r="F37" s="30"/>
      <c r="G37" s="29"/>
    </row>
    <row r="38" spans="1:9" x14ac:dyDescent="0.2">
      <c r="A38" s="26" t="s">
        <v>42</v>
      </c>
      <c r="B38" s="26"/>
      <c r="C38" s="26"/>
      <c r="D38" s="32"/>
      <c r="E38" s="33">
        <f>E27+E32+E36</f>
        <v>375722.54107500007</v>
      </c>
      <c r="F38" s="34">
        <f>F27+F32+F36</f>
        <v>99.263883037790265</v>
      </c>
      <c r="G38" s="33"/>
      <c r="H38" s="18"/>
      <c r="I38" s="18"/>
    </row>
    <row r="39" spans="1:9" x14ac:dyDescent="0.2">
      <c r="A39" s="26"/>
      <c r="B39" s="26"/>
      <c r="C39" s="26"/>
      <c r="D39" s="32"/>
      <c r="E39" s="33"/>
      <c r="F39" s="34"/>
      <c r="G39" s="33"/>
      <c r="H39" s="18"/>
      <c r="I39" s="18"/>
    </row>
    <row r="40" spans="1:9" x14ac:dyDescent="0.2">
      <c r="A40" s="26" t="s">
        <v>44</v>
      </c>
      <c r="B40" s="26"/>
      <c r="C40" s="26"/>
      <c r="D40" s="32"/>
      <c r="E40" s="33">
        <f>E42-(E27+E32+E36)</f>
        <v>2786.2675436999416</v>
      </c>
      <c r="F40" s="34">
        <f>F42-(F27+F32+F36)</f>
        <v>0.73611696220973499</v>
      </c>
      <c r="G40" s="33"/>
      <c r="H40" s="18"/>
      <c r="I40" s="18"/>
    </row>
    <row r="41" spans="1:9" x14ac:dyDescent="0.2">
      <c r="A41" s="26"/>
      <c r="B41" s="26"/>
      <c r="C41" s="26"/>
      <c r="D41" s="32"/>
      <c r="E41" s="33"/>
      <c r="F41" s="34"/>
      <c r="G41" s="33"/>
      <c r="H41" s="18"/>
      <c r="I41" s="18"/>
    </row>
    <row r="42" spans="1:9" x14ac:dyDescent="0.2">
      <c r="A42" s="35" t="s">
        <v>43</v>
      </c>
      <c r="B42" s="35"/>
      <c r="C42" s="35"/>
      <c r="D42" s="36"/>
      <c r="E42" s="37">
        <v>378508.80861870002</v>
      </c>
      <c r="F42" s="38">
        <v>100</v>
      </c>
      <c r="G42" s="37"/>
      <c r="H42" s="18"/>
      <c r="I42" s="18"/>
    </row>
    <row r="44" spans="1:9" x14ac:dyDescent="0.2">
      <c r="A44" s="18" t="s">
        <v>46</v>
      </c>
    </row>
    <row r="45" spans="1:9" x14ac:dyDescent="0.2">
      <c r="A45" s="9" t="s">
        <v>1225</v>
      </c>
    </row>
    <row r="47" spans="1:9" x14ac:dyDescent="0.2">
      <c r="A47" s="18" t="s">
        <v>47</v>
      </c>
    </row>
    <row r="48" spans="1:9" x14ac:dyDescent="0.2">
      <c r="A48" s="18" t="s">
        <v>48</v>
      </c>
    </row>
    <row r="49" spans="1:4" x14ac:dyDescent="0.2">
      <c r="A49" s="18" t="s">
        <v>49</v>
      </c>
      <c r="B49" s="18"/>
      <c r="C49" s="39" t="s">
        <v>51</v>
      </c>
      <c r="D49" s="41" t="s">
        <v>50</v>
      </c>
    </row>
    <row r="50" spans="1:4" x14ac:dyDescent="0.2">
      <c r="A50" s="9" t="s">
        <v>858</v>
      </c>
      <c r="C50" s="40">
        <v>27.262699999999999</v>
      </c>
      <c r="D50" s="40">
        <v>28.357399999999998</v>
      </c>
    </row>
    <row r="51" spans="1:4" x14ac:dyDescent="0.2">
      <c r="A51" s="9" t="s">
        <v>859</v>
      </c>
      <c r="C51" s="40">
        <v>10.278499999999999</v>
      </c>
      <c r="D51" s="40">
        <v>10.6912</v>
      </c>
    </row>
    <row r="52" spans="1:4" x14ac:dyDescent="0.2">
      <c r="A52" s="9" t="s">
        <v>1298</v>
      </c>
      <c r="C52" s="40">
        <v>10.3635</v>
      </c>
      <c r="D52" s="40">
        <v>10.7796</v>
      </c>
    </row>
    <row r="53" spans="1:4" x14ac:dyDescent="0.2">
      <c r="A53" s="9" t="s">
        <v>1299</v>
      </c>
      <c r="C53" s="40">
        <v>27.956499999999998</v>
      </c>
      <c r="D53" s="40">
        <v>29.088899999999999</v>
      </c>
    </row>
    <row r="54" spans="1:4" x14ac:dyDescent="0.2">
      <c r="A54" s="9" t="s">
        <v>1300</v>
      </c>
      <c r="C54" s="40">
        <v>10.2385</v>
      </c>
      <c r="D54" s="40">
        <v>10.6531</v>
      </c>
    </row>
    <row r="55" spans="1:4" x14ac:dyDescent="0.2">
      <c r="A55" s="9" t="s">
        <v>810</v>
      </c>
      <c r="C55" s="40">
        <v>28.891300000000001</v>
      </c>
      <c r="D55" s="40">
        <v>30.0685</v>
      </c>
    </row>
    <row r="56" spans="1:4" x14ac:dyDescent="0.2">
      <c r="A56" s="9" t="s">
        <v>1301</v>
      </c>
      <c r="C56" s="40">
        <v>10.3264</v>
      </c>
      <c r="D56" s="40">
        <v>10.747199999999999</v>
      </c>
    </row>
    <row r="57" spans="1:4" x14ac:dyDescent="0.2">
      <c r="A57" s="9" t="s">
        <v>812</v>
      </c>
      <c r="C57" s="40">
        <v>10.353199999999999</v>
      </c>
      <c r="D57" s="40">
        <v>10.7751</v>
      </c>
    </row>
    <row r="58" spans="1:4" x14ac:dyDescent="0.2">
      <c r="A58" s="9" t="s">
        <v>1302</v>
      </c>
      <c r="C58" s="40">
        <v>29.061900000000001</v>
      </c>
      <c r="D58" s="40">
        <v>30.255199999999999</v>
      </c>
    </row>
    <row r="59" spans="1:4" x14ac:dyDescent="0.2">
      <c r="A59" s="9" t="s">
        <v>1303</v>
      </c>
      <c r="C59" s="40">
        <v>10.3149</v>
      </c>
      <c r="D59" s="40">
        <v>10.7385</v>
      </c>
    </row>
    <row r="60" spans="1:4" x14ac:dyDescent="0.2">
      <c r="A60" s="9" t="s">
        <v>1304</v>
      </c>
      <c r="C60" s="40">
        <v>10.353</v>
      </c>
      <c r="D60" s="40">
        <v>10.7781</v>
      </c>
    </row>
    <row r="62" spans="1:4" x14ac:dyDescent="0.2">
      <c r="A62" s="9" t="s">
        <v>52</v>
      </c>
    </row>
    <row r="64" spans="1:4" x14ac:dyDescent="0.2">
      <c r="A64" s="18" t="s">
        <v>53</v>
      </c>
      <c r="D64" s="41" t="s">
        <v>54</v>
      </c>
    </row>
    <row r="66" spans="1:7" x14ac:dyDescent="0.2">
      <c r="A66" s="18" t="s">
        <v>820</v>
      </c>
      <c r="D66" s="42">
        <v>0.93316655663013703</v>
      </c>
      <c r="E66" s="13" t="s">
        <v>55</v>
      </c>
    </row>
    <row r="68" spans="1:7" x14ac:dyDescent="0.2">
      <c r="A68" s="18" t="s">
        <v>56</v>
      </c>
      <c r="D68" s="41" t="s">
        <v>54</v>
      </c>
    </row>
    <row r="70" spans="1:7" ht="30.75" customHeight="1" x14ac:dyDescent="0.2">
      <c r="A70" s="90" t="s">
        <v>1305</v>
      </c>
      <c r="B70" s="90"/>
      <c r="C70" s="90"/>
      <c r="D70" s="90"/>
      <c r="E70" s="90"/>
      <c r="F70" s="90"/>
      <c r="G70" s="90"/>
    </row>
    <row r="71" spans="1:7" ht="14.4" x14ac:dyDescent="0.2">
      <c r="A71" s="80" t="s">
        <v>988</v>
      </c>
      <c r="B71" s="81"/>
      <c r="C71" s="81"/>
      <c r="D71" s="81"/>
      <c r="E71" s="81"/>
      <c r="F71" s="81"/>
      <c r="G71" s="81"/>
    </row>
    <row r="72" spans="1:7" x14ac:dyDescent="0.2">
      <c r="A72" s="53" t="s">
        <v>57</v>
      </c>
    </row>
    <row r="74" spans="1:7" x14ac:dyDescent="0.2">
      <c r="A74" s="18" t="s">
        <v>741</v>
      </c>
    </row>
  </sheetData>
  <mergeCells count="3">
    <mergeCell ref="A1:G1"/>
    <mergeCell ref="A70:G70"/>
    <mergeCell ref="A71:G71"/>
  </mergeCells>
  <conditionalFormatting sqref="F2:F3 F5:F69 F74:F65527">
    <cfRule type="cellIs" dxfId="61" priority="4" stopIfTrue="1" operator="between">
      <formula>0.009</formula>
      <formula>-0.009</formula>
    </cfRule>
  </conditionalFormatting>
  <conditionalFormatting sqref="F72">
    <cfRule type="cellIs" dxfId="60" priority="1" stopIfTrue="1" operator="between">
      <formula>0.009</formula>
      <formula>-0.009</formula>
    </cfRule>
  </conditionalFormatting>
  <conditionalFormatting sqref="F73">
    <cfRule type="cellIs" dxfId="59" priority="3" stopIfTrue="1" operator="between">
      <formula>0.009</formula>
      <formula>-0.009</formula>
    </cfRule>
  </conditionalFormatting>
  <hyperlinks>
    <hyperlink ref="A72" r:id="rId1" xr:uid="{00000000-0004-0000-1C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95"/>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6" t="s">
        <v>1306</v>
      </c>
      <c r="B1" s="77"/>
      <c r="C1" s="77"/>
      <c r="D1" s="77"/>
      <c r="E1" s="77"/>
      <c r="F1" s="77"/>
      <c r="G1" s="77"/>
      <c r="H1" s="77"/>
    </row>
    <row r="2" spans="1:8" s="1" customFormat="1" ht="12" x14ac:dyDescent="0.25">
      <c r="A2" s="57" t="s">
        <v>1158</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45</v>
      </c>
      <c r="D4" s="16" t="s">
        <v>1</v>
      </c>
      <c r="E4" s="15" t="s">
        <v>3</v>
      </c>
      <c r="F4" s="15" t="s">
        <v>4</v>
      </c>
      <c r="G4" s="62" t="s">
        <v>6</v>
      </c>
      <c r="H4" s="15" t="s">
        <v>1307</v>
      </c>
    </row>
    <row r="5" spans="1:8" x14ac:dyDescent="0.2">
      <c r="A5" s="21" t="s">
        <v>35</v>
      </c>
      <c r="B5" s="22"/>
      <c r="C5" s="22"/>
      <c r="D5" s="23"/>
      <c r="E5" s="24"/>
      <c r="F5" s="25"/>
      <c r="G5" s="63"/>
      <c r="H5" s="25"/>
    </row>
    <row r="6" spans="1:8" x14ac:dyDescent="0.2">
      <c r="A6" s="26" t="s">
        <v>36</v>
      </c>
      <c r="B6" s="27"/>
      <c r="C6" s="27"/>
      <c r="D6" s="28"/>
      <c r="E6" s="29"/>
      <c r="F6" s="30"/>
      <c r="G6" s="64"/>
      <c r="H6" s="30"/>
    </row>
    <row r="7" spans="1:8" x14ac:dyDescent="0.2">
      <c r="A7" s="27" t="s">
        <v>947</v>
      </c>
      <c r="B7" s="27" t="s">
        <v>948</v>
      </c>
      <c r="C7" s="27" t="s">
        <v>949</v>
      </c>
      <c r="D7" s="31">
        <v>7137</v>
      </c>
      <c r="E7" s="29">
        <v>74624.471999999994</v>
      </c>
      <c r="F7" s="30">
        <v>16.024484807398</v>
      </c>
      <c r="G7" s="64">
        <v>8.8552999999999997</v>
      </c>
      <c r="H7" s="30"/>
    </row>
    <row r="8" spans="1:8" x14ac:dyDescent="0.2">
      <c r="A8" s="27" t="s">
        <v>1186</v>
      </c>
      <c r="B8" s="27" t="s">
        <v>1177</v>
      </c>
      <c r="C8" s="27" t="s">
        <v>1178</v>
      </c>
      <c r="D8" s="31">
        <v>3100</v>
      </c>
      <c r="E8" s="29">
        <v>27415.190999999999</v>
      </c>
      <c r="F8" s="30">
        <v>5.8870006031186897</v>
      </c>
      <c r="G8" s="64">
        <v>20.752199999999998</v>
      </c>
      <c r="H8" s="30"/>
    </row>
    <row r="9" spans="1:8" x14ac:dyDescent="0.2">
      <c r="A9" s="27" t="s">
        <v>1308</v>
      </c>
      <c r="B9" s="27" t="s">
        <v>1309</v>
      </c>
      <c r="C9" s="27" t="s">
        <v>1163</v>
      </c>
      <c r="D9" s="31">
        <v>11135</v>
      </c>
      <c r="E9" s="29">
        <v>24166.7359</v>
      </c>
      <c r="F9" s="30">
        <v>5.1894436489138496</v>
      </c>
      <c r="G9" s="64">
        <v>8.0017999999999994</v>
      </c>
      <c r="H9" s="30"/>
    </row>
    <row r="10" spans="1:8" x14ac:dyDescent="0.2">
      <c r="A10" s="27" t="s">
        <v>1310</v>
      </c>
      <c r="B10" s="27" t="s">
        <v>1311</v>
      </c>
      <c r="C10" s="27" t="s">
        <v>1163</v>
      </c>
      <c r="D10" s="31">
        <v>10675</v>
      </c>
      <c r="E10" s="29">
        <v>22993.0533</v>
      </c>
      <c r="F10" s="30">
        <v>4.9374129344800197</v>
      </c>
      <c r="G10" s="64">
        <v>7.5671999999999997</v>
      </c>
      <c r="H10" s="30"/>
    </row>
    <row r="11" spans="1:8" x14ac:dyDescent="0.2">
      <c r="A11" s="27" t="s">
        <v>1166</v>
      </c>
      <c r="B11" s="27" t="s">
        <v>1167</v>
      </c>
      <c r="C11" s="27" t="s">
        <v>1168</v>
      </c>
      <c r="D11" s="31">
        <v>2020</v>
      </c>
      <c r="E11" s="29">
        <v>20000.323</v>
      </c>
      <c r="F11" s="30">
        <v>4.2947690411337502</v>
      </c>
      <c r="G11" s="64">
        <v>18.051600000000001</v>
      </c>
      <c r="H11" s="30"/>
    </row>
    <row r="12" spans="1:8" x14ac:dyDescent="0.2">
      <c r="A12" s="27" t="s">
        <v>1252</v>
      </c>
      <c r="B12" s="27" t="s">
        <v>1253</v>
      </c>
      <c r="C12" s="27" t="s">
        <v>949</v>
      </c>
      <c r="D12" s="31">
        <v>1300</v>
      </c>
      <c r="E12" s="29">
        <v>13428.505999999999</v>
      </c>
      <c r="F12" s="30">
        <v>2.88357002221808</v>
      </c>
      <c r="G12" s="64">
        <v>8.6555</v>
      </c>
      <c r="H12" s="30"/>
    </row>
    <row r="13" spans="1:8" x14ac:dyDescent="0.2">
      <c r="A13" s="27" t="s">
        <v>1312</v>
      </c>
      <c r="B13" s="27" t="s">
        <v>1313</v>
      </c>
      <c r="C13" s="27" t="s">
        <v>1178</v>
      </c>
      <c r="D13" s="31">
        <v>12500</v>
      </c>
      <c r="E13" s="29">
        <v>12252.0875</v>
      </c>
      <c r="F13" s="30">
        <v>2.63095181434129</v>
      </c>
      <c r="G13" s="64">
        <v>11.548</v>
      </c>
      <c r="H13" s="30"/>
    </row>
    <row r="14" spans="1:8" x14ac:dyDescent="0.2">
      <c r="A14" s="27" t="s">
        <v>1189</v>
      </c>
      <c r="B14" s="27" t="s">
        <v>1190</v>
      </c>
      <c r="C14" s="27" t="s">
        <v>1163</v>
      </c>
      <c r="D14" s="31">
        <v>1349</v>
      </c>
      <c r="E14" s="29">
        <v>10244.768029999999</v>
      </c>
      <c r="F14" s="30">
        <v>2.1999100998939198</v>
      </c>
      <c r="G14" s="64">
        <v>7.6024000000000003</v>
      </c>
      <c r="H14" s="30"/>
    </row>
    <row r="15" spans="1:8" x14ac:dyDescent="0.2">
      <c r="A15" s="27" t="s">
        <v>1161</v>
      </c>
      <c r="B15" s="27" t="s">
        <v>1162</v>
      </c>
      <c r="C15" s="27" t="s">
        <v>1163</v>
      </c>
      <c r="D15" s="31">
        <v>879</v>
      </c>
      <c r="E15" s="29">
        <v>9016.5358799999995</v>
      </c>
      <c r="F15" s="30">
        <v>1.93616568870891</v>
      </c>
      <c r="G15" s="64">
        <v>8.3522999999999996</v>
      </c>
      <c r="H15" s="30"/>
    </row>
    <row r="16" spans="1:8" x14ac:dyDescent="0.2">
      <c r="A16" s="27" t="s">
        <v>1176</v>
      </c>
      <c r="B16" s="27" t="s">
        <v>1177</v>
      </c>
      <c r="C16" s="27" t="s">
        <v>1178</v>
      </c>
      <c r="D16" s="31">
        <v>1000</v>
      </c>
      <c r="E16" s="29">
        <v>8847.81</v>
      </c>
      <c r="F16" s="30">
        <v>1.8999343395521</v>
      </c>
      <c r="G16" s="64">
        <v>20.702999999999999</v>
      </c>
      <c r="H16" s="30"/>
    </row>
    <row r="17" spans="1:8" x14ac:dyDescent="0.2">
      <c r="A17" s="27" t="s">
        <v>1261</v>
      </c>
      <c r="B17" s="27" t="s">
        <v>1262</v>
      </c>
      <c r="C17" s="27" t="s">
        <v>1163</v>
      </c>
      <c r="D17" s="31">
        <v>822</v>
      </c>
      <c r="E17" s="29">
        <v>8485.4977799999997</v>
      </c>
      <c r="F17" s="30">
        <v>1.8221332307559801</v>
      </c>
      <c r="G17" s="64">
        <v>8.8923000000000005</v>
      </c>
      <c r="H17" s="30"/>
    </row>
    <row r="18" spans="1:8" x14ac:dyDescent="0.2">
      <c r="A18" s="27" t="s">
        <v>1263</v>
      </c>
      <c r="B18" s="27" t="s">
        <v>1264</v>
      </c>
      <c r="C18" s="27" t="s">
        <v>1163</v>
      </c>
      <c r="D18" s="31">
        <v>822</v>
      </c>
      <c r="E18" s="29">
        <v>8450.7107400000004</v>
      </c>
      <c r="F18" s="30">
        <v>1.81466323627516</v>
      </c>
      <c r="G18" s="64">
        <v>9.4824000000000002</v>
      </c>
      <c r="H18" s="30"/>
    </row>
    <row r="19" spans="1:8" x14ac:dyDescent="0.2">
      <c r="A19" s="27" t="s">
        <v>1314</v>
      </c>
      <c r="B19" s="27" t="s">
        <v>1315</v>
      </c>
      <c r="C19" s="27" t="s">
        <v>1171</v>
      </c>
      <c r="D19" s="31">
        <v>750</v>
      </c>
      <c r="E19" s="29">
        <v>7563.0749999999998</v>
      </c>
      <c r="F19" s="30">
        <v>1.6240567897714799</v>
      </c>
      <c r="G19" s="64">
        <v>7.05</v>
      </c>
      <c r="H19" s="30"/>
    </row>
    <row r="20" spans="1:8" x14ac:dyDescent="0.2">
      <c r="A20" s="27" t="s">
        <v>1316</v>
      </c>
      <c r="B20" s="27" t="s">
        <v>1317</v>
      </c>
      <c r="C20" s="27" t="s">
        <v>1163</v>
      </c>
      <c r="D20" s="31">
        <v>691</v>
      </c>
      <c r="E20" s="29">
        <v>7164.13598</v>
      </c>
      <c r="F20" s="30">
        <v>1.53839062566021</v>
      </c>
      <c r="G20" s="64">
        <v>9.4297000000000004</v>
      </c>
      <c r="H20" s="30"/>
    </row>
    <row r="21" spans="1:8" x14ac:dyDescent="0.2">
      <c r="A21" s="27" t="s">
        <v>1318</v>
      </c>
      <c r="B21" s="27" t="s">
        <v>1319</v>
      </c>
      <c r="C21" s="27" t="s">
        <v>1320</v>
      </c>
      <c r="D21" s="31">
        <v>690</v>
      </c>
      <c r="E21" s="29">
        <v>6809.0717999999997</v>
      </c>
      <c r="F21" s="30">
        <v>1.4621459246181601</v>
      </c>
      <c r="G21" s="64">
        <v>11.7363</v>
      </c>
      <c r="H21" s="30"/>
    </row>
    <row r="22" spans="1:8" x14ac:dyDescent="0.2">
      <c r="A22" s="27" t="s">
        <v>1191</v>
      </c>
      <c r="B22" s="27" t="s">
        <v>1192</v>
      </c>
      <c r="C22" s="27" t="s">
        <v>1171</v>
      </c>
      <c r="D22" s="31">
        <v>738</v>
      </c>
      <c r="E22" s="29">
        <v>5970.0362400000004</v>
      </c>
      <c r="F22" s="30">
        <v>1.2819756369933899</v>
      </c>
      <c r="G22" s="64">
        <v>8.6</v>
      </c>
      <c r="H22" s="30"/>
    </row>
    <row r="23" spans="1:8" x14ac:dyDescent="0.2">
      <c r="A23" s="27" t="s">
        <v>1187</v>
      </c>
      <c r="B23" s="27" t="s">
        <v>1188</v>
      </c>
      <c r="C23" s="27" t="s">
        <v>37</v>
      </c>
      <c r="D23" s="31">
        <v>550</v>
      </c>
      <c r="E23" s="29">
        <v>5925.3590000000004</v>
      </c>
      <c r="F23" s="30">
        <v>1.2723818705729499</v>
      </c>
      <c r="G23" s="64">
        <v>8.8930000000000007</v>
      </c>
      <c r="H23" s="30"/>
    </row>
    <row r="24" spans="1:8" x14ac:dyDescent="0.2">
      <c r="A24" s="27" t="s">
        <v>1321</v>
      </c>
      <c r="B24" s="27" t="s">
        <v>1322</v>
      </c>
      <c r="C24" s="27" t="s">
        <v>1163</v>
      </c>
      <c r="D24" s="31">
        <v>2125</v>
      </c>
      <c r="E24" s="29">
        <v>4627.6125000000002</v>
      </c>
      <c r="F24" s="30">
        <v>0.99371029654688803</v>
      </c>
      <c r="G24" s="64">
        <v>8.3582000000000001</v>
      </c>
      <c r="H24" s="30"/>
    </row>
    <row r="25" spans="1:8" x14ac:dyDescent="0.2">
      <c r="A25" s="27" t="s">
        <v>1287</v>
      </c>
      <c r="B25" s="27" t="s">
        <v>1288</v>
      </c>
      <c r="C25" s="27" t="s">
        <v>1171</v>
      </c>
      <c r="D25" s="31">
        <v>300</v>
      </c>
      <c r="E25" s="29">
        <v>3001.0680000000002</v>
      </c>
      <c r="F25" s="30">
        <v>0.64443428922308799</v>
      </c>
      <c r="G25" s="64">
        <v>5.5952999999999999</v>
      </c>
      <c r="H25" s="30"/>
    </row>
    <row r="26" spans="1:8" x14ac:dyDescent="0.2">
      <c r="A26" s="27" t="s">
        <v>1323</v>
      </c>
      <c r="B26" s="27" t="s">
        <v>1324</v>
      </c>
      <c r="C26" s="27" t="s">
        <v>1258</v>
      </c>
      <c r="D26" s="31">
        <v>272</v>
      </c>
      <c r="E26" s="29">
        <v>2686.9683199999999</v>
      </c>
      <c r="F26" s="30">
        <v>0.57698609943665202</v>
      </c>
      <c r="G26" s="64">
        <v>11.106299999999999</v>
      </c>
      <c r="H26" s="30">
        <v>12.231727577000001</v>
      </c>
    </row>
    <row r="27" spans="1:8" x14ac:dyDescent="0.2">
      <c r="A27" s="27" t="s">
        <v>1277</v>
      </c>
      <c r="B27" s="27" t="s">
        <v>1278</v>
      </c>
      <c r="C27" s="27" t="s">
        <v>1171</v>
      </c>
      <c r="D27" s="31">
        <v>250</v>
      </c>
      <c r="E27" s="29">
        <v>2509.6174999999998</v>
      </c>
      <c r="F27" s="30">
        <v>0.53890267392618996</v>
      </c>
      <c r="G27" s="64">
        <v>6.1006999999999998</v>
      </c>
      <c r="H27" s="30"/>
    </row>
    <row r="28" spans="1:8" x14ac:dyDescent="0.2">
      <c r="A28" s="27" t="s">
        <v>1256</v>
      </c>
      <c r="B28" s="27" t="s">
        <v>1257</v>
      </c>
      <c r="C28" s="27" t="s">
        <v>1258</v>
      </c>
      <c r="D28" s="31">
        <v>240</v>
      </c>
      <c r="E28" s="29">
        <v>2433.1296000000002</v>
      </c>
      <c r="F28" s="30">
        <v>0.52247804593686498</v>
      </c>
      <c r="G28" s="64">
        <v>9.65</v>
      </c>
      <c r="H28" s="30"/>
    </row>
    <row r="29" spans="1:8" x14ac:dyDescent="0.2">
      <c r="A29" s="27" t="s">
        <v>1244</v>
      </c>
      <c r="B29" s="27" t="s">
        <v>1245</v>
      </c>
      <c r="C29" s="27" t="s">
        <v>1013</v>
      </c>
      <c r="D29" s="31">
        <v>197</v>
      </c>
      <c r="E29" s="29">
        <v>1997.9838500000001</v>
      </c>
      <c r="F29" s="30">
        <v>0.42903703023522199</v>
      </c>
      <c r="G29" s="64">
        <v>10.067</v>
      </c>
      <c r="H29" s="30"/>
    </row>
    <row r="30" spans="1:8" x14ac:dyDescent="0.2">
      <c r="A30" s="27" t="s">
        <v>1259</v>
      </c>
      <c r="B30" s="27" t="s">
        <v>1260</v>
      </c>
      <c r="C30" s="27" t="s">
        <v>1163</v>
      </c>
      <c r="D30" s="31">
        <v>350</v>
      </c>
      <c r="E30" s="29">
        <v>1765.0989999999999</v>
      </c>
      <c r="F30" s="30">
        <v>0.37902850567643998</v>
      </c>
      <c r="G30" s="64">
        <v>7.3823999999999996</v>
      </c>
      <c r="H30" s="30"/>
    </row>
    <row r="31" spans="1:8" x14ac:dyDescent="0.2">
      <c r="A31" s="27" t="s">
        <v>1193</v>
      </c>
      <c r="B31" s="27" t="s">
        <v>1194</v>
      </c>
      <c r="C31" s="27" t="s">
        <v>37</v>
      </c>
      <c r="D31" s="31">
        <v>150</v>
      </c>
      <c r="E31" s="29">
        <v>1543.011</v>
      </c>
      <c r="F31" s="30">
        <v>0.33133844253059402</v>
      </c>
      <c r="G31" s="64">
        <v>7.8223000000000003</v>
      </c>
      <c r="H31" s="30"/>
    </row>
    <row r="32" spans="1:8" x14ac:dyDescent="0.2">
      <c r="A32" s="27" t="s">
        <v>1325</v>
      </c>
      <c r="B32" s="27" t="s">
        <v>1326</v>
      </c>
      <c r="C32" s="27" t="s">
        <v>1178</v>
      </c>
      <c r="D32" s="31">
        <v>1400</v>
      </c>
      <c r="E32" s="29">
        <v>1418.0963999999999</v>
      </c>
      <c r="F32" s="30">
        <v>0.30451490788739899</v>
      </c>
      <c r="G32" s="64">
        <v>9.7698</v>
      </c>
      <c r="H32" s="30">
        <v>7.4647002944000009</v>
      </c>
    </row>
    <row r="33" spans="1:9" x14ac:dyDescent="0.2">
      <c r="A33" s="27" t="s">
        <v>1172</v>
      </c>
      <c r="B33" s="27" t="s">
        <v>1173</v>
      </c>
      <c r="C33" s="27" t="s">
        <v>1168</v>
      </c>
      <c r="D33" s="31">
        <v>100</v>
      </c>
      <c r="E33" s="29">
        <v>1011.188</v>
      </c>
      <c r="F33" s="30">
        <v>0.21713743908865599</v>
      </c>
      <c r="G33" s="64">
        <v>6.7496999999999998</v>
      </c>
      <c r="H33" s="30"/>
    </row>
    <row r="34" spans="1:9" x14ac:dyDescent="0.2">
      <c r="A34" s="27" t="s">
        <v>1285</v>
      </c>
      <c r="B34" s="27" t="s">
        <v>1286</v>
      </c>
      <c r="C34" s="27" t="s">
        <v>1209</v>
      </c>
      <c r="D34" s="31">
        <v>100</v>
      </c>
      <c r="E34" s="29">
        <v>1003.429</v>
      </c>
      <c r="F34" s="30">
        <v>0.21547131034712799</v>
      </c>
      <c r="G34" s="64">
        <v>13.139900000000001</v>
      </c>
      <c r="H34" s="30"/>
    </row>
    <row r="35" spans="1:9" x14ac:dyDescent="0.2">
      <c r="A35" s="27" t="s">
        <v>1327</v>
      </c>
      <c r="B35" s="27" t="s">
        <v>1328</v>
      </c>
      <c r="C35" s="27" t="s">
        <v>1258</v>
      </c>
      <c r="D35" s="31">
        <v>50</v>
      </c>
      <c r="E35" s="29">
        <v>506.90199999999999</v>
      </c>
      <c r="F35" s="30">
        <v>0.10884959290351399</v>
      </c>
      <c r="G35" s="64">
        <v>9.65</v>
      </c>
      <c r="H35" s="30"/>
    </row>
    <row r="36" spans="1:9" x14ac:dyDescent="0.2">
      <c r="A36" s="27" t="s">
        <v>1254</v>
      </c>
      <c r="B36" s="27" t="s">
        <v>1255</v>
      </c>
      <c r="C36" s="27" t="s">
        <v>1013</v>
      </c>
      <c r="D36" s="31">
        <v>50</v>
      </c>
      <c r="E36" s="29">
        <v>505.37</v>
      </c>
      <c r="F36" s="30">
        <v>0.108520618907893</v>
      </c>
      <c r="G36" s="64">
        <v>6.1999000000000004</v>
      </c>
      <c r="H36" s="30"/>
    </row>
    <row r="37" spans="1:9" x14ac:dyDescent="0.2">
      <c r="A37" s="27" t="s">
        <v>941</v>
      </c>
      <c r="B37" s="27" t="s">
        <v>942</v>
      </c>
      <c r="C37" s="27" t="s">
        <v>38</v>
      </c>
      <c r="D37" s="31">
        <v>12</v>
      </c>
      <c r="E37" s="29">
        <v>121.22892</v>
      </c>
      <c r="F37" s="30">
        <v>2.6032090207047099E-2</v>
      </c>
      <c r="G37" s="64">
        <v>3.4001000000000001</v>
      </c>
      <c r="H37" s="30"/>
    </row>
    <row r="38" spans="1:9" x14ac:dyDescent="0.2">
      <c r="A38" s="27" t="s">
        <v>1088</v>
      </c>
      <c r="B38" s="27" t="s">
        <v>1089</v>
      </c>
      <c r="C38" s="27" t="s">
        <v>38</v>
      </c>
      <c r="D38" s="31">
        <v>12</v>
      </c>
      <c r="E38" s="29">
        <v>121.03236</v>
      </c>
      <c r="F38" s="30">
        <v>2.5989881898575099E-2</v>
      </c>
      <c r="G38" s="64">
        <v>3.44</v>
      </c>
      <c r="H38" s="30"/>
    </row>
    <row r="39" spans="1:9" x14ac:dyDescent="0.2">
      <c r="A39" s="26" t="s">
        <v>39</v>
      </c>
      <c r="B39" s="26"/>
      <c r="C39" s="26"/>
      <c r="D39" s="32"/>
      <c r="E39" s="33">
        <f>SUM(E6:E38)</f>
        <v>298609.10560000007</v>
      </c>
      <c r="F39" s="34">
        <f>SUM(F6:F38)</f>
        <v>64.121821539158091</v>
      </c>
      <c r="G39" s="65"/>
      <c r="H39" s="34"/>
      <c r="I39" s="18"/>
    </row>
    <row r="40" spans="1:9" x14ac:dyDescent="0.2">
      <c r="A40" s="27"/>
      <c r="B40" s="27"/>
      <c r="C40" s="27"/>
      <c r="D40" s="28"/>
      <c r="E40" s="29"/>
      <c r="F40" s="30"/>
      <c r="G40" s="64"/>
      <c r="H40" s="30"/>
    </row>
    <row r="41" spans="1:9" x14ac:dyDescent="0.2">
      <c r="A41" s="26" t="s">
        <v>1080</v>
      </c>
      <c r="B41" s="27"/>
      <c r="C41" s="27"/>
      <c r="D41" s="28"/>
      <c r="E41" s="29"/>
      <c r="F41" s="30"/>
      <c r="G41" s="64"/>
      <c r="H41" s="30"/>
    </row>
    <row r="42" spans="1:9" x14ac:dyDescent="0.2">
      <c r="A42" s="27" t="s">
        <v>1212</v>
      </c>
      <c r="B42" s="27" t="s">
        <v>1213</v>
      </c>
      <c r="C42" s="27" t="s">
        <v>1201</v>
      </c>
      <c r="D42" s="31">
        <v>350</v>
      </c>
      <c r="E42" s="29">
        <v>34515.708850000003</v>
      </c>
      <c r="F42" s="30">
        <v>7.4117301906457298</v>
      </c>
      <c r="G42" s="64">
        <v>8.2449999999999992</v>
      </c>
      <c r="H42" s="30"/>
    </row>
    <row r="43" spans="1:9" x14ac:dyDescent="0.2">
      <c r="A43" s="27" t="s">
        <v>1207</v>
      </c>
      <c r="B43" s="27" t="s">
        <v>1208</v>
      </c>
      <c r="C43" s="27" t="s">
        <v>1209</v>
      </c>
      <c r="D43" s="31">
        <v>2560</v>
      </c>
      <c r="E43" s="29">
        <v>24327.372800000001</v>
      </c>
      <c r="F43" s="30">
        <v>5.2239380110790803</v>
      </c>
      <c r="G43" s="64">
        <v>11.965</v>
      </c>
      <c r="H43" s="30"/>
    </row>
    <row r="44" spans="1:9" x14ac:dyDescent="0.2">
      <c r="A44" s="27" t="s">
        <v>1210</v>
      </c>
      <c r="B44" s="27" t="s">
        <v>1211</v>
      </c>
      <c r="C44" s="27" t="s">
        <v>1201</v>
      </c>
      <c r="D44" s="31">
        <v>1480</v>
      </c>
      <c r="E44" s="29">
        <v>15345.8388</v>
      </c>
      <c r="F44" s="30">
        <v>3.2952884505149802</v>
      </c>
      <c r="G44" s="64">
        <v>7.3144999999999998</v>
      </c>
      <c r="H44" s="30"/>
    </row>
    <row r="45" spans="1:9" x14ac:dyDescent="0.2">
      <c r="A45" s="27" t="s">
        <v>1265</v>
      </c>
      <c r="B45" s="27" t="s">
        <v>1266</v>
      </c>
      <c r="C45" s="27" t="s">
        <v>1204</v>
      </c>
      <c r="D45" s="31">
        <v>1660</v>
      </c>
      <c r="E45" s="29">
        <v>13684.40425</v>
      </c>
      <c r="F45" s="30">
        <v>2.93852032885964</v>
      </c>
      <c r="G45" s="64">
        <v>11.4674</v>
      </c>
      <c r="H45" s="30"/>
    </row>
    <row r="46" spans="1:9" x14ac:dyDescent="0.2">
      <c r="A46" s="27" t="s">
        <v>1296</v>
      </c>
      <c r="B46" s="27" t="s">
        <v>1297</v>
      </c>
      <c r="C46" s="27" t="s">
        <v>1209</v>
      </c>
      <c r="D46" s="31">
        <v>1150</v>
      </c>
      <c r="E46" s="29">
        <v>11571.599</v>
      </c>
      <c r="F46" s="30">
        <v>2.4848271271226099</v>
      </c>
      <c r="G46" s="64">
        <v>12.16</v>
      </c>
      <c r="H46" s="30"/>
    </row>
    <row r="47" spans="1:9" x14ac:dyDescent="0.2">
      <c r="A47" s="27" t="s">
        <v>1205</v>
      </c>
      <c r="B47" s="27" t="s">
        <v>1206</v>
      </c>
      <c r="C47" s="27" t="s">
        <v>1204</v>
      </c>
      <c r="D47" s="31">
        <v>1280</v>
      </c>
      <c r="E47" s="29">
        <v>10821.218370000001</v>
      </c>
      <c r="F47" s="30">
        <v>2.3236941544805898</v>
      </c>
      <c r="G47" s="64">
        <v>11.464700000000001</v>
      </c>
      <c r="H47" s="30"/>
    </row>
    <row r="48" spans="1:9" x14ac:dyDescent="0.2">
      <c r="A48" s="27" t="s">
        <v>1202</v>
      </c>
      <c r="B48" s="27" t="s">
        <v>1203</v>
      </c>
      <c r="C48" s="27" t="s">
        <v>1204</v>
      </c>
      <c r="D48" s="31">
        <v>385</v>
      </c>
      <c r="E48" s="29">
        <v>3436.875078</v>
      </c>
      <c r="F48" s="30">
        <v>0.73801731518228597</v>
      </c>
      <c r="G48" s="64">
        <v>11.4674</v>
      </c>
      <c r="H48" s="30"/>
    </row>
    <row r="49" spans="1:9" x14ac:dyDescent="0.2">
      <c r="A49" s="27" t="s">
        <v>1329</v>
      </c>
      <c r="B49" s="27" t="s">
        <v>1330</v>
      </c>
      <c r="C49" s="27" t="s">
        <v>1320</v>
      </c>
      <c r="D49" s="31">
        <v>300</v>
      </c>
      <c r="E49" s="29">
        <v>2952.174</v>
      </c>
      <c r="F49" s="30">
        <v>0.63393503691115305</v>
      </c>
      <c r="G49" s="64">
        <v>12.489100000000001</v>
      </c>
      <c r="H49" s="30"/>
    </row>
    <row r="50" spans="1:9" x14ac:dyDescent="0.2">
      <c r="A50" s="27" t="s">
        <v>1214</v>
      </c>
      <c r="B50" s="27" t="s">
        <v>1215</v>
      </c>
      <c r="C50" s="27" t="s">
        <v>1204</v>
      </c>
      <c r="D50" s="31">
        <v>150</v>
      </c>
      <c r="E50" s="29">
        <v>1310.339772</v>
      </c>
      <c r="F50" s="30">
        <v>0.28137579008858299</v>
      </c>
      <c r="G50" s="64">
        <v>11.4674</v>
      </c>
      <c r="H50" s="30"/>
    </row>
    <row r="51" spans="1:9" x14ac:dyDescent="0.2">
      <c r="A51" s="27" t="s">
        <v>1100</v>
      </c>
      <c r="B51" s="27" t="s">
        <v>1101</v>
      </c>
      <c r="C51" s="27" t="s">
        <v>38</v>
      </c>
      <c r="D51" s="31">
        <v>13</v>
      </c>
      <c r="E51" s="29">
        <v>131.64241999999999</v>
      </c>
      <c r="F51" s="30">
        <v>2.8268232963833899E-2</v>
      </c>
      <c r="G51" s="64">
        <v>4.1950000000000003</v>
      </c>
      <c r="H51" s="30"/>
    </row>
    <row r="52" spans="1:9" x14ac:dyDescent="0.2">
      <c r="A52" s="27" t="s">
        <v>1219</v>
      </c>
      <c r="B52" s="27" t="s">
        <v>1220</v>
      </c>
      <c r="C52" s="27" t="s">
        <v>1218</v>
      </c>
      <c r="D52" s="31">
        <v>1000</v>
      </c>
      <c r="E52" s="29">
        <v>0</v>
      </c>
      <c r="F52" s="29">
        <v>0</v>
      </c>
      <c r="G52" s="64">
        <v>0</v>
      </c>
      <c r="H52" s="29"/>
    </row>
    <row r="53" spans="1:9" x14ac:dyDescent="0.2">
      <c r="A53" s="27" t="s">
        <v>1331</v>
      </c>
      <c r="B53" s="27" t="s">
        <v>1332</v>
      </c>
      <c r="C53" s="27" t="s">
        <v>1218</v>
      </c>
      <c r="D53" s="31">
        <v>800</v>
      </c>
      <c r="E53" s="29">
        <v>0</v>
      </c>
      <c r="F53" s="29">
        <v>0</v>
      </c>
      <c r="G53" s="64">
        <v>0</v>
      </c>
      <c r="H53" s="29"/>
    </row>
    <row r="54" spans="1:9" x14ac:dyDescent="0.2">
      <c r="A54" s="27" t="s">
        <v>1333</v>
      </c>
      <c r="B54" s="27" t="s">
        <v>1334</v>
      </c>
      <c r="C54" s="27" t="s">
        <v>1218</v>
      </c>
      <c r="D54" s="31">
        <v>600</v>
      </c>
      <c r="E54" s="29">
        <v>0</v>
      </c>
      <c r="F54" s="29">
        <v>0</v>
      </c>
      <c r="G54" s="64">
        <v>0</v>
      </c>
      <c r="H54" s="29"/>
    </row>
    <row r="55" spans="1:9" x14ac:dyDescent="0.2">
      <c r="A55" s="27" t="s">
        <v>1335</v>
      </c>
      <c r="B55" s="27" t="s">
        <v>1336</v>
      </c>
      <c r="C55" s="27" t="s">
        <v>1218</v>
      </c>
      <c r="D55" s="31">
        <v>500</v>
      </c>
      <c r="E55" s="29">
        <v>0</v>
      </c>
      <c r="F55" s="29">
        <v>0</v>
      </c>
      <c r="G55" s="64">
        <v>0</v>
      </c>
      <c r="H55" s="29"/>
    </row>
    <row r="56" spans="1:9" x14ac:dyDescent="0.2">
      <c r="A56" s="27" t="s">
        <v>1337</v>
      </c>
      <c r="B56" s="27" t="s">
        <v>1338</v>
      </c>
      <c r="C56" s="27" t="s">
        <v>1218</v>
      </c>
      <c r="D56" s="31">
        <v>375</v>
      </c>
      <c r="E56" s="29">
        <v>0</v>
      </c>
      <c r="F56" s="29">
        <v>0</v>
      </c>
      <c r="G56" s="64">
        <v>0</v>
      </c>
      <c r="H56" s="29"/>
    </row>
    <row r="57" spans="1:9" x14ac:dyDescent="0.2">
      <c r="A57" s="27" t="s">
        <v>1339</v>
      </c>
      <c r="B57" s="27" t="s">
        <v>1340</v>
      </c>
      <c r="C57" s="27" t="s">
        <v>1218</v>
      </c>
      <c r="D57" s="31">
        <v>350</v>
      </c>
      <c r="E57" s="29">
        <v>0</v>
      </c>
      <c r="F57" s="29">
        <v>0</v>
      </c>
      <c r="G57" s="64">
        <v>0</v>
      </c>
      <c r="H57" s="29"/>
    </row>
    <row r="58" spans="1:9" x14ac:dyDescent="0.2">
      <c r="A58" s="27" t="s">
        <v>1341</v>
      </c>
      <c r="B58" s="27" t="s">
        <v>1342</v>
      </c>
      <c r="C58" s="27" t="s">
        <v>1218</v>
      </c>
      <c r="D58" s="31">
        <v>300</v>
      </c>
      <c r="E58" s="29">
        <v>0</v>
      </c>
      <c r="F58" s="29">
        <v>0</v>
      </c>
      <c r="G58" s="64">
        <v>0</v>
      </c>
      <c r="H58" s="29"/>
    </row>
    <row r="59" spans="1:9" x14ac:dyDescent="0.2">
      <c r="A59" s="27" t="s">
        <v>1343</v>
      </c>
      <c r="B59" s="27" t="s">
        <v>1344</v>
      </c>
      <c r="C59" s="27" t="s">
        <v>1218</v>
      </c>
      <c r="D59" s="31">
        <v>200</v>
      </c>
      <c r="E59" s="29">
        <v>0</v>
      </c>
      <c r="F59" s="29">
        <v>0</v>
      </c>
      <c r="G59" s="64">
        <v>0</v>
      </c>
      <c r="H59" s="29"/>
    </row>
    <row r="60" spans="1:9" x14ac:dyDescent="0.2">
      <c r="A60" s="26" t="s">
        <v>39</v>
      </c>
      <c r="B60" s="26"/>
      <c r="C60" s="26"/>
      <c r="D60" s="32"/>
      <c r="E60" s="33">
        <f>SUM(E41:E59)</f>
        <v>118097.17334000001</v>
      </c>
      <c r="F60" s="34">
        <f>SUM(F41:F59)</f>
        <v>25.359594637848488</v>
      </c>
      <c r="G60" s="65"/>
      <c r="H60" s="34"/>
      <c r="I60" s="18"/>
    </row>
    <row r="61" spans="1:9" x14ac:dyDescent="0.2">
      <c r="A61" s="27"/>
      <c r="B61" s="27"/>
      <c r="C61" s="27"/>
      <c r="D61" s="28"/>
      <c r="E61" s="29"/>
      <c r="F61" s="30"/>
      <c r="G61" s="64"/>
      <c r="H61" s="30"/>
    </row>
    <row r="62" spans="1:9" x14ac:dyDescent="0.2">
      <c r="A62" s="26" t="s">
        <v>40</v>
      </c>
      <c r="B62" s="27"/>
      <c r="C62" s="27"/>
      <c r="D62" s="28"/>
      <c r="E62" s="29"/>
      <c r="F62" s="30"/>
      <c r="G62" s="64"/>
      <c r="H62" s="30"/>
    </row>
    <row r="63" spans="1:9" x14ac:dyDescent="0.2">
      <c r="A63" s="27" t="s">
        <v>1223</v>
      </c>
      <c r="B63" s="27" t="s">
        <v>1224</v>
      </c>
      <c r="C63" s="27" t="s">
        <v>41</v>
      </c>
      <c r="D63" s="31">
        <v>1163624.7819999999</v>
      </c>
      <c r="E63" s="29">
        <v>39101.76064</v>
      </c>
      <c r="F63" s="30">
        <v>8.3965159487921301</v>
      </c>
      <c r="G63" s="64">
        <v>3.2094999999999998</v>
      </c>
      <c r="H63" s="30"/>
    </row>
    <row r="64" spans="1:9" x14ac:dyDescent="0.2">
      <c r="A64" s="26" t="s">
        <v>39</v>
      </c>
      <c r="B64" s="26"/>
      <c r="C64" s="26"/>
      <c r="D64" s="32"/>
      <c r="E64" s="33">
        <f>SUM(E63:E63)</f>
        <v>39101.76064</v>
      </c>
      <c r="F64" s="34">
        <f>SUM(F63:F63)</f>
        <v>8.3965159487921301</v>
      </c>
      <c r="G64" s="65"/>
      <c r="H64" s="34"/>
      <c r="I64" s="18"/>
    </row>
    <row r="65" spans="1:9" x14ac:dyDescent="0.2">
      <c r="A65" s="27"/>
      <c r="B65" s="27"/>
      <c r="C65" s="27"/>
      <c r="D65" s="28"/>
      <c r="E65" s="29"/>
      <c r="F65" s="30"/>
      <c r="G65" s="64"/>
      <c r="H65" s="30"/>
    </row>
    <row r="66" spans="1:9" x14ac:dyDescent="0.2">
      <c r="A66" s="26" t="s">
        <v>42</v>
      </c>
      <c r="B66" s="26"/>
      <c r="C66" s="26"/>
      <c r="D66" s="32"/>
      <c r="E66" s="33">
        <f>E39+E60+E64</f>
        <v>455808.0395800001</v>
      </c>
      <c r="F66" s="34">
        <f>F39+F60+F64</f>
        <v>97.877932125798708</v>
      </c>
      <c r="G66" s="65"/>
      <c r="H66" s="34"/>
      <c r="I66" s="18"/>
    </row>
    <row r="67" spans="1:9" x14ac:dyDescent="0.2">
      <c r="A67" s="26"/>
      <c r="B67" s="26"/>
      <c r="C67" s="26"/>
      <c r="D67" s="32"/>
      <c r="E67" s="33"/>
      <c r="F67" s="34"/>
      <c r="G67" s="65"/>
      <c r="H67" s="34"/>
      <c r="I67" s="18"/>
    </row>
    <row r="68" spans="1:9" x14ac:dyDescent="0.2">
      <c r="A68" s="26" t="s">
        <v>44</v>
      </c>
      <c r="B68" s="26"/>
      <c r="C68" s="26"/>
      <c r="D68" s="32"/>
      <c r="E68" s="33">
        <f>E70-(E39+E60+E64)</f>
        <v>9882.2643325998797</v>
      </c>
      <c r="F68" s="34">
        <f>F70-(F39+F60+F64)</f>
        <v>2.1220678742012922</v>
      </c>
      <c r="G68" s="65"/>
      <c r="H68" s="34"/>
      <c r="I68" s="18"/>
    </row>
    <row r="69" spans="1:9" x14ac:dyDescent="0.2">
      <c r="A69" s="26"/>
      <c r="B69" s="26"/>
      <c r="C69" s="26"/>
      <c r="D69" s="32"/>
      <c r="E69" s="33"/>
      <c r="F69" s="34"/>
      <c r="G69" s="65"/>
      <c r="H69" s="34"/>
      <c r="I69" s="18"/>
    </row>
    <row r="70" spans="1:9" x14ac:dyDescent="0.2">
      <c r="A70" s="35" t="s">
        <v>43</v>
      </c>
      <c r="B70" s="35"/>
      <c r="C70" s="35"/>
      <c r="D70" s="36"/>
      <c r="E70" s="37">
        <v>465690.30391259998</v>
      </c>
      <c r="F70" s="38">
        <v>100</v>
      </c>
      <c r="G70" s="66"/>
      <c r="H70" s="38"/>
      <c r="I70" s="18"/>
    </row>
    <row r="71" spans="1:9" x14ac:dyDescent="0.2">
      <c r="H71" s="67"/>
    </row>
    <row r="72" spans="1:9" x14ac:dyDescent="0.2">
      <c r="A72" s="18" t="s">
        <v>46</v>
      </c>
      <c r="H72" s="67"/>
    </row>
    <row r="73" spans="1:9" x14ac:dyDescent="0.2">
      <c r="A73" s="18" t="s">
        <v>1236</v>
      </c>
      <c r="H73" s="67"/>
    </row>
    <row r="74" spans="1:9" x14ac:dyDescent="0.2">
      <c r="A74" s="18" t="s">
        <v>1345</v>
      </c>
      <c r="H74" s="67"/>
    </row>
    <row r="75" spans="1:9" x14ac:dyDescent="0.2">
      <c r="A75" s="18"/>
      <c r="H75" s="67"/>
    </row>
    <row r="76" spans="1:9" x14ac:dyDescent="0.2">
      <c r="A76" s="18" t="s">
        <v>47</v>
      </c>
    </row>
    <row r="77" spans="1:9" x14ac:dyDescent="0.2">
      <c r="A77" s="18" t="s">
        <v>48</v>
      </c>
    </row>
    <row r="78" spans="1:9" x14ac:dyDescent="0.2">
      <c r="A78" s="18" t="s">
        <v>49</v>
      </c>
      <c r="B78" s="18"/>
      <c r="C78" s="39" t="s">
        <v>51</v>
      </c>
      <c r="D78" s="41" t="s">
        <v>50</v>
      </c>
    </row>
    <row r="79" spans="1:9" x14ac:dyDescent="0.2">
      <c r="A79" s="9" t="s">
        <v>858</v>
      </c>
      <c r="C79" s="40">
        <v>3678.6842999999999</v>
      </c>
      <c r="D79" s="40">
        <v>4065.5515999999998</v>
      </c>
    </row>
    <row r="80" spans="1:9" x14ac:dyDescent="0.2">
      <c r="A80" s="9" t="s">
        <v>1298</v>
      </c>
      <c r="C80" s="40">
        <v>929.76750000000004</v>
      </c>
      <c r="D80" s="40">
        <v>1027.5461</v>
      </c>
    </row>
    <row r="81" spans="1:5" x14ac:dyDescent="0.2">
      <c r="A81" s="9" t="s">
        <v>860</v>
      </c>
      <c r="C81" s="40">
        <v>1026.5091</v>
      </c>
      <c r="D81" s="40">
        <v>1134.4616000000001</v>
      </c>
    </row>
    <row r="82" spans="1:5" x14ac:dyDescent="0.2">
      <c r="A82" s="9" t="s">
        <v>861</v>
      </c>
      <c r="C82" s="40">
        <v>1067.8867</v>
      </c>
      <c r="D82" s="40">
        <v>1180.1904999999999</v>
      </c>
    </row>
    <row r="83" spans="1:5" x14ac:dyDescent="0.2">
      <c r="A83" s="9" t="s">
        <v>1299</v>
      </c>
      <c r="C83" s="40">
        <v>3047.6235000000001</v>
      </c>
      <c r="D83" s="40">
        <v>3367.0551</v>
      </c>
    </row>
    <row r="84" spans="1:5" x14ac:dyDescent="0.2">
      <c r="A84" s="9" t="s">
        <v>862</v>
      </c>
      <c r="C84" s="40">
        <v>3907.4901</v>
      </c>
      <c r="D84" s="40">
        <v>4328.4155000000001</v>
      </c>
    </row>
    <row r="85" spans="1:5" x14ac:dyDescent="0.2">
      <c r="A85" s="9" t="s">
        <v>1346</v>
      </c>
      <c r="C85" s="40">
        <v>937.68759999999997</v>
      </c>
      <c r="D85" s="40">
        <v>1038.6976999999999</v>
      </c>
    </row>
    <row r="86" spans="1:5" x14ac:dyDescent="0.2">
      <c r="A86" s="9" t="s">
        <v>864</v>
      </c>
      <c r="C86" s="40">
        <v>1108.1010000000001</v>
      </c>
      <c r="D86" s="40">
        <v>1227.4684999999999</v>
      </c>
    </row>
    <row r="87" spans="1:5" x14ac:dyDescent="0.2">
      <c r="A87" s="9" t="s">
        <v>865</v>
      </c>
      <c r="C87" s="40">
        <v>1154.3326999999999</v>
      </c>
      <c r="D87" s="40">
        <v>1278.6805999999999</v>
      </c>
    </row>
    <row r="89" spans="1:5" x14ac:dyDescent="0.2">
      <c r="A89" s="9" t="s">
        <v>52</v>
      </c>
    </row>
    <row r="91" spans="1:5" x14ac:dyDescent="0.2">
      <c r="A91" s="18" t="s">
        <v>53</v>
      </c>
      <c r="D91" s="41" t="s">
        <v>54</v>
      </c>
    </row>
    <row r="93" spans="1:5" x14ac:dyDescent="0.2">
      <c r="A93" s="18" t="s">
        <v>820</v>
      </c>
      <c r="D93" s="42">
        <v>3.0835355836357912</v>
      </c>
      <c r="E93" s="13" t="s">
        <v>55</v>
      </c>
    </row>
    <row r="95" spans="1:5" x14ac:dyDescent="0.2">
      <c r="A95" s="18" t="s">
        <v>56</v>
      </c>
      <c r="D95" s="41" t="s">
        <v>54</v>
      </c>
    </row>
    <row r="96" spans="1:5" x14ac:dyDescent="0.2">
      <c r="A96" s="9" t="s">
        <v>58</v>
      </c>
    </row>
    <row r="97" spans="1:7" x14ac:dyDescent="0.2">
      <c r="A97" s="53" t="s">
        <v>744</v>
      </c>
    </row>
    <row r="99" spans="1:7" ht="26.25" customHeight="1" x14ac:dyDescent="0.2">
      <c r="A99" s="86" t="s">
        <v>1347</v>
      </c>
      <c r="B99" s="86"/>
      <c r="C99" s="86"/>
      <c r="D99" s="86"/>
      <c r="E99" s="86"/>
      <c r="F99" s="86"/>
      <c r="G99" s="86"/>
    </row>
    <row r="101" spans="1:7" x14ac:dyDescent="0.2">
      <c r="A101" s="18" t="s">
        <v>1348</v>
      </c>
    </row>
    <row r="102" spans="1:7" x14ac:dyDescent="0.2">
      <c r="A102" s="55" t="s">
        <v>987</v>
      </c>
    </row>
    <row r="104" spans="1:7" ht="72" customHeight="1" x14ac:dyDescent="0.2">
      <c r="A104" s="87" t="s">
        <v>1349</v>
      </c>
      <c r="B104" s="87"/>
      <c r="C104" s="87"/>
      <c r="D104" s="87"/>
      <c r="E104" s="87"/>
      <c r="F104" s="87"/>
      <c r="G104" s="87"/>
    </row>
    <row r="106" spans="1:7" ht="36.75" customHeight="1" x14ac:dyDescent="0.2">
      <c r="A106" s="87" t="s">
        <v>1350</v>
      </c>
      <c r="B106" s="87"/>
      <c r="C106" s="87"/>
      <c r="D106" s="87"/>
      <c r="E106" s="87"/>
      <c r="F106" s="87"/>
      <c r="G106" s="87"/>
    </row>
    <row r="107" spans="1:7" x14ac:dyDescent="0.2">
      <c r="A107" s="55" t="s">
        <v>1229</v>
      </c>
      <c r="B107" s="59"/>
      <c r="C107" s="59"/>
      <c r="D107" s="59"/>
      <c r="E107" s="59"/>
      <c r="F107" s="59"/>
      <c r="G107" s="59"/>
    </row>
    <row r="109" spans="1:7" ht="27.75" customHeight="1" x14ac:dyDescent="0.2">
      <c r="A109" s="88" t="s">
        <v>1351</v>
      </c>
      <c r="B109" s="88"/>
      <c r="C109" s="88"/>
      <c r="D109" s="88"/>
      <c r="E109" s="88"/>
      <c r="F109" s="88"/>
      <c r="G109" s="88"/>
    </row>
    <row r="110" spans="1:7" x14ac:dyDescent="0.2">
      <c r="A110" s="68"/>
      <c r="B110" s="68"/>
      <c r="C110" s="68"/>
      <c r="D110" s="68"/>
      <c r="E110" s="68"/>
      <c r="F110" s="68"/>
      <c r="G110" s="68"/>
    </row>
    <row r="111" spans="1:7" ht="14.4" x14ac:dyDescent="0.2">
      <c r="A111" s="80" t="s">
        <v>1231</v>
      </c>
      <c r="B111" s="81"/>
      <c r="C111" s="81"/>
      <c r="D111" s="81"/>
      <c r="E111" s="81"/>
      <c r="F111" s="81"/>
      <c r="G111" s="81"/>
    </row>
    <row r="112" spans="1:7" x14ac:dyDescent="0.2">
      <c r="A112" s="53" t="s">
        <v>57</v>
      </c>
    </row>
    <row r="113" spans="1:9" x14ac:dyDescent="0.2">
      <c r="A113" s="53"/>
    </row>
    <row r="114" spans="1:9" x14ac:dyDescent="0.2">
      <c r="A114" s="18" t="s">
        <v>741</v>
      </c>
    </row>
    <row r="115" spans="1:9" ht="14.4" x14ac:dyDescent="0.3">
      <c r="A115" s="43"/>
    </row>
    <row r="116" spans="1:9" s="1" customFormat="1" ht="13.8" x14ac:dyDescent="0.2">
      <c r="A116" s="76" t="s">
        <v>1352</v>
      </c>
      <c r="B116" s="77"/>
      <c r="C116" s="77"/>
      <c r="D116" s="77"/>
      <c r="E116" s="77"/>
      <c r="F116" s="77"/>
      <c r="G116" s="77"/>
      <c r="H116" s="9"/>
    </row>
    <row r="117" spans="1:9" x14ac:dyDescent="0.2">
      <c r="A117" s="18" t="s">
        <v>7</v>
      </c>
    </row>
    <row r="118" spans="1:9" s="1" customFormat="1" ht="17.399999999999999" customHeight="1" x14ac:dyDescent="0.2">
      <c r="A118" s="8" t="s">
        <v>2</v>
      </c>
      <c r="B118" s="8" t="s">
        <v>0</v>
      </c>
      <c r="C118" s="17" t="s">
        <v>45</v>
      </c>
      <c r="D118" s="16" t="s">
        <v>1</v>
      </c>
      <c r="E118" s="15" t="s">
        <v>3</v>
      </c>
      <c r="F118" s="15" t="s">
        <v>4</v>
      </c>
      <c r="G118" s="15" t="s">
        <v>6</v>
      </c>
    </row>
    <row r="119" spans="1:9" x14ac:dyDescent="0.2">
      <c r="A119" s="21" t="s">
        <v>35</v>
      </c>
      <c r="B119" s="22"/>
      <c r="C119" s="22"/>
      <c r="D119" s="23"/>
      <c r="E119" s="24"/>
      <c r="F119" s="25"/>
      <c r="G119" s="24"/>
    </row>
    <row r="120" spans="1:9" ht="11.4" x14ac:dyDescent="0.2">
      <c r="A120" s="26" t="s">
        <v>36</v>
      </c>
      <c r="B120" s="27"/>
      <c r="C120" s="27"/>
      <c r="D120" s="28"/>
      <c r="E120" s="29"/>
      <c r="F120" s="30"/>
      <c r="G120" s="29"/>
      <c r="H120" s="1"/>
    </row>
    <row r="121" spans="1:9" x14ac:dyDescent="0.2">
      <c r="A121" s="27" t="s">
        <v>1233</v>
      </c>
      <c r="B121" s="27" t="s">
        <v>1234</v>
      </c>
      <c r="C121" s="27" t="s">
        <v>1235</v>
      </c>
      <c r="D121" s="31">
        <v>5230</v>
      </c>
      <c r="E121" s="29">
        <v>0</v>
      </c>
      <c r="F121" s="30">
        <v>100</v>
      </c>
      <c r="G121" s="29">
        <v>0</v>
      </c>
    </row>
    <row r="122" spans="1:9" x14ac:dyDescent="0.2">
      <c r="A122" s="26" t="s">
        <v>39</v>
      </c>
      <c r="B122" s="26"/>
      <c r="C122" s="26"/>
      <c r="D122" s="32"/>
      <c r="E122" s="33">
        <f>SUM(E120:E121)</f>
        <v>0</v>
      </c>
      <c r="F122" s="34">
        <f>SUM(F120:F121)</f>
        <v>100</v>
      </c>
      <c r="G122" s="33"/>
      <c r="I122" s="18"/>
    </row>
    <row r="123" spans="1:9" x14ac:dyDescent="0.2">
      <c r="A123" s="27"/>
      <c r="B123" s="27"/>
      <c r="C123" s="27"/>
      <c r="D123" s="28"/>
      <c r="E123" s="29"/>
      <c r="F123" s="30"/>
      <c r="G123" s="29"/>
    </row>
    <row r="124" spans="1:9" x14ac:dyDescent="0.2">
      <c r="A124" s="26" t="s">
        <v>42</v>
      </c>
      <c r="B124" s="26"/>
      <c r="C124" s="26"/>
      <c r="D124" s="32"/>
      <c r="E124" s="33">
        <f>E122</f>
        <v>0</v>
      </c>
      <c r="F124" s="34">
        <f>F122</f>
        <v>100</v>
      </c>
      <c r="G124" s="33"/>
      <c r="H124" s="18"/>
      <c r="I124" s="18"/>
    </row>
    <row r="125" spans="1:9" x14ac:dyDescent="0.2">
      <c r="A125" s="26"/>
      <c r="B125" s="26"/>
      <c r="C125" s="26"/>
      <c r="D125" s="32"/>
      <c r="E125" s="33"/>
      <c r="F125" s="34"/>
      <c r="G125" s="33"/>
      <c r="I125" s="18"/>
    </row>
    <row r="126" spans="1:9" x14ac:dyDescent="0.2">
      <c r="A126" s="26" t="s">
        <v>44</v>
      </c>
      <c r="B126" s="26"/>
      <c r="C126" s="26"/>
      <c r="D126" s="32"/>
      <c r="E126" s="33">
        <f>E128-(E122)</f>
        <v>8.9999999999999996E-7</v>
      </c>
      <c r="F126" s="34">
        <v>0</v>
      </c>
      <c r="G126" s="33"/>
      <c r="H126" s="18"/>
      <c r="I126" s="18"/>
    </row>
    <row r="127" spans="1:9" x14ac:dyDescent="0.2">
      <c r="A127" s="26"/>
      <c r="B127" s="26"/>
      <c r="C127" s="26"/>
      <c r="D127" s="32"/>
      <c r="E127" s="33"/>
      <c r="F127" s="34"/>
      <c r="G127" s="33"/>
      <c r="H127" s="18"/>
      <c r="I127" s="18"/>
    </row>
    <row r="128" spans="1:9" x14ac:dyDescent="0.2">
      <c r="A128" s="35" t="s">
        <v>43</v>
      </c>
      <c r="B128" s="35"/>
      <c r="C128" s="35"/>
      <c r="D128" s="36"/>
      <c r="E128" s="37">
        <v>8.9999999999999996E-7</v>
      </c>
      <c r="F128" s="38">
        <v>100</v>
      </c>
      <c r="G128" s="37"/>
      <c r="H128" s="18"/>
      <c r="I128" s="18"/>
    </row>
    <row r="129" spans="1:8" x14ac:dyDescent="0.2">
      <c r="H129" s="18"/>
    </row>
    <row r="130" spans="1:8" x14ac:dyDescent="0.2">
      <c r="A130" s="18" t="s">
        <v>46</v>
      </c>
      <c r="H130" s="18"/>
    </row>
    <row r="131" spans="1:8" x14ac:dyDescent="0.2">
      <c r="A131" s="47" t="s">
        <v>1236</v>
      </c>
    </row>
    <row r="132" spans="1:8" x14ac:dyDescent="0.2">
      <c r="A132" s="18" t="s">
        <v>1237</v>
      </c>
    </row>
    <row r="134" spans="1:8" x14ac:dyDescent="0.2">
      <c r="A134" s="18" t="s">
        <v>47</v>
      </c>
    </row>
    <row r="135" spans="1:8" x14ac:dyDescent="0.2">
      <c r="A135" s="18" t="s">
        <v>48</v>
      </c>
    </row>
    <row r="136" spans="1:8" x14ac:dyDescent="0.2">
      <c r="A136" s="18" t="s">
        <v>49</v>
      </c>
      <c r="B136" s="18"/>
      <c r="C136" s="39" t="s">
        <v>51</v>
      </c>
      <c r="D136" s="41" t="s">
        <v>50</v>
      </c>
    </row>
    <row r="137" spans="1:8" x14ac:dyDescent="0.2">
      <c r="A137" s="9" t="s">
        <v>858</v>
      </c>
      <c r="C137" s="40">
        <v>0</v>
      </c>
      <c r="D137" s="40">
        <v>0</v>
      </c>
    </row>
    <row r="138" spans="1:8" x14ac:dyDescent="0.2">
      <c r="A138" s="9" t="s">
        <v>1298</v>
      </c>
      <c r="C138" s="40">
        <v>0</v>
      </c>
      <c r="D138" s="40">
        <v>0</v>
      </c>
    </row>
    <row r="139" spans="1:8" x14ac:dyDescent="0.2">
      <c r="A139" s="9" t="s">
        <v>860</v>
      </c>
      <c r="C139" s="40">
        <v>0</v>
      </c>
      <c r="D139" s="40">
        <v>0</v>
      </c>
    </row>
    <row r="140" spans="1:8" x14ac:dyDescent="0.2">
      <c r="A140" s="9" t="s">
        <v>861</v>
      </c>
      <c r="C140" s="40">
        <v>0</v>
      </c>
      <c r="D140" s="40">
        <v>0</v>
      </c>
    </row>
    <row r="141" spans="1:8" x14ac:dyDescent="0.2">
      <c r="A141" s="9" t="s">
        <v>1299</v>
      </c>
      <c r="C141" s="40">
        <v>0</v>
      </c>
      <c r="D141" s="40">
        <v>0</v>
      </c>
    </row>
    <row r="142" spans="1:8" x14ac:dyDescent="0.2">
      <c r="A142" s="9" t="s">
        <v>862</v>
      </c>
      <c r="C142" s="40">
        <v>0</v>
      </c>
      <c r="D142" s="40">
        <v>0</v>
      </c>
    </row>
    <row r="143" spans="1:8" x14ac:dyDescent="0.2">
      <c r="A143" s="9" t="s">
        <v>1346</v>
      </c>
      <c r="C143" s="40">
        <v>0</v>
      </c>
      <c r="D143" s="40">
        <v>0</v>
      </c>
    </row>
    <row r="144" spans="1:8" x14ac:dyDescent="0.2">
      <c r="A144" s="9" t="s">
        <v>864</v>
      </c>
      <c r="C144" s="40">
        <v>0</v>
      </c>
      <c r="D144" s="40">
        <v>0</v>
      </c>
    </row>
    <row r="145" spans="1:8" x14ac:dyDescent="0.2">
      <c r="A145" s="9" t="s">
        <v>865</v>
      </c>
      <c r="C145" s="40">
        <v>0</v>
      </c>
      <c r="D145" s="40">
        <v>0</v>
      </c>
    </row>
    <row r="147" spans="1:8" x14ac:dyDescent="0.2">
      <c r="A147" s="9" t="s">
        <v>52</v>
      </c>
    </row>
    <row r="149" spans="1:8" x14ac:dyDescent="0.2">
      <c r="A149" s="18" t="s">
        <v>1387</v>
      </c>
      <c r="D149" s="41" t="s">
        <v>54</v>
      </c>
    </row>
    <row r="150" spans="1:8" x14ac:dyDescent="0.2">
      <c r="A150" s="9" t="s">
        <v>58</v>
      </c>
    </row>
    <row r="151" spans="1:8" x14ac:dyDescent="0.2">
      <c r="A151" s="53" t="s">
        <v>744</v>
      </c>
    </row>
    <row r="153" spans="1:8" ht="14.4" x14ac:dyDescent="0.2">
      <c r="A153" s="80" t="s">
        <v>1238</v>
      </c>
      <c r="B153" s="81"/>
      <c r="C153" s="81"/>
      <c r="D153" s="81"/>
      <c r="E153" s="81"/>
      <c r="F153" s="81"/>
      <c r="G153" s="81"/>
    </row>
    <row r="154" spans="1:8" x14ac:dyDescent="0.2">
      <c r="A154" s="53" t="s">
        <v>57</v>
      </c>
    </row>
    <row r="155" spans="1:8" ht="14.4" x14ac:dyDescent="0.3">
      <c r="A155" s="43"/>
    </row>
    <row r="156" spans="1:8" s="1" customFormat="1" ht="13.8" x14ac:dyDescent="0.2">
      <c r="A156" s="76" t="s">
        <v>1353</v>
      </c>
      <c r="B156" s="77"/>
      <c r="C156" s="77"/>
      <c r="D156" s="77"/>
      <c r="E156" s="77"/>
      <c r="F156" s="77"/>
      <c r="G156" s="77"/>
    </row>
    <row r="157" spans="1:8" x14ac:dyDescent="0.2">
      <c r="A157" s="18" t="s">
        <v>1354</v>
      </c>
    </row>
    <row r="158" spans="1:8" ht="11.4" x14ac:dyDescent="0.2">
      <c r="A158" s="18" t="s">
        <v>7</v>
      </c>
      <c r="H158" s="1"/>
    </row>
    <row r="159" spans="1:8" s="1" customFormat="1" ht="17.399999999999999" customHeight="1" x14ac:dyDescent="0.2">
      <c r="A159" s="8" t="s">
        <v>2</v>
      </c>
      <c r="B159" s="8" t="s">
        <v>0</v>
      </c>
      <c r="C159" s="17" t="s">
        <v>45</v>
      </c>
      <c r="D159" s="16" t="s">
        <v>1</v>
      </c>
      <c r="E159" s="15" t="s">
        <v>3</v>
      </c>
      <c r="F159" s="15" t="s">
        <v>4</v>
      </c>
      <c r="G159" s="15" t="s">
        <v>6</v>
      </c>
      <c r="H159" s="9"/>
    </row>
    <row r="160" spans="1:8" x14ac:dyDescent="0.2">
      <c r="A160" s="21" t="s">
        <v>35</v>
      </c>
      <c r="B160" s="22"/>
      <c r="C160" s="22"/>
      <c r="D160" s="23"/>
      <c r="E160" s="24"/>
      <c r="F160" s="25"/>
      <c r="G160" s="24"/>
    </row>
    <row r="161" spans="1:9" x14ac:dyDescent="0.2">
      <c r="A161" s="26" t="s">
        <v>36</v>
      </c>
      <c r="B161" s="27"/>
      <c r="C161" s="27"/>
      <c r="D161" s="28"/>
      <c r="E161" s="29"/>
      <c r="F161" s="30"/>
      <c r="G161" s="29"/>
    </row>
    <row r="162" spans="1:9" ht="20.399999999999999" x14ac:dyDescent="0.2">
      <c r="A162" s="27" t="s">
        <v>1240</v>
      </c>
      <c r="B162" s="27" t="s">
        <v>1241</v>
      </c>
      <c r="C162" s="52" t="s">
        <v>1242</v>
      </c>
      <c r="D162" s="31">
        <v>3523</v>
      </c>
      <c r="E162" s="29">
        <v>0</v>
      </c>
      <c r="F162" s="30">
        <v>100</v>
      </c>
      <c r="G162" s="29">
        <v>0</v>
      </c>
      <c r="H162" s="18"/>
    </row>
    <row r="163" spans="1:9" x14ac:dyDescent="0.2">
      <c r="A163" s="26" t="s">
        <v>39</v>
      </c>
      <c r="B163" s="26"/>
      <c r="C163" s="26"/>
      <c r="D163" s="32"/>
      <c r="E163" s="33">
        <f>SUM(E161:E162)</f>
        <v>0</v>
      </c>
      <c r="F163" s="34">
        <f>SUM(F161:F162)</f>
        <v>100</v>
      </c>
      <c r="G163" s="33"/>
      <c r="I163" s="18"/>
    </row>
    <row r="164" spans="1:9" x14ac:dyDescent="0.2">
      <c r="A164" s="27"/>
      <c r="B164" s="27"/>
      <c r="C164" s="27"/>
      <c r="D164" s="28"/>
      <c r="E164" s="29"/>
      <c r="F164" s="30"/>
      <c r="G164" s="29"/>
      <c r="H164" s="18"/>
    </row>
    <row r="165" spans="1:9" x14ac:dyDescent="0.2">
      <c r="A165" s="26" t="s">
        <v>42</v>
      </c>
      <c r="B165" s="26"/>
      <c r="C165" s="26"/>
      <c r="D165" s="32"/>
      <c r="E165" s="33">
        <f>E163</f>
        <v>0</v>
      </c>
      <c r="F165" s="34">
        <f>F163</f>
        <v>100</v>
      </c>
      <c r="G165" s="33"/>
      <c r="H165" s="18"/>
      <c r="I165" s="18"/>
    </row>
    <row r="166" spans="1:9" x14ac:dyDescent="0.2">
      <c r="A166" s="26"/>
      <c r="B166" s="26"/>
      <c r="C166" s="26"/>
      <c r="D166" s="32"/>
      <c r="E166" s="33"/>
      <c r="F166" s="34"/>
      <c r="G166" s="33"/>
      <c r="H166" s="18"/>
      <c r="I166" s="18"/>
    </row>
    <row r="167" spans="1:9" x14ac:dyDescent="0.2">
      <c r="A167" s="26" t="s">
        <v>44</v>
      </c>
      <c r="B167" s="26"/>
      <c r="C167" s="26"/>
      <c r="D167" s="32"/>
      <c r="E167" s="33">
        <f>E169-(E163)</f>
        <v>8.9999999999999996E-7</v>
      </c>
      <c r="F167" s="34">
        <v>0</v>
      </c>
      <c r="G167" s="33"/>
      <c r="H167" s="18"/>
      <c r="I167" s="18"/>
    </row>
    <row r="168" spans="1:9" x14ac:dyDescent="0.2">
      <c r="A168" s="26"/>
      <c r="B168" s="26"/>
      <c r="C168" s="26"/>
      <c r="D168" s="32"/>
      <c r="E168" s="33"/>
      <c r="F168" s="34"/>
      <c r="G168" s="33"/>
      <c r="H168" s="18"/>
      <c r="I168" s="18"/>
    </row>
    <row r="169" spans="1:9" x14ac:dyDescent="0.2">
      <c r="A169" s="35" t="s">
        <v>43</v>
      </c>
      <c r="B169" s="35"/>
      <c r="C169" s="35"/>
      <c r="D169" s="36"/>
      <c r="E169" s="37">
        <v>8.9999999999999996E-7</v>
      </c>
      <c r="F169" s="38">
        <v>100</v>
      </c>
      <c r="G169" s="37"/>
      <c r="I169" s="18"/>
    </row>
    <row r="171" spans="1:9" x14ac:dyDescent="0.2">
      <c r="A171" s="18" t="s">
        <v>46</v>
      </c>
    </row>
    <row r="172" spans="1:9" x14ac:dyDescent="0.2">
      <c r="A172" s="18" t="s">
        <v>1236</v>
      </c>
    </row>
    <row r="174" spans="1:9" s="13" customFormat="1" x14ac:dyDescent="0.2">
      <c r="A174" s="18" t="s">
        <v>47</v>
      </c>
      <c r="B174" s="9"/>
      <c r="C174" s="9"/>
      <c r="D174" s="10"/>
      <c r="F174" s="14"/>
      <c r="H174" s="9"/>
      <c r="I174" s="9"/>
    </row>
    <row r="175" spans="1:9" s="13" customFormat="1" x14ac:dyDescent="0.2">
      <c r="A175" s="18" t="s">
        <v>48</v>
      </c>
      <c r="B175" s="9"/>
      <c r="C175" s="9"/>
      <c r="D175" s="10"/>
      <c r="F175" s="14"/>
      <c r="H175" s="9"/>
      <c r="I175" s="9"/>
    </row>
    <row r="176" spans="1:9" s="13" customFormat="1" x14ac:dyDescent="0.2">
      <c r="A176" s="18" t="s">
        <v>49</v>
      </c>
      <c r="B176" s="18"/>
      <c r="C176" s="39" t="s">
        <v>51</v>
      </c>
      <c r="D176" s="41" t="s">
        <v>50</v>
      </c>
      <c r="F176" s="14"/>
      <c r="H176" s="9"/>
      <c r="I176" s="9"/>
    </row>
    <row r="177" spans="1:9" s="13" customFormat="1" x14ac:dyDescent="0.2">
      <c r="A177" s="9" t="s">
        <v>858</v>
      </c>
      <c r="B177" s="9"/>
      <c r="C177" s="40">
        <v>0</v>
      </c>
      <c r="D177" s="40">
        <v>0</v>
      </c>
      <c r="F177" s="14"/>
      <c r="H177" s="9"/>
      <c r="I177" s="9"/>
    </row>
    <row r="178" spans="1:9" s="13" customFormat="1" x14ac:dyDescent="0.2">
      <c r="A178" s="9" t="s">
        <v>1298</v>
      </c>
      <c r="B178" s="9"/>
      <c r="C178" s="40">
        <v>0</v>
      </c>
      <c r="D178" s="40">
        <v>0</v>
      </c>
      <c r="F178" s="14"/>
      <c r="H178" s="9"/>
      <c r="I178" s="9"/>
    </row>
    <row r="179" spans="1:9" s="13" customFormat="1" x14ac:dyDescent="0.2">
      <c r="A179" s="9" t="s">
        <v>860</v>
      </c>
      <c r="B179" s="9"/>
      <c r="C179" s="40">
        <v>0</v>
      </c>
      <c r="D179" s="40">
        <v>0</v>
      </c>
      <c r="F179" s="14"/>
      <c r="H179" s="9"/>
      <c r="I179" s="9"/>
    </row>
    <row r="180" spans="1:9" s="13" customFormat="1" x14ac:dyDescent="0.2">
      <c r="A180" s="9" t="s">
        <v>861</v>
      </c>
      <c r="B180" s="9"/>
      <c r="C180" s="40">
        <v>0</v>
      </c>
      <c r="D180" s="40">
        <v>0</v>
      </c>
      <c r="F180" s="14"/>
      <c r="H180" s="9"/>
      <c r="I180" s="9"/>
    </row>
    <row r="181" spans="1:9" s="13" customFormat="1" x14ac:dyDescent="0.2">
      <c r="A181" s="9" t="s">
        <v>1299</v>
      </c>
      <c r="B181" s="9"/>
      <c r="C181" s="40">
        <v>0</v>
      </c>
      <c r="D181" s="40">
        <v>0</v>
      </c>
      <c r="F181" s="14"/>
      <c r="H181" s="9"/>
      <c r="I181" s="9"/>
    </row>
    <row r="182" spans="1:9" s="13" customFormat="1" x14ac:dyDescent="0.2">
      <c r="A182" s="9" t="s">
        <v>862</v>
      </c>
      <c r="B182" s="9"/>
      <c r="C182" s="40">
        <v>0</v>
      </c>
      <c r="D182" s="40">
        <v>0</v>
      </c>
      <c r="F182" s="14"/>
      <c r="H182" s="9"/>
      <c r="I182" s="9"/>
    </row>
    <row r="183" spans="1:9" s="13" customFormat="1" x14ac:dyDescent="0.2">
      <c r="A183" s="9" t="s">
        <v>1346</v>
      </c>
      <c r="B183" s="9"/>
      <c r="C183" s="40">
        <v>0</v>
      </c>
      <c r="D183" s="40">
        <v>0</v>
      </c>
      <c r="F183" s="14"/>
      <c r="H183" s="9"/>
      <c r="I183" s="9"/>
    </row>
    <row r="184" spans="1:9" s="13" customFormat="1" x14ac:dyDescent="0.2">
      <c r="A184" s="9" t="s">
        <v>864</v>
      </c>
      <c r="B184" s="9"/>
      <c r="C184" s="40">
        <v>0</v>
      </c>
      <c r="D184" s="40">
        <v>0</v>
      </c>
      <c r="F184" s="14"/>
      <c r="H184" s="9"/>
      <c r="I184" s="9"/>
    </row>
    <row r="185" spans="1:9" s="13" customFormat="1" x14ac:dyDescent="0.2">
      <c r="A185" s="9" t="s">
        <v>865</v>
      </c>
      <c r="B185" s="9"/>
      <c r="C185" s="40">
        <v>0</v>
      </c>
      <c r="D185" s="40">
        <v>0</v>
      </c>
      <c r="F185" s="14"/>
      <c r="H185" s="9"/>
      <c r="I185" s="9"/>
    </row>
    <row r="187" spans="1:9" s="13" customFormat="1" x14ac:dyDescent="0.2">
      <c r="A187" s="9" t="s">
        <v>52</v>
      </c>
      <c r="B187" s="9"/>
      <c r="C187" s="9"/>
      <c r="D187" s="10"/>
      <c r="F187" s="14"/>
      <c r="H187" s="9"/>
      <c r="I187" s="9"/>
    </row>
    <row r="189" spans="1:9" x14ac:dyDescent="0.2">
      <c r="A189" s="18" t="s">
        <v>1387</v>
      </c>
      <c r="D189" s="41" t="s">
        <v>54</v>
      </c>
    </row>
    <row r="190" spans="1:9" x14ac:dyDescent="0.2">
      <c r="A190" s="9" t="s">
        <v>58</v>
      </c>
    </row>
    <row r="191" spans="1:9" x14ac:dyDescent="0.2">
      <c r="A191" s="53" t="s">
        <v>744</v>
      </c>
    </row>
    <row r="193" spans="1:7" ht="14.4" x14ac:dyDescent="0.2">
      <c r="A193" s="80" t="s">
        <v>1238</v>
      </c>
      <c r="B193" s="81"/>
      <c r="C193" s="81"/>
      <c r="D193" s="81"/>
      <c r="E193" s="81"/>
      <c r="F193" s="81"/>
      <c r="G193" s="81"/>
    </row>
    <row r="194" spans="1:7" x14ac:dyDescent="0.2">
      <c r="A194" s="53" t="s">
        <v>57</v>
      </c>
    </row>
    <row r="195" spans="1:7" ht="14.4" x14ac:dyDescent="0.3">
      <c r="A195" s="43"/>
    </row>
  </sheetData>
  <mergeCells count="10">
    <mergeCell ref="A116:G116"/>
    <mergeCell ref="A153:G153"/>
    <mergeCell ref="A156:G156"/>
    <mergeCell ref="A193:G193"/>
    <mergeCell ref="A1:H1"/>
    <mergeCell ref="A99:G99"/>
    <mergeCell ref="A104:G104"/>
    <mergeCell ref="A106:G106"/>
    <mergeCell ref="A109:G109"/>
    <mergeCell ref="A111:G111"/>
  </mergeCells>
  <conditionalFormatting sqref="F2:F3 F5:F51 F119:F120 F157:F158 F160:F161 F60:F98 F117 F129:F152 F196:F65550 F170:F192 F113:F114">
    <cfRule type="cellIs" dxfId="58" priority="16" stopIfTrue="1" operator="between">
      <formula>0.009</formula>
      <formula>-0.009</formula>
    </cfRule>
  </conditionalFormatting>
  <conditionalFormatting sqref="F115">
    <cfRule type="cellIs" dxfId="57" priority="15" stopIfTrue="1" operator="between">
      <formula>0.009</formula>
      <formula>-0.009</formula>
    </cfRule>
  </conditionalFormatting>
  <conditionalFormatting sqref="F112">
    <cfRule type="cellIs" dxfId="56" priority="12" stopIfTrue="1" operator="between">
      <formula>0.009</formula>
      <formula>-0.009</formula>
    </cfRule>
  </conditionalFormatting>
  <conditionalFormatting sqref="F100:F103 F105 F108">
    <cfRule type="cellIs" dxfId="55" priority="14" stopIfTrue="1" operator="between">
      <formula>0.009</formula>
      <formula>-0.009</formula>
    </cfRule>
  </conditionalFormatting>
  <conditionalFormatting sqref="F123:F125 F127:F128">
    <cfRule type="cellIs" dxfId="54" priority="11" stopIfTrue="1" operator="between">
      <formula>0.009</formula>
      <formula>-0.009</formula>
    </cfRule>
  </conditionalFormatting>
  <conditionalFormatting sqref="F121:F122">
    <cfRule type="cellIs" dxfId="53" priority="10" stopIfTrue="1" operator="between">
      <formula>0.009</formula>
      <formula>-0.009</formula>
    </cfRule>
  </conditionalFormatting>
  <conditionalFormatting sqref="F155">
    <cfRule type="cellIs" dxfId="52" priority="9" stopIfTrue="1" operator="between">
      <formula>0.009</formula>
      <formula>-0.009</formula>
    </cfRule>
  </conditionalFormatting>
  <conditionalFormatting sqref="F154">
    <cfRule type="cellIs" dxfId="51" priority="7" stopIfTrue="1" operator="between">
      <formula>0.009</formula>
      <formula>-0.009</formula>
    </cfRule>
  </conditionalFormatting>
  <conditionalFormatting sqref="F195">
    <cfRule type="cellIs" dxfId="50" priority="6" stopIfTrue="1" operator="between">
      <formula>0.009</formula>
      <formula>-0.009</formula>
    </cfRule>
  </conditionalFormatting>
  <conditionalFormatting sqref="F194">
    <cfRule type="cellIs" dxfId="49" priority="4" stopIfTrue="1" operator="between">
      <formula>0.009</formula>
      <formula>-0.009</formula>
    </cfRule>
  </conditionalFormatting>
  <conditionalFormatting sqref="H5:H51 H60:H70">
    <cfRule type="cellIs" dxfId="48" priority="3" stopIfTrue="1" operator="between">
      <formula>0.009</formula>
      <formula>-0.009</formula>
    </cfRule>
  </conditionalFormatting>
  <conditionalFormatting sqref="F164:F166 F168:F169">
    <cfRule type="cellIs" dxfId="47" priority="2" stopIfTrue="1" operator="between">
      <formula>0.009</formula>
      <formula>-0.009</formula>
    </cfRule>
  </conditionalFormatting>
  <conditionalFormatting sqref="F162:F163">
    <cfRule type="cellIs" dxfId="46" priority="1" stopIfTrue="1" operator="between">
      <formula>0.009</formula>
      <formula>-0.009</formula>
    </cfRule>
  </conditionalFormatting>
  <hyperlinks>
    <hyperlink ref="A97" r:id="rId1" xr:uid="{00000000-0004-0000-1D00-000000000000}"/>
    <hyperlink ref="A102" r:id="rId2" xr:uid="{00000000-0004-0000-1D00-000001000000}"/>
    <hyperlink ref="A107" r:id="rId3" xr:uid="{00000000-0004-0000-1D00-000002000000}"/>
    <hyperlink ref="A112" r:id="rId4" xr:uid="{00000000-0004-0000-1D00-000003000000}"/>
    <hyperlink ref="A151" r:id="rId5" xr:uid="{00000000-0004-0000-1D00-000004000000}"/>
    <hyperlink ref="A154" r:id="rId6" xr:uid="{00000000-0004-0000-1D00-000005000000}"/>
    <hyperlink ref="A194" r:id="rId7" xr:uid="{00000000-0004-0000-1D00-000006000000}"/>
    <hyperlink ref="A191" r:id="rId8" xr:uid="{00000000-0004-0000-1D00-000007000000}"/>
  </hyperlinks>
  <pageMargins left="0.7" right="0.7" top="0.75" bottom="0.75" header="0.3" footer="0.3"/>
  <pageSetup paperSize="9" orientation="portrait" r:id="rId9"/>
  <headerFooter>
    <oddFooter>&amp;R&amp;1#&amp;"Calibri"&amp;10&amp;KFF0000|PUBLIC|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15"/>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6" t="s">
        <v>1355</v>
      </c>
      <c r="B1" s="77"/>
      <c r="C1" s="77"/>
      <c r="D1" s="77"/>
      <c r="E1" s="77"/>
      <c r="F1" s="77"/>
      <c r="G1" s="77"/>
      <c r="H1" s="77"/>
    </row>
    <row r="2" spans="1:8" s="1" customFormat="1" ht="12" x14ac:dyDescent="0.25">
      <c r="A2" s="57" t="s">
        <v>1158</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45</v>
      </c>
      <c r="D4" s="16" t="s">
        <v>1</v>
      </c>
      <c r="E4" s="15" t="s">
        <v>3</v>
      </c>
      <c r="F4" s="15" t="s">
        <v>4</v>
      </c>
      <c r="G4" s="62" t="s">
        <v>6</v>
      </c>
      <c r="H4" s="15" t="s">
        <v>1307</v>
      </c>
    </row>
    <row r="5" spans="1:8" x14ac:dyDescent="0.2">
      <c r="A5" s="21" t="s">
        <v>35</v>
      </c>
      <c r="B5" s="22"/>
      <c r="C5" s="22"/>
      <c r="D5" s="23"/>
      <c r="E5" s="24"/>
      <c r="F5" s="25"/>
      <c r="G5" s="63"/>
      <c r="H5" s="25"/>
    </row>
    <row r="6" spans="1:8" x14ac:dyDescent="0.2">
      <c r="A6" s="26" t="s">
        <v>36</v>
      </c>
      <c r="B6" s="27"/>
      <c r="C6" s="27"/>
      <c r="D6" s="28"/>
      <c r="E6" s="29"/>
      <c r="F6" s="30"/>
      <c r="G6" s="64"/>
      <c r="H6" s="30"/>
    </row>
    <row r="7" spans="1:8" x14ac:dyDescent="0.2">
      <c r="A7" s="27" t="s">
        <v>1169</v>
      </c>
      <c r="B7" s="27" t="s">
        <v>1170</v>
      </c>
      <c r="C7" s="27" t="s">
        <v>1171</v>
      </c>
      <c r="D7" s="31">
        <v>2762</v>
      </c>
      <c r="E7" s="29">
        <v>25775.425920000001</v>
      </c>
      <c r="F7" s="30">
        <v>15.0773556345543</v>
      </c>
      <c r="G7" s="64">
        <v>11.148899999999999</v>
      </c>
      <c r="H7" s="30"/>
    </row>
    <row r="8" spans="1:8" x14ac:dyDescent="0.2">
      <c r="A8" s="27" t="s">
        <v>1252</v>
      </c>
      <c r="B8" s="27" t="s">
        <v>1253</v>
      </c>
      <c r="C8" s="27" t="s">
        <v>949</v>
      </c>
      <c r="D8" s="31">
        <v>1550</v>
      </c>
      <c r="E8" s="29">
        <v>16010.911</v>
      </c>
      <c r="F8" s="30">
        <v>9.3655949635689595</v>
      </c>
      <c r="G8" s="64">
        <v>8.6555</v>
      </c>
      <c r="H8" s="30"/>
    </row>
    <row r="9" spans="1:8" x14ac:dyDescent="0.2">
      <c r="A9" s="27" t="s">
        <v>1356</v>
      </c>
      <c r="B9" s="27" t="s">
        <v>1357</v>
      </c>
      <c r="C9" s="27" t="s">
        <v>1168</v>
      </c>
      <c r="D9" s="31">
        <v>12100</v>
      </c>
      <c r="E9" s="29">
        <v>12157.5597</v>
      </c>
      <c r="F9" s="30">
        <v>7.1115740944165502</v>
      </c>
      <c r="G9" s="64">
        <v>9.9832999999999998</v>
      </c>
      <c r="H9" s="30">
        <v>9.7523366744499995</v>
      </c>
    </row>
    <row r="10" spans="1:8" x14ac:dyDescent="0.2">
      <c r="A10" s="27" t="s">
        <v>1358</v>
      </c>
      <c r="B10" s="27" t="s">
        <v>1359</v>
      </c>
      <c r="C10" s="27" t="s">
        <v>37</v>
      </c>
      <c r="D10" s="31">
        <v>1000</v>
      </c>
      <c r="E10" s="29">
        <v>10308.969999999999</v>
      </c>
      <c r="F10" s="30">
        <v>6.0302400976174004</v>
      </c>
      <c r="G10" s="64">
        <v>9.1678999999999995</v>
      </c>
      <c r="H10" s="30"/>
    </row>
    <row r="11" spans="1:8" x14ac:dyDescent="0.2">
      <c r="A11" s="27" t="s">
        <v>1360</v>
      </c>
      <c r="B11" s="27" t="s">
        <v>1361</v>
      </c>
      <c r="C11" s="27" t="s">
        <v>1163</v>
      </c>
      <c r="D11" s="31">
        <v>4653</v>
      </c>
      <c r="E11" s="29">
        <v>10138.505450000001</v>
      </c>
      <c r="F11" s="30">
        <v>5.9305267252210996</v>
      </c>
      <c r="G11" s="64">
        <v>8.8704000000000001</v>
      </c>
      <c r="H11" s="30"/>
    </row>
    <row r="12" spans="1:8" x14ac:dyDescent="0.2">
      <c r="A12" s="27" t="s">
        <v>1166</v>
      </c>
      <c r="B12" s="27" t="s">
        <v>1167</v>
      </c>
      <c r="C12" s="27" t="s">
        <v>1168</v>
      </c>
      <c r="D12" s="31">
        <v>780</v>
      </c>
      <c r="E12" s="29">
        <v>7722.8969999999999</v>
      </c>
      <c r="F12" s="30">
        <v>4.5175146653030502</v>
      </c>
      <c r="G12" s="64">
        <v>18.051600000000001</v>
      </c>
      <c r="H12" s="30"/>
    </row>
    <row r="13" spans="1:8" x14ac:dyDescent="0.2">
      <c r="A13" s="27" t="s">
        <v>1179</v>
      </c>
      <c r="B13" s="27" t="s">
        <v>1180</v>
      </c>
      <c r="C13" s="27" t="s">
        <v>1181</v>
      </c>
      <c r="D13" s="31">
        <v>479</v>
      </c>
      <c r="E13" s="29">
        <v>6878.8471499999996</v>
      </c>
      <c r="F13" s="30">
        <v>4.0237870426736304</v>
      </c>
      <c r="G13" s="64">
        <v>11.4148</v>
      </c>
      <c r="H13" s="30"/>
    </row>
    <row r="14" spans="1:8" x14ac:dyDescent="0.2">
      <c r="A14" s="27" t="s">
        <v>1172</v>
      </c>
      <c r="B14" s="27" t="s">
        <v>1173</v>
      </c>
      <c r="C14" s="27" t="s">
        <v>1168</v>
      </c>
      <c r="D14" s="31">
        <v>650</v>
      </c>
      <c r="E14" s="29">
        <v>6572.7219999999998</v>
      </c>
      <c r="F14" s="30">
        <v>3.8447188957666998</v>
      </c>
      <c r="G14" s="64">
        <v>6.7496999999999998</v>
      </c>
      <c r="H14" s="30"/>
    </row>
    <row r="15" spans="1:8" x14ac:dyDescent="0.2">
      <c r="A15" s="27" t="s">
        <v>947</v>
      </c>
      <c r="B15" s="27" t="s">
        <v>948</v>
      </c>
      <c r="C15" s="27" t="s">
        <v>949</v>
      </c>
      <c r="D15" s="31">
        <v>612</v>
      </c>
      <c r="E15" s="29">
        <v>6399.0720000000001</v>
      </c>
      <c r="F15" s="30">
        <v>3.74314219189122</v>
      </c>
      <c r="G15" s="64">
        <v>8.8552999999999997</v>
      </c>
      <c r="H15" s="30"/>
    </row>
    <row r="16" spans="1:8" x14ac:dyDescent="0.2">
      <c r="A16" s="27" t="s">
        <v>1161</v>
      </c>
      <c r="B16" s="27" t="s">
        <v>1162</v>
      </c>
      <c r="C16" s="27" t="s">
        <v>1163</v>
      </c>
      <c r="D16" s="31">
        <v>501</v>
      </c>
      <c r="E16" s="29">
        <v>5139.1177200000002</v>
      </c>
      <c r="F16" s="30">
        <v>3.0061309463040602</v>
      </c>
      <c r="G16" s="64">
        <v>8.3522999999999996</v>
      </c>
      <c r="H16" s="30"/>
    </row>
    <row r="17" spans="1:9" x14ac:dyDescent="0.2">
      <c r="A17" s="27" t="s">
        <v>1193</v>
      </c>
      <c r="B17" s="27" t="s">
        <v>1194</v>
      </c>
      <c r="C17" s="27" t="s">
        <v>37</v>
      </c>
      <c r="D17" s="31">
        <v>200</v>
      </c>
      <c r="E17" s="29">
        <v>2057.348</v>
      </c>
      <c r="F17" s="30">
        <v>1.2034473283318301</v>
      </c>
      <c r="G17" s="64">
        <v>7.8223000000000003</v>
      </c>
      <c r="H17" s="30"/>
    </row>
    <row r="18" spans="1:9" x14ac:dyDescent="0.2">
      <c r="A18" s="27" t="s">
        <v>1362</v>
      </c>
      <c r="B18" s="27" t="s">
        <v>1363</v>
      </c>
      <c r="C18" s="27" t="s">
        <v>1364</v>
      </c>
      <c r="D18" s="31">
        <v>150</v>
      </c>
      <c r="E18" s="29">
        <v>1924.0830000000001</v>
      </c>
      <c r="F18" s="30">
        <v>1.1254938619225801</v>
      </c>
      <c r="G18" s="64">
        <v>12.174300000000001</v>
      </c>
      <c r="H18" s="30"/>
    </row>
    <row r="19" spans="1:9" x14ac:dyDescent="0.2">
      <c r="A19" s="27" t="s">
        <v>1189</v>
      </c>
      <c r="B19" s="27" t="s">
        <v>1190</v>
      </c>
      <c r="C19" s="27" t="s">
        <v>1163</v>
      </c>
      <c r="D19" s="31">
        <v>240</v>
      </c>
      <c r="E19" s="29">
        <v>1822.6422</v>
      </c>
      <c r="F19" s="30">
        <v>1.0661559862963601</v>
      </c>
      <c r="G19" s="64">
        <v>7.6024000000000003</v>
      </c>
      <c r="H19" s="30"/>
    </row>
    <row r="20" spans="1:9" x14ac:dyDescent="0.2">
      <c r="A20" s="27" t="s">
        <v>1182</v>
      </c>
      <c r="B20" s="27" t="s">
        <v>1183</v>
      </c>
      <c r="C20" s="27" t="s">
        <v>1163</v>
      </c>
      <c r="D20" s="31">
        <v>150</v>
      </c>
      <c r="E20" s="29">
        <v>1527.1814999999999</v>
      </c>
      <c r="F20" s="30">
        <v>0.89332601779222298</v>
      </c>
      <c r="G20" s="64">
        <v>8.2423999999999999</v>
      </c>
      <c r="H20" s="30"/>
    </row>
    <row r="21" spans="1:9" x14ac:dyDescent="0.2">
      <c r="A21" s="27" t="s">
        <v>1365</v>
      </c>
      <c r="B21" s="27" t="s">
        <v>1366</v>
      </c>
      <c r="C21" s="27" t="s">
        <v>37</v>
      </c>
      <c r="D21" s="31">
        <v>150</v>
      </c>
      <c r="E21" s="29">
        <v>1511.8305</v>
      </c>
      <c r="F21" s="30">
        <v>0.88434643828636295</v>
      </c>
      <c r="G21" s="64">
        <v>8.8930000000000007</v>
      </c>
      <c r="H21" s="30"/>
    </row>
    <row r="22" spans="1:9" x14ac:dyDescent="0.2">
      <c r="A22" s="27" t="s">
        <v>1197</v>
      </c>
      <c r="B22" s="27" t="s">
        <v>1198</v>
      </c>
      <c r="C22" s="27" t="s">
        <v>1171</v>
      </c>
      <c r="D22" s="31">
        <v>30</v>
      </c>
      <c r="E22" s="29">
        <v>301.76400000000001</v>
      </c>
      <c r="F22" s="30">
        <v>0.17651708878941499</v>
      </c>
      <c r="G22" s="64">
        <v>4.6647999999999996</v>
      </c>
      <c r="H22" s="30"/>
    </row>
    <row r="23" spans="1:9" x14ac:dyDescent="0.2">
      <c r="A23" s="27" t="s">
        <v>1191</v>
      </c>
      <c r="B23" s="27" t="s">
        <v>1192</v>
      </c>
      <c r="C23" s="27" t="s">
        <v>1171</v>
      </c>
      <c r="D23" s="31">
        <v>35</v>
      </c>
      <c r="E23" s="29">
        <v>283.1318</v>
      </c>
      <c r="F23" s="30">
        <v>0.16561816876667501</v>
      </c>
      <c r="G23" s="64">
        <v>8.6</v>
      </c>
      <c r="H23" s="30"/>
    </row>
    <row r="24" spans="1:9" x14ac:dyDescent="0.2">
      <c r="A24" s="26" t="s">
        <v>39</v>
      </c>
      <c r="B24" s="26"/>
      <c r="C24" s="26"/>
      <c r="D24" s="32"/>
      <c r="E24" s="33">
        <f>SUM(E6:E23)</f>
        <v>116532.00893999999</v>
      </c>
      <c r="F24" s="34">
        <f>SUM(F6:F23)</f>
        <v>68.16549014750241</v>
      </c>
      <c r="G24" s="65"/>
      <c r="H24" s="34"/>
      <c r="I24" s="18"/>
    </row>
    <row r="25" spans="1:9" x14ac:dyDescent="0.2">
      <c r="A25" s="27"/>
      <c r="B25" s="27"/>
      <c r="C25" s="27"/>
      <c r="D25" s="28"/>
      <c r="E25" s="29"/>
      <c r="F25" s="30"/>
      <c r="G25" s="64"/>
      <c r="H25" s="30"/>
    </row>
    <row r="26" spans="1:9" x14ac:dyDescent="0.2">
      <c r="A26" s="26" t="s">
        <v>1080</v>
      </c>
      <c r="B26" s="27"/>
      <c r="C26" s="27"/>
      <c r="D26" s="28"/>
      <c r="E26" s="29"/>
      <c r="F26" s="30"/>
      <c r="G26" s="64"/>
      <c r="H26" s="30"/>
    </row>
    <row r="27" spans="1:9" x14ac:dyDescent="0.2">
      <c r="A27" s="27" t="s">
        <v>1205</v>
      </c>
      <c r="B27" s="27" t="s">
        <v>1206</v>
      </c>
      <c r="C27" s="27" t="s">
        <v>1204</v>
      </c>
      <c r="D27" s="31">
        <v>770</v>
      </c>
      <c r="E27" s="29">
        <v>6509.6391729999996</v>
      </c>
      <c r="F27" s="30">
        <v>3.8078185465711498</v>
      </c>
      <c r="G27" s="64">
        <v>11.464700000000001</v>
      </c>
      <c r="H27" s="30"/>
    </row>
    <row r="28" spans="1:9" x14ac:dyDescent="0.2">
      <c r="A28" s="27" t="s">
        <v>1210</v>
      </c>
      <c r="B28" s="27" t="s">
        <v>1211</v>
      </c>
      <c r="C28" s="27" t="s">
        <v>1201</v>
      </c>
      <c r="D28" s="31">
        <v>370</v>
      </c>
      <c r="E28" s="29">
        <v>3836.4596999999999</v>
      </c>
      <c r="F28" s="30">
        <v>2.2441401144666502</v>
      </c>
      <c r="G28" s="64">
        <v>7.3144999999999998</v>
      </c>
      <c r="H28" s="30"/>
    </row>
    <row r="29" spans="1:9" x14ac:dyDescent="0.2">
      <c r="A29" s="27" t="s">
        <v>1329</v>
      </c>
      <c r="B29" s="27" t="s">
        <v>1330</v>
      </c>
      <c r="C29" s="27" t="s">
        <v>1320</v>
      </c>
      <c r="D29" s="31">
        <v>300</v>
      </c>
      <c r="E29" s="29">
        <v>2952.174</v>
      </c>
      <c r="F29" s="30">
        <v>1.7268764997806301</v>
      </c>
      <c r="G29" s="64">
        <v>12.489100000000001</v>
      </c>
      <c r="H29" s="30"/>
    </row>
    <row r="30" spans="1:9" x14ac:dyDescent="0.2">
      <c r="A30" s="27" t="s">
        <v>1214</v>
      </c>
      <c r="B30" s="27" t="s">
        <v>1215</v>
      </c>
      <c r="C30" s="27" t="s">
        <v>1204</v>
      </c>
      <c r="D30" s="31">
        <v>250</v>
      </c>
      <c r="E30" s="29">
        <v>2183.8996200000001</v>
      </c>
      <c r="F30" s="30">
        <v>1.2774737978377499</v>
      </c>
      <c r="G30" s="64">
        <v>11.4674</v>
      </c>
      <c r="H30" s="30"/>
    </row>
    <row r="31" spans="1:9" x14ac:dyDescent="0.2">
      <c r="A31" s="27" t="s">
        <v>1212</v>
      </c>
      <c r="B31" s="27" t="s">
        <v>1213</v>
      </c>
      <c r="C31" s="27" t="s">
        <v>1201</v>
      </c>
      <c r="D31" s="31">
        <v>10</v>
      </c>
      <c r="E31" s="29">
        <v>986.16310999999996</v>
      </c>
      <c r="F31" s="30">
        <v>0.57685688567462001</v>
      </c>
      <c r="G31" s="64">
        <v>8.2449999999999992</v>
      </c>
      <c r="H31" s="30"/>
    </row>
    <row r="32" spans="1:9" x14ac:dyDescent="0.2">
      <c r="A32" s="27" t="s">
        <v>1202</v>
      </c>
      <c r="B32" s="27" t="s">
        <v>1203</v>
      </c>
      <c r="C32" s="27" t="s">
        <v>1204</v>
      </c>
      <c r="D32" s="31">
        <v>110</v>
      </c>
      <c r="E32" s="29">
        <v>981.96430810000004</v>
      </c>
      <c r="F32" s="30">
        <v>0.57440079320569903</v>
      </c>
      <c r="G32" s="64">
        <v>11.4674</v>
      </c>
      <c r="H32" s="30"/>
    </row>
    <row r="33" spans="1:9" x14ac:dyDescent="0.2">
      <c r="A33" s="27" t="s">
        <v>1207</v>
      </c>
      <c r="B33" s="27" t="s">
        <v>1208</v>
      </c>
      <c r="C33" s="27" t="s">
        <v>1209</v>
      </c>
      <c r="D33" s="31">
        <v>50</v>
      </c>
      <c r="E33" s="29">
        <v>475.14400000000001</v>
      </c>
      <c r="F33" s="30">
        <v>0.27793585595285702</v>
      </c>
      <c r="G33" s="64">
        <v>11.965</v>
      </c>
      <c r="H33" s="30"/>
    </row>
    <row r="34" spans="1:9" x14ac:dyDescent="0.2">
      <c r="A34" s="27" t="s">
        <v>1216</v>
      </c>
      <c r="B34" s="27" t="s">
        <v>1217</v>
      </c>
      <c r="C34" s="27" t="s">
        <v>1218</v>
      </c>
      <c r="D34" s="31">
        <v>1400</v>
      </c>
      <c r="E34" s="29">
        <v>0</v>
      </c>
      <c r="F34" s="29">
        <v>0</v>
      </c>
      <c r="G34" s="64">
        <v>0</v>
      </c>
      <c r="H34" s="29"/>
    </row>
    <row r="35" spans="1:9" x14ac:dyDescent="0.2">
      <c r="A35" s="27" t="s">
        <v>1221</v>
      </c>
      <c r="B35" s="27" t="s">
        <v>1222</v>
      </c>
      <c r="C35" s="27" t="s">
        <v>1218</v>
      </c>
      <c r="D35" s="31">
        <v>688</v>
      </c>
      <c r="E35" s="29">
        <v>0</v>
      </c>
      <c r="F35" s="29">
        <v>0</v>
      </c>
      <c r="G35" s="64">
        <v>0</v>
      </c>
      <c r="H35" s="29"/>
    </row>
    <row r="36" spans="1:9" x14ac:dyDescent="0.2">
      <c r="A36" s="27" t="s">
        <v>1367</v>
      </c>
      <c r="B36" s="27" t="s">
        <v>1368</v>
      </c>
      <c r="C36" s="27" t="s">
        <v>1218</v>
      </c>
      <c r="D36" s="31">
        <v>400</v>
      </c>
      <c r="E36" s="29">
        <v>0</v>
      </c>
      <c r="F36" s="29">
        <v>0</v>
      </c>
      <c r="G36" s="64">
        <v>0</v>
      </c>
      <c r="H36" s="29"/>
    </row>
    <row r="37" spans="1:9" x14ac:dyDescent="0.2">
      <c r="A37" s="26" t="s">
        <v>39</v>
      </c>
      <c r="B37" s="26"/>
      <c r="C37" s="26"/>
      <c r="D37" s="32"/>
      <c r="E37" s="33">
        <f>SUM(E26:E36)</f>
        <v>17925.443911099999</v>
      </c>
      <c r="F37" s="34">
        <f>SUM(F26:F36)</f>
        <v>10.485502493489355</v>
      </c>
      <c r="G37" s="65"/>
      <c r="H37" s="34"/>
      <c r="I37" s="18"/>
    </row>
    <row r="38" spans="1:9" x14ac:dyDescent="0.2">
      <c r="A38" s="27"/>
      <c r="B38" s="27"/>
      <c r="C38" s="27"/>
      <c r="D38" s="28"/>
      <c r="E38" s="29"/>
      <c r="F38" s="30"/>
      <c r="G38" s="64"/>
      <c r="H38" s="30"/>
    </row>
    <row r="39" spans="1:9" x14ac:dyDescent="0.2">
      <c r="A39" s="26" t="s">
        <v>40</v>
      </c>
      <c r="B39" s="27"/>
      <c r="C39" s="27"/>
      <c r="D39" s="28"/>
      <c r="E39" s="29"/>
      <c r="F39" s="30"/>
      <c r="G39" s="64"/>
      <c r="H39" s="30"/>
    </row>
    <row r="40" spans="1:9" x14ac:dyDescent="0.2">
      <c r="A40" s="27" t="s">
        <v>1223</v>
      </c>
      <c r="B40" s="27" t="s">
        <v>1224</v>
      </c>
      <c r="C40" s="27" t="s">
        <v>41</v>
      </c>
      <c r="D40" s="31">
        <v>1000219.849</v>
      </c>
      <c r="E40" s="29">
        <v>33610.797680000003</v>
      </c>
      <c r="F40" s="30">
        <v>19.660662499051</v>
      </c>
      <c r="G40" s="64">
        <v>3.2094999999999998</v>
      </c>
      <c r="H40" s="30"/>
    </row>
    <row r="41" spans="1:9" x14ac:dyDescent="0.2">
      <c r="A41" s="26" t="s">
        <v>39</v>
      </c>
      <c r="B41" s="26"/>
      <c r="C41" s="26"/>
      <c r="D41" s="32"/>
      <c r="E41" s="33">
        <f>SUM(E40:E40)</f>
        <v>33610.797680000003</v>
      </c>
      <c r="F41" s="34">
        <f>SUM(F40:F40)</f>
        <v>19.660662499051</v>
      </c>
      <c r="G41" s="65"/>
      <c r="H41" s="34"/>
      <c r="I41" s="18"/>
    </row>
    <row r="42" spans="1:9" x14ac:dyDescent="0.2">
      <c r="A42" s="27"/>
      <c r="B42" s="27"/>
      <c r="C42" s="27"/>
      <c r="D42" s="28"/>
      <c r="E42" s="29"/>
      <c r="F42" s="30"/>
      <c r="G42" s="64"/>
      <c r="H42" s="30"/>
    </row>
    <row r="43" spans="1:9" x14ac:dyDescent="0.2">
      <c r="A43" s="26" t="s">
        <v>42</v>
      </c>
      <c r="B43" s="26"/>
      <c r="C43" s="26"/>
      <c r="D43" s="32"/>
      <c r="E43" s="33">
        <f>E24+E37+E41</f>
        <v>168068.25053109997</v>
      </c>
      <c r="F43" s="34">
        <f>F24+F37+F41</f>
        <v>98.31165514004276</v>
      </c>
      <c r="G43" s="65"/>
      <c r="H43" s="34"/>
      <c r="I43" s="18"/>
    </row>
    <row r="44" spans="1:9" x14ac:dyDescent="0.2">
      <c r="A44" s="26"/>
      <c r="B44" s="26"/>
      <c r="C44" s="26"/>
      <c r="D44" s="32"/>
      <c r="E44" s="33"/>
      <c r="F44" s="34"/>
      <c r="G44" s="65"/>
      <c r="H44" s="34"/>
      <c r="I44" s="18"/>
    </row>
    <row r="45" spans="1:9" x14ac:dyDescent="0.2">
      <c r="A45" s="26" t="s">
        <v>44</v>
      </c>
      <c r="B45" s="26"/>
      <c r="C45" s="26"/>
      <c r="D45" s="32"/>
      <c r="E45" s="33">
        <f>E47-(E24+E37+E41)</f>
        <v>2886.3024074000423</v>
      </c>
      <c r="F45" s="34">
        <f>F47-(F24+F37+F41)</f>
        <v>1.6883448599572404</v>
      </c>
      <c r="G45" s="65"/>
      <c r="H45" s="34"/>
      <c r="I45" s="18"/>
    </row>
    <row r="46" spans="1:9" x14ac:dyDescent="0.2">
      <c r="A46" s="26"/>
      <c r="B46" s="26"/>
      <c r="C46" s="26"/>
      <c r="D46" s="32"/>
      <c r="E46" s="33"/>
      <c r="F46" s="34"/>
      <c r="G46" s="65"/>
      <c r="H46" s="34"/>
      <c r="I46" s="18"/>
    </row>
    <row r="47" spans="1:9" x14ac:dyDescent="0.2">
      <c r="A47" s="35" t="s">
        <v>43</v>
      </c>
      <c r="B47" s="35"/>
      <c r="C47" s="35"/>
      <c r="D47" s="36"/>
      <c r="E47" s="37">
        <v>170954.55293850001</v>
      </c>
      <c r="F47" s="38">
        <v>100</v>
      </c>
      <c r="G47" s="66"/>
      <c r="H47" s="38"/>
      <c r="I47" s="18"/>
    </row>
    <row r="48" spans="1:9" x14ac:dyDescent="0.2">
      <c r="H48" s="67"/>
    </row>
    <row r="49" spans="1:8" x14ac:dyDescent="0.2">
      <c r="A49" s="18" t="s">
        <v>46</v>
      </c>
      <c r="H49" s="67"/>
    </row>
    <row r="50" spans="1:8" x14ac:dyDescent="0.2">
      <c r="A50" s="9" t="s">
        <v>1225</v>
      </c>
      <c r="H50" s="67"/>
    </row>
    <row r="52" spans="1:8" x14ac:dyDescent="0.2">
      <c r="A52" s="18" t="s">
        <v>47</v>
      </c>
    </row>
    <row r="53" spans="1:8" x14ac:dyDescent="0.2">
      <c r="A53" s="18" t="s">
        <v>48</v>
      </c>
    </row>
    <row r="54" spans="1:8" x14ac:dyDescent="0.2">
      <c r="A54" s="18" t="s">
        <v>49</v>
      </c>
      <c r="B54" s="18"/>
      <c r="C54" s="39" t="s">
        <v>51</v>
      </c>
      <c r="D54" s="19" t="s">
        <v>50</v>
      </c>
    </row>
    <row r="55" spans="1:8" x14ac:dyDescent="0.2">
      <c r="A55" s="9" t="s">
        <v>79</v>
      </c>
      <c r="C55" s="40">
        <v>20.775300000000001</v>
      </c>
      <c r="D55" s="40">
        <v>23.321999999999999</v>
      </c>
    </row>
    <row r="56" spans="1:8" x14ac:dyDescent="0.2">
      <c r="A56" s="9" t="s">
        <v>85</v>
      </c>
      <c r="C56" s="40">
        <v>9.6315000000000008</v>
      </c>
      <c r="D56" s="40">
        <v>10.812099999999999</v>
      </c>
    </row>
    <row r="57" spans="1:8" x14ac:dyDescent="0.2">
      <c r="A57" s="9" t="s">
        <v>82</v>
      </c>
      <c r="C57" s="40">
        <v>22.086300000000001</v>
      </c>
      <c r="D57" s="40">
        <v>24.858000000000001</v>
      </c>
    </row>
    <row r="58" spans="1:8" x14ac:dyDescent="0.2">
      <c r="A58" s="9" t="s">
        <v>86</v>
      </c>
      <c r="C58" s="40">
        <v>10.372299999999999</v>
      </c>
      <c r="D58" s="40">
        <v>11.6739</v>
      </c>
    </row>
    <row r="60" spans="1:8" x14ac:dyDescent="0.2">
      <c r="A60" s="9" t="s">
        <v>52</v>
      </c>
    </row>
    <row r="62" spans="1:8" x14ac:dyDescent="0.2">
      <c r="A62" s="18" t="s">
        <v>53</v>
      </c>
      <c r="D62" s="41" t="s">
        <v>54</v>
      </c>
    </row>
    <row r="64" spans="1:8" x14ac:dyDescent="0.2">
      <c r="A64" s="18" t="s">
        <v>820</v>
      </c>
      <c r="D64" s="42">
        <v>2.792511519835617</v>
      </c>
      <c r="E64" s="13" t="s">
        <v>55</v>
      </c>
    </row>
    <row r="66" spans="1:7" x14ac:dyDescent="0.2">
      <c r="A66" s="18" t="s">
        <v>56</v>
      </c>
      <c r="D66" s="41" t="s">
        <v>54</v>
      </c>
    </row>
    <row r="67" spans="1:7" x14ac:dyDescent="0.2">
      <c r="A67" s="9" t="s">
        <v>58</v>
      </c>
    </row>
    <row r="68" spans="1:7" x14ac:dyDescent="0.2">
      <c r="A68" s="53" t="s">
        <v>744</v>
      </c>
    </row>
    <row r="70" spans="1:7" ht="38.25" customHeight="1" x14ac:dyDescent="0.2">
      <c r="A70" s="87" t="s">
        <v>1369</v>
      </c>
      <c r="B70" s="87"/>
      <c r="C70" s="87"/>
      <c r="D70" s="87"/>
      <c r="E70" s="87"/>
      <c r="F70" s="87"/>
      <c r="G70" s="87"/>
    </row>
    <row r="72" spans="1:7" ht="36.75" customHeight="1" x14ac:dyDescent="0.2">
      <c r="A72" s="87" t="s">
        <v>1370</v>
      </c>
      <c r="B72" s="87"/>
      <c r="C72" s="87"/>
      <c r="D72" s="87"/>
      <c r="E72" s="87"/>
      <c r="F72" s="87"/>
      <c r="G72" s="87"/>
    </row>
    <row r="73" spans="1:7" x14ac:dyDescent="0.2">
      <c r="A73" s="55" t="s">
        <v>1229</v>
      </c>
      <c r="B73" s="59"/>
      <c r="C73" s="59"/>
      <c r="D73" s="59"/>
      <c r="E73" s="59"/>
      <c r="F73" s="59"/>
      <c r="G73" s="59"/>
    </row>
    <row r="75" spans="1:7" ht="26.25" customHeight="1" x14ac:dyDescent="0.2">
      <c r="A75" s="88" t="s">
        <v>1269</v>
      </c>
      <c r="B75" s="88"/>
      <c r="C75" s="88"/>
      <c r="D75" s="88"/>
      <c r="E75" s="88"/>
      <c r="F75" s="88"/>
      <c r="G75" s="88"/>
    </row>
    <row r="77" spans="1:7" ht="14.4" x14ac:dyDescent="0.2">
      <c r="A77" s="80" t="s">
        <v>1270</v>
      </c>
      <c r="B77" s="81"/>
      <c r="C77" s="81"/>
      <c r="D77" s="81"/>
      <c r="E77" s="81"/>
      <c r="F77" s="81"/>
      <c r="G77" s="81"/>
    </row>
    <row r="78" spans="1:7" x14ac:dyDescent="0.2">
      <c r="A78" s="53" t="s">
        <v>57</v>
      </c>
    </row>
    <row r="79" spans="1:7" x14ac:dyDescent="0.2">
      <c r="A79" s="53"/>
    </row>
    <row r="80" spans="1:7" x14ac:dyDescent="0.2">
      <c r="A80" s="18" t="s">
        <v>741</v>
      </c>
    </row>
    <row r="81" spans="1:9" ht="14.4" x14ac:dyDescent="0.3">
      <c r="A81" s="43"/>
    </row>
    <row r="82" spans="1:9" s="1" customFormat="1" ht="13.8" x14ac:dyDescent="0.2">
      <c r="A82" s="76" t="s">
        <v>1371</v>
      </c>
      <c r="B82" s="77"/>
      <c r="C82" s="77"/>
      <c r="D82" s="77"/>
      <c r="E82" s="77"/>
      <c r="F82" s="77"/>
      <c r="G82" s="77"/>
    </row>
    <row r="83" spans="1:9" x14ac:dyDescent="0.2">
      <c r="A83" s="18" t="s">
        <v>7</v>
      </c>
    </row>
    <row r="84" spans="1:9" s="1" customFormat="1" ht="17.399999999999999" customHeight="1" x14ac:dyDescent="0.2">
      <c r="A84" s="8" t="s">
        <v>2</v>
      </c>
      <c r="B84" s="8" t="s">
        <v>0</v>
      </c>
      <c r="C84" s="17" t="s">
        <v>45</v>
      </c>
      <c r="D84" s="16" t="s">
        <v>1</v>
      </c>
      <c r="E84" s="15" t="s">
        <v>3</v>
      </c>
      <c r="F84" s="15" t="s">
        <v>4</v>
      </c>
      <c r="G84" s="15" t="s">
        <v>6</v>
      </c>
    </row>
    <row r="85" spans="1:9" x14ac:dyDescent="0.2">
      <c r="A85" s="21" t="s">
        <v>35</v>
      </c>
      <c r="B85" s="22"/>
      <c r="C85" s="22"/>
      <c r="D85" s="23"/>
      <c r="E85" s="24"/>
      <c r="F85" s="25"/>
      <c r="G85" s="24"/>
    </row>
    <row r="86" spans="1:9" x14ac:dyDescent="0.2">
      <c r="A86" s="26" t="s">
        <v>36</v>
      </c>
      <c r="B86" s="27"/>
      <c r="C86" s="27"/>
      <c r="D86" s="28"/>
      <c r="E86" s="29"/>
      <c r="F86" s="30"/>
      <c r="G86" s="29"/>
    </row>
    <row r="87" spans="1:9" x14ac:dyDescent="0.2">
      <c r="A87" s="27" t="s">
        <v>1233</v>
      </c>
      <c r="B87" s="27" t="s">
        <v>1234</v>
      </c>
      <c r="C87" s="27" t="s">
        <v>1235</v>
      </c>
      <c r="D87" s="31">
        <v>1450</v>
      </c>
      <c r="E87" s="29">
        <v>0</v>
      </c>
      <c r="F87" s="30">
        <v>100</v>
      </c>
      <c r="G87" s="29">
        <v>0</v>
      </c>
    </row>
    <row r="88" spans="1:9" x14ac:dyDescent="0.2">
      <c r="A88" s="26" t="s">
        <v>39</v>
      </c>
      <c r="B88" s="26"/>
      <c r="C88" s="26"/>
      <c r="D88" s="32"/>
      <c r="E88" s="33">
        <v>0</v>
      </c>
      <c r="F88" s="34">
        <v>100</v>
      </c>
      <c r="G88" s="33"/>
      <c r="H88" s="18"/>
      <c r="I88" s="18"/>
    </row>
    <row r="89" spans="1:9" x14ac:dyDescent="0.2">
      <c r="A89" s="27"/>
      <c r="B89" s="27"/>
      <c r="C89" s="27"/>
      <c r="D89" s="28"/>
      <c r="E89" s="29"/>
      <c r="F89" s="30"/>
      <c r="G89" s="29"/>
    </row>
    <row r="90" spans="1:9" x14ac:dyDescent="0.2">
      <c r="A90" s="26" t="s">
        <v>42</v>
      </c>
      <c r="B90" s="26"/>
      <c r="C90" s="26"/>
      <c r="D90" s="32"/>
      <c r="E90" s="33">
        <v>0</v>
      </c>
      <c r="F90" s="34">
        <v>100</v>
      </c>
      <c r="G90" s="33"/>
      <c r="H90" s="18"/>
      <c r="I90" s="18"/>
    </row>
    <row r="91" spans="1:9" x14ac:dyDescent="0.2">
      <c r="A91" s="26"/>
      <c r="B91" s="26"/>
      <c r="C91" s="26"/>
      <c r="D91" s="32"/>
      <c r="E91" s="33"/>
      <c r="F91" s="34"/>
      <c r="G91" s="33"/>
      <c r="H91" s="18"/>
      <c r="I91" s="18"/>
    </row>
    <row r="92" spans="1:9" x14ac:dyDescent="0.2">
      <c r="A92" s="26" t="s">
        <v>44</v>
      </c>
      <c r="B92" s="26"/>
      <c r="C92" s="26"/>
      <c r="D92" s="32"/>
      <c r="E92" s="33">
        <v>3.9999999999999998E-7</v>
      </c>
      <c r="F92" s="34">
        <v>0</v>
      </c>
      <c r="G92" s="33"/>
      <c r="H92" s="18"/>
      <c r="I92" s="18"/>
    </row>
    <row r="93" spans="1:9" x14ac:dyDescent="0.2">
      <c r="A93" s="26"/>
      <c r="B93" s="26"/>
      <c r="C93" s="26"/>
      <c r="D93" s="32"/>
      <c r="E93" s="33"/>
      <c r="F93" s="34"/>
      <c r="G93" s="33"/>
      <c r="H93" s="18"/>
      <c r="I93" s="18"/>
    </row>
    <row r="94" spans="1:9" x14ac:dyDescent="0.2">
      <c r="A94" s="35" t="s">
        <v>43</v>
      </c>
      <c r="B94" s="35"/>
      <c r="C94" s="35"/>
      <c r="D94" s="36"/>
      <c r="E94" s="37">
        <v>3.9999999999999998E-7</v>
      </c>
      <c r="F94" s="38">
        <v>100</v>
      </c>
      <c r="G94" s="37"/>
      <c r="H94" s="18"/>
      <c r="I94" s="18"/>
    </row>
    <row r="96" spans="1:9" s="13" customFormat="1" x14ac:dyDescent="0.2">
      <c r="A96" s="18" t="s">
        <v>46</v>
      </c>
      <c r="B96" s="9"/>
      <c r="C96" s="9"/>
      <c r="D96" s="10"/>
      <c r="F96" s="14"/>
      <c r="H96" s="9"/>
      <c r="I96" s="9"/>
    </row>
    <row r="97" spans="1:9" s="13" customFormat="1" x14ac:dyDescent="0.2">
      <c r="A97" s="47" t="s">
        <v>1236</v>
      </c>
      <c r="B97" s="9"/>
      <c r="C97" s="9"/>
      <c r="D97" s="10"/>
      <c r="F97" s="14"/>
      <c r="H97" s="9"/>
      <c r="I97" s="9"/>
    </row>
    <row r="98" spans="1:9" s="13" customFormat="1" x14ac:dyDescent="0.2">
      <c r="A98" s="18" t="s">
        <v>1237</v>
      </c>
      <c r="B98" s="9"/>
      <c r="C98" s="9"/>
      <c r="D98" s="10"/>
      <c r="F98" s="14"/>
      <c r="H98" s="9"/>
      <c r="I98" s="9"/>
    </row>
    <row r="100" spans="1:9" s="13" customFormat="1" x14ac:dyDescent="0.2">
      <c r="A100" s="18" t="s">
        <v>47</v>
      </c>
      <c r="B100" s="9"/>
      <c r="C100" s="9"/>
      <c r="D100" s="10"/>
      <c r="F100" s="14"/>
      <c r="H100" s="9"/>
      <c r="I100" s="9"/>
    </row>
    <row r="101" spans="1:9" s="13" customFormat="1" x14ac:dyDescent="0.2">
      <c r="A101" s="18" t="s">
        <v>48</v>
      </c>
      <c r="B101" s="9"/>
      <c r="C101" s="9"/>
      <c r="D101" s="10"/>
      <c r="F101" s="14"/>
      <c r="H101" s="9"/>
      <c r="I101" s="9"/>
    </row>
    <row r="102" spans="1:9" s="13" customFormat="1" x14ac:dyDescent="0.2">
      <c r="A102" s="18" t="s">
        <v>49</v>
      </c>
      <c r="B102" s="18"/>
      <c r="C102" s="39" t="s">
        <v>51</v>
      </c>
      <c r="D102" s="41" t="s">
        <v>50</v>
      </c>
      <c r="F102" s="14"/>
      <c r="H102" s="9"/>
      <c r="I102" s="9"/>
    </row>
    <row r="103" spans="1:9" s="13" customFormat="1" x14ac:dyDescent="0.2">
      <c r="A103" s="9" t="s">
        <v>79</v>
      </c>
      <c r="B103" s="9"/>
      <c r="C103" s="40">
        <v>0</v>
      </c>
      <c r="D103" s="40">
        <v>0</v>
      </c>
      <c r="F103" s="14"/>
      <c r="H103" s="9"/>
      <c r="I103" s="9"/>
    </row>
    <row r="104" spans="1:9" s="13" customFormat="1" x14ac:dyDescent="0.2">
      <c r="A104" s="9" t="s">
        <v>85</v>
      </c>
      <c r="B104" s="9"/>
      <c r="C104" s="40">
        <v>0</v>
      </c>
      <c r="D104" s="40">
        <v>0</v>
      </c>
      <c r="F104" s="14"/>
      <c r="H104" s="9"/>
      <c r="I104" s="9"/>
    </row>
    <row r="105" spans="1:9" s="13" customFormat="1" x14ac:dyDescent="0.2">
      <c r="A105" s="9" t="s">
        <v>82</v>
      </c>
      <c r="B105" s="9"/>
      <c r="C105" s="40">
        <v>0</v>
      </c>
      <c r="D105" s="40">
        <v>0</v>
      </c>
      <c r="F105" s="14"/>
      <c r="H105" s="9"/>
      <c r="I105" s="9"/>
    </row>
    <row r="106" spans="1:9" s="13" customFormat="1" x14ac:dyDescent="0.2">
      <c r="A106" s="9" t="s">
        <v>86</v>
      </c>
      <c r="B106" s="9"/>
      <c r="C106" s="40">
        <v>0</v>
      </c>
      <c r="D106" s="40">
        <v>0</v>
      </c>
      <c r="F106" s="14"/>
      <c r="H106" s="9"/>
      <c r="I106" s="9"/>
    </row>
    <row r="108" spans="1:9" s="13" customFormat="1" x14ac:dyDescent="0.2">
      <c r="A108" s="9" t="s">
        <v>52</v>
      </c>
      <c r="B108" s="9"/>
      <c r="C108" s="9"/>
      <c r="D108" s="10"/>
      <c r="F108" s="14"/>
      <c r="H108" s="9"/>
      <c r="I108" s="9"/>
    </row>
    <row r="110" spans="1:9" s="13" customFormat="1" x14ac:dyDescent="0.2">
      <c r="A110" s="18" t="s">
        <v>1387</v>
      </c>
      <c r="B110" s="9"/>
      <c r="C110" s="9"/>
      <c r="D110" s="41" t="s">
        <v>54</v>
      </c>
      <c r="F110" s="14"/>
      <c r="H110" s="9"/>
      <c r="I110" s="9"/>
    </row>
    <row r="111" spans="1:9" x14ac:dyDescent="0.2">
      <c r="A111" s="9" t="s">
        <v>58</v>
      </c>
    </row>
    <row r="112" spans="1:9" x14ac:dyDescent="0.2">
      <c r="A112" s="53" t="s">
        <v>744</v>
      </c>
    </row>
    <row r="114" spans="1:7" ht="14.4" x14ac:dyDescent="0.2">
      <c r="A114" s="80" t="s">
        <v>1238</v>
      </c>
      <c r="B114" s="81"/>
      <c r="C114" s="81"/>
      <c r="D114" s="81"/>
      <c r="E114" s="81"/>
      <c r="F114" s="81"/>
      <c r="G114" s="81"/>
    </row>
    <row r="115" spans="1:7" x14ac:dyDescent="0.2">
      <c r="A115" s="53" t="s">
        <v>57</v>
      </c>
    </row>
  </sheetData>
  <mergeCells count="7">
    <mergeCell ref="A114:G114"/>
    <mergeCell ref="A1:H1"/>
    <mergeCell ref="A70:G70"/>
    <mergeCell ref="A72:G72"/>
    <mergeCell ref="A75:G75"/>
    <mergeCell ref="A77:G77"/>
    <mergeCell ref="A82:G82"/>
  </mergeCells>
  <conditionalFormatting sqref="F2:F3 F5:F33 F85:F86 F83 F95:F113 F116:F65543 F37:F69 F79:F81">
    <cfRule type="cellIs" dxfId="45" priority="9" stopIfTrue="1" operator="between">
      <formula>0.009</formula>
      <formula>-0.009</formula>
    </cfRule>
  </conditionalFormatting>
  <conditionalFormatting sqref="F76">
    <cfRule type="cellIs" dxfId="44" priority="8" stopIfTrue="1" operator="between">
      <formula>0.009</formula>
      <formula>-0.009</formula>
    </cfRule>
  </conditionalFormatting>
  <conditionalFormatting sqref="F71 F74">
    <cfRule type="cellIs" dxfId="43" priority="7" stopIfTrue="1" operator="between">
      <formula>0.009</formula>
      <formula>-0.009</formula>
    </cfRule>
  </conditionalFormatting>
  <conditionalFormatting sqref="F78">
    <cfRule type="cellIs" dxfId="42" priority="5" stopIfTrue="1" operator="between">
      <formula>0.009</formula>
      <formula>-0.009</formula>
    </cfRule>
  </conditionalFormatting>
  <conditionalFormatting sqref="F87:F94">
    <cfRule type="cellIs" dxfId="41" priority="4" stopIfTrue="1" operator="between">
      <formula>0.009</formula>
      <formula>-0.009</formula>
    </cfRule>
  </conditionalFormatting>
  <conditionalFormatting sqref="F115">
    <cfRule type="cellIs" dxfId="40" priority="2" stopIfTrue="1" operator="between">
      <formula>0.009</formula>
      <formula>-0.009</formula>
    </cfRule>
  </conditionalFormatting>
  <conditionalFormatting sqref="H5:H33 H37:H47">
    <cfRule type="cellIs" dxfId="39" priority="1" stopIfTrue="1" operator="between">
      <formula>0.009</formula>
      <formula>-0.009</formula>
    </cfRule>
  </conditionalFormatting>
  <hyperlinks>
    <hyperlink ref="A68" r:id="rId1" xr:uid="{00000000-0004-0000-1E00-000000000000}"/>
    <hyperlink ref="A73" r:id="rId2" xr:uid="{00000000-0004-0000-1E00-000001000000}"/>
    <hyperlink ref="A78" r:id="rId3" xr:uid="{00000000-0004-0000-1E00-000002000000}"/>
    <hyperlink ref="A112" r:id="rId4" xr:uid="{00000000-0004-0000-1E00-000003000000}"/>
    <hyperlink ref="A115" r:id="rId5" xr:uid="{00000000-0004-0000-1E00-000004000000}"/>
  </hyperlinks>
  <pageMargins left="0.7" right="0.7" top="0.75" bottom="0.75" header="0.3" footer="0.3"/>
  <pageSetup paperSize="9" orientation="portrait" r:id="rId6"/>
  <headerFooter>
    <oddFooter>&amp;R&amp;1#&amp;"Calibri"&amp;10&amp;KFF0000|PUBLIC|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63"/>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6" t="s">
        <v>1372</v>
      </c>
      <c r="B1" s="77"/>
      <c r="C1" s="77"/>
      <c r="D1" s="77"/>
      <c r="E1" s="77"/>
      <c r="F1" s="77"/>
      <c r="G1" s="77"/>
      <c r="H1" s="77"/>
    </row>
    <row r="2" spans="1:8" s="1" customFormat="1" ht="12" x14ac:dyDescent="0.25">
      <c r="A2" s="57" t="s">
        <v>1158</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45</v>
      </c>
      <c r="D4" s="16" t="s">
        <v>1</v>
      </c>
      <c r="E4" s="15" t="s">
        <v>3</v>
      </c>
      <c r="F4" s="15" t="s">
        <v>4</v>
      </c>
      <c r="G4" s="62" t="s">
        <v>6</v>
      </c>
      <c r="H4" s="15" t="s">
        <v>1307</v>
      </c>
    </row>
    <row r="5" spans="1:8" x14ac:dyDescent="0.2">
      <c r="A5" s="21" t="s">
        <v>35</v>
      </c>
      <c r="B5" s="22"/>
      <c r="C5" s="22"/>
      <c r="D5" s="23"/>
      <c r="E5" s="24"/>
      <c r="F5" s="25"/>
      <c r="G5" s="63"/>
      <c r="H5" s="25"/>
    </row>
    <row r="6" spans="1:8" x14ac:dyDescent="0.2">
      <c r="A6" s="26" t="s">
        <v>36</v>
      </c>
      <c r="B6" s="27"/>
      <c r="C6" s="27"/>
      <c r="D6" s="28"/>
      <c r="E6" s="29"/>
      <c r="F6" s="30"/>
      <c r="G6" s="64"/>
      <c r="H6" s="30"/>
    </row>
    <row r="7" spans="1:8" x14ac:dyDescent="0.2">
      <c r="A7" s="27" t="s">
        <v>947</v>
      </c>
      <c r="B7" s="27" t="s">
        <v>948</v>
      </c>
      <c r="C7" s="27" t="s">
        <v>949</v>
      </c>
      <c r="D7" s="31">
        <v>3898</v>
      </c>
      <c r="E7" s="29">
        <v>40757.487999999998</v>
      </c>
      <c r="F7" s="30">
        <v>15.8480618075598</v>
      </c>
      <c r="G7" s="64">
        <v>8.8552999999999997</v>
      </c>
      <c r="H7" s="30"/>
    </row>
    <row r="8" spans="1:8" x14ac:dyDescent="0.2">
      <c r="A8" s="27" t="s">
        <v>1321</v>
      </c>
      <c r="B8" s="27" t="s">
        <v>1322</v>
      </c>
      <c r="C8" s="27" t="s">
        <v>1163</v>
      </c>
      <c r="D8" s="31">
        <v>10140</v>
      </c>
      <c r="E8" s="29">
        <v>22081.878000000001</v>
      </c>
      <c r="F8" s="30">
        <v>8.5862741926341002</v>
      </c>
      <c r="G8" s="64">
        <v>8.3582000000000001</v>
      </c>
      <c r="H8" s="30"/>
    </row>
    <row r="9" spans="1:8" x14ac:dyDescent="0.2">
      <c r="A9" s="27" t="s">
        <v>1164</v>
      </c>
      <c r="B9" s="27" t="s">
        <v>1165</v>
      </c>
      <c r="C9" s="27" t="s">
        <v>1163</v>
      </c>
      <c r="D9" s="31">
        <v>5580</v>
      </c>
      <c r="E9" s="29">
        <v>12173.060160000001</v>
      </c>
      <c r="F9" s="30">
        <v>4.7333488708338303</v>
      </c>
      <c r="G9" s="64">
        <v>8.6237999999999992</v>
      </c>
      <c r="H9" s="30"/>
    </row>
    <row r="10" spans="1:8" x14ac:dyDescent="0.2">
      <c r="A10" s="27" t="s">
        <v>1252</v>
      </c>
      <c r="B10" s="27" t="s">
        <v>1253</v>
      </c>
      <c r="C10" s="27" t="s">
        <v>949</v>
      </c>
      <c r="D10" s="31">
        <v>1000</v>
      </c>
      <c r="E10" s="29">
        <v>10329.620000000001</v>
      </c>
      <c r="F10" s="30">
        <v>4.0165492095245297</v>
      </c>
      <c r="G10" s="64">
        <v>8.6555</v>
      </c>
      <c r="H10" s="30"/>
    </row>
    <row r="11" spans="1:8" x14ac:dyDescent="0.2">
      <c r="A11" s="27" t="s">
        <v>1365</v>
      </c>
      <c r="B11" s="27" t="s">
        <v>1366</v>
      </c>
      <c r="C11" s="27" t="s">
        <v>37</v>
      </c>
      <c r="D11" s="31">
        <v>850</v>
      </c>
      <c r="E11" s="29">
        <v>8567.0395000000008</v>
      </c>
      <c r="F11" s="30">
        <v>3.3311908600403899</v>
      </c>
      <c r="G11" s="64">
        <v>8.8930000000000007</v>
      </c>
      <c r="H11" s="30"/>
    </row>
    <row r="12" spans="1:8" x14ac:dyDescent="0.2">
      <c r="A12" s="27" t="s">
        <v>1373</v>
      </c>
      <c r="B12" s="27" t="s">
        <v>1374</v>
      </c>
      <c r="C12" s="27" t="s">
        <v>1258</v>
      </c>
      <c r="D12" s="31">
        <v>650</v>
      </c>
      <c r="E12" s="29">
        <v>6552.9035000000003</v>
      </c>
      <c r="F12" s="30">
        <v>2.5480181626250999</v>
      </c>
      <c r="G12" s="64">
        <v>8.125</v>
      </c>
      <c r="H12" s="30"/>
    </row>
    <row r="13" spans="1:8" x14ac:dyDescent="0.2">
      <c r="A13" s="27" t="s">
        <v>1161</v>
      </c>
      <c r="B13" s="27" t="s">
        <v>1162</v>
      </c>
      <c r="C13" s="27" t="s">
        <v>1163</v>
      </c>
      <c r="D13" s="31">
        <v>606</v>
      </c>
      <c r="E13" s="29">
        <v>6216.17832</v>
      </c>
      <c r="F13" s="30">
        <v>2.4170866031334599</v>
      </c>
      <c r="G13" s="64">
        <v>8.3522999999999996</v>
      </c>
      <c r="H13" s="30"/>
    </row>
    <row r="14" spans="1:8" x14ac:dyDescent="0.2">
      <c r="A14" s="27" t="s">
        <v>1182</v>
      </c>
      <c r="B14" s="27" t="s">
        <v>1183</v>
      </c>
      <c r="C14" s="27" t="s">
        <v>1163</v>
      </c>
      <c r="D14" s="31">
        <v>550</v>
      </c>
      <c r="E14" s="29">
        <v>5599.6655000000001</v>
      </c>
      <c r="F14" s="30">
        <v>2.1773629656876801</v>
      </c>
      <c r="G14" s="64">
        <v>8.2423999999999999</v>
      </c>
      <c r="H14" s="30"/>
    </row>
    <row r="15" spans="1:8" x14ac:dyDescent="0.2">
      <c r="A15" s="27" t="s">
        <v>1174</v>
      </c>
      <c r="B15" s="27" t="s">
        <v>1175</v>
      </c>
      <c r="C15" s="27" t="s">
        <v>37</v>
      </c>
      <c r="D15" s="31">
        <v>550</v>
      </c>
      <c r="E15" s="29">
        <v>5584.3644999999997</v>
      </c>
      <c r="F15" s="30">
        <v>2.1714133548157499</v>
      </c>
      <c r="G15" s="64">
        <v>8.8163</v>
      </c>
      <c r="H15" s="30"/>
    </row>
    <row r="16" spans="1:8" x14ac:dyDescent="0.2">
      <c r="A16" s="27" t="s">
        <v>1166</v>
      </c>
      <c r="B16" s="27" t="s">
        <v>1167</v>
      </c>
      <c r="C16" s="27" t="s">
        <v>1168</v>
      </c>
      <c r="D16" s="31">
        <v>550</v>
      </c>
      <c r="E16" s="29">
        <v>5445.6324999999997</v>
      </c>
      <c r="F16" s="30">
        <v>2.1174690756519698</v>
      </c>
      <c r="G16" s="64">
        <v>18.051600000000001</v>
      </c>
      <c r="H16" s="30"/>
    </row>
    <row r="17" spans="1:8" x14ac:dyDescent="0.2">
      <c r="A17" s="27" t="s">
        <v>1375</v>
      </c>
      <c r="B17" s="27" t="s">
        <v>1376</v>
      </c>
      <c r="C17" s="27" t="s">
        <v>1178</v>
      </c>
      <c r="D17" s="31">
        <v>5000</v>
      </c>
      <c r="E17" s="29">
        <v>4915.2550000000001</v>
      </c>
      <c r="F17" s="30">
        <v>1.9112381273329999</v>
      </c>
      <c r="G17" s="64">
        <v>11.4535</v>
      </c>
      <c r="H17" s="30"/>
    </row>
    <row r="18" spans="1:8" x14ac:dyDescent="0.2">
      <c r="A18" s="27" t="s">
        <v>1176</v>
      </c>
      <c r="B18" s="27" t="s">
        <v>1177</v>
      </c>
      <c r="C18" s="27" t="s">
        <v>1178</v>
      </c>
      <c r="D18" s="31">
        <v>550</v>
      </c>
      <c r="E18" s="29">
        <v>4866.2955000000002</v>
      </c>
      <c r="F18" s="30">
        <v>1.89220081124357</v>
      </c>
      <c r="G18" s="64">
        <v>20.702999999999999</v>
      </c>
      <c r="H18" s="30"/>
    </row>
    <row r="19" spans="1:8" x14ac:dyDescent="0.2">
      <c r="A19" s="27" t="s">
        <v>1362</v>
      </c>
      <c r="B19" s="27" t="s">
        <v>1363</v>
      </c>
      <c r="C19" s="27" t="s">
        <v>1364</v>
      </c>
      <c r="D19" s="31">
        <v>350</v>
      </c>
      <c r="E19" s="29">
        <v>4489.527</v>
      </c>
      <c r="F19" s="30">
        <v>1.74569888563074</v>
      </c>
      <c r="G19" s="64">
        <v>12.174300000000001</v>
      </c>
      <c r="H19" s="30"/>
    </row>
    <row r="20" spans="1:8" x14ac:dyDescent="0.2">
      <c r="A20" s="27" t="s">
        <v>1186</v>
      </c>
      <c r="B20" s="27" t="s">
        <v>1177</v>
      </c>
      <c r="C20" s="27" t="s">
        <v>1178</v>
      </c>
      <c r="D20" s="31">
        <v>380</v>
      </c>
      <c r="E20" s="29">
        <v>3360.5718000000002</v>
      </c>
      <c r="F20" s="30">
        <v>1.30671815679961</v>
      </c>
      <c r="G20" s="64">
        <v>20.752199999999998</v>
      </c>
      <c r="H20" s="30"/>
    </row>
    <row r="21" spans="1:8" x14ac:dyDescent="0.2">
      <c r="A21" s="27" t="s">
        <v>1195</v>
      </c>
      <c r="B21" s="27" t="s">
        <v>1196</v>
      </c>
      <c r="C21" s="27" t="s">
        <v>1181</v>
      </c>
      <c r="D21" s="31">
        <v>261</v>
      </c>
      <c r="E21" s="29">
        <v>2974.3956720000001</v>
      </c>
      <c r="F21" s="30">
        <v>1.15655818754076</v>
      </c>
      <c r="G21" s="64">
        <v>11.375</v>
      </c>
      <c r="H21" s="30"/>
    </row>
    <row r="22" spans="1:8" x14ac:dyDescent="0.2">
      <c r="A22" s="27" t="s">
        <v>1316</v>
      </c>
      <c r="B22" s="27" t="s">
        <v>1317</v>
      </c>
      <c r="C22" s="27" t="s">
        <v>1163</v>
      </c>
      <c r="D22" s="31">
        <v>279</v>
      </c>
      <c r="E22" s="29">
        <v>2892.6106199999999</v>
      </c>
      <c r="F22" s="30">
        <v>1.12475704810276</v>
      </c>
      <c r="G22" s="64">
        <v>9.4297000000000004</v>
      </c>
      <c r="H22" s="30"/>
    </row>
    <row r="23" spans="1:8" x14ac:dyDescent="0.2">
      <c r="A23" s="27" t="s">
        <v>1254</v>
      </c>
      <c r="B23" s="27" t="s">
        <v>1255</v>
      </c>
      <c r="C23" s="27" t="s">
        <v>1013</v>
      </c>
      <c r="D23" s="31">
        <v>270</v>
      </c>
      <c r="E23" s="29">
        <v>2728.998</v>
      </c>
      <c r="F23" s="30">
        <v>1.0611382373886</v>
      </c>
      <c r="G23" s="64">
        <v>6.1999000000000004</v>
      </c>
      <c r="H23" s="30"/>
    </row>
    <row r="24" spans="1:8" x14ac:dyDescent="0.2">
      <c r="A24" s="27" t="s">
        <v>1191</v>
      </c>
      <c r="B24" s="27" t="s">
        <v>1192</v>
      </c>
      <c r="C24" s="27" t="s">
        <v>1171</v>
      </c>
      <c r="D24" s="31">
        <v>334</v>
      </c>
      <c r="E24" s="29">
        <v>2701.8863200000001</v>
      </c>
      <c r="F24" s="30">
        <v>1.0505961848375001</v>
      </c>
      <c r="G24" s="64">
        <v>8.6</v>
      </c>
      <c r="H24" s="30"/>
    </row>
    <row r="25" spans="1:8" x14ac:dyDescent="0.2">
      <c r="A25" s="27" t="s">
        <v>1187</v>
      </c>
      <c r="B25" s="27" t="s">
        <v>1188</v>
      </c>
      <c r="C25" s="27" t="s">
        <v>37</v>
      </c>
      <c r="D25" s="31">
        <v>250</v>
      </c>
      <c r="E25" s="29">
        <v>2693.3449999999998</v>
      </c>
      <c r="F25" s="30">
        <v>1.04727499469747</v>
      </c>
      <c r="G25" s="64">
        <v>8.8930000000000007</v>
      </c>
      <c r="H25" s="30"/>
    </row>
    <row r="26" spans="1:8" x14ac:dyDescent="0.2">
      <c r="A26" s="27" t="s">
        <v>1189</v>
      </c>
      <c r="B26" s="27" t="s">
        <v>1190</v>
      </c>
      <c r="C26" s="27" t="s">
        <v>1163</v>
      </c>
      <c r="D26" s="31">
        <v>351</v>
      </c>
      <c r="E26" s="29">
        <v>2665.6142180000002</v>
      </c>
      <c r="F26" s="30">
        <v>1.0364922117372399</v>
      </c>
      <c r="G26" s="64">
        <v>7.6024000000000003</v>
      </c>
      <c r="H26" s="30"/>
    </row>
    <row r="27" spans="1:8" x14ac:dyDescent="0.2">
      <c r="A27" s="27" t="s">
        <v>1256</v>
      </c>
      <c r="B27" s="27" t="s">
        <v>1257</v>
      </c>
      <c r="C27" s="27" t="s">
        <v>1258</v>
      </c>
      <c r="D27" s="31">
        <v>260</v>
      </c>
      <c r="E27" s="29">
        <v>2635.8904000000002</v>
      </c>
      <c r="F27" s="30">
        <v>1.0249344605622801</v>
      </c>
      <c r="G27" s="64">
        <v>9.65</v>
      </c>
      <c r="H27" s="30"/>
    </row>
    <row r="28" spans="1:8" x14ac:dyDescent="0.2">
      <c r="A28" s="27" t="s">
        <v>1261</v>
      </c>
      <c r="B28" s="27" t="s">
        <v>1262</v>
      </c>
      <c r="C28" s="27" t="s">
        <v>1163</v>
      </c>
      <c r="D28" s="31">
        <v>176</v>
      </c>
      <c r="E28" s="29">
        <v>1816.8462400000001</v>
      </c>
      <c r="F28" s="30">
        <v>0.70645893354253197</v>
      </c>
      <c r="G28" s="64">
        <v>8.8923000000000005</v>
      </c>
      <c r="H28" s="30"/>
    </row>
    <row r="29" spans="1:8" x14ac:dyDescent="0.2">
      <c r="A29" s="27" t="s">
        <v>1263</v>
      </c>
      <c r="B29" s="27" t="s">
        <v>1264</v>
      </c>
      <c r="C29" s="27" t="s">
        <v>1163</v>
      </c>
      <c r="D29" s="31">
        <v>176</v>
      </c>
      <c r="E29" s="29">
        <v>1809.3979200000001</v>
      </c>
      <c r="F29" s="30">
        <v>0.70356274338178204</v>
      </c>
      <c r="G29" s="64">
        <v>9.4824000000000002</v>
      </c>
      <c r="H29" s="30"/>
    </row>
    <row r="30" spans="1:8" x14ac:dyDescent="0.2">
      <c r="A30" s="27" t="s">
        <v>1259</v>
      </c>
      <c r="B30" s="27" t="s">
        <v>1260</v>
      </c>
      <c r="C30" s="27" t="s">
        <v>1163</v>
      </c>
      <c r="D30" s="31">
        <v>350</v>
      </c>
      <c r="E30" s="29">
        <v>1765.0989999999999</v>
      </c>
      <c r="F30" s="30">
        <v>0.68633763809148196</v>
      </c>
      <c r="G30" s="64">
        <v>7.3823999999999996</v>
      </c>
      <c r="H30" s="30"/>
    </row>
    <row r="31" spans="1:8" x14ac:dyDescent="0.2">
      <c r="A31" s="27" t="s">
        <v>1193</v>
      </c>
      <c r="B31" s="27" t="s">
        <v>1194</v>
      </c>
      <c r="C31" s="27" t="s">
        <v>37</v>
      </c>
      <c r="D31" s="31">
        <v>150</v>
      </c>
      <c r="E31" s="29">
        <v>1543.011</v>
      </c>
      <c r="F31" s="30">
        <v>0.59998137514619598</v>
      </c>
      <c r="G31" s="64">
        <v>7.8223000000000003</v>
      </c>
      <c r="H31" s="30"/>
    </row>
    <row r="32" spans="1:8" x14ac:dyDescent="0.2">
      <c r="A32" s="27" t="s">
        <v>1377</v>
      </c>
      <c r="B32" s="27" t="s">
        <v>1378</v>
      </c>
      <c r="C32" s="27" t="s">
        <v>1258</v>
      </c>
      <c r="D32" s="31">
        <v>150</v>
      </c>
      <c r="E32" s="29">
        <v>1520.7059999999999</v>
      </c>
      <c r="F32" s="30">
        <v>0.59130834263208198</v>
      </c>
      <c r="G32" s="64">
        <v>9.65</v>
      </c>
      <c r="H32" s="30"/>
    </row>
    <row r="33" spans="1:9" x14ac:dyDescent="0.2">
      <c r="A33" s="27" t="s">
        <v>1169</v>
      </c>
      <c r="B33" s="27" t="s">
        <v>1170</v>
      </c>
      <c r="C33" s="27" t="s">
        <v>1171</v>
      </c>
      <c r="D33" s="31">
        <v>89</v>
      </c>
      <c r="E33" s="29">
        <v>830.56223999999997</v>
      </c>
      <c r="F33" s="30">
        <v>0.32295419468798697</v>
      </c>
      <c r="G33" s="64">
        <v>11.148899999999999</v>
      </c>
      <c r="H33" s="30"/>
    </row>
    <row r="34" spans="1:9" x14ac:dyDescent="0.2">
      <c r="A34" s="27" t="s">
        <v>1086</v>
      </c>
      <c r="B34" s="27" t="s">
        <v>1087</v>
      </c>
      <c r="C34" s="27" t="s">
        <v>927</v>
      </c>
      <c r="D34" s="31">
        <v>74</v>
      </c>
      <c r="E34" s="29">
        <v>752.22036000000003</v>
      </c>
      <c r="F34" s="30">
        <v>0.29249189150677901</v>
      </c>
      <c r="G34" s="64">
        <v>4.0650000000000004</v>
      </c>
      <c r="H34" s="30"/>
    </row>
    <row r="35" spans="1:9" x14ac:dyDescent="0.2">
      <c r="A35" s="27" t="s">
        <v>1197</v>
      </c>
      <c r="B35" s="27" t="s">
        <v>1198</v>
      </c>
      <c r="C35" s="27" t="s">
        <v>1171</v>
      </c>
      <c r="D35" s="31">
        <v>40</v>
      </c>
      <c r="E35" s="29">
        <v>402.35199999999998</v>
      </c>
      <c r="F35" s="30">
        <v>0.15644976364576901</v>
      </c>
      <c r="G35" s="64">
        <v>4.6647999999999996</v>
      </c>
      <c r="H35" s="30"/>
    </row>
    <row r="36" spans="1:9" x14ac:dyDescent="0.2">
      <c r="A36" s="27" t="s">
        <v>1356</v>
      </c>
      <c r="B36" s="27" t="s">
        <v>1357</v>
      </c>
      <c r="C36" s="27" t="s">
        <v>1168</v>
      </c>
      <c r="D36" s="31">
        <v>400</v>
      </c>
      <c r="E36" s="29">
        <v>401.90280000000001</v>
      </c>
      <c r="F36" s="30">
        <v>0.156275097597559</v>
      </c>
      <c r="G36" s="64">
        <v>9.9832999999999998</v>
      </c>
      <c r="H36" s="30">
        <v>9.7523366744499995</v>
      </c>
    </row>
    <row r="37" spans="1:9" x14ac:dyDescent="0.2">
      <c r="A37" s="26" t="s">
        <v>39</v>
      </c>
      <c r="B37" s="26"/>
      <c r="C37" s="26"/>
      <c r="D37" s="32"/>
      <c r="E37" s="33">
        <f>SUM(E6:E36)</f>
        <v>171074.31707000005</v>
      </c>
      <c r="F37" s="34">
        <f>SUM(F6:F36)</f>
        <v>66.52020238861229</v>
      </c>
      <c r="G37" s="65"/>
      <c r="H37" s="34"/>
      <c r="I37" s="18"/>
    </row>
    <row r="38" spans="1:9" x14ac:dyDescent="0.2">
      <c r="A38" s="27"/>
      <c r="B38" s="27"/>
      <c r="C38" s="27"/>
      <c r="D38" s="28"/>
      <c r="E38" s="29"/>
      <c r="F38" s="30"/>
      <c r="G38" s="64"/>
      <c r="H38" s="30"/>
    </row>
    <row r="39" spans="1:9" x14ac:dyDescent="0.2">
      <c r="A39" s="26" t="s">
        <v>1080</v>
      </c>
      <c r="B39" s="27"/>
      <c r="C39" s="27"/>
      <c r="D39" s="28"/>
      <c r="E39" s="29"/>
      <c r="F39" s="30"/>
      <c r="G39" s="64"/>
      <c r="H39" s="30"/>
    </row>
    <row r="40" spans="1:9" x14ac:dyDescent="0.2">
      <c r="A40" s="27" t="s">
        <v>1212</v>
      </c>
      <c r="B40" s="27" t="s">
        <v>1213</v>
      </c>
      <c r="C40" s="27" t="s">
        <v>1201</v>
      </c>
      <c r="D40" s="31">
        <v>230</v>
      </c>
      <c r="E40" s="29">
        <v>22681.751530000001</v>
      </c>
      <c r="F40" s="30">
        <v>8.8195278411454794</v>
      </c>
      <c r="G40" s="64">
        <v>8.2449999999999992</v>
      </c>
      <c r="H40" s="30"/>
    </row>
    <row r="41" spans="1:9" x14ac:dyDescent="0.2">
      <c r="A41" s="27" t="s">
        <v>1202</v>
      </c>
      <c r="B41" s="27" t="s">
        <v>1203</v>
      </c>
      <c r="C41" s="27" t="s">
        <v>1204</v>
      </c>
      <c r="D41" s="31">
        <v>580</v>
      </c>
      <c r="E41" s="29">
        <v>5177.6299879999997</v>
      </c>
      <c r="F41" s="30">
        <v>2.0132595037873502</v>
      </c>
      <c r="G41" s="64">
        <v>11.4674</v>
      </c>
      <c r="H41" s="30"/>
    </row>
    <row r="42" spans="1:9" x14ac:dyDescent="0.2">
      <c r="A42" s="27" t="s">
        <v>1207</v>
      </c>
      <c r="B42" s="27" t="s">
        <v>1208</v>
      </c>
      <c r="C42" s="27" t="s">
        <v>1209</v>
      </c>
      <c r="D42" s="31">
        <v>200</v>
      </c>
      <c r="E42" s="29">
        <v>1900.576</v>
      </c>
      <c r="F42" s="30">
        <v>0.739016249430404</v>
      </c>
      <c r="G42" s="64">
        <v>11.965</v>
      </c>
      <c r="H42" s="30"/>
    </row>
    <row r="43" spans="1:9" x14ac:dyDescent="0.2">
      <c r="A43" s="27" t="s">
        <v>1199</v>
      </c>
      <c r="B43" s="27" t="s">
        <v>1200</v>
      </c>
      <c r="C43" s="27" t="s">
        <v>1201</v>
      </c>
      <c r="D43" s="31">
        <v>110</v>
      </c>
      <c r="E43" s="29">
        <v>1141.2620999999999</v>
      </c>
      <c r="F43" s="30">
        <v>0.443766119723214</v>
      </c>
      <c r="G43" s="64">
        <v>7.5046999999999997</v>
      </c>
      <c r="H43" s="30"/>
    </row>
    <row r="44" spans="1:9" x14ac:dyDescent="0.2">
      <c r="A44" s="27" t="s">
        <v>1214</v>
      </c>
      <c r="B44" s="27" t="s">
        <v>1215</v>
      </c>
      <c r="C44" s="27" t="s">
        <v>1204</v>
      </c>
      <c r="D44" s="31">
        <v>130</v>
      </c>
      <c r="E44" s="29">
        <v>1135.627802</v>
      </c>
      <c r="F44" s="30">
        <v>0.44157529032405601</v>
      </c>
      <c r="G44" s="64">
        <v>11.4674</v>
      </c>
      <c r="H44" s="30"/>
    </row>
    <row r="45" spans="1:9" x14ac:dyDescent="0.2">
      <c r="A45" s="27" t="s">
        <v>1210</v>
      </c>
      <c r="B45" s="27" t="s">
        <v>1211</v>
      </c>
      <c r="C45" s="27" t="s">
        <v>1201</v>
      </c>
      <c r="D45" s="31">
        <v>50</v>
      </c>
      <c r="E45" s="29">
        <v>518.44050000000004</v>
      </c>
      <c r="F45" s="30">
        <v>0.20158938861841</v>
      </c>
      <c r="G45" s="64">
        <v>7.3144999999999998</v>
      </c>
      <c r="H45" s="30"/>
    </row>
    <row r="46" spans="1:9" x14ac:dyDescent="0.2">
      <c r="A46" s="27" t="s">
        <v>1379</v>
      </c>
      <c r="B46" s="27" t="s">
        <v>1380</v>
      </c>
      <c r="C46" s="27" t="s">
        <v>1218</v>
      </c>
      <c r="D46" s="31">
        <v>750</v>
      </c>
      <c r="E46" s="29">
        <v>0</v>
      </c>
      <c r="F46" s="29">
        <v>0</v>
      </c>
      <c r="G46" s="64">
        <v>0</v>
      </c>
      <c r="H46" s="29"/>
    </row>
    <row r="47" spans="1:9" x14ac:dyDescent="0.2">
      <c r="A47" s="27" t="s">
        <v>1339</v>
      </c>
      <c r="B47" s="27" t="s">
        <v>1340</v>
      </c>
      <c r="C47" s="27" t="s">
        <v>1218</v>
      </c>
      <c r="D47" s="31">
        <v>150</v>
      </c>
      <c r="E47" s="29">
        <v>0</v>
      </c>
      <c r="F47" s="29">
        <v>0</v>
      </c>
      <c r="G47" s="64">
        <v>0</v>
      </c>
      <c r="H47" s="29"/>
    </row>
    <row r="48" spans="1:9" x14ac:dyDescent="0.2">
      <c r="A48" s="26" t="s">
        <v>39</v>
      </c>
      <c r="B48" s="26"/>
      <c r="C48" s="26"/>
      <c r="D48" s="32"/>
      <c r="E48" s="33">
        <f>SUM(E39:E47)</f>
        <v>32555.287920000002</v>
      </c>
      <c r="F48" s="34">
        <f>SUM(F39:F47)</f>
        <v>12.658734393028915</v>
      </c>
      <c r="G48" s="65"/>
      <c r="H48" s="34"/>
      <c r="I48" s="18"/>
    </row>
    <row r="49" spans="1:9" x14ac:dyDescent="0.2">
      <c r="A49" s="27"/>
      <c r="B49" s="27"/>
      <c r="C49" s="27"/>
      <c r="D49" s="28"/>
      <c r="E49" s="29"/>
      <c r="F49" s="30"/>
      <c r="G49" s="64"/>
      <c r="H49" s="30"/>
    </row>
    <row r="50" spans="1:9" x14ac:dyDescent="0.2">
      <c r="A50" s="26" t="s">
        <v>40</v>
      </c>
      <c r="B50" s="27"/>
      <c r="C50" s="27"/>
      <c r="D50" s="28"/>
      <c r="E50" s="29"/>
      <c r="F50" s="30"/>
      <c r="G50" s="64"/>
      <c r="H50" s="30"/>
    </row>
    <row r="51" spans="1:9" x14ac:dyDescent="0.2">
      <c r="A51" s="27" t="s">
        <v>1223</v>
      </c>
      <c r="B51" s="27" t="s">
        <v>1224</v>
      </c>
      <c r="C51" s="27" t="s">
        <v>41</v>
      </c>
      <c r="D51" s="31">
        <v>1329914.993</v>
      </c>
      <c r="E51" s="29">
        <v>44689.678769999999</v>
      </c>
      <c r="F51" s="30">
        <v>17.377047165098901</v>
      </c>
      <c r="G51" s="64">
        <v>3.2094999999999998</v>
      </c>
      <c r="H51" s="30"/>
    </row>
    <row r="52" spans="1:9" x14ac:dyDescent="0.2">
      <c r="A52" s="26" t="s">
        <v>39</v>
      </c>
      <c r="B52" s="26"/>
      <c r="C52" s="26"/>
      <c r="D52" s="32"/>
      <c r="E52" s="33">
        <f>SUM(E51:E51)</f>
        <v>44689.678769999999</v>
      </c>
      <c r="F52" s="34">
        <f>SUM(F51:F51)</f>
        <v>17.377047165098901</v>
      </c>
      <c r="G52" s="65"/>
      <c r="H52" s="34"/>
      <c r="I52" s="18"/>
    </row>
    <row r="53" spans="1:9" x14ac:dyDescent="0.2">
      <c r="A53" s="27"/>
      <c r="B53" s="27"/>
      <c r="C53" s="27"/>
      <c r="D53" s="28"/>
      <c r="E53" s="29"/>
      <c r="F53" s="30"/>
      <c r="G53" s="64"/>
      <c r="H53" s="30"/>
    </row>
    <row r="54" spans="1:9" x14ac:dyDescent="0.2">
      <c r="A54" s="26" t="s">
        <v>42</v>
      </c>
      <c r="B54" s="26"/>
      <c r="C54" s="26"/>
      <c r="D54" s="32"/>
      <c r="E54" s="33">
        <f>E37+E48+E52</f>
        <v>248319.28376000005</v>
      </c>
      <c r="F54" s="34">
        <f>F37+F48+F52</f>
        <v>96.555983946740099</v>
      </c>
      <c r="G54" s="65"/>
      <c r="H54" s="34"/>
      <c r="I54" s="18"/>
    </row>
    <row r="55" spans="1:9" x14ac:dyDescent="0.2">
      <c r="A55" s="26"/>
      <c r="B55" s="26"/>
      <c r="C55" s="26"/>
      <c r="D55" s="32"/>
      <c r="E55" s="33"/>
      <c r="F55" s="34"/>
      <c r="G55" s="65"/>
      <c r="H55" s="34"/>
      <c r="I55" s="18"/>
    </row>
    <row r="56" spans="1:9" x14ac:dyDescent="0.2">
      <c r="A56" s="26" t="s">
        <v>44</v>
      </c>
      <c r="B56" s="26"/>
      <c r="C56" s="26"/>
      <c r="D56" s="32"/>
      <c r="E56" s="33">
        <f>E58-(E37+E48+E52)</f>
        <v>8857.1993639999419</v>
      </c>
      <c r="F56" s="34">
        <f>F58-(F37+F48+F52)</f>
        <v>3.4440160532599009</v>
      </c>
      <c r="G56" s="65"/>
      <c r="H56" s="34"/>
      <c r="I56" s="18"/>
    </row>
    <row r="57" spans="1:9" x14ac:dyDescent="0.2">
      <c r="A57" s="26"/>
      <c r="B57" s="26"/>
      <c r="C57" s="26"/>
      <c r="D57" s="32"/>
      <c r="E57" s="33"/>
      <c r="F57" s="34"/>
      <c r="G57" s="65"/>
      <c r="H57" s="34"/>
      <c r="I57" s="18"/>
    </row>
    <row r="58" spans="1:9" x14ac:dyDescent="0.2">
      <c r="A58" s="35" t="s">
        <v>43</v>
      </c>
      <c r="B58" s="35"/>
      <c r="C58" s="35"/>
      <c r="D58" s="36"/>
      <c r="E58" s="37">
        <v>257176.48312399999</v>
      </c>
      <c r="F58" s="38">
        <v>100</v>
      </c>
      <c r="G58" s="66"/>
      <c r="H58" s="38"/>
      <c r="I58" s="18"/>
    </row>
    <row r="59" spans="1:9" x14ac:dyDescent="0.2">
      <c r="H59" s="67"/>
    </row>
    <row r="60" spans="1:9" x14ac:dyDescent="0.2">
      <c r="A60" s="18" t="s">
        <v>46</v>
      </c>
      <c r="H60" s="67"/>
    </row>
    <row r="61" spans="1:9" x14ac:dyDescent="0.2">
      <c r="A61" s="47" t="s">
        <v>1236</v>
      </c>
      <c r="H61" s="67"/>
    </row>
    <row r="62" spans="1:9" x14ac:dyDescent="0.2">
      <c r="A62" s="9" t="s">
        <v>1225</v>
      </c>
      <c r="H62" s="69"/>
    </row>
    <row r="63" spans="1:9" x14ac:dyDescent="0.2">
      <c r="H63" s="69"/>
    </row>
    <row r="64" spans="1:9" x14ac:dyDescent="0.2">
      <c r="A64" s="18" t="s">
        <v>47</v>
      </c>
    </row>
    <row r="65" spans="1:5" x14ac:dyDescent="0.2">
      <c r="A65" s="18" t="s">
        <v>48</v>
      </c>
    </row>
    <row r="66" spans="1:5" x14ac:dyDescent="0.2">
      <c r="A66" s="18" t="s">
        <v>49</v>
      </c>
      <c r="B66" s="18"/>
      <c r="C66" s="39" t="s">
        <v>51</v>
      </c>
      <c r="D66" s="19" t="s">
        <v>50</v>
      </c>
    </row>
    <row r="67" spans="1:5" x14ac:dyDescent="0.2">
      <c r="A67" s="9" t="s">
        <v>79</v>
      </c>
      <c r="C67" s="40">
        <v>19.048300000000001</v>
      </c>
      <c r="D67" s="40">
        <v>21.175000000000001</v>
      </c>
    </row>
    <row r="68" spans="1:5" x14ac:dyDescent="0.2">
      <c r="A68" s="9" t="s">
        <v>85</v>
      </c>
      <c r="C68" s="40">
        <v>10.214700000000001</v>
      </c>
      <c r="D68" s="40">
        <v>11.3552</v>
      </c>
    </row>
    <row r="69" spans="1:5" x14ac:dyDescent="0.2">
      <c r="A69" s="9" t="s">
        <v>82</v>
      </c>
      <c r="C69" s="40">
        <v>20.2456</v>
      </c>
      <c r="D69" s="40">
        <v>22.555800000000001</v>
      </c>
    </row>
    <row r="70" spans="1:5" x14ac:dyDescent="0.2">
      <c r="A70" s="9" t="s">
        <v>86</v>
      </c>
      <c r="C70" s="40">
        <v>11.0953</v>
      </c>
      <c r="D70" s="40">
        <v>12.3614</v>
      </c>
    </row>
    <row r="72" spans="1:5" x14ac:dyDescent="0.2">
      <c r="A72" s="9" t="s">
        <v>52</v>
      </c>
    </row>
    <row r="74" spans="1:5" x14ac:dyDescent="0.2">
      <c r="A74" s="18" t="s">
        <v>53</v>
      </c>
      <c r="D74" s="41" t="s">
        <v>54</v>
      </c>
    </row>
    <row r="76" spans="1:5" x14ac:dyDescent="0.2">
      <c r="A76" s="18" t="s">
        <v>820</v>
      </c>
      <c r="D76" s="42">
        <v>2.3913284372876715</v>
      </c>
      <c r="E76" s="13" t="s">
        <v>55</v>
      </c>
    </row>
    <row r="78" spans="1:5" x14ac:dyDescent="0.2">
      <c r="A78" s="18" t="s">
        <v>56</v>
      </c>
      <c r="D78" s="41" t="s">
        <v>54</v>
      </c>
    </row>
    <row r="79" spans="1:5" x14ac:dyDescent="0.2">
      <c r="A79" s="9" t="s">
        <v>58</v>
      </c>
    </row>
    <row r="80" spans="1:5" x14ac:dyDescent="0.2">
      <c r="A80" s="53" t="s">
        <v>744</v>
      </c>
    </row>
    <row r="82" spans="1:7" ht="28.5" customHeight="1" x14ac:dyDescent="0.2">
      <c r="A82" s="86" t="s">
        <v>1381</v>
      </c>
      <c r="B82" s="86"/>
      <c r="C82" s="86"/>
      <c r="D82" s="86"/>
      <c r="E82" s="86"/>
      <c r="F82" s="86"/>
      <c r="G82" s="86"/>
    </row>
    <row r="84" spans="1:7" ht="39" customHeight="1" x14ac:dyDescent="0.2">
      <c r="A84" s="87" t="s">
        <v>1382</v>
      </c>
      <c r="B84" s="87"/>
      <c r="C84" s="87"/>
      <c r="D84" s="87"/>
      <c r="E84" s="87"/>
      <c r="F84" s="87"/>
      <c r="G84" s="87"/>
    </row>
    <row r="86" spans="1:7" ht="39" customHeight="1" x14ac:dyDescent="0.2">
      <c r="A86" s="87" t="s">
        <v>1383</v>
      </c>
      <c r="B86" s="87"/>
      <c r="C86" s="87"/>
      <c r="D86" s="87"/>
      <c r="E86" s="87"/>
      <c r="F86" s="87"/>
      <c r="G86" s="87"/>
    </row>
    <row r="87" spans="1:7" x14ac:dyDescent="0.2">
      <c r="A87" s="55" t="s">
        <v>1229</v>
      </c>
      <c r="B87" s="59"/>
      <c r="C87" s="59"/>
      <c r="D87" s="59"/>
      <c r="E87" s="59"/>
      <c r="F87" s="59"/>
      <c r="G87" s="59"/>
    </row>
    <row r="89" spans="1:7" ht="29.25" customHeight="1" x14ac:dyDescent="0.2">
      <c r="A89" s="88" t="s">
        <v>1230</v>
      </c>
      <c r="B89" s="88"/>
      <c r="C89" s="88"/>
      <c r="D89" s="88"/>
      <c r="E89" s="88"/>
      <c r="F89" s="88"/>
      <c r="G89" s="88"/>
    </row>
    <row r="91" spans="1:7" ht="14.4" x14ac:dyDescent="0.2">
      <c r="A91" s="80" t="s">
        <v>1384</v>
      </c>
      <c r="B91" s="81"/>
      <c r="C91" s="81"/>
      <c r="D91" s="81"/>
      <c r="E91" s="81"/>
      <c r="F91" s="81"/>
      <c r="G91" s="81"/>
    </row>
    <row r="92" spans="1:7" x14ac:dyDescent="0.2">
      <c r="A92" s="53" t="s">
        <v>57</v>
      </c>
    </row>
    <row r="93" spans="1:7" x14ac:dyDescent="0.2">
      <c r="A93" s="53"/>
    </row>
    <row r="94" spans="1:7" x14ac:dyDescent="0.2">
      <c r="A94" s="18" t="s">
        <v>741</v>
      </c>
    </row>
    <row r="95" spans="1:7" ht="14.4" x14ac:dyDescent="0.3">
      <c r="A95" s="43"/>
    </row>
    <row r="96" spans="1:7" s="1" customFormat="1" ht="13.8" x14ac:dyDescent="0.2">
      <c r="A96" s="76" t="s">
        <v>1385</v>
      </c>
      <c r="B96" s="77"/>
      <c r="C96" s="77"/>
      <c r="D96" s="77"/>
      <c r="E96" s="77"/>
      <c r="F96" s="77"/>
      <c r="G96" s="77"/>
    </row>
    <row r="97" spans="1:9" x14ac:dyDescent="0.2">
      <c r="A97" s="18" t="s">
        <v>7</v>
      </c>
    </row>
    <row r="98" spans="1:9" s="1" customFormat="1" ht="17.399999999999999" customHeight="1" x14ac:dyDescent="0.2">
      <c r="A98" s="8" t="s">
        <v>2</v>
      </c>
      <c r="B98" s="8" t="s">
        <v>0</v>
      </c>
      <c r="C98" s="17" t="s">
        <v>45</v>
      </c>
      <c r="D98" s="16" t="s">
        <v>1</v>
      </c>
      <c r="E98" s="15" t="s">
        <v>3</v>
      </c>
      <c r="F98" s="15" t="s">
        <v>4</v>
      </c>
      <c r="G98" s="15" t="s">
        <v>6</v>
      </c>
    </row>
    <row r="99" spans="1:9" x14ac:dyDescent="0.2">
      <c r="A99" s="21" t="s">
        <v>35</v>
      </c>
      <c r="B99" s="22"/>
      <c r="C99" s="22"/>
      <c r="D99" s="23"/>
      <c r="E99" s="24"/>
      <c r="F99" s="25"/>
      <c r="G99" s="24"/>
    </row>
    <row r="100" spans="1:9" x14ac:dyDescent="0.2">
      <c r="A100" s="26" t="s">
        <v>36</v>
      </c>
      <c r="B100" s="27"/>
      <c r="C100" s="27"/>
      <c r="D100" s="28"/>
      <c r="E100" s="29"/>
      <c r="F100" s="30"/>
      <c r="G100" s="29"/>
    </row>
    <row r="101" spans="1:9" x14ac:dyDescent="0.2">
      <c r="A101" s="27" t="s">
        <v>1233</v>
      </c>
      <c r="B101" s="27" t="s">
        <v>1234</v>
      </c>
      <c r="C101" s="27" t="s">
        <v>1235</v>
      </c>
      <c r="D101" s="31">
        <v>3370</v>
      </c>
      <c r="E101" s="29">
        <v>0</v>
      </c>
      <c r="F101" s="70">
        <v>100</v>
      </c>
      <c r="G101" s="29">
        <v>0</v>
      </c>
    </row>
    <row r="102" spans="1:9" x14ac:dyDescent="0.2">
      <c r="A102" s="26" t="s">
        <v>39</v>
      </c>
      <c r="B102" s="26"/>
      <c r="C102" s="26"/>
      <c r="D102" s="32"/>
      <c r="E102" s="33">
        <f>SUM(E100:E101)</f>
        <v>0</v>
      </c>
      <c r="F102" s="71">
        <f>SUM(F100:F101)</f>
        <v>100</v>
      </c>
      <c r="G102" s="33"/>
      <c r="H102" s="18"/>
      <c r="I102" s="18"/>
    </row>
    <row r="103" spans="1:9" x14ac:dyDescent="0.2">
      <c r="A103" s="27"/>
      <c r="B103" s="27"/>
      <c r="C103" s="27"/>
      <c r="D103" s="28"/>
      <c r="E103" s="29"/>
      <c r="F103" s="72"/>
      <c r="G103" s="29"/>
    </row>
    <row r="104" spans="1:9" x14ac:dyDescent="0.2">
      <c r="A104" s="26" t="s">
        <v>42</v>
      </c>
      <c r="B104" s="26"/>
      <c r="C104" s="26"/>
      <c r="D104" s="32"/>
      <c r="E104" s="33">
        <f>E102</f>
        <v>0</v>
      </c>
      <c r="F104" s="71">
        <f>F102</f>
        <v>100</v>
      </c>
      <c r="G104" s="33"/>
      <c r="H104" s="18"/>
      <c r="I104" s="18"/>
    </row>
    <row r="105" spans="1:9" x14ac:dyDescent="0.2">
      <c r="A105" s="26"/>
      <c r="B105" s="26"/>
      <c r="C105" s="26"/>
      <c r="D105" s="32"/>
      <c r="E105" s="33"/>
      <c r="F105" s="71"/>
      <c r="G105" s="33"/>
      <c r="H105" s="18"/>
      <c r="I105" s="18"/>
    </row>
    <row r="106" spans="1:9" x14ac:dyDescent="0.2">
      <c r="A106" s="26" t="s">
        <v>44</v>
      </c>
      <c r="B106" s="26"/>
      <c r="C106" s="26"/>
      <c r="D106" s="32"/>
      <c r="E106" s="33">
        <f>E108-(E102)</f>
        <v>3.9999999999999998E-7</v>
      </c>
      <c r="F106" s="34">
        <v>0</v>
      </c>
      <c r="G106" s="33"/>
      <c r="H106" s="18"/>
      <c r="I106" s="18"/>
    </row>
    <row r="107" spans="1:9" x14ac:dyDescent="0.2">
      <c r="A107" s="26"/>
      <c r="B107" s="26"/>
      <c r="C107" s="26"/>
      <c r="D107" s="32"/>
      <c r="E107" s="33"/>
      <c r="F107" s="71"/>
      <c r="G107" s="33"/>
      <c r="H107" s="18"/>
      <c r="I107" s="18"/>
    </row>
    <row r="108" spans="1:9" x14ac:dyDescent="0.2">
      <c r="A108" s="35" t="s">
        <v>43</v>
      </c>
      <c r="B108" s="35"/>
      <c r="C108" s="35"/>
      <c r="D108" s="36"/>
      <c r="E108" s="37">
        <v>3.9999999999999998E-7</v>
      </c>
      <c r="F108" s="73">
        <v>100</v>
      </c>
      <c r="G108" s="37"/>
      <c r="H108" s="18"/>
      <c r="I108" s="18"/>
    </row>
    <row r="110" spans="1:9" x14ac:dyDescent="0.2">
      <c r="A110" s="18" t="s">
        <v>46</v>
      </c>
    </row>
    <row r="111" spans="1:9" s="13" customFormat="1" x14ac:dyDescent="0.2">
      <c r="A111" s="47" t="s">
        <v>1236</v>
      </c>
      <c r="B111" s="9"/>
      <c r="C111" s="9"/>
      <c r="D111" s="10"/>
      <c r="F111" s="14"/>
      <c r="H111" s="9"/>
      <c r="I111" s="9"/>
    </row>
    <row r="112" spans="1:9" s="13" customFormat="1" x14ac:dyDescent="0.2">
      <c r="A112" s="18" t="s">
        <v>1237</v>
      </c>
      <c r="B112" s="9"/>
      <c r="C112" s="9"/>
      <c r="D112" s="10"/>
      <c r="F112" s="14"/>
      <c r="H112" s="9"/>
      <c r="I112" s="9"/>
    </row>
    <row r="114" spans="1:9" s="13" customFormat="1" x14ac:dyDescent="0.2">
      <c r="A114" s="18" t="s">
        <v>47</v>
      </c>
      <c r="B114" s="9"/>
      <c r="C114" s="9"/>
      <c r="D114" s="10"/>
      <c r="F114" s="14"/>
      <c r="H114" s="9"/>
      <c r="I114" s="9"/>
    </row>
    <row r="115" spans="1:9" s="13" customFormat="1" x14ac:dyDescent="0.2">
      <c r="A115" s="18" t="s">
        <v>48</v>
      </c>
      <c r="B115" s="9"/>
      <c r="C115" s="9"/>
      <c r="D115" s="10"/>
      <c r="F115" s="14"/>
      <c r="H115" s="9"/>
      <c r="I115" s="9"/>
    </row>
    <row r="116" spans="1:9" s="13" customFormat="1" x14ac:dyDescent="0.2">
      <c r="A116" s="18" t="s">
        <v>49</v>
      </c>
      <c r="B116" s="18"/>
      <c r="C116" s="39" t="s">
        <v>51</v>
      </c>
      <c r="D116" s="19" t="s">
        <v>50</v>
      </c>
      <c r="F116" s="14"/>
      <c r="H116" s="9"/>
      <c r="I116" s="9"/>
    </row>
    <row r="117" spans="1:9" s="13" customFormat="1" x14ac:dyDescent="0.2">
      <c r="A117" s="9" t="s">
        <v>79</v>
      </c>
      <c r="B117" s="9"/>
      <c r="C117" s="40">
        <v>0</v>
      </c>
      <c r="D117" s="40">
        <v>0</v>
      </c>
      <c r="F117" s="14"/>
      <c r="H117" s="9"/>
      <c r="I117" s="9"/>
    </row>
    <row r="118" spans="1:9" s="13" customFormat="1" x14ac:dyDescent="0.2">
      <c r="A118" s="9" t="s">
        <v>85</v>
      </c>
      <c r="B118" s="9"/>
      <c r="C118" s="40">
        <v>0</v>
      </c>
      <c r="D118" s="40">
        <v>0</v>
      </c>
      <c r="F118" s="14"/>
      <c r="H118" s="9"/>
      <c r="I118" s="9"/>
    </row>
    <row r="119" spans="1:9" s="13" customFormat="1" x14ac:dyDescent="0.2">
      <c r="A119" s="9" t="s">
        <v>82</v>
      </c>
      <c r="B119" s="9"/>
      <c r="C119" s="40">
        <v>0</v>
      </c>
      <c r="D119" s="40">
        <v>0</v>
      </c>
      <c r="F119" s="14"/>
      <c r="H119" s="9"/>
      <c r="I119" s="9"/>
    </row>
    <row r="120" spans="1:9" s="13" customFormat="1" x14ac:dyDescent="0.2">
      <c r="A120" s="9" t="s">
        <v>86</v>
      </c>
      <c r="B120" s="9"/>
      <c r="C120" s="40">
        <v>0</v>
      </c>
      <c r="D120" s="40">
        <v>0</v>
      </c>
      <c r="F120" s="14"/>
      <c r="H120" s="9"/>
      <c r="I120" s="9"/>
    </row>
    <row r="122" spans="1:9" s="13" customFormat="1" x14ac:dyDescent="0.2">
      <c r="A122" s="9" t="s">
        <v>52</v>
      </c>
      <c r="B122" s="9"/>
      <c r="C122" s="9"/>
      <c r="D122" s="10"/>
      <c r="F122" s="14"/>
      <c r="H122" s="9"/>
      <c r="I122" s="9"/>
    </row>
    <row r="124" spans="1:9" s="13" customFormat="1" x14ac:dyDescent="0.2">
      <c r="A124" s="18" t="s">
        <v>1387</v>
      </c>
      <c r="B124" s="9"/>
      <c r="C124" s="9"/>
      <c r="D124" s="41" t="s">
        <v>54</v>
      </c>
      <c r="F124" s="14"/>
      <c r="H124" s="9"/>
      <c r="I124" s="9"/>
    </row>
    <row r="125" spans="1:9" s="13" customFormat="1" x14ac:dyDescent="0.2">
      <c r="A125" s="9" t="s">
        <v>58</v>
      </c>
      <c r="B125" s="9"/>
      <c r="C125" s="9"/>
      <c r="D125" s="10"/>
      <c r="F125" s="14"/>
      <c r="H125" s="9"/>
      <c r="I125" s="9"/>
    </row>
    <row r="126" spans="1:9" s="13" customFormat="1" x14ac:dyDescent="0.2">
      <c r="A126" s="53" t="s">
        <v>744</v>
      </c>
      <c r="B126" s="9"/>
      <c r="C126" s="9"/>
      <c r="D126" s="10"/>
      <c r="F126" s="14"/>
      <c r="H126" s="9"/>
      <c r="I126" s="9"/>
    </row>
    <row r="128" spans="1:9" ht="14.4" x14ac:dyDescent="0.2">
      <c r="A128" s="80" t="s">
        <v>1238</v>
      </c>
      <c r="B128" s="81"/>
      <c r="C128" s="81"/>
      <c r="D128" s="81"/>
      <c r="E128" s="81"/>
      <c r="F128" s="81"/>
      <c r="G128" s="81"/>
    </row>
    <row r="129" spans="1:9" x14ac:dyDescent="0.2">
      <c r="A129" s="53" t="s">
        <v>57</v>
      </c>
    </row>
    <row r="131" spans="1:9" s="1" customFormat="1" ht="13.8" x14ac:dyDescent="0.2">
      <c r="A131" s="76" t="s">
        <v>1386</v>
      </c>
      <c r="B131" s="77"/>
      <c r="C131" s="77"/>
      <c r="D131" s="77"/>
      <c r="E131" s="77"/>
      <c r="F131" s="77"/>
      <c r="G131" s="77"/>
    </row>
    <row r="132" spans="1:9" x14ac:dyDescent="0.2">
      <c r="A132" s="18" t="s">
        <v>7</v>
      </c>
    </row>
    <row r="133" spans="1:9" s="1" customFormat="1" ht="17.399999999999999" customHeight="1" x14ac:dyDescent="0.2">
      <c r="A133" s="8" t="s">
        <v>2</v>
      </c>
      <c r="B133" s="8" t="s">
        <v>0</v>
      </c>
      <c r="C133" s="17" t="s">
        <v>45</v>
      </c>
      <c r="D133" s="16" t="s">
        <v>1</v>
      </c>
      <c r="E133" s="15" t="s">
        <v>3</v>
      </c>
      <c r="F133" s="15" t="s">
        <v>4</v>
      </c>
      <c r="G133" s="15" t="s">
        <v>6</v>
      </c>
    </row>
    <row r="134" spans="1:9" x14ac:dyDescent="0.2">
      <c r="A134" s="21" t="s">
        <v>35</v>
      </c>
      <c r="B134" s="22"/>
      <c r="C134" s="22"/>
      <c r="D134" s="23"/>
      <c r="E134" s="24"/>
      <c r="F134" s="25"/>
      <c r="G134" s="24"/>
    </row>
    <row r="135" spans="1:9" x14ac:dyDescent="0.2">
      <c r="A135" s="26" t="s">
        <v>36</v>
      </c>
      <c r="B135" s="27"/>
      <c r="C135" s="27"/>
      <c r="D135" s="28"/>
      <c r="E135" s="29"/>
      <c r="F135" s="30"/>
      <c r="G135" s="29"/>
    </row>
    <row r="136" spans="1:9" ht="20.399999999999999" x14ac:dyDescent="0.2">
      <c r="A136" s="27" t="s">
        <v>1240</v>
      </c>
      <c r="B136" s="27" t="s">
        <v>1241</v>
      </c>
      <c r="C136" s="52" t="s">
        <v>1242</v>
      </c>
      <c r="D136" s="31">
        <v>1695</v>
      </c>
      <c r="E136" s="29">
        <v>0</v>
      </c>
      <c r="F136" s="70">
        <v>100</v>
      </c>
      <c r="G136" s="29">
        <v>0</v>
      </c>
    </row>
    <row r="137" spans="1:9" x14ac:dyDescent="0.2">
      <c r="A137" s="26" t="s">
        <v>39</v>
      </c>
      <c r="B137" s="26"/>
      <c r="C137" s="26"/>
      <c r="D137" s="32"/>
      <c r="E137" s="33">
        <f>SUM(E135:E136)</f>
        <v>0</v>
      </c>
      <c r="F137" s="71">
        <f>SUM(F135:F136)</f>
        <v>100</v>
      </c>
      <c r="G137" s="33"/>
      <c r="H137" s="18"/>
      <c r="I137" s="18"/>
    </row>
    <row r="138" spans="1:9" x14ac:dyDescent="0.2">
      <c r="A138" s="27"/>
      <c r="B138" s="27"/>
      <c r="C138" s="27"/>
      <c r="D138" s="28"/>
      <c r="E138" s="29"/>
      <c r="F138" s="72"/>
      <c r="G138" s="29"/>
    </row>
    <row r="139" spans="1:9" x14ac:dyDescent="0.2">
      <c r="A139" s="26" t="s">
        <v>42</v>
      </c>
      <c r="B139" s="26"/>
      <c r="C139" s="26"/>
      <c r="D139" s="32"/>
      <c r="E139" s="33">
        <f>E137</f>
        <v>0</v>
      </c>
      <c r="F139" s="71">
        <f>F137</f>
        <v>100</v>
      </c>
      <c r="G139" s="33"/>
      <c r="H139" s="18"/>
      <c r="I139" s="18"/>
    </row>
    <row r="140" spans="1:9" x14ac:dyDescent="0.2">
      <c r="A140" s="26"/>
      <c r="B140" s="26"/>
      <c r="C140" s="26"/>
      <c r="D140" s="32"/>
      <c r="E140" s="33"/>
      <c r="F140" s="71"/>
      <c r="G140" s="33"/>
      <c r="H140" s="18"/>
      <c r="I140" s="18"/>
    </row>
    <row r="141" spans="1:9" x14ac:dyDescent="0.2">
      <c r="A141" s="26" t="s">
        <v>44</v>
      </c>
      <c r="B141" s="26"/>
      <c r="C141" s="26"/>
      <c r="D141" s="32"/>
      <c r="E141" s="33">
        <f>E143-(E137)</f>
        <v>3.9999999999999998E-7</v>
      </c>
      <c r="F141" s="34">
        <v>0</v>
      </c>
      <c r="G141" s="33"/>
      <c r="H141" s="18"/>
      <c r="I141" s="18"/>
    </row>
    <row r="142" spans="1:9" x14ac:dyDescent="0.2">
      <c r="A142" s="26"/>
      <c r="B142" s="26"/>
      <c r="C142" s="26"/>
      <c r="D142" s="32"/>
      <c r="E142" s="33"/>
      <c r="F142" s="71"/>
      <c r="G142" s="33"/>
      <c r="H142" s="18"/>
      <c r="I142" s="18"/>
    </row>
    <row r="143" spans="1:9" x14ac:dyDescent="0.2">
      <c r="A143" s="35" t="s">
        <v>43</v>
      </c>
      <c r="B143" s="35"/>
      <c r="C143" s="35"/>
      <c r="D143" s="36"/>
      <c r="E143" s="37">
        <v>3.9999999999999998E-7</v>
      </c>
      <c r="F143" s="73">
        <v>100</v>
      </c>
      <c r="G143" s="37"/>
      <c r="H143" s="18"/>
      <c r="I143" s="18"/>
    </row>
    <row r="145" spans="1:4" x14ac:dyDescent="0.2">
      <c r="A145" s="18" t="s">
        <v>46</v>
      </c>
    </row>
    <row r="146" spans="1:4" x14ac:dyDescent="0.2">
      <c r="A146" s="18" t="s">
        <v>1236</v>
      </c>
    </row>
    <row r="148" spans="1:4" x14ac:dyDescent="0.2">
      <c r="A148" s="18" t="s">
        <v>47</v>
      </c>
    </row>
    <row r="149" spans="1:4" x14ac:dyDescent="0.2">
      <c r="A149" s="18" t="s">
        <v>48</v>
      </c>
    </row>
    <row r="150" spans="1:4" x14ac:dyDescent="0.2">
      <c r="A150" s="18" t="s">
        <v>49</v>
      </c>
      <c r="B150" s="18"/>
      <c r="C150" s="39" t="s">
        <v>51</v>
      </c>
      <c r="D150" s="19" t="s">
        <v>50</v>
      </c>
    </row>
    <row r="151" spans="1:4" x14ac:dyDescent="0.2">
      <c r="A151" s="9" t="s">
        <v>79</v>
      </c>
      <c r="C151" s="40">
        <v>0</v>
      </c>
      <c r="D151" s="40">
        <v>0</v>
      </c>
    </row>
    <row r="152" spans="1:4" x14ac:dyDescent="0.2">
      <c r="A152" s="9" t="s">
        <v>85</v>
      </c>
      <c r="C152" s="40">
        <v>0</v>
      </c>
      <c r="D152" s="40">
        <v>0</v>
      </c>
    </row>
    <row r="153" spans="1:4" x14ac:dyDescent="0.2">
      <c r="A153" s="9" t="s">
        <v>82</v>
      </c>
      <c r="C153" s="40">
        <v>0</v>
      </c>
      <c r="D153" s="40">
        <v>0</v>
      </c>
    </row>
    <row r="154" spans="1:4" x14ac:dyDescent="0.2">
      <c r="A154" s="9" t="s">
        <v>86</v>
      </c>
      <c r="C154" s="40">
        <v>0</v>
      </c>
      <c r="D154" s="40">
        <v>0</v>
      </c>
    </row>
    <row r="156" spans="1:4" x14ac:dyDescent="0.2">
      <c r="A156" s="9" t="s">
        <v>52</v>
      </c>
    </row>
    <row r="158" spans="1:4" x14ac:dyDescent="0.2">
      <c r="A158" s="18" t="s">
        <v>1387</v>
      </c>
      <c r="D158" s="41" t="s">
        <v>54</v>
      </c>
    </row>
    <row r="159" spans="1:4" x14ac:dyDescent="0.2">
      <c r="A159" s="9" t="s">
        <v>58</v>
      </c>
    </row>
    <row r="160" spans="1:4" x14ac:dyDescent="0.2">
      <c r="A160" s="53" t="s">
        <v>744</v>
      </c>
    </row>
    <row r="162" spans="1:7" ht="14.4" x14ac:dyDescent="0.2">
      <c r="A162" s="80" t="s">
        <v>1238</v>
      </c>
      <c r="B162" s="81"/>
      <c r="C162" s="81"/>
      <c r="D162" s="81"/>
      <c r="E162" s="81"/>
      <c r="F162" s="81"/>
      <c r="G162" s="81"/>
    </row>
    <row r="163" spans="1:7" x14ac:dyDescent="0.2">
      <c r="A163" s="53" t="s">
        <v>57</v>
      </c>
    </row>
  </sheetData>
  <mergeCells count="10">
    <mergeCell ref="A96:G96"/>
    <mergeCell ref="A128:G128"/>
    <mergeCell ref="A131:G131"/>
    <mergeCell ref="A162:G162"/>
    <mergeCell ref="A1:H1"/>
    <mergeCell ref="A82:G82"/>
    <mergeCell ref="A84:G84"/>
    <mergeCell ref="A86:G86"/>
    <mergeCell ref="A89:G89"/>
    <mergeCell ref="A91:G91"/>
  </mergeCells>
  <conditionalFormatting sqref="F2:F3 F5:F45 F99:F100 F134:F135 F97 F109:F127 F130 F132 F144:F157 F164:F65546 F48:F81 F93:F95">
    <cfRule type="cellIs" dxfId="38" priority="13" stopIfTrue="1" operator="between">
      <formula>0.009</formula>
      <formula>-0.009</formula>
    </cfRule>
  </conditionalFormatting>
  <conditionalFormatting sqref="F90">
    <cfRule type="cellIs" dxfId="37" priority="12" stopIfTrue="1" operator="between">
      <formula>0.009</formula>
      <formula>-0.009</formula>
    </cfRule>
  </conditionalFormatting>
  <conditionalFormatting sqref="F83 F85 F88">
    <cfRule type="cellIs" dxfId="36" priority="11" stopIfTrue="1" operator="between">
      <formula>0.009</formula>
      <formula>-0.009</formula>
    </cfRule>
  </conditionalFormatting>
  <conditionalFormatting sqref="F92">
    <cfRule type="cellIs" dxfId="35" priority="9" stopIfTrue="1" operator="between">
      <formula>0.009</formula>
      <formula>-0.009</formula>
    </cfRule>
  </conditionalFormatting>
  <conditionalFormatting sqref="F102:F105 F107:F108">
    <cfRule type="cellIs" dxfId="34" priority="8" stopIfTrue="1" operator="between">
      <formula>0.009</formula>
      <formula>-0.009</formula>
    </cfRule>
  </conditionalFormatting>
  <conditionalFormatting sqref="F129">
    <cfRule type="cellIs" dxfId="33" priority="6" stopIfTrue="1" operator="between">
      <formula>0.009</formula>
      <formula>-0.009</formula>
    </cfRule>
  </conditionalFormatting>
  <conditionalFormatting sqref="F137:F140 F142:F143">
    <cfRule type="cellIs" dxfId="32" priority="5" stopIfTrue="1" operator="between">
      <formula>0.009</formula>
      <formula>-0.009</formula>
    </cfRule>
  </conditionalFormatting>
  <conditionalFormatting sqref="F158:F161">
    <cfRule type="cellIs" dxfId="31" priority="4" stopIfTrue="1" operator="between">
      <formula>0.009</formula>
      <formula>-0.009</formula>
    </cfRule>
  </conditionalFormatting>
  <conditionalFormatting sqref="F163">
    <cfRule type="cellIs" dxfId="30" priority="2" stopIfTrue="1" operator="between">
      <formula>0.009</formula>
      <formula>-0.009</formula>
    </cfRule>
  </conditionalFormatting>
  <conditionalFormatting sqref="H5:H45 H48:H58">
    <cfRule type="cellIs" dxfId="29" priority="1" stopIfTrue="1" operator="between">
      <formula>0.009</formula>
      <formula>-0.009</formula>
    </cfRule>
  </conditionalFormatting>
  <hyperlinks>
    <hyperlink ref="A80" r:id="rId1" xr:uid="{00000000-0004-0000-1F00-000000000000}"/>
    <hyperlink ref="A87" r:id="rId2" xr:uid="{00000000-0004-0000-1F00-000001000000}"/>
    <hyperlink ref="A92" r:id="rId3" xr:uid="{00000000-0004-0000-1F00-000002000000}"/>
    <hyperlink ref="A126" r:id="rId4" xr:uid="{00000000-0004-0000-1F00-000003000000}"/>
    <hyperlink ref="A129" r:id="rId5" xr:uid="{00000000-0004-0000-1F00-000004000000}"/>
    <hyperlink ref="A160" r:id="rId6" xr:uid="{00000000-0004-0000-1F00-000005000000}"/>
    <hyperlink ref="A163" r:id="rId7" xr:uid="{00000000-0004-0000-1F00-000006000000}"/>
  </hyperlinks>
  <pageMargins left="0.7" right="0.7" top="0.75" bottom="0.75" header="0.3" footer="0.3"/>
  <pageSetup paperSize="9" orientation="portrait" r:id="rId8"/>
  <headerFooter>
    <oddFooter>&amp;R&amp;1#&amp;"Calibri"&amp;10&amp;KFF0000|PUBLIC|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7"/>
  <sheetViews>
    <sheetView workbookViewId="0">
      <selection sqref="A1:H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5.33203125" style="10" bestFit="1" customWidth="1"/>
    <col min="5" max="5" width="23" style="13" bestFit="1" customWidth="1"/>
    <col min="6" max="6" width="13.5546875" style="14" bestFit="1" customWidth="1"/>
    <col min="7" max="7" width="13.5546875" style="14" customWidth="1"/>
    <col min="8" max="8" width="14.33203125" style="13" customWidth="1"/>
    <col min="9" max="16384" width="9.109375" style="9"/>
  </cols>
  <sheetData>
    <row r="1" spans="1:8" s="1" customFormat="1" ht="13.8" x14ac:dyDescent="0.2">
      <c r="A1" s="76" t="s">
        <v>12</v>
      </c>
      <c r="B1" s="77"/>
      <c r="C1" s="77"/>
      <c r="D1" s="77"/>
      <c r="E1" s="77"/>
      <c r="F1" s="77"/>
      <c r="G1" s="77"/>
      <c r="H1" s="77"/>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40.5" customHeight="1" x14ac:dyDescent="0.2">
      <c r="A4" s="8" t="s">
        <v>2</v>
      </c>
      <c r="B4" s="8" t="s">
        <v>0</v>
      </c>
      <c r="C4" s="17" t="s">
        <v>5</v>
      </c>
      <c r="D4" s="16" t="s">
        <v>1</v>
      </c>
      <c r="E4" s="15" t="s">
        <v>3</v>
      </c>
      <c r="F4" s="50" t="s">
        <v>737</v>
      </c>
      <c r="G4" s="50" t="s">
        <v>738</v>
      </c>
      <c r="H4" s="15" t="s">
        <v>6</v>
      </c>
    </row>
    <row r="5" spans="1:8" x14ac:dyDescent="0.2">
      <c r="A5" s="21" t="s">
        <v>105</v>
      </c>
      <c r="B5" s="22"/>
      <c r="C5" s="22"/>
      <c r="D5" s="23"/>
      <c r="E5" s="24"/>
      <c r="F5" s="25"/>
      <c r="G5" s="25"/>
      <c r="H5" s="24"/>
    </row>
    <row r="6" spans="1:8" x14ac:dyDescent="0.2">
      <c r="A6" s="26" t="s">
        <v>36</v>
      </c>
      <c r="B6" s="27"/>
      <c r="C6" s="27"/>
      <c r="D6" s="28"/>
      <c r="E6" s="29"/>
      <c r="F6" s="30"/>
      <c r="G6" s="30"/>
      <c r="H6" s="29"/>
    </row>
    <row r="7" spans="1:8" x14ac:dyDescent="0.2">
      <c r="A7" s="27" t="s">
        <v>191</v>
      </c>
      <c r="B7" s="27" t="s">
        <v>190</v>
      </c>
      <c r="C7" s="27" t="s">
        <v>192</v>
      </c>
      <c r="D7" s="31">
        <v>46100</v>
      </c>
      <c r="E7" s="29">
        <v>1115.6660999999999</v>
      </c>
      <c r="F7" s="30">
        <v>9.4734166640796005</v>
      </c>
      <c r="G7" s="30">
        <v>-8.9330999999999996</v>
      </c>
      <c r="H7" s="29"/>
    </row>
    <row r="8" spans="1:8" x14ac:dyDescent="0.2">
      <c r="A8" s="27" t="s">
        <v>113</v>
      </c>
      <c r="B8" s="27" t="s">
        <v>112</v>
      </c>
      <c r="C8" s="27" t="s">
        <v>108</v>
      </c>
      <c r="D8" s="31">
        <v>136500</v>
      </c>
      <c r="E8" s="29">
        <v>975.83849999999995</v>
      </c>
      <c r="F8" s="30">
        <v>8.2861034384305796</v>
      </c>
      <c r="G8" s="30">
        <v>-5.1138000000000003</v>
      </c>
      <c r="H8" s="29"/>
    </row>
    <row r="9" spans="1:8" x14ac:dyDescent="0.2">
      <c r="A9" s="27" t="s">
        <v>142</v>
      </c>
      <c r="B9" s="27" t="s">
        <v>141</v>
      </c>
      <c r="C9" s="27" t="s">
        <v>143</v>
      </c>
      <c r="D9" s="31">
        <v>329400</v>
      </c>
      <c r="E9" s="29">
        <v>772.93709999999999</v>
      </c>
      <c r="F9" s="30">
        <v>6.5632138535224502</v>
      </c>
      <c r="G9" s="30">
        <v>-6.5856000000000003</v>
      </c>
      <c r="H9" s="29"/>
    </row>
    <row r="10" spans="1:8" x14ac:dyDescent="0.2">
      <c r="A10" s="27" t="s">
        <v>194</v>
      </c>
      <c r="B10" s="27" t="s">
        <v>193</v>
      </c>
      <c r="C10" s="27" t="s">
        <v>195</v>
      </c>
      <c r="D10" s="31">
        <v>123000</v>
      </c>
      <c r="E10" s="29">
        <v>668.32050000000004</v>
      </c>
      <c r="F10" s="30">
        <v>5.67488656475805</v>
      </c>
      <c r="G10" s="30">
        <v>-5.7114000000000003</v>
      </c>
      <c r="H10" s="29"/>
    </row>
    <row r="11" spans="1:8" x14ac:dyDescent="0.2">
      <c r="A11" s="27" t="s">
        <v>115</v>
      </c>
      <c r="B11" s="27" t="s">
        <v>114</v>
      </c>
      <c r="C11" s="27" t="s">
        <v>108</v>
      </c>
      <c r="D11" s="31">
        <v>84061</v>
      </c>
      <c r="E11" s="29">
        <v>504.78630500000003</v>
      </c>
      <c r="F11" s="30">
        <v>4.2862743553704501</v>
      </c>
      <c r="G11" s="30">
        <v>-2.8166000000000002</v>
      </c>
      <c r="H11" s="29"/>
    </row>
    <row r="12" spans="1:8" x14ac:dyDescent="0.2">
      <c r="A12" s="27" t="s">
        <v>110</v>
      </c>
      <c r="B12" s="27" t="s">
        <v>109</v>
      </c>
      <c r="C12" s="27" t="s">
        <v>111</v>
      </c>
      <c r="D12" s="31">
        <v>26745</v>
      </c>
      <c r="E12" s="29">
        <v>362.22090750000001</v>
      </c>
      <c r="F12" s="30">
        <v>3.0757137652461899</v>
      </c>
      <c r="G12" s="30"/>
      <c r="H12" s="29"/>
    </row>
    <row r="13" spans="1:8" x14ac:dyDescent="0.2">
      <c r="A13" s="27" t="s">
        <v>197</v>
      </c>
      <c r="B13" s="27" t="s">
        <v>196</v>
      </c>
      <c r="C13" s="27" t="s">
        <v>157</v>
      </c>
      <c r="D13" s="31">
        <v>4600</v>
      </c>
      <c r="E13" s="29">
        <v>296.9599</v>
      </c>
      <c r="F13" s="30">
        <v>2.52156524718588</v>
      </c>
      <c r="G13" s="30">
        <v>-2.5337999999999998</v>
      </c>
      <c r="H13" s="29"/>
    </row>
    <row r="14" spans="1:8" x14ac:dyDescent="0.2">
      <c r="A14" s="27" t="s">
        <v>161</v>
      </c>
      <c r="B14" s="27" t="s">
        <v>160</v>
      </c>
      <c r="C14" s="27" t="s">
        <v>140</v>
      </c>
      <c r="D14" s="31">
        <v>18456</v>
      </c>
      <c r="E14" s="29">
        <v>223.66826399999999</v>
      </c>
      <c r="F14" s="30">
        <v>1.8992265332820899</v>
      </c>
      <c r="G14" s="30"/>
      <c r="H14" s="29"/>
    </row>
    <row r="15" spans="1:8" x14ac:dyDescent="0.2">
      <c r="A15" s="27" t="s">
        <v>199</v>
      </c>
      <c r="B15" s="27" t="s">
        <v>198</v>
      </c>
      <c r="C15" s="27" t="s">
        <v>140</v>
      </c>
      <c r="D15" s="31">
        <v>41250</v>
      </c>
      <c r="E15" s="29">
        <v>221.94562500000001</v>
      </c>
      <c r="F15" s="30">
        <v>1.88459914879063</v>
      </c>
      <c r="G15" s="30">
        <v>-1.8948</v>
      </c>
      <c r="H15" s="29"/>
    </row>
    <row r="16" spans="1:8" x14ac:dyDescent="0.2">
      <c r="A16" s="27" t="s">
        <v>201</v>
      </c>
      <c r="B16" s="27" t="s">
        <v>200</v>
      </c>
      <c r="C16" s="27" t="s">
        <v>202</v>
      </c>
      <c r="D16" s="31">
        <v>16100</v>
      </c>
      <c r="E16" s="29">
        <v>215.81245000000001</v>
      </c>
      <c r="F16" s="30">
        <v>1.83252073370863</v>
      </c>
      <c r="G16" s="30">
        <v>-1.8441000000000001</v>
      </c>
      <c r="H16" s="29"/>
    </row>
    <row r="17" spans="1:8" x14ac:dyDescent="0.2">
      <c r="A17" s="27" t="s">
        <v>204</v>
      </c>
      <c r="B17" s="27" t="s">
        <v>203</v>
      </c>
      <c r="C17" s="27" t="s">
        <v>152</v>
      </c>
      <c r="D17" s="31">
        <v>207938</v>
      </c>
      <c r="E17" s="29">
        <v>205.54671300000001</v>
      </c>
      <c r="F17" s="30">
        <v>1.7453516389724399</v>
      </c>
      <c r="G17" s="30"/>
      <c r="H17" s="29"/>
    </row>
    <row r="18" spans="1:8" x14ac:dyDescent="0.2">
      <c r="A18" s="27" t="s">
        <v>147</v>
      </c>
      <c r="B18" s="27" t="s">
        <v>146</v>
      </c>
      <c r="C18" s="27" t="s">
        <v>108</v>
      </c>
      <c r="D18" s="31">
        <v>55462</v>
      </c>
      <c r="E18" s="29">
        <v>196.05816999999999</v>
      </c>
      <c r="F18" s="30">
        <v>1.6647819045563499</v>
      </c>
      <c r="G18" s="30"/>
      <c r="H18" s="29"/>
    </row>
    <row r="19" spans="1:8" x14ac:dyDescent="0.2">
      <c r="A19" s="27" t="s">
        <v>107</v>
      </c>
      <c r="B19" s="27" t="s">
        <v>106</v>
      </c>
      <c r="C19" s="27" t="s">
        <v>108</v>
      </c>
      <c r="D19" s="31">
        <v>13878</v>
      </c>
      <c r="E19" s="29">
        <v>195.99899400000001</v>
      </c>
      <c r="F19" s="30">
        <v>1.6642794254503499</v>
      </c>
      <c r="G19" s="30"/>
      <c r="H19" s="29"/>
    </row>
    <row r="20" spans="1:8" x14ac:dyDescent="0.2">
      <c r="A20" s="27" t="s">
        <v>206</v>
      </c>
      <c r="B20" s="27" t="s">
        <v>205</v>
      </c>
      <c r="C20" s="27" t="s">
        <v>111</v>
      </c>
      <c r="D20" s="31">
        <v>17733</v>
      </c>
      <c r="E20" s="29">
        <v>170.30773199999999</v>
      </c>
      <c r="F20" s="30">
        <v>1.44612810799791</v>
      </c>
      <c r="G20" s="30"/>
      <c r="H20" s="29"/>
    </row>
    <row r="21" spans="1:8" x14ac:dyDescent="0.2">
      <c r="A21" s="27" t="s">
        <v>151</v>
      </c>
      <c r="B21" s="27" t="s">
        <v>150</v>
      </c>
      <c r="C21" s="27" t="s">
        <v>152</v>
      </c>
      <c r="D21" s="31">
        <v>70523</v>
      </c>
      <c r="E21" s="29">
        <v>155.18586149999999</v>
      </c>
      <c r="F21" s="30">
        <v>1.31772429615245</v>
      </c>
      <c r="G21" s="30"/>
      <c r="H21" s="29"/>
    </row>
    <row r="22" spans="1:8" x14ac:dyDescent="0.2">
      <c r="A22" s="27" t="s">
        <v>154</v>
      </c>
      <c r="B22" s="27" t="s">
        <v>153</v>
      </c>
      <c r="C22" s="27" t="s">
        <v>152</v>
      </c>
      <c r="D22" s="31">
        <v>150349</v>
      </c>
      <c r="E22" s="29">
        <v>154.03255050000001</v>
      </c>
      <c r="F22" s="30">
        <v>1.3079312266612599</v>
      </c>
      <c r="G22" s="30"/>
      <c r="H22" s="29"/>
    </row>
    <row r="23" spans="1:8" x14ac:dyDescent="0.2">
      <c r="A23" s="27" t="s">
        <v>117</v>
      </c>
      <c r="B23" s="27" t="s">
        <v>116</v>
      </c>
      <c r="C23" s="27" t="s">
        <v>118</v>
      </c>
      <c r="D23" s="31">
        <v>27951</v>
      </c>
      <c r="E23" s="29">
        <v>150.02699250000001</v>
      </c>
      <c r="F23" s="30">
        <v>1.2739189716450501</v>
      </c>
      <c r="G23" s="30"/>
      <c r="H23" s="29"/>
    </row>
    <row r="24" spans="1:8" x14ac:dyDescent="0.2">
      <c r="A24" s="27" t="s">
        <v>208</v>
      </c>
      <c r="B24" s="27" t="s">
        <v>207</v>
      </c>
      <c r="C24" s="27" t="s">
        <v>209</v>
      </c>
      <c r="D24" s="31">
        <v>122059</v>
      </c>
      <c r="E24" s="29">
        <v>136.09578500000001</v>
      </c>
      <c r="F24" s="30">
        <v>1.15562539502634</v>
      </c>
      <c r="G24" s="30"/>
      <c r="H24" s="29"/>
    </row>
    <row r="25" spans="1:8" x14ac:dyDescent="0.2">
      <c r="A25" s="27" t="s">
        <v>211</v>
      </c>
      <c r="B25" s="27" t="s">
        <v>210</v>
      </c>
      <c r="C25" s="27" t="s">
        <v>192</v>
      </c>
      <c r="D25" s="31">
        <v>23811</v>
      </c>
      <c r="E25" s="29">
        <v>135.30600749999999</v>
      </c>
      <c r="F25" s="30">
        <v>1.14891918487133</v>
      </c>
      <c r="G25" s="30"/>
      <c r="H25" s="29"/>
    </row>
    <row r="26" spans="1:8" x14ac:dyDescent="0.2">
      <c r="A26" s="27" t="s">
        <v>134</v>
      </c>
      <c r="B26" s="27" t="s">
        <v>133</v>
      </c>
      <c r="C26" s="27" t="s">
        <v>135</v>
      </c>
      <c r="D26" s="31">
        <v>2392</v>
      </c>
      <c r="E26" s="29">
        <v>123.501352</v>
      </c>
      <c r="F26" s="30">
        <v>1.04868272512104</v>
      </c>
      <c r="G26" s="30"/>
      <c r="H26" s="29"/>
    </row>
    <row r="27" spans="1:8" x14ac:dyDescent="0.2">
      <c r="A27" s="27" t="s">
        <v>213</v>
      </c>
      <c r="B27" s="27" t="s">
        <v>212</v>
      </c>
      <c r="C27" s="27" t="s">
        <v>214</v>
      </c>
      <c r="D27" s="31">
        <v>76471</v>
      </c>
      <c r="E27" s="29">
        <v>119.7153505</v>
      </c>
      <c r="F27" s="30">
        <v>1.0165347825597899</v>
      </c>
      <c r="G27" s="30"/>
      <c r="H27" s="29"/>
    </row>
    <row r="28" spans="1:8" x14ac:dyDescent="0.2">
      <c r="A28" s="27" t="s">
        <v>137</v>
      </c>
      <c r="B28" s="27" t="s">
        <v>136</v>
      </c>
      <c r="C28" s="27" t="s">
        <v>132</v>
      </c>
      <c r="D28" s="31">
        <v>42933</v>
      </c>
      <c r="E28" s="29">
        <v>115.7688345</v>
      </c>
      <c r="F28" s="30">
        <v>0.983023868820047</v>
      </c>
      <c r="G28" s="30"/>
      <c r="H28" s="29"/>
    </row>
    <row r="29" spans="1:8" x14ac:dyDescent="0.2">
      <c r="A29" s="27" t="s">
        <v>139</v>
      </c>
      <c r="B29" s="27" t="s">
        <v>138</v>
      </c>
      <c r="C29" s="27" t="s">
        <v>140</v>
      </c>
      <c r="D29" s="31">
        <v>7787</v>
      </c>
      <c r="E29" s="29">
        <v>115.39555300000001</v>
      </c>
      <c r="F29" s="30">
        <v>0.97985423663126503</v>
      </c>
      <c r="G29" s="30"/>
      <c r="H29" s="29"/>
    </row>
    <row r="30" spans="1:8" x14ac:dyDescent="0.2">
      <c r="A30" s="27" t="s">
        <v>216</v>
      </c>
      <c r="B30" s="27" t="s">
        <v>215</v>
      </c>
      <c r="C30" s="27" t="s">
        <v>217</v>
      </c>
      <c r="D30" s="31">
        <v>64953</v>
      </c>
      <c r="E30" s="29">
        <v>110.874771</v>
      </c>
      <c r="F30" s="30">
        <v>0.94146707802398</v>
      </c>
      <c r="G30" s="30"/>
      <c r="H30" s="29"/>
    </row>
    <row r="31" spans="1:8" x14ac:dyDescent="0.2">
      <c r="A31" s="27" t="s">
        <v>219</v>
      </c>
      <c r="B31" s="27" t="s">
        <v>218</v>
      </c>
      <c r="C31" s="27" t="s">
        <v>143</v>
      </c>
      <c r="D31" s="31">
        <v>121901</v>
      </c>
      <c r="E31" s="29">
        <v>110.74705849999999</v>
      </c>
      <c r="F31" s="30">
        <v>0.940382637324642</v>
      </c>
      <c r="G31" s="30"/>
      <c r="H31" s="29"/>
    </row>
    <row r="32" spans="1:8" x14ac:dyDescent="0.2">
      <c r="A32" s="27" t="s">
        <v>131</v>
      </c>
      <c r="B32" s="27" t="s">
        <v>130</v>
      </c>
      <c r="C32" s="27" t="s">
        <v>132</v>
      </c>
      <c r="D32" s="31">
        <v>43156</v>
      </c>
      <c r="E32" s="29">
        <v>103.55282200000001</v>
      </c>
      <c r="F32" s="30">
        <v>0.87929446771508801</v>
      </c>
      <c r="G32" s="30"/>
      <c r="H32" s="29"/>
    </row>
    <row r="33" spans="1:9" x14ac:dyDescent="0.2">
      <c r="A33" s="27" t="s">
        <v>123</v>
      </c>
      <c r="B33" s="27" t="s">
        <v>122</v>
      </c>
      <c r="C33" s="27" t="s">
        <v>108</v>
      </c>
      <c r="D33" s="31">
        <v>5528</v>
      </c>
      <c r="E33" s="29">
        <v>96.673664000000002</v>
      </c>
      <c r="F33" s="30">
        <v>0.82088171318930603</v>
      </c>
      <c r="G33" s="30"/>
      <c r="H33" s="29"/>
    </row>
    <row r="34" spans="1:9" x14ac:dyDescent="0.2">
      <c r="A34" s="27" t="s">
        <v>221</v>
      </c>
      <c r="B34" s="27" t="s">
        <v>220</v>
      </c>
      <c r="C34" s="27" t="s">
        <v>192</v>
      </c>
      <c r="D34" s="31">
        <v>21957</v>
      </c>
      <c r="E34" s="29">
        <v>81.7568895</v>
      </c>
      <c r="F34" s="30">
        <v>0.69421942585923702</v>
      </c>
      <c r="G34" s="30"/>
      <c r="H34" s="29"/>
    </row>
    <row r="35" spans="1:9" x14ac:dyDescent="0.2">
      <c r="A35" s="27" t="s">
        <v>223</v>
      </c>
      <c r="B35" s="27" t="s">
        <v>222</v>
      </c>
      <c r="C35" s="27" t="s">
        <v>140</v>
      </c>
      <c r="D35" s="31">
        <v>402</v>
      </c>
      <c r="E35" s="29">
        <v>65.563185000000004</v>
      </c>
      <c r="F35" s="30">
        <v>0.55671438733249401</v>
      </c>
      <c r="G35" s="30"/>
      <c r="H35" s="29"/>
    </row>
    <row r="36" spans="1:9" x14ac:dyDescent="0.2">
      <c r="A36" s="27" t="s">
        <v>225</v>
      </c>
      <c r="B36" s="27" t="s">
        <v>224</v>
      </c>
      <c r="C36" s="27" t="s">
        <v>132</v>
      </c>
      <c r="D36" s="31">
        <v>47372</v>
      </c>
      <c r="E36" s="29">
        <v>64.994383999999997</v>
      </c>
      <c r="F36" s="30">
        <v>0.55188454722894997</v>
      </c>
      <c r="G36" s="30"/>
      <c r="H36" s="29"/>
    </row>
    <row r="37" spans="1:9" x14ac:dyDescent="0.2">
      <c r="A37" s="27" t="s">
        <v>227</v>
      </c>
      <c r="B37" s="27" t="s">
        <v>226</v>
      </c>
      <c r="C37" s="27" t="s">
        <v>108</v>
      </c>
      <c r="D37" s="31">
        <v>10000</v>
      </c>
      <c r="E37" s="29">
        <v>8.01</v>
      </c>
      <c r="F37" s="30">
        <v>6.8015033780516904E-2</v>
      </c>
      <c r="G37" s="30">
        <v>-6.8099999999999994E-2</v>
      </c>
      <c r="H37" s="29"/>
    </row>
    <row r="38" spans="1:9" x14ac:dyDescent="0.2">
      <c r="A38" s="26" t="s">
        <v>39</v>
      </c>
      <c r="B38" s="26"/>
      <c r="C38" s="26"/>
      <c r="D38" s="32"/>
      <c r="E38" s="33">
        <f>SUM(E7:E37)</f>
        <v>7973.2683215000006</v>
      </c>
      <c r="F38" s="34">
        <f>SUM(F7:F37)</f>
        <v>67.703135359294365</v>
      </c>
      <c r="G38" s="34">
        <f>SUM(G7:G37)</f>
        <v>-35.501300000000001</v>
      </c>
      <c r="H38" s="33"/>
      <c r="I38" s="18"/>
    </row>
    <row r="39" spans="1:9" x14ac:dyDescent="0.2">
      <c r="A39" s="27"/>
      <c r="B39" s="27"/>
      <c r="C39" s="27"/>
      <c r="D39" s="28"/>
      <c r="E39" s="29"/>
      <c r="F39" s="30"/>
      <c r="G39" s="30"/>
      <c r="H39" s="29"/>
    </row>
    <row r="40" spans="1:9" x14ac:dyDescent="0.2">
      <c r="A40" s="26" t="s">
        <v>228</v>
      </c>
      <c r="B40" s="27"/>
      <c r="C40" s="27"/>
      <c r="D40" s="28"/>
      <c r="E40" s="29"/>
      <c r="F40" s="30"/>
      <c r="G40" s="30"/>
      <c r="H40" s="29"/>
    </row>
    <row r="41" spans="1:9" x14ac:dyDescent="0.2">
      <c r="A41" s="27" t="s">
        <v>230</v>
      </c>
      <c r="B41" s="27" t="s">
        <v>229</v>
      </c>
      <c r="C41" s="27" t="s">
        <v>381</v>
      </c>
      <c r="D41" s="31">
        <v>44600</v>
      </c>
      <c r="E41" s="29">
        <v>139.42406</v>
      </c>
      <c r="F41" s="30">
        <v>1.18388666051396</v>
      </c>
      <c r="G41" s="30"/>
      <c r="H41" s="29"/>
    </row>
    <row r="42" spans="1:9" x14ac:dyDescent="0.2">
      <c r="A42" s="26" t="s">
        <v>39</v>
      </c>
      <c r="B42" s="26"/>
      <c r="C42" s="26"/>
      <c r="D42" s="32"/>
      <c r="E42" s="33">
        <f>SUM(E40:E41)</f>
        <v>139.42406</v>
      </c>
      <c r="F42" s="34">
        <f>SUM(F40:F41)</f>
        <v>1.18388666051396</v>
      </c>
      <c r="G42" s="34"/>
      <c r="H42" s="33"/>
      <c r="I42" s="18"/>
    </row>
    <row r="43" spans="1:9" x14ac:dyDescent="0.2">
      <c r="A43" s="27"/>
      <c r="B43" s="27"/>
      <c r="C43" s="27"/>
      <c r="D43" s="28"/>
      <c r="E43" s="29"/>
      <c r="F43" s="30"/>
      <c r="G43" s="30"/>
      <c r="H43" s="29"/>
    </row>
    <row r="44" spans="1:9" x14ac:dyDescent="0.2">
      <c r="A44" s="26" t="s">
        <v>71</v>
      </c>
      <c r="B44" s="27"/>
      <c r="C44" s="27"/>
      <c r="D44" s="28"/>
      <c r="E44" s="29"/>
      <c r="F44" s="30"/>
      <c r="G44" s="30"/>
      <c r="H44" s="29"/>
    </row>
    <row r="45" spans="1:9" x14ac:dyDescent="0.2">
      <c r="A45" s="27" t="s">
        <v>90</v>
      </c>
      <c r="B45" s="27" t="s">
        <v>89</v>
      </c>
      <c r="C45" s="27" t="s">
        <v>74</v>
      </c>
      <c r="D45" s="31">
        <v>1000000</v>
      </c>
      <c r="E45" s="29">
        <v>989.28499999999997</v>
      </c>
      <c r="F45" s="30">
        <v>8.4002812351508993</v>
      </c>
      <c r="G45" s="30"/>
      <c r="H45" s="29">
        <v>5.42</v>
      </c>
    </row>
    <row r="46" spans="1:9" x14ac:dyDescent="0.2">
      <c r="A46" s="26" t="s">
        <v>39</v>
      </c>
      <c r="B46" s="26"/>
      <c r="C46" s="26"/>
      <c r="D46" s="32"/>
      <c r="E46" s="33">
        <f>SUM(E45:E45)</f>
        <v>989.28499999999997</v>
      </c>
      <c r="F46" s="34">
        <f>SUM(F45:F45)</f>
        <v>8.4002812351508993</v>
      </c>
      <c r="G46" s="34"/>
      <c r="H46" s="33"/>
      <c r="I46" s="18"/>
    </row>
    <row r="47" spans="1:9" x14ac:dyDescent="0.2">
      <c r="A47" s="27"/>
      <c r="B47" s="27"/>
      <c r="C47" s="27"/>
      <c r="D47" s="28"/>
      <c r="E47" s="29"/>
      <c r="F47" s="30"/>
      <c r="G47" s="30"/>
      <c r="H47" s="29"/>
    </row>
    <row r="48" spans="1:9" x14ac:dyDescent="0.2">
      <c r="A48" s="26" t="s">
        <v>42</v>
      </c>
      <c r="B48" s="26"/>
      <c r="C48" s="26"/>
      <c r="D48" s="32"/>
      <c r="E48" s="33">
        <f>E38+E42+E46</f>
        <v>9101.9773815000008</v>
      </c>
      <c r="F48" s="34">
        <f>F38+F42+F46</f>
        <v>77.287303254959227</v>
      </c>
      <c r="G48" s="34"/>
      <c r="H48" s="33"/>
      <c r="I48" s="18"/>
    </row>
    <row r="49" spans="1:9" x14ac:dyDescent="0.2">
      <c r="A49" s="26"/>
      <c r="B49" s="26"/>
      <c r="C49" s="26"/>
      <c r="D49" s="32"/>
      <c r="E49" s="33"/>
      <c r="F49" s="34"/>
      <c r="G49" s="34"/>
      <c r="H49" s="33"/>
      <c r="I49" s="18"/>
    </row>
    <row r="50" spans="1:9" x14ac:dyDescent="0.2">
      <c r="A50" s="26" t="s">
        <v>44</v>
      </c>
      <c r="B50" s="26"/>
      <c r="C50" s="26"/>
      <c r="D50" s="32"/>
      <c r="E50" s="33">
        <f>E52-(E38+E42+E46)</f>
        <v>2674.8307074999993</v>
      </c>
      <c r="F50" s="34">
        <f>F52-(F38+F42+F46)</f>
        <v>22.712696745040773</v>
      </c>
      <c r="G50" s="34"/>
      <c r="H50" s="33"/>
      <c r="I50" s="18"/>
    </row>
    <row r="51" spans="1:9" x14ac:dyDescent="0.2">
      <c r="A51" s="26"/>
      <c r="B51" s="26"/>
      <c r="C51" s="26"/>
      <c r="D51" s="32"/>
      <c r="E51" s="33"/>
      <c r="F51" s="34"/>
      <c r="G51" s="34"/>
      <c r="H51" s="33"/>
      <c r="I51" s="18"/>
    </row>
    <row r="52" spans="1:9" x14ac:dyDescent="0.2">
      <c r="A52" s="35" t="s">
        <v>43</v>
      </c>
      <c r="B52" s="35"/>
      <c r="C52" s="35"/>
      <c r="D52" s="36"/>
      <c r="E52" s="37">
        <v>11776.808089</v>
      </c>
      <c r="F52" s="38">
        <v>100</v>
      </c>
      <c r="G52" s="38"/>
      <c r="H52" s="37"/>
      <c r="I52" s="18"/>
    </row>
    <row r="55" spans="1:9" x14ac:dyDescent="0.2">
      <c r="A55" s="18" t="s">
        <v>47</v>
      </c>
    </row>
    <row r="56" spans="1:9" x14ac:dyDescent="0.2">
      <c r="A56" s="18" t="s">
        <v>48</v>
      </c>
    </row>
    <row r="57" spans="1:9" x14ac:dyDescent="0.2">
      <c r="A57" s="18" t="s">
        <v>49</v>
      </c>
      <c r="B57" s="18"/>
      <c r="C57" s="41" t="s">
        <v>731</v>
      </c>
      <c r="D57" s="19" t="s">
        <v>50</v>
      </c>
    </row>
    <row r="58" spans="1:9" x14ac:dyDescent="0.2">
      <c r="A58" s="9" t="s">
        <v>79</v>
      </c>
      <c r="C58" s="40">
        <v>10.3459</v>
      </c>
      <c r="D58" s="40">
        <v>11.5928</v>
      </c>
    </row>
    <row r="59" spans="1:9" x14ac:dyDescent="0.2">
      <c r="A59" s="9" t="s">
        <v>85</v>
      </c>
      <c r="C59" s="40">
        <v>10.3459</v>
      </c>
      <c r="D59" s="40">
        <v>11.5928</v>
      </c>
    </row>
    <row r="60" spans="1:9" x14ac:dyDescent="0.2">
      <c r="A60" s="9" t="s">
        <v>80</v>
      </c>
      <c r="C60" s="40">
        <v>10.2836</v>
      </c>
      <c r="D60" s="40">
        <v>11.312900000000001</v>
      </c>
    </row>
    <row r="61" spans="1:9" x14ac:dyDescent="0.2">
      <c r="A61" s="9" t="s">
        <v>81</v>
      </c>
      <c r="C61" s="40">
        <v>10.3459</v>
      </c>
      <c r="D61" s="40">
        <v>11.373200000000001</v>
      </c>
    </row>
    <row r="62" spans="1:9" x14ac:dyDescent="0.2">
      <c r="A62" s="9" t="s">
        <v>82</v>
      </c>
      <c r="C62" s="40">
        <v>10.746</v>
      </c>
      <c r="D62" s="40">
        <v>12.1228</v>
      </c>
    </row>
    <row r="63" spans="1:9" x14ac:dyDescent="0.2">
      <c r="A63" s="9" t="s">
        <v>86</v>
      </c>
      <c r="C63" s="40">
        <v>10.746</v>
      </c>
      <c r="D63" s="40">
        <v>12.1228</v>
      </c>
    </row>
    <row r="64" spans="1:9" x14ac:dyDescent="0.2">
      <c r="A64" s="9" t="s">
        <v>83</v>
      </c>
      <c r="C64" s="40">
        <v>10.6822</v>
      </c>
      <c r="D64" s="40">
        <v>11.839</v>
      </c>
    </row>
    <row r="65" spans="1:4" x14ac:dyDescent="0.2">
      <c r="A65" s="9" t="s">
        <v>84</v>
      </c>
      <c r="C65" s="40">
        <v>10.746</v>
      </c>
      <c r="D65" s="40">
        <v>11.902100000000001</v>
      </c>
    </row>
    <row r="67" spans="1:4" x14ac:dyDescent="0.2">
      <c r="A67" s="18" t="s">
        <v>53</v>
      </c>
    </row>
    <row r="68" spans="1:4" x14ac:dyDescent="0.2">
      <c r="A68" s="82" t="s">
        <v>76</v>
      </c>
      <c r="B68" s="83"/>
      <c r="C68" s="44" t="s">
        <v>77</v>
      </c>
    </row>
    <row r="69" spans="1:4" x14ac:dyDescent="0.2">
      <c r="A69" s="78" t="s">
        <v>80</v>
      </c>
      <c r="B69" s="79"/>
      <c r="C69" s="45">
        <v>0.21</v>
      </c>
    </row>
    <row r="70" spans="1:4" x14ac:dyDescent="0.2">
      <c r="A70" s="78" t="s">
        <v>81</v>
      </c>
      <c r="B70" s="79"/>
      <c r="C70" s="45">
        <v>0.22</v>
      </c>
    </row>
    <row r="71" spans="1:4" x14ac:dyDescent="0.2">
      <c r="A71" s="78" t="s">
        <v>83</v>
      </c>
      <c r="B71" s="79"/>
      <c r="C71" s="45">
        <v>0.21</v>
      </c>
    </row>
    <row r="72" spans="1:4" x14ac:dyDescent="0.2">
      <c r="A72" s="78" t="s">
        <v>84</v>
      </c>
      <c r="B72" s="79"/>
      <c r="C72" s="45">
        <v>0.22</v>
      </c>
    </row>
    <row r="73" spans="1:4" x14ac:dyDescent="0.2">
      <c r="A73" s="9" t="s">
        <v>78</v>
      </c>
    </row>
    <row r="74" spans="1:4" x14ac:dyDescent="0.2">
      <c r="A74" s="9" t="s">
        <v>52</v>
      </c>
    </row>
    <row r="76" spans="1:4" x14ac:dyDescent="0.2">
      <c r="A76" s="47" t="s">
        <v>732</v>
      </c>
      <c r="B76" s="48"/>
      <c r="C76" s="48"/>
      <c r="D76" s="49" t="s">
        <v>751</v>
      </c>
    </row>
    <row r="78" spans="1:4" x14ac:dyDescent="0.2">
      <c r="A78" s="18" t="s">
        <v>733</v>
      </c>
      <c r="D78" s="42">
        <f>-G38</f>
        <v>35.501300000000001</v>
      </c>
    </row>
    <row r="80" spans="1:4" x14ac:dyDescent="0.2">
      <c r="A80" s="18" t="s">
        <v>734</v>
      </c>
      <c r="D80" s="46">
        <v>2.2286257738348012</v>
      </c>
    </row>
    <row r="82" spans="1:5" x14ac:dyDescent="0.2">
      <c r="A82" s="18" t="s">
        <v>735</v>
      </c>
      <c r="D82" s="42">
        <v>2.3888529361551685</v>
      </c>
      <c r="E82" s="13" t="s">
        <v>55</v>
      </c>
    </row>
    <row r="84" spans="1:5" x14ac:dyDescent="0.2">
      <c r="A84" s="18" t="s">
        <v>736</v>
      </c>
      <c r="D84" s="41" t="s">
        <v>54</v>
      </c>
    </row>
    <row r="86" spans="1:5" x14ac:dyDescent="0.2">
      <c r="A86" s="18" t="s">
        <v>752</v>
      </c>
    </row>
    <row r="87" spans="1:5" x14ac:dyDescent="0.2">
      <c r="A87" s="53" t="s">
        <v>57</v>
      </c>
    </row>
  </sheetData>
  <mergeCells count="6">
    <mergeCell ref="A72:B72"/>
    <mergeCell ref="A1:H1"/>
    <mergeCell ref="A68:B68"/>
    <mergeCell ref="A69:B69"/>
    <mergeCell ref="A70:B70"/>
    <mergeCell ref="A71:B71"/>
  </mergeCells>
  <conditionalFormatting sqref="F2:G3 F5:G65540">
    <cfRule type="cellIs" dxfId="28" priority="1" stopIfTrue="1" operator="between">
      <formula>0.009</formula>
      <formula>-0.009</formula>
    </cfRule>
  </conditionalFormatting>
  <hyperlinks>
    <hyperlink ref="A87" r:id="rId1" xr:uid="{00000000-0004-0000-2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116"/>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4.6640625" style="14" bestFit="1" customWidth="1"/>
    <col min="7" max="7" width="14.33203125" style="13" customWidth="1"/>
    <col min="8" max="16384" width="9.109375" style="9"/>
  </cols>
  <sheetData>
    <row r="1" spans="1:7" s="1" customFormat="1" ht="13.8" x14ac:dyDescent="0.2">
      <c r="A1" s="76" t="s">
        <v>13</v>
      </c>
      <c r="B1" s="77"/>
      <c r="C1" s="77"/>
      <c r="D1" s="77"/>
      <c r="E1" s="77"/>
      <c r="F1" s="77"/>
      <c r="G1" s="77"/>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105</v>
      </c>
      <c r="B5" s="22"/>
      <c r="C5" s="22"/>
      <c r="D5" s="23"/>
      <c r="E5" s="24"/>
      <c r="F5" s="25"/>
      <c r="G5" s="24"/>
    </row>
    <row r="6" spans="1:7" x14ac:dyDescent="0.2">
      <c r="A6" s="26" t="s">
        <v>36</v>
      </c>
      <c r="B6" s="27"/>
      <c r="C6" s="27"/>
      <c r="D6" s="28"/>
      <c r="E6" s="29"/>
      <c r="F6" s="30"/>
      <c r="G6" s="29"/>
    </row>
    <row r="7" spans="1:7" x14ac:dyDescent="0.2">
      <c r="A7" s="27" t="s">
        <v>110</v>
      </c>
      <c r="B7" s="27" t="s">
        <v>109</v>
      </c>
      <c r="C7" s="27" t="s">
        <v>111</v>
      </c>
      <c r="D7" s="31">
        <v>697784</v>
      </c>
      <c r="E7" s="29">
        <v>9450.4376040000006</v>
      </c>
      <c r="F7" s="30">
        <v>7.0016559434787604</v>
      </c>
      <c r="G7" s="29"/>
    </row>
    <row r="8" spans="1:7" x14ac:dyDescent="0.2">
      <c r="A8" s="27" t="s">
        <v>113</v>
      </c>
      <c r="B8" s="27" t="s">
        <v>112</v>
      </c>
      <c r="C8" s="27" t="s">
        <v>108</v>
      </c>
      <c r="D8" s="31">
        <v>1267935</v>
      </c>
      <c r="E8" s="29">
        <v>9064.4673149999999</v>
      </c>
      <c r="F8" s="30">
        <v>6.7156976332689498</v>
      </c>
      <c r="G8" s="29"/>
    </row>
    <row r="9" spans="1:7" x14ac:dyDescent="0.2">
      <c r="A9" s="27" t="s">
        <v>107</v>
      </c>
      <c r="B9" s="27" t="s">
        <v>106</v>
      </c>
      <c r="C9" s="27" t="s">
        <v>108</v>
      </c>
      <c r="D9" s="31">
        <v>483868</v>
      </c>
      <c r="E9" s="29">
        <v>6833.6677639999998</v>
      </c>
      <c r="F9" s="30">
        <v>5.0629391484811297</v>
      </c>
      <c r="G9" s="29"/>
    </row>
    <row r="10" spans="1:7" x14ac:dyDescent="0.2">
      <c r="A10" s="27" t="s">
        <v>115</v>
      </c>
      <c r="B10" s="27" t="s">
        <v>114</v>
      </c>
      <c r="C10" s="27" t="s">
        <v>108</v>
      </c>
      <c r="D10" s="31">
        <v>1131302</v>
      </c>
      <c r="E10" s="29">
        <v>6793.4685099999997</v>
      </c>
      <c r="F10" s="30">
        <v>5.0331562582609601</v>
      </c>
      <c r="G10" s="29"/>
    </row>
    <row r="11" spans="1:7" x14ac:dyDescent="0.2">
      <c r="A11" s="27" t="s">
        <v>117</v>
      </c>
      <c r="B11" s="27" t="s">
        <v>116</v>
      </c>
      <c r="C11" s="27" t="s">
        <v>118</v>
      </c>
      <c r="D11" s="31">
        <v>1046271</v>
      </c>
      <c r="E11" s="29">
        <v>5615.8595930000001</v>
      </c>
      <c r="F11" s="30">
        <v>4.16068740355768</v>
      </c>
      <c r="G11" s="29"/>
    </row>
    <row r="12" spans="1:7" x14ac:dyDescent="0.2">
      <c r="A12" s="27" t="s">
        <v>151</v>
      </c>
      <c r="B12" s="27" t="s">
        <v>150</v>
      </c>
      <c r="C12" s="27" t="s">
        <v>152</v>
      </c>
      <c r="D12" s="31">
        <v>1808769</v>
      </c>
      <c r="E12" s="29">
        <v>3980.1961849999998</v>
      </c>
      <c r="F12" s="30">
        <v>2.9488543750737302</v>
      </c>
      <c r="G12" s="29"/>
    </row>
    <row r="13" spans="1:7" x14ac:dyDescent="0.2">
      <c r="A13" s="27" t="s">
        <v>134</v>
      </c>
      <c r="B13" s="27" t="s">
        <v>133</v>
      </c>
      <c r="C13" s="27" t="s">
        <v>135</v>
      </c>
      <c r="D13" s="31">
        <v>71688</v>
      </c>
      <c r="E13" s="29">
        <v>3701.323128</v>
      </c>
      <c r="F13" s="30">
        <v>2.7422424403847301</v>
      </c>
      <c r="G13" s="29"/>
    </row>
    <row r="14" spans="1:7" x14ac:dyDescent="0.2">
      <c r="A14" s="27" t="s">
        <v>137</v>
      </c>
      <c r="B14" s="27" t="s">
        <v>136</v>
      </c>
      <c r="C14" s="27" t="s">
        <v>132</v>
      </c>
      <c r="D14" s="31">
        <v>1160186</v>
      </c>
      <c r="E14" s="29">
        <v>3128.4415490000001</v>
      </c>
      <c r="F14" s="30">
        <v>2.3178049825026599</v>
      </c>
      <c r="G14" s="29"/>
    </row>
    <row r="15" spans="1:7" x14ac:dyDescent="0.2">
      <c r="A15" s="27" t="s">
        <v>128</v>
      </c>
      <c r="B15" s="27" t="s">
        <v>127</v>
      </c>
      <c r="C15" s="27" t="s">
        <v>129</v>
      </c>
      <c r="D15" s="31">
        <v>794188</v>
      </c>
      <c r="E15" s="29">
        <v>2894.021072</v>
      </c>
      <c r="F15" s="30">
        <v>2.1441271492809002</v>
      </c>
      <c r="G15" s="29"/>
    </row>
    <row r="16" spans="1:7" x14ac:dyDescent="0.2">
      <c r="A16" s="27" t="s">
        <v>145</v>
      </c>
      <c r="B16" s="27" t="s">
        <v>144</v>
      </c>
      <c r="C16" s="27" t="s">
        <v>111</v>
      </c>
      <c r="D16" s="31">
        <v>92416</v>
      </c>
      <c r="E16" s="29">
        <v>2805.4263040000001</v>
      </c>
      <c r="F16" s="30">
        <v>2.0784889100880699</v>
      </c>
      <c r="G16" s="29"/>
    </row>
    <row r="17" spans="1:7" x14ac:dyDescent="0.2">
      <c r="A17" s="27" t="s">
        <v>201</v>
      </c>
      <c r="B17" s="27" t="s">
        <v>200</v>
      </c>
      <c r="C17" s="27" t="s">
        <v>202</v>
      </c>
      <c r="D17" s="31">
        <v>205227</v>
      </c>
      <c r="E17" s="29">
        <v>2750.965322</v>
      </c>
      <c r="F17" s="30">
        <v>2.03813976708684</v>
      </c>
      <c r="G17" s="29"/>
    </row>
    <row r="18" spans="1:7" x14ac:dyDescent="0.2">
      <c r="A18" s="27" t="s">
        <v>131</v>
      </c>
      <c r="B18" s="27" t="s">
        <v>130</v>
      </c>
      <c r="C18" s="27" t="s">
        <v>132</v>
      </c>
      <c r="D18" s="31">
        <v>1103354</v>
      </c>
      <c r="E18" s="29">
        <v>2647.4979229999999</v>
      </c>
      <c r="F18" s="30">
        <v>1.96148266828138</v>
      </c>
      <c r="G18" s="29"/>
    </row>
    <row r="19" spans="1:7" x14ac:dyDescent="0.2">
      <c r="A19" s="27" t="s">
        <v>154</v>
      </c>
      <c r="B19" s="27" t="s">
        <v>153</v>
      </c>
      <c r="C19" s="27" t="s">
        <v>152</v>
      </c>
      <c r="D19" s="31">
        <v>2468370</v>
      </c>
      <c r="E19" s="29">
        <v>2528.845065</v>
      </c>
      <c r="F19" s="30">
        <v>1.87357494133392</v>
      </c>
      <c r="G19" s="29"/>
    </row>
    <row r="20" spans="1:7" x14ac:dyDescent="0.2">
      <c r="A20" s="27" t="s">
        <v>206</v>
      </c>
      <c r="B20" s="27" t="s">
        <v>205</v>
      </c>
      <c r="C20" s="27" t="s">
        <v>111</v>
      </c>
      <c r="D20" s="31">
        <v>243717</v>
      </c>
      <c r="E20" s="29">
        <v>2340.6580680000002</v>
      </c>
      <c r="F20" s="30">
        <v>1.7341506457359299</v>
      </c>
      <c r="G20" s="29"/>
    </row>
    <row r="21" spans="1:7" x14ac:dyDescent="0.2">
      <c r="A21" s="27" t="s">
        <v>219</v>
      </c>
      <c r="B21" s="27" t="s">
        <v>218</v>
      </c>
      <c r="C21" s="27" t="s">
        <v>143</v>
      </c>
      <c r="D21" s="31">
        <v>2568360</v>
      </c>
      <c r="E21" s="29">
        <v>2333.3550599999999</v>
      </c>
      <c r="F21" s="30">
        <v>1.72873998101212</v>
      </c>
      <c r="G21" s="29"/>
    </row>
    <row r="22" spans="1:7" x14ac:dyDescent="0.2">
      <c r="A22" s="27" t="s">
        <v>149</v>
      </c>
      <c r="B22" s="27" t="s">
        <v>148</v>
      </c>
      <c r="C22" s="27" t="s">
        <v>140</v>
      </c>
      <c r="D22" s="31">
        <v>95579</v>
      </c>
      <c r="E22" s="29">
        <v>2249.690713</v>
      </c>
      <c r="F22" s="30">
        <v>1.6667546003370699</v>
      </c>
      <c r="G22" s="29"/>
    </row>
    <row r="23" spans="1:7" x14ac:dyDescent="0.2">
      <c r="A23" s="27" t="s">
        <v>147</v>
      </c>
      <c r="B23" s="27" t="s">
        <v>146</v>
      </c>
      <c r="C23" s="27" t="s">
        <v>108</v>
      </c>
      <c r="D23" s="31">
        <v>615662</v>
      </c>
      <c r="E23" s="29">
        <v>2176.36517</v>
      </c>
      <c r="F23" s="30">
        <v>1.61242904997975</v>
      </c>
      <c r="G23" s="29"/>
    </row>
    <row r="24" spans="1:7" x14ac:dyDescent="0.2">
      <c r="A24" s="27" t="s">
        <v>211</v>
      </c>
      <c r="B24" s="27" t="s">
        <v>210</v>
      </c>
      <c r="C24" s="27" t="s">
        <v>192</v>
      </c>
      <c r="D24" s="31">
        <v>345421</v>
      </c>
      <c r="E24" s="29">
        <v>1962.8548330000001</v>
      </c>
      <c r="F24" s="30">
        <v>1.4542431560887199</v>
      </c>
      <c r="G24" s="29"/>
    </row>
    <row r="25" spans="1:7" x14ac:dyDescent="0.2">
      <c r="A25" s="27" t="s">
        <v>125</v>
      </c>
      <c r="B25" s="27" t="s">
        <v>124</v>
      </c>
      <c r="C25" s="27" t="s">
        <v>126</v>
      </c>
      <c r="D25" s="31">
        <v>204626</v>
      </c>
      <c r="E25" s="29">
        <v>1958.577759</v>
      </c>
      <c r="F25" s="30">
        <v>1.4510743503838801</v>
      </c>
      <c r="G25" s="29"/>
    </row>
    <row r="26" spans="1:7" x14ac:dyDescent="0.2">
      <c r="A26" s="27" t="s">
        <v>208</v>
      </c>
      <c r="B26" s="27" t="s">
        <v>207</v>
      </c>
      <c r="C26" s="27" t="s">
        <v>209</v>
      </c>
      <c r="D26" s="31">
        <v>1583382</v>
      </c>
      <c r="E26" s="29">
        <v>1765.47093</v>
      </c>
      <c r="F26" s="30">
        <v>1.3080050414640501</v>
      </c>
      <c r="G26" s="29"/>
    </row>
    <row r="27" spans="1:7" x14ac:dyDescent="0.2">
      <c r="A27" s="27" t="s">
        <v>120</v>
      </c>
      <c r="B27" s="27" t="s">
        <v>119</v>
      </c>
      <c r="C27" s="27" t="s">
        <v>121</v>
      </c>
      <c r="D27" s="31">
        <v>99000</v>
      </c>
      <c r="E27" s="29">
        <v>1752.2505000000001</v>
      </c>
      <c r="F27" s="30">
        <v>1.29821026727861</v>
      </c>
      <c r="G27" s="29"/>
    </row>
    <row r="28" spans="1:7" x14ac:dyDescent="0.2">
      <c r="A28" s="27" t="s">
        <v>165</v>
      </c>
      <c r="B28" s="27" t="s">
        <v>164</v>
      </c>
      <c r="C28" s="27" t="s">
        <v>108</v>
      </c>
      <c r="D28" s="31">
        <v>999697</v>
      </c>
      <c r="E28" s="29">
        <v>1666.9947480000001</v>
      </c>
      <c r="F28" s="30">
        <v>1.23504584381806</v>
      </c>
      <c r="G28" s="29"/>
    </row>
    <row r="29" spans="1:7" x14ac:dyDescent="0.2">
      <c r="A29" s="27" t="s">
        <v>235</v>
      </c>
      <c r="B29" s="27" t="s">
        <v>234</v>
      </c>
      <c r="C29" s="27" t="s">
        <v>152</v>
      </c>
      <c r="D29" s="31">
        <v>6797235</v>
      </c>
      <c r="E29" s="29">
        <v>1648.3294880000001</v>
      </c>
      <c r="F29" s="30">
        <v>1.2212170949186101</v>
      </c>
      <c r="G29" s="29"/>
    </row>
    <row r="30" spans="1:7" x14ac:dyDescent="0.2">
      <c r="A30" s="27" t="s">
        <v>161</v>
      </c>
      <c r="B30" s="27" t="s">
        <v>160</v>
      </c>
      <c r="C30" s="27" t="s">
        <v>140</v>
      </c>
      <c r="D30" s="31">
        <v>128251</v>
      </c>
      <c r="E30" s="29">
        <v>1554.2738690000001</v>
      </c>
      <c r="F30" s="30">
        <v>1.15153301134663</v>
      </c>
      <c r="G30" s="29"/>
    </row>
    <row r="31" spans="1:7" x14ac:dyDescent="0.2">
      <c r="A31" s="27" t="s">
        <v>213</v>
      </c>
      <c r="B31" s="27" t="s">
        <v>212</v>
      </c>
      <c r="C31" s="27" t="s">
        <v>214</v>
      </c>
      <c r="D31" s="31">
        <v>921918</v>
      </c>
      <c r="E31" s="29">
        <v>1443.2626290000001</v>
      </c>
      <c r="F31" s="30">
        <v>1.0692868190634299</v>
      </c>
      <c r="G31" s="29"/>
    </row>
    <row r="32" spans="1:7" x14ac:dyDescent="0.2">
      <c r="A32" s="27" t="s">
        <v>221</v>
      </c>
      <c r="B32" s="27" t="s">
        <v>220</v>
      </c>
      <c r="C32" s="27" t="s">
        <v>192</v>
      </c>
      <c r="D32" s="31">
        <v>336933</v>
      </c>
      <c r="E32" s="29">
        <v>1254.5700260000001</v>
      </c>
      <c r="F32" s="30">
        <v>0.92948792925051904</v>
      </c>
      <c r="G32" s="29"/>
    </row>
    <row r="33" spans="1:9" x14ac:dyDescent="0.2">
      <c r="A33" s="27" t="s">
        <v>171</v>
      </c>
      <c r="B33" s="27" t="s">
        <v>170</v>
      </c>
      <c r="C33" s="27" t="s">
        <v>172</v>
      </c>
      <c r="D33" s="31">
        <v>649104</v>
      </c>
      <c r="E33" s="29">
        <v>1135.932</v>
      </c>
      <c r="F33" s="30">
        <v>0.84159119105990898</v>
      </c>
      <c r="G33" s="29"/>
    </row>
    <row r="34" spans="1:9" x14ac:dyDescent="0.2">
      <c r="A34" s="27" t="s">
        <v>169</v>
      </c>
      <c r="B34" s="27" t="s">
        <v>168</v>
      </c>
      <c r="C34" s="27" t="s">
        <v>157</v>
      </c>
      <c r="D34" s="31">
        <v>381483</v>
      </c>
      <c r="E34" s="29">
        <v>1120.9877959999999</v>
      </c>
      <c r="F34" s="30">
        <v>0.83051930432390497</v>
      </c>
      <c r="G34" s="29"/>
    </row>
    <row r="35" spans="1:9" x14ac:dyDescent="0.2">
      <c r="A35" s="27" t="s">
        <v>156</v>
      </c>
      <c r="B35" s="27" t="s">
        <v>155</v>
      </c>
      <c r="C35" s="27" t="s">
        <v>157</v>
      </c>
      <c r="D35" s="31">
        <v>146320</v>
      </c>
      <c r="E35" s="29">
        <v>1101.1311599999999</v>
      </c>
      <c r="F35" s="30">
        <v>0.81580788679038796</v>
      </c>
      <c r="G35" s="29"/>
    </row>
    <row r="36" spans="1:9" x14ac:dyDescent="0.2">
      <c r="A36" s="27" t="s">
        <v>237</v>
      </c>
      <c r="B36" s="27" t="s">
        <v>236</v>
      </c>
      <c r="C36" s="27" t="s">
        <v>126</v>
      </c>
      <c r="D36" s="31">
        <v>72561</v>
      </c>
      <c r="E36" s="29">
        <v>1082.3561569999999</v>
      </c>
      <c r="F36" s="30">
        <v>0.80189783131442405</v>
      </c>
      <c r="G36" s="29"/>
    </row>
    <row r="37" spans="1:9" x14ac:dyDescent="0.2">
      <c r="A37" s="27" t="s">
        <v>167</v>
      </c>
      <c r="B37" s="27" t="s">
        <v>166</v>
      </c>
      <c r="C37" s="27" t="s">
        <v>135</v>
      </c>
      <c r="D37" s="31">
        <v>164030</v>
      </c>
      <c r="E37" s="29">
        <v>936.85734500000001</v>
      </c>
      <c r="F37" s="30">
        <v>0.69410042927901805</v>
      </c>
      <c r="G37" s="29"/>
    </row>
    <row r="38" spans="1:9" x14ac:dyDescent="0.2">
      <c r="A38" s="27" t="s">
        <v>142</v>
      </c>
      <c r="B38" s="27" t="s">
        <v>141</v>
      </c>
      <c r="C38" s="27" t="s">
        <v>143</v>
      </c>
      <c r="D38" s="31">
        <v>362218</v>
      </c>
      <c r="E38" s="29">
        <v>849.94453699999997</v>
      </c>
      <c r="F38" s="30">
        <v>0.62970832341081395</v>
      </c>
      <c r="G38" s="29"/>
    </row>
    <row r="39" spans="1:9" x14ac:dyDescent="0.2">
      <c r="A39" s="27" t="s">
        <v>174</v>
      </c>
      <c r="B39" s="27" t="s">
        <v>173</v>
      </c>
      <c r="C39" s="27" t="s">
        <v>175</v>
      </c>
      <c r="D39" s="31">
        <v>1265151</v>
      </c>
      <c r="E39" s="29">
        <v>685.71184200000005</v>
      </c>
      <c r="F39" s="30">
        <v>0.50803133095349395</v>
      </c>
      <c r="G39" s="29"/>
    </row>
    <row r="40" spans="1:9" x14ac:dyDescent="0.2">
      <c r="A40" s="27" t="s">
        <v>216</v>
      </c>
      <c r="B40" s="27" t="s">
        <v>215</v>
      </c>
      <c r="C40" s="27" t="s">
        <v>217</v>
      </c>
      <c r="D40" s="31">
        <v>377910</v>
      </c>
      <c r="E40" s="29">
        <v>645.09236999999996</v>
      </c>
      <c r="F40" s="30">
        <v>0.47793710892197699</v>
      </c>
      <c r="G40" s="29"/>
    </row>
    <row r="41" spans="1:9" x14ac:dyDescent="0.2">
      <c r="A41" s="27" t="s">
        <v>177</v>
      </c>
      <c r="B41" s="27" t="s">
        <v>176</v>
      </c>
      <c r="C41" s="27" t="s">
        <v>172</v>
      </c>
      <c r="D41" s="31">
        <v>75869</v>
      </c>
      <c r="E41" s="29">
        <v>110.19972249999999</v>
      </c>
      <c r="F41" s="30">
        <v>8.1644953846926105E-2</v>
      </c>
      <c r="G41" s="29"/>
    </row>
    <row r="42" spans="1:9" x14ac:dyDescent="0.2">
      <c r="A42" s="26" t="s">
        <v>39</v>
      </c>
      <c r="B42" s="26"/>
      <c r="C42" s="26"/>
      <c r="D42" s="32"/>
      <c r="E42" s="33">
        <f>SUM(E7:E41)</f>
        <v>93969.48405650002</v>
      </c>
      <c r="F42" s="34">
        <f>SUM(F7:F41)</f>
        <v>69.620267771657922</v>
      </c>
      <c r="G42" s="33"/>
      <c r="H42" s="18"/>
      <c r="I42" s="18"/>
    </row>
    <row r="43" spans="1:9" x14ac:dyDescent="0.2">
      <c r="A43" s="27"/>
      <c r="B43" s="27"/>
      <c r="C43" s="27"/>
      <c r="D43" s="28"/>
      <c r="E43" s="29"/>
      <c r="F43" s="30"/>
      <c r="G43" s="29"/>
    </row>
    <row r="44" spans="1:9" x14ac:dyDescent="0.2">
      <c r="A44" s="26" t="s">
        <v>238</v>
      </c>
      <c r="B44" s="27"/>
      <c r="C44" s="27"/>
      <c r="D44" s="28"/>
      <c r="E44" s="29"/>
      <c r="F44" s="30"/>
      <c r="G44" s="29"/>
    </row>
    <row r="45" spans="1:9" x14ac:dyDescent="0.2">
      <c r="A45" s="27" t="s">
        <v>239</v>
      </c>
      <c r="B45" s="27" t="s">
        <v>747</v>
      </c>
      <c r="C45" s="27" t="s">
        <v>240</v>
      </c>
      <c r="D45" s="31">
        <v>270000</v>
      </c>
      <c r="E45" s="29">
        <v>2.7E-2</v>
      </c>
      <c r="F45" s="30">
        <v>2.00038049448537E-5</v>
      </c>
      <c r="G45" s="29"/>
    </row>
    <row r="46" spans="1:9" x14ac:dyDescent="0.2">
      <c r="A46" s="27"/>
      <c r="B46" s="27" t="s">
        <v>749</v>
      </c>
      <c r="C46" s="27" t="s">
        <v>192</v>
      </c>
      <c r="D46" s="31">
        <v>27500</v>
      </c>
      <c r="E46" s="29">
        <v>2.7499999999999998E-3</v>
      </c>
      <c r="F46" s="30">
        <v>2.03742457771658E-6</v>
      </c>
      <c r="G46" s="29"/>
    </row>
    <row r="47" spans="1:9" x14ac:dyDescent="0.2">
      <c r="A47" s="26" t="s">
        <v>39</v>
      </c>
      <c r="B47" s="26"/>
      <c r="C47" s="26"/>
      <c r="D47" s="32"/>
      <c r="E47" s="33">
        <f>SUM(E44:E46)</f>
        <v>2.9749999999999999E-2</v>
      </c>
      <c r="F47" s="34">
        <f>SUM(F44:F46)</f>
        <v>2.2041229522570279E-5</v>
      </c>
      <c r="G47" s="33"/>
      <c r="H47" s="18"/>
      <c r="I47" s="18"/>
    </row>
    <row r="48" spans="1:9" x14ac:dyDescent="0.2">
      <c r="A48" s="27"/>
      <c r="B48" s="27"/>
      <c r="C48" s="27"/>
      <c r="D48" s="28"/>
      <c r="E48" s="29"/>
      <c r="F48" s="30"/>
      <c r="G48" s="29"/>
    </row>
    <row r="49" spans="1:9" x14ac:dyDescent="0.2">
      <c r="A49" s="26" t="s">
        <v>241</v>
      </c>
      <c r="B49" s="27"/>
      <c r="C49" s="27"/>
      <c r="D49" s="28"/>
      <c r="E49" s="29"/>
      <c r="F49" s="30"/>
      <c r="G49" s="29"/>
    </row>
    <row r="50" spans="1:9" x14ac:dyDescent="0.2">
      <c r="A50" s="27" t="s">
        <v>230</v>
      </c>
      <c r="B50" s="27" t="s">
        <v>229</v>
      </c>
      <c r="C50" s="27" t="s">
        <v>381</v>
      </c>
      <c r="D50" s="31">
        <v>644200</v>
      </c>
      <c r="E50" s="29">
        <v>2013.8336200000001</v>
      </c>
      <c r="F50" s="30">
        <v>1.4920124046618</v>
      </c>
      <c r="G50" s="29"/>
    </row>
    <row r="51" spans="1:9" x14ac:dyDescent="0.2">
      <c r="A51" s="27" t="s">
        <v>243</v>
      </c>
      <c r="B51" s="27" t="s">
        <v>242</v>
      </c>
      <c r="C51" s="27" t="s">
        <v>381</v>
      </c>
      <c r="D51" s="31">
        <v>151400</v>
      </c>
      <c r="E51" s="29">
        <v>371.59616</v>
      </c>
      <c r="F51" s="30">
        <v>0.27530878158876498</v>
      </c>
      <c r="G51" s="29"/>
    </row>
    <row r="52" spans="1:9" x14ac:dyDescent="0.2">
      <c r="A52" s="26" t="s">
        <v>39</v>
      </c>
      <c r="B52" s="26"/>
      <c r="C52" s="26"/>
      <c r="D52" s="32"/>
      <c r="E52" s="33">
        <f>SUM(E49:E51)</f>
        <v>2385.4297799999999</v>
      </c>
      <c r="F52" s="34">
        <f>SUM(F49:F51)</f>
        <v>1.7673211862505649</v>
      </c>
      <c r="G52" s="33"/>
      <c r="H52" s="18"/>
      <c r="I52" s="18"/>
    </row>
    <row r="53" spans="1:9" x14ac:dyDescent="0.2">
      <c r="A53" s="27"/>
      <c r="B53" s="27"/>
      <c r="C53" s="27"/>
      <c r="D53" s="28"/>
      <c r="E53" s="29"/>
      <c r="F53" s="30"/>
      <c r="G53" s="29"/>
    </row>
    <row r="54" spans="1:9" x14ac:dyDescent="0.2">
      <c r="A54" s="26" t="s">
        <v>35</v>
      </c>
      <c r="B54" s="27"/>
      <c r="C54" s="27"/>
      <c r="D54" s="28"/>
      <c r="E54" s="29"/>
      <c r="F54" s="30"/>
      <c r="G54" s="29"/>
    </row>
    <row r="55" spans="1:9" x14ac:dyDescent="0.2">
      <c r="A55" s="26" t="s">
        <v>36</v>
      </c>
      <c r="B55" s="27"/>
      <c r="C55" s="27"/>
      <c r="D55" s="28"/>
      <c r="E55" s="29"/>
      <c r="F55" s="30"/>
      <c r="G55" s="29"/>
    </row>
    <row r="56" spans="1:9" x14ac:dyDescent="0.2">
      <c r="A56" s="27" t="s">
        <v>100</v>
      </c>
      <c r="B56" s="27" t="s">
        <v>99</v>
      </c>
      <c r="C56" s="27" t="s">
        <v>37</v>
      </c>
      <c r="D56" s="31">
        <v>450</v>
      </c>
      <c r="E56" s="29">
        <v>4517.1225000000004</v>
      </c>
      <c r="F56" s="30">
        <v>3.3466532371114801</v>
      </c>
      <c r="G56" s="29">
        <v>8.9498999999999995</v>
      </c>
    </row>
    <row r="57" spans="1:9" x14ac:dyDescent="0.2">
      <c r="A57" s="27" t="s">
        <v>245</v>
      </c>
      <c r="B57" s="27" t="s">
        <v>244</v>
      </c>
      <c r="C57" s="27" t="s">
        <v>37</v>
      </c>
      <c r="D57" s="31">
        <v>83</v>
      </c>
      <c r="E57" s="29">
        <v>832.04844000000003</v>
      </c>
      <c r="F57" s="30">
        <v>0.61644943327517798</v>
      </c>
      <c r="G57" s="29">
        <v>8.5993999999999993</v>
      </c>
    </row>
    <row r="58" spans="1:9" x14ac:dyDescent="0.2">
      <c r="A58" s="27" t="s">
        <v>179</v>
      </c>
      <c r="B58" s="27" t="s">
        <v>178</v>
      </c>
      <c r="C58" s="27" t="s">
        <v>38</v>
      </c>
      <c r="D58" s="31">
        <v>50</v>
      </c>
      <c r="E58" s="29">
        <v>518.88250000000005</v>
      </c>
      <c r="F58" s="30">
        <v>0.38443053034437202</v>
      </c>
      <c r="G58" s="29">
        <v>4.91</v>
      </c>
    </row>
    <row r="59" spans="1:9" x14ac:dyDescent="0.2">
      <c r="A59" s="27" t="s">
        <v>102</v>
      </c>
      <c r="B59" s="27" t="s">
        <v>101</v>
      </c>
      <c r="C59" s="27" t="s">
        <v>38</v>
      </c>
      <c r="D59" s="31">
        <v>18</v>
      </c>
      <c r="E59" s="29">
        <v>199.78631999999999</v>
      </c>
      <c r="F59" s="30">
        <v>0.14801802133074499</v>
      </c>
      <c r="G59" s="29">
        <v>7</v>
      </c>
    </row>
    <row r="60" spans="1:9" x14ac:dyDescent="0.2">
      <c r="A60" s="26" t="s">
        <v>39</v>
      </c>
      <c r="B60" s="26"/>
      <c r="C60" s="26"/>
      <c r="D60" s="32"/>
      <c r="E60" s="33">
        <f>SUM(E55:E59)</f>
        <v>6067.8397599999998</v>
      </c>
      <c r="F60" s="34">
        <f>SUM(F55:F59)</f>
        <v>4.495551222061775</v>
      </c>
      <c r="G60" s="33"/>
      <c r="H60" s="18"/>
      <c r="I60" s="18"/>
    </row>
    <row r="61" spans="1:9" x14ac:dyDescent="0.2">
      <c r="A61" s="27"/>
      <c r="B61" s="27"/>
      <c r="C61" s="27"/>
      <c r="D61" s="28"/>
      <c r="E61" s="29"/>
      <c r="F61" s="30"/>
      <c r="G61" s="29"/>
    </row>
    <row r="62" spans="1:9" x14ac:dyDescent="0.2">
      <c r="A62" s="26" t="s">
        <v>59</v>
      </c>
      <c r="B62" s="27"/>
      <c r="C62" s="27"/>
      <c r="D62" s="28"/>
      <c r="E62" s="29"/>
      <c r="F62" s="30"/>
      <c r="G62" s="29"/>
    </row>
    <row r="63" spans="1:9" x14ac:dyDescent="0.2">
      <c r="A63" s="26" t="s">
        <v>60</v>
      </c>
      <c r="B63" s="27"/>
      <c r="C63" s="27"/>
      <c r="D63" s="28"/>
      <c r="E63" s="29"/>
      <c r="F63" s="30"/>
      <c r="G63" s="29"/>
    </row>
    <row r="64" spans="1:9" x14ac:dyDescent="0.2">
      <c r="A64" s="27" t="s">
        <v>189</v>
      </c>
      <c r="B64" s="27" t="s">
        <v>188</v>
      </c>
      <c r="C64" s="27" t="s">
        <v>62</v>
      </c>
      <c r="D64" s="31">
        <v>2500</v>
      </c>
      <c r="E64" s="29">
        <v>2426.5650000000001</v>
      </c>
      <c r="F64" s="30">
        <v>1.79779751651885</v>
      </c>
      <c r="G64" s="29">
        <v>3.77</v>
      </c>
    </row>
    <row r="65" spans="1:9" x14ac:dyDescent="0.2">
      <c r="A65" s="26" t="s">
        <v>39</v>
      </c>
      <c r="B65" s="26"/>
      <c r="C65" s="26"/>
      <c r="D65" s="32"/>
      <c r="E65" s="33">
        <f>SUM(E63:E64)</f>
        <v>2426.5650000000001</v>
      </c>
      <c r="F65" s="34">
        <f>SUM(F63:F64)</f>
        <v>1.79779751651885</v>
      </c>
      <c r="G65" s="33"/>
      <c r="H65" s="18"/>
      <c r="I65" s="18"/>
    </row>
    <row r="66" spans="1:9" x14ac:dyDescent="0.2">
      <c r="A66" s="27"/>
      <c r="B66" s="27"/>
      <c r="C66" s="27"/>
      <c r="D66" s="28"/>
      <c r="E66" s="29"/>
      <c r="F66" s="30"/>
      <c r="G66" s="29"/>
    </row>
    <row r="67" spans="1:9" x14ac:dyDescent="0.2">
      <c r="A67" s="26" t="s">
        <v>63</v>
      </c>
      <c r="B67" s="27"/>
      <c r="C67" s="27"/>
      <c r="D67" s="28"/>
      <c r="E67" s="29"/>
      <c r="F67" s="30"/>
      <c r="G67" s="29"/>
    </row>
    <row r="68" spans="1:9" x14ac:dyDescent="0.2">
      <c r="A68" s="27" t="s">
        <v>65</v>
      </c>
      <c r="B68" s="27" t="s">
        <v>64</v>
      </c>
      <c r="C68" s="27" t="s">
        <v>66</v>
      </c>
      <c r="D68" s="31">
        <v>1000</v>
      </c>
      <c r="E68" s="29">
        <v>4842.2299999999996</v>
      </c>
      <c r="F68" s="30">
        <v>3.5875194228932901</v>
      </c>
      <c r="G68" s="29">
        <v>3.9249999999999998</v>
      </c>
    </row>
    <row r="69" spans="1:9" x14ac:dyDescent="0.2">
      <c r="A69" s="27" t="s">
        <v>68</v>
      </c>
      <c r="B69" s="27" t="s">
        <v>67</v>
      </c>
      <c r="C69" s="27" t="s">
        <v>61</v>
      </c>
      <c r="D69" s="31">
        <v>500</v>
      </c>
      <c r="E69" s="29">
        <v>2457.7150000000001</v>
      </c>
      <c r="F69" s="30">
        <v>1.8208759803718899</v>
      </c>
      <c r="G69" s="29">
        <v>3.9249999999999998</v>
      </c>
    </row>
    <row r="70" spans="1:9" x14ac:dyDescent="0.2">
      <c r="A70" s="26" t="s">
        <v>39</v>
      </c>
      <c r="B70" s="26"/>
      <c r="C70" s="26"/>
      <c r="D70" s="32"/>
      <c r="E70" s="33">
        <f>SUM(E67:E69)</f>
        <v>7299.9449999999997</v>
      </c>
      <c r="F70" s="34">
        <f>SUM(F67:F69)</f>
        <v>5.40839540326518</v>
      </c>
      <c r="G70" s="33"/>
      <c r="H70" s="18"/>
      <c r="I70" s="18"/>
    </row>
    <row r="71" spans="1:9" x14ac:dyDescent="0.2">
      <c r="A71" s="27"/>
      <c r="B71" s="27"/>
      <c r="C71" s="27"/>
      <c r="D71" s="28"/>
      <c r="E71" s="29"/>
      <c r="F71" s="30"/>
      <c r="G71" s="29"/>
    </row>
    <row r="72" spans="1:9" x14ac:dyDescent="0.2">
      <c r="A72" s="26" t="s">
        <v>69</v>
      </c>
      <c r="B72" s="27"/>
      <c r="C72" s="27"/>
      <c r="D72" s="28"/>
      <c r="E72" s="29"/>
      <c r="F72" s="30"/>
      <c r="G72" s="29"/>
    </row>
    <row r="73" spans="1:9" x14ac:dyDescent="0.2">
      <c r="A73" s="27" t="s">
        <v>88</v>
      </c>
      <c r="B73" s="27" t="s">
        <v>87</v>
      </c>
      <c r="C73" s="27" t="s">
        <v>70</v>
      </c>
      <c r="D73" s="31">
        <v>3500000</v>
      </c>
      <c r="E73" s="29">
        <v>3472.0630000000001</v>
      </c>
      <c r="F73" s="30">
        <v>2.57238781512013</v>
      </c>
      <c r="G73" s="29">
        <v>3.2999000000000001</v>
      </c>
    </row>
    <row r="74" spans="1:9" x14ac:dyDescent="0.2">
      <c r="A74" s="26" t="s">
        <v>39</v>
      </c>
      <c r="B74" s="26"/>
      <c r="C74" s="26"/>
      <c r="D74" s="32"/>
      <c r="E74" s="33">
        <f>SUM(E72:E73)</f>
        <v>3472.0630000000001</v>
      </c>
      <c r="F74" s="34">
        <f>SUM(F72:F73)</f>
        <v>2.57238781512013</v>
      </c>
      <c r="G74" s="33"/>
      <c r="H74" s="18"/>
      <c r="I74" s="18"/>
    </row>
    <row r="75" spans="1:9" x14ac:dyDescent="0.2">
      <c r="A75" s="27"/>
      <c r="B75" s="27"/>
      <c r="C75" s="27"/>
      <c r="D75" s="28"/>
      <c r="E75" s="29"/>
      <c r="F75" s="30"/>
      <c r="G75" s="29"/>
    </row>
    <row r="76" spans="1:9" x14ac:dyDescent="0.2">
      <c r="A76" s="26" t="s">
        <v>71</v>
      </c>
      <c r="B76" s="27"/>
      <c r="C76" s="27"/>
      <c r="D76" s="28"/>
      <c r="E76" s="29"/>
      <c r="F76" s="30"/>
      <c r="G76" s="29"/>
    </row>
    <row r="77" spans="1:9" x14ac:dyDescent="0.2">
      <c r="A77" s="27" t="s">
        <v>90</v>
      </c>
      <c r="B77" s="27" t="s">
        <v>89</v>
      </c>
      <c r="C77" s="27" t="s">
        <v>74</v>
      </c>
      <c r="D77" s="31">
        <v>11000000</v>
      </c>
      <c r="E77" s="29">
        <v>10882.135</v>
      </c>
      <c r="F77" s="30">
        <v>8.0623742934653908</v>
      </c>
      <c r="G77" s="29">
        <v>5.42</v>
      </c>
    </row>
    <row r="78" spans="1:9" x14ac:dyDescent="0.2">
      <c r="A78" s="27" t="s">
        <v>92</v>
      </c>
      <c r="B78" s="27" t="s">
        <v>91</v>
      </c>
      <c r="C78" s="27" t="s">
        <v>74</v>
      </c>
      <c r="D78" s="31">
        <v>2000000</v>
      </c>
      <c r="E78" s="29">
        <v>2125.9180000000001</v>
      </c>
      <c r="F78" s="30">
        <v>1.57505366669457</v>
      </c>
      <c r="G78" s="29">
        <v>5.7842000000000002</v>
      </c>
    </row>
    <row r="79" spans="1:9" x14ac:dyDescent="0.2">
      <c r="A79" s="27" t="s">
        <v>73</v>
      </c>
      <c r="B79" s="27" t="s">
        <v>72</v>
      </c>
      <c r="C79" s="27" t="s">
        <v>74</v>
      </c>
      <c r="D79" s="31">
        <v>2000000</v>
      </c>
      <c r="E79" s="29">
        <v>2069.1759999999999</v>
      </c>
      <c r="F79" s="30">
        <v>1.53301455928047</v>
      </c>
      <c r="G79" s="29">
        <v>3.6989999999999998</v>
      </c>
    </row>
    <row r="80" spans="1:9" x14ac:dyDescent="0.2">
      <c r="A80" s="27" t="s">
        <v>104</v>
      </c>
      <c r="B80" s="27" t="s">
        <v>103</v>
      </c>
      <c r="C80" s="27" t="s">
        <v>74</v>
      </c>
      <c r="D80" s="31">
        <v>300000</v>
      </c>
      <c r="E80" s="29">
        <v>310.58670000000001</v>
      </c>
      <c r="F80" s="30">
        <v>0.23010799130613999</v>
      </c>
      <c r="G80" s="29">
        <v>5.0692000000000004</v>
      </c>
    </row>
    <row r="81" spans="1:9" x14ac:dyDescent="0.2">
      <c r="A81" s="27" t="s">
        <v>94</v>
      </c>
      <c r="B81" s="27" t="s">
        <v>93</v>
      </c>
      <c r="C81" s="27" t="s">
        <v>74</v>
      </c>
      <c r="D81" s="31">
        <v>100000</v>
      </c>
      <c r="E81" s="29">
        <v>106.4624</v>
      </c>
      <c r="F81" s="30">
        <v>7.8876040131888606E-2</v>
      </c>
      <c r="G81" s="29">
        <v>4.7731000000000003</v>
      </c>
    </row>
    <row r="82" spans="1:9" x14ac:dyDescent="0.2">
      <c r="A82" s="27" t="s">
        <v>96</v>
      </c>
      <c r="B82" s="27" t="s">
        <v>95</v>
      </c>
      <c r="C82" s="27" t="s">
        <v>74</v>
      </c>
      <c r="D82" s="31">
        <v>100000</v>
      </c>
      <c r="E82" s="29">
        <v>99.393000000000001</v>
      </c>
      <c r="F82" s="30">
        <v>7.36384512919942E-2</v>
      </c>
      <c r="G82" s="29">
        <v>5.3844000000000003</v>
      </c>
    </row>
    <row r="83" spans="1:9" x14ac:dyDescent="0.2">
      <c r="A83" s="26" t="s">
        <v>39</v>
      </c>
      <c r="B83" s="26"/>
      <c r="C83" s="26"/>
      <c r="D83" s="32"/>
      <c r="E83" s="33">
        <f>SUM(E77:E82)</f>
        <v>15593.6711</v>
      </c>
      <c r="F83" s="34">
        <f>SUM(F77:F82)</f>
        <v>11.553065002170454</v>
      </c>
      <c r="G83" s="33"/>
      <c r="H83" s="18"/>
      <c r="I83" s="18"/>
    </row>
    <row r="84" spans="1:9" x14ac:dyDescent="0.2">
      <c r="A84" s="27"/>
      <c r="B84" s="27"/>
      <c r="C84" s="27"/>
      <c r="D84" s="28"/>
      <c r="E84" s="29"/>
      <c r="F84" s="30"/>
      <c r="G84" s="29"/>
    </row>
    <row r="85" spans="1:9" x14ac:dyDescent="0.2">
      <c r="A85" s="26" t="s">
        <v>42</v>
      </c>
      <c r="B85" s="26"/>
      <c r="C85" s="26"/>
      <c r="D85" s="32"/>
      <c r="E85" s="33">
        <f>E42+E47+E52+E60+E65+E70+E74+E83</f>
        <v>131215.02744650003</v>
      </c>
      <c r="F85" s="34">
        <f>F42+F47+F52+F60+F65+F70+F74+F83</f>
        <v>97.214807958274406</v>
      </c>
      <c r="G85" s="33"/>
      <c r="H85" s="18"/>
      <c r="I85" s="18"/>
    </row>
    <row r="86" spans="1:9" x14ac:dyDescent="0.2">
      <c r="A86" s="26"/>
      <c r="B86" s="26"/>
      <c r="C86" s="26"/>
      <c r="D86" s="32"/>
      <c r="E86" s="33"/>
      <c r="F86" s="34"/>
      <c r="G86" s="33"/>
      <c r="H86" s="18"/>
      <c r="I86" s="18"/>
    </row>
    <row r="87" spans="1:9" x14ac:dyDescent="0.2">
      <c r="A87" s="26" t="s">
        <v>44</v>
      </c>
      <c r="B87" s="26"/>
      <c r="C87" s="26"/>
      <c r="D87" s="32"/>
      <c r="E87" s="33">
        <f>E89-(E42+E47+E52+E60+E65+E70+E74+E83)</f>
        <v>3759.2940609999641</v>
      </c>
      <c r="F87" s="34">
        <f>F89-(F42+F47+F52+F60+F65+F70+F74+F83)</f>
        <v>2.785192041725594</v>
      </c>
      <c r="G87" s="33"/>
      <c r="H87" s="18"/>
      <c r="I87" s="18"/>
    </row>
    <row r="88" spans="1:9" x14ac:dyDescent="0.2">
      <c r="A88" s="26"/>
      <c r="B88" s="26"/>
      <c r="C88" s="26"/>
      <c r="D88" s="32"/>
      <c r="E88" s="33"/>
      <c r="F88" s="34"/>
      <c r="G88" s="33"/>
      <c r="H88" s="18"/>
      <c r="I88" s="18"/>
    </row>
    <row r="89" spans="1:9" x14ac:dyDescent="0.2">
      <c r="A89" s="35" t="s">
        <v>43</v>
      </c>
      <c r="B89" s="35"/>
      <c r="C89" s="35"/>
      <c r="D89" s="36"/>
      <c r="E89" s="37">
        <v>134974.32150749999</v>
      </c>
      <c r="F89" s="38">
        <v>100</v>
      </c>
      <c r="G89" s="37"/>
      <c r="H89" s="18"/>
      <c r="I89" s="18"/>
    </row>
    <row r="90" spans="1:9" x14ac:dyDescent="0.2">
      <c r="F90" s="20" t="s">
        <v>519</v>
      </c>
    </row>
    <row r="91" spans="1:9" x14ac:dyDescent="0.2">
      <c r="A91" s="18" t="s">
        <v>75</v>
      </c>
      <c r="F91" s="20"/>
    </row>
    <row r="92" spans="1:9" x14ac:dyDescent="0.2">
      <c r="A92" s="18" t="s">
        <v>46</v>
      </c>
    </row>
    <row r="93" spans="1:9" x14ac:dyDescent="0.2">
      <c r="A93" s="18" t="s">
        <v>750</v>
      </c>
    </row>
    <row r="95" spans="1:9" x14ac:dyDescent="0.2">
      <c r="A95" s="18" t="s">
        <v>47</v>
      </c>
    </row>
    <row r="96" spans="1:9" x14ac:dyDescent="0.2">
      <c r="A96" s="18" t="s">
        <v>48</v>
      </c>
    </row>
    <row r="97" spans="1:5" x14ac:dyDescent="0.2">
      <c r="A97" s="18" t="s">
        <v>49</v>
      </c>
      <c r="B97" s="18"/>
      <c r="C97" s="41" t="s">
        <v>731</v>
      </c>
      <c r="D97" s="19" t="s">
        <v>50</v>
      </c>
    </row>
    <row r="98" spans="1:5" x14ac:dyDescent="0.2">
      <c r="A98" s="9" t="s">
        <v>79</v>
      </c>
      <c r="C98" s="40">
        <v>121.6978</v>
      </c>
      <c r="D98" s="40">
        <v>153.0454</v>
      </c>
    </row>
    <row r="99" spans="1:5" x14ac:dyDescent="0.2">
      <c r="A99" s="9" t="s">
        <v>85</v>
      </c>
      <c r="C99" s="40">
        <v>19.378499999999999</v>
      </c>
      <c r="D99" s="40">
        <v>24.370100000000001</v>
      </c>
    </row>
    <row r="100" spans="1:5" x14ac:dyDescent="0.2">
      <c r="A100" s="9" t="s">
        <v>82</v>
      </c>
      <c r="C100" s="40">
        <v>132.43450000000001</v>
      </c>
      <c r="D100" s="40">
        <v>167.38290000000001</v>
      </c>
    </row>
    <row r="101" spans="1:5" x14ac:dyDescent="0.2">
      <c r="A101" s="9" t="s">
        <v>86</v>
      </c>
      <c r="C101" s="40">
        <v>21.700199999999999</v>
      </c>
      <c r="D101" s="40">
        <v>27.425599999999999</v>
      </c>
    </row>
    <row r="103" spans="1:5" x14ac:dyDescent="0.2">
      <c r="A103" s="9" t="s">
        <v>52</v>
      </c>
    </row>
    <row r="105" spans="1:5" x14ac:dyDescent="0.2">
      <c r="A105" s="18" t="s">
        <v>53</v>
      </c>
      <c r="D105" s="41" t="s">
        <v>54</v>
      </c>
    </row>
    <row r="107" spans="1:5" x14ac:dyDescent="0.2">
      <c r="A107" s="18" t="s">
        <v>231</v>
      </c>
      <c r="D107" s="46">
        <v>0.54777659207673812</v>
      </c>
    </row>
    <row r="109" spans="1:5" x14ac:dyDescent="0.2">
      <c r="A109" s="18" t="s">
        <v>232</v>
      </c>
      <c r="D109" s="42">
        <v>2.1387884971070887</v>
      </c>
      <c r="E109" s="13" t="s">
        <v>55</v>
      </c>
    </row>
    <row r="111" spans="1:5" x14ac:dyDescent="0.2">
      <c r="A111" s="18" t="s">
        <v>233</v>
      </c>
      <c r="D111" s="41" t="s">
        <v>54</v>
      </c>
    </row>
    <row r="112" spans="1:5" x14ac:dyDescent="0.2">
      <c r="A112" s="9" t="s">
        <v>58</v>
      </c>
    </row>
    <row r="113" spans="1:1" x14ac:dyDescent="0.2">
      <c r="A113" s="53" t="s">
        <v>744</v>
      </c>
    </row>
    <row r="115" spans="1:1" x14ac:dyDescent="0.2">
      <c r="A115" s="18" t="s">
        <v>753</v>
      </c>
    </row>
    <row r="116" spans="1:1" x14ac:dyDescent="0.2">
      <c r="A116" s="53" t="s">
        <v>57</v>
      </c>
    </row>
  </sheetData>
  <mergeCells count="1">
    <mergeCell ref="A1:G1"/>
  </mergeCells>
  <conditionalFormatting sqref="F2:F3 F5:F89 F92:F65540">
    <cfRule type="cellIs" dxfId="27" priority="2" stopIfTrue="1" operator="between">
      <formula>0.009</formula>
      <formula>-0.009</formula>
    </cfRule>
  </conditionalFormatting>
  <conditionalFormatting sqref="F90:F91">
    <cfRule type="cellIs" dxfId="26" priority="1" stopIfTrue="1" operator="between">
      <formula>0.009</formula>
      <formula>-0.009</formula>
    </cfRule>
  </conditionalFormatting>
  <hyperlinks>
    <hyperlink ref="A116" r:id="rId1" xr:uid="{00000000-0004-0000-2100-000000000000}"/>
    <hyperlink ref="A113" r:id="rId2" xr:uid="{00000000-0004-0000-21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8"/>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14</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115</v>
      </c>
      <c r="B7" s="27" t="s">
        <v>114</v>
      </c>
      <c r="C7" s="27" t="s">
        <v>108</v>
      </c>
      <c r="D7" s="31">
        <v>750000</v>
      </c>
      <c r="E7" s="29">
        <v>4503.75</v>
      </c>
      <c r="F7" s="30">
        <v>9.0270756541495292</v>
      </c>
    </row>
    <row r="8" spans="1:6" x14ac:dyDescent="0.2">
      <c r="A8" s="27" t="s">
        <v>147</v>
      </c>
      <c r="B8" s="27" t="s">
        <v>146</v>
      </c>
      <c r="C8" s="27" t="s">
        <v>108</v>
      </c>
      <c r="D8" s="31">
        <v>1100000</v>
      </c>
      <c r="E8" s="29">
        <v>3888.5</v>
      </c>
      <c r="F8" s="30">
        <v>7.7939014557114499</v>
      </c>
    </row>
    <row r="9" spans="1:6" x14ac:dyDescent="0.2">
      <c r="A9" s="27" t="s">
        <v>247</v>
      </c>
      <c r="B9" s="27" t="s">
        <v>246</v>
      </c>
      <c r="C9" s="27" t="s">
        <v>157</v>
      </c>
      <c r="D9" s="31">
        <v>2300000</v>
      </c>
      <c r="E9" s="29">
        <v>2941.7</v>
      </c>
      <c r="F9" s="30">
        <v>5.8961861674852498</v>
      </c>
    </row>
    <row r="10" spans="1:6" x14ac:dyDescent="0.2">
      <c r="A10" s="27" t="s">
        <v>113</v>
      </c>
      <c r="B10" s="27" t="s">
        <v>112</v>
      </c>
      <c r="C10" s="27" t="s">
        <v>108</v>
      </c>
      <c r="D10" s="31">
        <v>385000</v>
      </c>
      <c r="E10" s="29">
        <v>2752.3649999999998</v>
      </c>
      <c r="F10" s="30">
        <v>5.5166932185030904</v>
      </c>
    </row>
    <row r="11" spans="1:6" x14ac:dyDescent="0.2">
      <c r="A11" s="27" t="s">
        <v>117</v>
      </c>
      <c r="B11" s="27" t="s">
        <v>116</v>
      </c>
      <c r="C11" s="27" t="s">
        <v>118</v>
      </c>
      <c r="D11" s="31">
        <v>500000</v>
      </c>
      <c r="E11" s="29">
        <v>2683.75</v>
      </c>
      <c r="F11" s="30">
        <v>5.3791649818093399</v>
      </c>
    </row>
    <row r="12" spans="1:6" x14ac:dyDescent="0.2">
      <c r="A12" s="27" t="s">
        <v>183</v>
      </c>
      <c r="B12" s="27" t="s">
        <v>182</v>
      </c>
      <c r="C12" s="27" t="s">
        <v>184</v>
      </c>
      <c r="D12" s="31">
        <v>190000</v>
      </c>
      <c r="E12" s="29">
        <v>2663.3249999999998</v>
      </c>
      <c r="F12" s="30">
        <v>5.3382262040716704</v>
      </c>
    </row>
    <row r="13" spans="1:6" x14ac:dyDescent="0.2">
      <c r="A13" s="27" t="s">
        <v>110</v>
      </c>
      <c r="B13" s="27" t="s">
        <v>109</v>
      </c>
      <c r="C13" s="27" t="s">
        <v>111</v>
      </c>
      <c r="D13" s="31">
        <v>180000</v>
      </c>
      <c r="E13" s="29">
        <v>2437.83</v>
      </c>
      <c r="F13" s="30">
        <v>4.8862560848082897</v>
      </c>
    </row>
    <row r="14" spans="1:6" x14ac:dyDescent="0.2">
      <c r="A14" s="27" t="s">
        <v>107</v>
      </c>
      <c r="B14" s="27" t="s">
        <v>106</v>
      </c>
      <c r="C14" s="27" t="s">
        <v>108</v>
      </c>
      <c r="D14" s="31">
        <v>150000</v>
      </c>
      <c r="E14" s="29">
        <v>2118.4499999999998</v>
      </c>
      <c r="F14" s="30">
        <v>4.2461078922082898</v>
      </c>
    </row>
    <row r="15" spans="1:6" x14ac:dyDescent="0.2">
      <c r="A15" s="27" t="s">
        <v>154</v>
      </c>
      <c r="B15" s="27" t="s">
        <v>153</v>
      </c>
      <c r="C15" s="27" t="s">
        <v>152</v>
      </c>
      <c r="D15" s="31">
        <v>1900000</v>
      </c>
      <c r="E15" s="29">
        <v>1946.55</v>
      </c>
      <c r="F15" s="30">
        <v>3.9015607248592299</v>
      </c>
    </row>
    <row r="16" spans="1:6" x14ac:dyDescent="0.2">
      <c r="A16" s="27" t="s">
        <v>137</v>
      </c>
      <c r="B16" s="27" t="s">
        <v>136</v>
      </c>
      <c r="C16" s="27" t="s">
        <v>132</v>
      </c>
      <c r="D16" s="31">
        <v>550000</v>
      </c>
      <c r="E16" s="29">
        <v>1483.075</v>
      </c>
      <c r="F16" s="30">
        <v>2.9725962199895202</v>
      </c>
    </row>
    <row r="17" spans="1:6" x14ac:dyDescent="0.2">
      <c r="A17" s="27" t="s">
        <v>249</v>
      </c>
      <c r="B17" s="27" t="s">
        <v>248</v>
      </c>
      <c r="C17" s="27" t="s">
        <v>250</v>
      </c>
      <c r="D17" s="31">
        <v>1100000</v>
      </c>
      <c r="E17" s="29">
        <v>1449.25</v>
      </c>
      <c r="F17" s="30">
        <v>2.9047991988401201</v>
      </c>
    </row>
    <row r="18" spans="1:6" x14ac:dyDescent="0.2">
      <c r="A18" s="27" t="s">
        <v>156</v>
      </c>
      <c r="B18" s="27" t="s">
        <v>155</v>
      </c>
      <c r="C18" s="27" t="s">
        <v>157</v>
      </c>
      <c r="D18" s="31">
        <v>180000</v>
      </c>
      <c r="E18" s="29">
        <v>1354.59</v>
      </c>
      <c r="F18" s="30">
        <v>2.71506775694797</v>
      </c>
    </row>
    <row r="19" spans="1:6" x14ac:dyDescent="0.2">
      <c r="A19" s="27" t="s">
        <v>252</v>
      </c>
      <c r="B19" s="27" t="s">
        <v>251</v>
      </c>
      <c r="C19" s="27" t="s">
        <v>140</v>
      </c>
      <c r="D19" s="31">
        <v>600000</v>
      </c>
      <c r="E19" s="29">
        <v>1215.5999999999999</v>
      </c>
      <c r="F19" s="30">
        <v>2.4364836336795301</v>
      </c>
    </row>
    <row r="20" spans="1:6" x14ac:dyDescent="0.2">
      <c r="A20" s="27" t="s">
        <v>227</v>
      </c>
      <c r="B20" s="27" t="s">
        <v>226</v>
      </c>
      <c r="C20" s="27" t="s">
        <v>108</v>
      </c>
      <c r="D20" s="31">
        <v>1500000</v>
      </c>
      <c r="E20" s="29">
        <v>1201.5</v>
      </c>
      <c r="F20" s="30">
        <v>2.4082223477015101</v>
      </c>
    </row>
    <row r="21" spans="1:6" x14ac:dyDescent="0.2">
      <c r="A21" s="27" t="s">
        <v>151</v>
      </c>
      <c r="B21" s="27" t="s">
        <v>150</v>
      </c>
      <c r="C21" s="27" t="s">
        <v>152</v>
      </c>
      <c r="D21" s="31">
        <v>500000</v>
      </c>
      <c r="E21" s="29">
        <v>1100.25</v>
      </c>
      <c r="F21" s="30">
        <v>2.20528226222104</v>
      </c>
    </row>
    <row r="22" spans="1:6" x14ac:dyDescent="0.2">
      <c r="A22" s="27" t="s">
        <v>225</v>
      </c>
      <c r="B22" s="27" t="s">
        <v>224</v>
      </c>
      <c r="C22" s="27" t="s">
        <v>132</v>
      </c>
      <c r="D22" s="31">
        <v>800000</v>
      </c>
      <c r="E22" s="29">
        <v>1097.5999999999999</v>
      </c>
      <c r="F22" s="30">
        <v>2.1999707439343901</v>
      </c>
    </row>
    <row r="23" spans="1:6" x14ac:dyDescent="0.2">
      <c r="A23" s="27" t="s">
        <v>219</v>
      </c>
      <c r="B23" s="27" t="s">
        <v>218</v>
      </c>
      <c r="C23" s="27" t="s">
        <v>143</v>
      </c>
      <c r="D23" s="31">
        <v>1200000</v>
      </c>
      <c r="E23" s="29">
        <v>1090.2</v>
      </c>
      <c r="F23" s="30">
        <v>2.1851385796622398</v>
      </c>
    </row>
    <row r="24" spans="1:6" x14ac:dyDescent="0.2">
      <c r="A24" s="27" t="s">
        <v>254</v>
      </c>
      <c r="B24" s="27" t="s">
        <v>253</v>
      </c>
      <c r="C24" s="27" t="s">
        <v>217</v>
      </c>
      <c r="D24" s="31">
        <v>300000</v>
      </c>
      <c r="E24" s="29">
        <v>1085.25</v>
      </c>
      <c r="F24" s="30">
        <v>2.1752170643720898</v>
      </c>
    </row>
    <row r="25" spans="1:6" x14ac:dyDescent="0.2">
      <c r="A25" s="27" t="s">
        <v>256</v>
      </c>
      <c r="B25" s="27" t="s">
        <v>255</v>
      </c>
      <c r="C25" s="27" t="s">
        <v>257</v>
      </c>
      <c r="D25" s="31">
        <v>900000</v>
      </c>
      <c r="E25" s="29">
        <v>973.35</v>
      </c>
      <c r="F25" s="30">
        <v>1.95093068841886</v>
      </c>
    </row>
    <row r="26" spans="1:6" x14ac:dyDescent="0.2">
      <c r="A26" s="27" t="s">
        <v>206</v>
      </c>
      <c r="B26" s="27" t="s">
        <v>205</v>
      </c>
      <c r="C26" s="27" t="s">
        <v>111</v>
      </c>
      <c r="D26" s="31">
        <v>100000</v>
      </c>
      <c r="E26" s="29">
        <v>960.4</v>
      </c>
      <c r="F26" s="30">
        <v>1.92497440094259</v>
      </c>
    </row>
    <row r="27" spans="1:6" x14ac:dyDescent="0.2">
      <c r="A27" s="27" t="s">
        <v>259</v>
      </c>
      <c r="B27" s="27" t="s">
        <v>258</v>
      </c>
      <c r="C27" s="27" t="s">
        <v>121</v>
      </c>
      <c r="D27" s="31">
        <v>7000</v>
      </c>
      <c r="E27" s="29">
        <v>945.63</v>
      </c>
      <c r="F27" s="30">
        <v>1.89537020279399</v>
      </c>
    </row>
    <row r="28" spans="1:6" x14ac:dyDescent="0.2">
      <c r="A28" s="27" t="s">
        <v>186</v>
      </c>
      <c r="B28" s="27" t="s">
        <v>185</v>
      </c>
      <c r="C28" s="27" t="s">
        <v>187</v>
      </c>
      <c r="D28" s="31">
        <v>700000</v>
      </c>
      <c r="E28" s="29">
        <v>931.35</v>
      </c>
      <c r="F28" s="30">
        <v>1.86674813444178</v>
      </c>
    </row>
    <row r="29" spans="1:6" x14ac:dyDescent="0.2">
      <c r="A29" s="27" t="s">
        <v>261</v>
      </c>
      <c r="B29" s="27" t="s">
        <v>260</v>
      </c>
      <c r="C29" s="27" t="s">
        <v>111</v>
      </c>
      <c r="D29" s="31">
        <v>100000</v>
      </c>
      <c r="E29" s="29">
        <v>898.95</v>
      </c>
      <c r="F29" s="30">
        <v>1.8018073070880301</v>
      </c>
    </row>
    <row r="30" spans="1:6" x14ac:dyDescent="0.2">
      <c r="A30" s="27" t="s">
        <v>163</v>
      </c>
      <c r="B30" s="27" t="s">
        <v>162</v>
      </c>
      <c r="C30" s="27" t="s">
        <v>143</v>
      </c>
      <c r="D30" s="31">
        <v>200000</v>
      </c>
      <c r="E30" s="29">
        <v>843.6</v>
      </c>
      <c r="F30" s="30">
        <v>1.6908667270253801</v>
      </c>
    </row>
    <row r="31" spans="1:6" x14ac:dyDescent="0.2">
      <c r="A31" s="27" t="s">
        <v>263</v>
      </c>
      <c r="B31" s="27" t="s">
        <v>262</v>
      </c>
      <c r="C31" s="27" t="s">
        <v>264</v>
      </c>
      <c r="D31" s="31">
        <v>100000</v>
      </c>
      <c r="E31" s="29">
        <v>792.45</v>
      </c>
      <c r="F31" s="30">
        <v>1.5883444023604301</v>
      </c>
    </row>
    <row r="32" spans="1:6" x14ac:dyDescent="0.2">
      <c r="A32" s="27" t="s">
        <v>221</v>
      </c>
      <c r="B32" s="27" t="s">
        <v>220</v>
      </c>
      <c r="C32" s="27" t="s">
        <v>192</v>
      </c>
      <c r="D32" s="31">
        <v>200000</v>
      </c>
      <c r="E32" s="29">
        <v>744.7</v>
      </c>
      <c r="F32" s="30">
        <v>1.4926368558745799</v>
      </c>
    </row>
    <row r="33" spans="1:9" x14ac:dyDescent="0.2">
      <c r="A33" s="27" t="s">
        <v>266</v>
      </c>
      <c r="B33" s="27" t="s">
        <v>265</v>
      </c>
      <c r="C33" s="27" t="s">
        <v>121</v>
      </c>
      <c r="D33" s="31">
        <v>22219</v>
      </c>
      <c r="E33" s="29">
        <v>694.95477249999999</v>
      </c>
      <c r="F33" s="30">
        <v>1.3929301820859901</v>
      </c>
    </row>
    <row r="34" spans="1:9" x14ac:dyDescent="0.2">
      <c r="A34" s="27" t="s">
        <v>268</v>
      </c>
      <c r="B34" s="27" t="s">
        <v>267</v>
      </c>
      <c r="C34" s="27" t="s">
        <v>269</v>
      </c>
      <c r="D34" s="31">
        <v>130000</v>
      </c>
      <c r="E34" s="29">
        <v>626.08000000000004</v>
      </c>
      <c r="F34" s="30">
        <v>1.2548812712850299</v>
      </c>
    </row>
    <row r="35" spans="1:9" x14ac:dyDescent="0.2">
      <c r="A35" s="27" t="s">
        <v>159</v>
      </c>
      <c r="B35" s="27" t="s">
        <v>158</v>
      </c>
      <c r="C35" s="27" t="s">
        <v>157</v>
      </c>
      <c r="D35" s="31">
        <v>15000</v>
      </c>
      <c r="E35" s="29">
        <v>575.0625</v>
      </c>
      <c r="F35" s="30">
        <v>1.1526245225344101</v>
      </c>
    </row>
    <row r="36" spans="1:9" x14ac:dyDescent="0.2">
      <c r="A36" s="27" t="s">
        <v>271</v>
      </c>
      <c r="B36" s="27" t="s">
        <v>270</v>
      </c>
      <c r="C36" s="27" t="s">
        <v>192</v>
      </c>
      <c r="D36" s="31">
        <v>700000</v>
      </c>
      <c r="E36" s="29">
        <v>567</v>
      </c>
      <c r="F36" s="30">
        <v>1.1364644786906</v>
      </c>
    </row>
    <row r="37" spans="1:9" x14ac:dyDescent="0.2">
      <c r="A37" s="27" t="s">
        <v>273</v>
      </c>
      <c r="B37" s="27" t="s">
        <v>272</v>
      </c>
      <c r="C37" s="27" t="s">
        <v>184</v>
      </c>
      <c r="D37" s="31">
        <v>30000</v>
      </c>
      <c r="E37" s="29">
        <v>564.82500000000005</v>
      </c>
      <c r="F37" s="30">
        <v>1.1321050250025</v>
      </c>
    </row>
    <row r="38" spans="1:9" x14ac:dyDescent="0.2">
      <c r="A38" s="27" t="s">
        <v>275</v>
      </c>
      <c r="B38" s="27" t="s">
        <v>274</v>
      </c>
      <c r="C38" s="27" t="s">
        <v>140</v>
      </c>
      <c r="D38" s="31">
        <v>100000</v>
      </c>
      <c r="E38" s="29">
        <v>519.54999999999995</v>
      </c>
      <c r="F38" s="30">
        <v>1.04135823616173</v>
      </c>
    </row>
    <row r="39" spans="1:9" x14ac:dyDescent="0.2">
      <c r="A39" s="27" t="s">
        <v>213</v>
      </c>
      <c r="B39" s="27" t="s">
        <v>212</v>
      </c>
      <c r="C39" s="27" t="s">
        <v>214</v>
      </c>
      <c r="D39" s="31">
        <v>300000</v>
      </c>
      <c r="E39" s="29">
        <v>469.65</v>
      </c>
      <c r="F39" s="30">
        <v>0.94134134465086405</v>
      </c>
    </row>
    <row r="40" spans="1:9" x14ac:dyDescent="0.2">
      <c r="A40" s="27" t="s">
        <v>277</v>
      </c>
      <c r="B40" s="27" t="s">
        <v>276</v>
      </c>
      <c r="C40" s="27" t="s">
        <v>143</v>
      </c>
      <c r="D40" s="31">
        <v>50269</v>
      </c>
      <c r="E40" s="29">
        <v>355.50236799999999</v>
      </c>
      <c r="F40" s="30">
        <v>0.71254993531286304</v>
      </c>
    </row>
    <row r="41" spans="1:9" x14ac:dyDescent="0.2">
      <c r="A41" s="26" t="s">
        <v>39</v>
      </c>
      <c r="B41" s="26"/>
      <c r="C41" s="26"/>
      <c r="D41" s="32"/>
      <c r="E41" s="33">
        <f>SUM(E7:E40)</f>
        <v>48476.589640499988</v>
      </c>
      <c r="F41" s="34">
        <f>SUM(F7:F40)</f>
        <v>97.163883905624161</v>
      </c>
      <c r="G41" s="18"/>
      <c r="H41" s="18"/>
      <c r="I41" s="18"/>
    </row>
    <row r="42" spans="1:9" x14ac:dyDescent="0.2">
      <c r="A42" s="27"/>
      <c r="B42" s="27"/>
      <c r="C42" s="27"/>
      <c r="D42" s="28"/>
      <c r="E42" s="29"/>
      <c r="F42" s="30"/>
    </row>
    <row r="43" spans="1:9" x14ac:dyDescent="0.2">
      <c r="A43" s="26" t="s">
        <v>42</v>
      </c>
      <c r="B43" s="26"/>
      <c r="C43" s="26"/>
      <c r="D43" s="32"/>
      <c r="E43" s="33">
        <f>E41</f>
        <v>48476.589640499988</v>
      </c>
      <c r="F43" s="34">
        <f>F41</f>
        <v>97.163883905624161</v>
      </c>
      <c r="G43" s="18"/>
      <c r="H43" s="18"/>
      <c r="I43" s="18"/>
    </row>
    <row r="44" spans="1:9" x14ac:dyDescent="0.2">
      <c r="A44" s="26"/>
      <c r="B44" s="26"/>
      <c r="C44" s="26"/>
      <c r="D44" s="32"/>
      <c r="E44" s="33"/>
      <c r="F44" s="34"/>
      <c r="G44" s="18"/>
      <c r="H44" s="18"/>
      <c r="I44" s="18"/>
    </row>
    <row r="45" spans="1:9" x14ac:dyDescent="0.2">
      <c r="A45" s="26" t="s">
        <v>44</v>
      </c>
      <c r="B45" s="26"/>
      <c r="C45" s="26"/>
      <c r="D45" s="32"/>
      <c r="E45" s="33">
        <f>E47-(E41)</f>
        <v>1414.9829191000099</v>
      </c>
      <c r="F45" s="34">
        <f>F47-(F41)</f>
        <v>2.8361160943758392</v>
      </c>
      <c r="G45" s="18"/>
      <c r="H45" s="18"/>
      <c r="I45" s="18"/>
    </row>
    <row r="46" spans="1:9" x14ac:dyDescent="0.2">
      <c r="A46" s="26"/>
      <c r="B46" s="26"/>
      <c r="C46" s="26"/>
      <c r="D46" s="32"/>
      <c r="E46" s="33"/>
      <c r="F46" s="34"/>
      <c r="G46" s="18"/>
      <c r="H46" s="18"/>
      <c r="I46" s="18"/>
    </row>
    <row r="47" spans="1:9" x14ac:dyDescent="0.2">
      <c r="A47" s="35" t="s">
        <v>43</v>
      </c>
      <c r="B47" s="35"/>
      <c r="C47" s="35"/>
      <c r="D47" s="36"/>
      <c r="E47" s="37">
        <v>49891.572559599997</v>
      </c>
      <c r="F47" s="38">
        <v>100</v>
      </c>
      <c r="G47" s="18"/>
      <c r="H47" s="18"/>
      <c r="I47" s="18"/>
    </row>
    <row r="50" spans="1:4" x14ac:dyDescent="0.2">
      <c r="A50" s="18" t="s">
        <v>47</v>
      </c>
    </row>
    <row r="51" spans="1:4" x14ac:dyDescent="0.2">
      <c r="A51" s="18" t="s">
        <v>48</v>
      </c>
    </row>
    <row r="52" spans="1:4" x14ac:dyDescent="0.2">
      <c r="A52" s="18" t="s">
        <v>49</v>
      </c>
      <c r="B52" s="18"/>
      <c r="C52" s="41" t="s">
        <v>731</v>
      </c>
      <c r="D52" s="19" t="s">
        <v>50</v>
      </c>
    </row>
    <row r="53" spans="1:4" x14ac:dyDescent="0.2">
      <c r="A53" s="9" t="s">
        <v>79</v>
      </c>
      <c r="C53" s="51">
        <v>217.19040000000001</v>
      </c>
      <c r="D53" s="40">
        <v>313.02100000000002</v>
      </c>
    </row>
    <row r="54" spans="1:4" x14ac:dyDescent="0.2">
      <c r="A54" s="9" t="s">
        <v>85</v>
      </c>
      <c r="C54" s="51">
        <v>47.4998</v>
      </c>
      <c r="D54" s="40">
        <v>62.787700000000001</v>
      </c>
    </row>
    <row r="55" spans="1:4" x14ac:dyDescent="0.2">
      <c r="A55" s="9" t="s">
        <v>82</v>
      </c>
      <c r="C55" s="51">
        <v>230.15780000000001</v>
      </c>
      <c r="D55" s="40">
        <v>333.21269999999998</v>
      </c>
    </row>
    <row r="56" spans="1:4" x14ac:dyDescent="0.2">
      <c r="A56" s="9" t="s">
        <v>86</v>
      </c>
      <c r="C56" s="51">
        <v>51.260599999999997</v>
      </c>
      <c r="D56" s="40">
        <v>68.517099999999999</v>
      </c>
    </row>
    <row r="58" spans="1:4" x14ac:dyDescent="0.2">
      <c r="A58" s="18" t="s">
        <v>53</v>
      </c>
    </row>
    <row r="59" spans="1:4" x14ac:dyDescent="0.2">
      <c r="A59" s="82" t="s">
        <v>76</v>
      </c>
      <c r="B59" s="83"/>
      <c r="C59" s="44" t="s">
        <v>77</v>
      </c>
    </row>
    <row r="60" spans="1:4" x14ac:dyDescent="0.2">
      <c r="A60" s="78" t="s">
        <v>85</v>
      </c>
      <c r="B60" s="79"/>
      <c r="C60" s="45">
        <v>5</v>
      </c>
    </row>
    <row r="61" spans="1:4" x14ac:dyDescent="0.2">
      <c r="A61" s="78" t="s">
        <v>86</v>
      </c>
      <c r="B61" s="79"/>
      <c r="C61" s="45">
        <v>5</v>
      </c>
    </row>
    <row r="62" spans="1:4" x14ac:dyDescent="0.2">
      <c r="A62" s="9" t="s">
        <v>78</v>
      </c>
    </row>
    <row r="63" spans="1:4" x14ac:dyDescent="0.2">
      <c r="A63" s="9" t="s">
        <v>52</v>
      </c>
    </row>
    <row r="65" spans="1:4" x14ac:dyDescent="0.2">
      <c r="A65" s="18" t="s">
        <v>231</v>
      </c>
      <c r="D65" s="46">
        <v>0.1117722895526744</v>
      </c>
    </row>
    <row r="67" spans="1:4" x14ac:dyDescent="0.2">
      <c r="A67" s="18" t="s">
        <v>742</v>
      </c>
    </row>
    <row r="68" spans="1:4" x14ac:dyDescent="0.2">
      <c r="A68" s="53" t="s">
        <v>57</v>
      </c>
    </row>
  </sheetData>
  <mergeCells count="4">
    <mergeCell ref="A1:F1"/>
    <mergeCell ref="A59:B59"/>
    <mergeCell ref="A60:B60"/>
    <mergeCell ref="A61:B61"/>
  </mergeCells>
  <conditionalFormatting sqref="F2:F3 F5:F65534">
    <cfRule type="cellIs" dxfId="25" priority="1" stopIfTrue="1" operator="between">
      <formula>0.009</formula>
      <formula>-0.009</formula>
    </cfRule>
  </conditionalFormatting>
  <hyperlinks>
    <hyperlink ref="A68" r:id="rId1" xr:uid="{00000000-0004-0000-2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1"/>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15</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110</v>
      </c>
      <c r="B7" s="27" t="s">
        <v>109</v>
      </c>
      <c r="C7" s="27" t="s">
        <v>111</v>
      </c>
      <c r="D7" s="31">
        <v>775444</v>
      </c>
      <c r="E7" s="29">
        <v>10502.22581</v>
      </c>
      <c r="F7" s="30">
        <v>10.296307530444601</v>
      </c>
    </row>
    <row r="8" spans="1:6" x14ac:dyDescent="0.2">
      <c r="A8" s="27" t="s">
        <v>151</v>
      </c>
      <c r="B8" s="27" t="s">
        <v>150</v>
      </c>
      <c r="C8" s="27" t="s">
        <v>152</v>
      </c>
      <c r="D8" s="31">
        <v>3009054</v>
      </c>
      <c r="E8" s="29">
        <v>6621.4233270000004</v>
      </c>
      <c r="F8" s="30">
        <v>6.4915963622811796</v>
      </c>
    </row>
    <row r="9" spans="1:6" x14ac:dyDescent="0.2">
      <c r="A9" s="27" t="s">
        <v>204</v>
      </c>
      <c r="B9" s="27" t="s">
        <v>203</v>
      </c>
      <c r="C9" s="27" t="s">
        <v>152</v>
      </c>
      <c r="D9" s="31">
        <v>4647866</v>
      </c>
      <c r="E9" s="29">
        <v>4594.4155410000003</v>
      </c>
      <c r="F9" s="30">
        <v>4.5043323376028201</v>
      </c>
    </row>
    <row r="10" spans="1:6" x14ac:dyDescent="0.2">
      <c r="A10" s="27" t="s">
        <v>235</v>
      </c>
      <c r="B10" s="27" t="s">
        <v>234</v>
      </c>
      <c r="C10" s="27" t="s">
        <v>152</v>
      </c>
      <c r="D10" s="31">
        <v>14497327</v>
      </c>
      <c r="E10" s="29">
        <v>3515.6017980000001</v>
      </c>
      <c r="F10" s="30">
        <v>3.4466710125700399</v>
      </c>
    </row>
    <row r="11" spans="1:6" x14ac:dyDescent="0.2">
      <c r="A11" s="27" t="s">
        <v>154</v>
      </c>
      <c r="B11" s="27" t="s">
        <v>153</v>
      </c>
      <c r="C11" s="27" t="s">
        <v>152</v>
      </c>
      <c r="D11" s="31">
        <v>3291938</v>
      </c>
      <c r="E11" s="29">
        <v>3372.5904810000002</v>
      </c>
      <c r="F11" s="30">
        <v>3.3064637339602201</v>
      </c>
    </row>
    <row r="12" spans="1:6" x14ac:dyDescent="0.2">
      <c r="A12" s="27" t="s">
        <v>149</v>
      </c>
      <c r="B12" s="27" t="s">
        <v>148</v>
      </c>
      <c r="C12" s="27" t="s">
        <v>140</v>
      </c>
      <c r="D12" s="31">
        <v>138206</v>
      </c>
      <c r="E12" s="29">
        <v>3253.023725</v>
      </c>
      <c r="F12" s="30">
        <v>3.18924133630225</v>
      </c>
    </row>
    <row r="13" spans="1:6" x14ac:dyDescent="0.2">
      <c r="A13" s="27" t="s">
        <v>280</v>
      </c>
      <c r="B13" s="27" t="s">
        <v>279</v>
      </c>
      <c r="C13" s="27" t="s">
        <v>217</v>
      </c>
      <c r="D13" s="31">
        <v>2098785</v>
      </c>
      <c r="E13" s="29">
        <v>3174.4123129999998</v>
      </c>
      <c r="F13" s="30">
        <v>3.11217126677625</v>
      </c>
    </row>
    <row r="14" spans="1:6" x14ac:dyDescent="0.2">
      <c r="A14" s="27" t="s">
        <v>282</v>
      </c>
      <c r="B14" s="27" t="s">
        <v>281</v>
      </c>
      <c r="C14" s="27" t="s">
        <v>140</v>
      </c>
      <c r="D14" s="31">
        <v>401912</v>
      </c>
      <c r="E14" s="29">
        <v>2690.8008399999999</v>
      </c>
      <c r="F14" s="30">
        <v>2.6380420163350702</v>
      </c>
    </row>
    <row r="15" spans="1:6" x14ac:dyDescent="0.2">
      <c r="A15" s="27" t="s">
        <v>145</v>
      </c>
      <c r="B15" s="27" t="s">
        <v>144</v>
      </c>
      <c r="C15" s="27" t="s">
        <v>111</v>
      </c>
      <c r="D15" s="31">
        <v>81194</v>
      </c>
      <c r="E15" s="29">
        <v>2464.7656609999999</v>
      </c>
      <c r="F15" s="30">
        <v>2.4164387335845601</v>
      </c>
    </row>
    <row r="16" spans="1:6" x14ac:dyDescent="0.2">
      <c r="A16" s="27" t="s">
        <v>284</v>
      </c>
      <c r="B16" s="27" t="s">
        <v>283</v>
      </c>
      <c r="C16" s="27" t="s">
        <v>214</v>
      </c>
      <c r="D16" s="31">
        <v>178656</v>
      </c>
      <c r="E16" s="29">
        <v>2460.8970720000002</v>
      </c>
      <c r="F16" s="30">
        <v>2.4126459964283198</v>
      </c>
    </row>
    <row r="17" spans="1:6" x14ac:dyDescent="0.2">
      <c r="A17" s="27" t="s">
        <v>286</v>
      </c>
      <c r="B17" s="27" t="s">
        <v>285</v>
      </c>
      <c r="C17" s="27" t="s">
        <v>287</v>
      </c>
      <c r="D17" s="31">
        <v>1311746</v>
      </c>
      <c r="E17" s="29">
        <v>2340.8107369999998</v>
      </c>
      <c r="F17" s="30">
        <v>2.2949142072120998</v>
      </c>
    </row>
    <row r="18" spans="1:6" x14ac:dyDescent="0.2">
      <c r="A18" s="27" t="s">
        <v>289</v>
      </c>
      <c r="B18" s="27" t="s">
        <v>288</v>
      </c>
      <c r="C18" s="27" t="s">
        <v>129</v>
      </c>
      <c r="D18" s="31">
        <v>3209748</v>
      </c>
      <c r="E18" s="29">
        <v>2075.1020819999999</v>
      </c>
      <c r="F18" s="30">
        <v>2.03441533060484</v>
      </c>
    </row>
    <row r="19" spans="1:6" x14ac:dyDescent="0.2">
      <c r="A19" s="27" t="s">
        <v>263</v>
      </c>
      <c r="B19" s="27" t="s">
        <v>262</v>
      </c>
      <c r="C19" s="27" t="s">
        <v>264</v>
      </c>
      <c r="D19" s="31">
        <v>254134</v>
      </c>
      <c r="E19" s="29">
        <v>2013.8848829999999</v>
      </c>
      <c r="F19" s="30">
        <v>1.97439842385958</v>
      </c>
    </row>
    <row r="20" spans="1:6" x14ac:dyDescent="0.2">
      <c r="A20" s="27" t="s">
        <v>131</v>
      </c>
      <c r="B20" s="27" t="s">
        <v>130</v>
      </c>
      <c r="C20" s="27" t="s">
        <v>132</v>
      </c>
      <c r="D20" s="31">
        <v>803388</v>
      </c>
      <c r="E20" s="29">
        <v>1927.7295059999999</v>
      </c>
      <c r="F20" s="30">
        <v>1.88993230467285</v>
      </c>
    </row>
    <row r="21" spans="1:6" x14ac:dyDescent="0.2">
      <c r="A21" s="27" t="s">
        <v>137</v>
      </c>
      <c r="B21" s="27" t="s">
        <v>136</v>
      </c>
      <c r="C21" s="27" t="s">
        <v>132</v>
      </c>
      <c r="D21" s="31">
        <v>624255</v>
      </c>
      <c r="E21" s="29">
        <v>1683.3036079999999</v>
      </c>
      <c r="F21" s="30">
        <v>1.6502988917427299</v>
      </c>
    </row>
    <row r="22" spans="1:6" x14ac:dyDescent="0.2">
      <c r="A22" s="27" t="s">
        <v>186</v>
      </c>
      <c r="B22" s="27" t="s">
        <v>185</v>
      </c>
      <c r="C22" s="27" t="s">
        <v>187</v>
      </c>
      <c r="D22" s="31">
        <v>1247000</v>
      </c>
      <c r="E22" s="29">
        <v>1659.1334999999999</v>
      </c>
      <c r="F22" s="30">
        <v>1.62660268966954</v>
      </c>
    </row>
    <row r="23" spans="1:6" x14ac:dyDescent="0.2">
      <c r="A23" s="27" t="s">
        <v>183</v>
      </c>
      <c r="B23" s="27" t="s">
        <v>182</v>
      </c>
      <c r="C23" s="27" t="s">
        <v>184</v>
      </c>
      <c r="D23" s="31">
        <v>114691</v>
      </c>
      <c r="E23" s="29">
        <v>1607.6810929999999</v>
      </c>
      <c r="F23" s="30">
        <v>1.57615911558935</v>
      </c>
    </row>
    <row r="24" spans="1:6" x14ac:dyDescent="0.2">
      <c r="A24" s="27" t="s">
        <v>291</v>
      </c>
      <c r="B24" s="27" t="s">
        <v>290</v>
      </c>
      <c r="C24" s="27" t="s">
        <v>292</v>
      </c>
      <c r="D24" s="31">
        <v>136944</v>
      </c>
      <c r="E24" s="29">
        <v>1604.846736</v>
      </c>
      <c r="F24" s="30">
        <v>1.5733803321341999</v>
      </c>
    </row>
    <row r="25" spans="1:6" x14ac:dyDescent="0.2">
      <c r="A25" s="27" t="s">
        <v>294</v>
      </c>
      <c r="B25" s="27" t="s">
        <v>293</v>
      </c>
      <c r="C25" s="27" t="s">
        <v>184</v>
      </c>
      <c r="D25" s="31">
        <v>51875</v>
      </c>
      <c r="E25" s="29">
        <v>1455.82</v>
      </c>
      <c r="F25" s="30">
        <v>1.4272755794965899</v>
      </c>
    </row>
    <row r="26" spans="1:6" x14ac:dyDescent="0.2">
      <c r="A26" s="27" t="s">
        <v>266</v>
      </c>
      <c r="B26" s="27" t="s">
        <v>265</v>
      </c>
      <c r="C26" s="27" t="s">
        <v>121</v>
      </c>
      <c r="D26" s="31">
        <v>46395</v>
      </c>
      <c r="E26" s="29">
        <v>1451.1196130000001</v>
      </c>
      <c r="F26" s="30">
        <v>1.4226673534938701</v>
      </c>
    </row>
    <row r="27" spans="1:6" x14ac:dyDescent="0.2">
      <c r="A27" s="27" t="s">
        <v>296</v>
      </c>
      <c r="B27" s="27" t="s">
        <v>295</v>
      </c>
      <c r="C27" s="27" t="s">
        <v>157</v>
      </c>
      <c r="D27" s="31">
        <v>1239545</v>
      </c>
      <c r="E27" s="29">
        <v>1396.9672149999999</v>
      </c>
      <c r="F27" s="30">
        <v>1.3695767274298101</v>
      </c>
    </row>
    <row r="28" spans="1:6" x14ac:dyDescent="0.2">
      <c r="A28" s="27" t="s">
        <v>271</v>
      </c>
      <c r="B28" s="27" t="s">
        <v>270</v>
      </c>
      <c r="C28" s="27" t="s">
        <v>192</v>
      </c>
      <c r="D28" s="31">
        <v>1505501</v>
      </c>
      <c r="E28" s="29">
        <v>1219.4558099999999</v>
      </c>
      <c r="F28" s="30">
        <v>1.1955458077840899</v>
      </c>
    </row>
    <row r="29" spans="1:6" x14ac:dyDescent="0.2">
      <c r="A29" s="27" t="s">
        <v>227</v>
      </c>
      <c r="B29" s="27" t="s">
        <v>226</v>
      </c>
      <c r="C29" s="27" t="s">
        <v>108</v>
      </c>
      <c r="D29" s="31">
        <v>1505600</v>
      </c>
      <c r="E29" s="29">
        <v>1205.9856</v>
      </c>
      <c r="F29" s="30">
        <v>1.18233970965129</v>
      </c>
    </row>
    <row r="30" spans="1:6" x14ac:dyDescent="0.2">
      <c r="A30" s="27" t="s">
        <v>206</v>
      </c>
      <c r="B30" s="27" t="s">
        <v>205</v>
      </c>
      <c r="C30" s="27" t="s">
        <v>111</v>
      </c>
      <c r="D30" s="31">
        <v>121952</v>
      </c>
      <c r="E30" s="29">
        <v>1171.2270080000001</v>
      </c>
      <c r="F30" s="30">
        <v>1.1482626331313399</v>
      </c>
    </row>
    <row r="31" spans="1:6" x14ac:dyDescent="0.2">
      <c r="A31" s="27" t="s">
        <v>156</v>
      </c>
      <c r="B31" s="27" t="s">
        <v>155</v>
      </c>
      <c r="C31" s="27" t="s">
        <v>157</v>
      </c>
      <c r="D31" s="31">
        <v>155566</v>
      </c>
      <c r="E31" s="29">
        <v>1170.711933</v>
      </c>
      <c r="F31" s="30">
        <v>1.14775765726268</v>
      </c>
    </row>
    <row r="32" spans="1:6" x14ac:dyDescent="0.2">
      <c r="A32" s="27" t="s">
        <v>298</v>
      </c>
      <c r="B32" s="27" t="s">
        <v>297</v>
      </c>
      <c r="C32" s="27" t="s">
        <v>187</v>
      </c>
      <c r="D32" s="31">
        <v>709254</v>
      </c>
      <c r="E32" s="29">
        <v>1104.6631050000001</v>
      </c>
      <c r="F32" s="30">
        <v>1.0830038557908099</v>
      </c>
    </row>
    <row r="33" spans="1:9" x14ac:dyDescent="0.2">
      <c r="A33" s="27" t="s">
        <v>159</v>
      </c>
      <c r="B33" s="27" t="s">
        <v>158</v>
      </c>
      <c r="C33" s="27" t="s">
        <v>157</v>
      </c>
      <c r="D33" s="31">
        <v>28265</v>
      </c>
      <c r="E33" s="29">
        <v>1083.609438</v>
      </c>
      <c r="F33" s="30">
        <v>1.06236299032121</v>
      </c>
    </row>
    <row r="34" spans="1:9" x14ac:dyDescent="0.2">
      <c r="A34" s="27" t="s">
        <v>249</v>
      </c>
      <c r="B34" s="27" t="s">
        <v>248</v>
      </c>
      <c r="C34" s="27" t="s">
        <v>250</v>
      </c>
      <c r="D34" s="31">
        <v>821499</v>
      </c>
      <c r="E34" s="29">
        <v>1082.3249330000001</v>
      </c>
      <c r="F34" s="30">
        <v>1.0611036707499499</v>
      </c>
    </row>
    <row r="35" spans="1:9" x14ac:dyDescent="0.2">
      <c r="A35" s="27" t="s">
        <v>134</v>
      </c>
      <c r="B35" s="27" t="s">
        <v>133</v>
      </c>
      <c r="C35" s="27" t="s">
        <v>135</v>
      </c>
      <c r="D35" s="31">
        <v>20000</v>
      </c>
      <c r="E35" s="29">
        <v>1032.6199999999999</v>
      </c>
      <c r="F35" s="30">
        <v>1.01237330775767</v>
      </c>
    </row>
    <row r="36" spans="1:9" x14ac:dyDescent="0.2">
      <c r="A36" s="27" t="s">
        <v>300</v>
      </c>
      <c r="B36" s="27" t="s">
        <v>299</v>
      </c>
      <c r="C36" s="27" t="s">
        <v>192</v>
      </c>
      <c r="D36" s="31">
        <v>100000</v>
      </c>
      <c r="E36" s="29">
        <v>1025.8499999999999</v>
      </c>
      <c r="F36" s="30">
        <v>1.00573604788132</v>
      </c>
    </row>
    <row r="37" spans="1:9" x14ac:dyDescent="0.2">
      <c r="A37" s="27" t="s">
        <v>139</v>
      </c>
      <c r="B37" s="27" t="s">
        <v>138</v>
      </c>
      <c r="C37" s="27" t="s">
        <v>140</v>
      </c>
      <c r="D37" s="31">
        <v>64045</v>
      </c>
      <c r="E37" s="29">
        <v>949.082855</v>
      </c>
      <c r="F37" s="30">
        <v>0.93047408461238801</v>
      </c>
    </row>
    <row r="38" spans="1:9" x14ac:dyDescent="0.2">
      <c r="A38" s="27" t="s">
        <v>219</v>
      </c>
      <c r="B38" s="27" t="s">
        <v>218</v>
      </c>
      <c r="C38" s="27" t="s">
        <v>143</v>
      </c>
      <c r="D38" s="31">
        <v>972460</v>
      </c>
      <c r="E38" s="29">
        <v>883.47991000000002</v>
      </c>
      <c r="F38" s="30">
        <v>0.86615742366422299</v>
      </c>
    </row>
    <row r="39" spans="1:9" x14ac:dyDescent="0.2">
      <c r="A39" s="27" t="s">
        <v>302</v>
      </c>
      <c r="B39" s="27" t="s">
        <v>301</v>
      </c>
      <c r="C39" s="27" t="s">
        <v>111</v>
      </c>
      <c r="D39" s="31">
        <v>119545</v>
      </c>
      <c r="E39" s="29">
        <v>881.10642250000001</v>
      </c>
      <c r="F39" s="30">
        <v>0.86383047339084396</v>
      </c>
    </row>
    <row r="40" spans="1:9" x14ac:dyDescent="0.2">
      <c r="A40" s="27" t="s">
        <v>225</v>
      </c>
      <c r="B40" s="27" t="s">
        <v>224</v>
      </c>
      <c r="C40" s="27" t="s">
        <v>132</v>
      </c>
      <c r="D40" s="31">
        <v>621258</v>
      </c>
      <c r="E40" s="29">
        <v>852.36597600000005</v>
      </c>
      <c r="F40" s="30">
        <v>0.83565354393989599</v>
      </c>
    </row>
    <row r="41" spans="1:9" x14ac:dyDescent="0.2">
      <c r="A41" s="27" t="s">
        <v>247</v>
      </c>
      <c r="B41" s="27" t="s">
        <v>246</v>
      </c>
      <c r="C41" s="27" t="s">
        <v>157</v>
      </c>
      <c r="D41" s="31">
        <v>658906</v>
      </c>
      <c r="E41" s="29">
        <v>842.74077399999999</v>
      </c>
      <c r="F41" s="30">
        <v>0.82621706431856801</v>
      </c>
    </row>
    <row r="42" spans="1:9" x14ac:dyDescent="0.2">
      <c r="A42" s="27" t="s">
        <v>256</v>
      </c>
      <c r="B42" s="27" t="s">
        <v>255</v>
      </c>
      <c r="C42" s="27" t="s">
        <v>257</v>
      </c>
      <c r="D42" s="31">
        <v>753071</v>
      </c>
      <c r="E42" s="29">
        <v>814.44628650000004</v>
      </c>
      <c r="F42" s="30">
        <v>0.79847734990118102</v>
      </c>
    </row>
    <row r="43" spans="1:9" x14ac:dyDescent="0.2">
      <c r="A43" s="27" t="s">
        <v>142</v>
      </c>
      <c r="B43" s="27" t="s">
        <v>141</v>
      </c>
      <c r="C43" s="27" t="s">
        <v>143</v>
      </c>
      <c r="D43" s="31">
        <v>339633</v>
      </c>
      <c r="E43" s="29">
        <v>796.94883449999998</v>
      </c>
      <c r="F43" s="30">
        <v>0.78132297233869796</v>
      </c>
    </row>
    <row r="44" spans="1:9" x14ac:dyDescent="0.2">
      <c r="A44" s="27" t="s">
        <v>213</v>
      </c>
      <c r="B44" s="27" t="s">
        <v>212</v>
      </c>
      <c r="C44" s="27" t="s">
        <v>214</v>
      </c>
      <c r="D44" s="31">
        <v>439349</v>
      </c>
      <c r="E44" s="29">
        <v>687.8008595</v>
      </c>
      <c r="F44" s="30">
        <v>0.674315073512603</v>
      </c>
    </row>
    <row r="45" spans="1:9" x14ac:dyDescent="0.2">
      <c r="A45" s="27" t="s">
        <v>304</v>
      </c>
      <c r="B45" s="27" t="s">
        <v>303</v>
      </c>
      <c r="C45" s="27" t="s">
        <v>184</v>
      </c>
      <c r="D45" s="31">
        <v>40800</v>
      </c>
      <c r="E45" s="29">
        <v>614.59079999999994</v>
      </c>
      <c r="F45" s="30">
        <v>0.60254045158280201</v>
      </c>
    </row>
    <row r="46" spans="1:9" x14ac:dyDescent="0.2">
      <c r="A46" s="27" t="s">
        <v>306</v>
      </c>
      <c r="B46" s="27" t="s">
        <v>305</v>
      </c>
      <c r="C46" s="27" t="s">
        <v>152</v>
      </c>
      <c r="D46" s="31">
        <v>100000</v>
      </c>
      <c r="E46" s="29">
        <v>607.95000000000005</v>
      </c>
      <c r="F46" s="30">
        <v>0.59602985846804801</v>
      </c>
    </row>
    <row r="47" spans="1:9" x14ac:dyDescent="0.2">
      <c r="A47" s="26" t="s">
        <v>39</v>
      </c>
      <c r="B47" s="26"/>
      <c r="C47" s="26"/>
      <c r="D47" s="32"/>
      <c r="E47" s="33">
        <f>SUM(E7:E46)</f>
        <v>79893.516086000003</v>
      </c>
      <c r="F47" s="34">
        <f>SUM(F7:F46)</f>
        <v>78.327035258250334</v>
      </c>
      <c r="G47" s="18"/>
      <c r="H47" s="18"/>
      <c r="I47" s="18"/>
    </row>
    <row r="48" spans="1:9" x14ac:dyDescent="0.2">
      <c r="A48" s="27"/>
      <c r="B48" s="27"/>
      <c r="C48" s="27"/>
      <c r="D48" s="28"/>
      <c r="E48" s="29"/>
      <c r="F48" s="30"/>
    </row>
    <row r="49" spans="1:9" x14ac:dyDescent="0.2">
      <c r="A49" s="26" t="s">
        <v>228</v>
      </c>
      <c r="B49" s="27"/>
      <c r="C49" s="27"/>
      <c r="D49" s="28"/>
      <c r="E49" s="29"/>
      <c r="F49" s="30"/>
    </row>
    <row r="50" spans="1:9" x14ac:dyDescent="0.2">
      <c r="A50" s="27" t="s">
        <v>230</v>
      </c>
      <c r="B50" s="27" t="s">
        <v>229</v>
      </c>
      <c r="C50" s="27" t="s">
        <v>381</v>
      </c>
      <c r="D50" s="31">
        <v>933400</v>
      </c>
      <c r="E50" s="29">
        <v>2917.9017399999998</v>
      </c>
      <c r="F50" s="30">
        <v>2.8606901243784399</v>
      </c>
    </row>
    <row r="51" spans="1:9" x14ac:dyDescent="0.2">
      <c r="A51" s="27" t="s">
        <v>243</v>
      </c>
      <c r="B51" s="27" t="s">
        <v>242</v>
      </c>
      <c r="C51" s="27" t="s">
        <v>381</v>
      </c>
      <c r="D51" s="31">
        <v>151600</v>
      </c>
      <c r="E51" s="29">
        <v>372.08704</v>
      </c>
      <c r="F51" s="30">
        <v>0.364791489084621</v>
      </c>
    </row>
    <row r="52" spans="1:9" x14ac:dyDescent="0.2">
      <c r="A52" s="26" t="s">
        <v>39</v>
      </c>
      <c r="B52" s="26"/>
      <c r="C52" s="26"/>
      <c r="D52" s="32"/>
      <c r="E52" s="33">
        <f>SUM(E49:E51)</f>
        <v>3289.9887799999997</v>
      </c>
      <c r="F52" s="34">
        <f>SUM(F49:F51)</f>
        <v>3.2254816134630611</v>
      </c>
      <c r="G52" s="18"/>
      <c r="H52" s="18"/>
      <c r="I52" s="18"/>
    </row>
    <row r="53" spans="1:9" x14ac:dyDescent="0.2">
      <c r="A53" s="27"/>
      <c r="B53" s="27"/>
      <c r="C53" s="27"/>
      <c r="D53" s="28"/>
      <c r="E53" s="29"/>
      <c r="F53" s="30"/>
    </row>
    <row r="54" spans="1:9" x14ac:dyDescent="0.2">
      <c r="A54" s="26" t="s">
        <v>307</v>
      </c>
      <c r="B54" s="27"/>
      <c r="C54" s="27"/>
      <c r="D54" s="28"/>
      <c r="E54" s="29"/>
      <c r="F54" s="30"/>
    </row>
    <row r="55" spans="1:9" x14ac:dyDescent="0.2">
      <c r="A55" s="27" t="s">
        <v>309</v>
      </c>
      <c r="B55" s="27" t="s">
        <v>308</v>
      </c>
      <c r="C55" s="27" t="s">
        <v>140</v>
      </c>
      <c r="D55" s="31">
        <v>86900</v>
      </c>
      <c r="E55" s="29">
        <v>3793.0056380000001</v>
      </c>
      <c r="F55" s="30">
        <v>3.7186357654176301</v>
      </c>
    </row>
    <row r="56" spans="1:9" x14ac:dyDescent="0.2">
      <c r="A56" s="27" t="s">
        <v>311</v>
      </c>
      <c r="B56" s="27" t="s">
        <v>310</v>
      </c>
      <c r="C56" s="27" t="s">
        <v>217</v>
      </c>
      <c r="D56" s="31">
        <v>187038</v>
      </c>
      <c r="E56" s="29">
        <v>3099.7037340000002</v>
      </c>
      <c r="F56" s="30">
        <v>3.03892750698067</v>
      </c>
    </row>
    <row r="57" spans="1:9" x14ac:dyDescent="0.2">
      <c r="A57" s="27" t="s">
        <v>313</v>
      </c>
      <c r="B57" s="27" t="s">
        <v>312</v>
      </c>
      <c r="C57" s="27" t="s">
        <v>126</v>
      </c>
      <c r="D57" s="31">
        <v>3297307</v>
      </c>
      <c r="E57" s="29">
        <v>2132.8748399999999</v>
      </c>
      <c r="F57" s="30">
        <v>2.0910553318780498</v>
      </c>
    </row>
    <row r="58" spans="1:9" x14ac:dyDescent="0.2">
      <c r="A58" s="27" t="s">
        <v>315</v>
      </c>
      <c r="B58" s="27" t="s">
        <v>314</v>
      </c>
      <c r="C58" s="27" t="s">
        <v>316</v>
      </c>
      <c r="D58" s="31">
        <v>2562198</v>
      </c>
      <c r="E58" s="29">
        <v>2020.4669690000001</v>
      </c>
      <c r="F58" s="30">
        <v>1.9808514541861</v>
      </c>
    </row>
    <row r="59" spans="1:9" x14ac:dyDescent="0.2">
      <c r="A59" s="27" t="s">
        <v>318</v>
      </c>
      <c r="B59" s="27" t="s">
        <v>317</v>
      </c>
      <c r="C59" s="27" t="s">
        <v>319</v>
      </c>
      <c r="D59" s="31">
        <v>1575983</v>
      </c>
      <c r="E59" s="29">
        <v>1954.659766</v>
      </c>
      <c r="F59" s="30">
        <v>1.91633454014667</v>
      </c>
    </row>
    <row r="60" spans="1:9" x14ac:dyDescent="0.2">
      <c r="A60" s="27" t="s">
        <v>321</v>
      </c>
      <c r="B60" s="27" t="s">
        <v>320</v>
      </c>
      <c r="C60" s="27" t="s">
        <v>111</v>
      </c>
      <c r="D60" s="31">
        <v>633055</v>
      </c>
      <c r="E60" s="29">
        <v>1030.3784410000001</v>
      </c>
      <c r="F60" s="30">
        <v>1.0101756992479001</v>
      </c>
    </row>
    <row r="61" spans="1:9" x14ac:dyDescent="0.2">
      <c r="A61" s="27" t="s">
        <v>323</v>
      </c>
      <c r="B61" s="27" t="s">
        <v>322</v>
      </c>
      <c r="C61" s="27" t="s">
        <v>324</v>
      </c>
      <c r="D61" s="31">
        <v>500000</v>
      </c>
      <c r="E61" s="29">
        <v>808.71042910000006</v>
      </c>
      <c r="F61" s="30">
        <v>0.79285395607880205</v>
      </c>
    </row>
    <row r="62" spans="1:9" x14ac:dyDescent="0.2">
      <c r="A62" s="27" t="s">
        <v>326</v>
      </c>
      <c r="B62" s="27" t="s">
        <v>325</v>
      </c>
      <c r="C62" s="27" t="s">
        <v>121</v>
      </c>
      <c r="D62" s="31">
        <v>200000</v>
      </c>
      <c r="E62" s="29">
        <v>772.39086980000002</v>
      </c>
      <c r="F62" s="30">
        <v>0.75724651831385303</v>
      </c>
    </row>
    <row r="63" spans="1:9" x14ac:dyDescent="0.2">
      <c r="A63" s="27" t="s">
        <v>328</v>
      </c>
      <c r="B63" s="27" t="s">
        <v>327</v>
      </c>
      <c r="C63" s="27" t="s">
        <v>192</v>
      </c>
      <c r="D63" s="31">
        <v>25000</v>
      </c>
      <c r="E63" s="29">
        <v>248.5384</v>
      </c>
      <c r="F63" s="30">
        <v>0.24366528065774401</v>
      </c>
    </row>
    <row r="64" spans="1:9" x14ac:dyDescent="0.2">
      <c r="A64" s="26" t="s">
        <v>39</v>
      </c>
      <c r="B64" s="26"/>
      <c r="C64" s="26"/>
      <c r="D64" s="32"/>
      <c r="E64" s="33">
        <f>SUM(E54:E63)</f>
        <v>15860.729086899999</v>
      </c>
      <c r="F64" s="34">
        <f>SUM(F54:F63)</f>
        <v>15.54974605290742</v>
      </c>
      <c r="G64" s="18"/>
      <c r="H64" s="18"/>
      <c r="I64" s="18"/>
    </row>
    <row r="65" spans="1:9" x14ac:dyDescent="0.2">
      <c r="A65" s="27"/>
      <c r="B65" s="27"/>
      <c r="C65" s="27"/>
      <c r="D65" s="28"/>
      <c r="E65" s="29"/>
      <c r="F65" s="30"/>
    </row>
    <row r="66" spans="1:9" x14ac:dyDescent="0.2">
      <c r="A66" s="26" t="s">
        <v>42</v>
      </c>
      <c r="B66" s="26"/>
      <c r="C66" s="26"/>
      <c r="D66" s="32"/>
      <c r="E66" s="33">
        <f>E47+E52+E64</f>
        <v>99044.233952900002</v>
      </c>
      <c r="F66" s="34">
        <f>F47+F52+F64</f>
        <v>97.102262924620817</v>
      </c>
      <c r="G66" s="18"/>
      <c r="H66" s="18"/>
      <c r="I66" s="18"/>
    </row>
    <row r="67" spans="1:9" x14ac:dyDescent="0.2">
      <c r="A67" s="26"/>
      <c r="B67" s="26"/>
      <c r="C67" s="26"/>
      <c r="D67" s="32"/>
      <c r="E67" s="33"/>
      <c r="F67" s="34"/>
      <c r="G67" s="18"/>
      <c r="H67" s="18"/>
      <c r="I67" s="18"/>
    </row>
    <row r="68" spans="1:9" x14ac:dyDescent="0.2">
      <c r="A68" s="26" t="s">
        <v>44</v>
      </c>
      <c r="B68" s="26"/>
      <c r="C68" s="26"/>
      <c r="D68" s="32"/>
      <c r="E68" s="33">
        <f>E70-(E47+E52+E64)</f>
        <v>2955.6896016999963</v>
      </c>
      <c r="F68" s="34">
        <f>F70-(F47+F52+F64)</f>
        <v>2.8977370753791831</v>
      </c>
      <c r="G68" s="18"/>
      <c r="H68" s="18"/>
      <c r="I68" s="18"/>
    </row>
    <row r="69" spans="1:9" x14ac:dyDescent="0.2">
      <c r="A69" s="26"/>
      <c r="B69" s="26"/>
      <c r="C69" s="26"/>
      <c r="D69" s="32"/>
      <c r="E69" s="33"/>
      <c r="F69" s="34"/>
      <c r="G69" s="18"/>
      <c r="H69" s="18"/>
      <c r="I69" s="18"/>
    </row>
    <row r="70" spans="1:9" x14ac:dyDescent="0.2">
      <c r="A70" s="35" t="s">
        <v>43</v>
      </c>
      <c r="B70" s="35"/>
      <c r="C70" s="35"/>
      <c r="D70" s="36"/>
      <c r="E70" s="37">
        <v>101999.9235546</v>
      </c>
      <c r="F70" s="38">
        <v>100</v>
      </c>
      <c r="G70" s="18"/>
      <c r="H70" s="18"/>
      <c r="I70" s="18"/>
    </row>
    <row r="73" spans="1:9" x14ac:dyDescent="0.2">
      <c r="A73" s="18" t="s">
        <v>47</v>
      </c>
    </row>
    <row r="74" spans="1:9" x14ac:dyDescent="0.2">
      <c r="A74" s="18" t="s">
        <v>48</v>
      </c>
    </row>
    <row r="75" spans="1:9" x14ac:dyDescent="0.2">
      <c r="A75" s="18" t="s">
        <v>49</v>
      </c>
      <c r="B75" s="18"/>
      <c r="C75" s="41" t="s">
        <v>731</v>
      </c>
      <c r="D75" s="19" t="s">
        <v>50</v>
      </c>
    </row>
    <row r="76" spans="1:9" x14ac:dyDescent="0.2">
      <c r="A76" s="9" t="s">
        <v>79</v>
      </c>
      <c r="C76" s="51">
        <v>47.330300000000001</v>
      </c>
      <c r="D76" s="40">
        <v>65.013900000000007</v>
      </c>
    </row>
    <row r="77" spans="1:9" x14ac:dyDescent="0.2">
      <c r="A77" s="9" t="s">
        <v>85</v>
      </c>
      <c r="C77" s="51">
        <v>12.9968</v>
      </c>
      <c r="D77" s="40">
        <v>17.0871</v>
      </c>
    </row>
    <row r="78" spans="1:9" x14ac:dyDescent="0.2">
      <c r="A78" s="9" t="s">
        <v>82</v>
      </c>
      <c r="C78" s="51">
        <v>49.91</v>
      </c>
      <c r="D78" s="40">
        <v>68.836699999999993</v>
      </c>
    </row>
    <row r="79" spans="1:9" x14ac:dyDescent="0.2">
      <c r="A79" s="9" t="s">
        <v>86</v>
      </c>
      <c r="C79" s="51">
        <v>13.986599999999999</v>
      </c>
      <c r="D79" s="40">
        <v>18.521000000000001</v>
      </c>
    </row>
    <row r="81" spans="1:4" x14ac:dyDescent="0.2">
      <c r="A81" s="18" t="s">
        <v>53</v>
      </c>
    </row>
    <row r="82" spans="1:4" x14ac:dyDescent="0.2">
      <c r="A82" s="82" t="s">
        <v>76</v>
      </c>
      <c r="B82" s="83"/>
      <c r="C82" s="44" t="s">
        <v>77</v>
      </c>
    </row>
    <row r="83" spans="1:4" x14ac:dyDescent="0.2">
      <c r="A83" s="78" t="s">
        <v>85</v>
      </c>
      <c r="B83" s="79"/>
      <c r="C83" s="45">
        <v>0.75</v>
      </c>
    </row>
    <row r="84" spans="1:4" x14ac:dyDescent="0.2">
      <c r="A84" s="78" t="s">
        <v>86</v>
      </c>
      <c r="B84" s="79"/>
      <c r="C84" s="45">
        <v>0.75</v>
      </c>
    </row>
    <row r="85" spans="1:4" x14ac:dyDescent="0.2">
      <c r="A85" s="9" t="s">
        <v>78</v>
      </c>
    </row>
    <row r="86" spans="1:4" x14ac:dyDescent="0.2">
      <c r="A86" s="9" t="s">
        <v>52</v>
      </c>
    </row>
    <row r="88" spans="1:4" x14ac:dyDescent="0.2">
      <c r="A88" s="18" t="s">
        <v>231</v>
      </c>
      <c r="D88" s="46">
        <v>7.9920464288317131E-2</v>
      </c>
    </row>
    <row r="90" spans="1:4" x14ac:dyDescent="0.2">
      <c r="A90" s="18" t="s">
        <v>742</v>
      </c>
    </row>
    <row r="91" spans="1:4" x14ac:dyDescent="0.2">
      <c r="A91" s="53" t="s">
        <v>57</v>
      </c>
    </row>
  </sheetData>
  <mergeCells count="4">
    <mergeCell ref="A1:F1"/>
    <mergeCell ref="A82:B82"/>
    <mergeCell ref="A83:B83"/>
    <mergeCell ref="A84:B84"/>
  </mergeCells>
  <conditionalFormatting sqref="F2:F3 F5:F65534">
    <cfRule type="cellIs" dxfId="24" priority="1" stopIfTrue="1" operator="between">
      <formula>0.009</formula>
      <formula>-0.009</formula>
    </cfRule>
  </conditionalFormatting>
  <hyperlinks>
    <hyperlink ref="A91" r:id="rId1" xr:uid="{00000000-0004-0000-2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75"/>
  <sheetViews>
    <sheetView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16</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110</v>
      </c>
      <c r="B7" s="27" t="s">
        <v>109</v>
      </c>
      <c r="C7" s="27" t="s">
        <v>111</v>
      </c>
      <c r="D7" s="31">
        <v>945647</v>
      </c>
      <c r="E7" s="29">
        <v>12807.370140000001</v>
      </c>
      <c r="F7" s="30">
        <v>23.510295969281401</v>
      </c>
    </row>
    <row r="8" spans="1:6" x14ac:dyDescent="0.2">
      <c r="A8" s="27" t="s">
        <v>145</v>
      </c>
      <c r="B8" s="27" t="s">
        <v>144</v>
      </c>
      <c r="C8" s="27" t="s">
        <v>111</v>
      </c>
      <c r="D8" s="31">
        <v>170194</v>
      </c>
      <c r="E8" s="29">
        <v>5166.4941609999996</v>
      </c>
      <c r="F8" s="30">
        <v>9.4840553150964109</v>
      </c>
    </row>
    <row r="9" spans="1:6" x14ac:dyDescent="0.2">
      <c r="A9" s="27" t="s">
        <v>261</v>
      </c>
      <c r="B9" s="27" t="s">
        <v>260</v>
      </c>
      <c r="C9" s="27" t="s">
        <v>111</v>
      </c>
      <c r="D9" s="31">
        <v>570000</v>
      </c>
      <c r="E9" s="29">
        <v>5124.0150000000003</v>
      </c>
      <c r="F9" s="30">
        <v>9.40607696070205</v>
      </c>
    </row>
    <row r="10" spans="1:6" x14ac:dyDescent="0.2">
      <c r="A10" s="27" t="s">
        <v>117</v>
      </c>
      <c r="B10" s="27" t="s">
        <v>116</v>
      </c>
      <c r="C10" s="27" t="s">
        <v>118</v>
      </c>
      <c r="D10" s="31">
        <v>600000</v>
      </c>
      <c r="E10" s="29">
        <v>3220.5</v>
      </c>
      <c r="F10" s="30">
        <v>5.9118232190852202</v>
      </c>
    </row>
    <row r="11" spans="1:6" x14ac:dyDescent="0.2">
      <c r="A11" s="27" t="s">
        <v>330</v>
      </c>
      <c r="B11" s="27" t="s">
        <v>329</v>
      </c>
      <c r="C11" s="27" t="s">
        <v>172</v>
      </c>
      <c r="D11" s="31">
        <v>59255</v>
      </c>
      <c r="E11" s="29">
        <v>2912.205485</v>
      </c>
      <c r="F11" s="30">
        <v>5.3458916332775397</v>
      </c>
    </row>
    <row r="12" spans="1:6" x14ac:dyDescent="0.2">
      <c r="A12" s="27" t="s">
        <v>206</v>
      </c>
      <c r="B12" s="27" t="s">
        <v>205</v>
      </c>
      <c r="C12" s="27" t="s">
        <v>111</v>
      </c>
      <c r="D12" s="31">
        <v>270000</v>
      </c>
      <c r="E12" s="29">
        <v>2593.08</v>
      </c>
      <c r="F12" s="30">
        <v>4.7600777993931098</v>
      </c>
    </row>
    <row r="13" spans="1:6" x14ac:dyDescent="0.2">
      <c r="A13" s="27" t="s">
        <v>302</v>
      </c>
      <c r="B13" s="27" t="s">
        <v>301</v>
      </c>
      <c r="C13" s="27" t="s">
        <v>111</v>
      </c>
      <c r="D13" s="31">
        <v>200000</v>
      </c>
      <c r="E13" s="29">
        <v>1474.1</v>
      </c>
      <c r="F13" s="30">
        <v>2.70598311046531</v>
      </c>
    </row>
    <row r="14" spans="1:6" x14ac:dyDescent="0.2">
      <c r="A14" s="27" t="s">
        <v>332</v>
      </c>
      <c r="B14" s="27" t="s">
        <v>331</v>
      </c>
      <c r="C14" s="27" t="s">
        <v>111</v>
      </c>
      <c r="D14" s="31">
        <v>180000</v>
      </c>
      <c r="E14" s="29">
        <v>1304.01</v>
      </c>
      <c r="F14" s="30">
        <v>2.3937514658963899</v>
      </c>
    </row>
    <row r="15" spans="1:6" x14ac:dyDescent="0.2">
      <c r="A15" s="27" t="s">
        <v>334</v>
      </c>
      <c r="B15" s="27" t="s">
        <v>333</v>
      </c>
      <c r="C15" s="27" t="s">
        <v>111</v>
      </c>
      <c r="D15" s="31">
        <v>31000</v>
      </c>
      <c r="E15" s="29">
        <v>1205.9775</v>
      </c>
      <c r="F15" s="30">
        <v>2.2137946859786801</v>
      </c>
    </row>
    <row r="16" spans="1:6" x14ac:dyDescent="0.2">
      <c r="A16" s="27" t="s">
        <v>336</v>
      </c>
      <c r="B16" s="27" t="s">
        <v>335</v>
      </c>
      <c r="C16" s="27" t="s">
        <v>172</v>
      </c>
      <c r="D16" s="31">
        <v>80000</v>
      </c>
      <c r="E16" s="29">
        <v>702.08</v>
      </c>
      <c r="F16" s="30">
        <v>1.2887976542944699</v>
      </c>
    </row>
    <row r="17" spans="1:9" x14ac:dyDescent="0.2">
      <c r="A17" s="27" t="s">
        <v>338</v>
      </c>
      <c r="B17" s="27" t="s">
        <v>337</v>
      </c>
      <c r="C17" s="27" t="s">
        <v>172</v>
      </c>
      <c r="D17" s="31">
        <v>6000</v>
      </c>
      <c r="E17" s="29">
        <v>476.91899999999998</v>
      </c>
      <c r="F17" s="30">
        <v>0.87547300662099103</v>
      </c>
    </row>
    <row r="18" spans="1:9" x14ac:dyDescent="0.2">
      <c r="A18" s="27" t="s">
        <v>340</v>
      </c>
      <c r="B18" s="27" t="s">
        <v>339</v>
      </c>
      <c r="C18" s="27" t="s">
        <v>111</v>
      </c>
      <c r="D18" s="31">
        <v>63629</v>
      </c>
      <c r="E18" s="29">
        <v>180.22914249999999</v>
      </c>
      <c r="F18" s="30">
        <v>0.33084391535082103</v>
      </c>
    </row>
    <row r="19" spans="1:9" x14ac:dyDescent="0.2">
      <c r="A19" s="26" t="s">
        <v>39</v>
      </c>
      <c r="B19" s="26"/>
      <c r="C19" s="26"/>
      <c r="D19" s="32"/>
      <c r="E19" s="33">
        <f>SUM(E7:E18)</f>
        <v>37166.980428500006</v>
      </c>
      <c r="F19" s="34">
        <f>SUM(F7:F18)</f>
        <v>68.226864735442405</v>
      </c>
      <c r="G19" s="18"/>
      <c r="H19" s="18"/>
      <c r="I19" s="18"/>
    </row>
    <row r="20" spans="1:9" x14ac:dyDescent="0.2">
      <c r="A20" s="27"/>
      <c r="B20" s="27"/>
      <c r="C20" s="27"/>
      <c r="D20" s="28"/>
      <c r="E20" s="29"/>
      <c r="F20" s="30"/>
    </row>
    <row r="21" spans="1:9" x14ac:dyDescent="0.2">
      <c r="A21" s="26" t="s">
        <v>238</v>
      </c>
      <c r="B21" s="27"/>
      <c r="C21" s="27"/>
      <c r="D21" s="28"/>
      <c r="E21" s="29"/>
      <c r="F21" s="30"/>
    </row>
    <row r="22" spans="1:9" x14ac:dyDescent="0.2">
      <c r="A22" s="27"/>
      <c r="B22" s="27" t="s">
        <v>754</v>
      </c>
      <c r="C22" s="27" t="s">
        <v>111</v>
      </c>
      <c r="D22" s="31">
        <v>970000</v>
      </c>
      <c r="E22" s="29">
        <v>9.7000000000000003E-2</v>
      </c>
      <c r="F22" s="30">
        <v>1.78061435258893E-4</v>
      </c>
    </row>
    <row r="23" spans="1:9" x14ac:dyDescent="0.2">
      <c r="A23" s="26" t="s">
        <v>39</v>
      </c>
      <c r="B23" s="26"/>
      <c r="C23" s="26"/>
      <c r="D23" s="32"/>
      <c r="E23" s="33">
        <f>SUM(E21:E22)</f>
        <v>9.7000000000000003E-2</v>
      </c>
      <c r="F23" s="34">
        <f>SUM(F21:F22)</f>
        <v>1.78061435258893E-4</v>
      </c>
      <c r="G23" s="18"/>
      <c r="H23" s="18"/>
      <c r="I23" s="18"/>
    </row>
    <row r="24" spans="1:9" x14ac:dyDescent="0.2">
      <c r="A24" s="27"/>
      <c r="B24" s="27"/>
      <c r="C24" s="27"/>
      <c r="D24" s="28"/>
      <c r="E24" s="29"/>
      <c r="F24" s="30"/>
    </row>
    <row r="25" spans="1:9" x14ac:dyDescent="0.2">
      <c r="A25" s="26" t="s">
        <v>307</v>
      </c>
      <c r="B25" s="27"/>
      <c r="C25" s="27"/>
      <c r="D25" s="28"/>
      <c r="E25" s="29"/>
      <c r="F25" s="30"/>
    </row>
    <row r="26" spans="1:9" x14ac:dyDescent="0.2">
      <c r="A26" s="27" t="s">
        <v>342</v>
      </c>
      <c r="B26" s="27" t="s">
        <v>341</v>
      </c>
      <c r="C26" s="27" t="s">
        <v>324</v>
      </c>
      <c r="D26" s="31">
        <v>2800</v>
      </c>
      <c r="E26" s="29">
        <v>1245.3322109999999</v>
      </c>
      <c r="F26" s="30">
        <v>2.2860375346885702</v>
      </c>
    </row>
    <row r="27" spans="1:9" x14ac:dyDescent="0.2">
      <c r="A27" s="27" t="s">
        <v>344</v>
      </c>
      <c r="B27" s="27" t="s">
        <v>343</v>
      </c>
      <c r="C27" s="27" t="s">
        <v>324</v>
      </c>
      <c r="D27" s="31">
        <v>78000</v>
      </c>
      <c r="E27" s="29">
        <v>1242.9441079999999</v>
      </c>
      <c r="F27" s="30">
        <v>2.2816537300728399</v>
      </c>
    </row>
    <row r="28" spans="1:9" x14ac:dyDescent="0.2">
      <c r="A28" s="27" t="s">
        <v>346</v>
      </c>
      <c r="B28" s="27" t="s">
        <v>345</v>
      </c>
      <c r="C28" s="27" t="s">
        <v>111</v>
      </c>
      <c r="D28" s="31">
        <v>60135</v>
      </c>
      <c r="E28" s="29">
        <v>1221.5063789999999</v>
      </c>
      <c r="F28" s="30">
        <v>2.2423008146663301</v>
      </c>
    </row>
    <row r="29" spans="1:9" x14ac:dyDescent="0.2">
      <c r="A29" s="27" t="s">
        <v>348</v>
      </c>
      <c r="B29" s="27" t="s">
        <v>347</v>
      </c>
      <c r="C29" s="27" t="s">
        <v>324</v>
      </c>
      <c r="D29" s="31">
        <v>17000</v>
      </c>
      <c r="E29" s="29">
        <v>920.97303599999998</v>
      </c>
      <c r="F29" s="30">
        <v>1.69061629510207</v>
      </c>
    </row>
    <row r="30" spans="1:9" x14ac:dyDescent="0.2">
      <c r="A30" s="27" t="s">
        <v>350</v>
      </c>
      <c r="B30" s="27" t="s">
        <v>349</v>
      </c>
      <c r="C30" s="27" t="s">
        <v>351</v>
      </c>
      <c r="D30" s="31">
        <v>5173</v>
      </c>
      <c r="E30" s="29">
        <v>882.62272270000005</v>
      </c>
      <c r="F30" s="30">
        <v>1.6202172040832401</v>
      </c>
    </row>
    <row r="31" spans="1:9" x14ac:dyDescent="0.2">
      <c r="A31" s="27" t="s">
        <v>353</v>
      </c>
      <c r="B31" s="27" t="s">
        <v>352</v>
      </c>
      <c r="C31" s="27" t="s">
        <v>354</v>
      </c>
      <c r="D31" s="31">
        <v>8200</v>
      </c>
      <c r="E31" s="29">
        <v>843.14892799999996</v>
      </c>
      <c r="F31" s="30">
        <v>1.54775575522348</v>
      </c>
    </row>
    <row r="32" spans="1:9" x14ac:dyDescent="0.2">
      <c r="A32" s="27" t="s">
        <v>356</v>
      </c>
      <c r="B32" s="27" t="s">
        <v>355</v>
      </c>
      <c r="C32" s="27" t="s">
        <v>324</v>
      </c>
      <c r="D32" s="31">
        <v>39000</v>
      </c>
      <c r="E32" s="29">
        <v>704.72694120000006</v>
      </c>
      <c r="F32" s="30">
        <v>1.2936566042853801</v>
      </c>
    </row>
    <row r="33" spans="1:9" x14ac:dyDescent="0.2">
      <c r="A33" s="27" t="s">
        <v>358</v>
      </c>
      <c r="B33" s="27" t="s">
        <v>357</v>
      </c>
      <c r="C33" s="27" t="s">
        <v>324</v>
      </c>
      <c r="D33" s="31">
        <v>22000</v>
      </c>
      <c r="E33" s="29">
        <v>692.38360880000005</v>
      </c>
      <c r="F33" s="30">
        <v>1.27099813538825</v>
      </c>
    </row>
    <row r="34" spans="1:9" x14ac:dyDescent="0.2">
      <c r="A34" s="27" t="s">
        <v>360</v>
      </c>
      <c r="B34" s="27" t="s">
        <v>359</v>
      </c>
      <c r="C34" s="27" t="s">
        <v>324</v>
      </c>
      <c r="D34" s="31">
        <v>14982</v>
      </c>
      <c r="E34" s="29">
        <v>638.50623199999995</v>
      </c>
      <c r="F34" s="30">
        <v>1.17209624836771</v>
      </c>
    </row>
    <row r="35" spans="1:9" x14ac:dyDescent="0.2">
      <c r="A35" s="27" t="s">
        <v>362</v>
      </c>
      <c r="B35" s="27" t="s">
        <v>361</v>
      </c>
      <c r="C35" s="27" t="s">
        <v>111</v>
      </c>
      <c r="D35" s="31">
        <v>14000</v>
      </c>
      <c r="E35" s="29">
        <v>568.03062399999999</v>
      </c>
      <c r="F35" s="30">
        <v>1.0427252389736601</v>
      </c>
    </row>
    <row r="36" spans="1:9" x14ac:dyDescent="0.2">
      <c r="A36" s="27" t="s">
        <v>364</v>
      </c>
      <c r="B36" s="27" t="s">
        <v>363</v>
      </c>
      <c r="C36" s="27" t="s">
        <v>172</v>
      </c>
      <c r="D36" s="31">
        <v>23400</v>
      </c>
      <c r="E36" s="29">
        <v>502.31328960000002</v>
      </c>
      <c r="F36" s="30">
        <v>0.922088920575177</v>
      </c>
    </row>
    <row r="37" spans="1:9" x14ac:dyDescent="0.2">
      <c r="A37" s="27" t="s">
        <v>366</v>
      </c>
      <c r="B37" s="27" t="s">
        <v>365</v>
      </c>
      <c r="C37" s="27" t="s">
        <v>111</v>
      </c>
      <c r="D37" s="31">
        <v>267</v>
      </c>
      <c r="E37" s="29">
        <v>465.5072376</v>
      </c>
      <c r="F37" s="30">
        <v>0.85452460670576003</v>
      </c>
    </row>
    <row r="38" spans="1:9" x14ac:dyDescent="0.2">
      <c r="A38" s="27" t="s">
        <v>368</v>
      </c>
      <c r="B38" s="27" t="s">
        <v>367</v>
      </c>
      <c r="C38" s="27" t="s">
        <v>111</v>
      </c>
      <c r="D38" s="31">
        <v>1310</v>
      </c>
      <c r="E38" s="29">
        <v>308.48601020000001</v>
      </c>
      <c r="F38" s="30">
        <v>0.56628311065465597</v>
      </c>
    </row>
    <row r="39" spans="1:9" x14ac:dyDescent="0.2">
      <c r="A39" s="27" t="s">
        <v>370</v>
      </c>
      <c r="B39" s="27" t="s">
        <v>369</v>
      </c>
      <c r="C39" s="27" t="s">
        <v>111</v>
      </c>
      <c r="D39" s="31">
        <v>110</v>
      </c>
      <c r="E39" s="29">
        <v>282.55312099999998</v>
      </c>
      <c r="F39" s="30">
        <v>0.51867849754783302</v>
      </c>
    </row>
    <row r="40" spans="1:9" x14ac:dyDescent="0.2">
      <c r="A40" s="27" t="s">
        <v>372</v>
      </c>
      <c r="B40" s="27" t="s">
        <v>371</v>
      </c>
      <c r="C40" s="27" t="s">
        <v>111</v>
      </c>
      <c r="D40" s="31">
        <v>1100</v>
      </c>
      <c r="E40" s="29">
        <v>205.49643839999999</v>
      </c>
      <c r="F40" s="30">
        <v>0.37722670888757498</v>
      </c>
    </row>
    <row r="41" spans="1:9" x14ac:dyDescent="0.2">
      <c r="A41" s="26" t="s">
        <v>39</v>
      </c>
      <c r="B41" s="26"/>
      <c r="C41" s="26"/>
      <c r="D41" s="32"/>
      <c r="E41" s="33">
        <f>SUM(E25:E40)</f>
        <v>10724.530887500001</v>
      </c>
      <c r="F41" s="34">
        <f>SUM(F25:F40)</f>
        <v>19.686859405222531</v>
      </c>
      <c r="G41" s="18"/>
      <c r="H41" s="18"/>
      <c r="I41" s="18"/>
    </row>
    <row r="42" spans="1:9" x14ac:dyDescent="0.2">
      <c r="A42" s="27"/>
      <c r="B42" s="27"/>
      <c r="C42" s="27"/>
      <c r="D42" s="28"/>
      <c r="E42" s="29"/>
      <c r="F42" s="30"/>
    </row>
    <row r="43" spans="1:9" x14ac:dyDescent="0.2">
      <c r="A43" s="26" t="s">
        <v>373</v>
      </c>
      <c r="B43" s="27"/>
      <c r="C43" s="27"/>
      <c r="D43" s="28"/>
      <c r="E43" s="29"/>
      <c r="F43" s="30"/>
    </row>
    <row r="44" spans="1:9" x14ac:dyDescent="0.2">
      <c r="A44" s="27" t="s">
        <v>375</v>
      </c>
      <c r="B44" s="27" t="s">
        <v>374</v>
      </c>
      <c r="C44" s="27" t="s">
        <v>376</v>
      </c>
      <c r="D44" s="31">
        <v>91868.481</v>
      </c>
      <c r="E44" s="29">
        <v>4027.5641869999999</v>
      </c>
      <c r="F44" s="30">
        <v>7.3933387601498799</v>
      </c>
    </row>
    <row r="45" spans="1:9" x14ac:dyDescent="0.2">
      <c r="A45" s="26" t="s">
        <v>39</v>
      </c>
      <c r="B45" s="26"/>
      <c r="C45" s="26"/>
      <c r="D45" s="32"/>
      <c r="E45" s="33">
        <f>SUM(E44:E44)</f>
        <v>4027.5641869999999</v>
      </c>
      <c r="F45" s="34">
        <f>SUM(F44:F44)</f>
        <v>7.3933387601498799</v>
      </c>
      <c r="G45" s="18"/>
      <c r="H45" s="18"/>
      <c r="I45" s="18"/>
    </row>
    <row r="46" spans="1:9" x14ac:dyDescent="0.2">
      <c r="A46" s="27"/>
      <c r="B46" s="27"/>
      <c r="C46" s="27"/>
      <c r="D46" s="28"/>
      <c r="E46" s="29"/>
      <c r="F46" s="30"/>
    </row>
    <row r="47" spans="1:9" x14ac:dyDescent="0.2">
      <c r="A47" s="26" t="s">
        <v>42</v>
      </c>
      <c r="B47" s="26"/>
      <c r="C47" s="26"/>
      <c r="D47" s="32"/>
      <c r="E47" s="33">
        <f>E19+E23+E41+E45</f>
        <v>51919.172503000009</v>
      </c>
      <c r="F47" s="34">
        <f>F19+F23+F41+F45</f>
        <v>95.307240962250077</v>
      </c>
      <c r="G47" s="18"/>
      <c r="H47" s="18"/>
      <c r="I47" s="18"/>
    </row>
    <row r="48" spans="1:9" x14ac:dyDescent="0.2">
      <c r="A48" s="26"/>
      <c r="B48" s="26"/>
      <c r="C48" s="26"/>
      <c r="D48" s="32"/>
      <c r="E48" s="33"/>
      <c r="F48" s="34"/>
      <c r="G48" s="18"/>
      <c r="H48" s="18"/>
      <c r="I48" s="18"/>
    </row>
    <row r="49" spans="1:9" x14ac:dyDescent="0.2">
      <c r="A49" s="26" t="s">
        <v>44</v>
      </c>
      <c r="B49" s="26"/>
      <c r="C49" s="26"/>
      <c r="D49" s="32"/>
      <c r="E49" s="33">
        <f>E51-(E19+E23+E41+E45)</f>
        <v>2556.4077139999936</v>
      </c>
      <c r="F49" s="34">
        <f>F51-(F19+F23+F41+F45)</f>
        <v>4.6927590377499229</v>
      </c>
      <c r="G49" s="18"/>
      <c r="H49" s="18"/>
      <c r="I49" s="18"/>
    </row>
    <row r="50" spans="1:9" x14ac:dyDescent="0.2">
      <c r="A50" s="26"/>
      <c r="B50" s="26"/>
      <c r="C50" s="26"/>
      <c r="D50" s="32"/>
      <c r="E50" s="33"/>
      <c r="F50" s="34"/>
      <c r="G50" s="18"/>
      <c r="H50" s="18"/>
      <c r="I50" s="18"/>
    </row>
    <row r="51" spans="1:9" x14ac:dyDescent="0.2">
      <c r="A51" s="35" t="s">
        <v>43</v>
      </c>
      <c r="B51" s="35"/>
      <c r="C51" s="35"/>
      <c r="D51" s="36"/>
      <c r="E51" s="37">
        <v>54475.580217000002</v>
      </c>
      <c r="F51" s="38">
        <v>100</v>
      </c>
      <c r="G51" s="18"/>
      <c r="H51" s="18"/>
      <c r="I51" s="18"/>
    </row>
    <row r="52" spans="1:9" x14ac:dyDescent="0.2">
      <c r="F52" s="20" t="s">
        <v>519</v>
      </c>
    </row>
    <row r="53" spans="1:9" x14ac:dyDescent="0.2">
      <c r="A53" s="18" t="s">
        <v>46</v>
      </c>
    </row>
    <row r="54" spans="1:9" x14ac:dyDescent="0.2">
      <c r="A54" s="18" t="s">
        <v>750</v>
      </c>
    </row>
    <row r="56" spans="1:9" x14ac:dyDescent="0.2">
      <c r="A56" s="18" t="s">
        <v>47</v>
      </c>
    </row>
    <row r="57" spans="1:9" x14ac:dyDescent="0.2">
      <c r="A57" s="18" t="s">
        <v>48</v>
      </c>
    </row>
    <row r="58" spans="1:9" x14ac:dyDescent="0.2">
      <c r="A58" s="18" t="s">
        <v>49</v>
      </c>
      <c r="B58" s="18"/>
      <c r="C58" s="41" t="s">
        <v>731</v>
      </c>
      <c r="D58" s="19" t="s">
        <v>50</v>
      </c>
    </row>
    <row r="59" spans="1:9" x14ac:dyDescent="0.2">
      <c r="A59" s="9" t="s">
        <v>79</v>
      </c>
      <c r="C59" s="51">
        <v>223.4238</v>
      </c>
      <c r="D59" s="40">
        <v>280.97500000000002</v>
      </c>
    </row>
    <row r="60" spans="1:9" x14ac:dyDescent="0.2">
      <c r="A60" s="9" t="s">
        <v>85</v>
      </c>
      <c r="C60" s="51">
        <v>32.6021</v>
      </c>
      <c r="D60" s="40">
        <v>37.858600000000003</v>
      </c>
    </row>
    <row r="61" spans="1:9" x14ac:dyDescent="0.2">
      <c r="A61" s="9" t="s">
        <v>82</v>
      </c>
      <c r="C61" s="51">
        <v>234.66120000000001</v>
      </c>
      <c r="D61" s="40">
        <v>296.32549999999998</v>
      </c>
    </row>
    <row r="62" spans="1:9" x14ac:dyDescent="0.2">
      <c r="A62" s="9" t="s">
        <v>86</v>
      </c>
      <c r="C62" s="51">
        <v>34.522300000000001</v>
      </c>
      <c r="D62" s="40">
        <v>40.426699999999997</v>
      </c>
    </row>
    <row r="64" spans="1:9" x14ac:dyDescent="0.2">
      <c r="A64" s="9" t="s">
        <v>52</v>
      </c>
    </row>
    <row r="66" spans="1:4" x14ac:dyDescent="0.2">
      <c r="A66" s="18" t="s">
        <v>53</v>
      </c>
      <c r="D66" s="41" t="s">
        <v>54</v>
      </c>
    </row>
    <row r="68" spans="1:4" x14ac:dyDescent="0.2">
      <c r="A68" s="18" t="s">
        <v>231</v>
      </c>
      <c r="D68" s="46">
        <v>5.7825782184374598E-2</v>
      </c>
    </row>
    <row r="70" spans="1:4" x14ac:dyDescent="0.2">
      <c r="A70" s="18" t="s">
        <v>56</v>
      </c>
      <c r="D70" s="41" t="s">
        <v>54</v>
      </c>
    </row>
    <row r="71" spans="1:4" x14ac:dyDescent="0.2">
      <c r="A71" s="9" t="s">
        <v>58</v>
      </c>
    </row>
    <row r="72" spans="1:4" x14ac:dyDescent="0.2">
      <c r="A72" s="53" t="s">
        <v>744</v>
      </c>
    </row>
    <row r="74" spans="1:4" x14ac:dyDescent="0.2">
      <c r="A74" s="18" t="s">
        <v>745</v>
      </c>
    </row>
    <row r="75" spans="1:4" x14ac:dyDescent="0.2">
      <c r="A75" s="53" t="s">
        <v>57</v>
      </c>
    </row>
  </sheetData>
  <mergeCells count="1">
    <mergeCell ref="A1:F1"/>
  </mergeCells>
  <conditionalFormatting sqref="F2:F3 F5:F51 F53:F65538">
    <cfRule type="cellIs" dxfId="23" priority="2" stopIfTrue="1" operator="between">
      <formula>0.009</formula>
      <formula>-0.009</formula>
    </cfRule>
  </conditionalFormatting>
  <conditionalFormatting sqref="F52">
    <cfRule type="cellIs" dxfId="22" priority="1" stopIfTrue="1" operator="between">
      <formula>0.009</formula>
      <formula>-0.009</formula>
    </cfRule>
  </conditionalFormatting>
  <hyperlinks>
    <hyperlink ref="A75" r:id="rId1" xr:uid="{00000000-0004-0000-2400-000000000000}"/>
    <hyperlink ref="A72" r:id="rId2" xr:uid="{00000000-0004-0000-24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93"/>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17</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378</v>
      </c>
      <c r="B7" s="27" t="s">
        <v>377</v>
      </c>
      <c r="C7" s="27" t="s">
        <v>264</v>
      </c>
      <c r="D7" s="31">
        <v>2792967</v>
      </c>
      <c r="E7" s="29">
        <v>52105.592349999999</v>
      </c>
      <c r="F7" s="30">
        <v>8.3577666308931899</v>
      </c>
    </row>
    <row r="8" spans="1:6" x14ac:dyDescent="0.2">
      <c r="A8" s="27" t="s">
        <v>380</v>
      </c>
      <c r="B8" s="27" t="s">
        <v>379</v>
      </c>
      <c r="C8" s="27" t="s">
        <v>381</v>
      </c>
      <c r="D8" s="31">
        <v>7737595</v>
      </c>
      <c r="E8" s="29">
        <v>19374.937880000001</v>
      </c>
      <c r="F8" s="30">
        <v>3.1077510490885398</v>
      </c>
    </row>
    <row r="9" spans="1:6" x14ac:dyDescent="0.2">
      <c r="A9" s="27" t="s">
        <v>284</v>
      </c>
      <c r="B9" s="27" t="s">
        <v>283</v>
      </c>
      <c r="C9" s="27" t="s">
        <v>214</v>
      </c>
      <c r="D9" s="31">
        <v>1405886</v>
      </c>
      <c r="E9" s="29">
        <v>19365.37671</v>
      </c>
      <c r="F9" s="30">
        <v>3.1062174319857698</v>
      </c>
    </row>
    <row r="10" spans="1:6" x14ac:dyDescent="0.2">
      <c r="A10" s="27" t="s">
        <v>383</v>
      </c>
      <c r="B10" s="27" t="s">
        <v>382</v>
      </c>
      <c r="C10" s="27" t="s">
        <v>135</v>
      </c>
      <c r="D10" s="31">
        <v>1251988</v>
      </c>
      <c r="E10" s="29">
        <v>17469.614560000002</v>
      </c>
      <c r="F10" s="30">
        <v>2.8021361055332799</v>
      </c>
    </row>
    <row r="11" spans="1:6" x14ac:dyDescent="0.2">
      <c r="A11" s="27" t="s">
        <v>302</v>
      </c>
      <c r="B11" s="27" t="s">
        <v>301</v>
      </c>
      <c r="C11" s="27" t="s">
        <v>111</v>
      </c>
      <c r="D11" s="31">
        <v>2359141</v>
      </c>
      <c r="E11" s="29">
        <v>17388.048739999998</v>
      </c>
      <c r="F11" s="30">
        <v>2.7890529016415</v>
      </c>
    </row>
    <row r="12" spans="1:6" x14ac:dyDescent="0.2">
      <c r="A12" s="27" t="s">
        <v>385</v>
      </c>
      <c r="B12" s="27" t="s">
        <v>384</v>
      </c>
      <c r="C12" s="27" t="s">
        <v>386</v>
      </c>
      <c r="D12" s="31">
        <v>2410139</v>
      </c>
      <c r="E12" s="29">
        <v>15142.903340000001</v>
      </c>
      <c r="F12" s="30">
        <v>2.42893030329197</v>
      </c>
    </row>
    <row r="13" spans="1:6" x14ac:dyDescent="0.2">
      <c r="A13" s="27" t="s">
        <v>388</v>
      </c>
      <c r="B13" s="27" t="s">
        <v>387</v>
      </c>
      <c r="C13" s="27" t="s">
        <v>140</v>
      </c>
      <c r="D13" s="31">
        <v>10263765</v>
      </c>
      <c r="E13" s="29">
        <v>15010.756310000001</v>
      </c>
      <c r="F13" s="30">
        <v>2.4077338445647198</v>
      </c>
    </row>
    <row r="14" spans="1:6" x14ac:dyDescent="0.2">
      <c r="A14" s="27" t="s">
        <v>254</v>
      </c>
      <c r="B14" s="27" t="s">
        <v>253</v>
      </c>
      <c r="C14" s="27" t="s">
        <v>217</v>
      </c>
      <c r="D14" s="31">
        <v>4112021</v>
      </c>
      <c r="E14" s="29">
        <v>14875.23597</v>
      </c>
      <c r="F14" s="30">
        <v>2.3859963049960098</v>
      </c>
    </row>
    <row r="15" spans="1:6" x14ac:dyDescent="0.2">
      <c r="A15" s="27" t="s">
        <v>390</v>
      </c>
      <c r="B15" s="27" t="s">
        <v>389</v>
      </c>
      <c r="C15" s="27" t="s">
        <v>140</v>
      </c>
      <c r="D15" s="31">
        <v>5562185</v>
      </c>
      <c r="E15" s="29">
        <v>14839.90958</v>
      </c>
      <c r="F15" s="30">
        <v>2.3803299319597202</v>
      </c>
    </row>
    <row r="16" spans="1:6" x14ac:dyDescent="0.2">
      <c r="A16" s="27" t="s">
        <v>142</v>
      </c>
      <c r="B16" s="27" t="s">
        <v>141</v>
      </c>
      <c r="C16" s="27" t="s">
        <v>143</v>
      </c>
      <c r="D16" s="31">
        <v>6289744</v>
      </c>
      <c r="E16" s="29">
        <v>14758.8843</v>
      </c>
      <c r="F16" s="30">
        <v>2.36733343099118</v>
      </c>
    </row>
    <row r="17" spans="1:6" x14ac:dyDescent="0.2">
      <c r="A17" s="27" t="s">
        <v>392</v>
      </c>
      <c r="B17" s="27" t="s">
        <v>391</v>
      </c>
      <c r="C17" s="27" t="s">
        <v>126</v>
      </c>
      <c r="D17" s="31">
        <v>1708713</v>
      </c>
      <c r="E17" s="29">
        <v>14447.16842</v>
      </c>
      <c r="F17" s="30">
        <v>2.3173340266530902</v>
      </c>
    </row>
    <row r="18" spans="1:6" x14ac:dyDescent="0.2">
      <c r="A18" s="27" t="s">
        <v>394</v>
      </c>
      <c r="B18" s="27" t="s">
        <v>393</v>
      </c>
      <c r="C18" s="27" t="s">
        <v>381</v>
      </c>
      <c r="D18" s="31">
        <v>2804248</v>
      </c>
      <c r="E18" s="29">
        <v>13631.44953</v>
      </c>
      <c r="F18" s="30">
        <v>2.18649225302471</v>
      </c>
    </row>
    <row r="19" spans="1:6" x14ac:dyDescent="0.2">
      <c r="A19" s="27" t="s">
        <v>115</v>
      </c>
      <c r="B19" s="27" t="s">
        <v>114</v>
      </c>
      <c r="C19" s="27" t="s">
        <v>108</v>
      </c>
      <c r="D19" s="31">
        <v>2259945</v>
      </c>
      <c r="E19" s="29">
        <v>13570.969730000001</v>
      </c>
      <c r="F19" s="30">
        <v>2.1767912587266798</v>
      </c>
    </row>
    <row r="20" spans="1:6" x14ac:dyDescent="0.2">
      <c r="A20" s="27" t="s">
        <v>271</v>
      </c>
      <c r="B20" s="27" t="s">
        <v>270</v>
      </c>
      <c r="C20" s="27" t="s">
        <v>192</v>
      </c>
      <c r="D20" s="31">
        <v>16272603</v>
      </c>
      <c r="E20" s="29">
        <v>13180.808429999999</v>
      </c>
      <c r="F20" s="30">
        <v>2.1142091644305001</v>
      </c>
    </row>
    <row r="21" spans="1:6" x14ac:dyDescent="0.2">
      <c r="A21" s="27" t="s">
        <v>396</v>
      </c>
      <c r="B21" s="27" t="s">
        <v>395</v>
      </c>
      <c r="C21" s="27" t="s">
        <v>240</v>
      </c>
      <c r="D21" s="31">
        <v>2647305</v>
      </c>
      <c r="E21" s="29">
        <v>13172.989680000001</v>
      </c>
      <c r="F21" s="30">
        <v>2.1129550324861501</v>
      </c>
    </row>
    <row r="22" spans="1:6" x14ac:dyDescent="0.2">
      <c r="A22" s="27" t="s">
        <v>398</v>
      </c>
      <c r="B22" s="27" t="s">
        <v>397</v>
      </c>
      <c r="C22" s="27" t="s">
        <v>240</v>
      </c>
      <c r="D22" s="31">
        <v>388284</v>
      </c>
      <c r="E22" s="29">
        <v>12648.157160000001</v>
      </c>
      <c r="F22" s="30">
        <v>2.0287715979519199</v>
      </c>
    </row>
    <row r="23" spans="1:6" x14ac:dyDescent="0.2">
      <c r="A23" s="27" t="s">
        <v>400</v>
      </c>
      <c r="B23" s="27" t="s">
        <v>399</v>
      </c>
      <c r="C23" s="27" t="s">
        <v>121</v>
      </c>
      <c r="D23" s="31">
        <v>1000416</v>
      </c>
      <c r="E23" s="29">
        <v>12352.136350000001</v>
      </c>
      <c r="F23" s="30">
        <v>1.9812896917632501</v>
      </c>
    </row>
    <row r="24" spans="1:6" x14ac:dyDescent="0.2">
      <c r="A24" s="27" t="s">
        <v>134</v>
      </c>
      <c r="B24" s="27" t="s">
        <v>133</v>
      </c>
      <c r="C24" s="27" t="s">
        <v>135</v>
      </c>
      <c r="D24" s="31">
        <v>235825</v>
      </c>
      <c r="E24" s="29">
        <v>12175.880579999999</v>
      </c>
      <c r="F24" s="30">
        <v>1.95301816606763</v>
      </c>
    </row>
    <row r="25" spans="1:6" x14ac:dyDescent="0.2">
      <c r="A25" s="27" t="s">
        <v>125</v>
      </c>
      <c r="B25" s="27" t="s">
        <v>124</v>
      </c>
      <c r="C25" s="27" t="s">
        <v>126</v>
      </c>
      <c r="D25" s="31">
        <v>1261210</v>
      </c>
      <c r="E25" s="29">
        <v>12071.67152</v>
      </c>
      <c r="F25" s="30">
        <v>1.9363029736089299</v>
      </c>
    </row>
    <row r="26" spans="1:6" x14ac:dyDescent="0.2">
      <c r="A26" s="27" t="s">
        <v>402</v>
      </c>
      <c r="B26" s="27" t="s">
        <v>401</v>
      </c>
      <c r="C26" s="27" t="s">
        <v>217</v>
      </c>
      <c r="D26" s="31">
        <v>2177311</v>
      </c>
      <c r="E26" s="29">
        <v>11928.39831</v>
      </c>
      <c r="F26" s="30">
        <v>1.91332186928532</v>
      </c>
    </row>
    <row r="27" spans="1:6" x14ac:dyDescent="0.2">
      <c r="A27" s="27" t="s">
        <v>107</v>
      </c>
      <c r="B27" s="27" t="s">
        <v>106</v>
      </c>
      <c r="C27" s="27" t="s">
        <v>108</v>
      </c>
      <c r="D27" s="31">
        <v>822910</v>
      </c>
      <c r="E27" s="29">
        <v>11621.95793</v>
      </c>
      <c r="F27" s="30">
        <v>1.86416865814593</v>
      </c>
    </row>
    <row r="28" spans="1:6" x14ac:dyDescent="0.2">
      <c r="A28" s="27" t="s">
        <v>404</v>
      </c>
      <c r="B28" s="27" t="s">
        <v>403</v>
      </c>
      <c r="C28" s="27" t="s">
        <v>135</v>
      </c>
      <c r="D28" s="31">
        <v>1875900</v>
      </c>
      <c r="E28" s="29">
        <v>11291.98005</v>
      </c>
      <c r="F28" s="30">
        <v>1.8112400186273201</v>
      </c>
    </row>
    <row r="29" spans="1:6" x14ac:dyDescent="0.2">
      <c r="A29" s="27" t="s">
        <v>406</v>
      </c>
      <c r="B29" s="27" t="s">
        <v>405</v>
      </c>
      <c r="C29" s="27" t="s">
        <v>111</v>
      </c>
      <c r="D29" s="31">
        <v>5600639</v>
      </c>
      <c r="E29" s="29">
        <v>11047.26043</v>
      </c>
      <c r="F29" s="30">
        <v>1.7719868524753599</v>
      </c>
    </row>
    <row r="30" spans="1:6" x14ac:dyDescent="0.2">
      <c r="A30" s="27" t="s">
        <v>408</v>
      </c>
      <c r="B30" s="27" t="s">
        <v>407</v>
      </c>
      <c r="C30" s="27" t="s">
        <v>264</v>
      </c>
      <c r="D30" s="31">
        <v>135747</v>
      </c>
      <c r="E30" s="29">
        <v>10980.167589999999</v>
      </c>
      <c r="F30" s="30">
        <v>1.7612251228023299</v>
      </c>
    </row>
    <row r="31" spans="1:6" x14ac:dyDescent="0.2">
      <c r="A31" s="27" t="s">
        <v>410</v>
      </c>
      <c r="B31" s="27" t="s">
        <v>409</v>
      </c>
      <c r="C31" s="27" t="s">
        <v>381</v>
      </c>
      <c r="D31" s="31">
        <v>5211254</v>
      </c>
      <c r="E31" s="29">
        <v>10425.11363</v>
      </c>
      <c r="F31" s="30">
        <v>1.6721941521135699</v>
      </c>
    </row>
    <row r="32" spans="1:6" x14ac:dyDescent="0.2">
      <c r="A32" s="27" t="s">
        <v>291</v>
      </c>
      <c r="B32" s="27" t="s">
        <v>290</v>
      </c>
      <c r="C32" s="27" t="s">
        <v>292</v>
      </c>
      <c r="D32" s="31">
        <v>882701</v>
      </c>
      <c r="E32" s="29">
        <v>10344.373020000001</v>
      </c>
      <c r="F32" s="30">
        <v>1.65924331237485</v>
      </c>
    </row>
    <row r="33" spans="1:6" x14ac:dyDescent="0.2">
      <c r="A33" s="27" t="s">
        <v>412</v>
      </c>
      <c r="B33" s="27" t="s">
        <v>411</v>
      </c>
      <c r="C33" s="27" t="s">
        <v>108</v>
      </c>
      <c r="D33" s="31">
        <v>19398917</v>
      </c>
      <c r="E33" s="29">
        <v>10126.23467</v>
      </c>
      <c r="F33" s="30">
        <v>1.62425379704027</v>
      </c>
    </row>
    <row r="34" spans="1:6" x14ac:dyDescent="0.2">
      <c r="A34" s="27" t="s">
        <v>414</v>
      </c>
      <c r="B34" s="27" t="s">
        <v>413</v>
      </c>
      <c r="C34" s="27" t="s">
        <v>415</v>
      </c>
      <c r="D34" s="31">
        <v>393330</v>
      </c>
      <c r="E34" s="29">
        <v>9420.4501650000002</v>
      </c>
      <c r="F34" s="30">
        <v>1.51104556125499</v>
      </c>
    </row>
    <row r="35" spans="1:6" x14ac:dyDescent="0.2">
      <c r="A35" s="27" t="s">
        <v>417</v>
      </c>
      <c r="B35" s="27" t="s">
        <v>416</v>
      </c>
      <c r="C35" s="27" t="s">
        <v>381</v>
      </c>
      <c r="D35" s="31">
        <v>3270913</v>
      </c>
      <c r="E35" s="29">
        <v>9307.3829420000002</v>
      </c>
      <c r="F35" s="30">
        <v>1.4929095144159199</v>
      </c>
    </row>
    <row r="36" spans="1:6" x14ac:dyDescent="0.2">
      <c r="A36" s="27" t="s">
        <v>419</v>
      </c>
      <c r="B36" s="27" t="s">
        <v>418</v>
      </c>
      <c r="C36" s="27" t="s">
        <v>126</v>
      </c>
      <c r="D36" s="31">
        <v>125265</v>
      </c>
      <c r="E36" s="29">
        <v>9271.1758129999998</v>
      </c>
      <c r="F36" s="30">
        <v>1.48710187034339</v>
      </c>
    </row>
    <row r="37" spans="1:6" x14ac:dyDescent="0.2">
      <c r="A37" s="27" t="s">
        <v>421</v>
      </c>
      <c r="B37" s="27" t="s">
        <v>420</v>
      </c>
      <c r="C37" s="27" t="s">
        <v>264</v>
      </c>
      <c r="D37" s="31">
        <v>3836227</v>
      </c>
      <c r="E37" s="29">
        <v>9053.4957200000008</v>
      </c>
      <c r="F37" s="30">
        <v>1.45218585969209</v>
      </c>
    </row>
    <row r="38" spans="1:6" x14ac:dyDescent="0.2">
      <c r="A38" s="27" t="s">
        <v>423</v>
      </c>
      <c r="B38" s="27" t="s">
        <v>422</v>
      </c>
      <c r="C38" s="27" t="s">
        <v>108</v>
      </c>
      <c r="D38" s="31">
        <v>9949095</v>
      </c>
      <c r="E38" s="29">
        <v>9018.8546179999994</v>
      </c>
      <c r="F38" s="30">
        <v>1.4466294072405299</v>
      </c>
    </row>
    <row r="39" spans="1:6" x14ac:dyDescent="0.2">
      <c r="A39" s="27" t="s">
        <v>277</v>
      </c>
      <c r="B39" s="27" t="s">
        <v>276</v>
      </c>
      <c r="C39" s="27" t="s">
        <v>143</v>
      </c>
      <c r="D39" s="31">
        <v>1239438</v>
      </c>
      <c r="E39" s="29">
        <v>8765.3055359999998</v>
      </c>
      <c r="F39" s="30">
        <v>1.40595999036491</v>
      </c>
    </row>
    <row r="40" spans="1:6" x14ac:dyDescent="0.2">
      <c r="A40" s="27" t="s">
        <v>425</v>
      </c>
      <c r="B40" s="27" t="s">
        <v>424</v>
      </c>
      <c r="C40" s="27" t="s">
        <v>192</v>
      </c>
      <c r="D40" s="31">
        <v>1503836</v>
      </c>
      <c r="E40" s="29">
        <v>8598.1823299999996</v>
      </c>
      <c r="F40" s="30">
        <v>1.3791533331260499</v>
      </c>
    </row>
    <row r="41" spans="1:6" x14ac:dyDescent="0.2">
      <c r="A41" s="27" t="s">
        <v>338</v>
      </c>
      <c r="B41" s="27" t="s">
        <v>337</v>
      </c>
      <c r="C41" s="27" t="s">
        <v>172</v>
      </c>
      <c r="D41" s="31">
        <v>103243</v>
      </c>
      <c r="E41" s="29">
        <v>8206.4247200000009</v>
      </c>
      <c r="F41" s="30">
        <v>1.3163151897984899</v>
      </c>
    </row>
    <row r="42" spans="1:6" x14ac:dyDescent="0.2">
      <c r="A42" s="27" t="s">
        <v>427</v>
      </c>
      <c r="B42" s="27" t="s">
        <v>426</v>
      </c>
      <c r="C42" s="27" t="s">
        <v>209</v>
      </c>
      <c r="D42" s="31">
        <v>23086857</v>
      </c>
      <c r="E42" s="29">
        <v>8172.747378</v>
      </c>
      <c r="F42" s="30">
        <v>1.3109133249987599</v>
      </c>
    </row>
    <row r="43" spans="1:6" x14ac:dyDescent="0.2">
      <c r="A43" s="27" t="s">
        <v>429</v>
      </c>
      <c r="B43" s="27" t="s">
        <v>428</v>
      </c>
      <c r="C43" s="27" t="s">
        <v>108</v>
      </c>
      <c r="D43" s="31">
        <v>14244569</v>
      </c>
      <c r="E43" s="29">
        <v>7905.7357949999996</v>
      </c>
      <c r="F43" s="30">
        <v>1.2680845153103599</v>
      </c>
    </row>
    <row r="44" spans="1:6" x14ac:dyDescent="0.2">
      <c r="A44" s="27" t="s">
        <v>431</v>
      </c>
      <c r="B44" s="27" t="s">
        <v>430</v>
      </c>
      <c r="C44" s="27" t="s">
        <v>195</v>
      </c>
      <c r="D44" s="31">
        <v>2713308</v>
      </c>
      <c r="E44" s="29">
        <v>7734.2844539999996</v>
      </c>
      <c r="F44" s="30">
        <v>1.24058362275728</v>
      </c>
    </row>
    <row r="45" spans="1:6" x14ac:dyDescent="0.2">
      <c r="A45" s="27" t="s">
        <v>433</v>
      </c>
      <c r="B45" s="27" t="s">
        <v>432</v>
      </c>
      <c r="C45" s="27" t="s">
        <v>434</v>
      </c>
      <c r="D45" s="31">
        <v>10167301</v>
      </c>
      <c r="E45" s="29">
        <v>7584.8065459999998</v>
      </c>
      <c r="F45" s="30">
        <v>1.2166072813475901</v>
      </c>
    </row>
    <row r="46" spans="1:6" x14ac:dyDescent="0.2">
      <c r="A46" s="27" t="s">
        <v>165</v>
      </c>
      <c r="B46" s="27" t="s">
        <v>164</v>
      </c>
      <c r="C46" s="27" t="s">
        <v>108</v>
      </c>
      <c r="D46" s="31">
        <v>4408453</v>
      </c>
      <c r="E46" s="29">
        <v>7351.095378</v>
      </c>
      <c r="F46" s="30">
        <v>1.17911987715387</v>
      </c>
    </row>
    <row r="47" spans="1:6" x14ac:dyDescent="0.2">
      <c r="A47" s="27" t="s">
        <v>436</v>
      </c>
      <c r="B47" s="27" t="s">
        <v>435</v>
      </c>
      <c r="C47" s="27" t="s">
        <v>437</v>
      </c>
      <c r="D47" s="31">
        <v>454140</v>
      </c>
      <c r="E47" s="29">
        <v>6704.2417500000001</v>
      </c>
      <c r="F47" s="30">
        <v>1.0753641875369799</v>
      </c>
    </row>
    <row r="48" spans="1:6" x14ac:dyDescent="0.2">
      <c r="A48" s="27" t="s">
        <v>439</v>
      </c>
      <c r="B48" s="27" t="s">
        <v>438</v>
      </c>
      <c r="C48" s="27" t="s">
        <v>217</v>
      </c>
      <c r="D48" s="31">
        <v>1124345</v>
      </c>
      <c r="E48" s="29">
        <v>6554.9313499999998</v>
      </c>
      <c r="F48" s="30">
        <v>1.0514147145057</v>
      </c>
    </row>
    <row r="49" spans="1:6" x14ac:dyDescent="0.2">
      <c r="A49" s="27" t="s">
        <v>441</v>
      </c>
      <c r="B49" s="27" t="s">
        <v>440</v>
      </c>
      <c r="C49" s="27" t="s">
        <v>126</v>
      </c>
      <c r="D49" s="31">
        <v>1846602</v>
      </c>
      <c r="E49" s="29">
        <v>6378.1633080000001</v>
      </c>
      <c r="F49" s="30">
        <v>1.0230610200901</v>
      </c>
    </row>
    <row r="50" spans="1:6" x14ac:dyDescent="0.2">
      <c r="A50" s="27" t="s">
        <v>443</v>
      </c>
      <c r="B50" s="27" t="s">
        <v>442</v>
      </c>
      <c r="C50" s="27" t="s">
        <v>184</v>
      </c>
      <c r="D50" s="31">
        <v>1488061</v>
      </c>
      <c r="E50" s="29">
        <v>5993.1656780000003</v>
      </c>
      <c r="F50" s="30">
        <v>0.96130718139706095</v>
      </c>
    </row>
    <row r="51" spans="1:6" x14ac:dyDescent="0.2">
      <c r="A51" s="27" t="s">
        <v>445</v>
      </c>
      <c r="B51" s="27" t="s">
        <v>444</v>
      </c>
      <c r="C51" s="27" t="s">
        <v>202</v>
      </c>
      <c r="D51" s="31">
        <v>2017424</v>
      </c>
      <c r="E51" s="29">
        <v>5935.2614080000003</v>
      </c>
      <c r="F51" s="30">
        <v>0.95201930357501297</v>
      </c>
    </row>
    <row r="52" spans="1:6" x14ac:dyDescent="0.2">
      <c r="A52" s="27" t="s">
        <v>447</v>
      </c>
      <c r="B52" s="27" t="s">
        <v>446</v>
      </c>
      <c r="C52" s="27" t="s">
        <v>140</v>
      </c>
      <c r="D52" s="31">
        <v>1667102</v>
      </c>
      <c r="E52" s="29">
        <v>5927.3811610000002</v>
      </c>
      <c r="F52" s="30">
        <v>0.95075530747690995</v>
      </c>
    </row>
    <row r="53" spans="1:6" x14ac:dyDescent="0.2">
      <c r="A53" s="27" t="s">
        <v>213</v>
      </c>
      <c r="B53" s="27" t="s">
        <v>212</v>
      </c>
      <c r="C53" s="27" t="s">
        <v>214</v>
      </c>
      <c r="D53" s="31">
        <v>3774220</v>
      </c>
      <c r="E53" s="29">
        <v>5908.5414099999998</v>
      </c>
      <c r="F53" s="30">
        <v>0.94773340070758505</v>
      </c>
    </row>
    <row r="54" spans="1:6" x14ac:dyDescent="0.2">
      <c r="A54" s="27" t="s">
        <v>449</v>
      </c>
      <c r="B54" s="27" t="s">
        <v>448</v>
      </c>
      <c r="C54" s="27" t="s">
        <v>209</v>
      </c>
      <c r="D54" s="31">
        <v>1300000</v>
      </c>
      <c r="E54" s="29">
        <v>5682.95</v>
      </c>
      <c r="F54" s="30">
        <v>0.91154841031251499</v>
      </c>
    </row>
    <row r="55" spans="1:6" x14ac:dyDescent="0.2">
      <c r="A55" s="27" t="s">
        <v>451</v>
      </c>
      <c r="B55" s="27" t="s">
        <v>450</v>
      </c>
      <c r="C55" s="27" t="s">
        <v>195</v>
      </c>
      <c r="D55" s="31">
        <v>24421468</v>
      </c>
      <c r="E55" s="29">
        <v>5653.5698419999999</v>
      </c>
      <c r="F55" s="30">
        <v>0.90683581626899401</v>
      </c>
    </row>
    <row r="56" spans="1:6" x14ac:dyDescent="0.2">
      <c r="A56" s="27" t="s">
        <v>280</v>
      </c>
      <c r="B56" s="27" t="s">
        <v>279</v>
      </c>
      <c r="C56" s="27" t="s">
        <v>217</v>
      </c>
      <c r="D56" s="31">
        <v>3705630</v>
      </c>
      <c r="E56" s="29">
        <v>5604.7653749999999</v>
      </c>
      <c r="F56" s="30">
        <v>0.89900755202067195</v>
      </c>
    </row>
    <row r="57" spans="1:6" x14ac:dyDescent="0.2">
      <c r="A57" s="27" t="s">
        <v>453</v>
      </c>
      <c r="B57" s="27" t="s">
        <v>452</v>
      </c>
      <c r="C57" s="27" t="s">
        <v>217</v>
      </c>
      <c r="D57" s="31">
        <v>1196703</v>
      </c>
      <c r="E57" s="29">
        <v>5344.475598</v>
      </c>
      <c r="F57" s="30">
        <v>0.85725692383549601</v>
      </c>
    </row>
    <row r="58" spans="1:6" x14ac:dyDescent="0.2">
      <c r="A58" s="27" t="s">
        <v>455</v>
      </c>
      <c r="B58" s="27" t="s">
        <v>454</v>
      </c>
      <c r="C58" s="27" t="s">
        <v>437</v>
      </c>
      <c r="D58" s="31">
        <v>1054022</v>
      </c>
      <c r="E58" s="29">
        <v>5278.5421759999999</v>
      </c>
      <c r="F58" s="30">
        <v>0.84668116546870298</v>
      </c>
    </row>
    <row r="59" spans="1:6" x14ac:dyDescent="0.2">
      <c r="A59" s="27" t="s">
        <v>457</v>
      </c>
      <c r="B59" s="27" t="s">
        <v>456</v>
      </c>
      <c r="C59" s="27" t="s">
        <v>381</v>
      </c>
      <c r="D59" s="31">
        <v>6313159</v>
      </c>
      <c r="E59" s="29">
        <v>5211.5127549999997</v>
      </c>
      <c r="F59" s="30">
        <v>0.83592960823932105</v>
      </c>
    </row>
    <row r="60" spans="1:6" x14ac:dyDescent="0.2">
      <c r="A60" s="27" t="s">
        <v>459</v>
      </c>
      <c r="B60" s="27" t="s">
        <v>458</v>
      </c>
      <c r="C60" s="27" t="s">
        <v>172</v>
      </c>
      <c r="D60" s="31">
        <v>988899</v>
      </c>
      <c r="E60" s="29">
        <v>3688.098821</v>
      </c>
      <c r="F60" s="30">
        <v>0.59157314728407095</v>
      </c>
    </row>
    <row r="61" spans="1:6" x14ac:dyDescent="0.2">
      <c r="A61" s="27" t="s">
        <v>461</v>
      </c>
      <c r="B61" s="27" t="s">
        <v>460</v>
      </c>
      <c r="C61" s="27" t="s">
        <v>217</v>
      </c>
      <c r="D61" s="31">
        <v>1505038</v>
      </c>
      <c r="E61" s="29">
        <v>3482.6579320000001</v>
      </c>
      <c r="F61" s="30">
        <v>0.55862031191139705</v>
      </c>
    </row>
    <row r="62" spans="1:6" x14ac:dyDescent="0.2">
      <c r="A62" s="27" t="s">
        <v>463</v>
      </c>
      <c r="B62" s="27" t="s">
        <v>462</v>
      </c>
      <c r="C62" s="27" t="s">
        <v>175</v>
      </c>
      <c r="D62" s="31">
        <v>11046869</v>
      </c>
      <c r="E62" s="29">
        <v>2468.975222</v>
      </c>
      <c r="F62" s="30">
        <v>0.39602502902807302</v>
      </c>
    </row>
    <row r="63" spans="1:6" x14ac:dyDescent="0.2">
      <c r="A63" s="27" t="s">
        <v>465</v>
      </c>
      <c r="B63" s="27" t="s">
        <v>464</v>
      </c>
      <c r="C63" s="27" t="s">
        <v>135</v>
      </c>
      <c r="D63" s="31">
        <v>712700</v>
      </c>
      <c r="E63" s="29">
        <v>2341.2195000000002</v>
      </c>
      <c r="F63" s="30">
        <v>0.37553293860013898</v>
      </c>
    </row>
    <row r="64" spans="1:6" x14ac:dyDescent="0.2">
      <c r="A64" s="27" t="s">
        <v>467</v>
      </c>
      <c r="B64" s="27" t="s">
        <v>466</v>
      </c>
      <c r="C64" s="27" t="s">
        <v>468</v>
      </c>
      <c r="D64" s="31">
        <v>7989354</v>
      </c>
      <c r="E64" s="29">
        <v>1438.0837200000001</v>
      </c>
      <c r="F64" s="30">
        <v>0.23066944612609799</v>
      </c>
    </row>
    <row r="65" spans="1:9" x14ac:dyDescent="0.2">
      <c r="A65" s="27" t="s">
        <v>145</v>
      </c>
      <c r="B65" s="27" t="s">
        <v>144</v>
      </c>
      <c r="C65" s="27" t="s">
        <v>111</v>
      </c>
      <c r="D65" s="31">
        <v>43545</v>
      </c>
      <c r="E65" s="29">
        <v>1321.873793</v>
      </c>
      <c r="F65" s="30">
        <v>0.212029307779045</v>
      </c>
    </row>
    <row r="66" spans="1:9" x14ac:dyDescent="0.2">
      <c r="A66" s="26" t="s">
        <v>39</v>
      </c>
      <c r="B66" s="26"/>
      <c r="C66" s="26"/>
      <c r="D66" s="32"/>
      <c r="E66" s="33">
        <f>SUM(E7:E65)</f>
        <v>606656.32896399975</v>
      </c>
      <c r="F66" s="34">
        <f>SUM(F7:F65)</f>
        <v>97.308020002491816</v>
      </c>
      <c r="G66" s="18"/>
      <c r="H66" s="18"/>
      <c r="I66" s="18"/>
    </row>
    <row r="67" spans="1:9" x14ac:dyDescent="0.2">
      <c r="A67" s="27"/>
      <c r="B67" s="27"/>
      <c r="C67" s="27"/>
      <c r="D67" s="28"/>
      <c r="E67" s="29"/>
      <c r="F67" s="30"/>
    </row>
    <row r="68" spans="1:9" x14ac:dyDescent="0.2">
      <c r="A68" s="26" t="s">
        <v>42</v>
      </c>
      <c r="B68" s="26"/>
      <c r="C68" s="26"/>
      <c r="D68" s="32"/>
      <c r="E68" s="33">
        <f>E66</f>
        <v>606656.32896399975</v>
      </c>
      <c r="F68" s="34">
        <f>F66</f>
        <v>97.308020002491816</v>
      </c>
      <c r="G68" s="18"/>
      <c r="H68" s="18"/>
      <c r="I68" s="18"/>
    </row>
    <row r="69" spans="1:9" x14ac:dyDescent="0.2">
      <c r="A69" s="26"/>
      <c r="B69" s="26"/>
      <c r="C69" s="26"/>
      <c r="D69" s="32"/>
      <c r="E69" s="33"/>
      <c r="F69" s="34"/>
      <c r="G69" s="18"/>
      <c r="H69" s="18"/>
      <c r="I69" s="18"/>
    </row>
    <row r="70" spans="1:9" x14ac:dyDescent="0.2">
      <c r="A70" s="26" t="s">
        <v>44</v>
      </c>
      <c r="B70" s="26"/>
      <c r="C70" s="26"/>
      <c r="D70" s="32"/>
      <c r="E70" s="33">
        <f>E72-(E66)</f>
        <v>16782.858215500251</v>
      </c>
      <c r="F70" s="34">
        <f>F72-(F66)</f>
        <v>2.6919799975081844</v>
      </c>
      <c r="G70" s="18"/>
      <c r="H70" s="18"/>
      <c r="I70" s="18"/>
    </row>
    <row r="71" spans="1:9" x14ac:dyDescent="0.2">
      <c r="A71" s="26"/>
      <c r="B71" s="26"/>
      <c r="C71" s="26"/>
      <c r="D71" s="32"/>
      <c r="E71" s="33"/>
      <c r="F71" s="34"/>
      <c r="G71" s="18"/>
      <c r="H71" s="18"/>
      <c r="I71" s="18"/>
    </row>
    <row r="72" spans="1:9" x14ac:dyDescent="0.2">
      <c r="A72" s="35" t="s">
        <v>43</v>
      </c>
      <c r="B72" s="35"/>
      <c r="C72" s="35"/>
      <c r="D72" s="36"/>
      <c r="E72" s="37">
        <v>623439.1871795</v>
      </c>
      <c r="F72" s="38">
        <v>100</v>
      </c>
      <c r="G72" s="18"/>
      <c r="H72" s="18"/>
      <c r="I72" s="18"/>
    </row>
    <row r="75" spans="1:9" x14ac:dyDescent="0.2">
      <c r="A75" s="18" t="s">
        <v>47</v>
      </c>
    </row>
    <row r="76" spans="1:9" x14ac:dyDescent="0.2">
      <c r="A76" s="18" t="s">
        <v>48</v>
      </c>
    </row>
    <row r="77" spans="1:9" x14ac:dyDescent="0.2">
      <c r="A77" s="18" t="s">
        <v>49</v>
      </c>
      <c r="B77" s="18"/>
      <c r="C77" s="41" t="s">
        <v>731</v>
      </c>
      <c r="D77" s="19" t="s">
        <v>50</v>
      </c>
    </row>
    <row r="78" spans="1:9" x14ac:dyDescent="0.2">
      <c r="A78" s="9" t="s">
        <v>79</v>
      </c>
      <c r="C78" s="51">
        <v>47.9831</v>
      </c>
      <c r="D78" s="40">
        <v>68.490399999999994</v>
      </c>
    </row>
    <row r="79" spans="1:9" x14ac:dyDescent="0.2">
      <c r="A79" s="9" t="s">
        <v>85</v>
      </c>
      <c r="C79" s="51">
        <v>20.2181</v>
      </c>
      <c r="D79" s="40">
        <v>27.4922</v>
      </c>
    </row>
    <row r="80" spans="1:9" x14ac:dyDescent="0.2">
      <c r="A80" s="9" t="s">
        <v>82</v>
      </c>
      <c r="C80" s="51">
        <v>52.203699999999998</v>
      </c>
      <c r="D80" s="40">
        <v>74.822999999999993</v>
      </c>
    </row>
    <row r="81" spans="1:4" x14ac:dyDescent="0.2">
      <c r="A81" s="9" t="s">
        <v>86</v>
      </c>
      <c r="C81" s="51">
        <v>22.662700000000001</v>
      </c>
      <c r="D81" s="40">
        <v>31.113099999999999</v>
      </c>
    </row>
    <row r="83" spans="1:4" x14ac:dyDescent="0.2">
      <c r="A83" s="18" t="s">
        <v>53</v>
      </c>
    </row>
    <row r="84" spans="1:4" x14ac:dyDescent="0.2">
      <c r="A84" s="82" t="s">
        <v>76</v>
      </c>
      <c r="B84" s="83"/>
      <c r="C84" s="44" t="s">
        <v>77</v>
      </c>
    </row>
    <row r="85" spans="1:4" x14ac:dyDescent="0.2">
      <c r="A85" s="78" t="s">
        <v>85</v>
      </c>
      <c r="B85" s="79"/>
      <c r="C85" s="45">
        <v>1.3</v>
      </c>
    </row>
    <row r="86" spans="1:4" x14ac:dyDescent="0.2">
      <c r="A86" s="78" t="s">
        <v>86</v>
      </c>
      <c r="B86" s="79"/>
      <c r="C86" s="45">
        <v>1.3</v>
      </c>
    </row>
    <row r="87" spans="1:4" x14ac:dyDescent="0.2">
      <c r="A87" s="9" t="s">
        <v>78</v>
      </c>
    </row>
    <row r="88" spans="1:4" x14ac:dyDescent="0.2">
      <c r="A88" s="9" t="s">
        <v>52</v>
      </c>
    </row>
    <row r="90" spans="1:4" x14ac:dyDescent="0.2">
      <c r="A90" s="18" t="s">
        <v>231</v>
      </c>
      <c r="D90" s="46">
        <v>8.5105165899168014E-2</v>
      </c>
    </row>
    <row r="92" spans="1:4" x14ac:dyDescent="0.2">
      <c r="A92" s="18" t="s">
        <v>742</v>
      </c>
    </row>
    <row r="93" spans="1:4" x14ac:dyDescent="0.2">
      <c r="A93" s="53" t="s">
        <v>57</v>
      </c>
    </row>
  </sheetData>
  <mergeCells count="4">
    <mergeCell ref="A1:F1"/>
    <mergeCell ref="A84:B84"/>
    <mergeCell ref="A85:B85"/>
    <mergeCell ref="A86:B86"/>
  </mergeCells>
  <conditionalFormatting sqref="F2:F3 F5:F65534">
    <cfRule type="cellIs" dxfId="21" priority="1" stopIfTrue="1" operator="between">
      <formula>0.009</formula>
      <formula>-0.009</formula>
    </cfRule>
  </conditionalFormatting>
  <hyperlinks>
    <hyperlink ref="A93" r:id="rId1" xr:uid="{00000000-0004-0000-2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91"/>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18</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470</v>
      </c>
      <c r="B7" s="27" t="s">
        <v>469</v>
      </c>
      <c r="C7" s="27" t="s">
        <v>126</v>
      </c>
      <c r="D7" s="31">
        <v>7541052</v>
      </c>
      <c r="E7" s="29">
        <v>29025.509150000002</v>
      </c>
      <c r="F7" s="30">
        <v>4.0342216512343496</v>
      </c>
    </row>
    <row r="8" spans="1:6" x14ac:dyDescent="0.2">
      <c r="A8" s="27" t="s">
        <v>472</v>
      </c>
      <c r="B8" s="27" t="s">
        <v>471</v>
      </c>
      <c r="C8" s="27" t="s">
        <v>184</v>
      </c>
      <c r="D8" s="31">
        <v>2893543</v>
      </c>
      <c r="E8" s="29">
        <v>28515.866269999999</v>
      </c>
      <c r="F8" s="30">
        <v>3.96338698196918</v>
      </c>
    </row>
    <row r="9" spans="1:6" x14ac:dyDescent="0.2">
      <c r="A9" s="27" t="s">
        <v>115</v>
      </c>
      <c r="B9" s="27" t="s">
        <v>114</v>
      </c>
      <c r="C9" s="27" t="s">
        <v>108</v>
      </c>
      <c r="D9" s="31">
        <v>4592911</v>
      </c>
      <c r="E9" s="29">
        <v>27580.430560000001</v>
      </c>
      <c r="F9" s="30">
        <v>3.83337186405626</v>
      </c>
    </row>
    <row r="10" spans="1:6" x14ac:dyDescent="0.2">
      <c r="A10" s="27" t="s">
        <v>107</v>
      </c>
      <c r="B10" s="27" t="s">
        <v>106</v>
      </c>
      <c r="C10" s="27" t="s">
        <v>108</v>
      </c>
      <c r="D10" s="31">
        <v>1807637</v>
      </c>
      <c r="E10" s="29">
        <v>25529.25735</v>
      </c>
      <c r="F10" s="30">
        <v>3.5482816928055101</v>
      </c>
    </row>
    <row r="11" spans="1:6" x14ac:dyDescent="0.2">
      <c r="A11" s="27" t="s">
        <v>125</v>
      </c>
      <c r="B11" s="27" t="s">
        <v>124</v>
      </c>
      <c r="C11" s="27" t="s">
        <v>126</v>
      </c>
      <c r="D11" s="31">
        <v>2622087</v>
      </c>
      <c r="E11" s="29">
        <v>25097.30572</v>
      </c>
      <c r="F11" s="30">
        <v>3.48824523973154</v>
      </c>
    </row>
    <row r="12" spans="1:6" x14ac:dyDescent="0.2">
      <c r="A12" s="27" t="s">
        <v>330</v>
      </c>
      <c r="B12" s="27" t="s">
        <v>329</v>
      </c>
      <c r="C12" s="27" t="s">
        <v>172</v>
      </c>
      <c r="D12" s="31">
        <v>458016</v>
      </c>
      <c r="E12" s="29">
        <v>22510.112349999999</v>
      </c>
      <c r="F12" s="30">
        <v>3.1286542518441198</v>
      </c>
    </row>
    <row r="13" spans="1:6" x14ac:dyDescent="0.2">
      <c r="A13" s="27" t="s">
        <v>165</v>
      </c>
      <c r="B13" s="27" t="s">
        <v>164</v>
      </c>
      <c r="C13" s="27" t="s">
        <v>108</v>
      </c>
      <c r="D13" s="31">
        <v>13160416</v>
      </c>
      <c r="E13" s="29">
        <v>21944.99368</v>
      </c>
      <c r="F13" s="30">
        <v>3.0501090672532398</v>
      </c>
    </row>
    <row r="14" spans="1:6" x14ac:dyDescent="0.2">
      <c r="A14" s="27" t="s">
        <v>181</v>
      </c>
      <c r="B14" s="27" t="s">
        <v>180</v>
      </c>
      <c r="C14" s="27" t="s">
        <v>140</v>
      </c>
      <c r="D14" s="31">
        <v>3798612</v>
      </c>
      <c r="E14" s="29">
        <v>21110.786189999999</v>
      </c>
      <c r="F14" s="30">
        <v>2.9341635415300602</v>
      </c>
    </row>
    <row r="15" spans="1:6" x14ac:dyDescent="0.2">
      <c r="A15" s="27" t="s">
        <v>378</v>
      </c>
      <c r="B15" s="27" t="s">
        <v>377</v>
      </c>
      <c r="C15" s="27" t="s">
        <v>264</v>
      </c>
      <c r="D15" s="31">
        <v>1125123</v>
      </c>
      <c r="E15" s="29">
        <v>20990.294689999999</v>
      </c>
      <c r="F15" s="30">
        <v>2.91741656852856</v>
      </c>
    </row>
    <row r="16" spans="1:6" x14ac:dyDescent="0.2">
      <c r="A16" s="27" t="s">
        <v>227</v>
      </c>
      <c r="B16" s="27" t="s">
        <v>226</v>
      </c>
      <c r="C16" s="27" t="s">
        <v>108</v>
      </c>
      <c r="D16" s="31">
        <v>23869927</v>
      </c>
      <c r="E16" s="29">
        <v>19119.811529999999</v>
      </c>
      <c r="F16" s="30">
        <v>2.65744029650712</v>
      </c>
    </row>
    <row r="17" spans="1:6" x14ac:dyDescent="0.2">
      <c r="A17" s="27" t="s">
        <v>120</v>
      </c>
      <c r="B17" s="27" t="s">
        <v>119</v>
      </c>
      <c r="C17" s="27" t="s">
        <v>121</v>
      </c>
      <c r="D17" s="31">
        <v>1061879</v>
      </c>
      <c r="E17" s="29">
        <v>18794.727360000001</v>
      </c>
      <c r="F17" s="30">
        <v>2.6122572270108999</v>
      </c>
    </row>
    <row r="18" spans="1:6" x14ac:dyDescent="0.2">
      <c r="A18" s="27" t="s">
        <v>296</v>
      </c>
      <c r="B18" s="27" t="s">
        <v>295</v>
      </c>
      <c r="C18" s="27" t="s">
        <v>157</v>
      </c>
      <c r="D18" s="31">
        <v>16589858</v>
      </c>
      <c r="E18" s="29">
        <v>18696.769970000001</v>
      </c>
      <c r="F18" s="30">
        <v>2.5986422436666299</v>
      </c>
    </row>
    <row r="19" spans="1:6" x14ac:dyDescent="0.2">
      <c r="A19" s="27" t="s">
        <v>123</v>
      </c>
      <c r="B19" s="27" t="s">
        <v>122</v>
      </c>
      <c r="C19" s="27" t="s">
        <v>108</v>
      </c>
      <c r="D19" s="31">
        <v>1037898</v>
      </c>
      <c r="E19" s="29">
        <v>18150.76022</v>
      </c>
      <c r="F19" s="30">
        <v>2.5227529855712199</v>
      </c>
    </row>
    <row r="20" spans="1:6" x14ac:dyDescent="0.2">
      <c r="A20" s="27" t="s">
        <v>474</v>
      </c>
      <c r="B20" s="27" t="s">
        <v>473</v>
      </c>
      <c r="C20" s="27" t="s">
        <v>415</v>
      </c>
      <c r="D20" s="31">
        <v>537865</v>
      </c>
      <c r="E20" s="29">
        <v>17198.233380000001</v>
      </c>
      <c r="F20" s="30">
        <v>2.39036239144068</v>
      </c>
    </row>
    <row r="21" spans="1:6" x14ac:dyDescent="0.2">
      <c r="A21" s="27" t="s">
        <v>294</v>
      </c>
      <c r="B21" s="27" t="s">
        <v>293</v>
      </c>
      <c r="C21" s="27" t="s">
        <v>184</v>
      </c>
      <c r="D21" s="31">
        <v>607739</v>
      </c>
      <c r="E21" s="29">
        <v>17055.587299999999</v>
      </c>
      <c r="F21" s="30">
        <v>2.37053617921385</v>
      </c>
    </row>
    <row r="22" spans="1:6" x14ac:dyDescent="0.2">
      <c r="A22" s="27" t="s">
        <v>476</v>
      </c>
      <c r="B22" s="27" t="s">
        <v>475</v>
      </c>
      <c r="C22" s="27" t="s">
        <v>111</v>
      </c>
      <c r="D22" s="31">
        <v>957514</v>
      </c>
      <c r="E22" s="29">
        <v>16898.20707</v>
      </c>
      <c r="F22" s="30">
        <v>2.34866208466959</v>
      </c>
    </row>
    <row r="23" spans="1:6" x14ac:dyDescent="0.2">
      <c r="A23" s="27" t="s">
        <v>478</v>
      </c>
      <c r="B23" s="27" t="s">
        <v>477</v>
      </c>
      <c r="C23" s="27" t="s">
        <v>264</v>
      </c>
      <c r="D23" s="31">
        <v>1036117</v>
      </c>
      <c r="E23" s="29">
        <v>16628.123670000001</v>
      </c>
      <c r="F23" s="30">
        <v>2.3111235080235102</v>
      </c>
    </row>
    <row r="24" spans="1:6" x14ac:dyDescent="0.2">
      <c r="A24" s="27" t="s">
        <v>282</v>
      </c>
      <c r="B24" s="27" t="s">
        <v>281</v>
      </c>
      <c r="C24" s="27" t="s">
        <v>140</v>
      </c>
      <c r="D24" s="31">
        <v>2435553</v>
      </c>
      <c r="E24" s="29">
        <v>16306.027340000001</v>
      </c>
      <c r="F24" s="30">
        <v>2.2663557149228302</v>
      </c>
    </row>
    <row r="25" spans="1:6" x14ac:dyDescent="0.2">
      <c r="A25" s="27" t="s">
        <v>163</v>
      </c>
      <c r="B25" s="27" t="s">
        <v>162</v>
      </c>
      <c r="C25" s="27" t="s">
        <v>143</v>
      </c>
      <c r="D25" s="31">
        <v>3864460</v>
      </c>
      <c r="E25" s="29">
        <v>16300.29228</v>
      </c>
      <c r="F25" s="30">
        <v>2.2655586056248098</v>
      </c>
    </row>
    <row r="26" spans="1:6" x14ac:dyDescent="0.2">
      <c r="A26" s="27" t="s">
        <v>211</v>
      </c>
      <c r="B26" s="27" t="s">
        <v>210</v>
      </c>
      <c r="C26" s="27" t="s">
        <v>192</v>
      </c>
      <c r="D26" s="31">
        <v>2730269</v>
      </c>
      <c r="E26" s="29">
        <v>15514.75359</v>
      </c>
      <c r="F26" s="30">
        <v>2.1563774996292802</v>
      </c>
    </row>
    <row r="27" spans="1:6" x14ac:dyDescent="0.2">
      <c r="A27" s="27" t="s">
        <v>480</v>
      </c>
      <c r="B27" s="27" t="s">
        <v>479</v>
      </c>
      <c r="C27" s="27" t="s">
        <v>192</v>
      </c>
      <c r="D27" s="31">
        <v>624058</v>
      </c>
      <c r="E27" s="29">
        <v>15483.50304</v>
      </c>
      <c r="F27" s="30">
        <v>2.1520340221463701</v>
      </c>
    </row>
    <row r="28" spans="1:6" x14ac:dyDescent="0.2">
      <c r="A28" s="27" t="s">
        <v>249</v>
      </c>
      <c r="B28" s="27" t="s">
        <v>248</v>
      </c>
      <c r="C28" s="27" t="s">
        <v>250</v>
      </c>
      <c r="D28" s="31">
        <v>11687252</v>
      </c>
      <c r="E28" s="29">
        <v>15397.95451</v>
      </c>
      <c r="F28" s="30">
        <v>2.1401437317754599</v>
      </c>
    </row>
    <row r="29" spans="1:6" x14ac:dyDescent="0.2">
      <c r="A29" s="27" t="s">
        <v>482</v>
      </c>
      <c r="B29" s="27" t="s">
        <v>481</v>
      </c>
      <c r="C29" s="27" t="s">
        <v>140</v>
      </c>
      <c r="D29" s="31">
        <v>3091673</v>
      </c>
      <c r="E29" s="29">
        <v>15200.210300000001</v>
      </c>
      <c r="F29" s="30">
        <v>2.11265949474569</v>
      </c>
    </row>
    <row r="30" spans="1:6" x14ac:dyDescent="0.2">
      <c r="A30" s="27" t="s">
        <v>484</v>
      </c>
      <c r="B30" s="27" t="s">
        <v>483</v>
      </c>
      <c r="C30" s="27" t="s">
        <v>381</v>
      </c>
      <c r="D30" s="31">
        <v>2606125</v>
      </c>
      <c r="E30" s="29">
        <v>14262.019060000001</v>
      </c>
      <c r="F30" s="30">
        <v>1.98226138893309</v>
      </c>
    </row>
    <row r="31" spans="1:6" x14ac:dyDescent="0.2">
      <c r="A31" s="27" t="s">
        <v>208</v>
      </c>
      <c r="B31" s="27" t="s">
        <v>207</v>
      </c>
      <c r="C31" s="27" t="s">
        <v>209</v>
      </c>
      <c r="D31" s="31">
        <v>12640848</v>
      </c>
      <c r="E31" s="29">
        <v>14094.54552</v>
      </c>
      <c r="F31" s="30">
        <v>1.9589844370083001</v>
      </c>
    </row>
    <row r="32" spans="1:6" x14ac:dyDescent="0.2">
      <c r="A32" s="27" t="s">
        <v>486</v>
      </c>
      <c r="B32" s="27" t="s">
        <v>485</v>
      </c>
      <c r="C32" s="27" t="s">
        <v>172</v>
      </c>
      <c r="D32" s="31">
        <v>1790964</v>
      </c>
      <c r="E32" s="29">
        <v>13910.417390000001</v>
      </c>
      <c r="F32" s="30">
        <v>1.9333926830511701</v>
      </c>
    </row>
    <row r="33" spans="1:6" x14ac:dyDescent="0.2">
      <c r="A33" s="27" t="s">
        <v>137</v>
      </c>
      <c r="B33" s="27" t="s">
        <v>136</v>
      </c>
      <c r="C33" s="27" t="s">
        <v>132</v>
      </c>
      <c r="D33" s="31">
        <v>5051482</v>
      </c>
      <c r="E33" s="29">
        <v>13621.32121</v>
      </c>
      <c r="F33" s="30">
        <v>1.89321154229605</v>
      </c>
    </row>
    <row r="34" spans="1:6" x14ac:dyDescent="0.2">
      <c r="A34" s="27" t="s">
        <v>254</v>
      </c>
      <c r="B34" s="27" t="s">
        <v>253</v>
      </c>
      <c r="C34" s="27" t="s">
        <v>217</v>
      </c>
      <c r="D34" s="31">
        <v>3723303</v>
      </c>
      <c r="E34" s="29">
        <v>13469.0486</v>
      </c>
      <c r="F34" s="30">
        <v>1.87204734989628</v>
      </c>
    </row>
    <row r="35" spans="1:6" x14ac:dyDescent="0.2">
      <c r="A35" s="27" t="s">
        <v>488</v>
      </c>
      <c r="B35" s="27" t="s">
        <v>487</v>
      </c>
      <c r="C35" s="27" t="s">
        <v>135</v>
      </c>
      <c r="D35" s="31">
        <v>630458</v>
      </c>
      <c r="E35" s="29">
        <v>13273.03227</v>
      </c>
      <c r="F35" s="30">
        <v>1.84480326889171</v>
      </c>
    </row>
    <row r="36" spans="1:6" x14ac:dyDescent="0.2">
      <c r="A36" s="27" t="s">
        <v>490</v>
      </c>
      <c r="B36" s="27" t="s">
        <v>489</v>
      </c>
      <c r="C36" s="27" t="s">
        <v>121</v>
      </c>
      <c r="D36" s="31">
        <v>1752537</v>
      </c>
      <c r="E36" s="29">
        <v>12243.223480000001</v>
      </c>
      <c r="F36" s="30">
        <v>1.70167134669942</v>
      </c>
    </row>
    <row r="37" spans="1:6" x14ac:dyDescent="0.2">
      <c r="A37" s="27" t="s">
        <v>492</v>
      </c>
      <c r="B37" s="27" t="s">
        <v>491</v>
      </c>
      <c r="C37" s="27" t="s">
        <v>121</v>
      </c>
      <c r="D37" s="31">
        <v>5510107</v>
      </c>
      <c r="E37" s="29">
        <v>11921.11649</v>
      </c>
      <c r="F37" s="30">
        <v>1.6569020719777701</v>
      </c>
    </row>
    <row r="38" spans="1:6" x14ac:dyDescent="0.2">
      <c r="A38" s="27" t="s">
        <v>494</v>
      </c>
      <c r="B38" s="27" t="s">
        <v>493</v>
      </c>
      <c r="C38" s="27" t="s">
        <v>495</v>
      </c>
      <c r="D38" s="31">
        <v>1586228</v>
      </c>
      <c r="E38" s="29">
        <v>11768.22553</v>
      </c>
      <c r="F38" s="30">
        <v>1.63565193583296</v>
      </c>
    </row>
    <row r="39" spans="1:6" x14ac:dyDescent="0.2">
      <c r="A39" s="27" t="s">
        <v>497</v>
      </c>
      <c r="B39" s="27" t="s">
        <v>496</v>
      </c>
      <c r="C39" s="27" t="s">
        <v>316</v>
      </c>
      <c r="D39" s="31">
        <v>1940126</v>
      </c>
      <c r="E39" s="29">
        <v>11444.80327</v>
      </c>
      <c r="F39" s="30">
        <v>1.5906998532686101</v>
      </c>
    </row>
    <row r="40" spans="1:6" x14ac:dyDescent="0.2">
      <c r="A40" s="27" t="s">
        <v>499</v>
      </c>
      <c r="B40" s="27" t="s">
        <v>498</v>
      </c>
      <c r="C40" s="27" t="s">
        <v>500</v>
      </c>
      <c r="D40" s="31">
        <v>449936</v>
      </c>
      <c r="E40" s="29">
        <v>11300.81754</v>
      </c>
      <c r="F40" s="30">
        <v>1.5706874446513199</v>
      </c>
    </row>
    <row r="41" spans="1:6" x14ac:dyDescent="0.2">
      <c r="A41" s="27" t="s">
        <v>414</v>
      </c>
      <c r="B41" s="27" t="s">
        <v>413</v>
      </c>
      <c r="C41" s="27" t="s">
        <v>415</v>
      </c>
      <c r="D41" s="31">
        <v>452925</v>
      </c>
      <c r="E41" s="29">
        <v>10847.780210000001</v>
      </c>
      <c r="F41" s="30">
        <v>1.5077203147361</v>
      </c>
    </row>
    <row r="42" spans="1:6" x14ac:dyDescent="0.2">
      <c r="A42" s="27" t="s">
        <v>502</v>
      </c>
      <c r="B42" s="27" t="s">
        <v>501</v>
      </c>
      <c r="C42" s="27" t="s">
        <v>108</v>
      </c>
      <c r="D42" s="31">
        <v>5234341</v>
      </c>
      <c r="E42" s="29">
        <v>9722.7884080000003</v>
      </c>
      <c r="F42" s="30">
        <v>1.3513590167607401</v>
      </c>
    </row>
    <row r="43" spans="1:6" x14ac:dyDescent="0.2">
      <c r="A43" s="27" t="s">
        <v>259</v>
      </c>
      <c r="B43" s="27" t="s">
        <v>258</v>
      </c>
      <c r="C43" s="27" t="s">
        <v>121</v>
      </c>
      <c r="D43" s="31">
        <v>68736</v>
      </c>
      <c r="E43" s="29">
        <v>9285.5462399999997</v>
      </c>
      <c r="F43" s="30">
        <v>1.29058723798289</v>
      </c>
    </row>
    <row r="44" spans="1:6" x14ac:dyDescent="0.2">
      <c r="A44" s="27" t="s">
        <v>271</v>
      </c>
      <c r="B44" s="27" t="s">
        <v>270</v>
      </c>
      <c r="C44" s="27" t="s">
        <v>192</v>
      </c>
      <c r="D44" s="31">
        <v>11253507</v>
      </c>
      <c r="E44" s="29">
        <v>9115.3406699999996</v>
      </c>
      <c r="F44" s="30">
        <v>1.26693056439601</v>
      </c>
    </row>
    <row r="45" spans="1:6" x14ac:dyDescent="0.2">
      <c r="A45" s="27" t="s">
        <v>504</v>
      </c>
      <c r="B45" s="27" t="s">
        <v>503</v>
      </c>
      <c r="C45" s="27" t="s">
        <v>126</v>
      </c>
      <c r="D45" s="31">
        <v>968720</v>
      </c>
      <c r="E45" s="29">
        <v>8843.9292399999995</v>
      </c>
      <c r="F45" s="30">
        <v>1.2292074064097001</v>
      </c>
    </row>
    <row r="46" spans="1:6" x14ac:dyDescent="0.2">
      <c r="A46" s="27" t="s">
        <v>171</v>
      </c>
      <c r="B46" s="27" t="s">
        <v>170</v>
      </c>
      <c r="C46" s="27" t="s">
        <v>172</v>
      </c>
      <c r="D46" s="31">
        <v>4468223</v>
      </c>
      <c r="E46" s="29">
        <v>7819.3902500000004</v>
      </c>
      <c r="F46" s="30">
        <v>1.08680792757087</v>
      </c>
    </row>
    <row r="47" spans="1:6" x14ac:dyDescent="0.2">
      <c r="A47" s="27" t="s">
        <v>506</v>
      </c>
      <c r="B47" s="27" t="s">
        <v>505</v>
      </c>
      <c r="C47" s="27" t="s">
        <v>217</v>
      </c>
      <c r="D47" s="31">
        <v>368622</v>
      </c>
      <c r="E47" s="29">
        <v>6866.5063049999999</v>
      </c>
      <c r="F47" s="30">
        <v>0.95436769983303404</v>
      </c>
    </row>
    <row r="48" spans="1:6" x14ac:dyDescent="0.2">
      <c r="A48" s="27" t="s">
        <v>412</v>
      </c>
      <c r="B48" s="27" t="s">
        <v>411</v>
      </c>
      <c r="C48" s="27" t="s">
        <v>108</v>
      </c>
      <c r="D48" s="31">
        <v>12530441</v>
      </c>
      <c r="E48" s="29">
        <v>6540.8902019999996</v>
      </c>
      <c r="F48" s="30">
        <v>0.90911069758978003</v>
      </c>
    </row>
    <row r="49" spans="1:9" x14ac:dyDescent="0.2">
      <c r="A49" s="27" t="s">
        <v>508</v>
      </c>
      <c r="B49" s="27" t="s">
        <v>507</v>
      </c>
      <c r="C49" s="27" t="s">
        <v>381</v>
      </c>
      <c r="D49" s="31">
        <v>821062</v>
      </c>
      <c r="E49" s="29">
        <v>5886.1934780000001</v>
      </c>
      <c r="F49" s="30">
        <v>0.81811516378867799</v>
      </c>
    </row>
    <row r="50" spans="1:9" x14ac:dyDescent="0.2">
      <c r="A50" s="27" t="s">
        <v>510</v>
      </c>
      <c r="B50" s="27" t="s">
        <v>509</v>
      </c>
      <c r="C50" s="27" t="s">
        <v>217</v>
      </c>
      <c r="D50" s="31">
        <v>2553763</v>
      </c>
      <c r="E50" s="29">
        <v>5737.0285800000001</v>
      </c>
      <c r="F50" s="30">
        <v>0.79738290865386097</v>
      </c>
    </row>
    <row r="51" spans="1:9" x14ac:dyDescent="0.2">
      <c r="A51" s="27" t="s">
        <v>512</v>
      </c>
      <c r="B51" s="27" t="s">
        <v>511</v>
      </c>
      <c r="C51" s="27" t="s">
        <v>126</v>
      </c>
      <c r="D51" s="31">
        <v>366650</v>
      </c>
      <c r="E51" s="29">
        <v>5021.4550749999999</v>
      </c>
      <c r="F51" s="30">
        <v>0.69792618208957802</v>
      </c>
    </row>
    <row r="52" spans="1:9" x14ac:dyDescent="0.2">
      <c r="A52" s="27" t="s">
        <v>514</v>
      </c>
      <c r="B52" s="27" t="s">
        <v>513</v>
      </c>
      <c r="C52" s="27" t="s">
        <v>111</v>
      </c>
      <c r="D52" s="31">
        <v>222305</v>
      </c>
      <c r="E52" s="29">
        <v>4531.2428149999996</v>
      </c>
      <c r="F52" s="30">
        <v>0.62979215202752403</v>
      </c>
    </row>
    <row r="53" spans="1:9" x14ac:dyDescent="0.2">
      <c r="A53" s="27" t="s">
        <v>516</v>
      </c>
      <c r="B53" s="27" t="s">
        <v>515</v>
      </c>
      <c r="C53" s="27" t="s">
        <v>217</v>
      </c>
      <c r="D53" s="31">
        <v>69932</v>
      </c>
      <c r="E53" s="29">
        <v>3659.8212880000001</v>
      </c>
      <c r="F53" s="30">
        <v>0.50867429072120096</v>
      </c>
    </row>
    <row r="54" spans="1:9" x14ac:dyDescent="0.2">
      <c r="A54" s="27" t="s">
        <v>408</v>
      </c>
      <c r="B54" s="27" t="s">
        <v>407</v>
      </c>
      <c r="C54" s="27" t="s">
        <v>264</v>
      </c>
      <c r="D54" s="31">
        <v>44595</v>
      </c>
      <c r="E54" s="29">
        <v>3607.155765</v>
      </c>
      <c r="F54" s="30">
        <v>0.50135437112695103</v>
      </c>
    </row>
    <row r="55" spans="1:9" x14ac:dyDescent="0.2">
      <c r="A55" s="27" t="s">
        <v>518</v>
      </c>
      <c r="B55" s="27" t="s">
        <v>517</v>
      </c>
      <c r="C55" s="27" t="s">
        <v>217</v>
      </c>
      <c r="D55" s="31">
        <v>258421</v>
      </c>
      <c r="E55" s="29">
        <v>1577.4017839999999</v>
      </c>
      <c r="F55" s="30">
        <v>0.21924123352401201</v>
      </c>
    </row>
    <row r="56" spans="1:9" x14ac:dyDescent="0.2">
      <c r="A56" s="27" t="s">
        <v>177</v>
      </c>
      <c r="B56" s="27" t="s">
        <v>176</v>
      </c>
      <c r="C56" s="27" t="s">
        <v>172</v>
      </c>
      <c r="D56" s="31">
        <v>387844</v>
      </c>
      <c r="E56" s="29">
        <v>563.34340999999995</v>
      </c>
      <c r="F56" s="30">
        <v>7.8298443274756102E-2</v>
      </c>
    </row>
    <row r="57" spans="1:9" x14ac:dyDescent="0.2">
      <c r="A57" s="26" t="s">
        <v>39</v>
      </c>
      <c r="B57" s="26"/>
      <c r="C57" s="26"/>
      <c r="D57" s="32"/>
      <c r="E57" s="33">
        <f>SUM(E7:E56)</f>
        <v>699983.90160000022</v>
      </c>
      <c r="F57" s="34">
        <f>SUM(F7:F56)</f>
        <v>97.289945776893106</v>
      </c>
      <c r="G57" s="18"/>
      <c r="H57" s="18"/>
      <c r="I57" s="18"/>
    </row>
    <row r="58" spans="1:9" x14ac:dyDescent="0.2">
      <c r="A58" s="27"/>
      <c r="B58" s="27"/>
      <c r="C58" s="27"/>
      <c r="D58" s="28"/>
      <c r="E58" s="29"/>
      <c r="F58" s="30"/>
    </row>
    <row r="59" spans="1:9" x14ac:dyDescent="0.2">
      <c r="A59" s="26" t="s">
        <v>238</v>
      </c>
      <c r="B59" s="27"/>
      <c r="C59" s="27"/>
      <c r="D59" s="28"/>
      <c r="E59" s="29"/>
      <c r="F59" s="30"/>
    </row>
    <row r="60" spans="1:9" x14ac:dyDescent="0.2">
      <c r="A60" s="27"/>
      <c r="B60" s="27" t="s">
        <v>749</v>
      </c>
      <c r="C60" s="27" t="s">
        <v>192</v>
      </c>
      <c r="D60" s="31">
        <v>8100</v>
      </c>
      <c r="E60" s="29">
        <v>8.0999999999999996E-4</v>
      </c>
      <c r="F60" s="30">
        <v>1.12580954932183E-7</v>
      </c>
    </row>
    <row r="61" spans="1:9" x14ac:dyDescent="0.2">
      <c r="A61" s="26" t="s">
        <v>39</v>
      </c>
      <c r="B61" s="26"/>
      <c r="C61" s="26"/>
      <c r="D61" s="32"/>
      <c r="E61" s="33">
        <f>SUM(E59:E60)</f>
        <v>8.0999999999999996E-4</v>
      </c>
      <c r="F61" s="34">
        <f>SUM(F59:F60)</f>
        <v>1.12580954932183E-7</v>
      </c>
      <c r="G61" s="18"/>
      <c r="H61" s="18"/>
      <c r="I61" s="18"/>
    </row>
    <row r="62" spans="1:9" x14ac:dyDescent="0.2">
      <c r="A62" s="27"/>
      <c r="B62" s="27"/>
      <c r="C62" s="27"/>
      <c r="D62" s="28"/>
      <c r="E62" s="29"/>
      <c r="F62" s="30"/>
    </row>
    <row r="63" spans="1:9" x14ac:dyDescent="0.2">
      <c r="A63" s="26" t="s">
        <v>42</v>
      </c>
      <c r="B63" s="26"/>
      <c r="C63" s="26"/>
      <c r="D63" s="32"/>
      <c r="E63" s="33">
        <f>E57+E61</f>
        <v>699983.90241000021</v>
      </c>
      <c r="F63" s="34">
        <f>F57+F61</f>
        <v>97.289945889474055</v>
      </c>
      <c r="G63" s="18"/>
      <c r="H63" s="18"/>
      <c r="I63" s="18"/>
    </row>
    <row r="64" spans="1:9" x14ac:dyDescent="0.2">
      <c r="A64" s="26"/>
      <c r="B64" s="26"/>
      <c r="C64" s="26"/>
      <c r="D64" s="32"/>
      <c r="E64" s="33"/>
      <c r="F64" s="34"/>
      <c r="G64" s="18"/>
      <c r="H64" s="18"/>
      <c r="I64" s="18"/>
    </row>
    <row r="65" spans="1:9" x14ac:dyDescent="0.2">
      <c r="A65" s="26" t="s">
        <v>44</v>
      </c>
      <c r="B65" s="26"/>
      <c r="C65" s="26"/>
      <c r="D65" s="32"/>
      <c r="E65" s="33">
        <f>E67-(E57+E61)</f>
        <v>19498.358588699833</v>
      </c>
      <c r="F65" s="34">
        <f>F67-(F57+F61)</f>
        <v>2.7100541105259452</v>
      </c>
      <c r="G65" s="18"/>
      <c r="H65" s="18"/>
      <c r="I65" s="18"/>
    </row>
    <row r="66" spans="1:9" x14ac:dyDescent="0.2">
      <c r="A66" s="26"/>
      <c r="B66" s="26"/>
      <c r="C66" s="26"/>
      <c r="D66" s="32"/>
      <c r="E66" s="33"/>
      <c r="F66" s="34"/>
      <c r="G66" s="18"/>
      <c r="H66" s="18"/>
      <c r="I66" s="18"/>
    </row>
    <row r="67" spans="1:9" x14ac:dyDescent="0.2">
      <c r="A67" s="35" t="s">
        <v>43</v>
      </c>
      <c r="B67" s="35"/>
      <c r="C67" s="35"/>
      <c r="D67" s="36"/>
      <c r="E67" s="37">
        <v>719482.26099870005</v>
      </c>
      <c r="F67" s="38">
        <v>100</v>
      </c>
      <c r="G67" s="18"/>
      <c r="H67" s="18"/>
      <c r="I67" s="18"/>
    </row>
    <row r="68" spans="1:9" x14ac:dyDescent="0.2">
      <c r="F68" s="20" t="s">
        <v>519</v>
      </c>
    </row>
    <row r="69" spans="1:9" x14ac:dyDescent="0.2">
      <c r="A69" s="18" t="s">
        <v>46</v>
      </c>
      <c r="F69" s="20"/>
    </row>
    <row r="70" spans="1:9" x14ac:dyDescent="0.2">
      <c r="A70" s="18" t="s">
        <v>750</v>
      </c>
    </row>
    <row r="72" spans="1:9" x14ac:dyDescent="0.2">
      <c r="A72" s="18" t="s">
        <v>47</v>
      </c>
    </row>
    <row r="73" spans="1:9" x14ac:dyDescent="0.2">
      <c r="A73" s="18" t="s">
        <v>48</v>
      </c>
    </row>
    <row r="74" spans="1:9" x14ac:dyDescent="0.2">
      <c r="A74" s="18" t="s">
        <v>49</v>
      </c>
      <c r="B74" s="18"/>
      <c r="C74" s="41" t="s">
        <v>731</v>
      </c>
      <c r="D74" s="19" t="s">
        <v>50</v>
      </c>
    </row>
    <row r="75" spans="1:9" x14ac:dyDescent="0.2">
      <c r="A75" s="9" t="s">
        <v>79</v>
      </c>
      <c r="C75" s="51">
        <v>943.70780000000002</v>
      </c>
      <c r="D75" s="40">
        <v>1254.0309</v>
      </c>
    </row>
    <row r="76" spans="1:9" x14ac:dyDescent="0.2">
      <c r="A76" s="9" t="s">
        <v>85</v>
      </c>
      <c r="C76" s="51">
        <v>49.538600000000002</v>
      </c>
      <c r="D76" s="40">
        <v>65.828900000000004</v>
      </c>
    </row>
    <row r="77" spans="1:9" x14ac:dyDescent="0.2">
      <c r="A77" s="9" t="s">
        <v>82</v>
      </c>
      <c r="C77" s="51">
        <v>1020.7605</v>
      </c>
      <c r="D77" s="40">
        <v>1361.9514999999999</v>
      </c>
    </row>
    <row r="78" spans="1:9" x14ac:dyDescent="0.2">
      <c r="A78" s="9" t="s">
        <v>86</v>
      </c>
      <c r="C78" s="51">
        <v>55.662799999999997</v>
      </c>
      <c r="D78" s="40">
        <v>74.266199999999998</v>
      </c>
    </row>
    <row r="80" spans="1:9" x14ac:dyDescent="0.2">
      <c r="A80" s="9" t="s">
        <v>52</v>
      </c>
    </row>
    <row r="82" spans="1:4" x14ac:dyDescent="0.2">
      <c r="A82" s="18" t="s">
        <v>53</v>
      </c>
      <c r="D82" s="41" t="s">
        <v>54</v>
      </c>
    </row>
    <row r="84" spans="1:4" x14ac:dyDescent="0.2">
      <c r="A84" s="18" t="s">
        <v>231</v>
      </c>
      <c r="D84" s="46">
        <v>0.11719218934627243</v>
      </c>
    </row>
    <row r="86" spans="1:4" x14ac:dyDescent="0.2">
      <c r="A86" s="18" t="s">
        <v>56</v>
      </c>
      <c r="D86" s="41" t="s">
        <v>54</v>
      </c>
    </row>
    <row r="87" spans="1:4" x14ac:dyDescent="0.2">
      <c r="A87" s="9" t="s">
        <v>58</v>
      </c>
    </row>
    <row r="88" spans="1:4" x14ac:dyDescent="0.2">
      <c r="A88" s="53" t="s">
        <v>744</v>
      </c>
    </row>
    <row r="90" spans="1:4" x14ac:dyDescent="0.2">
      <c r="A90" s="18" t="s">
        <v>745</v>
      </c>
    </row>
    <row r="91" spans="1:4" x14ac:dyDescent="0.2">
      <c r="A91" s="53" t="s">
        <v>57</v>
      </c>
    </row>
  </sheetData>
  <mergeCells count="1">
    <mergeCell ref="A1:F1"/>
  </mergeCells>
  <conditionalFormatting sqref="F2:F3 F5:F65536">
    <cfRule type="cellIs" dxfId="20" priority="1" stopIfTrue="1" operator="between">
      <formula>0.009</formula>
      <formula>-0.009</formula>
    </cfRule>
  </conditionalFormatting>
  <hyperlinks>
    <hyperlink ref="A91" r:id="rId1" xr:uid="{00000000-0004-0000-2600-000000000000}"/>
    <hyperlink ref="A88" r:id="rId2" xr:uid="{00000000-0004-0000-26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77"/>
  <sheetViews>
    <sheetView workbookViewId="0">
      <selection sqref="A1:F1"/>
    </sheetView>
  </sheetViews>
  <sheetFormatPr defaultColWidth="9.109375" defaultRowHeight="10.199999999999999" x14ac:dyDescent="0.2"/>
  <cols>
    <col min="1" max="1" width="38.6640625" style="9" bestFit="1" customWidth="1"/>
    <col min="2" max="2" width="37.4414062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19</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107</v>
      </c>
      <c r="B7" s="27" t="s">
        <v>106</v>
      </c>
      <c r="C7" s="27" t="s">
        <v>108</v>
      </c>
      <c r="D7" s="31">
        <v>395485</v>
      </c>
      <c r="E7" s="29">
        <v>5585.434655</v>
      </c>
      <c r="F7" s="30">
        <v>9.1549548386155806</v>
      </c>
    </row>
    <row r="8" spans="1:6" x14ac:dyDescent="0.2">
      <c r="A8" s="27" t="s">
        <v>110</v>
      </c>
      <c r="B8" s="27" t="s">
        <v>109</v>
      </c>
      <c r="C8" s="27" t="s">
        <v>111</v>
      </c>
      <c r="D8" s="31">
        <v>405492</v>
      </c>
      <c r="E8" s="29">
        <v>5491.7809020000004</v>
      </c>
      <c r="F8" s="30">
        <v>9.0014491703656905</v>
      </c>
    </row>
    <row r="9" spans="1:6" x14ac:dyDescent="0.2">
      <c r="A9" s="27" t="s">
        <v>330</v>
      </c>
      <c r="B9" s="27" t="s">
        <v>329</v>
      </c>
      <c r="C9" s="27" t="s">
        <v>172</v>
      </c>
      <c r="D9" s="31">
        <v>87910</v>
      </c>
      <c r="E9" s="29">
        <v>4320.5127700000003</v>
      </c>
      <c r="F9" s="30">
        <v>7.0816510678544304</v>
      </c>
    </row>
    <row r="10" spans="1:6" x14ac:dyDescent="0.2">
      <c r="A10" s="27" t="s">
        <v>115</v>
      </c>
      <c r="B10" s="27" t="s">
        <v>114</v>
      </c>
      <c r="C10" s="27" t="s">
        <v>108</v>
      </c>
      <c r="D10" s="31">
        <v>583651</v>
      </c>
      <c r="E10" s="29">
        <v>3504.824255</v>
      </c>
      <c r="F10" s="30">
        <v>5.7446751692074898</v>
      </c>
    </row>
    <row r="11" spans="1:6" x14ac:dyDescent="0.2">
      <c r="A11" s="27" t="s">
        <v>113</v>
      </c>
      <c r="B11" s="27" t="s">
        <v>112</v>
      </c>
      <c r="C11" s="27" t="s">
        <v>108</v>
      </c>
      <c r="D11" s="31">
        <v>458037</v>
      </c>
      <c r="E11" s="29">
        <v>3274.5065129999998</v>
      </c>
      <c r="F11" s="30">
        <v>5.3671667644400296</v>
      </c>
    </row>
    <row r="12" spans="1:6" x14ac:dyDescent="0.2">
      <c r="A12" s="27" t="s">
        <v>123</v>
      </c>
      <c r="B12" s="27" t="s">
        <v>122</v>
      </c>
      <c r="C12" s="27" t="s">
        <v>108</v>
      </c>
      <c r="D12" s="31">
        <v>169031</v>
      </c>
      <c r="E12" s="29">
        <v>2956.0141279999998</v>
      </c>
      <c r="F12" s="30">
        <v>4.8451333720150096</v>
      </c>
    </row>
    <row r="13" spans="1:6" x14ac:dyDescent="0.2">
      <c r="A13" s="27" t="s">
        <v>259</v>
      </c>
      <c r="B13" s="27" t="s">
        <v>258</v>
      </c>
      <c r="C13" s="27" t="s">
        <v>121</v>
      </c>
      <c r="D13" s="31">
        <v>21180</v>
      </c>
      <c r="E13" s="29">
        <v>2861.2062000000001</v>
      </c>
      <c r="F13" s="30">
        <v>4.6897359226140498</v>
      </c>
    </row>
    <row r="14" spans="1:6" x14ac:dyDescent="0.2">
      <c r="A14" s="27" t="s">
        <v>163</v>
      </c>
      <c r="B14" s="27" t="s">
        <v>162</v>
      </c>
      <c r="C14" s="27" t="s">
        <v>143</v>
      </c>
      <c r="D14" s="31">
        <v>523765</v>
      </c>
      <c r="E14" s="29">
        <v>2209.2407699999999</v>
      </c>
      <c r="F14" s="30">
        <v>3.6211146895922801</v>
      </c>
    </row>
    <row r="15" spans="1:6" x14ac:dyDescent="0.2">
      <c r="A15" s="27" t="s">
        <v>261</v>
      </c>
      <c r="B15" s="27" t="s">
        <v>260</v>
      </c>
      <c r="C15" s="27" t="s">
        <v>111</v>
      </c>
      <c r="D15" s="31">
        <v>229692</v>
      </c>
      <c r="E15" s="29">
        <v>2064.8162339999999</v>
      </c>
      <c r="F15" s="30">
        <v>3.3843918226468399</v>
      </c>
    </row>
    <row r="16" spans="1:6" x14ac:dyDescent="0.2">
      <c r="A16" s="27" t="s">
        <v>156</v>
      </c>
      <c r="B16" s="27" t="s">
        <v>155</v>
      </c>
      <c r="C16" s="27" t="s">
        <v>157</v>
      </c>
      <c r="D16" s="31">
        <v>274264</v>
      </c>
      <c r="E16" s="29">
        <v>2063.9737319999999</v>
      </c>
      <c r="F16" s="30">
        <v>3.3830108973943198</v>
      </c>
    </row>
    <row r="17" spans="1:6" x14ac:dyDescent="0.2">
      <c r="A17" s="27" t="s">
        <v>167</v>
      </c>
      <c r="B17" s="27" t="s">
        <v>166</v>
      </c>
      <c r="C17" s="27" t="s">
        <v>135</v>
      </c>
      <c r="D17" s="31">
        <v>354144</v>
      </c>
      <c r="E17" s="29">
        <v>2022.693456</v>
      </c>
      <c r="F17" s="30">
        <v>3.31534936595606</v>
      </c>
    </row>
    <row r="18" spans="1:6" x14ac:dyDescent="0.2">
      <c r="A18" s="27" t="s">
        <v>134</v>
      </c>
      <c r="B18" s="27" t="s">
        <v>133</v>
      </c>
      <c r="C18" s="27" t="s">
        <v>135</v>
      </c>
      <c r="D18" s="31">
        <v>38978</v>
      </c>
      <c r="E18" s="29">
        <v>2012.4731180000001</v>
      </c>
      <c r="F18" s="30">
        <v>3.29859744983766</v>
      </c>
    </row>
    <row r="19" spans="1:6" x14ac:dyDescent="0.2">
      <c r="A19" s="27" t="s">
        <v>521</v>
      </c>
      <c r="B19" s="27" t="s">
        <v>520</v>
      </c>
      <c r="C19" s="27" t="s">
        <v>140</v>
      </c>
      <c r="D19" s="31">
        <v>73037</v>
      </c>
      <c r="E19" s="29">
        <v>1852.5104679999999</v>
      </c>
      <c r="F19" s="30">
        <v>3.0364064249539799</v>
      </c>
    </row>
    <row r="20" spans="1:6" x14ac:dyDescent="0.2">
      <c r="A20" s="27" t="s">
        <v>294</v>
      </c>
      <c r="B20" s="27" t="s">
        <v>293</v>
      </c>
      <c r="C20" s="27" t="s">
        <v>184</v>
      </c>
      <c r="D20" s="31">
        <v>60992</v>
      </c>
      <c r="E20" s="29">
        <v>1711.679488</v>
      </c>
      <c r="F20" s="30">
        <v>2.80557367129822</v>
      </c>
    </row>
    <row r="21" spans="1:6" x14ac:dyDescent="0.2">
      <c r="A21" s="27" t="s">
        <v>201</v>
      </c>
      <c r="B21" s="27" t="s">
        <v>200</v>
      </c>
      <c r="C21" s="27" t="s">
        <v>202</v>
      </c>
      <c r="D21" s="31">
        <v>116490</v>
      </c>
      <c r="E21" s="29">
        <v>1561.4902050000001</v>
      </c>
      <c r="F21" s="30">
        <v>2.5594019428583898</v>
      </c>
    </row>
    <row r="22" spans="1:6" x14ac:dyDescent="0.2">
      <c r="A22" s="27" t="s">
        <v>169</v>
      </c>
      <c r="B22" s="27" t="s">
        <v>168</v>
      </c>
      <c r="C22" s="27" t="s">
        <v>157</v>
      </c>
      <c r="D22" s="31">
        <v>484457</v>
      </c>
      <c r="E22" s="29">
        <v>1423.5768949999999</v>
      </c>
      <c r="F22" s="30">
        <v>2.3333514736144698</v>
      </c>
    </row>
    <row r="23" spans="1:6" x14ac:dyDescent="0.2">
      <c r="A23" s="27" t="s">
        <v>183</v>
      </c>
      <c r="B23" s="27" t="s">
        <v>182</v>
      </c>
      <c r="C23" s="27" t="s">
        <v>184</v>
      </c>
      <c r="D23" s="31">
        <v>93194</v>
      </c>
      <c r="E23" s="29">
        <v>1306.3468949999999</v>
      </c>
      <c r="F23" s="30">
        <v>2.14120253230152</v>
      </c>
    </row>
    <row r="24" spans="1:6" x14ac:dyDescent="0.2">
      <c r="A24" s="27" t="s">
        <v>117</v>
      </c>
      <c r="B24" s="27" t="s">
        <v>116</v>
      </c>
      <c r="C24" s="27" t="s">
        <v>118</v>
      </c>
      <c r="D24" s="31">
        <v>242272</v>
      </c>
      <c r="E24" s="29">
        <v>1300.3949600000001</v>
      </c>
      <c r="F24" s="30">
        <v>2.13144685535012</v>
      </c>
    </row>
    <row r="25" spans="1:6" x14ac:dyDescent="0.2">
      <c r="A25" s="27" t="s">
        <v>142</v>
      </c>
      <c r="B25" s="27" t="s">
        <v>141</v>
      </c>
      <c r="C25" s="27" t="s">
        <v>143</v>
      </c>
      <c r="D25" s="31">
        <v>551423</v>
      </c>
      <c r="E25" s="29">
        <v>1293.91407</v>
      </c>
      <c r="F25" s="30">
        <v>2.1208241806741301</v>
      </c>
    </row>
    <row r="26" spans="1:6" x14ac:dyDescent="0.2">
      <c r="A26" s="27" t="s">
        <v>461</v>
      </c>
      <c r="B26" s="27" t="s">
        <v>460</v>
      </c>
      <c r="C26" s="27" t="s">
        <v>217</v>
      </c>
      <c r="D26" s="31">
        <v>513877</v>
      </c>
      <c r="E26" s="29">
        <v>1189.1113780000001</v>
      </c>
      <c r="F26" s="30">
        <v>1.94904454820337</v>
      </c>
    </row>
    <row r="27" spans="1:6" x14ac:dyDescent="0.2">
      <c r="A27" s="27" t="s">
        <v>436</v>
      </c>
      <c r="B27" s="27" t="s">
        <v>435</v>
      </c>
      <c r="C27" s="27" t="s">
        <v>437</v>
      </c>
      <c r="D27" s="31">
        <v>71018</v>
      </c>
      <c r="E27" s="29">
        <v>1048.403225</v>
      </c>
      <c r="F27" s="30">
        <v>1.7184131174002499</v>
      </c>
    </row>
    <row r="28" spans="1:6" x14ac:dyDescent="0.2">
      <c r="A28" s="27" t="s">
        <v>457</v>
      </c>
      <c r="B28" s="27" t="s">
        <v>456</v>
      </c>
      <c r="C28" s="27" t="s">
        <v>381</v>
      </c>
      <c r="D28" s="31">
        <v>1262673</v>
      </c>
      <c r="E28" s="29">
        <v>1042.336562</v>
      </c>
      <c r="F28" s="30">
        <v>1.708469392477</v>
      </c>
    </row>
    <row r="29" spans="1:6" x14ac:dyDescent="0.2">
      <c r="A29" s="27" t="s">
        <v>271</v>
      </c>
      <c r="B29" s="27" t="s">
        <v>270</v>
      </c>
      <c r="C29" s="27" t="s">
        <v>192</v>
      </c>
      <c r="D29" s="31">
        <v>1247117</v>
      </c>
      <c r="E29" s="29">
        <v>1010.16477</v>
      </c>
      <c r="F29" s="30">
        <v>1.6557373633638</v>
      </c>
    </row>
    <row r="30" spans="1:6" x14ac:dyDescent="0.2">
      <c r="A30" s="27" t="s">
        <v>338</v>
      </c>
      <c r="B30" s="27" t="s">
        <v>337</v>
      </c>
      <c r="C30" s="27" t="s">
        <v>172</v>
      </c>
      <c r="D30" s="31">
        <v>11431</v>
      </c>
      <c r="E30" s="29">
        <v>908.61018149999995</v>
      </c>
      <c r="F30" s="30">
        <v>1.4892816210986199</v>
      </c>
    </row>
    <row r="31" spans="1:6" x14ac:dyDescent="0.2">
      <c r="A31" s="27" t="s">
        <v>414</v>
      </c>
      <c r="B31" s="27" t="s">
        <v>413</v>
      </c>
      <c r="C31" s="27" t="s">
        <v>415</v>
      </c>
      <c r="D31" s="31">
        <v>34087</v>
      </c>
      <c r="E31" s="29">
        <v>816.40069349999999</v>
      </c>
      <c r="F31" s="30">
        <v>1.3381432137096501</v>
      </c>
    </row>
    <row r="32" spans="1:6" x14ac:dyDescent="0.2">
      <c r="A32" s="27" t="s">
        <v>523</v>
      </c>
      <c r="B32" s="27" t="s">
        <v>522</v>
      </c>
      <c r="C32" s="27" t="s">
        <v>135</v>
      </c>
      <c r="D32" s="31">
        <v>159673</v>
      </c>
      <c r="E32" s="29">
        <v>787.34756300000004</v>
      </c>
      <c r="F32" s="30">
        <v>1.2905229094581601</v>
      </c>
    </row>
    <row r="33" spans="1:9" x14ac:dyDescent="0.2">
      <c r="A33" s="27" t="s">
        <v>525</v>
      </c>
      <c r="B33" s="27" t="s">
        <v>524</v>
      </c>
      <c r="C33" s="27" t="s">
        <v>195</v>
      </c>
      <c r="D33" s="31">
        <v>583460</v>
      </c>
      <c r="E33" s="29">
        <v>752.66340000000002</v>
      </c>
      <c r="F33" s="30">
        <v>1.23367291201061</v>
      </c>
    </row>
    <row r="34" spans="1:9" x14ac:dyDescent="0.2">
      <c r="A34" s="27" t="s">
        <v>282</v>
      </c>
      <c r="B34" s="27" t="s">
        <v>281</v>
      </c>
      <c r="C34" s="27" t="s">
        <v>140</v>
      </c>
      <c r="D34" s="31">
        <v>106104</v>
      </c>
      <c r="E34" s="29">
        <v>710.36627999999996</v>
      </c>
      <c r="F34" s="30">
        <v>1.16434469543988</v>
      </c>
    </row>
    <row r="35" spans="1:9" x14ac:dyDescent="0.2">
      <c r="A35" s="27" t="s">
        <v>336</v>
      </c>
      <c r="B35" s="27" t="s">
        <v>335</v>
      </c>
      <c r="C35" s="27" t="s">
        <v>172</v>
      </c>
      <c r="D35" s="31">
        <v>58588</v>
      </c>
      <c r="E35" s="29">
        <v>514.16828799999996</v>
      </c>
      <c r="F35" s="30">
        <v>0.84276117201988598</v>
      </c>
    </row>
    <row r="36" spans="1:9" x14ac:dyDescent="0.2">
      <c r="A36" s="27" t="s">
        <v>171</v>
      </c>
      <c r="B36" s="27" t="s">
        <v>170</v>
      </c>
      <c r="C36" s="27" t="s">
        <v>172</v>
      </c>
      <c r="D36" s="31">
        <v>226247</v>
      </c>
      <c r="E36" s="29">
        <v>395.93225000000001</v>
      </c>
      <c r="F36" s="30">
        <v>0.64896325743541505</v>
      </c>
    </row>
    <row r="37" spans="1:9" x14ac:dyDescent="0.2">
      <c r="A37" s="27" t="s">
        <v>527</v>
      </c>
      <c r="B37" s="27" t="s">
        <v>526</v>
      </c>
      <c r="C37" s="27" t="s">
        <v>192</v>
      </c>
      <c r="D37" s="31">
        <v>12795</v>
      </c>
      <c r="E37" s="29">
        <v>202.6280175</v>
      </c>
      <c r="F37" s="30">
        <v>0.332122827287952</v>
      </c>
    </row>
    <row r="38" spans="1:9" x14ac:dyDescent="0.2">
      <c r="A38" s="27" t="s">
        <v>529</v>
      </c>
      <c r="B38" s="27" t="s">
        <v>528</v>
      </c>
      <c r="C38" s="27" t="s">
        <v>111</v>
      </c>
      <c r="D38" s="31">
        <v>176709</v>
      </c>
      <c r="E38" s="29">
        <v>126.6119985</v>
      </c>
      <c r="F38" s="30">
        <v>0.20752675483486899</v>
      </c>
    </row>
    <row r="39" spans="1:9" x14ac:dyDescent="0.2">
      <c r="A39" s="27" t="s">
        <v>177</v>
      </c>
      <c r="B39" s="27" t="s">
        <v>176</v>
      </c>
      <c r="C39" s="27" t="s">
        <v>172</v>
      </c>
      <c r="D39" s="31">
        <v>26444</v>
      </c>
      <c r="E39" s="29">
        <v>38.409910000000004</v>
      </c>
      <c r="F39" s="30">
        <v>6.2956781902462206E-2</v>
      </c>
    </row>
    <row r="40" spans="1:9" x14ac:dyDescent="0.2">
      <c r="A40" s="26" t="s">
        <v>39</v>
      </c>
      <c r="B40" s="26"/>
      <c r="C40" s="26"/>
      <c r="D40" s="32"/>
      <c r="E40" s="33">
        <f>SUM(E7:E39)</f>
        <v>58360.544231000007</v>
      </c>
      <c r="F40" s="34">
        <f>SUM(F7:F39)</f>
        <v>95.657398178232199</v>
      </c>
      <c r="G40" s="18"/>
      <c r="H40" s="18"/>
      <c r="I40" s="18"/>
    </row>
    <row r="41" spans="1:9" x14ac:dyDescent="0.2">
      <c r="A41" s="27"/>
      <c r="B41" s="27"/>
      <c r="C41" s="27"/>
      <c r="D41" s="28"/>
      <c r="E41" s="29"/>
      <c r="F41" s="30"/>
    </row>
    <row r="42" spans="1:9" x14ac:dyDescent="0.2">
      <c r="A42" s="26" t="s">
        <v>238</v>
      </c>
      <c r="B42" s="27"/>
      <c r="C42" s="27"/>
      <c r="D42" s="28"/>
      <c r="E42" s="29"/>
      <c r="F42" s="30"/>
    </row>
    <row r="43" spans="1:9" x14ac:dyDescent="0.2">
      <c r="A43" s="27"/>
      <c r="B43" s="27" t="s">
        <v>754</v>
      </c>
      <c r="C43" s="27" t="s">
        <v>111</v>
      </c>
      <c r="D43" s="31">
        <v>489000</v>
      </c>
      <c r="E43" s="29">
        <v>4.8899999999999999E-2</v>
      </c>
      <c r="F43" s="30">
        <v>8.0150842192298793E-5</v>
      </c>
    </row>
    <row r="44" spans="1:9" x14ac:dyDescent="0.2">
      <c r="A44" s="27"/>
      <c r="B44" s="27" t="s">
        <v>749</v>
      </c>
      <c r="C44" s="27" t="s">
        <v>192</v>
      </c>
      <c r="D44" s="31">
        <v>98000</v>
      </c>
      <c r="E44" s="29">
        <v>9.7999999999999997E-3</v>
      </c>
      <c r="F44" s="30">
        <v>1.6062949969008801E-5</v>
      </c>
    </row>
    <row r="45" spans="1:9" x14ac:dyDescent="0.2">
      <c r="A45" s="27" t="s">
        <v>530</v>
      </c>
      <c r="B45" s="27" t="s">
        <v>748</v>
      </c>
      <c r="C45" s="27" t="s">
        <v>386</v>
      </c>
      <c r="D45" s="31">
        <v>44170</v>
      </c>
      <c r="E45" s="29">
        <v>4.4169999999999999E-3</v>
      </c>
      <c r="F45" s="30">
        <v>7.2398010217460902E-6</v>
      </c>
    </row>
    <row r="46" spans="1:9" x14ac:dyDescent="0.2">
      <c r="A46" s="27"/>
      <c r="B46" s="27" t="s">
        <v>755</v>
      </c>
      <c r="C46" s="27" t="s">
        <v>111</v>
      </c>
      <c r="D46" s="31">
        <v>23815</v>
      </c>
      <c r="E46" s="29">
        <v>2.3814999999999999E-3</v>
      </c>
      <c r="F46" s="30">
        <v>3.9034607501218704E-6</v>
      </c>
    </row>
    <row r="47" spans="1:9" x14ac:dyDescent="0.2">
      <c r="A47" s="26" t="s">
        <v>39</v>
      </c>
      <c r="B47" s="26"/>
      <c r="C47" s="26"/>
      <c r="D47" s="32"/>
      <c r="E47" s="33">
        <f>SUM(E42:E46)</f>
        <v>6.5498500000000001E-2</v>
      </c>
      <c r="F47" s="34">
        <f>SUM(F42:F46)</f>
        <v>1.0735705393317556E-4</v>
      </c>
      <c r="G47" s="18"/>
      <c r="H47" s="18"/>
      <c r="I47" s="18"/>
    </row>
    <row r="48" spans="1:9" x14ac:dyDescent="0.2">
      <c r="A48" s="27"/>
      <c r="B48" s="27"/>
      <c r="C48" s="27"/>
      <c r="D48" s="28"/>
      <c r="E48" s="29"/>
      <c r="F48" s="30"/>
    </row>
    <row r="49" spans="1:9" x14ac:dyDescent="0.2">
      <c r="A49" s="26" t="s">
        <v>42</v>
      </c>
      <c r="B49" s="26"/>
      <c r="C49" s="26"/>
      <c r="D49" s="32"/>
      <c r="E49" s="33">
        <f>E40+E47</f>
        <v>58360.609729500007</v>
      </c>
      <c r="F49" s="34">
        <f>F40+F47</f>
        <v>95.657505535286134</v>
      </c>
      <c r="G49" s="18"/>
      <c r="H49" s="18"/>
      <c r="I49" s="18"/>
    </row>
    <row r="50" spans="1:9" x14ac:dyDescent="0.2">
      <c r="A50" s="26"/>
      <c r="B50" s="26"/>
      <c r="C50" s="26"/>
      <c r="D50" s="32"/>
      <c r="E50" s="33"/>
      <c r="F50" s="34"/>
      <c r="G50" s="18"/>
      <c r="H50" s="18"/>
      <c r="I50" s="18"/>
    </row>
    <row r="51" spans="1:9" x14ac:dyDescent="0.2">
      <c r="A51" s="26" t="s">
        <v>44</v>
      </c>
      <c r="B51" s="26"/>
      <c r="C51" s="26"/>
      <c r="D51" s="32"/>
      <c r="E51" s="33">
        <f>E53-(E40+E47)</f>
        <v>2649.3543113999913</v>
      </c>
      <c r="F51" s="34">
        <f>F53-(F40+F47)</f>
        <v>4.3424944647138659</v>
      </c>
      <c r="G51" s="18"/>
      <c r="H51" s="18"/>
      <c r="I51" s="18"/>
    </row>
    <row r="52" spans="1:9" x14ac:dyDescent="0.2">
      <c r="A52" s="26"/>
      <c r="B52" s="26"/>
      <c r="C52" s="26"/>
      <c r="D52" s="32"/>
      <c r="E52" s="33"/>
      <c r="F52" s="34"/>
      <c r="G52" s="18"/>
      <c r="H52" s="18"/>
      <c r="I52" s="18"/>
    </row>
    <row r="53" spans="1:9" x14ac:dyDescent="0.2">
      <c r="A53" s="35" t="s">
        <v>43</v>
      </c>
      <c r="B53" s="35"/>
      <c r="C53" s="35"/>
      <c r="D53" s="36"/>
      <c r="E53" s="37">
        <v>61009.964040899999</v>
      </c>
      <c r="F53" s="38">
        <v>100</v>
      </c>
      <c r="G53" s="18"/>
      <c r="H53" s="18"/>
      <c r="I53" s="18"/>
    </row>
    <row r="54" spans="1:9" x14ac:dyDescent="0.2">
      <c r="F54" s="20" t="s">
        <v>519</v>
      </c>
    </row>
    <row r="55" spans="1:9" x14ac:dyDescent="0.2">
      <c r="A55" s="18" t="s">
        <v>46</v>
      </c>
      <c r="F55" s="20"/>
    </row>
    <row r="56" spans="1:9" x14ac:dyDescent="0.2">
      <c r="A56" s="18" t="s">
        <v>750</v>
      </c>
      <c r="F56" s="20"/>
    </row>
    <row r="58" spans="1:9" x14ac:dyDescent="0.2">
      <c r="A58" s="18" t="s">
        <v>47</v>
      </c>
    </row>
    <row r="59" spans="1:9" x14ac:dyDescent="0.2">
      <c r="A59" s="18" t="s">
        <v>48</v>
      </c>
    </row>
    <row r="60" spans="1:9" x14ac:dyDescent="0.2">
      <c r="A60" s="18" t="s">
        <v>49</v>
      </c>
      <c r="B60" s="18"/>
      <c r="C60" s="41" t="s">
        <v>731</v>
      </c>
      <c r="D60" s="19" t="s">
        <v>50</v>
      </c>
    </row>
    <row r="61" spans="1:9" x14ac:dyDescent="0.2">
      <c r="A61" s="9" t="s">
        <v>79</v>
      </c>
      <c r="C61" s="51">
        <v>76.361599999999996</v>
      </c>
      <c r="D61" s="40">
        <v>99.648300000000006</v>
      </c>
    </row>
    <row r="62" spans="1:9" x14ac:dyDescent="0.2">
      <c r="A62" s="9" t="s">
        <v>85</v>
      </c>
      <c r="C62" s="51">
        <v>17.836099999999998</v>
      </c>
      <c r="D62" s="40">
        <v>21.9756</v>
      </c>
    </row>
    <row r="63" spans="1:9" x14ac:dyDescent="0.2">
      <c r="A63" s="9" t="s">
        <v>82</v>
      </c>
      <c r="C63" s="51">
        <v>80.618399999999994</v>
      </c>
      <c r="D63" s="40">
        <v>105.6063</v>
      </c>
    </row>
    <row r="64" spans="1:9" x14ac:dyDescent="0.2">
      <c r="A64" s="9" t="s">
        <v>86</v>
      </c>
      <c r="C64" s="51">
        <v>19.1096</v>
      </c>
      <c r="D64" s="40">
        <v>23.7256</v>
      </c>
    </row>
    <row r="66" spans="1:4" x14ac:dyDescent="0.2">
      <c r="A66" s="9" t="s">
        <v>52</v>
      </c>
    </row>
    <row r="68" spans="1:4" x14ac:dyDescent="0.2">
      <c r="A68" s="18" t="s">
        <v>53</v>
      </c>
      <c r="D68" s="41" t="s">
        <v>54</v>
      </c>
    </row>
    <row r="70" spans="1:4" x14ac:dyDescent="0.2">
      <c r="A70" s="18" t="s">
        <v>231</v>
      </c>
      <c r="D70" s="46">
        <v>0.1172193728775989</v>
      </c>
    </row>
    <row r="72" spans="1:4" x14ac:dyDescent="0.2">
      <c r="A72" s="18" t="s">
        <v>56</v>
      </c>
      <c r="D72" s="41" t="s">
        <v>54</v>
      </c>
    </row>
    <row r="73" spans="1:4" x14ac:dyDescent="0.2">
      <c r="A73" s="9" t="s">
        <v>58</v>
      </c>
    </row>
    <row r="74" spans="1:4" x14ac:dyDescent="0.2">
      <c r="A74" s="53" t="s">
        <v>744</v>
      </c>
    </row>
    <row r="76" spans="1:4" x14ac:dyDescent="0.2">
      <c r="A76" s="18" t="s">
        <v>745</v>
      </c>
    </row>
    <row r="77" spans="1:4" x14ac:dyDescent="0.2">
      <c r="A77" s="53" t="s">
        <v>57</v>
      </c>
    </row>
  </sheetData>
  <mergeCells count="1">
    <mergeCell ref="A1:F1"/>
  </mergeCells>
  <conditionalFormatting sqref="F2:F3 F5:F65538">
    <cfRule type="cellIs" dxfId="19" priority="1" stopIfTrue="1" operator="between">
      <formula>0.009</formula>
      <formula>-0.009</formula>
    </cfRule>
  </conditionalFormatting>
  <hyperlinks>
    <hyperlink ref="A77" r:id="rId1" xr:uid="{00000000-0004-0000-2700-000000000000}"/>
    <hyperlink ref="A74" r:id="rId2" xr:uid="{00000000-0004-0000-27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0"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20</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115</v>
      </c>
      <c r="B7" s="27" t="s">
        <v>114</v>
      </c>
      <c r="C7" s="27" t="s">
        <v>108</v>
      </c>
      <c r="D7" s="31">
        <v>12400000</v>
      </c>
      <c r="E7" s="29">
        <v>74462</v>
      </c>
      <c r="F7" s="30">
        <v>10.1173005337762</v>
      </c>
    </row>
    <row r="8" spans="1:6" x14ac:dyDescent="0.2">
      <c r="A8" s="27" t="s">
        <v>147</v>
      </c>
      <c r="B8" s="27" t="s">
        <v>146</v>
      </c>
      <c r="C8" s="27" t="s">
        <v>108</v>
      </c>
      <c r="D8" s="31">
        <v>21000000</v>
      </c>
      <c r="E8" s="29">
        <v>74235</v>
      </c>
      <c r="F8" s="30">
        <v>10.086457590782899</v>
      </c>
    </row>
    <row r="9" spans="1:6" x14ac:dyDescent="0.2">
      <c r="A9" s="27" t="s">
        <v>113</v>
      </c>
      <c r="B9" s="27" t="s">
        <v>112</v>
      </c>
      <c r="C9" s="27" t="s">
        <v>108</v>
      </c>
      <c r="D9" s="31">
        <v>9200000</v>
      </c>
      <c r="E9" s="29">
        <v>65770.8</v>
      </c>
      <c r="F9" s="30">
        <v>8.9364098459198793</v>
      </c>
    </row>
    <row r="10" spans="1:6" x14ac:dyDescent="0.2">
      <c r="A10" s="27" t="s">
        <v>117</v>
      </c>
      <c r="B10" s="27" t="s">
        <v>116</v>
      </c>
      <c r="C10" s="27" t="s">
        <v>118</v>
      </c>
      <c r="D10" s="31">
        <v>9000000</v>
      </c>
      <c r="E10" s="29">
        <v>48307.5</v>
      </c>
      <c r="F10" s="30">
        <v>6.5636364257660702</v>
      </c>
    </row>
    <row r="11" spans="1:6" x14ac:dyDescent="0.2">
      <c r="A11" s="27" t="s">
        <v>163</v>
      </c>
      <c r="B11" s="27" t="s">
        <v>162</v>
      </c>
      <c r="C11" s="27" t="s">
        <v>143</v>
      </c>
      <c r="D11" s="31">
        <v>8000000</v>
      </c>
      <c r="E11" s="29">
        <v>33744</v>
      </c>
      <c r="F11" s="30">
        <v>4.5848646183522304</v>
      </c>
    </row>
    <row r="12" spans="1:6" x14ac:dyDescent="0.2">
      <c r="A12" s="27" t="s">
        <v>154</v>
      </c>
      <c r="B12" s="27" t="s">
        <v>153</v>
      </c>
      <c r="C12" s="27" t="s">
        <v>152</v>
      </c>
      <c r="D12" s="31">
        <v>32000000</v>
      </c>
      <c r="E12" s="29">
        <v>32784</v>
      </c>
      <c r="F12" s="30">
        <v>4.4544275026096303</v>
      </c>
    </row>
    <row r="13" spans="1:6" x14ac:dyDescent="0.2">
      <c r="A13" s="27" t="s">
        <v>227</v>
      </c>
      <c r="B13" s="27" t="s">
        <v>226</v>
      </c>
      <c r="C13" s="27" t="s">
        <v>108</v>
      </c>
      <c r="D13" s="31">
        <v>40000000</v>
      </c>
      <c r="E13" s="29">
        <v>32040</v>
      </c>
      <c r="F13" s="30">
        <v>4.3533387379091204</v>
      </c>
    </row>
    <row r="14" spans="1:6" x14ac:dyDescent="0.2">
      <c r="A14" s="27" t="s">
        <v>201</v>
      </c>
      <c r="B14" s="27" t="s">
        <v>200</v>
      </c>
      <c r="C14" s="27" t="s">
        <v>202</v>
      </c>
      <c r="D14" s="31">
        <v>2300000</v>
      </c>
      <c r="E14" s="29">
        <v>30830.35</v>
      </c>
      <c r="F14" s="30">
        <v>4.1889811784736697</v>
      </c>
    </row>
    <row r="15" spans="1:6" x14ac:dyDescent="0.2">
      <c r="A15" s="27" t="s">
        <v>219</v>
      </c>
      <c r="B15" s="27" t="s">
        <v>218</v>
      </c>
      <c r="C15" s="27" t="s">
        <v>143</v>
      </c>
      <c r="D15" s="31">
        <v>30700000</v>
      </c>
      <c r="E15" s="29">
        <v>27890.95</v>
      </c>
      <c r="F15" s="30">
        <v>3.78959903470931</v>
      </c>
    </row>
    <row r="16" spans="1:6" x14ac:dyDescent="0.2">
      <c r="A16" s="27" t="s">
        <v>107</v>
      </c>
      <c r="B16" s="27" t="s">
        <v>106</v>
      </c>
      <c r="C16" s="27" t="s">
        <v>108</v>
      </c>
      <c r="D16" s="31">
        <v>1900000</v>
      </c>
      <c r="E16" s="29">
        <v>26833.7</v>
      </c>
      <c r="F16" s="30">
        <v>3.6459483673980002</v>
      </c>
    </row>
    <row r="17" spans="1:6" x14ac:dyDescent="0.2">
      <c r="A17" s="27" t="s">
        <v>532</v>
      </c>
      <c r="B17" s="27" t="s">
        <v>531</v>
      </c>
      <c r="C17" s="27" t="s">
        <v>316</v>
      </c>
      <c r="D17" s="31">
        <v>1500000</v>
      </c>
      <c r="E17" s="29">
        <v>24651</v>
      </c>
      <c r="F17" s="30">
        <v>3.3493805626778301</v>
      </c>
    </row>
    <row r="18" spans="1:6" x14ac:dyDescent="0.2">
      <c r="A18" s="27" t="s">
        <v>394</v>
      </c>
      <c r="B18" s="27" t="s">
        <v>393</v>
      </c>
      <c r="C18" s="27" t="s">
        <v>381</v>
      </c>
      <c r="D18" s="31">
        <v>4737521</v>
      </c>
      <c r="E18" s="29">
        <v>23029.08958</v>
      </c>
      <c r="F18" s="30">
        <v>3.1290083572844298</v>
      </c>
    </row>
    <row r="19" spans="1:6" x14ac:dyDescent="0.2">
      <c r="A19" s="27" t="s">
        <v>534</v>
      </c>
      <c r="B19" s="27" t="s">
        <v>533</v>
      </c>
      <c r="C19" s="27" t="s">
        <v>135</v>
      </c>
      <c r="D19" s="31">
        <v>2508280</v>
      </c>
      <c r="E19" s="29">
        <v>22834.126980000001</v>
      </c>
      <c r="F19" s="30">
        <v>3.1025183997618502</v>
      </c>
    </row>
    <row r="20" spans="1:6" x14ac:dyDescent="0.2">
      <c r="A20" s="27" t="s">
        <v>273</v>
      </c>
      <c r="B20" s="27" t="s">
        <v>272</v>
      </c>
      <c r="C20" s="27" t="s">
        <v>184</v>
      </c>
      <c r="D20" s="31">
        <v>1200000</v>
      </c>
      <c r="E20" s="29">
        <v>22593</v>
      </c>
      <c r="F20" s="30">
        <v>3.0697559958046399</v>
      </c>
    </row>
    <row r="21" spans="1:6" x14ac:dyDescent="0.2">
      <c r="A21" s="27" t="s">
        <v>536</v>
      </c>
      <c r="B21" s="27" t="s">
        <v>535</v>
      </c>
      <c r="C21" s="27" t="s">
        <v>135</v>
      </c>
      <c r="D21" s="31">
        <v>2000000</v>
      </c>
      <c r="E21" s="29">
        <v>21390</v>
      </c>
      <c r="F21" s="30">
        <v>2.9063019851397001</v>
      </c>
    </row>
    <row r="22" spans="1:6" x14ac:dyDescent="0.2">
      <c r="A22" s="27" t="s">
        <v>538</v>
      </c>
      <c r="B22" s="27" t="s">
        <v>537</v>
      </c>
      <c r="C22" s="27" t="s">
        <v>217</v>
      </c>
      <c r="D22" s="31">
        <v>4000000</v>
      </c>
      <c r="E22" s="29">
        <v>20836</v>
      </c>
      <c r="F22" s="30">
        <v>2.8310288995965802</v>
      </c>
    </row>
    <row r="23" spans="1:6" x14ac:dyDescent="0.2">
      <c r="A23" s="27" t="s">
        <v>225</v>
      </c>
      <c r="B23" s="27" t="s">
        <v>224</v>
      </c>
      <c r="C23" s="27" t="s">
        <v>132</v>
      </c>
      <c r="D23" s="31">
        <v>15000000</v>
      </c>
      <c r="E23" s="29">
        <v>20580</v>
      </c>
      <c r="F23" s="30">
        <v>2.7962456687318902</v>
      </c>
    </row>
    <row r="24" spans="1:6" x14ac:dyDescent="0.2">
      <c r="A24" s="27" t="s">
        <v>443</v>
      </c>
      <c r="B24" s="27" t="s">
        <v>442</v>
      </c>
      <c r="C24" s="27" t="s">
        <v>184</v>
      </c>
      <c r="D24" s="31">
        <v>4800000</v>
      </c>
      <c r="E24" s="29">
        <v>19332</v>
      </c>
      <c r="F24" s="30">
        <v>2.6266774182665098</v>
      </c>
    </row>
    <row r="25" spans="1:6" x14ac:dyDescent="0.2">
      <c r="A25" s="27" t="s">
        <v>540</v>
      </c>
      <c r="B25" s="27" t="s">
        <v>539</v>
      </c>
      <c r="C25" s="27" t="s">
        <v>184</v>
      </c>
      <c r="D25" s="31">
        <v>14836884</v>
      </c>
      <c r="E25" s="29">
        <v>15615.82041</v>
      </c>
      <c r="F25" s="30">
        <v>2.12175268149453</v>
      </c>
    </row>
    <row r="26" spans="1:6" x14ac:dyDescent="0.2">
      <c r="A26" s="27" t="s">
        <v>542</v>
      </c>
      <c r="B26" s="27" t="s">
        <v>541</v>
      </c>
      <c r="C26" s="27" t="s">
        <v>126</v>
      </c>
      <c r="D26" s="31">
        <v>3099807</v>
      </c>
      <c r="E26" s="29">
        <v>13079.63564</v>
      </c>
      <c r="F26" s="30">
        <v>1.7771561956725599</v>
      </c>
    </row>
    <row r="27" spans="1:6" x14ac:dyDescent="0.2">
      <c r="A27" s="27" t="s">
        <v>474</v>
      </c>
      <c r="B27" s="27" t="s">
        <v>473</v>
      </c>
      <c r="C27" s="27" t="s">
        <v>415</v>
      </c>
      <c r="D27" s="31">
        <v>375000</v>
      </c>
      <c r="E27" s="29">
        <v>11990.625</v>
      </c>
      <c r="F27" s="30">
        <v>1.62919014682402</v>
      </c>
    </row>
    <row r="28" spans="1:6" x14ac:dyDescent="0.2">
      <c r="A28" s="27" t="s">
        <v>544</v>
      </c>
      <c r="B28" s="27" t="s">
        <v>543</v>
      </c>
      <c r="C28" s="27" t="s">
        <v>381</v>
      </c>
      <c r="D28" s="31">
        <v>15000000</v>
      </c>
      <c r="E28" s="29">
        <v>10740</v>
      </c>
      <c r="F28" s="30">
        <v>1.4592652323702899</v>
      </c>
    </row>
    <row r="29" spans="1:6" x14ac:dyDescent="0.2">
      <c r="A29" s="27" t="s">
        <v>275</v>
      </c>
      <c r="B29" s="27" t="s">
        <v>274</v>
      </c>
      <c r="C29" s="27" t="s">
        <v>140</v>
      </c>
      <c r="D29" s="31">
        <v>1400000</v>
      </c>
      <c r="E29" s="29">
        <v>7273.7</v>
      </c>
      <c r="F29" s="30">
        <v>0.98829213414261996</v>
      </c>
    </row>
    <row r="30" spans="1:6" x14ac:dyDescent="0.2">
      <c r="A30" s="27" t="s">
        <v>546</v>
      </c>
      <c r="B30" s="27" t="s">
        <v>545</v>
      </c>
      <c r="C30" s="27" t="s">
        <v>184</v>
      </c>
      <c r="D30" s="31">
        <v>100000</v>
      </c>
      <c r="E30" s="29">
        <v>6278.95</v>
      </c>
      <c r="F30" s="30">
        <v>0.85313346655413402</v>
      </c>
    </row>
    <row r="31" spans="1:6" x14ac:dyDescent="0.2">
      <c r="A31" s="27" t="s">
        <v>548</v>
      </c>
      <c r="B31" s="27" t="s">
        <v>547</v>
      </c>
      <c r="C31" s="27" t="s">
        <v>250</v>
      </c>
      <c r="D31" s="31">
        <v>300000</v>
      </c>
      <c r="E31" s="29">
        <v>2871.75</v>
      </c>
      <c r="F31" s="30">
        <v>0.39019040326437299</v>
      </c>
    </row>
    <row r="32" spans="1:6" x14ac:dyDescent="0.2">
      <c r="A32" s="27" t="s">
        <v>550</v>
      </c>
      <c r="B32" s="27" t="s">
        <v>549</v>
      </c>
      <c r="C32" s="27" t="s">
        <v>316</v>
      </c>
      <c r="D32" s="31">
        <v>1469972</v>
      </c>
      <c r="E32" s="29">
        <v>923.14241600000003</v>
      </c>
      <c r="F32" s="30">
        <v>0.12542920225280299</v>
      </c>
    </row>
    <row r="33" spans="1:9" x14ac:dyDescent="0.2">
      <c r="A33" s="26" t="s">
        <v>39</v>
      </c>
      <c r="B33" s="26"/>
      <c r="C33" s="26"/>
      <c r="D33" s="32"/>
      <c r="E33" s="33">
        <f>SUM(E7:E32)</f>
        <v>690917.14002599986</v>
      </c>
      <c r="F33" s="34">
        <f>SUM(F7:F32)</f>
        <v>93.87629058553577</v>
      </c>
      <c r="G33" s="18"/>
      <c r="H33" s="18"/>
      <c r="I33" s="18"/>
    </row>
    <row r="34" spans="1:9" x14ac:dyDescent="0.2">
      <c r="A34" s="27"/>
      <c r="B34" s="27"/>
      <c r="C34" s="27"/>
      <c r="D34" s="28"/>
      <c r="E34" s="29"/>
      <c r="F34" s="30"/>
    </row>
    <row r="35" spans="1:9" x14ac:dyDescent="0.2">
      <c r="A35" s="26" t="s">
        <v>42</v>
      </c>
      <c r="B35" s="26"/>
      <c r="C35" s="26"/>
      <c r="D35" s="32"/>
      <c r="E35" s="33">
        <f>E33</f>
        <v>690917.14002599986</v>
      </c>
      <c r="F35" s="34">
        <f>F33</f>
        <v>93.87629058553577</v>
      </c>
      <c r="G35" s="18"/>
      <c r="H35" s="18"/>
      <c r="I35" s="18"/>
    </row>
    <row r="36" spans="1:9" x14ac:dyDescent="0.2">
      <c r="A36" s="26"/>
      <c r="B36" s="26"/>
      <c r="C36" s="26"/>
      <c r="D36" s="32"/>
      <c r="E36" s="33"/>
      <c r="F36" s="34"/>
      <c r="G36" s="18"/>
      <c r="H36" s="18"/>
      <c r="I36" s="18"/>
    </row>
    <row r="37" spans="1:9" x14ac:dyDescent="0.2">
      <c r="A37" s="26" t="s">
        <v>44</v>
      </c>
      <c r="B37" s="26"/>
      <c r="C37" s="26"/>
      <c r="D37" s="32"/>
      <c r="E37" s="33">
        <f>E39-(E33)</f>
        <v>45069.695112600108</v>
      </c>
      <c r="F37" s="34">
        <f>F39-(F33)</f>
        <v>6.1237094144642299</v>
      </c>
      <c r="G37" s="18"/>
      <c r="H37" s="18"/>
      <c r="I37" s="18"/>
    </row>
    <row r="38" spans="1:9" x14ac:dyDescent="0.2">
      <c r="A38" s="26"/>
      <c r="B38" s="26"/>
      <c r="C38" s="26"/>
      <c r="D38" s="32"/>
      <c r="E38" s="33"/>
      <c r="F38" s="34"/>
      <c r="G38" s="18"/>
      <c r="H38" s="18"/>
      <c r="I38" s="18"/>
    </row>
    <row r="39" spans="1:9" x14ac:dyDescent="0.2">
      <c r="A39" s="35" t="s">
        <v>43</v>
      </c>
      <c r="B39" s="35"/>
      <c r="C39" s="35"/>
      <c r="D39" s="36"/>
      <c r="E39" s="37">
        <v>735986.83513859997</v>
      </c>
      <c r="F39" s="38">
        <v>100</v>
      </c>
      <c r="G39" s="18"/>
      <c r="H39" s="18"/>
      <c r="I39" s="18"/>
    </row>
    <row r="42" spans="1:9" x14ac:dyDescent="0.2">
      <c r="A42" s="18" t="s">
        <v>47</v>
      </c>
    </row>
    <row r="43" spans="1:9" x14ac:dyDescent="0.2">
      <c r="A43" s="18" t="s">
        <v>48</v>
      </c>
    </row>
    <row r="44" spans="1:9" x14ac:dyDescent="0.2">
      <c r="A44" s="18" t="s">
        <v>49</v>
      </c>
      <c r="B44" s="18"/>
      <c r="C44" s="41" t="s">
        <v>731</v>
      </c>
      <c r="D44" s="19" t="s">
        <v>50</v>
      </c>
    </row>
    <row r="45" spans="1:9" x14ac:dyDescent="0.2">
      <c r="A45" s="9" t="s">
        <v>79</v>
      </c>
      <c r="C45" s="51">
        <v>37.341500000000003</v>
      </c>
      <c r="D45" s="40">
        <v>52.6828</v>
      </c>
    </row>
    <row r="46" spans="1:9" x14ac:dyDescent="0.2">
      <c r="A46" s="9" t="s">
        <v>85</v>
      </c>
      <c r="C46" s="51">
        <v>18.764700000000001</v>
      </c>
      <c r="D46" s="40">
        <v>26.4742</v>
      </c>
    </row>
    <row r="47" spans="1:9" x14ac:dyDescent="0.2">
      <c r="A47" s="9" t="s">
        <v>82</v>
      </c>
      <c r="C47" s="51">
        <v>40.482700000000001</v>
      </c>
      <c r="D47" s="40">
        <v>57.357599999999998</v>
      </c>
    </row>
    <row r="48" spans="1:9" x14ac:dyDescent="0.2">
      <c r="A48" s="9" t="s">
        <v>86</v>
      </c>
      <c r="C48" s="51">
        <v>21.0182</v>
      </c>
      <c r="D48" s="40">
        <v>29.779199999999999</v>
      </c>
    </row>
    <row r="50" spans="1:4" x14ac:dyDescent="0.2">
      <c r="A50" s="9" t="s">
        <v>52</v>
      </c>
    </row>
    <row r="52" spans="1:4" x14ac:dyDescent="0.2">
      <c r="A52" s="18" t="s">
        <v>53</v>
      </c>
      <c r="D52" s="41" t="s">
        <v>54</v>
      </c>
    </row>
    <row r="54" spans="1:4" x14ac:dyDescent="0.2">
      <c r="A54" s="18" t="s">
        <v>231</v>
      </c>
      <c r="D54" s="46">
        <v>5.4454563388954727E-2</v>
      </c>
    </row>
    <row r="56" spans="1:4" x14ac:dyDescent="0.2">
      <c r="A56" s="18" t="s">
        <v>742</v>
      </c>
    </row>
    <row r="57" spans="1:4" x14ac:dyDescent="0.2">
      <c r="A57" s="53" t="s">
        <v>57</v>
      </c>
    </row>
  </sheetData>
  <mergeCells count="1">
    <mergeCell ref="A1:F1"/>
  </mergeCells>
  <conditionalFormatting sqref="F2:F3 F5:F65534">
    <cfRule type="cellIs" dxfId="18" priority="1" stopIfTrue="1" operator="between">
      <formula>0.009</formula>
      <formula>-0.009</formula>
    </cfRule>
  </conditionalFormatting>
  <hyperlinks>
    <hyperlink ref="A57" r:id="rId1" xr:uid="{00000000-0004-0000-2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5" customHeight="1" x14ac:dyDescent="0.2">
      <c r="A1" s="76" t="s">
        <v>756</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107</v>
      </c>
      <c r="B7" s="27" t="s">
        <v>106</v>
      </c>
      <c r="C7" s="27" t="s">
        <v>108</v>
      </c>
      <c r="D7" s="31">
        <v>5000000</v>
      </c>
      <c r="E7" s="29">
        <v>70615</v>
      </c>
      <c r="F7" s="30">
        <v>7.7552286409617199</v>
      </c>
    </row>
    <row r="8" spans="1:6" x14ac:dyDescent="0.2">
      <c r="A8" s="27" t="s">
        <v>110</v>
      </c>
      <c r="B8" s="27" t="s">
        <v>109</v>
      </c>
      <c r="C8" s="27" t="s">
        <v>111</v>
      </c>
      <c r="D8" s="31">
        <v>5200000</v>
      </c>
      <c r="E8" s="29">
        <v>70426.2</v>
      </c>
      <c r="F8" s="30">
        <v>7.7344938513644097</v>
      </c>
    </row>
    <row r="9" spans="1:6" x14ac:dyDescent="0.2">
      <c r="A9" s="27" t="s">
        <v>115</v>
      </c>
      <c r="B9" s="27" t="s">
        <v>114</v>
      </c>
      <c r="C9" s="27" t="s">
        <v>108</v>
      </c>
      <c r="D9" s="31">
        <v>11000000</v>
      </c>
      <c r="E9" s="29">
        <v>66055</v>
      </c>
      <c r="F9" s="30">
        <v>7.2544307566200699</v>
      </c>
    </row>
    <row r="10" spans="1:6" x14ac:dyDescent="0.2">
      <c r="A10" s="27" t="s">
        <v>113</v>
      </c>
      <c r="B10" s="27" t="s">
        <v>112</v>
      </c>
      <c r="C10" s="27" t="s">
        <v>108</v>
      </c>
      <c r="D10" s="31">
        <v>8500000</v>
      </c>
      <c r="E10" s="29">
        <v>60766.5</v>
      </c>
      <c r="F10" s="30">
        <v>6.6736260172909496</v>
      </c>
    </row>
    <row r="11" spans="1:6" x14ac:dyDescent="0.2">
      <c r="A11" s="27" t="s">
        <v>117</v>
      </c>
      <c r="B11" s="27" t="s">
        <v>116</v>
      </c>
      <c r="C11" s="27" t="s">
        <v>118</v>
      </c>
      <c r="D11" s="31">
        <v>11200000</v>
      </c>
      <c r="E11" s="29">
        <v>60116</v>
      </c>
      <c r="F11" s="30">
        <v>6.6021854419040498</v>
      </c>
    </row>
    <row r="12" spans="1:6" x14ac:dyDescent="0.2">
      <c r="A12" s="27" t="s">
        <v>201</v>
      </c>
      <c r="B12" s="27" t="s">
        <v>200</v>
      </c>
      <c r="C12" s="27" t="s">
        <v>202</v>
      </c>
      <c r="D12" s="31">
        <v>2900000</v>
      </c>
      <c r="E12" s="29">
        <v>38873.050000000003</v>
      </c>
      <c r="F12" s="30">
        <v>4.2691976311199697</v>
      </c>
    </row>
    <row r="13" spans="1:6" x14ac:dyDescent="0.2">
      <c r="A13" s="27" t="s">
        <v>147</v>
      </c>
      <c r="B13" s="27" t="s">
        <v>146</v>
      </c>
      <c r="C13" s="27" t="s">
        <v>108</v>
      </c>
      <c r="D13" s="31">
        <v>10000000</v>
      </c>
      <c r="E13" s="29">
        <v>35350</v>
      </c>
      <c r="F13" s="30">
        <v>3.8822818446222001</v>
      </c>
    </row>
    <row r="14" spans="1:6" x14ac:dyDescent="0.2">
      <c r="A14" s="27" t="s">
        <v>169</v>
      </c>
      <c r="B14" s="27" t="s">
        <v>168</v>
      </c>
      <c r="C14" s="27" t="s">
        <v>157</v>
      </c>
      <c r="D14" s="31">
        <v>9500000</v>
      </c>
      <c r="E14" s="29">
        <v>27915.75</v>
      </c>
      <c r="F14" s="30">
        <v>3.0658220482040202</v>
      </c>
    </row>
    <row r="15" spans="1:6" x14ac:dyDescent="0.2">
      <c r="A15" s="27" t="s">
        <v>161</v>
      </c>
      <c r="B15" s="27" t="s">
        <v>160</v>
      </c>
      <c r="C15" s="27" t="s">
        <v>140</v>
      </c>
      <c r="D15" s="31">
        <v>1970000</v>
      </c>
      <c r="E15" s="29">
        <v>23874.43</v>
      </c>
      <c r="F15" s="30">
        <v>2.6219877267242899</v>
      </c>
    </row>
    <row r="16" spans="1:6" x14ac:dyDescent="0.2">
      <c r="A16" s="27" t="s">
        <v>154</v>
      </c>
      <c r="B16" s="27" t="s">
        <v>153</v>
      </c>
      <c r="C16" s="27" t="s">
        <v>152</v>
      </c>
      <c r="D16" s="31">
        <v>22000000</v>
      </c>
      <c r="E16" s="29">
        <v>22539</v>
      </c>
      <c r="F16" s="30">
        <v>2.4753253322755202</v>
      </c>
    </row>
    <row r="17" spans="1:6" x14ac:dyDescent="0.2">
      <c r="A17" s="27" t="s">
        <v>261</v>
      </c>
      <c r="B17" s="27" t="s">
        <v>260</v>
      </c>
      <c r="C17" s="27" t="s">
        <v>111</v>
      </c>
      <c r="D17" s="31">
        <v>2500000</v>
      </c>
      <c r="E17" s="29">
        <v>22473.75</v>
      </c>
      <c r="F17" s="30">
        <v>2.46815930991735</v>
      </c>
    </row>
    <row r="18" spans="1:6" x14ac:dyDescent="0.2">
      <c r="A18" s="27" t="s">
        <v>183</v>
      </c>
      <c r="B18" s="27" t="s">
        <v>182</v>
      </c>
      <c r="C18" s="27" t="s">
        <v>184</v>
      </c>
      <c r="D18" s="31">
        <v>1600000</v>
      </c>
      <c r="E18" s="29">
        <v>22428</v>
      </c>
      <c r="F18" s="30">
        <v>2.4631348574593099</v>
      </c>
    </row>
    <row r="19" spans="1:6" x14ac:dyDescent="0.2">
      <c r="A19" s="27" t="s">
        <v>156</v>
      </c>
      <c r="B19" s="27" t="s">
        <v>155</v>
      </c>
      <c r="C19" s="27" t="s">
        <v>157</v>
      </c>
      <c r="D19" s="31">
        <v>2800000</v>
      </c>
      <c r="E19" s="29">
        <v>21071.4</v>
      </c>
      <c r="F19" s="30">
        <v>2.3141474868676699</v>
      </c>
    </row>
    <row r="20" spans="1:6" x14ac:dyDescent="0.2">
      <c r="A20" s="27" t="s">
        <v>125</v>
      </c>
      <c r="B20" s="27" t="s">
        <v>124</v>
      </c>
      <c r="C20" s="27" t="s">
        <v>126</v>
      </c>
      <c r="D20" s="31">
        <v>2200000</v>
      </c>
      <c r="E20" s="29">
        <v>21057.3</v>
      </c>
      <c r="F20" s="30">
        <v>2.3125989670937201</v>
      </c>
    </row>
    <row r="21" spans="1:6" x14ac:dyDescent="0.2">
      <c r="A21" s="27" t="s">
        <v>171</v>
      </c>
      <c r="B21" s="27" t="s">
        <v>170</v>
      </c>
      <c r="C21" s="27" t="s">
        <v>172</v>
      </c>
      <c r="D21" s="31">
        <v>11111093</v>
      </c>
      <c r="E21" s="29">
        <v>19444.41275</v>
      </c>
      <c r="F21" s="30">
        <v>2.1354650805845998</v>
      </c>
    </row>
    <row r="22" spans="1:6" x14ac:dyDescent="0.2">
      <c r="A22" s="27" t="s">
        <v>552</v>
      </c>
      <c r="B22" s="27" t="s">
        <v>551</v>
      </c>
      <c r="C22" s="27" t="s">
        <v>140</v>
      </c>
      <c r="D22" s="31">
        <v>4600000</v>
      </c>
      <c r="E22" s="29">
        <v>18926.7</v>
      </c>
      <c r="F22" s="30">
        <v>2.0786077450809302</v>
      </c>
    </row>
    <row r="23" spans="1:6" x14ac:dyDescent="0.2">
      <c r="A23" s="27" t="s">
        <v>275</v>
      </c>
      <c r="B23" s="27" t="s">
        <v>274</v>
      </c>
      <c r="C23" s="27" t="s">
        <v>140</v>
      </c>
      <c r="D23" s="31">
        <v>3600000</v>
      </c>
      <c r="E23" s="29">
        <v>18703.8</v>
      </c>
      <c r="F23" s="30">
        <v>2.0541279537608101</v>
      </c>
    </row>
    <row r="24" spans="1:6" x14ac:dyDescent="0.2">
      <c r="A24" s="27" t="s">
        <v>142</v>
      </c>
      <c r="B24" s="27" t="s">
        <v>141</v>
      </c>
      <c r="C24" s="27" t="s">
        <v>143</v>
      </c>
      <c r="D24" s="31">
        <v>7800000</v>
      </c>
      <c r="E24" s="29">
        <v>18302.7</v>
      </c>
      <c r="F24" s="30">
        <v>2.0100775082762898</v>
      </c>
    </row>
    <row r="25" spans="1:6" x14ac:dyDescent="0.2">
      <c r="A25" s="27" t="s">
        <v>554</v>
      </c>
      <c r="B25" s="27" t="s">
        <v>553</v>
      </c>
      <c r="C25" s="27" t="s">
        <v>135</v>
      </c>
      <c r="D25" s="31">
        <v>2700000</v>
      </c>
      <c r="E25" s="29">
        <v>17670.150000000001</v>
      </c>
      <c r="F25" s="30">
        <v>1.9406082754384999</v>
      </c>
    </row>
    <row r="26" spans="1:6" x14ac:dyDescent="0.2">
      <c r="A26" s="27" t="s">
        <v>206</v>
      </c>
      <c r="B26" s="27" t="s">
        <v>205</v>
      </c>
      <c r="C26" s="27" t="s">
        <v>111</v>
      </c>
      <c r="D26" s="31">
        <v>1800000</v>
      </c>
      <c r="E26" s="29">
        <v>17287.2</v>
      </c>
      <c r="F26" s="30">
        <v>1.8985511373225701</v>
      </c>
    </row>
    <row r="27" spans="1:6" x14ac:dyDescent="0.2">
      <c r="A27" s="27" t="s">
        <v>556</v>
      </c>
      <c r="B27" s="27" t="s">
        <v>555</v>
      </c>
      <c r="C27" s="27" t="s">
        <v>557</v>
      </c>
      <c r="D27" s="31">
        <v>3000000</v>
      </c>
      <c r="E27" s="29">
        <v>15658.5</v>
      </c>
      <c r="F27" s="30">
        <v>1.7196806298166001</v>
      </c>
    </row>
    <row r="28" spans="1:6" x14ac:dyDescent="0.2">
      <c r="A28" s="27" t="s">
        <v>134</v>
      </c>
      <c r="B28" s="27" t="s">
        <v>133</v>
      </c>
      <c r="C28" s="27" t="s">
        <v>135</v>
      </c>
      <c r="D28" s="31">
        <v>295102</v>
      </c>
      <c r="E28" s="29">
        <v>15236.41136</v>
      </c>
      <c r="F28" s="30">
        <v>1.6733251258875099</v>
      </c>
    </row>
    <row r="29" spans="1:6" x14ac:dyDescent="0.2">
      <c r="A29" s="27" t="s">
        <v>225</v>
      </c>
      <c r="B29" s="27" t="s">
        <v>224</v>
      </c>
      <c r="C29" s="27" t="s">
        <v>132</v>
      </c>
      <c r="D29" s="31">
        <v>11000000</v>
      </c>
      <c r="E29" s="29">
        <v>15092</v>
      </c>
      <c r="F29" s="30">
        <v>1.65746527861494</v>
      </c>
    </row>
    <row r="30" spans="1:6" x14ac:dyDescent="0.2">
      <c r="A30" s="27" t="s">
        <v>536</v>
      </c>
      <c r="B30" s="27" t="s">
        <v>535</v>
      </c>
      <c r="C30" s="27" t="s">
        <v>135</v>
      </c>
      <c r="D30" s="31">
        <v>1400000</v>
      </c>
      <c r="E30" s="29">
        <v>14973</v>
      </c>
      <c r="F30" s="30">
        <v>1.6443962110191901</v>
      </c>
    </row>
    <row r="31" spans="1:6" x14ac:dyDescent="0.2">
      <c r="A31" s="27" t="s">
        <v>559</v>
      </c>
      <c r="B31" s="27" t="s">
        <v>558</v>
      </c>
      <c r="C31" s="27" t="s">
        <v>192</v>
      </c>
      <c r="D31" s="31">
        <v>12000000</v>
      </c>
      <c r="E31" s="29">
        <v>13746</v>
      </c>
      <c r="F31" s="30">
        <v>1.5096420434561999</v>
      </c>
    </row>
    <row r="32" spans="1:6" x14ac:dyDescent="0.2">
      <c r="A32" s="27" t="s">
        <v>388</v>
      </c>
      <c r="B32" s="27" t="s">
        <v>387</v>
      </c>
      <c r="C32" s="27" t="s">
        <v>140</v>
      </c>
      <c r="D32" s="31">
        <v>9200000</v>
      </c>
      <c r="E32" s="29">
        <v>13455</v>
      </c>
      <c r="F32" s="30">
        <v>1.47768323110019</v>
      </c>
    </row>
    <row r="33" spans="1:6" x14ac:dyDescent="0.2">
      <c r="A33" s="27" t="s">
        <v>273</v>
      </c>
      <c r="B33" s="27" t="s">
        <v>272</v>
      </c>
      <c r="C33" s="27" t="s">
        <v>184</v>
      </c>
      <c r="D33" s="31">
        <v>600000</v>
      </c>
      <c r="E33" s="29">
        <v>11296.5</v>
      </c>
      <c r="F33" s="30">
        <v>1.24062791676873</v>
      </c>
    </row>
    <row r="34" spans="1:6" x14ac:dyDescent="0.2">
      <c r="A34" s="27" t="s">
        <v>561</v>
      </c>
      <c r="B34" s="27" t="s">
        <v>560</v>
      </c>
      <c r="C34" s="27" t="s">
        <v>192</v>
      </c>
      <c r="D34" s="31">
        <v>950000</v>
      </c>
      <c r="E34" s="29">
        <v>9349.9</v>
      </c>
      <c r="F34" s="30">
        <v>1.02684432868552</v>
      </c>
    </row>
    <row r="35" spans="1:6" x14ac:dyDescent="0.2">
      <c r="A35" s="27" t="s">
        <v>563</v>
      </c>
      <c r="B35" s="27" t="s">
        <v>562</v>
      </c>
      <c r="C35" s="27" t="s">
        <v>217</v>
      </c>
      <c r="D35" s="31">
        <v>400000</v>
      </c>
      <c r="E35" s="29">
        <v>8946.2000000000007</v>
      </c>
      <c r="F35" s="30">
        <v>0.98250834054764202</v>
      </c>
    </row>
    <row r="36" spans="1:6" x14ac:dyDescent="0.2">
      <c r="A36" s="27" t="s">
        <v>249</v>
      </c>
      <c r="B36" s="27" t="s">
        <v>248</v>
      </c>
      <c r="C36" s="27" t="s">
        <v>250</v>
      </c>
      <c r="D36" s="31">
        <v>6145427</v>
      </c>
      <c r="E36" s="29">
        <v>8096.6000729999996</v>
      </c>
      <c r="F36" s="30">
        <v>0.889201795376936</v>
      </c>
    </row>
    <row r="37" spans="1:6" x14ac:dyDescent="0.2">
      <c r="A37" s="27" t="s">
        <v>268</v>
      </c>
      <c r="B37" s="27" t="s">
        <v>267</v>
      </c>
      <c r="C37" s="27" t="s">
        <v>269</v>
      </c>
      <c r="D37" s="31">
        <v>1600000</v>
      </c>
      <c r="E37" s="29">
        <v>7705.6</v>
      </c>
      <c r="F37" s="30">
        <v>0.84626056525942905</v>
      </c>
    </row>
    <row r="38" spans="1:6" x14ac:dyDescent="0.2">
      <c r="A38" s="27" t="s">
        <v>247</v>
      </c>
      <c r="B38" s="27" t="s">
        <v>246</v>
      </c>
      <c r="C38" s="27" t="s">
        <v>157</v>
      </c>
      <c r="D38" s="31">
        <v>6000000</v>
      </c>
      <c r="E38" s="29">
        <v>7674</v>
      </c>
      <c r="F38" s="30">
        <v>0.84279012378022</v>
      </c>
    </row>
    <row r="39" spans="1:6" x14ac:dyDescent="0.2">
      <c r="A39" s="27" t="s">
        <v>280</v>
      </c>
      <c r="B39" s="27" t="s">
        <v>279</v>
      </c>
      <c r="C39" s="27" t="s">
        <v>217</v>
      </c>
      <c r="D39" s="31">
        <v>5000000</v>
      </c>
      <c r="E39" s="29">
        <v>7562.5</v>
      </c>
      <c r="F39" s="30">
        <v>0.83054473691528696</v>
      </c>
    </row>
    <row r="40" spans="1:6" x14ac:dyDescent="0.2">
      <c r="A40" s="27" t="s">
        <v>219</v>
      </c>
      <c r="B40" s="27" t="s">
        <v>218</v>
      </c>
      <c r="C40" s="27" t="s">
        <v>143</v>
      </c>
      <c r="D40" s="31">
        <v>8000000</v>
      </c>
      <c r="E40" s="29">
        <v>7268</v>
      </c>
      <c r="F40" s="30">
        <v>0.79820154021822198</v>
      </c>
    </row>
    <row r="41" spans="1:6" x14ac:dyDescent="0.2">
      <c r="A41" s="27" t="s">
        <v>277</v>
      </c>
      <c r="B41" s="27" t="s">
        <v>276</v>
      </c>
      <c r="C41" s="27" t="s">
        <v>143</v>
      </c>
      <c r="D41" s="31">
        <v>1000000</v>
      </c>
      <c r="E41" s="29">
        <v>7072</v>
      </c>
      <c r="F41" s="30">
        <v>0.77667601711932699</v>
      </c>
    </row>
    <row r="42" spans="1:6" x14ac:dyDescent="0.2">
      <c r="A42" s="27" t="s">
        <v>470</v>
      </c>
      <c r="B42" s="27" t="s">
        <v>469</v>
      </c>
      <c r="C42" s="27" t="s">
        <v>126</v>
      </c>
      <c r="D42" s="31">
        <v>1700000</v>
      </c>
      <c r="E42" s="29">
        <v>6543.3</v>
      </c>
      <c r="F42" s="30">
        <v>0.71861201680103104</v>
      </c>
    </row>
    <row r="43" spans="1:6" x14ac:dyDescent="0.2">
      <c r="A43" s="27" t="s">
        <v>546</v>
      </c>
      <c r="B43" s="27" t="s">
        <v>545</v>
      </c>
      <c r="C43" s="27" t="s">
        <v>184</v>
      </c>
      <c r="D43" s="31">
        <v>100000</v>
      </c>
      <c r="E43" s="29">
        <v>6278.95</v>
      </c>
      <c r="F43" s="30">
        <v>0.68958001664188295</v>
      </c>
    </row>
    <row r="44" spans="1:6" x14ac:dyDescent="0.2">
      <c r="A44" s="27" t="s">
        <v>443</v>
      </c>
      <c r="B44" s="27" t="s">
        <v>442</v>
      </c>
      <c r="C44" s="27" t="s">
        <v>184</v>
      </c>
      <c r="D44" s="31">
        <v>1500000</v>
      </c>
      <c r="E44" s="29">
        <v>6041.25</v>
      </c>
      <c r="F44" s="30">
        <v>0.66347482867959995</v>
      </c>
    </row>
    <row r="45" spans="1:6" x14ac:dyDescent="0.2">
      <c r="A45" s="27" t="s">
        <v>512</v>
      </c>
      <c r="B45" s="27" t="s">
        <v>511</v>
      </c>
      <c r="C45" s="27" t="s">
        <v>126</v>
      </c>
      <c r="D45" s="31">
        <v>400000</v>
      </c>
      <c r="E45" s="29">
        <v>5478.2</v>
      </c>
      <c r="F45" s="30">
        <v>0.60163837061412595</v>
      </c>
    </row>
    <row r="46" spans="1:6" x14ac:dyDescent="0.2">
      <c r="A46" s="27" t="s">
        <v>123</v>
      </c>
      <c r="B46" s="27" t="s">
        <v>122</v>
      </c>
      <c r="C46" s="27" t="s">
        <v>108</v>
      </c>
      <c r="D46" s="31">
        <v>230000</v>
      </c>
      <c r="E46" s="29">
        <v>4022.24</v>
      </c>
      <c r="F46" s="30">
        <v>0.44173887770051501</v>
      </c>
    </row>
    <row r="47" spans="1:6" x14ac:dyDescent="0.2">
      <c r="A47" s="27" t="s">
        <v>565</v>
      </c>
      <c r="B47" s="27" t="s">
        <v>564</v>
      </c>
      <c r="C47" s="27" t="s">
        <v>172</v>
      </c>
      <c r="D47" s="31">
        <v>2800000</v>
      </c>
      <c r="E47" s="29">
        <v>3649.8</v>
      </c>
      <c r="F47" s="30">
        <v>0.40083599084871602</v>
      </c>
    </row>
    <row r="48" spans="1:6" x14ac:dyDescent="0.2">
      <c r="A48" s="27" t="s">
        <v>414</v>
      </c>
      <c r="B48" s="27" t="s">
        <v>413</v>
      </c>
      <c r="C48" s="27" t="s">
        <v>415</v>
      </c>
      <c r="D48" s="31">
        <v>150000</v>
      </c>
      <c r="E48" s="29">
        <v>3592.5749999999998</v>
      </c>
      <c r="F48" s="30">
        <v>0.39455130687252099</v>
      </c>
    </row>
    <row r="49" spans="1:9" x14ac:dyDescent="0.2">
      <c r="A49" s="27" t="s">
        <v>412</v>
      </c>
      <c r="B49" s="27" t="s">
        <v>411</v>
      </c>
      <c r="C49" s="27" t="s">
        <v>108</v>
      </c>
      <c r="D49" s="31">
        <v>5744938</v>
      </c>
      <c r="E49" s="29">
        <v>2998.8576360000002</v>
      </c>
      <c r="F49" s="30">
        <v>0.32934683323477898</v>
      </c>
    </row>
    <row r="50" spans="1:9" x14ac:dyDescent="0.2">
      <c r="A50" s="27" t="s">
        <v>174</v>
      </c>
      <c r="B50" s="27" t="s">
        <v>173</v>
      </c>
      <c r="C50" s="27" t="s">
        <v>175</v>
      </c>
      <c r="D50" s="31">
        <v>5270538</v>
      </c>
      <c r="E50" s="29">
        <v>2856.6315960000002</v>
      </c>
      <c r="F50" s="30">
        <v>0.31372698675883898</v>
      </c>
    </row>
    <row r="51" spans="1:9" x14ac:dyDescent="0.2">
      <c r="A51" s="27" t="s">
        <v>259</v>
      </c>
      <c r="B51" s="27" t="s">
        <v>258</v>
      </c>
      <c r="C51" s="27" t="s">
        <v>121</v>
      </c>
      <c r="D51" s="31">
        <v>20000</v>
      </c>
      <c r="E51" s="29">
        <v>2701.8</v>
      </c>
      <c r="F51" s="30">
        <v>0.29672274647242602</v>
      </c>
    </row>
    <row r="52" spans="1:9" x14ac:dyDescent="0.2">
      <c r="A52" s="27" t="s">
        <v>177</v>
      </c>
      <c r="B52" s="27" t="s">
        <v>176</v>
      </c>
      <c r="C52" s="27" t="s">
        <v>172</v>
      </c>
      <c r="D52" s="31">
        <v>1344155</v>
      </c>
      <c r="E52" s="29">
        <v>1952.3851380000001</v>
      </c>
      <c r="F52" s="30">
        <v>0.214418935642648</v>
      </c>
    </row>
    <row r="53" spans="1:9" x14ac:dyDescent="0.2">
      <c r="A53" s="27" t="s">
        <v>567</v>
      </c>
      <c r="B53" s="27" t="s">
        <v>566</v>
      </c>
      <c r="C53" s="27" t="s">
        <v>316</v>
      </c>
      <c r="D53" s="31">
        <v>1545302</v>
      </c>
      <c r="E53" s="29">
        <v>1424.768444</v>
      </c>
      <c r="F53" s="30">
        <v>0.156473908428057</v>
      </c>
    </row>
    <row r="54" spans="1:9" x14ac:dyDescent="0.2">
      <c r="A54" s="27" t="s">
        <v>569</v>
      </c>
      <c r="B54" s="27" t="s">
        <v>568</v>
      </c>
      <c r="C54" s="27" t="s">
        <v>250</v>
      </c>
      <c r="D54" s="31">
        <v>55133</v>
      </c>
      <c r="E54" s="29">
        <v>514.69412150000005</v>
      </c>
      <c r="F54" s="30">
        <v>5.6525817353132203E-2</v>
      </c>
    </row>
    <row r="55" spans="1:9" x14ac:dyDescent="0.2">
      <c r="A55" s="27" t="s">
        <v>570</v>
      </c>
      <c r="B55" s="27" t="s">
        <v>759</v>
      </c>
      <c r="C55" s="27" t="s">
        <v>172</v>
      </c>
      <c r="D55" s="31">
        <v>413663</v>
      </c>
      <c r="E55" s="29">
        <v>276.94737850000001</v>
      </c>
      <c r="F55" s="30">
        <v>3.0415495883062599E-2</v>
      </c>
    </row>
    <row r="56" spans="1:9" x14ac:dyDescent="0.2">
      <c r="A56" s="26" t="s">
        <v>39</v>
      </c>
      <c r="B56" s="26"/>
      <c r="C56" s="26"/>
      <c r="D56" s="32"/>
      <c r="E56" s="33">
        <f>SUM(E7:E55)</f>
        <v>885360.95349700004</v>
      </c>
      <c r="F56" s="34">
        <f>SUM(F7:F55)</f>
        <v>97.233967629386186</v>
      </c>
      <c r="G56" s="18"/>
      <c r="H56" s="18"/>
      <c r="I56" s="18"/>
    </row>
    <row r="57" spans="1:9" x14ac:dyDescent="0.2">
      <c r="A57" s="27"/>
      <c r="B57" s="27"/>
      <c r="C57" s="27"/>
      <c r="D57" s="28"/>
      <c r="E57" s="29"/>
      <c r="F57" s="30"/>
    </row>
    <row r="58" spans="1:9" x14ac:dyDescent="0.2">
      <c r="A58" s="26" t="s">
        <v>238</v>
      </c>
      <c r="B58" s="27"/>
      <c r="C58" s="27"/>
      <c r="D58" s="28"/>
      <c r="E58" s="29"/>
      <c r="F58" s="30"/>
    </row>
    <row r="59" spans="1:9" x14ac:dyDescent="0.2">
      <c r="A59" s="27"/>
      <c r="B59" s="27" t="s">
        <v>749</v>
      </c>
      <c r="C59" s="27" t="s">
        <v>192</v>
      </c>
      <c r="D59" s="31">
        <v>73500</v>
      </c>
      <c r="E59" s="29">
        <v>7.3499999999999998E-3</v>
      </c>
      <c r="F59" s="30">
        <v>8.0720711620857599E-7</v>
      </c>
    </row>
    <row r="60" spans="1:9" x14ac:dyDescent="0.2">
      <c r="A60" s="27"/>
      <c r="B60" s="27" t="s">
        <v>758</v>
      </c>
      <c r="C60" s="27" t="s">
        <v>111</v>
      </c>
      <c r="D60" s="31">
        <v>45000</v>
      </c>
      <c r="E60" s="29">
        <v>4.4999999999999997E-3</v>
      </c>
      <c r="F60" s="30">
        <v>4.94208438495047E-7</v>
      </c>
    </row>
    <row r="61" spans="1:9" x14ac:dyDescent="0.2">
      <c r="A61" s="27" t="s">
        <v>530</v>
      </c>
      <c r="B61" s="27" t="s">
        <v>748</v>
      </c>
      <c r="C61" s="27" t="s">
        <v>386</v>
      </c>
      <c r="D61" s="31">
        <v>38000</v>
      </c>
      <c r="E61" s="29">
        <v>3.8E-3</v>
      </c>
      <c r="F61" s="30">
        <v>4.1733157028470601E-7</v>
      </c>
    </row>
    <row r="62" spans="1:9" x14ac:dyDescent="0.2">
      <c r="A62" s="26" t="s">
        <v>39</v>
      </c>
      <c r="B62" s="26"/>
      <c r="C62" s="26"/>
      <c r="D62" s="32"/>
      <c r="E62" s="33">
        <f>SUM(E58:E61)</f>
        <v>1.5650000000000001E-2</v>
      </c>
      <c r="F62" s="34">
        <f>SUM(F58:F61)</f>
        <v>1.7187471249883288E-6</v>
      </c>
      <c r="G62" s="18"/>
      <c r="H62" s="18"/>
      <c r="I62" s="18"/>
    </row>
    <row r="63" spans="1:9" x14ac:dyDescent="0.2">
      <c r="A63" s="27"/>
      <c r="B63" s="27"/>
      <c r="C63" s="27"/>
      <c r="D63" s="28"/>
      <c r="E63" s="29"/>
      <c r="F63" s="30"/>
    </row>
    <row r="64" spans="1:9" x14ac:dyDescent="0.2">
      <c r="A64" s="26" t="s">
        <v>42</v>
      </c>
      <c r="B64" s="26"/>
      <c r="C64" s="26"/>
      <c r="D64" s="32"/>
      <c r="E64" s="33">
        <f>E56+E62</f>
        <v>885360.969147</v>
      </c>
      <c r="F64" s="34">
        <f>F56+F62</f>
        <v>97.233969348133314</v>
      </c>
      <c r="G64" s="18"/>
      <c r="H64" s="18"/>
      <c r="I64" s="18"/>
    </row>
    <row r="65" spans="1:9" x14ac:dyDescent="0.2">
      <c r="A65" s="26"/>
      <c r="B65" s="26"/>
      <c r="C65" s="26"/>
      <c r="D65" s="32"/>
      <c r="E65" s="33"/>
      <c r="F65" s="34"/>
      <c r="G65" s="18"/>
      <c r="H65" s="18"/>
      <c r="I65" s="18"/>
    </row>
    <row r="66" spans="1:9" x14ac:dyDescent="0.2">
      <c r="A66" s="26" t="s">
        <v>44</v>
      </c>
      <c r="B66" s="26"/>
      <c r="C66" s="26"/>
      <c r="D66" s="32"/>
      <c r="E66" s="33">
        <f>E68-(E56+E62)</f>
        <v>25186.008501400007</v>
      </c>
      <c r="F66" s="34">
        <f>F68-(F56+F62)</f>
        <v>2.7660306518666857</v>
      </c>
      <c r="G66" s="18"/>
      <c r="H66" s="18"/>
      <c r="I66" s="18"/>
    </row>
    <row r="67" spans="1:9" x14ac:dyDescent="0.2">
      <c r="A67" s="26"/>
      <c r="B67" s="26"/>
      <c r="C67" s="26"/>
      <c r="D67" s="32"/>
      <c r="E67" s="33"/>
      <c r="F67" s="34"/>
      <c r="G67" s="18"/>
      <c r="H67" s="18"/>
      <c r="I67" s="18"/>
    </row>
    <row r="68" spans="1:9" x14ac:dyDescent="0.2">
      <c r="A68" s="35" t="s">
        <v>43</v>
      </c>
      <c r="B68" s="35"/>
      <c r="C68" s="35"/>
      <c r="D68" s="36"/>
      <c r="E68" s="37">
        <v>910546.9776484</v>
      </c>
      <c r="F68" s="38">
        <v>100</v>
      </c>
      <c r="G68" s="18"/>
      <c r="H68" s="18"/>
      <c r="I68" s="18"/>
    </row>
    <row r="69" spans="1:9" x14ac:dyDescent="0.2">
      <c r="F69" s="20" t="s">
        <v>519</v>
      </c>
    </row>
    <row r="70" spans="1:9" x14ac:dyDescent="0.2">
      <c r="A70" s="18" t="s">
        <v>46</v>
      </c>
      <c r="F70" s="20"/>
    </row>
    <row r="71" spans="1:9" x14ac:dyDescent="0.2">
      <c r="A71" s="18" t="s">
        <v>750</v>
      </c>
      <c r="F71" s="20"/>
    </row>
    <row r="72" spans="1:9" x14ac:dyDescent="0.2">
      <c r="A72" s="18" t="s">
        <v>760</v>
      </c>
      <c r="F72" s="20"/>
    </row>
    <row r="74" spans="1:9" x14ac:dyDescent="0.2">
      <c r="A74" s="18" t="s">
        <v>47</v>
      </c>
    </row>
    <row r="75" spans="1:9" x14ac:dyDescent="0.2">
      <c r="A75" s="18" t="s">
        <v>48</v>
      </c>
    </row>
    <row r="76" spans="1:9" x14ac:dyDescent="0.2">
      <c r="A76" s="18" t="s">
        <v>49</v>
      </c>
      <c r="B76" s="18"/>
      <c r="C76" s="41" t="s">
        <v>731</v>
      </c>
      <c r="D76" s="19" t="s">
        <v>50</v>
      </c>
    </row>
    <row r="77" spans="1:9" x14ac:dyDescent="0.2">
      <c r="A77" s="9" t="s">
        <v>79</v>
      </c>
      <c r="C77" s="51">
        <v>562.31119999999999</v>
      </c>
      <c r="D77" s="40">
        <v>763.048</v>
      </c>
    </row>
    <row r="78" spans="1:9" x14ac:dyDescent="0.2">
      <c r="A78" s="9" t="s">
        <v>85</v>
      </c>
      <c r="C78" s="51">
        <v>31.731999999999999</v>
      </c>
      <c r="D78" s="40">
        <v>40.410499999999999</v>
      </c>
    </row>
    <row r="79" spans="1:9" x14ac:dyDescent="0.2">
      <c r="A79" s="9" t="s">
        <v>82</v>
      </c>
      <c r="C79" s="51">
        <v>604.09559999999999</v>
      </c>
      <c r="D79" s="40">
        <v>822.8175</v>
      </c>
    </row>
    <row r="80" spans="1:9" x14ac:dyDescent="0.2">
      <c r="A80" s="9" t="s">
        <v>86</v>
      </c>
      <c r="C80" s="51">
        <v>34.904699999999998</v>
      </c>
      <c r="D80" s="40">
        <v>44.890300000000003</v>
      </c>
    </row>
    <row r="82" spans="1:4" x14ac:dyDescent="0.2">
      <c r="A82" s="18" t="s">
        <v>53</v>
      </c>
    </row>
    <row r="83" spans="1:4" x14ac:dyDescent="0.2">
      <c r="A83" s="82" t="s">
        <v>76</v>
      </c>
      <c r="B83" s="83"/>
      <c r="C83" s="44" t="s">
        <v>77</v>
      </c>
    </row>
    <row r="84" spans="1:4" x14ac:dyDescent="0.2">
      <c r="A84" s="78" t="s">
        <v>85</v>
      </c>
      <c r="B84" s="79"/>
      <c r="C84" s="45">
        <v>2.75</v>
      </c>
    </row>
    <row r="85" spans="1:4" x14ac:dyDescent="0.2">
      <c r="A85" s="78" t="s">
        <v>86</v>
      </c>
      <c r="B85" s="79"/>
      <c r="C85" s="45">
        <v>2.75</v>
      </c>
    </row>
    <row r="86" spans="1:4" x14ac:dyDescent="0.2">
      <c r="A86" s="9" t="s">
        <v>78</v>
      </c>
    </row>
    <row r="87" spans="1:4" x14ac:dyDescent="0.2">
      <c r="A87" s="9" t="s">
        <v>52</v>
      </c>
    </row>
    <row r="89" spans="1:4" x14ac:dyDescent="0.2">
      <c r="A89" s="18" t="s">
        <v>231</v>
      </c>
      <c r="D89" s="46">
        <v>7.623103498853287E-2</v>
      </c>
    </row>
    <row r="91" spans="1:4" x14ac:dyDescent="0.2">
      <c r="A91" s="18" t="s">
        <v>56</v>
      </c>
      <c r="D91" s="41" t="s">
        <v>54</v>
      </c>
    </row>
    <row r="92" spans="1:4" x14ac:dyDescent="0.2">
      <c r="A92" s="9" t="s">
        <v>58</v>
      </c>
    </row>
    <row r="93" spans="1:4" x14ac:dyDescent="0.2">
      <c r="A93" s="53" t="s">
        <v>744</v>
      </c>
    </row>
    <row r="95" spans="1:4" x14ac:dyDescent="0.2">
      <c r="A95" s="18" t="s">
        <v>745</v>
      </c>
    </row>
    <row r="96" spans="1:4" x14ac:dyDescent="0.2">
      <c r="A96" s="53" t="s">
        <v>57</v>
      </c>
    </row>
    <row r="98" spans="1:1" x14ac:dyDescent="0.2">
      <c r="A98" s="18" t="s">
        <v>757</v>
      </c>
    </row>
  </sheetData>
  <mergeCells count="4">
    <mergeCell ref="A1:F1"/>
    <mergeCell ref="A83:B83"/>
    <mergeCell ref="A84:B84"/>
    <mergeCell ref="A85:B85"/>
  </mergeCells>
  <conditionalFormatting sqref="F2:F3 F5:F65533">
    <cfRule type="cellIs" dxfId="17" priority="1" stopIfTrue="1" operator="between">
      <formula>0.009</formula>
      <formula>-0.009</formula>
    </cfRule>
  </conditionalFormatting>
  <hyperlinks>
    <hyperlink ref="A96" r:id="rId1" xr:uid="{00000000-0004-0000-2900-000000000000}"/>
    <hyperlink ref="A93" r:id="rId2" xr:uid="{00000000-0004-0000-29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83"/>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21</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110</v>
      </c>
      <c r="B7" s="27" t="s">
        <v>109</v>
      </c>
      <c r="C7" s="27" t="s">
        <v>111</v>
      </c>
      <c r="D7" s="31">
        <v>1729339</v>
      </c>
      <c r="E7" s="29">
        <v>23421.302749999999</v>
      </c>
      <c r="F7" s="30">
        <v>9.5319099024952507</v>
      </c>
    </row>
    <row r="8" spans="1:6" x14ac:dyDescent="0.2">
      <c r="A8" s="27" t="s">
        <v>107</v>
      </c>
      <c r="B8" s="27" t="s">
        <v>106</v>
      </c>
      <c r="C8" s="27" t="s">
        <v>108</v>
      </c>
      <c r="D8" s="31">
        <v>1288046</v>
      </c>
      <c r="E8" s="29">
        <v>18191.073659999998</v>
      </c>
      <c r="F8" s="30">
        <v>7.40333178762973</v>
      </c>
    </row>
    <row r="9" spans="1:6" x14ac:dyDescent="0.2">
      <c r="A9" s="27" t="s">
        <v>113</v>
      </c>
      <c r="B9" s="27" t="s">
        <v>112</v>
      </c>
      <c r="C9" s="27" t="s">
        <v>108</v>
      </c>
      <c r="D9" s="31">
        <v>2494468</v>
      </c>
      <c r="E9" s="29">
        <v>17832.951730000001</v>
      </c>
      <c r="F9" s="30">
        <v>7.2575847296071903</v>
      </c>
    </row>
    <row r="10" spans="1:6" x14ac:dyDescent="0.2">
      <c r="A10" s="27" t="s">
        <v>115</v>
      </c>
      <c r="B10" s="27" t="s">
        <v>114</v>
      </c>
      <c r="C10" s="27" t="s">
        <v>108</v>
      </c>
      <c r="D10" s="31">
        <v>2285871</v>
      </c>
      <c r="E10" s="29">
        <v>13726.655360000001</v>
      </c>
      <c r="F10" s="30">
        <v>5.5864203435107198</v>
      </c>
    </row>
    <row r="11" spans="1:6" x14ac:dyDescent="0.2">
      <c r="A11" s="27" t="s">
        <v>204</v>
      </c>
      <c r="B11" s="27" t="s">
        <v>203</v>
      </c>
      <c r="C11" s="27" t="s">
        <v>152</v>
      </c>
      <c r="D11" s="31">
        <v>10377483</v>
      </c>
      <c r="E11" s="29">
        <v>10258.141949999999</v>
      </c>
      <c r="F11" s="30">
        <v>4.1748183642093499</v>
      </c>
    </row>
    <row r="12" spans="1:6" x14ac:dyDescent="0.2">
      <c r="A12" s="27" t="s">
        <v>474</v>
      </c>
      <c r="B12" s="27" t="s">
        <v>473</v>
      </c>
      <c r="C12" s="27" t="s">
        <v>415</v>
      </c>
      <c r="D12" s="31">
        <v>257232</v>
      </c>
      <c r="E12" s="29">
        <v>8224.9932000000008</v>
      </c>
      <c r="F12" s="30">
        <v>3.34737546275201</v>
      </c>
    </row>
    <row r="13" spans="1:6" x14ac:dyDescent="0.2">
      <c r="A13" s="27" t="s">
        <v>117</v>
      </c>
      <c r="B13" s="27" t="s">
        <v>116</v>
      </c>
      <c r="C13" s="27" t="s">
        <v>118</v>
      </c>
      <c r="D13" s="31">
        <v>1433873</v>
      </c>
      <c r="E13" s="29">
        <v>7696.3133280000002</v>
      </c>
      <c r="F13" s="30">
        <v>3.1322154026581401</v>
      </c>
    </row>
    <row r="14" spans="1:6" x14ac:dyDescent="0.2">
      <c r="A14" s="27" t="s">
        <v>165</v>
      </c>
      <c r="B14" s="27" t="s">
        <v>164</v>
      </c>
      <c r="C14" s="27" t="s">
        <v>108</v>
      </c>
      <c r="D14" s="31">
        <v>4236879</v>
      </c>
      <c r="E14" s="29">
        <v>7064.9957329999997</v>
      </c>
      <c r="F14" s="30">
        <v>2.8752842447446398</v>
      </c>
    </row>
    <row r="15" spans="1:6" x14ac:dyDescent="0.2">
      <c r="A15" s="27" t="s">
        <v>208</v>
      </c>
      <c r="B15" s="27" t="s">
        <v>207</v>
      </c>
      <c r="C15" s="27" t="s">
        <v>209</v>
      </c>
      <c r="D15" s="31">
        <v>6017530</v>
      </c>
      <c r="E15" s="29">
        <v>6709.5459499999997</v>
      </c>
      <c r="F15" s="30">
        <v>2.73062468662431</v>
      </c>
    </row>
    <row r="16" spans="1:6" x14ac:dyDescent="0.2">
      <c r="A16" s="27" t="s">
        <v>227</v>
      </c>
      <c r="B16" s="27" t="s">
        <v>226</v>
      </c>
      <c r="C16" s="27" t="s">
        <v>108</v>
      </c>
      <c r="D16" s="31">
        <v>8330054</v>
      </c>
      <c r="E16" s="29">
        <v>6672.3732540000001</v>
      </c>
      <c r="F16" s="30">
        <v>2.71549628864889</v>
      </c>
    </row>
    <row r="17" spans="1:6" x14ac:dyDescent="0.2">
      <c r="A17" s="27" t="s">
        <v>167</v>
      </c>
      <c r="B17" s="27" t="s">
        <v>166</v>
      </c>
      <c r="C17" s="27" t="s">
        <v>135</v>
      </c>
      <c r="D17" s="31">
        <v>952564</v>
      </c>
      <c r="E17" s="29">
        <v>5440.5692859999999</v>
      </c>
      <c r="F17" s="30">
        <v>2.2141815425888298</v>
      </c>
    </row>
    <row r="18" spans="1:6" x14ac:dyDescent="0.2">
      <c r="A18" s="27" t="s">
        <v>201</v>
      </c>
      <c r="B18" s="27" t="s">
        <v>200</v>
      </c>
      <c r="C18" s="27" t="s">
        <v>202</v>
      </c>
      <c r="D18" s="31">
        <v>399838</v>
      </c>
      <c r="E18" s="29">
        <v>5359.628471</v>
      </c>
      <c r="F18" s="30">
        <v>2.1812405672618</v>
      </c>
    </row>
    <row r="19" spans="1:6" x14ac:dyDescent="0.2">
      <c r="A19" s="27" t="s">
        <v>137</v>
      </c>
      <c r="B19" s="27" t="s">
        <v>136</v>
      </c>
      <c r="C19" s="27" t="s">
        <v>132</v>
      </c>
      <c r="D19" s="31">
        <v>1965841</v>
      </c>
      <c r="E19" s="29">
        <v>5300.890257</v>
      </c>
      <c r="F19" s="30">
        <v>2.15733551938049</v>
      </c>
    </row>
    <row r="20" spans="1:6" x14ac:dyDescent="0.2">
      <c r="A20" s="27" t="s">
        <v>263</v>
      </c>
      <c r="B20" s="27" t="s">
        <v>262</v>
      </c>
      <c r="C20" s="27" t="s">
        <v>264</v>
      </c>
      <c r="D20" s="31">
        <v>651059</v>
      </c>
      <c r="E20" s="29">
        <v>5159.3170460000001</v>
      </c>
      <c r="F20" s="30">
        <v>2.0997186094133902</v>
      </c>
    </row>
    <row r="21" spans="1:6" x14ac:dyDescent="0.2">
      <c r="A21" s="27" t="s">
        <v>120</v>
      </c>
      <c r="B21" s="27" t="s">
        <v>119</v>
      </c>
      <c r="C21" s="27" t="s">
        <v>121</v>
      </c>
      <c r="D21" s="31">
        <v>282387</v>
      </c>
      <c r="E21" s="29">
        <v>4998.1087070000003</v>
      </c>
      <c r="F21" s="30">
        <v>2.0341106720889401</v>
      </c>
    </row>
    <row r="22" spans="1:6" x14ac:dyDescent="0.2">
      <c r="A22" s="27" t="s">
        <v>149</v>
      </c>
      <c r="B22" s="27" t="s">
        <v>148</v>
      </c>
      <c r="C22" s="27" t="s">
        <v>140</v>
      </c>
      <c r="D22" s="31">
        <v>210633</v>
      </c>
      <c r="E22" s="29">
        <v>4957.774238</v>
      </c>
      <c r="F22" s="30">
        <v>2.0176955081428201</v>
      </c>
    </row>
    <row r="23" spans="1:6" x14ac:dyDescent="0.2">
      <c r="A23" s="27" t="s">
        <v>161</v>
      </c>
      <c r="B23" s="27" t="s">
        <v>160</v>
      </c>
      <c r="C23" s="27" t="s">
        <v>140</v>
      </c>
      <c r="D23" s="31">
        <v>397050</v>
      </c>
      <c r="E23" s="29">
        <v>4811.8489499999996</v>
      </c>
      <c r="F23" s="30">
        <v>1.9583074069531199</v>
      </c>
    </row>
    <row r="24" spans="1:6" x14ac:dyDescent="0.2">
      <c r="A24" s="27" t="s">
        <v>249</v>
      </c>
      <c r="B24" s="27" t="s">
        <v>248</v>
      </c>
      <c r="C24" s="27" t="s">
        <v>250</v>
      </c>
      <c r="D24" s="31">
        <v>3644411</v>
      </c>
      <c r="E24" s="29">
        <v>4801.511493</v>
      </c>
      <c r="F24" s="30">
        <v>1.9541003092610401</v>
      </c>
    </row>
    <row r="25" spans="1:6" x14ac:dyDescent="0.2">
      <c r="A25" s="27" t="s">
        <v>572</v>
      </c>
      <c r="B25" s="27" t="s">
        <v>571</v>
      </c>
      <c r="C25" s="27" t="s">
        <v>108</v>
      </c>
      <c r="D25" s="31">
        <v>480528</v>
      </c>
      <c r="E25" s="29">
        <v>4492.6965360000004</v>
      </c>
      <c r="F25" s="30">
        <v>1.8284200096599901</v>
      </c>
    </row>
    <row r="26" spans="1:6" x14ac:dyDescent="0.2">
      <c r="A26" s="27" t="s">
        <v>235</v>
      </c>
      <c r="B26" s="27" t="s">
        <v>234</v>
      </c>
      <c r="C26" s="27" t="s">
        <v>152</v>
      </c>
      <c r="D26" s="31">
        <v>18217899</v>
      </c>
      <c r="E26" s="29">
        <v>4417.8405080000002</v>
      </c>
      <c r="F26" s="30">
        <v>1.79795539707328</v>
      </c>
    </row>
    <row r="27" spans="1:6" x14ac:dyDescent="0.2">
      <c r="A27" s="27" t="s">
        <v>282</v>
      </c>
      <c r="B27" s="27" t="s">
        <v>281</v>
      </c>
      <c r="C27" s="27" t="s">
        <v>140</v>
      </c>
      <c r="D27" s="31">
        <v>641207</v>
      </c>
      <c r="E27" s="29">
        <v>4292.8808650000001</v>
      </c>
      <c r="F27" s="30">
        <v>1.7470998118294601</v>
      </c>
    </row>
    <row r="28" spans="1:6" x14ac:dyDescent="0.2">
      <c r="A28" s="27" t="s">
        <v>216</v>
      </c>
      <c r="B28" s="27" t="s">
        <v>215</v>
      </c>
      <c r="C28" s="27" t="s">
        <v>217</v>
      </c>
      <c r="D28" s="31">
        <v>2493349</v>
      </c>
      <c r="E28" s="29">
        <v>4256.1467430000002</v>
      </c>
      <c r="F28" s="30">
        <v>1.7321499029798699</v>
      </c>
    </row>
    <row r="29" spans="1:6" x14ac:dyDescent="0.2">
      <c r="A29" s="27" t="s">
        <v>296</v>
      </c>
      <c r="B29" s="27" t="s">
        <v>295</v>
      </c>
      <c r="C29" s="27" t="s">
        <v>157</v>
      </c>
      <c r="D29" s="31">
        <v>3769680</v>
      </c>
      <c r="E29" s="29">
        <v>4248.4293600000001</v>
      </c>
      <c r="F29" s="30">
        <v>1.72900911272476</v>
      </c>
    </row>
    <row r="30" spans="1:6" x14ac:dyDescent="0.2">
      <c r="A30" s="27" t="s">
        <v>125</v>
      </c>
      <c r="B30" s="27" t="s">
        <v>124</v>
      </c>
      <c r="C30" s="27" t="s">
        <v>126</v>
      </c>
      <c r="D30" s="31">
        <v>408797</v>
      </c>
      <c r="E30" s="29">
        <v>3912.8004860000001</v>
      </c>
      <c r="F30" s="30">
        <v>1.59241619038427</v>
      </c>
    </row>
    <row r="31" spans="1:6" x14ac:dyDescent="0.2">
      <c r="A31" s="27" t="s">
        <v>494</v>
      </c>
      <c r="B31" s="27" t="s">
        <v>493</v>
      </c>
      <c r="C31" s="27" t="s">
        <v>495</v>
      </c>
      <c r="D31" s="31">
        <v>511291</v>
      </c>
      <c r="E31" s="29">
        <v>3793.2679290000001</v>
      </c>
      <c r="F31" s="30">
        <v>1.5437692993081999</v>
      </c>
    </row>
    <row r="32" spans="1:6" x14ac:dyDescent="0.2">
      <c r="A32" s="27" t="s">
        <v>221</v>
      </c>
      <c r="B32" s="27" t="s">
        <v>220</v>
      </c>
      <c r="C32" s="27" t="s">
        <v>192</v>
      </c>
      <c r="D32" s="31">
        <v>974352</v>
      </c>
      <c r="E32" s="29">
        <v>3627.9996719999999</v>
      </c>
      <c r="F32" s="30">
        <v>1.4765090724847201</v>
      </c>
    </row>
    <row r="33" spans="1:6" x14ac:dyDescent="0.2">
      <c r="A33" s="27" t="s">
        <v>219</v>
      </c>
      <c r="B33" s="27" t="s">
        <v>218</v>
      </c>
      <c r="C33" s="27" t="s">
        <v>143</v>
      </c>
      <c r="D33" s="31">
        <v>3938381</v>
      </c>
      <c r="E33" s="29">
        <v>3578.019139</v>
      </c>
      <c r="F33" s="30">
        <v>1.4561681912570701</v>
      </c>
    </row>
    <row r="34" spans="1:6" x14ac:dyDescent="0.2">
      <c r="A34" s="27" t="s">
        <v>134</v>
      </c>
      <c r="B34" s="27" t="s">
        <v>133</v>
      </c>
      <c r="C34" s="27" t="s">
        <v>135</v>
      </c>
      <c r="D34" s="31">
        <v>67295</v>
      </c>
      <c r="E34" s="29">
        <v>3474.5081449999998</v>
      </c>
      <c r="F34" s="30">
        <v>1.4140416930320401</v>
      </c>
    </row>
    <row r="35" spans="1:6" x14ac:dyDescent="0.2">
      <c r="A35" s="27" t="s">
        <v>536</v>
      </c>
      <c r="B35" s="27" t="s">
        <v>535</v>
      </c>
      <c r="C35" s="27" t="s">
        <v>135</v>
      </c>
      <c r="D35" s="31">
        <v>311893</v>
      </c>
      <c r="E35" s="29">
        <v>3335.695635</v>
      </c>
      <c r="F35" s="30">
        <v>1.35754832232663</v>
      </c>
    </row>
    <row r="36" spans="1:6" x14ac:dyDescent="0.2">
      <c r="A36" s="27" t="s">
        <v>211</v>
      </c>
      <c r="B36" s="27" t="s">
        <v>210</v>
      </c>
      <c r="C36" s="27" t="s">
        <v>192</v>
      </c>
      <c r="D36" s="31">
        <v>560390</v>
      </c>
      <c r="E36" s="29">
        <v>3184.4161749999998</v>
      </c>
      <c r="F36" s="30">
        <v>1.29598120122283</v>
      </c>
    </row>
    <row r="37" spans="1:6" x14ac:dyDescent="0.2">
      <c r="A37" s="27" t="s">
        <v>247</v>
      </c>
      <c r="B37" s="27" t="s">
        <v>246</v>
      </c>
      <c r="C37" s="27" t="s">
        <v>157</v>
      </c>
      <c r="D37" s="31">
        <v>2415915</v>
      </c>
      <c r="E37" s="29">
        <v>3089.955285</v>
      </c>
      <c r="F37" s="30">
        <v>1.25753787881671</v>
      </c>
    </row>
    <row r="38" spans="1:6" x14ac:dyDescent="0.2">
      <c r="A38" s="27" t="s">
        <v>206</v>
      </c>
      <c r="B38" s="27" t="s">
        <v>205</v>
      </c>
      <c r="C38" s="27" t="s">
        <v>111</v>
      </c>
      <c r="D38" s="31">
        <v>283932</v>
      </c>
      <c r="E38" s="29">
        <v>2726.882928</v>
      </c>
      <c r="F38" s="30">
        <v>1.1097761154361301</v>
      </c>
    </row>
    <row r="39" spans="1:6" x14ac:dyDescent="0.2">
      <c r="A39" s="27" t="s">
        <v>497</v>
      </c>
      <c r="B39" s="27" t="s">
        <v>496</v>
      </c>
      <c r="C39" s="27" t="s">
        <v>316</v>
      </c>
      <c r="D39" s="31">
        <v>441969</v>
      </c>
      <c r="E39" s="29">
        <v>2607.175131</v>
      </c>
      <c r="F39" s="30">
        <v>1.0610579058723899</v>
      </c>
    </row>
    <row r="40" spans="1:6" x14ac:dyDescent="0.2">
      <c r="A40" s="27" t="s">
        <v>563</v>
      </c>
      <c r="B40" s="27" t="s">
        <v>562</v>
      </c>
      <c r="C40" s="27" t="s">
        <v>217</v>
      </c>
      <c r="D40" s="31">
        <v>90000</v>
      </c>
      <c r="E40" s="29">
        <v>2012.895</v>
      </c>
      <c r="F40" s="30">
        <v>0.81920010974552604</v>
      </c>
    </row>
    <row r="41" spans="1:6" x14ac:dyDescent="0.2">
      <c r="A41" s="27" t="s">
        <v>289</v>
      </c>
      <c r="B41" s="27" t="s">
        <v>288</v>
      </c>
      <c r="C41" s="27" t="s">
        <v>129</v>
      </c>
      <c r="D41" s="31">
        <v>3050843</v>
      </c>
      <c r="E41" s="29">
        <v>1972.37</v>
      </c>
      <c r="F41" s="30">
        <v>0.80270740424054998</v>
      </c>
    </row>
    <row r="42" spans="1:6" x14ac:dyDescent="0.2">
      <c r="A42" s="27" t="s">
        <v>400</v>
      </c>
      <c r="B42" s="27" t="s">
        <v>399</v>
      </c>
      <c r="C42" s="27" t="s">
        <v>121</v>
      </c>
      <c r="D42" s="31">
        <v>150123</v>
      </c>
      <c r="E42" s="29">
        <v>1853.568681</v>
      </c>
      <c r="F42" s="30">
        <v>0.75435810953679605</v>
      </c>
    </row>
    <row r="43" spans="1:6" x14ac:dyDescent="0.2">
      <c r="A43" s="27" t="s">
        <v>427</v>
      </c>
      <c r="B43" s="27" t="s">
        <v>426</v>
      </c>
      <c r="C43" s="27" t="s">
        <v>209</v>
      </c>
      <c r="D43" s="31">
        <v>5150797</v>
      </c>
      <c r="E43" s="29">
        <v>1823.3821379999999</v>
      </c>
      <c r="F43" s="30">
        <v>0.742072908699973</v>
      </c>
    </row>
    <row r="44" spans="1:6" x14ac:dyDescent="0.2">
      <c r="A44" s="27" t="s">
        <v>181</v>
      </c>
      <c r="B44" s="27" t="s">
        <v>180</v>
      </c>
      <c r="C44" s="27" t="s">
        <v>140</v>
      </c>
      <c r="D44" s="31">
        <v>312320</v>
      </c>
      <c r="E44" s="29">
        <v>1735.7184</v>
      </c>
      <c r="F44" s="30">
        <v>0.70639586454699699</v>
      </c>
    </row>
    <row r="45" spans="1:6" x14ac:dyDescent="0.2">
      <c r="A45" s="27" t="s">
        <v>156</v>
      </c>
      <c r="B45" s="27" t="s">
        <v>155</v>
      </c>
      <c r="C45" s="27" t="s">
        <v>157</v>
      </c>
      <c r="D45" s="31">
        <v>226570</v>
      </c>
      <c r="E45" s="29">
        <v>1705.052535</v>
      </c>
      <c r="F45" s="30">
        <v>0.69391559112317702</v>
      </c>
    </row>
    <row r="46" spans="1:6" x14ac:dyDescent="0.2">
      <c r="A46" s="27" t="s">
        <v>284</v>
      </c>
      <c r="B46" s="27" t="s">
        <v>283</v>
      </c>
      <c r="C46" s="27" t="s">
        <v>214</v>
      </c>
      <c r="D46" s="31">
        <v>117110</v>
      </c>
      <c r="E46" s="29">
        <v>1613.131695</v>
      </c>
      <c r="F46" s="30">
        <v>0.65650600830047601</v>
      </c>
    </row>
    <row r="47" spans="1:6" x14ac:dyDescent="0.2">
      <c r="A47" s="27" t="s">
        <v>171</v>
      </c>
      <c r="B47" s="27" t="s">
        <v>170</v>
      </c>
      <c r="C47" s="27" t="s">
        <v>172</v>
      </c>
      <c r="D47" s="31">
        <v>805716</v>
      </c>
      <c r="E47" s="29">
        <v>1410.0029999999999</v>
      </c>
      <c r="F47" s="30">
        <v>0.57383748896068598</v>
      </c>
    </row>
    <row r="48" spans="1:6" x14ac:dyDescent="0.2">
      <c r="A48" s="27" t="s">
        <v>266</v>
      </c>
      <c r="B48" s="27" t="s">
        <v>265</v>
      </c>
      <c r="C48" s="27" t="s">
        <v>121</v>
      </c>
      <c r="D48" s="31">
        <v>42129</v>
      </c>
      <c r="E48" s="29">
        <v>1317.6897980000001</v>
      </c>
      <c r="F48" s="30">
        <v>0.53626822419061104</v>
      </c>
    </row>
    <row r="49" spans="1:9" x14ac:dyDescent="0.2">
      <c r="A49" s="27" t="s">
        <v>254</v>
      </c>
      <c r="B49" s="27" t="s">
        <v>253</v>
      </c>
      <c r="C49" s="27" t="s">
        <v>217</v>
      </c>
      <c r="D49" s="31">
        <v>360275</v>
      </c>
      <c r="E49" s="29">
        <v>1303.294813</v>
      </c>
      <c r="F49" s="30">
        <v>0.53040980967232498</v>
      </c>
    </row>
    <row r="50" spans="1:9" x14ac:dyDescent="0.2">
      <c r="A50" s="27" t="s">
        <v>199</v>
      </c>
      <c r="B50" s="27" t="s">
        <v>198</v>
      </c>
      <c r="C50" s="27" t="s">
        <v>140</v>
      </c>
      <c r="D50" s="31">
        <v>202514</v>
      </c>
      <c r="E50" s="29">
        <v>1089.626577</v>
      </c>
      <c r="F50" s="30">
        <v>0.443451949286993</v>
      </c>
    </row>
    <row r="51" spans="1:9" x14ac:dyDescent="0.2">
      <c r="A51" s="27" t="s">
        <v>131</v>
      </c>
      <c r="B51" s="27" t="s">
        <v>130</v>
      </c>
      <c r="C51" s="27" t="s">
        <v>132</v>
      </c>
      <c r="D51" s="31">
        <v>432307</v>
      </c>
      <c r="E51" s="29">
        <v>1037.320647</v>
      </c>
      <c r="F51" s="30">
        <v>0.42216468711169702</v>
      </c>
    </row>
    <row r="52" spans="1:9" x14ac:dyDescent="0.2">
      <c r="A52" s="27" t="s">
        <v>213</v>
      </c>
      <c r="B52" s="27" t="s">
        <v>212</v>
      </c>
      <c r="C52" s="27" t="s">
        <v>214</v>
      </c>
      <c r="D52" s="31">
        <v>656332</v>
      </c>
      <c r="E52" s="29">
        <v>1027.487746</v>
      </c>
      <c r="F52" s="30">
        <v>0.41816293164093599</v>
      </c>
    </row>
    <row r="53" spans="1:9" x14ac:dyDescent="0.2">
      <c r="A53" s="27" t="s">
        <v>271</v>
      </c>
      <c r="B53" s="27" t="s">
        <v>270</v>
      </c>
      <c r="C53" s="27" t="s">
        <v>192</v>
      </c>
      <c r="D53" s="31">
        <v>1113029</v>
      </c>
      <c r="E53" s="29">
        <v>901.55349000000001</v>
      </c>
      <c r="F53" s="30">
        <v>0.36691070222215399</v>
      </c>
    </row>
    <row r="54" spans="1:9" x14ac:dyDescent="0.2">
      <c r="A54" s="27" t="s">
        <v>142</v>
      </c>
      <c r="B54" s="27" t="s">
        <v>141</v>
      </c>
      <c r="C54" s="27" t="s">
        <v>143</v>
      </c>
      <c r="D54" s="31">
        <v>275067</v>
      </c>
      <c r="E54" s="29">
        <v>645.44471550000003</v>
      </c>
      <c r="F54" s="30">
        <v>0.26268055798850398</v>
      </c>
    </row>
    <row r="55" spans="1:9" x14ac:dyDescent="0.2">
      <c r="A55" s="27" t="s">
        <v>177</v>
      </c>
      <c r="B55" s="27" t="s">
        <v>176</v>
      </c>
      <c r="C55" s="27" t="s">
        <v>172</v>
      </c>
      <c r="D55" s="31">
        <v>94174</v>
      </c>
      <c r="E55" s="29">
        <v>136.787735</v>
      </c>
      <c r="F55" s="30">
        <v>5.5669335719867097E-2</v>
      </c>
    </row>
    <row r="56" spans="1:9" x14ac:dyDescent="0.2">
      <c r="A56" s="26" t="s">
        <v>39</v>
      </c>
      <c r="B56" s="26"/>
      <c r="C56" s="26"/>
      <c r="D56" s="32"/>
      <c r="E56" s="33">
        <f>SUM(E7:E55)</f>
        <v>237252.03687049999</v>
      </c>
      <c r="F56" s="34">
        <f>SUM(F7:F55)</f>
        <v>96.555903135366279</v>
      </c>
      <c r="G56" s="18"/>
      <c r="H56" s="18"/>
      <c r="I56" s="18"/>
    </row>
    <row r="57" spans="1:9" x14ac:dyDescent="0.2">
      <c r="A57" s="27"/>
      <c r="B57" s="27"/>
      <c r="C57" s="27"/>
      <c r="D57" s="28"/>
      <c r="E57" s="29"/>
      <c r="F57" s="30"/>
    </row>
    <row r="58" spans="1:9" x14ac:dyDescent="0.2">
      <c r="A58" s="26" t="s">
        <v>42</v>
      </c>
      <c r="B58" s="26"/>
      <c r="C58" s="26"/>
      <c r="D58" s="32"/>
      <c r="E58" s="33">
        <f>E56</f>
        <v>237252.03687049999</v>
      </c>
      <c r="F58" s="34">
        <f>F56</f>
        <v>96.555903135366279</v>
      </c>
      <c r="G58" s="18"/>
      <c r="H58" s="18"/>
      <c r="I58" s="18"/>
    </row>
    <row r="59" spans="1:9" x14ac:dyDescent="0.2">
      <c r="A59" s="26"/>
      <c r="B59" s="26"/>
      <c r="C59" s="26"/>
      <c r="D59" s="32"/>
      <c r="E59" s="33"/>
      <c r="F59" s="34"/>
      <c r="G59" s="18"/>
      <c r="H59" s="18"/>
      <c r="I59" s="18"/>
    </row>
    <row r="60" spans="1:9" x14ac:dyDescent="0.2">
      <c r="A60" s="26" t="s">
        <v>44</v>
      </c>
      <c r="B60" s="26"/>
      <c r="C60" s="26"/>
      <c r="D60" s="32"/>
      <c r="E60" s="33">
        <f>E62-(E56)</f>
        <v>8462.6518916000205</v>
      </c>
      <c r="F60" s="34">
        <f>F62-(F56)</f>
        <v>3.4440968646337211</v>
      </c>
      <c r="G60" s="18"/>
      <c r="H60" s="18"/>
      <c r="I60" s="18"/>
    </row>
    <row r="61" spans="1:9" x14ac:dyDescent="0.2">
      <c r="A61" s="26"/>
      <c r="B61" s="26"/>
      <c r="C61" s="26"/>
      <c r="D61" s="32"/>
      <c r="E61" s="33"/>
      <c r="F61" s="34"/>
      <c r="G61" s="18"/>
      <c r="H61" s="18"/>
      <c r="I61" s="18"/>
    </row>
    <row r="62" spans="1:9" x14ac:dyDescent="0.2">
      <c r="A62" s="35" t="s">
        <v>43</v>
      </c>
      <c r="B62" s="35"/>
      <c r="C62" s="35"/>
      <c r="D62" s="36"/>
      <c r="E62" s="37">
        <v>245714.68876210001</v>
      </c>
      <c r="F62" s="38">
        <v>100</v>
      </c>
      <c r="G62" s="18"/>
      <c r="H62" s="18"/>
      <c r="I62" s="18"/>
    </row>
    <row r="65" spans="1:4" x14ac:dyDescent="0.2">
      <c r="A65" s="18" t="s">
        <v>47</v>
      </c>
    </row>
    <row r="66" spans="1:4" x14ac:dyDescent="0.2">
      <c r="A66" s="18" t="s">
        <v>48</v>
      </c>
    </row>
    <row r="67" spans="1:4" x14ac:dyDescent="0.2">
      <c r="A67" s="18" t="s">
        <v>49</v>
      </c>
      <c r="B67" s="18"/>
      <c r="C67" s="41" t="s">
        <v>731</v>
      </c>
      <c r="D67" s="19" t="s">
        <v>50</v>
      </c>
    </row>
    <row r="68" spans="1:4" x14ac:dyDescent="0.2">
      <c r="A68" s="9" t="s">
        <v>79</v>
      </c>
      <c r="C68" s="51">
        <v>72.541399999999996</v>
      </c>
      <c r="D68" s="40">
        <v>99.423599999999993</v>
      </c>
    </row>
    <row r="69" spans="1:4" x14ac:dyDescent="0.2">
      <c r="A69" s="9" t="s">
        <v>85</v>
      </c>
      <c r="C69" s="51">
        <v>12.716699999999999</v>
      </c>
      <c r="D69" s="40">
        <v>15.9185</v>
      </c>
    </row>
    <row r="70" spans="1:4" x14ac:dyDescent="0.2">
      <c r="A70" s="9" t="s">
        <v>82</v>
      </c>
      <c r="C70" s="51">
        <v>76.960300000000004</v>
      </c>
      <c r="D70" s="40">
        <v>105.8929</v>
      </c>
    </row>
    <row r="71" spans="1:4" x14ac:dyDescent="0.2">
      <c r="A71" s="9" t="s">
        <v>86</v>
      </c>
      <c r="C71" s="51">
        <v>13.8284</v>
      </c>
      <c r="D71" s="40">
        <v>17.514900000000001</v>
      </c>
    </row>
    <row r="73" spans="1:4" x14ac:dyDescent="0.2">
      <c r="A73" s="18" t="s">
        <v>53</v>
      </c>
    </row>
    <row r="74" spans="1:4" x14ac:dyDescent="0.2">
      <c r="A74" s="82" t="s">
        <v>76</v>
      </c>
      <c r="B74" s="83"/>
      <c r="C74" s="44" t="s">
        <v>77</v>
      </c>
    </row>
    <row r="75" spans="1:4" x14ac:dyDescent="0.2">
      <c r="A75" s="78" t="s">
        <v>85</v>
      </c>
      <c r="B75" s="79"/>
      <c r="C75" s="45">
        <v>1.5</v>
      </c>
    </row>
    <row r="76" spans="1:4" x14ac:dyDescent="0.2">
      <c r="A76" s="78" t="s">
        <v>86</v>
      </c>
      <c r="B76" s="79"/>
      <c r="C76" s="45">
        <v>1.5</v>
      </c>
    </row>
    <row r="77" spans="1:4" x14ac:dyDescent="0.2">
      <c r="A77" s="9" t="s">
        <v>78</v>
      </c>
    </row>
    <row r="78" spans="1:4" x14ac:dyDescent="0.2">
      <c r="A78" s="9" t="s">
        <v>52</v>
      </c>
    </row>
    <row r="80" spans="1:4" x14ac:dyDescent="0.2">
      <c r="A80" s="18" t="s">
        <v>231</v>
      </c>
      <c r="D80" s="46">
        <v>7.2695798712326967E-2</v>
      </c>
    </row>
    <row r="82" spans="1:1" x14ac:dyDescent="0.2">
      <c r="A82" s="18" t="s">
        <v>742</v>
      </c>
    </row>
    <row r="83" spans="1:1" x14ac:dyDescent="0.2">
      <c r="A83" s="53" t="s">
        <v>57</v>
      </c>
    </row>
  </sheetData>
  <mergeCells count="4">
    <mergeCell ref="A1:F1"/>
    <mergeCell ref="A74:B74"/>
    <mergeCell ref="A75:B75"/>
    <mergeCell ref="A76:B76"/>
  </mergeCells>
  <conditionalFormatting sqref="F2:F3 F5:F65534">
    <cfRule type="cellIs" dxfId="16" priority="1" stopIfTrue="1" operator="between">
      <formula>0.009</formula>
      <formula>-0.009</formula>
    </cfRule>
  </conditionalFormatting>
  <hyperlinks>
    <hyperlink ref="A83" r:id="rId1" xr:uid="{00000000-0004-0000-2A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6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22</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115</v>
      </c>
      <c r="B7" s="27" t="s">
        <v>114</v>
      </c>
      <c r="C7" s="27" t="s">
        <v>108</v>
      </c>
      <c r="D7" s="31">
        <v>9500000</v>
      </c>
      <c r="E7" s="29">
        <v>57047.5</v>
      </c>
      <c r="F7" s="30">
        <v>9.6517516343367902</v>
      </c>
    </row>
    <row r="8" spans="1:6" x14ac:dyDescent="0.2">
      <c r="A8" s="27" t="s">
        <v>113</v>
      </c>
      <c r="B8" s="27" t="s">
        <v>112</v>
      </c>
      <c r="C8" s="27" t="s">
        <v>108</v>
      </c>
      <c r="D8" s="31">
        <v>7000000</v>
      </c>
      <c r="E8" s="29">
        <v>50043</v>
      </c>
      <c r="F8" s="30">
        <v>8.4666743860312206</v>
      </c>
    </row>
    <row r="9" spans="1:6" x14ac:dyDescent="0.2">
      <c r="A9" s="27" t="s">
        <v>147</v>
      </c>
      <c r="B9" s="27" t="s">
        <v>146</v>
      </c>
      <c r="C9" s="27" t="s">
        <v>108</v>
      </c>
      <c r="D9" s="31">
        <v>14000000</v>
      </c>
      <c r="E9" s="29">
        <v>49490</v>
      </c>
      <c r="F9" s="30">
        <v>8.3731134297441194</v>
      </c>
    </row>
    <row r="10" spans="1:6" x14ac:dyDescent="0.2">
      <c r="A10" s="27" t="s">
        <v>117</v>
      </c>
      <c r="B10" s="27" t="s">
        <v>116</v>
      </c>
      <c r="C10" s="27" t="s">
        <v>118</v>
      </c>
      <c r="D10" s="31">
        <v>6500000</v>
      </c>
      <c r="E10" s="29">
        <v>34888.75</v>
      </c>
      <c r="F10" s="30">
        <v>5.9027573483933198</v>
      </c>
    </row>
    <row r="11" spans="1:6" x14ac:dyDescent="0.2">
      <c r="A11" s="27" t="s">
        <v>110</v>
      </c>
      <c r="B11" s="27" t="s">
        <v>109</v>
      </c>
      <c r="C11" s="27" t="s">
        <v>111</v>
      </c>
      <c r="D11" s="31">
        <v>2000000</v>
      </c>
      <c r="E11" s="29">
        <v>27087</v>
      </c>
      <c r="F11" s="30">
        <v>4.5827949782072999</v>
      </c>
    </row>
    <row r="12" spans="1:6" x14ac:dyDescent="0.2">
      <c r="A12" s="27" t="s">
        <v>107</v>
      </c>
      <c r="B12" s="27" t="s">
        <v>106</v>
      </c>
      <c r="C12" s="27" t="s">
        <v>108</v>
      </c>
      <c r="D12" s="31">
        <v>1900000</v>
      </c>
      <c r="E12" s="29">
        <v>26833.7</v>
      </c>
      <c r="F12" s="30">
        <v>4.5399396613401697</v>
      </c>
    </row>
    <row r="13" spans="1:6" x14ac:dyDescent="0.2">
      <c r="A13" s="27" t="s">
        <v>201</v>
      </c>
      <c r="B13" s="27" t="s">
        <v>200</v>
      </c>
      <c r="C13" s="27" t="s">
        <v>202</v>
      </c>
      <c r="D13" s="31">
        <v>2000000</v>
      </c>
      <c r="E13" s="29">
        <v>26809</v>
      </c>
      <c r="F13" s="30">
        <v>4.5357607180846697</v>
      </c>
    </row>
    <row r="14" spans="1:6" x14ac:dyDescent="0.2">
      <c r="A14" s="27" t="s">
        <v>154</v>
      </c>
      <c r="B14" s="27" t="s">
        <v>153</v>
      </c>
      <c r="C14" s="27" t="s">
        <v>152</v>
      </c>
      <c r="D14" s="31">
        <v>23503715</v>
      </c>
      <c r="E14" s="29">
        <v>24079.55602</v>
      </c>
      <c r="F14" s="30">
        <v>4.07397158806502</v>
      </c>
    </row>
    <row r="15" spans="1:6" x14ac:dyDescent="0.2">
      <c r="A15" s="27" t="s">
        <v>536</v>
      </c>
      <c r="B15" s="27" t="s">
        <v>535</v>
      </c>
      <c r="C15" s="27" t="s">
        <v>135</v>
      </c>
      <c r="D15" s="31">
        <v>2100000</v>
      </c>
      <c r="E15" s="29">
        <v>22459.5</v>
      </c>
      <c r="F15" s="30">
        <v>3.7998775727487999</v>
      </c>
    </row>
    <row r="16" spans="1:6" x14ac:dyDescent="0.2">
      <c r="A16" s="27" t="s">
        <v>532</v>
      </c>
      <c r="B16" s="27" t="s">
        <v>531</v>
      </c>
      <c r="C16" s="27" t="s">
        <v>316</v>
      </c>
      <c r="D16" s="31">
        <v>1250000</v>
      </c>
      <c r="E16" s="29">
        <v>20542.5</v>
      </c>
      <c r="F16" s="30">
        <v>3.4755442034859301</v>
      </c>
    </row>
    <row r="17" spans="1:6" x14ac:dyDescent="0.2">
      <c r="A17" s="27" t="s">
        <v>219</v>
      </c>
      <c r="B17" s="27" t="s">
        <v>218</v>
      </c>
      <c r="C17" s="27" t="s">
        <v>143</v>
      </c>
      <c r="D17" s="31">
        <v>22000000</v>
      </c>
      <c r="E17" s="29">
        <v>19987</v>
      </c>
      <c r="F17" s="30">
        <v>3.3815602772336999</v>
      </c>
    </row>
    <row r="18" spans="1:6" x14ac:dyDescent="0.2">
      <c r="A18" s="27" t="s">
        <v>163</v>
      </c>
      <c r="B18" s="27" t="s">
        <v>162</v>
      </c>
      <c r="C18" s="27" t="s">
        <v>143</v>
      </c>
      <c r="D18" s="31">
        <v>4700000</v>
      </c>
      <c r="E18" s="29">
        <v>19824.599999999999</v>
      </c>
      <c r="F18" s="30">
        <v>3.35408414829875</v>
      </c>
    </row>
    <row r="19" spans="1:6" x14ac:dyDescent="0.2">
      <c r="A19" s="27" t="s">
        <v>225</v>
      </c>
      <c r="B19" s="27" t="s">
        <v>224</v>
      </c>
      <c r="C19" s="27" t="s">
        <v>132</v>
      </c>
      <c r="D19" s="31">
        <v>14000000</v>
      </c>
      <c r="E19" s="29">
        <v>19208</v>
      </c>
      <c r="F19" s="30">
        <v>3.2497628360987099</v>
      </c>
    </row>
    <row r="20" spans="1:6" x14ac:dyDescent="0.2">
      <c r="A20" s="27" t="s">
        <v>534</v>
      </c>
      <c r="B20" s="27" t="s">
        <v>533</v>
      </c>
      <c r="C20" s="27" t="s">
        <v>135</v>
      </c>
      <c r="D20" s="31">
        <v>2108281</v>
      </c>
      <c r="E20" s="29">
        <v>19192.736079999999</v>
      </c>
      <c r="F20" s="30">
        <v>3.24718036421464</v>
      </c>
    </row>
    <row r="21" spans="1:6" x14ac:dyDescent="0.2">
      <c r="A21" s="27" t="s">
        <v>273</v>
      </c>
      <c r="B21" s="27" t="s">
        <v>272</v>
      </c>
      <c r="C21" s="27" t="s">
        <v>184</v>
      </c>
      <c r="D21" s="31">
        <v>1000000</v>
      </c>
      <c r="E21" s="29">
        <v>18827.5</v>
      </c>
      <c r="F21" s="30">
        <v>3.1853868074056901</v>
      </c>
    </row>
    <row r="22" spans="1:6" x14ac:dyDescent="0.2">
      <c r="A22" s="27" t="s">
        <v>227</v>
      </c>
      <c r="B22" s="27" t="s">
        <v>226</v>
      </c>
      <c r="C22" s="27" t="s">
        <v>108</v>
      </c>
      <c r="D22" s="31">
        <v>20000000</v>
      </c>
      <c r="E22" s="29">
        <v>16020</v>
      </c>
      <c r="F22" s="30">
        <v>2.7103915365629598</v>
      </c>
    </row>
    <row r="23" spans="1:6" x14ac:dyDescent="0.2">
      <c r="A23" s="27" t="s">
        <v>546</v>
      </c>
      <c r="B23" s="27" t="s">
        <v>545</v>
      </c>
      <c r="C23" s="27" t="s">
        <v>184</v>
      </c>
      <c r="D23" s="31">
        <v>225000</v>
      </c>
      <c r="E23" s="29">
        <v>14127.637500000001</v>
      </c>
      <c r="F23" s="30">
        <v>2.3902265363064599</v>
      </c>
    </row>
    <row r="24" spans="1:6" x14ac:dyDescent="0.2">
      <c r="A24" s="27" t="s">
        <v>275</v>
      </c>
      <c r="B24" s="27" t="s">
        <v>274</v>
      </c>
      <c r="C24" s="27" t="s">
        <v>140</v>
      </c>
      <c r="D24" s="31">
        <v>2200000</v>
      </c>
      <c r="E24" s="29">
        <v>11430.1</v>
      </c>
      <c r="F24" s="30">
        <v>1.93383559938004</v>
      </c>
    </row>
    <row r="25" spans="1:6" x14ac:dyDescent="0.2">
      <c r="A25" s="27" t="s">
        <v>474</v>
      </c>
      <c r="B25" s="27" t="s">
        <v>473</v>
      </c>
      <c r="C25" s="27" t="s">
        <v>415</v>
      </c>
      <c r="D25" s="31">
        <v>350000</v>
      </c>
      <c r="E25" s="29">
        <v>11191.25</v>
      </c>
      <c r="F25" s="30">
        <v>1.89342504891137</v>
      </c>
    </row>
    <row r="26" spans="1:6" x14ac:dyDescent="0.2">
      <c r="A26" s="27" t="s">
        <v>183</v>
      </c>
      <c r="B26" s="27" t="s">
        <v>182</v>
      </c>
      <c r="C26" s="27" t="s">
        <v>184</v>
      </c>
      <c r="D26" s="31">
        <v>750000</v>
      </c>
      <c r="E26" s="29">
        <v>10513.125</v>
      </c>
      <c r="F26" s="30">
        <v>1.77869444586944</v>
      </c>
    </row>
    <row r="27" spans="1:6" x14ac:dyDescent="0.2">
      <c r="A27" s="27" t="s">
        <v>159</v>
      </c>
      <c r="B27" s="27" t="s">
        <v>158</v>
      </c>
      <c r="C27" s="27" t="s">
        <v>157</v>
      </c>
      <c r="D27" s="31">
        <v>250000</v>
      </c>
      <c r="E27" s="29">
        <v>9584.375</v>
      </c>
      <c r="F27" s="30">
        <v>1.6215611038230699</v>
      </c>
    </row>
    <row r="28" spans="1:6" x14ac:dyDescent="0.2">
      <c r="A28" s="27" t="s">
        <v>574</v>
      </c>
      <c r="B28" s="27" t="s">
        <v>573</v>
      </c>
      <c r="C28" s="27" t="s">
        <v>184</v>
      </c>
      <c r="D28" s="31">
        <v>3000000</v>
      </c>
      <c r="E28" s="29">
        <v>9271.5</v>
      </c>
      <c r="F28" s="30">
        <v>1.5686264126868601</v>
      </c>
    </row>
    <row r="29" spans="1:6" x14ac:dyDescent="0.2">
      <c r="A29" s="27" t="s">
        <v>134</v>
      </c>
      <c r="B29" s="27" t="s">
        <v>133</v>
      </c>
      <c r="C29" s="27" t="s">
        <v>135</v>
      </c>
      <c r="D29" s="31">
        <v>150000</v>
      </c>
      <c r="E29" s="29">
        <v>7744.65</v>
      </c>
      <c r="F29" s="30">
        <v>1.3103017361824201</v>
      </c>
    </row>
    <row r="30" spans="1:6" x14ac:dyDescent="0.2">
      <c r="A30" s="27" t="s">
        <v>576</v>
      </c>
      <c r="B30" s="27" t="s">
        <v>575</v>
      </c>
      <c r="C30" s="27" t="s">
        <v>557</v>
      </c>
      <c r="D30" s="31">
        <v>825000</v>
      </c>
      <c r="E30" s="29">
        <v>7661.7749999999996</v>
      </c>
      <c r="F30" s="30">
        <v>1.2962802818383099</v>
      </c>
    </row>
    <row r="31" spans="1:6" x14ac:dyDescent="0.2">
      <c r="A31" s="27" t="s">
        <v>128</v>
      </c>
      <c r="B31" s="27" t="s">
        <v>127</v>
      </c>
      <c r="C31" s="27" t="s">
        <v>129</v>
      </c>
      <c r="D31" s="31">
        <v>2000000</v>
      </c>
      <c r="E31" s="29">
        <v>7288</v>
      </c>
      <c r="F31" s="30">
        <v>1.2330420423514901</v>
      </c>
    </row>
    <row r="32" spans="1:6" x14ac:dyDescent="0.2">
      <c r="A32" s="27" t="s">
        <v>151</v>
      </c>
      <c r="B32" s="27" t="s">
        <v>150</v>
      </c>
      <c r="C32" s="27" t="s">
        <v>152</v>
      </c>
      <c r="D32" s="31">
        <v>1500000</v>
      </c>
      <c r="E32" s="29">
        <v>3300.75</v>
      </c>
      <c r="F32" s="30">
        <v>0.55844724496318299</v>
      </c>
    </row>
    <row r="33" spans="1:9" x14ac:dyDescent="0.2">
      <c r="A33" s="26" t="s">
        <v>39</v>
      </c>
      <c r="B33" s="26"/>
      <c r="C33" s="26"/>
      <c r="D33" s="32"/>
      <c r="E33" s="33">
        <f>SUM(E7:E32)</f>
        <v>544453.50459999999</v>
      </c>
      <c r="F33" s="34">
        <f>SUM(F7:F32)</f>
        <v>92.11499194256443</v>
      </c>
      <c r="G33" s="18"/>
      <c r="H33" s="18"/>
      <c r="I33" s="18"/>
    </row>
    <row r="34" spans="1:9" x14ac:dyDescent="0.2">
      <c r="A34" s="27"/>
      <c r="B34" s="27"/>
      <c r="C34" s="27"/>
      <c r="D34" s="28"/>
      <c r="E34" s="29"/>
      <c r="F34" s="30"/>
    </row>
    <row r="35" spans="1:9" x14ac:dyDescent="0.2">
      <c r="A35" s="26" t="s">
        <v>42</v>
      </c>
      <c r="B35" s="26"/>
      <c r="C35" s="26"/>
      <c r="D35" s="32"/>
      <c r="E35" s="33">
        <f>E33</f>
        <v>544453.50459999999</v>
      </c>
      <c r="F35" s="34">
        <f>F33</f>
        <v>92.11499194256443</v>
      </c>
      <c r="G35" s="18"/>
      <c r="H35" s="18"/>
      <c r="I35" s="18"/>
    </row>
    <row r="36" spans="1:9" x14ac:dyDescent="0.2">
      <c r="A36" s="26"/>
      <c r="B36" s="26"/>
      <c r="C36" s="26"/>
      <c r="D36" s="32"/>
      <c r="E36" s="33"/>
      <c r="F36" s="34"/>
      <c r="G36" s="18"/>
      <c r="H36" s="18"/>
      <c r="I36" s="18"/>
    </row>
    <row r="37" spans="1:9" x14ac:dyDescent="0.2">
      <c r="A37" s="26" t="s">
        <v>44</v>
      </c>
      <c r="B37" s="26"/>
      <c r="C37" s="26"/>
      <c r="D37" s="32"/>
      <c r="E37" s="33">
        <f>E39-(E33)</f>
        <v>46605.011628800072</v>
      </c>
      <c r="F37" s="34">
        <f>F39-(F33)</f>
        <v>7.8850080574355701</v>
      </c>
      <c r="G37" s="18"/>
      <c r="H37" s="18"/>
      <c r="I37" s="18"/>
    </row>
    <row r="38" spans="1:9" x14ac:dyDescent="0.2">
      <c r="A38" s="26"/>
      <c r="B38" s="26"/>
      <c r="C38" s="26"/>
      <c r="D38" s="32"/>
      <c r="E38" s="33"/>
      <c r="F38" s="34"/>
      <c r="G38" s="18"/>
      <c r="H38" s="18"/>
      <c r="I38" s="18"/>
    </row>
    <row r="39" spans="1:9" x14ac:dyDescent="0.2">
      <c r="A39" s="35" t="s">
        <v>43</v>
      </c>
      <c r="B39" s="35"/>
      <c r="C39" s="35"/>
      <c r="D39" s="36"/>
      <c r="E39" s="37">
        <v>591058.51622880006</v>
      </c>
      <c r="F39" s="38">
        <v>100</v>
      </c>
      <c r="G39" s="18"/>
      <c r="H39" s="18"/>
      <c r="I39" s="18"/>
    </row>
    <row r="42" spans="1:9" x14ac:dyDescent="0.2">
      <c r="A42" s="18" t="s">
        <v>47</v>
      </c>
    </row>
    <row r="43" spans="1:9" x14ac:dyDescent="0.2">
      <c r="A43" s="18" t="s">
        <v>48</v>
      </c>
    </row>
    <row r="44" spans="1:9" x14ac:dyDescent="0.2">
      <c r="A44" s="18" t="s">
        <v>49</v>
      </c>
      <c r="B44" s="18"/>
      <c r="C44" s="41" t="s">
        <v>731</v>
      </c>
      <c r="D44" s="19" t="s">
        <v>50</v>
      </c>
    </row>
    <row r="45" spans="1:9" x14ac:dyDescent="0.2">
      <c r="A45" s="9" t="s">
        <v>79</v>
      </c>
      <c r="C45" s="51">
        <v>438.34269999999998</v>
      </c>
      <c r="D45" s="40">
        <v>599.7989</v>
      </c>
    </row>
    <row r="46" spans="1:9" x14ac:dyDescent="0.2">
      <c r="A46" s="9" t="s">
        <v>85</v>
      </c>
      <c r="C46" s="51">
        <v>32.2866</v>
      </c>
      <c r="D46" s="40">
        <v>40.423900000000003</v>
      </c>
    </row>
    <row r="47" spans="1:9" x14ac:dyDescent="0.2">
      <c r="A47" s="9" t="s">
        <v>82</v>
      </c>
      <c r="C47" s="51">
        <v>467.53370000000001</v>
      </c>
      <c r="D47" s="40">
        <v>642.05529999999999</v>
      </c>
    </row>
    <row r="48" spans="1:9" x14ac:dyDescent="0.2">
      <c r="A48" s="9" t="s">
        <v>86</v>
      </c>
      <c r="C48" s="51">
        <v>35.4</v>
      </c>
      <c r="D48" s="40">
        <v>44.851199999999999</v>
      </c>
    </row>
    <row r="50" spans="1:4" x14ac:dyDescent="0.2">
      <c r="A50" s="18" t="s">
        <v>53</v>
      </c>
    </row>
    <row r="51" spans="1:4" x14ac:dyDescent="0.2">
      <c r="A51" s="82" t="s">
        <v>76</v>
      </c>
      <c r="B51" s="83"/>
      <c r="C51" s="44" t="s">
        <v>77</v>
      </c>
    </row>
    <row r="52" spans="1:4" x14ac:dyDescent="0.2">
      <c r="A52" s="78" t="s">
        <v>85</v>
      </c>
      <c r="B52" s="79"/>
      <c r="C52" s="45">
        <v>3.5</v>
      </c>
    </row>
    <row r="53" spans="1:4" x14ac:dyDescent="0.2">
      <c r="A53" s="78" t="s">
        <v>86</v>
      </c>
      <c r="B53" s="79"/>
      <c r="C53" s="45">
        <v>3.5</v>
      </c>
    </row>
    <row r="54" spans="1:4" x14ac:dyDescent="0.2">
      <c r="A54" s="9" t="s">
        <v>78</v>
      </c>
    </row>
    <row r="55" spans="1:4" x14ac:dyDescent="0.2">
      <c r="A55" s="9" t="s">
        <v>52</v>
      </c>
    </row>
    <row r="57" spans="1:4" x14ac:dyDescent="0.2">
      <c r="A57" s="18" t="s">
        <v>231</v>
      </c>
      <c r="D57" s="46">
        <v>7.0785193888735914E-2</v>
      </c>
    </row>
    <row r="59" spans="1:4" x14ac:dyDescent="0.2">
      <c r="A59" s="18" t="s">
        <v>742</v>
      </c>
    </row>
    <row r="60" spans="1:4" x14ac:dyDescent="0.2">
      <c r="A60" s="53" t="s">
        <v>57</v>
      </c>
    </row>
  </sheetData>
  <mergeCells count="4">
    <mergeCell ref="A1:F1"/>
    <mergeCell ref="A51:B51"/>
    <mergeCell ref="A52:B52"/>
    <mergeCell ref="A53:B53"/>
  </mergeCells>
  <conditionalFormatting sqref="F2:F3 F5:F65534">
    <cfRule type="cellIs" dxfId="15" priority="1" stopIfTrue="1" operator="between">
      <formula>0.009</formula>
      <formula>-0.009</formula>
    </cfRule>
  </conditionalFormatting>
  <hyperlinks>
    <hyperlink ref="A60" r:id="rId1" xr:uid="{00000000-0004-0000-2B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62"/>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6" t="s">
        <v>23</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147</v>
      </c>
      <c r="B7" s="27" t="s">
        <v>146</v>
      </c>
      <c r="C7" s="27" t="s">
        <v>108</v>
      </c>
      <c r="D7" s="31">
        <v>2700000</v>
      </c>
      <c r="E7" s="29">
        <v>9544.5</v>
      </c>
      <c r="F7" s="30">
        <v>10.2423290110731</v>
      </c>
    </row>
    <row r="8" spans="1:6" x14ac:dyDescent="0.2">
      <c r="A8" s="27" t="s">
        <v>115</v>
      </c>
      <c r="B8" s="27" t="s">
        <v>114</v>
      </c>
      <c r="C8" s="27" t="s">
        <v>108</v>
      </c>
      <c r="D8" s="31">
        <v>1525000</v>
      </c>
      <c r="E8" s="29">
        <v>9157.625</v>
      </c>
      <c r="F8" s="30">
        <v>9.8271683388368505</v>
      </c>
    </row>
    <row r="9" spans="1:6" x14ac:dyDescent="0.2">
      <c r="A9" s="27" t="s">
        <v>113</v>
      </c>
      <c r="B9" s="27" t="s">
        <v>112</v>
      </c>
      <c r="C9" s="27" t="s">
        <v>108</v>
      </c>
      <c r="D9" s="31">
        <v>1275000</v>
      </c>
      <c r="E9" s="29">
        <v>9114.9750000000004</v>
      </c>
      <c r="F9" s="30">
        <v>9.7814000605276394</v>
      </c>
    </row>
    <row r="10" spans="1:6" x14ac:dyDescent="0.2">
      <c r="A10" s="27" t="s">
        <v>117</v>
      </c>
      <c r="B10" s="27" t="s">
        <v>116</v>
      </c>
      <c r="C10" s="27" t="s">
        <v>118</v>
      </c>
      <c r="D10" s="31">
        <v>1000000</v>
      </c>
      <c r="E10" s="29">
        <v>5367.5</v>
      </c>
      <c r="F10" s="30">
        <v>5.7599351424312299</v>
      </c>
    </row>
    <row r="11" spans="1:6" x14ac:dyDescent="0.2">
      <c r="A11" s="27" t="s">
        <v>154</v>
      </c>
      <c r="B11" s="27" t="s">
        <v>153</v>
      </c>
      <c r="C11" s="27" t="s">
        <v>152</v>
      </c>
      <c r="D11" s="31">
        <v>4688274</v>
      </c>
      <c r="E11" s="29">
        <v>4803.1367129999999</v>
      </c>
      <c r="F11" s="30">
        <v>5.1543094451998703</v>
      </c>
    </row>
    <row r="12" spans="1:6" x14ac:dyDescent="0.2">
      <c r="A12" s="27" t="s">
        <v>163</v>
      </c>
      <c r="B12" s="27" t="s">
        <v>162</v>
      </c>
      <c r="C12" s="27" t="s">
        <v>143</v>
      </c>
      <c r="D12" s="31">
        <v>1000000</v>
      </c>
      <c r="E12" s="29">
        <v>4218</v>
      </c>
      <c r="F12" s="30">
        <v>4.5263915101583496</v>
      </c>
    </row>
    <row r="13" spans="1:6" x14ac:dyDescent="0.2">
      <c r="A13" s="27" t="s">
        <v>219</v>
      </c>
      <c r="B13" s="27" t="s">
        <v>218</v>
      </c>
      <c r="C13" s="27" t="s">
        <v>143</v>
      </c>
      <c r="D13" s="31">
        <v>4500000</v>
      </c>
      <c r="E13" s="29">
        <v>4088.25</v>
      </c>
      <c r="F13" s="30">
        <v>4.3871550714568199</v>
      </c>
    </row>
    <row r="14" spans="1:6" x14ac:dyDescent="0.2">
      <c r="A14" s="27" t="s">
        <v>443</v>
      </c>
      <c r="B14" s="27" t="s">
        <v>442</v>
      </c>
      <c r="C14" s="27" t="s">
        <v>184</v>
      </c>
      <c r="D14" s="31">
        <v>900000</v>
      </c>
      <c r="E14" s="29">
        <v>3624.75</v>
      </c>
      <c r="F14" s="30">
        <v>3.8897670996791001</v>
      </c>
    </row>
    <row r="15" spans="1:6" x14ac:dyDescent="0.2">
      <c r="A15" s="27" t="s">
        <v>538</v>
      </c>
      <c r="B15" s="27" t="s">
        <v>537</v>
      </c>
      <c r="C15" s="27" t="s">
        <v>217</v>
      </c>
      <c r="D15" s="31">
        <v>675000</v>
      </c>
      <c r="E15" s="29">
        <v>3516.0749999999998</v>
      </c>
      <c r="F15" s="30">
        <v>3.7731465218302498</v>
      </c>
    </row>
    <row r="16" spans="1:6" x14ac:dyDescent="0.2">
      <c r="A16" s="27" t="s">
        <v>394</v>
      </c>
      <c r="B16" s="27" t="s">
        <v>393</v>
      </c>
      <c r="C16" s="27" t="s">
        <v>381</v>
      </c>
      <c r="D16" s="31">
        <v>700000</v>
      </c>
      <c r="E16" s="29">
        <v>3402.7</v>
      </c>
      <c r="F16" s="30">
        <v>3.6514823119051201</v>
      </c>
    </row>
    <row r="17" spans="1:6" x14ac:dyDescent="0.2">
      <c r="A17" s="27" t="s">
        <v>273</v>
      </c>
      <c r="B17" s="27" t="s">
        <v>272</v>
      </c>
      <c r="C17" s="27" t="s">
        <v>184</v>
      </c>
      <c r="D17" s="31">
        <v>175000</v>
      </c>
      <c r="E17" s="29">
        <v>3294.8125</v>
      </c>
      <c r="F17" s="30">
        <v>3.5357068107073499</v>
      </c>
    </row>
    <row r="18" spans="1:6" x14ac:dyDescent="0.2">
      <c r="A18" s="27" t="s">
        <v>225</v>
      </c>
      <c r="B18" s="27" t="s">
        <v>224</v>
      </c>
      <c r="C18" s="27" t="s">
        <v>132</v>
      </c>
      <c r="D18" s="31">
        <v>2400000</v>
      </c>
      <c r="E18" s="29">
        <v>3292.8</v>
      </c>
      <c r="F18" s="30">
        <v>3.53354717037681</v>
      </c>
    </row>
    <row r="19" spans="1:6" x14ac:dyDescent="0.2">
      <c r="A19" s="27" t="s">
        <v>532</v>
      </c>
      <c r="B19" s="27" t="s">
        <v>531</v>
      </c>
      <c r="C19" s="27" t="s">
        <v>316</v>
      </c>
      <c r="D19" s="31">
        <v>200000</v>
      </c>
      <c r="E19" s="29">
        <v>3286.8</v>
      </c>
      <c r="F19" s="30">
        <v>3.5271084911305</v>
      </c>
    </row>
    <row r="20" spans="1:6" x14ac:dyDescent="0.2">
      <c r="A20" s="27" t="s">
        <v>201</v>
      </c>
      <c r="B20" s="27" t="s">
        <v>200</v>
      </c>
      <c r="C20" s="27" t="s">
        <v>202</v>
      </c>
      <c r="D20" s="31">
        <v>235000</v>
      </c>
      <c r="E20" s="29">
        <v>3150.0574999999999</v>
      </c>
      <c r="F20" s="30">
        <v>3.3803683083239999</v>
      </c>
    </row>
    <row r="21" spans="1:6" x14ac:dyDescent="0.2">
      <c r="A21" s="27" t="s">
        <v>542</v>
      </c>
      <c r="B21" s="27" t="s">
        <v>541</v>
      </c>
      <c r="C21" s="27" t="s">
        <v>126</v>
      </c>
      <c r="D21" s="31">
        <v>550000</v>
      </c>
      <c r="E21" s="29">
        <v>2320.7249999999999</v>
      </c>
      <c r="F21" s="30">
        <v>2.49040064898346</v>
      </c>
    </row>
    <row r="22" spans="1:6" x14ac:dyDescent="0.2">
      <c r="A22" s="27" t="s">
        <v>578</v>
      </c>
      <c r="B22" s="27" t="s">
        <v>577</v>
      </c>
      <c r="C22" s="27" t="s">
        <v>316</v>
      </c>
      <c r="D22" s="31">
        <v>991610</v>
      </c>
      <c r="E22" s="29">
        <v>2015.9431300000001</v>
      </c>
      <c r="F22" s="30">
        <v>2.1633351988131899</v>
      </c>
    </row>
    <row r="23" spans="1:6" x14ac:dyDescent="0.2">
      <c r="A23" s="27" t="s">
        <v>254</v>
      </c>
      <c r="B23" s="27" t="s">
        <v>253</v>
      </c>
      <c r="C23" s="27" t="s">
        <v>217</v>
      </c>
      <c r="D23" s="31">
        <v>525000</v>
      </c>
      <c r="E23" s="29">
        <v>1899.1875</v>
      </c>
      <c r="F23" s="30">
        <v>2.0380431901846499</v>
      </c>
    </row>
    <row r="24" spans="1:6" x14ac:dyDescent="0.2">
      <c r="A24" s="27" t="s">
        <v>567</v>
      </c>
      <c r="B24" s="27" t="s">
        <v>566</v>
      </c>
      <c r="C24" s="27" t="s">
        <v>316</v>
      </c>
      <c r="D24" s="31">
        <v>2000000</v>
      </c>
      <c r="E24" s="29">
        <v>1844</v>
      </c>
      <c r="F24" s="30">
        <v>1.9788207550336601</v>
      </c>
    </row>
    <row r="25" spans="1:6" x14ac:dyDescent="0.2">
      <c r="A25" s="27" t="s">
        <v>256</v>
      </c>
      <c r="B25" s="27" t="s">
        <v>255</v>
      </c>
      <c r="C25" s="27" t="s">
        <v>257</v>
      </c>
      <c r="D25" s="31">
        <v>1400000</v>
      </c>
      <c r="E25" s="29">
        <v>1514.1</v>
      </c>
      <c r="F25" s="30">
        <v>1.6248007078072</v>
      </c>
    </row>
    <row r="26" spans="1:6" x14ac:dyDescent="0.2">
      <c r="A26" s="27" t="s">
        <v>544</v>
      </c>
      <c r="B26" s="27" t="s">
        <v>543</v>
      </c>
      <c r="C26" s="27" t="s">
        <v>381</v>
      </c>
      <c r="D26" s="31">
        <v>2100000</v>
      </c>
      <c r="E26" s="29">
        <v>1503.6</v>
      </c>
      <c r="F26" s="30">
        <v>1.6135330191261501</v>
      </c>
    </row>
    <row r="27" spans="1:6" x14ac:dyDescent="0.2">
      <c r="A27" s="27" t="s">
        <v>580</v>
      </c>
      <c r="B27" s="27" t="s">
        <v>579</v>
      </c>
      <c r="C27" s="27" t="s">
        <v>381</v>
      </c>
      <c r="D27" s="31">
        <v>2233265</v>
      </c>
      <c r="E27" s="29">
        <v>1477.3047979999999</v>
      </c>
      <c r="F27" s="30">
        <v>1.5853152905603101</v>
      </c>
    </row>
    <row r="28" spans="1:6" x14ac:dyDescent="0.2">
      <c r="A28" s="27" t="s">
        <v>582</v>
      </c>
      <c r="B28" s="27" t="s">
        <v>581</v>
      </c>
      <c r="C28" s="27" t="s">
        <v>217</v>
      </c>
      <c r="D28" s="31">
        <v>1200000</v>
      </c>
      <c r="E28" s="29">
        <v>1291.8</v>
      </c>
      <c r="F28" s="30">
        <v>1.3862476417312799</v>
      </c>
    </row>
    <row r="29" spans="1:6" x14ac:dyDescent="0.2">
      <c r="A29" s="27" t="s">
        <v>497</v>
      </c>
      <c r="B29" s="27" t="s">
        <v>496</v>
      </c>
      <c r="C29" s="27" t="s">
        <v>316</v>
      </c>
      <c r="D29" s="31">
        <v>200000</v>
      </c>
      <c r="E29" s="29">
        <v>1179.8</v>
      </c>
      <c r="F29" s="30">
        <v>1.26605896246677</v>
      </c>
    </row>
    <row r="30" spans="1:6" x14ac:dyDescent="0.2">
      <c r="A30" s="27" t="s">
        <v>453</v>
      </c>
      <c r="B30" s="27" t="s">
        <v>452</v>
      </c>
      <c r="C30" s="27" t="s">
        <v>217</v>
      </c>
      <c r="D30" s="31">
        <v>250000</v>
      </c>
      <c r="E30" s="29">
        <v>1116.5</v>
      </c>
      <c r="F30" s="30">
        <v>1.1981308964181601</v>
      </c>
    </row>
    <row r="31" spans="1:6" x14ac:dyDescent="0.2">
      <c r="A31" s="27" t="s">
        <v>151</v>
      </c>
      <c r="B31" s="27" t="s">
        <v>150</v>
      </c>
      <c r="C31" s="27" t="s">
        <v>152</v>
      </c>
      <c r="D31" s="31">
        <v>400000</v>
      </c>
      <c r="E31" s="29">
        <v>880.2</v>
      </c>
      <c r="F31" s="30">
        <v>0.94455424543418098</v>
      </c>
    </row>
    <row r="32" spans="1:6" x14ac:dyDescent="0.2">
      <c r="A32" s="27" t="s">
        <v>584</v>
      </c>
      <c r="B32" s="27" t="s">
        <v>583</v>
      </c>
      <c r="C32" s="27" t="s">
        <v>557</v>
      </c>
      <c r="D32" s="31">
        <v>600000</v>
      </c>
      <c r="E32" s="29">
        <v>875.1</v>
      </c>
      <c r="F32" s="30">
        <v>0.93908136807481501</v>
      </c>
    </row>
    <row r="33" spans="1:9" x14ac:dyDescent="0.2">
      <c r="A33" s="26" t="s">
        <v>39</v>
      </c>
      <c r="B33" s="26"/>
      <c r="C33" s="26"/>
      <c r="D33" s="32"/>
      <c r="E33" s="33">
        <f>SUM(E7:E32)</f>
        <v>87780.24214100001</v>
      </c>
      <c r="F33" s="34">
        <f>SUM(F7:F32)</f>
        <v>94.198137218270801</v>
      </c>
      <c r="G33" s="18"/>
      <c r="H33" s="18"/>
      <c r="I33" s="18"/>
    </row>
    <row r="34" spans="1:9" x14ac:dyDescent="0.2">
      <c r="A34" s="27"/>
      <c r="B34" s="27"/>
      <c r="C34" s="27"/>
      <c r="D34" s="28"/>
      <c r="E34" s="29"/>
      <c r="F34" s="30"/>
    </row>
    <row r="35" spans="1:9" x14ac:dyDescent="0.2">
      <c r="A35" s="26" t="s">
        <v>42</v>
      </c>
      <c r="B35" s="26"/>
      <c r="C35" s="26"/>
      <c r="D35" s="32"/>
      <c r="E35" s="33">
        <f>E33</f>
        <v>87780.24214100001</v>
      </c>
      <c r="F35" s="34">
        <f>F33</f>
        <v>94.198137218270801</v>
      </c>
      <c r="G35" s="18"/>
      <c r="H35" s="18"/>
      <c r="I35" s="18"/>
    </row>
    <row r="36" spans="1:9" x14ac:dyDescent="0.2">
      <c r="A36" s="26"/>
      <c r="B36" s="26"/>
      <c r="C36" s="26"/>
      <c r="D36" s="32"/>
      <c r="E36" s="33"/>
      <c r="F36" s="34"/>
      <c r="G36" s="18"/>
      <c r="H36" s="18"/>
      <c r="I36" s="18"/>
    </row>
    <row r="37" spans="1:9" x14ac:dyDescent="0.2">
      <c r="A37" s="26" t="s">
        <v>44</v>
      </c>
      <c r="B37" s="26"/>
      <c r="C37" s="26"/>
      <c r="D37" s="32"/>
      <c r="E37" s="33">
        <f>E39-(E33)</f>
        <v>5406.5710308999842</v>
      </c>
      <c r="F37" s="34">
        <f>F39-(F33)</f>
        <v>5.8018627817291986</v>
      </c>
      <c r="G37" s="18"/>
      <c r="H37" s="18"/>
      <c r="I37" s="18"/>
    </row>
    <row r="38" spans="1:9" x14ac:dyDescent="0.2">
      <c r="A38" s="26"/>
      <c r="B38" s="26"/>
      <c r="C38" s="26"/>
      <c r="D38" s="32"/>
      <c r="E38" s="33"/>
      <c r="F38" s="34"/>
      <c r="G38" s="18"/>
      <c r="H38" s="18"/>
      <c r="I38" s="18"/>
    </row>
    <row r="39" spans="1:9" x14ac:dyDescent="0.2">
      <c r="A39" s="35" t="s">
        <v>43</v>
      </c>
      <c r="B39" s="35"/>
      <c r="C39" s="35"/>
      <c r="D39" s="36"/>
      <c r="E39" s="37">
        <v>93186.813171899994</v>
      </c>
      <c r="F39" s="38">
        <v>100</v>
      </c>
      <c r="G39" s="18"/>
      <c r="H39" s="18"/>
      <c r="I39" s="18"/>
    </row>
    <row r="42" spans="1:9" x14ac:dyDescent="0.2">
      <c r="A42" s="18" t="s">
        <v>47</v>
      </c>
    </row>
    <row r="43" spans="1:9" x14ac:dyDescent="0.2">
      <c r="A43" s="18" t="s">
        <v>48</v>
      </c>
    </row>
    <row r="44" spans="1:9" x14ac:dyDescent="0.2">
      <c r="A44" s="18" t="s">
        <v>49</v>
      </c>
      <c r="B44" s="18"/>
      <c r="C44" s="41" t="s">
        <v>731</v>
      </c>
      <c r="D44" s="19" t="s">
        <v>50</v>
      </c>
    </row>
    <row r="45" spans="1:9" x14ac:dyDescent="0.2">
      <c r="A45" s="9" t="s">
        <v>79</v>
      </c>
      <c r="C45" s="51">
        <v>34.562600000000003</v>
      </c>
      <c r="D45" s="40">
        <v>49.631100000000004</v>
      </c>
    </row>
    <row r="46" spans="1:9" x14ac:dyDescent="0.2">
      <c r="A46" s="9" t="s">
        <v>85</v>
      </c>
      <c r="C46" s="51">
        <v>16.518899999999999</v>
      </c>
      <c r="D46" s="40">
        <v>21.776399999999999</v>
      </c>
    </row>
    <row r="47" spans="1:9" x14ac:dyDescent="0.2">
      <c r="A47" s="9" t="s">
        <v>82</v>
      </c>
      <c r="C47" s="51">
        <v>37.8583</v>
      </c>
      <c r="D47" s="40">
        <v>54.639800000000001</v>
      </c>
    </row>
    <row r="48" spans="1:9" x14ac:dyDescent="0.2">
      <c r="A48" s="9" t="s">
        <v>86</v>
      </c>
      <c r="C48" s="51">
        <v>18.685400000000001</v>
      </c>
      <c r="D48" s="40">
        <v>25.0167</v>
      </c>
    </row>
    <row r="50" spans="1:4" x14ac:dyDescent="0.2">
      <c r="A50" s="18" t="s">
        <v>53</v>
      </c>
    </row>
    <row r="51" spans="1:4" x14ac:dyDescent="0.2">
      <c r="A51" s="82" t="s">
        <v>76</v>
      </c>
      <c r="B51" s="83"/>
      <c r="C51" s="44" t="s">
        <v>77</v>
      </c>
    </row>
    <row r="52" spans="1:4" x14ac:dyDescent="0.2">
      <c r="A52" s="78" t="s">
        <v>85</v>
      </c>
      <c r="B52" s="79"/>
      <c r="C52" s="45">
        <v>1.75</v>
      </c>
    </row>
    <row r="53" spans="1:4" x14ac:dyDescent="0.2">
      <c r="A53" s="78" t="s">
        <v>86</v>
      </c>
      <c r="B53" s="79"/>
      <c r="C53" s="45">
        <v>1.75</v>
      </c>
    </row>
    <row r="54" spans="1:4" x14ac:dyDescent="0.2">
      <c r="A54" s="9" t="s">
        <v>78</v>
      </c>
    </row>
    <row r="55" spans="1:4" x14ac:dyDescent="0.2">
      <c r="A55" s="9" t="s">
        <v>52</v>
      </c>
    </row>
    <row r="57" spans="1:4" x14ac:dyDescent="0.2">
      <c r="A57" s="18" t="s">
        <v>231</v>
      </c>
      <c r="D57" s="46">
        <v>1.2796012415193569E-2</v>
      </c>
    </row>
    <row r="59" spans="1:4" x14ac:dyDescent="0.2">
      <c r="A59" s="18" t="s">
        <v>742</v>
      </c>
    </row>
    <row r="60" spans="1:4" x14ac:dyDescent="0.2">
      <c r="A60" s="53" t="s">
        <v>57</v>
      </c>
    </row>
    <row r="61" spans="1:4" x14ac:dyDescent="0.2">
      <c r="A61" s="18"/>
    </row>
    <row r="62" spans="1:4" ht="14.4" x14ac:dyDescent="0.3">
      <c r="A62" s="43"/>
    </row>
  </sheetData>
  <mergeCells count="4">
    <mergeCell ref="A1:F1"/>
    <mergeCell ref="A51:B51"/>
    <mergeCell ref="A52:B52"/>
    <mergeCell ref="A53:B53"/>
  </mergeCells>
  <conditionalFormatting sqref="F2:F3 F5:F65536">
    <cfRule type="cellIs" dxfId="14" priority="1" stopIfTrue="1" operator="between">
      <formula>0.009</formula>
      <formula>-0.009</formula>
    </cfRule>
  </conditionalFormatting>
  <hyperlinks>
    <hyperlink ref="A60" r:id="rId1" xr:uid="{00000000-0004-0000-2C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35.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24</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115</v>
      </c>
      <c r="B7" s="27" t="s">
        <v>114</v>
      </c>
      <c r="C7" s="27" t="s">
        <v>108</v>
      </c>
      <c r="D7" s="31">
        <v>75949</v>
      </c>
      <c r="E7" s="29">
        <v>456.07374499999997</v>
      </c>
      <c r="F7" s="30">
        <v>1.70979719767298</v>
      </c>
    </row>
    <row r="8" spans="1:6" x14ac:dyDescent="0.2">
      <c r="A8" s="27" t="s">
        <v>107</v>
      </c>
      <c r="B8" s="27" t="s">
        <v>106</v>
      </c>
      <c r="C8" s="27" t="s">
        <v>108</v>
      </c>
      <c r="D8" s="31">
        <v>30253</v>
      </c>
      <c r="E8" s="29">
        <v>427.26311900000002</v>
      </c>
      <c r="F8" s="30">
        <v>1.6017876309350301</v>
      </c>
    </row>
    <row r="9" spans="1:6" x14ac:dyDescent="0.2">
      <c r="A9" s="27" t="s">
        <v>123</v>
      </c>
      <c r="B9" s="27" t="s">
        <v>122</v>
      </c>
      <c r="C9" s="27" t="s">
        <v>108</v>
      </c>
      <c r="D9" s="31">
        <v>22917</v>
      </c>
      <c r="E9" s="29">
        <v>400.77249599999999</v>
      </c>
      <c r="F9" s="30">
        <v>1.5024756370599801</v>
      </c>
    </row>
    <row r="10" spans="1:6" x14ac:dyDescent="0.2">
      <c r="A10" s="27" t="s">
        <v>586</v>
      </c>
      <c r="B10" s="27" t="s">
        <v>585</v>
      </c>
      <c r="C10" s="27" t="s">
        <v>381</v>
      </c>
      <c r="D10" s="31">
        <v>20861</v>
      </c>
      <c r="E10" s="29">
        <v>285.45149350000003</v>
      </c>
      <c r="F10" s="30">
        <v>1.07014308323727</v>
      </c>
    </row>
    <row r="11" spans="1:6" x14ac:dyDescent="0.2">
      <c r="A11" s="27" t="s">
        <v>282</v>
      </c>
      <c r="B11" s="27" t="s">
        <v>281</v>
      </c>
      <c r="C11" s="27" t="s">
        <v>140</v>
      </c>
      <c r="D11" s="31">
        <v>40295</v>
      </c>
      <c r="E11" s="29">
        <v>269.77502500000003</v>
      </c>
      <c r="F11" s="30">
        <v>1.01137280276276</v>
      </c>
    </row>
    <row r="12" spans="1:6" x14ac:dyDescent="0.2">
      <c r="A12" s="27" t="s">
        <v>128</v>
      </c>
      <c r="B12" s="27" t="s">
        <v>127</v>
      </c>
      <c r="C12" s="27" t="s">
        <v>129</v>
      </c>
      <c r="D12" s="31">
        <v>72567</v>
      </c>
      <c r="E12" s="29">
        <v>264.43414799999999</v>
      </c>
      <c r="F12" s="30">
        <v>0.99135012742170203</v>
      </c>
    </row>
    <row r="13" spans="1:6" x14ac:dyDescent="0.2">
      <c r="A13" s="27" t="s">
        <v>208</v>
      </c>
      <c r="B13" s="27" t="s">
        <v>207</v>
      </c>
      <c r="C13" s="27" t="s">
        <v>209</v>
      </c>
      <c r="D13" s="31">
        <v>235400</v>
      </c>
      <c r="E13" s="29">
        <v>262.471</v>
      </c>
      <c r="F13" s="30">
        <v>0.98399038574436104</v>
      </c>
    </row>
    <row r="14" spans="1:6" x14ac:dyDescent="0.2">
      <c r="A14" s="27" t="s">
        <v>201</v>
      </c>
      <c r="B14" s="27" t="s">
        <v>200</v>
      </c>
      <c r="C14" s="27" t="s">
        <v>202</v>
      </c>
      <c r="D14" s="31">
        <v>18232</v>
      </c>
      <c r="E14" s="29">
        <v>244.39084399999999</v>
      </c>
      <c r="F14" s="30">
        <v>0.916208803486671</v>
      </c>
    </row>
    <row r="15" spans="1:6" x14ac:dyDescent="0.2">
      <c r="A15" s="27" t="s">
        <v>486</v>
      </c>
      <c r="B15" s="27" t="s">
        <v>485</v>
      </c>
      <c r="C15" s="27" t="s">
        <v>172</v>
      </c>
      <c r="D15" s="31">
        <v>31095</v>
      </c>
      <c r="E15" s="29">
        <v>241.51486499999999</v>
      </c>
      <c r="F15" s="30">
        <v>0.90542690496987199</v>
      </c>
    </row>
    <row r="16" spans="1:6" x14ac:dyDescent="0.2">
      <c r="A16" s="27" t="s">
        <v>588</v>
      </c>
      <c r="B16" s="27" t="s">
        <v>587</v>
      </c>
      <c r="C16" s="27" t="s">
        <v>437</v>
      </c>
      <c r="D16" s="31">
        <v>32972</v>
      </c>
      <c r="E16" s="29">
        <v>210.26244399999999</v>
      </c>
      <c r="F16" s="30">
        <v>0.78826317337577201</v>
      </c>
    </row>
    <row r="17" spans="1:9" x14ac:dyDescent="0.2">
      <c r="A17" s="27" t="s">
        <v>484</v>
      </c>
      <c r="B17" s="27" t="s">
        <v>483</v>
      </c>
      <c r="C17" s="27" t="s">
        <v>381</v>
      </c>
      <c r="D17" s="31">
        <v>27579</v>
      </c>
      <c r="E17" s="29">
        <v>150.92607749999999</v>
      </c>
      <c r="F17" s="30">
        <v>0.56581416315748601</v>
      </c>
    </row>
    <row r="18" spans="1:9" x14ac:dyDescent="0.2">
      <c r="A18" s="27" t="s">
        <v>590</v>
      </c>
      <c r="B18" s="27" t="s">
        <v>589</v>
      </c>
      <c r="C18" s="27" t="s">
        <v>415</v>
      </c>
      <c r="D18" s="31">
        <v>36747</v>
      </c>
      <c r="E18" s="29">
        <v>149.54191650000001</v>
      </c>
      <c r="F18" s="30">
        <v>0.56062501419884903</v>
      </c>
    </row>
    <row r="19" spans="1:9" x14ac:dyDescent="0.2">
      <c r="A19" s="27" t="s">
        <v>474</v>
      </c>
      <c r="B19" s="27" t="s">
        <v>473</v>
      </c>
      <c r="C19" s="27" t="s">
        <v>415</v>
      </c>
      <c r="D19" s="31">
        <v>4528</v>
      </c>
      <c r="E19" s="29">
        <v>144.78280000000001</v>
      </c>
      <c r="F19" s="30">
        <v>0.542783329286469</v>
      </c>
    </row>
    <row r="20" spans="1:9" x14ac:dyDescent="0.2">
      <c r="A20" s="27" t="s">
        <v>275</v>
      </c>
      <c r="B20" s="27" t="s">
        <v>274</v>
      </c>
      <c r="C20" s="27" t="s">
        <v>140</v>
      </c>
      <c r="D20" s="31">
        <v>25284</v>
      </c>
      <c r="E20" s="29">
        <v>131.363022</v>
      </c>
      <c r="F20" s="30">
        <v>0.492473266343044</v>
      </c>
    </row>
    <row r="21" spans="1:9" x14ac:dyDescent="0.2">
      <c r="A21" s="27" t="s">
        <v>330</v>
      </c>
      <c r="B21" s="27" t="s">
        <v>329</v>
      </c>
      <c r="C21" s="27" t="s">
        <v>172</v>
      </c>
      <c r="D21" s="31">
        <v>2435</v>
      </c>
      <c r="E21" s="29">
        <v>119.672945</v>
      </c>
      <c r="F21" s="30">
        <v>0.44864776418619101</v>
      </c>
    </row>
    <row r="22" spans="1:9" x14ac:dyDescent="0.2">
      <c r="A22" s="26" t="s">
        <v>39</v>
      </c>
      <c r="B22" s="26"/>
      <c r="C22" s="26"/>
      <c r="D22" s="32"/>
      <c r="E22" s="33">
        <f>SUM(E7:E21)</f>
        <v>3758.6959404999993</v>
      </c>
      <c r="F22" s="34">
        <f>SUM(F7:F21)</f>
        <v>14.091159283838433</v>
      </c>
      <c r="G22" s="18"/>
      <c r="H22" s="18"/>
      <c r="I22" s="18"/>
    </row>
    <row r="23" spans="1:9" x14ac:dyDescent="0.2">
      <c r="A23" s="27"/>
      <c r="B23" s="27"/>
      <c r="C23" s="27"/>
      <c r="D23" s="28"/>
      <c r="E23" s="29"/>
      <c r="F23" s="30"/>
    </row>
    <row r="24" spans="1:9" x14ac:dyDescent="0.2">
      <c r="A24" s="26" t="s">
        <v>307</v>
      </c>
      <c r="B24" s="27"/>
      <c r="C24" s="27"/>
      <c r="D24" s="28"/>
      <c r="E24" s="29"/>
      <c r="F24" s="30"/>
    </row>
    <row r="25" spans="1:9" x14ac:dyDescent="0.2">
      <c r="A25" s="27" t="s">
        <v>344</v>
      </c>
      <c r="B25" s="27" t="s">
        <v>343</v>
      </c>
      <c r="C25" s="27" t="s">
        <v>324</v>
      </c>
      <c r="D25" s="31">
        <v>159714</v>
      </c>
      <c r="E25" s="29">
        <v>2545.071477</v>
      </c>
      <c r="F25" s="30">
        <v>9.5413430984764105</v>
      </c>
    </row>
    <row r="26" spans="1:9" x14ac:dyDescent="0.2">
      <c r="A26" s="27" t="s">
        <v>348</v>
      </c>
      <c r="B26" s="27" t="s">
        <v>347</v>
      </c>
      <c r="C26" s="27" t="s">
        <v>324</v>
      </c>
      <c r="D26" s="31">
        <v>44987</v>
      </c>
      <c r="E26" s="29">
        <v>2437.165528</v>
      </c>
      <c r="F26" s="30">
        <v>9.1368092018530795</v>
      </c>
    </row>
    <row r="27" spans="1:9" x14ac:dyDescent="0.2">
      <c r="A27" s="27" t="s">
        <v>592</v>
      </c>
      <c r="B27" s="27" t="s">
        <v>591</v>
      </c>
      <c r="C27" s="27" t="s">
        <v>111</v>
      </c>
      <c r="D27" s="31">
        <v>40700</v>
      </c>
      <c r="E27" s="29">
        <v>2419.127446</v>
      </c>
      <c r="F27" s="30">
        <v>9.0691853528744595</v>
      </c>
    </row>
    <row r="28" spans="1:9" x14ac:dyDescent="0.2">
      <c r="A28" s="27" t="s">
        <v>364</v>
      </c>
      <c r="B28" s="27" t="s">
        <v>363</v>
      </c>
      <c r="C28" s="27" t="s">
        <v>172</v>
      </c>
      <c r="D28" s="31">
        <v>97004</v>
      </c>
      <c r="E28" s="29">
        <v>2082.3247160000001</v>
      </c>
      <c r="F28" s="30">
        <v>7.8065291043271801</v>
      </c>
    </row>
    <row r="29" spans="1:9" x14ac:dyDescent="0.2">
      <c r="A29" s="27" t="s">
        <v>594</v>
      </c>
      <c r="B29" s="27" t="s">
        <v>593</v>
      </c>
      <c r="C29" s="27" t="s">
        <v>192</v>
      </c>
      <c r="D29" s="31">
        <v>120524</v>
      </c>
      <c r="E29" s="29">
        <v>1137.2242739999999</v>
      </c>
      <c r="F29" s="30">
        <v>4.2633957734420598</v>
      </c>
    </row>
    <row r="30" spans="1:9" x14ac:dyDescent="0.2">
      <c r="A30" s="27" t="s">
        <v>596</v>
      </c>
      <c r="B30" s="27" t="s">
        <v>595</v>
      </c>
      <c r="C30" s="27" t="s">
        <v>111</v>
      </c>
      <c r="D30" s="31">
        <v>3076</v>
      </c>
      <c r="E30" s="29">
        <v>735.06477419999999</v>
      </c>
      <c r="F30" s="30">
        <v>2.7557203299112998</v>
      </c>
    </row>
    <row r="31" spans="1:9" x14ac:dyDescent="0.2">
      <c r="A31" s="27" t="s">
        <v>598</v>
      </c>
      <c r="B31" s="27" t="s">
        <v>597</v>
      </c>
      <c r="C31" s="27" t="s">
        <v>172</v>
      </c>
      <c r="D31" s="31">
        <v>24800</v>
      </c>
      <c r="E31" s="29">
        <v>705.08948450000003</v>
      </c>
      <c r="F31" s="30">
        <v>2.6433444983920098</v>
      </c>
    </row>
    <row r="32" spans="1:9" x14ac:dyDescent="0.2">
      <c r="A32" s="27" t="s">
        <v>600</v>
      </c>
      <c r="B32" s="27" t="s">
        <v>599</v>
      </c>
      <c r="C32" s="27" t="s">
        <v>192</v>
      </c>
      <c r="D32" s="31">
        <v>82810</v>
      </c>
      <c r="E32" s="29">
        <v>671.15442940000003</v>
      </c>
      <c r="F32" s="30">
        <v>2.5161237084452899</v>
      </c>
    </row>
    <row r="33" spans="1:6" x14ac:dyDescent="0.2">
      <c r="A33" s="27" t="s">
        <v>358</v>
      </c>
      <c r="B33" s="27" t="s">
        <v>357</v>
      </c>
      <c r="C33" s="27" t="s">
        <v>324</v>
      </c>
      <c r="D33" s="31">
        <v>19000</v>
      </c>
      <c r="E33" s="29">
        <v>597.96766209999998</v>
      </c>
      <c r="F33" s="30">
        <v>2.2417502523800099</v>
      </c>
    </row>
    <row r="34" spans="1:6" x14ac:dyDescent="0.2">
      <c r="A34" s="27" t="s">
        <v>602</v>
      </c>
      <c r="B34" s="27" t="s">
        <v>601</v>
      </c>
      <c r="C34" s="27" t="s">
        <v>264</v>
      </c>
      <c r="D34" s="31">
        <v>902</v>
      </c>
      <c r="E34" s="29">
        <v>558.80828320000001</v>
      </c>
      <c r="F34" s="30">
        <v>2.0949437390916001</v>
      </c>
    </row>
    <row r="35" spans="1:6" x14ac:dyDescent="0.2">
      <c r="A35" s="27" t="s">
        <v>604</v>
      </c>
      <c r="B35" s="27" t="s">
        <v>603</v>
      </c>
      <c r="C35" s="27" t="s">
        <v>108</v>
      </c>
      <c r="D35" s="31">
        <v>86000</v>
      </c>
      <c r="E35" s="29">
        <v>514.03870340000003</v>
      </c>
      <c r="F35" s="30">
        <v>1.92710486890398</v>
      </c>
    </row>
    <row r="36" spans="1:6" x14ac:dyDescent="0.2">
      <c r="A36" s="27" t="s">
        <v>606</v>
      </c>
      <c r="B36" s="27" t="s">
        <v>605</v>
      </c>
      <c r="C36" s="27" t="s">
        <v>111</v>
      </c>
      <c r="D36" s="31">
        <v>16700</v>
      </c>
      <c r="E36" s="29">
        <v>476.07278680000002</v>
      </c>
      <c r="F36" s="30">
        <v>1.7847725848788101</v>
      </c>
    </row>
    <row r="37" spans="1:6" x14ac:dyDescent="0.2">
      <c r="A37" s="27" t="s">
        <v>608</v>
      </c>
      <c r="B37" s="27" t="s">
        <v>607</v>
      </c>
      <c r="C37" s="27" t="s">
        <v>240</v>
      </c>
      <c r="D37" s="31">
        <v>57000</v>
      </c>
      <c r="E37" s="29">
        <v>443.20919029999999</v>
      </c>
      <c r="F37" s="30">
        <v>1.66156863854957</v>
      </c>
    </row>
    <row r="38" spans="1:6" x14ac:dyDescent="0.2">
      <c r="A38" s="27" t="s">
        <v>610</v>
      </c>
      <c r="B38" s="27" t="s">
        <v>609</v>
      </c>
      <c r="C38" s="27" t="s">
        <v>140</v>
      </c>
      <c r="D38" s="31">
        <v>1800</v>
      </c>
      <c r="E38" s="29">
        <v>413.8064397</v>
      </c>
      <c r="F38" s="30">
        <v>1.5513392269008901</v>
      </c>
    </row>
    <row r="39" spans="1:6" x14ac:dyDescent="0.2">
      <c r="A39" s="27" t="s">
        <v>612</v>
      </c>
      <c r="B39" s="27" t="s">
        <v>611</v>
      </c>
      <c r="C39" s="27" t="s">
        <v>386</v>
      </c>
      <c r="D39" s="31">
        <v>35600</v>
      </c>
      <c r="E39" s="29">
        <v>409.61287470000002</v>
      </c>
      <c r="F39" s="30">
        <v>1.5356177657033001</v>
      </c>
    </row>
    <row r="40" spans="1:6" x14ac:dyDescent="0.2">
      <c r="A40" s="27" t="s">
        <v>614</v>
      </c>
      <c r="B40" s="27" t="s">
        <v>613</v>
      </c>
      <c r="C40" s="27" t="s">
        <v>172</v>
      </c>
      <c r="D40" s="31">
        <v>29521</v>
      </c>
      <c r="E40" s="29">
        <v>398.81419799999998</v>
      </c>
      <c r="F40" s="30">
        <v>1.4951340777851601</v>
      </c>
    </row>
    <row r="41" spans="1:6" x14ac:dyDescent="0.2">
      <c r="A41" s="27" t="s">
        <v>616</v>
      </c>
      <c r="B41" s="27" t="s">
        <v>615</v>
      </c>
      <c r="C41" s="27" t="s">
        <v>126</v>
      </c>
      <c r="D41" s="31">
        <v>41500</v>
      </c>
      <c r="E41" s="29">
        <v>381.1403742</v>
      </c>
      <c r="F41" s="30">
        <v>1.42887581421113</v>
      </c>
    </row>
    <row r="42" spans="1:6" x14ac:dyDescent="0.2">
      <c r="A42" s="27" t="s">
        <v>618</v>
      </c>
      <c r="B42" s="27" t="s">
        <v>617</v>
      </c>
      <c r="C42" s="27" t="s">
        <v>111</v>
      </c>
      <c r="D42" s="31">
        <v>1900</v>
      </c>
      <c r="E42" s="29">
        <v>361.49336160000001</v>
      </c>
      <c r="F42" s="30">
        <v>1.35522016651291</v>
      </c>
    </row>
    <row r="43" spans="1:6" x14ac:dyDescent="0.2">
      <c r="A43" s="27" t="s">
        <v>620</v>
      </c>
      <c r="B43" s="27" t="s">
        <v>619</v>
      </c>
      <c r="C43" s="27" t="s">
        <v>140</v>
      </c>
      <c r="D43" s="31">
        <v>90000</v>
      </c>
      <c r="E43" s="29">
        <v>357.20056149999999</v>
      </c>
      <c r="F43" s="30">
        <v>1.33912667798914</v>
      </c>
    </row>
    <row r="44" spans="1:6" x14ac:dyDescent="0.2">
      <c r="A44" s="27" t="s">
        <v>622</v>
      </c>
      <c r="B44" s="27" t="s">
        <v>621</v>
      </c>
      <c r="C44" s="27" t="s">
        <v>184</v>
      </c>
      <c r="D44" s="31">
        <v>662300</v>
      </c>
      <c r="E44" s="29">
        <v>354.0904764</v>
      </c>
      <c r="F44" s="30">
        <v>1.32746712764931</v>
      </c>
    </row>
    <row r="45" spans="1:6" x14ac:dyDescent="0.2">
      <c r="A45" s="27" t="s">
        <v>624</v>
      </c>
      <c r="B45" s="27" t="s">
        <v>623</v>
      </c>
      <c r="C45" s="27" t="s">
        <v>108</v>
      </c>
      <c r="D45" s="31">
        <v>211929</v>
      </c>
      <c r="E45" s="29">
        <v>348.0670839</v>
      </c>
      <c r="F45" s="30">
        <v>1.3048857365258499</v>
      </c>
    </row>
    <row r="46" spans="1:6" x14ac:dyDescent="0.2">
      <c r="A46" s="27" t="s">
        <v>626</v>
      </c>
      <c r="B46" s="27" t="s">
        <v>625</v>
      </c>
      <c r="C46" s="27" t="s">
        <v>140</v>
      </c>
      <c r="D46" s="31">
        <v>144400</v>
      </c>
      <c r="E46" s="29">
        <v>338.21664920000001</v>
      </c>
      <c r="F46" s="30">
        <v>1.2679569594792299</v>
      </c>
    </row>
    <row r="47" spans="1:6" x14ac:dyDescent="0.2">
      <c r="A47" s="27" t="s">
        <v>628</v>
      </c>
      <c r="B47" s="27" t="s">
        <v>627</v>
      </c>
      <c r="C47" s="27" t="s">
        <v>381</v>
      </c>
      <c r="D47" s="31">
        <v>92000</v>
      </c>
      <c r="E47" s="29">
        <v>319.93492600000002</v>
      </c>
      <c r="F47" s="30">
        <v>1.19941971207422</v>
      </c>
    </row>
    <row r="48" spans="1:6" x14ac:dyDescent="0.2">
      <c r="A48" s="27" t="s">
        <v>630</v>
      </c>
      <c r="B48" s="27" t="s">
        <v>629</v>
      </c>
      <c r="C48" s="27" t="s">
        <v>140</v>
      </c>
      <c r="D48" s="31">
        <v>6800</v>
      </c>
      <c r="E48" s="29">
        <v>318.16471039999999</v>
      </c>
      <c r="F48" s="30">
        <v>1.1927832641196101</v>
      </c>
    </row>
    <row r="49" spans="1:6" x14ac:dyDescent="0.2">
      <c r="A49" s="27" t="s">
        <v>632</v>
      </c>
      <c r="B49" s="27" t="s">
        <v>631</v>
      </c>
      <c r="C49" s="27" t="s">
        <v>316</v>
      </c>
      <c r="D49" s="31">
        <v>9838</v>
      </c>
      <c r="E49" s="29">
        <v>291.66537579999999</v>
      </c>
      <c r="F49" s="30">
        <v>1.0934386109006899</v>
      </c>
    </row>
    <row r="50" spans="1:6" x14ac:dyDescent="0.2">
      <c r="A50" s="27" t="s">
        <v>634</v>
      </c>
      <c r="B50" s="27" t="s">
        <v>633</v>
      </c>
      <c r="C50" s="27" t="s">
        <v>184</v>
      </c>
      <c r="D50" s="31">
        <v>24212</v>
      </c>
      <c r="E50" s="29">
        <v>266.10620790000002</v>
      </c>
      <c r="F50" s="30">
        <v>0.99761859466565905</v>
      </c>
    </row>
    <row r="51" spans="1:6" x14ac:dyDescent="0.2">
      <c r="A51" s="27" t="s">
        <v>636</v>
      </c>
      <c r="B51" s="27" t="s">
        <v>635</v>
      </c>
      <c r="C51" s="27" t="s">
        <v>192</v>
      </c>
      <c r="D51" s="31">
        <v>17275</v>
      </c>
      <c r="E51" s="29">
        <v>255.08108849999999</v>
      </c>
      <c r="F51" s="30">
        <v>0.95628598462004</v>
      </c>
    </row>
    <row r="52" spans="1:6" x14ac:dyDescent="0.2">
      <c r="A52" s="27" t="s">
        <v>638</v>
      </c>
      <c r="B52" s="27" t="s">
        <v>637</v>
      </c>
      <c r="C52" s="27" t="s">
        <v>184</v>
      </c>
      <c r="D52" s="31">
        <v>306000</v>
      </c>
      <c r="E52" s="29">
        <v>247.2755233</v>
      </c>
      <c r="F52" s="30">
        <v>0.92702331898421497</v>
      </c>
    </row>
    <row r="53" spans="1:6" x14ac:dyDescent="0.2">
      <c r="A53" s="27" t="s">
        <v>640</v>
      </c>
      <c r="B53" s="27" t="s">
        <v>639</v>
      </c>
      <c r="C53" s="27" t="s">
        <v>184</v>
      </c>
      <c r="D53" s="31">
        <v>371100</v>
      </c>
      <c r="E53" s="29">
        <v>244.55554230000001</v>
      </c>
      <c r="F53" s="30">
        <v>0.91682624900921805</v>
      </c>
    </row>
    <row r="54" spans="1:6" x14ac:dyDescent="0.2">
      <c r="A54" s="27" t="s">
        <v>346</v>
      </c>
      <c r="B54" s="27" t="s">
        <v>345</v>
      </c>
      <c r="C54" s="27" t="s">
        <v>111</v>
      </c>
      <c r="D54" s="31">
        <v>9800</v>
      </c>
      <c r="E54" s="29">
        <v>203.42071680000001</v>
      </c>
      <c r="F54" s="30">
        <v>0.76261388721964196</v>
      </c>
    </row>
    <row r="55" spans="1:6" x14ac:dyDescent="0.2">
      <c r="A55" s="27" t="s">
        <v>642</v>
      </c>
      <c r="B55" s="27" t="s">
        <v>641</v>
      </c>
      <c r="C55" s="27" t="s">
        <v>415</v>
      </c>
      <c r="D55" s="31">
        <v>84000</v>
      </c>
      <c r="E55" s="29">
        <v>189.93452930000001</v>
      </c>
      <c r="F55" s="30">
        <v>0.71205485844943195</v>
      </c>
    </row>
    <row r="56" spans="1:6" x14ac:dyDescent="0.2">
      <c r="A56" s="27" t="s">
        <v>644</v>
      </c>
      <c r="B56" s="27" t="s">
        <v>643</v>
      </c>
      <c r="C56" s="27" t="s">
        <v>172</v>
      </c>
      <c r="D56" s="31">
        <v>2265900</v>
      </c>
      <c r="E56" s="29">
        <v>171.98314329999999</v>
      </c>
      <c r="F56" s="30">
        <v>0.64475602835092205</v>
      </c>
    </row>
    <row r="57" spans="1:6" x14ac:dyDescent="0.2">
      <c r="A57" s="27" t="s">
        <v>646</v>
      </c>
      <c r="B57" s="27" t="s">
        <v>645</v>
      </c>
      <c r="C57" s="27" t="s">
        <v>324</v>
      </c>
      <c r="D57" s="31">
        <v>1942</v>
      </c>
      <c r="E57" s="29">
        <v>165.2340624</v>
      </c>
      <c r="F57" s="30">
        <v>0.61945406844597695</v>
      </c>
    </row>
    <row r="58" spans="1:6" x14ac:dyDescent="0.2">
      <c r="A58" s="27" t="s">
        <v>648</v>
      </c>
      <c r="B58" s="27" t="s">
        <v>647</v>
      </c>
      <c r="C58" s="27" t="s">
        <v>649</v>
      </c>
      <c r="D58" s="31">
        <v>217546</v>
      </c>
      <c r="E58" s="29">
        <v>155.25826280000001</v>
      </c>
      <c r="F58" s="30">
        <v>0.58205530478632495</v>
      </c>
    </row>
    <row r="59" spans="1:6" x14ac:dyDescent="0.2">
      <c r="A59" s="27" t="s">
        <v>651</v>
      </c>
      <c r="B59" s="27" t="s">
        <v>650</v>
      </c>
      <c r="C59" s="27" t="s">
        <v>652</v>
      </c>
      <c r="D59" s="31">
        <v>21250</v>
      </c>
      <c r="E59" s="29">
        <v>140.60834439999999</v>
      </c>
      <c r="F59" s="30">
        <v>0.527133508254367</v>
      </c>
    </row>
    <row r="60" spans="1:6" x14ac:dyDescent="0.2">
      <c r="A60" s="27" t="s">
        <v>654</v>
      </c>
      <c r="B60" s="27" t="s">
        <v>653</v>
      </c>
      <c r="C60" s="27" t="s">
        <v>111</v>
      </c>
      <c r="D60" s="31">
        <v>5100</v>
      </c>
      <c r="E60" s="29">
        <v>127.96824599999999</v>
      </c>
      <c r="F60" s="30">
        <v>0.47974642434619202</v>
      </c>
    </row>
    <row r="61" spans="1:6" x14ac:dyDescent="0.2">
      <c r="A61" s="27" t="s">
        <v>656</v>
      </c>
      <c r="B61" s="27" t="s">
        <v>655</v>
      </c>
      <c r="C61" s="27" t="s">
        <v>386</v>
      </c>
      <c r="D61" s="31">
        <v>2900</v>
      </c>
      <c r="E61" s="29">
        <v>125.9774848</v>
      </c>
      <c r="F61" s="30">
        <v>0.47228316219108601</v>
      </c>
    </row>
    <row r="62" spans="1:6" x14ac:dyDescent="0.2">
      <c r="A62" s="27" t="s">
        <v>658</v>
      </c>
      <c r="B62" s="27" t="s">
        <v>657</v>
      </c>
      <c r="C62" s="27" t="s">
        <v>135</v>
      </c>
      <c r="D62" s="31">
        <v>13280</v>
      </c>
      <c r="E62" s="29">
        <v>81.619283300000006</v>
      </c>
      <c r="F62" s="30">
        <v>0.30598652825853301</v>
      </c>
    </row>
    <row r="63" spans="1:6" x14ac:dyDescent="0.2">
      <c r="A63" s="27" t="s">
        <v>660</v>
      </c>
      <c r="B63" s="27" t="s">
        <v>659</v>
      </c>
      <c r="C63" s="27" t="s">
        <v>319</v>
      </c>
      <c r="D63" s="31">
        <v>5700</v>
      </c>
      <c r="E63" s="29">
        <v>64.906204799999998</v>
      </c>
      <c r="F63" s="30">
        <v>0.24333004978970799</v>
      </c>
    </row>
    <row r="64" spans="1:6" x14ac:dyDescent="0.2">
      <c r="A64" s="27" t="s">
        <v>662</v>
      </c>
      <c r="B64" s="27" t="s">
        <v>661</v>
      </c>
      <c r="C64" s="27" t="s">
        <v>415</v>
      </c>
      <c r="D64" s="31">
        <v>118300</v>
      </c>
      <c r="E64" s="29">
        <v>61.069848700000001</v>
      </c>
      <c r="F64" s="30">
        <v>0.22894774653071301</v>
      </c>
    </row>
    <row r="65" spans="1:9" x14ac:dyDescent="0.2">
      <c r="A65" s="27" t="s">
        <v>318</v>
      </c>
      <c r="B65" s="27" t="s">
        <v>317</v>
      </c>
      <c r="C65" s="27" t="s">
        <v>319</v>
      </c>
      <c r="D65" s="31">
        <v>46000</v>
      </c>
      <c r="E65" s="29">
        <v>57.052867499999998</v>
      </c>
      <c r="F65" s="30">
        <v>0.21388828898867701</v>
      </c>
    </row>
    <row r="66" spans="1:9" x14ac:dyDescent="0.2">
      <c r="A66" s="27" t="s">
        <v>664</v>
      </c>
      <c r="B66" s="27" t="s">
        <v>663</v>
      </c>
      <c r="C66" s="27" t="s">
        <v>240</v>
      </c>
      <c r="D66" s="31">
        <v>646</v>
      </c>
      <c r="E66" s="29">
        <v>2.8258437999999999</v>
      </c>
      <c r="F66" s="30">
        <v>1.0593944210275799E-2</v>
      </c>
    </row>
    <row r="67" spans="1:9" x14ac:dyDescent="0.2">
      <c r="A67" s="27" t="s">
        <v>666</v>
      </c>
      <c r="B67" s="27" t="s">
        <v>665</v>
      </c>
      <c r="C67" s="27" t="s">
        <v>649</v>
      </c>
      <c r="D67" s="31">
        <v>8388</v>
      </c>
      <c r="E67" s="29">
        <v>1.9954497</v>
      </c>
      <c r="F67" s="74">
        <v>7.4808391023635798E-3</v>
      </c>
    </row>
    <row r="68" spans="1:9" x14ac:dyDescent="0.2">
      <c r="A68" s="27" t="s">
        <v>668</v>
      </c>
      <c r="B68" s="27" t="s">
        <v>667</v>
      </c>
      <c r="C68" s="27" t="s">
        <v>649</v>
      </c>
      <c r="D68" s="31">
        <v>8195</v>
      </c>
      <c r="E68" s="29">
        <v>0.13061890000000001</v>
      </c>
      <c r="F68" s="30">
        <v>4.8968359093577599E-4</v>
      </c>
    </row>
    <row r="69" spans="1:9" x14ac:dyDescent="0.2">
      <c r="A69" s="26" t="s">
        <v>39</v>
      </c>
      <c r="B69" s="26"/>
      <c r="C69" s="26"/>
      <c r="D69" s="32"/>
      <c r="E69" s="33">
        <f>SUM(E24:E68)</f>
        <v>22177.529054800005</v>
      </c>
      <c r="F69" s="34">
        <f>SUM(F24:F68)</f>
        <v>83.142424761171469</v>
      </c>
      <c r="G69" s="18"/>
      <c r="H69" s="18"/>
      <c r="I69" s="18"/>
    </row>
    <row r="70" spans="1:9" x14ac:dyDescent="0.2">
      <c r="A70" s="27"/>
      <c r="B70" s="27"/>
      <c r="C70" s="27"/>
      <c r="D70" s="28"/>
      <c r="E70" s="29"/>
      <c r="F70" s="30"/>
    </row>
    <row r="71" spans="1:9" x14ac:dyDescent="0.2">
      <c r="A71" s="26" t="s">
        <v>42</v>
      </c>
      <c r="B71" s="26"/>
      <c r="C71" s="26"/>
      <c r="D71" s="32"/>
      <c r="E71" s="33">
        <f>E22+E69</f>
        <v>25936.224995300003</v>
      </c>
      <c r="F71" s="34">
        <f>F22+F69</f>
        <v>97.233584045009906</v>
      </c>
      <c r="G71" s="18"/>
      <c r="H71" s="18"/>
      <c r="I71" s="18"/>
    </row>
    <row r="72" spans="1:9" x14ac:dyDescent="0.2">
      <c r="A72" s="26"/>
      <c r="B72" s="26"/>
      <c r="C72" s="26"/>
      <c r="D72" s="32"/>
      <c r="E72" s="33"/>
      <c r="F72" s="34"/>
      <c r="G72" s="18"/>
      <c r="H72" s="18"/>
      <c r="I72" s="18"/>
    </row>
    <row r="73" spans="1:9" x14ac:dyDescent="0.2">
      <c r="A73" s="26" t="s">
        <v>44</v>
      </c>
      <c r="B73" s="26"/>
      <c r="C73" s="26"/>
      <c r="D73" s="32"/>
      <c r="E73" s="33">
        <f>E75-(E22+E69)</f>
        <v>737.91774049999731</v>
      </c>
      <c r="F73" s="34">
        <f>F75-(F22+F69)</f>
        <v>2.7664159549900944</v>
      </c>
      <c r="G73" s="18"/>
      <c r="H73" s="18"/>
      <c r="I73" s="18"/>
    </row>
    <row r="74" spans="1:9" x14ac:dyDescent="0.2">
      <c r="A74" s="26"/>
      <c r="B74" s="26"/>
      <c r="C74" s="26"/>
      <c r="D74" s="32"/>
      <c r="E74" s="33"/>
      <c r="F74" s="34"/>
      <c r="G74" s="18"/>
      <c r="H74" s="18"/>
      <c r="I74" s="18"/>
    </row>
    <row r="75" spans="1:9" x14ac:dyDescent="0.2">
      <c r="A75" s="35" t="s">
        <v>43</v>
      </c>
      <c r="B75" s="35"/>
      <c r="C75" s="35"/>
      <c r="D75" s="36"/>
      <c r="E75" s="37">
        <v>26674.1427358</v>
      </c>
      <c r="F75" s="38">
        <v>100</v>
      </c>
      <c r="G75" s="18"/>
      <c r="H75" s="18"/>
      <c r="I75" s="18"/>
    </row>
    <row r="76" spans="1:9" x14ac:dyDescent="0.2">
      <c r="F76" s="20" t="s">
        <v>519</v>
      </c>
    </row>
    <row r="78" spans="1:9" x14ac:dyDescent="0.2">
      <c r="A78" s="18" t="s">
        <v>47</v>
      </c>
    </row>
    <row r="79" spans="1:9" x14ac:dyDescent="0.2">
      <c r="A79" s="18" t="s">
        <v>48</v>
      </c>
    </row>
    <row r="80" spans="1:9" x14ac:dyDescent="0.2">
      <c r="A80" s="18" t="s">
        <v>49</v>
      </c>
      <c r="B80" s="18"/>
      <c r="C80" s="41" t="s">
        <v>731</v>
      </c>
      <c r="D80" s="19" t="s">
        <v>50</v>
      </c>
    </row>
    <row r="81" spans="1:4" x14ac:dyDescent="0.2">
      <c r="A81" s="9" t="s">
        <v>79</v>
      </c>
      <c r="C81" s="51">
        <v>27.822199999999999</v>
      </c>
      <c r="D81" s="40">
        <v>32.583500000000001</v>
      </c>
    </row>
    <row r="82" spans="1:4" x14ac:dyDescent="0.2">
      <c r="A82" s="9" t="s">
        <v>85</v>
      </c>
      <c r="C82" s="51">
        <v>15.321400000000001</v>
      </c>
      <c r="D82" s="40">
        <v>17.142199999999999</v>
      </c>
    </row>
    <row r="83" spans="1:4" x14ac:dyDescent="0.2">
      <c r="A83" s="9" t="s">
        <v>82</v>
      </c>
      <c r="C83" s="51">
        <v>29.225200000000001</v>
      </c>
      <c r="D83" s="40">
        <v>34.338799999999999</v>
      </c>
    </row>
    <row r="84" spans="1:4" x14ac:dyDescent="0.2">
      <c r="A84" s="9" t="s">
        <v>86</v>
      </c>
      <c r="C84" s="51">
        <v>16.213000000000001</v>
      </c>
      <c r="D84" s="40">
        <v>18.2437</v>
      </c>
    </row>
    <row r="86" spans="1:4" x14ac:dyDescent="0.2">
      <c r="A86" s="18" t="s">
        <v>53</v>
      </c>
    </row>
    <row r="87" spans="1:4" x14ac:dyDescent="0.2">
      <c r="A87" s="82" t="s">
        <v>76</v>
      </c>
      <c r="B87" s="83"/>
      <c r="C87" s="44" t="s">
        <v>77</v>
      </c>
    </row>
    <row r="88" spans="1:4" x14ac:dyDescent="0.2">
      <c r="A88" s="78" t="s">
        <v>85</v>
      </c>
      <c r="B88" s="79"/>
      <c r="C88" s="45">
        <v>0.75</v>
      </c>
    </row>
    <row r="89" spans="1:4" x14ac:dyDescent="0.2">
      <c r="A89" s="78" t="s">
        <v>86</v>
      </c>
      <c r="B89" s="79"/>
      <c r="C89" s="45">
        <v>0.75</v>
      </c>
    </row>
    <row r="90" spans="1:4" x14ac:dyDescent="0.2">
      <c r="A90" s="9" t="s">
        <v>78</v>
      </c>
    </row>
    <row r="91" spans="1:4" x14ac:dyDescent="0.2">
      <c r="A91" s="9" t="s">
        <v>52</v>
      </c>
    </row>
    <row r="93" spans="1:4" x14ac:dyDescent="0.2">
      <c r="A93" s="18" t="s">
        <v>231</v>
      </c>
      <c r="D93" s="46">
        <v>0.18732737865593282</v>
      </c>
    </row>
    <row r="95" spans="1:4" x14ac:dyDescent="0.2">
      <c r="A95" s="18" t="s">
        <v>742</v>
      </c>
    </row>
    <row r="96" spans="1:4" x14ac:dyDescent="0.2">
      <c r="A96" s="53" t="s">
        <v>57</v>
      </c>
    </row>
    <row r="97" spans="1:1" x14ac:dyDescent="0.2">
      <c r="A97" s="18"/>
    </row>
    <row r="98" spans="1:1" ht="14.4" x14ac:dyDescent="0.3">
      <c r="A98" s="43"/>
    </row>
  </sheetData>
  <mergeCells count="4">
    <mergeCell ref="A1:F1"/>
    <mergeCell ref="A87:B87"/>
    <mergeCell ref="A88:B88"/>
    <mergeCell ref="A89:B89"/>
  </mergeCells>
  <conditionalFormatting sqref="F2:F3 F5:F66 F68:F65536">
    <cfRule type="cellIs" dxfId="13" priority="1" stopIfTrue="1" operator="between">
      <formula>0.009</formula>
      <formula>-0.009</formula>
    </cfRule>
  </conditionalFormatting>
  <hyperlinks>
    <hyperlink ref="A96" r:id="rId1" xr:uid="{00000000-0004-0000-2D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4"/>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25</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670</v>
      </c>
      <c r="B7" s="27" t="s">
        <v>669</v>
      </c>
      <c r="C7" s="27" t="s">
        <v>143</v>
      </c>
      <c r="D7" s="31">
        <v>199567</v>
      </c>
      <c r="E7" s="29">
        <v>3980.3638150000002</v>
      </c>
      <c r="F7" s="30">
        <v>10.173739447454601</v>
      </c>
    </row>
    <row r="8" spans="1:6" x14ac:dyDescent="0.2">
      <c r="A8" s="27" t="s">
        <v>107</v>
      </c>
      <c r="B8" s="27" t="s">
        <v>106</v>
      </c>
      <c r="C8" s="27" t="s">
        <v>108</v>
      </c>
      <c r="D8" s="31">
        <v>268691</v>
      </c>
      <c r="E8" s="29">
        <v>3794.7229929999999</v>
      </c>
      <c r="F8" s="30">
        <v>9.6992447927896297</v>
      </c>
    </row>
    <row r="9" spans="1:6" x14ac:dyDescent="0.2">
      <c r="A9" s="27" t="s">
        <v>110</v>
      </c>
      <c r="B9" s="27" t="s">
        <v>109</v>
      </c>
      <c r="C9" s="27" t="s">
        <v>111</v>
      </c>
      <c r="D9" s="31">
        <v>228126</v>
      </c>
      <c r="E9" s="29">
        <v>3089.6244809999998</v>
      </c>
      <c r="F9" s="30">
        <v>7.8970254783534299</v>
      </c>
    </row>
    <row r="10" spans="1:6" x14ac:dyDescent="0.2">
      <c r="A10" s="27" t="s">
        <v>191</v>
      </c>
      <c r="B10" s="27" t="s">
        <v>190</v>
      </c>
      <c r="C10" s="27" t="s">
        <v>192</v>
      </c>
      <c r="D10" s="31">
        <v>111171</v>
      </c>
      <c r="E10" s="29">
        <v>2690.4493710000002</v>
      </c>
      <c r="F10" s="30">
        <v>6.8767409637206898</v>
      </c>
    </row>
    <row r="11" spans="1:6" x14ac:dyDescent="0.2">
      <c r="A11" s="27" t="s">
        <v>115</v>
      </c>
      <c r="B11" s="27" t="s">
        <v>114</v>
      </c>
      <c r="C11" s="27" t="s">
        <v>108</v>
      </c>
      <c r="D11" s="31">
        <v>426099</v>
      </c>
      <c r="E11" s="29">
        <v>2558.7244949999999</v>
      </c>
      <c r="F11" s="30">
        <v>6.5400545125671599</v>
      </c>
    </row>
    <row r="12" spans="1:6" x14ac:dyDescent="0.2">
      <c r="A12" s="27" t="s">
        <v>145</v>
      </c>
      <c r="B12" s="27" t="s">
        <v>144</v>
      </c>
      <c r="C12" s="27" t="s">
        <v>111</v>
      </c>
      <c r="D12" s="31">
        <v>63891</v>
      </c>
      <c r="E12" s="29">
        <v>1939.5071419999999</v>
      </c>
      <c r="F12" s="30">
        <v>4.9573459201958103</v>
      </c>
    </row>
    <row r="13" spans="1:6" x14ac:dyDescent="0.2">
      <c r="A13" s="27" t="s">
        <v>123</v>
      </c>
      <c r="B13" s="27" t="s">
        <v>122</v>
      </c>
      <c r="C13" s="27" t="s">
        <v>108</v>
      </c>
      <c r="D13" s="31">
        <v>90908</v>
      </c>
      <c r="E13" s="29">
        <v>1589.7991039999999</v>
      </c>
      <c r="F13" s="30">
        <v>4.0634983658881296</v>
      </c>
    </row>
    <row r="14" spans="1:6" x14ac:dyDescent="0.2">
      <c r="A14" s="27" t="s">
        <v>149</v>
      </c>
      <c r="B14" s="27" t="s">
        <v>148</v>
      </c>
      <c r="C14" s="27" t="s">
        <v>140</v>
      </c>
      <c r="D14" s="31">
        <v>55027</v>
      </c>
      <c r="E14" s="29">
        <v>1295.1980129999999</v>
      </c>
      <c r="F14" s="30">
        <v>3.31050319256379</v>
      </c>
    </row>
    <row r="15" spans="1:6" x14ac:dyDescent="0.2">
      <c r="A15" s="27" t="s">
        <v>252</v>
      </c>
      <c r="B15" s="27" t="s">
        <v>251</v>
      </c>
      <c r="C15" s="27" t="s">
        <v>140</v>
      </c>
      <c r="D15" s="31">
        <v>534697</v>
      </c>
      <c r="E15" s="29">
        <v>1083.296122</v>
      </c>
      <c r="F15" s="30">
        <v>2.7688857104299598</v>
      </c>
    </row>
    <row r="16" spans="1:6" x14ac:dyDescent="0.2">
      <c r="A16" s="27" t="s">
        <v>113</v>
      </c>
      <c r="B16" s="27" t="s">
        <v>112</v>
      </c>
      <c r="C16" s="27" t="s">
        <v>108</v>
      </c>
      <c r="D16" s="31">
        <v>151079</v>
      </c>
      <c r="E16" s="29">
        <v>1080.0637710000001</v>
      </c>
      <c r="F16" s="30">
        <v>2.7606238784957</v>
      </c>
    </row>
    <row r="17" spans="1:6" x14ac:dyDescent="0.2">
      <c r="A17" s="27" t="s">
        <v>201</v>
      </c>
      <c r="B17" s="27" t="s">
        <v>200</v>
      </c>
      <c r="C17" s="27" t="s">
        <v>202</v>
      </c>
      <c r="D17" s="31">
        <v>74721</v>
      </c>
      <c r="E17" s="29">
        <v>1001.5976450000001</v>
      </c>
      <c r="F17" s="30">
        <v>2.56006584951183</v>
      </c>
    </row>
    <row r="18" spans="1:6" x14ac:dyDescent="0.2">
      <c r="A18" s="27" t="s">
        <v>672</v>
      </c>
      <c r="B18" s="27" t="s">
        <v>671</v>
      </c>
      <c r="C18" s="27" t="s">
        <v>192</v>
      </c>
      <c r="D18" s="31">
        <v>16372</v>
      </c>
      <c r="E18" s="29">
        <v>892.58506799999998</v>
      </c>
      <c r="F18" s="30">
        <v>2.28143163253044</v>
      </c>
    </row>
    <row r="19" spans="1:6" x14ac:dyDescent="0.2">
      <c r="A19" s="27" t="s">
        <v>147</v>
      </c>
      <c r="B19" s="27" t="s">
        <v>146</v>
      </c>
      <c r="C19" s="27" t="s">
        <v>108</v>
      </c>
      <c r="D19" s="31">
        <v>223694</v>
      </c>
      <c r="E19" s="29">
        <v>790.75828999999999</v>
      </c>
      <c r="F19" s="30">
        <v>2.0211641905840998</v>
      </c>
    </row>
    <row r="20" spans="1:6" x14ac:dyDescent="0.2">
      <c r="A20" s="27" t="s">
        <v>117</v>
      </c>
      <c r="B20" s="27" t="s">
        <v>116</v>
      </c>
      <c r="C20" s="27" t="s">
        <v>118</v>
      </c>
      <c r="D20" s="31">
        <v>143659</v>
      </c>
      <c r="E20" s="29">
        <v>771.08968249999998</v>
      </c>
      <c r="F20" s="30">
        <v>1.9708915780040299</v>
      </c>
    </row>
    <row r="21" spans="1:6" x14ac:dyDescent="0.2">
      <c r="A21" s="27" t="s">
        <v>521</v>
      </c>
      <c r="B21" s="27" t="s">
        <v>520</v>
      </c>
      <c r="C21" s="27" t="s">
        <v>140</v>
      </c>
      <c r="D21" s="31">
        <v>27774</v>
      </c>
      <c r="E21" s="29">
        <v>704.45973600000002</v>
      </c>
      <c r="F21" s="30">
        <v>1.80058661428833</v>
      </c>
    </row>
    <row r="22" spans="1:6" x14ac:dyDescent="0.2">
      <c r="A22" s="27" t="s">
        <v>261</v>
      </c>
      <c r="B22" s="27" t="s">
        <v>260</v>
      </c>
      <c r="C22" s="27" t="s">
        <v>111</v>
      </c>
      <c r="D22" s="31">
        <v>67654</v>
      </c>
      <c r="E22" s="29">
        <v>608.17563299999995</v>
      </c>
      <c r="F22" s="30">
        <v>1.55448615152099</v>
      </c>
    </row>
    <row r="23" spans="1:6" x14ac:dyDescent="0.2">
      <c r="A23" s="27" t="s">
        <v>197</v>
      </c>
      <c r="B23" s="27" t="s">
        <v>196</v>
      </c>
      <c r="C23" s="27" t="s">
        <v>157</v>
      </c>
      <c r="D23" s="31">
        <v>8243</v>
      </c>
      <c r="E23" s="29">
        <v>532.13922950000006</v>
      </c>
      <c r="F23" s="30">
        <v>1.36013845023416</v>
      </c>
    </row>
    <row r="24" spans="1:6" x14ac:dyDescent="0.2">
      <c r="A24" s="27" t="s">
        <v>674</v>
      </c>
      <c r="B24" s="27" t="s">
        <v>673</v>
      </c>
      <c r="C24" s="27" t="s">
        <v>468</v>
      </c>
      <c r="D24" s="31">
        <v>46210</v>
      </c>
      <c r="E24" s="29">
        <v>477.81139999999999</v>
      </c>
      <c r="F24" s="30">
        <v>1.22127747978824</v>
      </c>
    </row>
    <row r="25" spans="1:6" x14ac:dyDescent="0.2">
      <c r="A25" s="27" t="s">
        <v>156</v>
      </c>
      <c r="B25" s="27" t="s">
        <v>155</v>
      </c>
      <c r="C25" s="27" t="s">
        <v>157</v>
      </c>
      <c r="D25" s="31">
        <v>58902</v>
      </c>
      <c r="E25" s="29">
        <v>443.26700099999999</v>
      </c>
      <c r="F25" s="30">
        <v>1.1329826074777001</v>
      </c>
    </row>
    <row r="26" spans="1:6" x14ac:dyDescent="0.2">
      <c r="A26" s="27" t="s">
        <v>546</v>
      </c>
      <c r="B26" s="27" t="s">
        <v>545</v>
      </c>
      <c r="C26" s="27" t="s">
        <v>184</v>
      </c>
      <c r="D26" s="31">
        <v>6984</v>
      </c>
      <c r="E26" s="29">
        <v>438.52186799999998</v>
      </c>
      <c r="F26" s="30">
        <v>1.12085413153196</v>
      </c>
    </row>
    <row r="27" spans="1:6" x14ac:dyDescent="0.2">
      <c r="A27" s="27" t="s">
        <v>554</v>
      </c>
      <c r="B27" s="27" t="s">
        <v>553</v>
      </c>
      <c r="C27" s="27" t="s">
        <v>135</v>
      </c>
      <c r="D27" s="31">
        <v>66051</v>
      </c>
      <c r="E27" s="29">
        <v>432.27076949999997</v>
      </c>
      <c r="F27" s="30">
        <v>1.1048764344280699</v>
      </c>
    </row>
    <row r="28" spans="1:6" x14ac:dyDescent="0.2">
      <c r="A28" s="27" t="s">
        <v>676</v>
      </c>
      <c r="B28" s="27" t="s">
        <v>675</v>
      </c>
      <c r="C28" s="27" t="s">
        <v>111</v>
      </c>
      <c r="D28" s="31">
        <v>87723</v>
      </c>
      <c r="E28" s="29">
        <v>432.25508250000001</v>
      </c>
      <c r="F28" s="30">
        <v>1.1048363387337701</v>
      </c>
    </row>
    <row r="29" spans="1:6" x14ac:dyDescent="0.2">
      <c r="A29" s="27" t="s">
        <v>678</v>
      </c>
      <c r="B29" s="27" t="s">
        <v>677</v>
      </c>
      <c r="C29" s="27" t="s">
        <v>468</v>
      </c>
      <c r="D29" s="31">
        <v>58927</v>
      </c>
      <c r="E29" s="29">
        <v>423.00746950000001</v>
      </c>
      <c r="F29" s="30">
        <v>1.0811996036146501</v>
      </c>
    </row>
    <row r="30" spans="1:6" x14ac:dyDescent="0.2">
      <c r="A30" s="27" t="s">
        <v>680</v>
      </c>
      <c r="B30" s="27" t="s">
        <v>679</v>
      </c>
      <c r="C30" s="27" t="s">
        <v>557</v>
      </c>
      <c r="D30" s="31">
        <v>3706</v>
      </c>
      <c r="E30" s="29">
        <v>409.20354900000001</v>
      </c>
      <c r="F30" s="30">
        <v>1.04591702718504</v>
      </c>
    </row>
    <row r="31" spans="1:6" x14ac:dyDescent="0.2">
      <c r="A31" s="27" t="s">
        <v>237</v>
      </c>
      <c r="B31" s="27" t="s">
        <v>236</v>
      </c>
      <c r="C31" s="27" t="s">
        <v>126</v>
      </c>
      <c r="D31" s="31">
        <v>25701</v>
      </c>
      <c r="E31" s="29">
        <v>383.3689665</v>
      </c>
      <c r="F31" s="30">
        <v>0.97988429166014401</v>
      </c>
    </row>
    <row r="32" spans="1:6" x14ac:dyDescent="0.2">
      <c r="A32" s="27" t="s">
        <v>134</v>
      </c>
      <c r="B32" s="27" t="s">
        <v>133</v>
      </c>
      <c r="C32" s="27" t="s">
        <v>135</v>
      </c>
      <c r="D32" s="31">
        <v>7297</v>
      </c>
      <c r="E32" s="29">
        <v>376.75140699999997</v>
      </c>
      <c r="F32" s="30">
        <v>0.96296992672764403</v>
      </c>
    </row>
    <row r="33" spans="1:6" x14ac:dyDescent="0.2">
      <c r="A33" s="27" t="s">
        <v>206</v>
      </c>
      <c r="B33" s="27" t="s">
        <v>205</v>
      </c>
      <c r="C33" s="27" t="s">
        <v>111</v>
      </c>
      <c r="D33" s="31">
        <v>37572</v>
      </c>
      <c r="E33" s="29">
        <v>360.84148800000003</v>
      </c>
      <c r="F33" s="30">
        <v>0.92230445541416095</v>
      </c>
    </row>
    <row r="34" spans="1:6" x14ac:dyDescent="0.2">
      <c r="A34" s="27" t="s">
        <v>223</v>
      </c>
      <c r="B34" s="27" t="s">
        <v>222</v>
      </c>
      <c r="C34" s="27" t="s">
        <v>140</v>
      </c>
      <c r="D34" s="31">
        <v>2189</v>
      </c>
      <c r="E34" s="29">
        <v>357.00948249999999</v>
      </c>
      <c r="F34" s="30">
        <v>0.91250991719348495</v>
      </c>
    </row>
    <row r="35" spans="1:6" x14ac:dyDescent="0.2">
      <c r="A35" s="27" t="s">
        <v>151</v>
      </c>
      <c r="B35" s="27" t="s">
        <v>150</v>
      </c>
      <c r="C35" s="27" t="s">
        <v>152</v>
      </c>
      <c r="D35" s="31">
        <v>156065</v>
      </c>
      <c r="E35" s="29">
        <v>343.42103250000002</v>
      </c>
      <c r="F35" s="30">
        <v>0.87777807954744203</v>
      </c>
    </row>
    <row r="36" spans="1:6" x14ac:dyDescent="0.2">
      <c r="A36" s="27" t="s">
        <v>682</v>
      </c>
      <c r="B36" s="27" t="s">
        <v>681</v>
      </c>
      <c r="C36" s="27" t="s">
        <v>316</v>
      </c>
      <c r="D36" s="31">
        <v>45543</v>
      </c>
      <c r="E36" s="29">
        <v>332.4866715</v>
      </c>
      <c r="F36" s="30">
        <v>0.84983004640052495</v>
      </c>
    </row>
    <row r="37" spans="1:6" x14ac:dyDescent="0.2">
      <c r="A37" s="27" t="s">
        <v>183</v>
      </c>
      <c r="B37" s="27" t="s">
        <v>182</v>
      </c>
      <c r="C37" s="27" t="s">
        <v>184</v>
      </c>
      <c r="D37" s="31">
        <v>23263</v>
      </c>
      <c r="E37" s="29">
        <v>326.08910250000002</v>
      </c>
      <c r="F37" s="30">
        <v>0.83347797329157203</v>
      </c>
    </row>
    <row r="38" spans="1:6" x14ac:dyDescent="0.2">
      <c r="A38" s="27" t="s">
        <v>572</v>
      </c>
      <c r="B38" s="27" t="s">
        <v>571</v>
      </c>
      <c r="C38" s="27" t="s">
        <v>108</v>
      </c>
      <c r="D38" s="31">
        <v>34804</v>
      </c>
      <c r="E38" s="29">
        <v>325.39999799999998</v>
      </c>
      <c r="F38" s="30">
        <v>0.83171663438866805</v>
      </c>
    </row>
    <row r="39" spans="1:6" x14ac:dyDescent="0.2">
      <c r="A39" s="27" t="s">
        <v>169</v>
      </c>
      <c r="B39" s="27" t="s">
        <v>168</v>
      </c>
      <c r="C39" s="27" t="s">
        <v>157</v>
      </c>
      <c r="D39" s="31">
        <v>108853</v>
      </c>
      <c r="E39" s="29">
        <v>319.86454049999998</v>
      </c>
      <c r="F39" s="30">
        <v>0.81756810301190597</v>
      </c>
    </row>
    <row r="40" spans="1:6" x14ac:dyDescent="0.2">
      <c r="A40" s="27" t="s">
        <v>684</v>
      </c>
      <c r="B40" s="27" t="s">
        <v>683</v>
      </c>
      <c r="C40" s="27" t="s">
        <v>557</v>
      </c>
      <c r="D40" s="31">
        <v>47558</v>
      </c>
      <c r="E40" s="29">
        <v>316.30825800000002</v>
      </c>
      <c r="F40" s="30">
        <v>0.808478307898154</v>
      </c>
    </row>
    <row r="41" spans="1:6" x14ac:dyDescent="0.2">
      <c r="A41" s="27" t="s">
        <v>686</v>
      </c>
      <c r="B41" s="27" t="s">
        <v>685</v>
      </c>
      <c r="C41" s="27" t="s">
        <v>135</v>
      </c>
      <c r="D41" s="31">
        <v>7753</v>
      </c>
      <c r="E41" s="29">
        <v>314.95399550000002</v>
      </c>
      <c r="F41" s="30">
        <v>0.80501683692242598</v>
      </c>
    </row>
    <row r="42" spans="1:6" x14ac:dyDescent="0.2">
      <c r="A42" s="27" t="s">
        <v>128</v>
      </c>
      <c r="B42" s="27" t="s">
        <v>127</v>
      </c>
      <c r="C42" s="27" t="s">
        <v>129</v>
      </c>
      <c r="D42" s="31">
        <v>85899</v>
      </c>
      <c r="E42" s="29">
        <v>313.01595600000002</v>
      </c>
      <c r="F42" s="30">
        <v>0.800063242269201</v>
      </c>
    </row>
    <row r="43" spans="1:6" x14ac:dyDescent="0.2">
      <c r="A43" s="27" t="s">
        <v>159</v>
      </c>
      <c r="B43" s="27" t="s">
        <v>158</v>
      </c>
      <c r="C43" s="27" t="s">
        <v>157</v>
      </c>
      <c r="D43" s="31">
        <v>8023</v>
      </c>
      <c r="E43" s="29">
        <v>307.58176250000002</v>
      </c>
      <c r="F43" s="30">
        <v>0.78617353988377903</v>
      </c>
    </row>
    <row r="44" spans="1:6" x14ac:dyDescent="0.2">
      <c r="A44" s="27" t="s">
        <v>154</v>
      </c>
      <c r="B44" s="27" t="s">
        <v>153</v>
      </c>
      <c r="C44" s="27" t="s">
        <v>152</v>
      </c>
      <c r="D44" s="31">
        <v>284678</v>
      </c>
      <c r="E44" s="29">
        <v>291.65261099999998</v>
      </c>
      <c r="F44" s="30">
        <v>0.74545891064076597</v>
      </c>
    </row>
    <row r="45" spans="1:6" x14ac:dyDescent="0.2">
      <c r="A45" s="27" t="s">
        <v>534</v>
      </c>
      <c r="B45" s="27" t="s">
        <v>533</v>
      </c>
      <c r="C45" s="27" t="s">
        <v>135</v>
      </c>
      <c r="D45" s="31">
        <v>30814</v>
      </c>
      <c r="E45" s="29">
        <v>280.51524899999998</v>
      </c>
      <c r="F45" s="30">
        <v>0.71699201053154105</v>
      </c>
    </row>
    <row r="46" spans="1:6" x14ac:dyDescent="0.2">
      <c r="A46" s="27" t="s">
        <v>688</v>
      </c>
      <c r="B46" s="27" t="s">
        <v>687</v>
      </c>
      <c r="C46" s="27" t="s">
        <v>140</v>
      </c>
      <c r="D46" s="31">
        <v>7175</v>
      </c>
      <c r="E46" s="29">
        <v>247.46575000000001</v>
      </c>
      <c r="F46" s="30">
        <v>0.63251807615704903</v>
      </c>
    </row>
    <row r="47" spans="1:6" x14ac:dyDescent="0.2">
      <c r="A47" s="27" t="s">
        <v>256</v>
      </c>
      <c r="B47" s="27" t="s">
        <v>255</v>
      </c>
      <c r="C47" s="27" t="s">
        <v>257</v>
      </c>
      <c r="D47" s="31">
        <v>210784</v>
      </c>
      <c r="E47" s="29">
        <v>227.962896</v>
      </c>
      <c r="F47" s="30">
        <v>0.58266912658866699</v>
      </c>
    </row>
    <row r="48" spans="1:6" x14ac:dyDescent="0.2">
      <c r="A48" s="27" t="s">
        <v>690</v>
      </c>
      <c r="B48" s="27" t="s">
        <v>689</v>
      </c>
      <c r="C48" s="27" t="s">
        <v>184</v>
      </c>
      <c r="D48" s="31">
        <v>781</v>
      </c>
      <c r="E48" s="29">
        <v>217.98100500000001</v>
      </c>
      <c r="F48" s="30">
        <v>0.55715558990033998</v>
      </c>
    </row>
    <row r="49" spans="1:9" x14ac:dyDescent="0.2">
      <c r="A49" s="27" t="s">
        <v>576</v>
      </c>
      <c r="B49" s="27" t="s">
        <v>575</v>
      </c>
      <c r="C49" s="27" t="s">
        <v>557</v>
      </c>
      <c r="D49" s="31">
        <v>23408</v>
      </c>
      <c r="E49" s="29">
        <v>217.390096</v>
      </c>
      <c r="F49" s="30">
        <v>0.555645236957099</v>
      </c>
    </row>
    <row r="50" spans="1:9" x14ac:dyDescent="0.2">
      <c r="A50" s="27" t="s">
        <v>692</v>
      </c>
      <c r="B50" s="27" t="s">
        <v>691</v>
      </c>
      <c r="C50" s="27" t="s">
        <v>157</v>
      </c>
      <c r="D50" s="31">
        <v>7692</v>
      </c>
      <c r="E50" s="29">
        <v>216.849018</v>
      </c>
      <c r="F50" s="30">
        <v>0.554262251167708</v>
      </c>
    </row>
    <row r="51" spans="1:9" x14ac:dyDescent="0.2">
      <c r="A51" s="27" t="s">
        <v>282</v>
      </c>
      <c r="B51" s="27" t="s">
        <v>281</v>
      </c>
      <c r="C51" s="27" t="s">
        <v>140</v>
      </c>
      <c r="D51" s="31">
        <v>30644</v>
      </c>
      <c r="E51" s="29">
        <v>205.16157999999999</v>
      </c>
      <c r="F51" s="30">
        <v>0.52438936654038204</v>
      </c>
    </row>
    <row r="52" spans="1:9" x14ac:dyDescent="0.2">
      <c r="A52" s="27" t="s">
        <v>694</v>
      </c>
      <c r="B52" s="27" t="s">
        <v>693</v>
      </c>
      <c r="C52" s="27" t="s">
        <v>157</v>
      </c>
      <c r="D52" s="31">
        <v>8296</v>
      </c>
      <c r="E52" s="29">
        <v>200.90008399999999</v>
      </c>
      <c r="F52" s="30">
        <v>0.51349705820490099</v>
      </c>
    </row>
    <row r="53" spans="1:9" x14ac:dyDescent="0.2">
      <c r="A53" s="27" t="s">
        <v>163</v>
      </c>
      <c r="B53" s="27" t="s">
        <v>162</v>
      </c>
      <c r="C53" s="27" t="s">
        <v>143</v>
      </c>
      <c r="D53" s="31">
        <v>47078</v>
      </c>
      <c r="E53" s="29">
        <v>198.57500400000001</v>
      </c>
      <c r="F53" s="30">
        <v>0.507554194885386</v>
      </c>
    </row>
    <row r="54" spans="1:9" x14ac:dyDescent="0.2">
      <c r="A54" s="27" t="s">
        <v>696</v>
      </c>
      <c r="B54" s="27" t="s">
        <v>695</v>
      </c>
      <c r="C54" s="27" t="s">
        <v>500</v>
      </c>
      <c r="D54" s="31">
        <v>32142</v>
      </c>
      <c r="E54" s="29">
        <v>195.06979799999999</v>
      </c>
      <c r="F54" s="30">
        <v>0.49859495040143598</v>
      </c>
    </row>
    <row r="55" spans="1:9" x14ac:dyDescent="0.2">
      <c r="A55" s="27" t="s">
        <v>186</v>
      </c>
      <c r="B55" s="27" t="s">
        <v>185</v>
      </c>
      <c r="C55" s="27" t="s">
        <v>187</v>
      </c>
      <c r="D55" s="31">
        <v>123394</v>
      </c>
      <c r="E55" s="29">
        <v>164.17571699999999</v>
      </c>
      <c r="F55" s="30">
        <v>0.41963022627795599</v>
      </c>
    </row>
    <row r="56" spans="1:9" x14ac:dyDescent="0.2">
      <c r="A56" s="27" t="s">
        <v>219</v>
      </c>
      <c r="B56" s="27" t="s">
        <v>218</v>
      </c>
      <c r="C56" s="27" t="s">
        <v>143</v>
      </c>
      <c r="D56" s="31">
        <v>146180</v>
      </c>
      <c r="E56" s="29">
        <v>132.80453</v>
      </c>
      <c r="F56" s="30">
        <v>0.33944602766460003</v>
      </c>
    </row>
    <row r="57" spans="1:9" x14ac:dyDescent="0.2">
      <c r="A57" s="27" t="s">
        <v>698</v>
      </c>
      <c r="B57" s="27" t="s">
        <v>697</v>
      </c>
      <c r="C57" s="27" t="s">
        <v>108</v>
      </c>
      <c r="D57" s="31">
        <v>92088</v>
      </c>
      <c r="E57" s="29">
        <v>9.2088000000000003E-5</v>
      </c>
      <c r="F57" s="30">
        <v>2.3537529778221999E-7</v>
      </c>
    </row>
    <row r="58" spans="1:9" x14ac:dyDescent="0.2">
      <c r="A58" s="26" t="s">
        <v>39</v>
      </c>
      <c r="B58" s="26"/>
      <c r="C58" s="26"/>
      <c r="D58" s="32"/>
      <c r="E58" s="33">
        <f>SUM(E7:E57)</f>
        <v>38632.487821588002</v>
      </c>
      <c r="F58" s="34">
        <f>SUM(F7:F57)</f>
        <v>98.743954967794465</v>
      </c>
      <c r="G58" s="18"/>
      <c r="H58" s="18"/>
      <c r="I58" s="18"/>
    </row>
    <row r="59" spans="1:9" x14ac:dyDescent="0.2">
      <c r="A59" s="27"/>
      <c r="B59" s="27"/>
      <c r="C59" s="27"/>
      <c r="D59" s="28"/>
      <c r="E59" s="29"/>
      <c r="F59" s="30"/>
    </row>
    <row r="60" spans="1:9" x14ac:dyDescent="0.2">
      <c r="A60" s="26" t="s">
        <v>42</v>
      </c>
      <c r="B60" s="26"/>
      <c r="C60" s="26"/>
      <c r="D60" s="32"/>
      <c r="E60" s="33">
        <f>E58</f>
        <v>38632.487821588002</v>
      </c>
      <c r="F60" s="34">
        <f>F58</f>
        <v>98.743954967794465</v>
      </c>
      <c r="G60" s="18"/>
      <c r="H60" s="18"/>
      <c r="I60" s="18"/>
    </row>
    <row r="61" spans="1:9" x14ac:dyDescent="0.2">
      <c r="A61" s="26"/>
      <c r="B61" s="26"/>
      <c r="C61" s="26"/>
      <c r="D61" s="32"/>
      <c r="E61" s="33"/>
      <c r="F61" s="34"/>
      <c r="G61" s="18"/>
      <c r="H61" s="18"/>
      <c r="I61" s="18"/>
    </row>
    <row r="62" spans="1:9" x14ac:dyDescent="0.2">
      <c r="A62" s="26" t="s">
        <v>44</v>
      </c>
      <c r="B62" s="26"/>
      <c r="C62" s="26"/>
      <c r="D62" s="32"/>
      <c r="E62" s="33">
        <f>E64-(E58)</f>
        <v>491.41382301200065</v>
      </c>
      <c r="F62" s="34">
        <f>F64-(F58)</f>
        <v>1.2560450322055345</v>
      </c>
      <c r="G62" s="18"/>
      <c r="H62" s="18"/>
      <c r="I62" s="18"/>
    </row>
    <row r="63" spans="1:9" x14ac:dyDescent="0.2">
      <c r="A63" s="26"/>
      <c r="B63" s="26"/>
      <c r="C63" s="26"/>
      <c r="D63" s="32"/>
      <c r="E63" s="33"/>
      <c r="F63" s="34"/>
      <c r="G63" s="18"/>
      <c r="H63" s="18"/>
      <c r="I63" s="18"/>
    </row>
    <row r="64" spans="1:9" x14ac:dyDescent="0.2">
      <c r="A64" s="35" t="s">
        <v>43</v>
      </c>
      <c r="B64" s="35"/>
      <c r="C64" s="35"/>
      <c r="D64" s="36"/>
      <c r="E64" s="37">
        <v>39123.901644600002</v>
      </c>
      <c r="F64" s="38">
        <v>100</v>
      </c>
      <c r="G64" s="18"/>
      <c r="H64" s="18"/>
      <c r="I64" s="18"/>
    </row>
    <row r="65" spans="1:6" x14ac:dyDescent="0.2">
      <c r="F65" s="20" t="s">
        <v>519</v>
      </c>
    </row>
    <row r="67" spans="1:6" x14ac:dyDescent="0.2">
      <c r="A67" s="18" t="s">
        <v>47</v>
      </c>
    </row>
    <row r="68" spans="1:6" x14ac:dyDescent="0.2">
      <c r="A68" s="18" t="s">
        <v>48</v>
      </c>
    </row>
    <row r="69" spans="1:6" x14ac:dyDescent="0.2">
      <c r="A69" s="18" t="s">
        <v>49</v>
      </c>
      <c r="B69" s="18"/>
      <c r="C69" s="41" t="s">
        <v>731</v>
      </c>
      <c r="D69" s="19" t="s">
        <v>50</v>
      </c>
    </row>
    <row r="70" spans="1:6" x14ac:dyDescent="0.2">
      <c r="A70" s="9" t="s">
        <v>79</v>
      </c>
      <c r="C70" s="51">
        <v>92.121499999999997</v>
      </c>
      <c r="D70" s="40">
        <v>115.3968</v>
      </c>
    </row>
    <row r="71" spans="1:6" x14ac:dyDescent="0.2">
      <c r="A71" s="9" t="s">
        <v>85</v>
      </c>
      <c r="C71" s="51">
        <v>92.121499999999997</v>
      </c>
      <c r="D71" s="40">
        <v>115.3968</v>
      </c>
    </row>
    <row r="72" spans="1:6" x14ac:dyDescent="0.2">
      <c r="A72" s="9" t="s">
        <v>82</v>
      </c>
      <c r="C72" s="51">
        <v>95.024299999999997</v>
      </c>
      <c r="D72" s="40">
        <v>119.2773</v>
      </c>
    </row>
    <row r="73" spans="1:6" x14ac:dyDescent="0.2">
      <c r="A73" s="9" t="s">
        <v>86</v>
      </c>
      <c r="C73" s="51">
        <v>95.024299999999997</v>
      </c>
      <c r="D73" s="40">
        <v>119.2773</v>
      </c>
    </row>
    <row r="75" spans="1:6" x14ac:dyDescent="0.2">
      <c r="A75" s="9" t="s">
        <v>52</v>
      </c>
    </row>
    <row r="77" spans="1:6" x14ac:dyDescent="0.2">
      <c r="A77" s="18" t="s">
        <v>53</v>
      </c>
      <c r="D77" s="41" t="s">
        <v>54</v>
      </c>
    </row>
    <row r="79" spans="1:6" x14ac:dyDescent="0.2">
      <c r="A79" s="18" t="s">
        <v>231</v>
      </c>
      <c r="D79" s="46">
        <v>5.0450851877270192E-3</v>
      </c>
    </row>
    <row r="81" spans="1:1" x14ac:dyDescent="0.2">
      <c r="A81" s="18" t="s">
        <v>742</v>
      </c>
    </row>
    <row r="82" spans="1:1" x14ac:dyDescent="0.2">
      <c r="A82" s="53" t="s">
        <v>57</v>
      </c>
    </row>
    <row r="83" spans="1:1" x14ac:dyDescent="0.2">
      <c r="A83" s="18"/>
    </row>
    <row r="84" spans="1:1" ht="14.4" x14ac:dyDescent="0.3">
      <c r="A84" s="43"/>
    </row>
  </sheetData>
  <mergeCells count="1">
    <mergeCell ref="A1:F1"/>
  </mergeCells>
  <conditionalFormatting sqref="F2:F3 F5:F65536">
    <cfRule type="cellIs" dxfId="12" priority="1" stopIfTrue="1" operator="between">
      <formula>0.009</formula>
      <formula>-0.009</formula>
    </cfRule>
  </conditionalFormatting>
  <hyperlinks>
    <hyperlink ref="A82" r:id="rId1" xr:uid="{00000000-0004-0000-2E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6" t="s">
        <v>26</v>
      </c>
      <c r="B1" s="77"/>
      <c r="C1" s="77"/>
      <c r="D1" s="77"/>
      <c r="E1" s="77"/>
      <c r="F1" s="77"/>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278</v>
      </c>
      <c r="D4" s="16" t="s">
        <v>1</v>
      </c>
      <c r="E4" s="15" t="s">
        <v>3</v>
      </c>
      <c r="F4" s="15" t="s">
        <v>4</v>
      </c>
    </row>
    <row r="5" spans="1:6" x14ac:dyDescent="0.2">
      <c r="A5" s="21" t="s">
        <v>105</v>
      </c>
      <c r="B5" s="22"/>
      <c r="C5" s="22"/>
      <c r="D5" s="23"/>
      <c r="E5" s="24"/>
      <c r="F5" s="25"/>
    </row>
    <row r="6" spans="1:6" x14ac:dyDescent="0.2">
      <c r="A6" s="26" t="s">
        <v>36</v>
      </c>
      <c r="B6" s="27"/>
      <c r="C6" s="27"/>
      <c r="D6" s="28"/>
      <c r="E6" s="29"/>
      <c r="F6" s="30"/>
    </row>
    <row r="7" spans="1:6" x14ac:dyDescent="0.2">
      <c r="A7" s="27" t="s">
        <v>110</v>
      </c>
      <c r="B7" s="27" t="s">
        <v>109</v>
      </c>
      <c r="C7" s="27" t="s">
        <v>111</v>
      </c>
      <c r="D7" s="31">
        <v>2778479</v>
      </c>
      <c r="E7" s="29">
        <v>37630.33034</v>
      </c>
      <c r="F7" s="30">
        <v>8.6777770464029693</v>
      </c>
    </row>
    <row r="8" spans="1:6" x14ac:dyDescent="0.2">
      <c r="A8" s="27" t="s">
        <v>113</v>
      </c>
      <c r="B8" s="27" t="s">
        <v>112</v>
      </c>
      <c r="C8" s="27" t="s">
        <v>108</v>
      </c>
      <c r="D8" s="31">
        <v>5129842</v>
      </c>
      <c r="E8" s="29">
        <v>36673.240460000001</v>
      </c>
      <c r="F8" s="30">
        <v>8.4570664515990703</v>
      </c>
    </row>
    <row r="9" spans="1:6" x14ac:dyDescent="0.2">
      <c r="A9" s="27" t="s">
        <v>107</v>
      </c>
      <c r="B9" s="27" t="s">
        <v>106</v>
      </c>
      <c r="C9" s="27" t="s">
        <v>108</v>
      </c>
      <c r="D9" s="31">
        <v>2480104</v>
      </c>
      <c r="E9" s="29">
        <v>35026.50879</v>
      </c>
      <c r="F9" s="30">
        <v>8.0773203755376297</v>
      </c>
    </row>
    <row r="10" spans="1:6" x14ac:dyDescent="0.2">
      <c r="A10" s="27" t="s">
        <v>115</v>
      </c>
      <c r="B10" s="27" t="s">
        <v>114</v>
      </c>
      <c r="C10" s="27" t="s">
        <v>108</v>
      </c>
      <c r="D10" s="31">
        <v>4283052</v>
      </c>
      <c r="E10" s="29">
        <v>25719.72726</v>
      </c>
      <c r="F10" s="30">
        <v>5.9311214342258296</v>
      </c>
    </row>
    <row r="11" spans="1:6" x14ac:dyDescent="0.2">
      <c r="A11" s="27" t="s">
        <v>151</v>
      </c>
      <c r="B11" s="27" t="s">
        <v>150</v>
      </c>
      <c r="C11" s="27" t="s">
        <v>152</v>
      </c>
      <c r="D11" s="31">
        <v>8119223</v>
      </c>
      <c r="E11" s="29">
        <v>17866.350210000001</v>
      </c>
      <c r="F11" s="30">
        <v>4.12008617395876</v>
      </c>
    </row>
    <row r="12" spans="1:6" x14ac:dyDescent="0.2">
      <c r="A12" s="27" t="s">
        <v>204</v>
      </c>
      <c r="B12" s="27" t="s">
        <v>203</v>
      </c>
      <c r="C12" s="27" t="s">
        <v>152</v>
      </c>
      <c r="D12" s="31">
        <v>16474428</v>
      </c>
      <c r="E12" s="29">
        <v>16284.97208</v>
      </c>
      <c r="F12" s="30">
        <v>3.7554110112852399</v>
      </c>
    </row>
    <row r="13" spans="1:6" x14ac:dyDescent="0.2">
      <c r="A13" s="27" t="s">
        <v>183</v>
      </c>
      <c r="B13" s="27" t="s">
        <v>182</v>
      </c>
      <c r="C13" s="27" t="s">
        <v>184</v>
      </c>
      <c r="D13" s="31">
        <v>881440</v>
      </c>
      <c r="E13" s="29">
        <v>12355.5852</v>
      </c>
      <c r="F13" s="30">
        <v>2.8492711245073901</v>
      </c>
    </row>
    <row r="14" spans="1:6" x14ac:dyDescent="0.2">
      <c r="A14" s="27" t="s">
        <v>117</v>
      </c>
      <c r="B14" s="27" t="s">
        <v>116</v>
      </c>
      <c r="C14" s="27" t="s">
        <v>118</v>
      </c>
      <c r="D14" s="31">
        <v>2294619</v>
      </c>
      <c r="E14" s="29">
        <v>12316.367480000001</v>
      </c>
      <c r="F14" s="30">
        <v>2.84022728600389</v>
      </c>
    </row>
    <row r="15" spans="1:6" x14ac:dyDescent="0.2">
      <c r="A15" s="27" t="s">
        <v>123</v>
      </c>
      <c r="B15" s="27" t="s">
        <v>122</v>
      </c>
      <c r="C15" s="27" t="s">
        <v>108</v>
      </c>
      <c r="D15" s="31">
        <v>699652</v>
      </c>
      <c r="E15" s="29">
        <v>12235.51418</v>
      </c>
      <c r="F15" s="30">
        <v>2.8215820361608301</v>
      </c>
    </row>
    <row r="16" spans="1:6" x14ac:dyDescent="0.2">
      <c r="A16" s="27" t="s">
        <v>149</v>
      </c>
      <c r="B16" s="27" t="s">
        <v>148</v>
      </c>
      <c r="C16" s="27" t="s">
        <v>140</v>
      </c>
      <c r="D16" s="31">
        <v>456440</v>
      </c>
      <c r="E16" s="29">
        <v>10743.4565</v>
      </c>
      <c r="F16" s="30">
        <v>2.4775046982680502</v>
      </c>
    </row>
    <row r="17" spans="1:6" x14ac:dyDescent="0.2">
      <c r="A17" s="27" t="s">
        <v>161</v>
      </c>
      <c r="B17" s="27" t="s">
        <v>160</v>
      </c>
      <c r="C17" s="27" t="s">
        <v>140</v>
      </c>
      <c r="D17" s="31">
        <v>871834</v>
      </c>
      <c r="E17" s="29">
        <v>10565.75625</v>
      </c>
      <c r="F17" s="30">
        <v>2.4365259681676998</v>
      </c>
    </row>
    <row r="18" spans="1:6" x14ac:dyDescent="0.2">
      <c r="A18" s="27" t="s">
        <v>128</v>
      </c>
      <c r="B18" s="27" t="s">
        <v>127</v>
      </c>
      <c r="C18" s="27" t="s">
        <v>129</v>
      </c>
      <c r="D18" s="31">
        <v>2849242</v>
      </c>
      <c r="E18" s="29">
        <v>10382.637849999999</v>
      </c>
      <c r="F18" s="30">
        <v>2.3942977805877201</v>
      </c>
    </row>
    <row r="19" spans="1:6" x14ac:dyDescent="0.2">
      <c r="A19" s="27" t="s">
        <v>201</v>
      </c>
      <c r="B19" s="27" t="s">
        <v>200</v>
      </c>
      <c r="C19" s="27" t="s">
        <v>202</v>
      </c>
      <c r="D19" s="31">
        <v>757133</v>
      </c>
      <c r="E19" s="29">
        <v>10148.989299999999</v>
      </c>
      <c r="F19" s="30">
        <v>2.34041704114706</v>
      </c>
    </row>
    <row r="20" spans="1:6" x14ac:dyDescent="0.2">
      <c r="A20" s="27" t="s">
        <v>165</v>
      </c>
      <c r="B20" s="27" t="s">
        <v>164</v>
      </c>
      <c r="C20" s="27" t="s">
        <v>108</v>
      </c>
      <c r="D20" s="31">
        <v>5914508</v>
      </c>
      <c r="E20" s="29">
        <v>9862.4420900000005</v>
      </c>
      <c r="F20" s="30">
        <v>2.27433755741195</v>
      </c>
    </row>
    <row r="21" spans="1:6" x14ac:dyDescent="0.2">
      <c r="A21" s="27" t="s">
        <v>137</v>
      </c>
      <c r="B21" s="27" t="s">
        <v>136</v>
      </c>
      <c r="C21" s="27" t="s">
        <v>132</v>
      </c>
      <c r="D21" s="31">
        <v>3477428</v>
      </c>
      <c r="E21" s="29">
        <v>9376.8846020000001</v>
      </c>
      <c r="F21" s="30">
        <v>2.16236512490857</v>
      </c>
    </row>
    <row r="22" spans="1:6" x14ac:dyDescent="0.2">
      <c r="A22" s="27" t="s">
        <v>131</v>
      </c>
      <c r="B22" s="27" t="s">
        <v>130</v>
      </c>
      <c r="C22" s="27" t="s">
        <v>132</v>
      </c>
      <c r="D22" s="31">
        <v>3078627</v>
      </c>
      <c r="E22" s="29">
        <v>7387.1654870000002</v>
      </c>
      <c r="F22" s="30">
        <v>1.7035241126471801</v>
      </c>
    </row>
    <row r="23" spans="1:6" x14ac:dyDescent="0.2">
      <c r="A23" s="27" t="s">
        <v>208</v>
      </c>
      <c r="B23" s="27" t="s">
        <v>207</v>
      </c>
      <c r="C23" s="27" t="s">
        <v>209</v>
      </c>
      <c r="D23" s="31">
        <v>6223868</v>
      </c>
      <c r="E23" s="29">
        <v>6939.6128200000003</v>
      </c>
      <c r="F23" s="30">
        <v>1.6003158169543701</v>
      </c>
    </row>
    <row r="24" spans="1:6" x14ac:dyDescent="0.2">
      <c r="A24" s="27" t="s">
        <v>147</v>
      </c>
      <c r="B24" s="27" t="s">
        <v>146</v>
      </c>
      <c r="C24" s="27" t="s">
        <v>108</v>
      </c>
      <c r="D24" s="31">
        <v>1935519</v>
      </c>
      <c r="E24" s="29">
        <v>6842.0596649999998</v>
      </c>
      <c r="F24" s="30">
        <v>1.5778194816414799</v>
      </c>
    </row>
    <row r="25" spans="1:6" x14ac:dyDescent="0.2">
      <c r="A25" s="27" t="s">
        <v>134</v>
      </c>
      <c r="B25" s="27" t="s">
        <v>133</v>
      </c>
      <c r="C25" s="27" t="s">
        <v>135</v>
      </c>
      <c r="D25" s="31">
        <v>127107</v>
      </c>
      <c r="E25" s="29">
        <v>6562.6615169999995</v>
      </c>
      <c r="F25" s="30">
        <v>1.5133886139447199</v>
      </c>
    </row>
    <row r="26" spans="1:6" x14ac:dyDescent="0.2">
      <c r="A26" s="27" t="s">
        <v>191</v>
      </c>
      <c r="B26" s="27" t="s">
        <v>190</v>
      </c>
      <c r="C26" s="27" t="s">
        <v>192</v>
      </c>
      <c r="D26" s="31">
        <v>268692</v>
      </c>
      <c r="E26" s="29">
        <v>6502.615092</v>
      </c>
      <c r="F26" s="30">
        <v>1.4995415527078</v>
      </c>
    </row>
    <row r="27" spans="1:6" x14ac:dyDescent="0.2">
      <c r="A27" s="27" t="s">
        <v>211</v>
      </c>
      <c r="B27" s="27" t="s">
        <v>210</v>
      </c>
      <c r="C27" s="27" t="s">
        <v>192</v>
      </c>
      <c r="D27" s="31">
        <v>1115794</v>
      </c>
      <c r="E27" s="29">
        <v>6340.4994049999996</v>
      </c>
      <c r="F27" s="30">
        <v>1.4621567151366299</v>
      </c>
    </row>
    <row r="28" spans="1:6" x14ac:dyDescent="0.2">
      <c r="A28" s="27" t="s">
        <v>156</v>
      </c>
      <c r="B28" s="27" t="s">
        <v>155</v>
      </c>
      <c r="C28" s="27" t="s">
        <v>157</v>
      </c>
      <c r="D28" s="31">
        <v>829699</v>
      </c>
      <c r="E28" s="29">
        <v>6243.8998250000004</v>
      </c>
      <c r="F28" s="30">
        <v>1.4398802798664101</v>
      </c>
    </row>
    <row r="29" spans="1:6" x14ac:dyDescent="0.2">
      <c r="A29" s="27" t="s">
        <v>142</v>
      </c>
      <c r="B29" s="27" t="s">
        <v>141</v>
      </c>
      <c r="C29" s="27" t="s">
        <v>143</v>
      </c>
      <c r="D29" s="31">
        <v>2520962</v>
      </c>
      <c r="E29" s="29">
        <v>5915.4373329999999</v>
      </c>
      <c r="F29" s="30">
        <v>1.36413488385397</v>
      </c>
    </row>
    <row r="30" spans="1:6" x14ac:dyDescent="0.2">
      <c r="A30" s="27" t="s">
        <v>572</v>
      </c>
      <c r="B30" s="27" t="s">
        <v>571</v>
      </c>
      <c r="C30" s="27" t="s">
        <v>108</v>
      </c>
      <c r="D30" s="31">
        <v>605270</v>
      </c>
      <c r="E30" s="29">
        <v>5658.9718650000004</v>
      </c>
      <c r="F30" s="30">
        <v>1.30499242798667</v>
      </c>
    </row>
    <row r="31" spans="1:6" x14ac:dyDescent="0.2">
      <c r="A31" s="27" t="s">
        <v>219</v>
      </c>
      <c r="B31" s="27" t="s">
        <v>218</v>
      </c>
      <c r="C31" s="27" t="s">
        <v>143</v>
      </c>
      <c r="D31" s="31">
        <v>5948967</v>
      </c>
      <c r="E31" s="29">
        <v>5404.63652</v>
      </c>
      <c r="F31" s="30">
        <v>1.24634119109907</v>
      </c>
    </row>
    <row r="32" spans="1:6" x14ac:dyDescent="0.2">
      <c r="A32" s="27" t="s">
        <v>536</v>
      </c>
      <c r="B32" s="27" t="s">
        <v>535</v>
      </c>
      <c r="C32" s="27" t="s">
        <v>135</v>
      </c>
      <c r="D32" s="31">
        <v>503898</v>
      </c>
      <c r="E32" s="29">
        <v>5389.1891100000003</v>
      </c>
      <c r="F32" s="30">
        <v>1.2427789268639999</v>
      </c>
    </row>
    <row r="33" spans="1:6" x14ac:dyDescent="0.2">
      <c r="A33" s="27" t="s">
        <v>120</v>
      </c>
      <c r="B33" s="27" t="s">
        <v>119</v>
      </c>
      <c r="C33" s="27" t="s">
        <v>121</v>
      </c>
      <c r="D33" s="31">
        <v>302972</v>
      </c>
      <c r="E33" s="29">
        <v>5362.4529140000004</v>
      </c>
      <c r="F33" s="30">
        <v>1.23661340171817</v>
      </c>
    </row>
    <row r="34" spans="1:6" x14ac:dyDescent="0.2">
      <c r="A34" s="27" t="s">
        <v>674</v>
      </c>
      <c r="B34" s="27" t="s">
        <v>673</v>
      </c>
      <c r="C34" s="27" t="s">
        <v>468</v>
      </c>
      <c r="D34" s="31">
        <v>510704</v>
      </c>
      <c r="E34" s="29">
        <v>5280.6793600000001</v>
      </c>
      <c r="F34" s="30">
        <v>1.2177559358524099</v>
      </c>
    </row>
    <row r="35" spans="1:6" x14ac:dyDescent="0.2">
      <c r="A35" s="27" t="s">
        <v>249</v>
      </c>
      <c r="B35" s="27" t="s">
        <v>248</v>
      </c>
      <c r="C35" s="27" t="s">
        <v>250</v>
      </c>
      <c r="D35" s="31">
        <v>3970503</v>
      </c>
      <c r="E35" s="29">
        <v>5231.1377030000003</v>
      </c>
      <c r="F35" s="30">
        <v>1.2063313363319901</v>
      </c>
    </row>
    <row r="36" spans="1:6" x14ac:dyDescent="0.2">
      <c r="A36" s="27" t="s">
        <v>206</v>
      </c>
      <c r="B36" s="27" t="s">
        <v>205</v>
      </c>
      <c r="C36" s="27" t="s">
        <v>111</v>
      </c>
      <c r="D36" s="31">
        <v>530548</v>
      </c>
      <c r="E36" s="29">
        <v>5095.3829919999998</v>
      </c>
      <c r="F36" s="30">
        <v>1.1750254959523601</v>
      </c>
    </row>
    <row r="37" spans="1:6" x14ac:dyDescent="0.2">
      <c r="A37" s="27" t="s">
        <v>275</v>
      </c>
      <c r="B37" s="27" t="s">
        <v>274</v>
      </c>
      <c r="C37" s="27" t="s">
        <v>140</v>
      </c>
      <c r="D37" s="31">
        <v>896279</v>
      </c>
      <c r="E37" s="29">
        <v>4656.6175450000001</v>
      </c>
      <c r="F37" s="30">
        <v>1.07384358523488</v>
      </c>
    </row>
    <row r="38" spans="1:6" x14ac:dyDescent="0.2">
      <c r="A38" s="27" t="s">
        <v>169</v>
      </c>
      <c r="B38" s="27" t="s">
        <v>168</v>
      </c>
      <c r="C38" s="27" t="s">
        <v>157</v>
      </c>
      <c r="D38" s="31">
        <v>1546634</v>
      </c>
      <c r="E38" s="29">
        <v>4544.784009</v>
      </c>
      <c r="F38" s="30">
        <v>1.0480541094861799</v>
      </c>
    </row>
    <row r="39" spans="1:6" x14ac:dyDescent="0.2">
      <c r="A39" s="27" t="s">
        <v>145</v>
      </c>
      <c r="B39" s="27" t="s">
        <v>144</v>
      </c>
      <c r="C39" s="27" t="s">
        <v>111</v>
      </c>
      <c r="D39" s="31">
        <v>148117</v>
      </c>
      <c r="E39" s="29">
        <v>4496.3137109999998</v>
      </c>
      <c r="F39" s="30">
        <v>1.0368765716964099</v>
      </c>
    </row>
    <row r="40" spans="1:6" x14ac:dyDescent="0.2">
      <c r="A40" s="27" t="s">
        <v>216</v>
      </c>
      <c r="B40" s="27" t="s">
        <v>215</v>
      </c>
      <c r="C40" s="27" t="s">
        <v>217</v>
      </c>
      <c r="D40" s="31">
        <v>2627584</v>
      </c>
      <c r="E40" s="29">
        <v>4485.2858880000003</v>
      </c>
      <c r="F40" s="30">
        <v>1.03433349039905</v>
      </c>
    </row>
    <row r="41" spans="1:6" x14ac:dyDescent="0.2">
      <c r="A41" s="27" t="s">
        <v>221</v>
      </c>
      <c r="B41" s="27" t="s">
        <v>220</v>
      </c>
      <c r="C41" s="27" t="s">
        <v>192</v>
      </c>
      <c r="D41" s="31">
        <v>1158898</v>
      </c>
      <c r="E41" s="29">
        <v>4315.1567029999997</v>
      </c>
      <c r="F41" s="30">
        <v>0.995100692728208</v>
      </c>
    </row>
    <row r="42" spans="1:6" x14ac:dyDescent="0.2">
      <c r="A42" s="27" t="s">
        <v>167</v>
      </c>
      <c r="B42" s="27" t="s">
        <v>166</v>
      </c>
      <c r="C42" s="27" t="s">
        <v>135</v>
      </c>
      <c r="D42" s="31">
        <v>720735</v>
      </c>
      <c r="E42" s="29">
        <v>4116.4779529999996</v>
      </c>
      <c r="F42" s="30">
        <v>0.94928419628025196</v>
      </c>
    </row>
    <row r="43" spans="1:6" x14ac:dyDescent="0.2">
      <c r="A43" s="27" t="s">
        <v>154</v>
      </c>
      <c r="B43" s="27" t="s">
        <v>153</v>
      </c>
      <c r="C43" s="27" t="s">
        <v>152</v>
      </c>
      <c r="D43" s="31">
        <v>3977486</v>
      </c>
      <c r="E43" s="29">
        <v>4074.9344070000002</v>
      </c>
      <c r="F43" s="30">
        <v>0.93970400852617897</v>
      </c>
    </row>
    <row r="44" spans="1:6" x14ac:dyDescent="0.2">
      <c r="A44" s="27" t="s">
        <v>225</v>
      </c>
      <c r="B44" s="27" t="s">
        <v>224</v>
      </c>
      <c r="C44" s="27" t="s">
        <v>132</v>
      </c>
      <c r="D44" s="31">
        <v>2792178</v>
      </c>
      <c r="E44" s="29">
        <v>3830.8682159999998</v>
      </c>
      <c r="F44" s="30">
        <v>0.88342089937123502</v>
      </c>
    </row>
    <row r="45" spans="1:6" x14ac:dyDescent="0.2">
      <c r="A45" s="27" t="s">
        <v>254</v>
      </c>
      <c r="B45" s="27" t="s">
        <v>253</v>
      </c>
      <c r="C45" s="27" t="s">
        <v>217</v>
      </c>
      <c r="D45" s="31">
        <v>990217</v>
      </c>
      <c r="E45" s="29">
        <v>3582.1099979999999</v>
      </c>
      <c r="F45" s="30">
        <v>0.82605578100101795</v>
      </c>
    </row>
    <row r="46" spans="1:6" x14ac:dyDescent="0.2">
      <c r="A46" s="27" t="s">
        <v>181</v>
      </c>
      <c r="B46" s="27" t="s">
        <v>180</v>
      </c>
      <c r="C46" s="27" t="s">
        <v>140</v>
      </c>
      <c r="D46" s="31">
        <v>607174</v>
      </c>
      <c r="E46" s="29">
        <v>3374.3695050000001</v>
      </c>
      <c r="F46" s="30">
        <v>0.77814959294803598</v>
      </c>
    </row>
    <row r="47" spans="1:6" x14ac:dyDescent="0.2">
      <c r="A47" s="27" t="s">
        <v>159</v>
      </c>
      <c r="B47" s="27" t="s">
        <v>158</v>
      </c>
      <c r="C47" s="27" t="s">
        <v>157</v>
      </c>
      <c r="D47" s="31">
        <v>87369</v>
      </c>
      <c r="E47" s="29">
        <v>3349.5090380000001</v>
      </c>
      <c r="F47" s="30">
        <v>0.77241662201883499</v>
      </c>
    </row>
    <row r="48" spans="1:6" x14ac:dyDescent="0.2">
      <c r="A48" s="27" t="s">
        <v>125</v>
      </c>
      <c r="B48" s="27" t="s">
        <v>124</v>
      </c>
      <c r="C48" s="27" t="s">
        <v>126</v>
      </c>
      <c r="D48" s="31">
        <v>300000</v>
      </c>
      <c r="E48" s="29">
        <v>2871.45</v>
      </c>
      <c r="F48" s="30">
        <v>0.66217337649589703</v>
      </c>
    </row>
    <row r="49" spans="1:9" x14ac:dyDescent="0.2">
      <c r="A49" s="27" t="s">
        <v>227</v>
      </c>
      <c r="B49" s="27" t="s">
        <v>226</v>
      </c>
      <c r="C49" s="27" t="s">
        <v>108</v>
      </c>
      <c r="D49" s="31">
        <v>3293517</v>
      </c>
      <c r="E49" s="29">
        <v>2638.107117</v>
      </c>
      <c r="F49" s="30">
        <v>0.60836312567578998</v>
      </c>
    </row>
    <row r="50" spans="1:9" x14ac:dyDescent="0.2">
      <c r="A50" s="27" t="s">
        <v>247</v>
      </c>
      <c r="B50" s="27" t="s">
        <v>246</v>
      </c>
      <c r="C50" s="27" t="s">
        <v>157</v>
      </c>
      <c r="D50" s="31">
        <v>1791828</v>
      </c>
      <c r="E50" s="29">
        <v>2291.748012</v>
      </c>
      <c r="F50" s="30">
        <v>0.52849066471079098</v>
      </c>
    </row>
    <row r="51" spans="1:9" x14ac:dyDescent="0.2">
      <c r="A51" s="27" t="s">
        <v>199</v>
      </c>
      <c r="B51" s="27" t="s">
        <v>198</v>
      </c>
      <c r="C51" s="27" t="s">
        <v>140</v>
      </c>
      <c r="D51" s="31">
        <v>419231</v>
      </c>
      <c r="E51" s="29">
        <v>2255.6723959999999</v>
      </c>
      <c r="F51" s="30">
        <v>0.520171413999168</v>
      </c>
    </row>
    <row r="52" spans="1:9" x14ac:dyDescent="0.2">
      <c r="A52" s="27" t="s">
        <v>427</v>
      </c>
      <c r="B52" s="27" t="s">
        <v>426</v>
      </c>
      <c r="C52" s="27" t="s">
        <v>209</v>
      </c>
      <c r="D52" s="31">
        <v>6320734</v>
      </c>
      <c r="E52" s="29">
        <v>2237.5398359999999</v>
      </c>
      <c r="F52" s="30">
        <v>0.51598993827097706</v>
      </c>
    </row>
    <row r="53" spans="1:9" x14ac:dyDescent="0.2">
      <c r="A53" s="27" t="s">
        <v>700</v>
      </c>
      <c r="B53" s="27" t="s">
        <v>699</v>
      </c>
      <c r="C53" s="27" t="s">
        <v>381</v>
      </c>
      <c r="D53" s="31">
        <v>771008</v>
      </c>
      <c r="E53" s="29">
        <v>2095.985248</v>
      </c>
      <c r="F53" s="30">
        <v>0.48334661190470002</v>
      </c>
    </row>
    <row r="54" spans="1:9" x14ac:dyDescent="0.2">
      <c r="A54" s="27" t="s">
        <v>213</v>
      </c>
      <c r="B54" s="27" t="s">
        <v>212</v>
      </c>
      <c r="C54" s="27" t="s">
        <v>214</v>
      </c>
      <c r="D54" s="31">
        <v>1278633</v>
      </c>
      <c r="E54" s="29">
        <v>2001.6999619999999</v>
      </c>
      <c r="F54" s="30">
        <v>0.46160386653754998</v>
      </c>
    </row>
    <row r="55" spans="1:9" x14ac:dyDescent="0.2">
      <c r="A55" s="27" t="s">
        <v>171</v>
      </c>
      <c r="B55" s="27" t="s">
        <v>170</v>
      </c>
      <c r="C55" s="27" t="s">
        <v>172</v>
      </c>
      <c r="D55" s="31">
        <v>1075124</v>
      </c>
      <c r="E55" s="29">
        <v>1881.4670000000001</v>
      </c>
      <c r="F55" s="30">
        <v>0.433877433406678</v>
      </c>
    </row>
    <row r="56" spans="1:9" x14ac:dyDescent="0.2">
      <c r="A56" s="27" t="s">
        <v>302</v>
      </c>
      <c r="B56" s="27" t="s">
        <v>301</v>
      </c>
      <c r="C56" s="27" t="s">
        <v>111</v>
      </c>
      <c r="D56" s="31">
        <v>241063</v>
      </c>
      <c r="E56" s="29">
        <v>1776.7548420000001</v>
      </c>
      <c r="F56" s="30">
        <v>0.409730189601969</v>
      </c>
    </row>
    <row r="57" spans="1:9" x14ac:dyDescent="0.2">
      <c r="A57" s="27" t="s">
        <v>271</v>
      </c>
      <c r="B57" s="27" t="s">
        <v>270</v>
      </c>
      <c r="C57" s="27" t="s">
        <v>192</v>
      </c>
      <c r="D57" s="31">
        <v>1695647</v>
      </c>
      <c r="E57" s="29">
        <v>1373.47407</v>
      </c>
      <c r="F57" s="30">
        <v>0.316731255101591</v>
      </c>
    </row>
    <row r="58" spans="1:9" x14ac:dyDescent="0.2">
      <c r="A58" s="27" t="s">
        <v>177</v>
      </c>
      <c r="B58" s="27" t="s">
        <v>176</v>
      </c>
      <c r="C58" s="27" t="s">
        <v>172</v>
      </c>
      <c r="D58" s="31">
        <v>125663</v>
      </c>
      <c r="E58" s="29">
        <v>182.5255075</v>
      </c>
      <c r="F58" s="30">
        <v>4.20914630580028E-2</v>
      </c>
    </row>
    <row r="59" spans="1:9" x14ac:dyDescent="0.2">
      <c r="A59" s="26" t="s">
        <v>39</v>
      </c>
      <c r="B59" s="26"/>
      <c r="C59" s="26"/>
      <c r="D59" s="32"/>
      <c r="E59" s="33">
        <f>SUM(E7:E58)</f>
        <v>423778.01516350015</v>
      </c>
      <c r="F59" s="34">
        <f>SUM(F7:F58)</f>
        <v>97.725720171183255</v>
      </c>
      <c r="G59" s="18"/>
      <c r="H59" s="18"/>
      <c r="I59" s="18"/>
    </row>
    <row r="60" spans="1:9" x14ac:dyDescent="0.2">
      <c r="A60" s="27"/>
      <c r="B60" s="27"/>
      <c r="C60" s="27"/>
      <c r="D60" s="28"/>
      <c r="E60" s="29"/>
      <c r="F60" s="30"/>
    </row>
    <row r="61" spans="1:9" x14ac:dyDescent="0.2">
      <c r="A61" s="26" t="s">
        <v>238</v>
      </c>
      <c r="B61" s="27"/>
      <c r="C61" s="27"/>
      <c r="D61" s="28"/>
      <c r="E61" s="29"/>
      <c r="F61" s="30"/>
    </row>
    <row r="62" spans="1:9" x14ac:dyDescent="0.2">
      <c r="A62" s="27" t="s">
        <v>239</v>
      </c>
      <c r="B62" s="27" t="s">
        <v>747</v>
      </c>
      <c r="C62" s="27" t="s">
        <v>240</v>
      </c>
      <c r="D62" s="31">
        <v>30000</v>
      </c>
      <c r="E62" s="29">
        <v>3.0000000000000001E-3</v>
      </c>
      <c r="F62" s="30">
        <v>6.9181776784819196E-7</v>
      </c>
    </row>
    <row r="63" spans="1:9" x14ac:dyDescent="0.2">
      <c r="A63" s="27" t="s">
        <v>530</v>
      </c>
      <c r="B63" s="27" t="s">
        <v>748</v>
      </c>
      <c r="C63" s="27" t="s">
        <v>386</v>
      </c>
      <c r="D63" s="31">
        <v>3500</v>
      </c>
      <c r="E63" s="29">
        <v>3.5E-4</v>
      </c>
      <c r="F63" s="30">
        <v>8.0712072915622404E-8</v>
      </c>
    </row>
    <row r="64" spans="1:9" x14ac:dyDescent="0.2">
      <c r="A64" s="27"/>
      <c r="B64" s="27" t="s">
        <v>749</v>
      </c>
      <c r="C64" s="27" t="s">
        <v>192</v>
      </c>
      <c r="D64" s="31">
        <v>2900</v>
      </c>
      <c r="E64" s="29">
        <v>2.9E-4</v>
      </c>
      <c r="F64" s="30">
        <v>6.6875717558658597E-8</v>
      </c>
    </row>
    <row r="65" spans="1:9" x14ac:dyDescent="0.2">
      <c r="A65" s="26" t="s">
        <v>39</v>
      </c>
      <c r="B65" s="26"/>
      <c r="C65" s="26"/>
      <c r="D65" s="32"/>
      <c r="E65" s="33">
        <f>SUM(E61:E64)</f>
        <v>3.64E-3</v>
      </c>
      <c r="F65" s="34">
        <f>SUM(F61:F64)</f>
        <v>8.3940555832247296E-7</v>
      </c>
      <c r="G65" s="18"/>
      <c r="H65" s="18"/>
      <c r="I65" s="18"/>
    </row>
    <row r="66" spans="1:9" x14ac:dyDescent="0.2">
      <c r="A66" s="27"/>
      <c r="B66" s="27"/>
      <c r="C66" s="27"/>
      <c r="D66" s="28"/>
      <c r="E66" s="29"/>
      <c r="F66" s="30"/>
    </row>
    <row r="67" spans="1:9" x14ac:dyDescent="0.2">
      <c r="A67" s="26" t="s">
        <v>42</v>
      </c>
      <c r="B67" s="26"/>
      <c r="C67" s="26"/>
      <c r="D67" s="32"/>
      <c r="E67" s="33">
        <f>E59+E65</f>
        <v>423778.01880350016</v>
      </c>
      <c r="F67" s="34">
        <f>F59+F65</f>
        <v>97.725721010588813</v>
      </c>
      <c r="G67" s="18"/>
      <c r="H67" s="18"/>
      <c r="I67" s="18"/>
    </row>
    <row r="68" spans="1:9" x14ac:dyDescent="0.2">
      <c r="A68" s="26"/>
      <c r="B68" s="26"/>
      <c r="C68" s="26"/>
      <c r="D68" s="32"/>
      <c r="E68" s="33"/>
      <c r="F68" s="34"/>
      <c r="G68" s="18"/>
      <c r="H68" s="18"/>
      <c r="I68" s="18"/>
    </row>
    <row r="69" spans="1:9" x14ac:dyDescent="0.2">
      <c r="A69" s="26" t="s">
        <v>44</v>
      </c>
      <c r="B69" s="26"/>
      <c r="C69" s="26"/>
      <c r="D69" s="32"/>
      <c r="E69" s="33">
        <f>E71-(E59+E65)</f>
        <v>9862.1881155998562</v>
      </c>
      <c r="F69" s="34">
        <f>F71-(F59+F65)</f>
        <v>2.2742789894111866</v>
      </c>
      <c r="G69" s="18"/>
      <c r="H69" s="18"/>
      <c r="I69" s="18"/>
    </row>
    <row r="70" spans="1:9" x14ac:dyDescent="0.2">
      <c r="A70" s="26"/>
      <c r="B70" s="26"/>
      <c r="C70" s="26"/>
      <c r="D70" s="32"/>
      <c r="E70" s="33"/>
      <c r="F70" s="34"/>
      <c r="G70" s="18"/>
      <c r="H70" s="18"/>
      <c r="I70" s="18"/>
    </row>
    <row r="71" spans="1:9" x14ac:dyDescent="0.2">
      <c r="A71" s="35" t="s">
        <v>43</v>
      </c>
      <c r="B71" s="35"/>
      <c r="C71" s="35"/>
      <c r="D71" s="36"/>
      <c r="E71" s="37">
        <v>433640.20691910002</v>
      </c>
      <c r="F71" s="38">
        <v>100</v>
      </c>
      <c r="G71" s="18"/>
      <c r="H71" s="18"/>
      <c r="I71" s="18"/>
    </row>
    <row r="72" spans="1:9" x14ac:dyDescent="0.2">
      <c r="F72" s="20" t="s">
        <v>519</v>
      </c>
    </row>
    <row r="73" spans="1:9" x14ac:dyDescent="0.2">
      <c r="A73" s="18" t="s">
        <v>46</v>
      </c>
      <c r="F73" s="20"/>
    </row>
    <row r="74" spans="1:9" x14ac:dyDescent="0.2">
      <c r="A74" s="18" t="s">
        <v>750</v>
      </c>
      <c r="F74" s="20"/>
    </row>
    <row r="76" spans="1:9" x14ac:dyDescent="0.2">
      <c r="A76" s="18" t="s">
        <v>47</v>
      </c>
    </row>
    <row r="77" spans="1:9" x14ac:dyDescent="0.2">
      <c r="A77" s="18" t="s">
        <v>48</v>
      </c>
    </row>
    <row r="78" spans="1:9" x14ac:dyDescent="0.2">
      <c r="A78" s="18" t="s">
        <v>49</v>
      </c>
      <c r="B78" s="18"/>
      <c r="C78" s="41" t="s">
        <v>731</v>
      </c>
      <c r="D78" s="19" t="s">
        <v>50</v>
      </c>
    </row>
    <row r="79" spans="1:9" x14ac:dyDescent="0.2">
      <c r="A79" s="9" t="s">
        <v>79</v>
      </c>
      <c r="C79" s="51">
        <v>517.13170000000002</v>
      </c>
      <c r="D79" s="40">
        <v>699.77980000000002</v>
      </c>
    </row>
    <row r="80" spans="1:9" x14ac:dyDescent="0.2">
      <c r="A80" s="9" t="s">
        <v>85</v>
      </c>
      <c r="C80" s="51">
        <v>34.390700000000002</v>
      </c>
      <c r="D80" s="40">
        <v>42.850999999999999</v>
      </c>
    </row>
    <row r="81" spans="1:4" x14ac:dyDescent="0.2">
      <c r="A81" s="9" t="s">
        <v>82</v>
      </c>
      <c r="C81" s="51">
        <v>554.56349999999998</v>
      </c>
      <c r="D81" s="40">
        <v>753.72320000000002</v>
      </c>
    </row>
    <row r="82" spans="1:4" x14ac:dyDescent="0.2">
      <c r="A82" s="9" t="s">
        <v>86</v>
      </c>
      <c r="C82" s="51">
        <v>37.795699999999997</v>
      </c>
      <c r="D82" s="40">
        <v>47.674700000000001</v>
      </c>
    </row>
    <row r="84" spans="1:4" x14ac:dyDescent="0.2">
      <c r="A84" s="18" t="s">
        <v>53</v>
      </c>
    </row>
    <row r="85" spans="1:4" x14ac:dyDescent="0.2">
      <c r="A85" s="82" t="s">
        <v>76</v>
      </c>
      <c r="B85" s="83"/>
      <c r="C85" s="44" t="s">
        <v>77</v>
      </c>
    </row>
    <row r="86" spans="1:4" x14ac:dyDescent="0.2">
      <c r="A86" s="78" t="s">
        <v>85</v>
      </c>
      <c r="B86" s="79"/>
      <c r="C86" s="45">
        <v>3.5</v>
      </c>
    </row>
    <row r="87" spans="1:4" x14ac:dyDescent="0.2">
      <c r="A87" s="78" t="s">
        <v>86</v>
      </c>
      <c r="B87" s="79"/>
      <c r="C87" s="45">
        <v>3.5</v>
      </c>
    </row>
    <row r="88" spans="1:4" x14ac:dyDescent="0.2">
      <c r="A88" s="9" t="s">
        <v>78</v>
      </c>
    </row>
    <row r="89" spans="1:4" x14ac:dyDescent="0.2">
      <c r="A89" s="9" t="s">
        <v>52</v>
      </c>
    </row>
    <row r="91" spans="1:4" x14ac:dyDescent="0.2">
      <c r="A91" s="18" t="s">
        <v>231</v>
      </c>
      <c r="D91" s="46">
        <v>0.14439449516763547</v>
      </c>
    </row>
    <row r="93" spans="1:4" x14ac:dyDescent="0.2">
      <c r="A93" s="18" t="s">
        <v>56</v>
      </c>
      <c r="D93" s="41" t="s">
        <v>54</v>
      </c>
    </row>
    <row r="94" spans="1:4" x14ac:dyDescent="0.2">
      <c r="A94" s="9" t="s">
        <v>58</v>
      </c>
      <c r="D94" s="41"/>
    </row>
    <row r="95" spans="1:4" x14ac:dyDescent="0.2">
      <c r="A95" s="53" t="s">
        <v>744</v>
      </c>
      <c r="D95" s="41"/>
    </row>
    <row r="97" spans="1:1" x14ac:dyDescent="0.2">
      <c r="A97" s="18" t="s">
        <v>745</v>
      </c>
    </row>
    <row r="98" spans="1:1" x14ac:dyDescent="0.2">
      <c r="A98" s="53" t="s">
        <v>57</v>
      </c>
    </row>
  </sheetData>
  <mergeCells count="4">
    <mergeCell ref="A1:F1"/>
    <mergeCell ref="A85:B85"/>
    <mergeCell ref="A86:B86"/>
    <mergeCell ref="A87:B87"/>
  </mergeCells>
  <conditionalFormatting sqref="F2:F3 F5:F65538">
    <cfRule type="cellIs" dxfId="11" priority="1" stopIfTrue="1" operator="between">
      <formula>0.009</formula>
      <formula>-0.009</formula>
    </cfRule>
  </conditionalFormatting>
  <hyperlinks>
    <hyperlink ref="A95" r:id="rId1" xr:uid="{00000000-0004-0000-2F00-000000000000}"/>
    <hyperlink ref="A98" r:id="rId2" xr:uid="{00000000-0004-0000-2F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3"/>
  <sheetViews>
    <sheetView workbookViewId="0">
      <selection sqref="A1:E1"/>
    </sheetView>
  </sheetViews>
  <sheetFormatPr defaultColWidth="9.109375" defaultRowHeight="10.199999999999999" x14ac:dyDescent="0.2"/>
  <cols>
    <col min="1" max="1" width="32.33203125" style="9" bestFit="1" customWidth="1"/>
    <col min="2" max="2" width="33.554687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76" t="s">
        <v>27</v>
      </c>
      <c r="B1" s="77"/>
      <c r="C1" s="77"/>
      <c r="D1" s="77"/>
      <c r="E1" s="77"/>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373</v>
      </c>
      <c r="B5" s="22"/>
      <c r="C5" s="23"/>
      <c r="D5" s="24"/>
      <c r="E5" s="25"/>
    </row>
    <row r="6" spans="1:8" x14ac:dyDescent="0.2">
      <c r="A6" s="27" t="s">
        <v>702</v>
      </c>
      <c r="B6" s="27" t="s">
        <v>701</v>
      </c>
      <c r="C6" s="31">
        <v>5600356.5180000002</v>
      </c>
      <c r="D6" s="29">
        <v>320283.04518000002</v>
      </c>
      <c r="E6" s="30">
        <v>99.941370971665904</v>
      </c>
    </row>
    <row r="7" spans="1:8" x14ac:dyDescent="0.2">
      <c r="A7" s="26" t="s">
        <v>39</v>
      </c>
      <c r="B7" s="26"/>
      <c r="C7" s="32"/>
      <c r="D7" s="33">
        <f>SUM(D6:D6)</f>
        <v>320283.04518000002</v>
      </c>
      <c r="E7" s="34">
        <f>SUM(E6:E6)</f>
        <v>99.941370971665904</v>
      </c>
      <c r="F7" s="18"/>
      <c r="G7" s="18"/>
      <c r="H7" s="18"/>
    </row>
    <row r="8" spans="1:8" x14ac:dyDescent="0.2">
      <c r="A8" s="27"/>
      <c r="B8" s="27"/>
      <c r="C8" s="28"/>
      <c r="D8" s="29"/>
      <c r="E8" s="30"/>
    </row>
    <row r="9" spans="1:8" x14ac:dyDescent="0.2">
      <c r="A9" s="26" t="s">
        <v>42</v>
      </c>
      <c r="B9" s="26"/>
      <c r="C9" s="32"/>
      <c r="D9" s="33">
        <f>D7</f>
        <v>320283.04518000002</v>
      </c>
      <c r="E9" s="34">
        <f>E7</f>
        <v>99.941370971665904</v>
      </c>
      <c r="F9" s="18"/>
      <c r="G9" s="18"/>
      <c r="H9" s="18"/>
    </row>
    <row r="10" spans="1:8" x14ac:dyDescent="0.2">
      <c r="A10" s="26"/>
      <c r="B10" s="26"/>
      <c r="C10" s="32"/>
      <c r="D10" s="33"/>
      <c r="E10" s="34"/>
      <c r="F10" s="18"/>
      <c r="G10" s="18"/>
      <c r="H10" s="18"/>
    </row>
    <row r="11" spans="1:8" x14ac:dyDescent="0.2">
      <c r="A11" s="26" t="s">
        <v>44</v>
      </c>
      <c r="B11" s="26"/>
      <c r="C11" s="32"/>
      <c r="D11" s="33">
        <f>D13-(D7)</f>
        <v>187.88899479998508</v>
      </c>
      <c r="E11" s="34">
        <f>E13-(E7)</f>
        <v>5.8629028334095779E-2</v>
      </c>
      <c r="F11" s="18"/>
      <c r="G11" s="18"/>
      <c r="H11" s="18"/>
    </row>
    <row r="12" spans="1:8" x14ac:dyDescent="0.2">
      <c r="A12" s="26"/>
      <c r="B12" s="26"/>
      <c r="C12" s="32"/>
      <c r="D12" s="33"/>
      <c r="E12" s="34"/>
      <c r="F12" s="18"/>
      <c r="G12" s="18"/>
      <c r="H12" s="18"/>
    </row>
    <row r="13" spans="1:8" x14ac:dyDescent="0.2">
      <c r="A13" s="35" t="s">
        <v>43</v>
      </c>
      <c r="B13" s="35"/>
      <c r="C13" s="36"/>
      <c r="D13" s="37">
        <v>320470.9341748</v>
      </c>
      <c r="E13" s="38">
        <v>100</v>
      </c>
      <c r="F13" s="18"/>
      <c r="G13" s="18"/>
      <c r="H13" s="18"/>
    </row>
    <row r="16" spans="1:8" x14ac:dyDescent="0.2">
      <c r="A16" s="18" t="s">
        <v>47</v>
      </c>
    </row>
    <row r="17" spans="1:4" x14ac:dyDescent="0.2">
      <c r="A17" s="18" t="s">
        <v>48</v>
      </c>
    </row>
    <row r="18" spans="1:4" x14ac:dyDescent="0.2">
      <c r="A18" s="18" t="s">
        <v>49</v>
      </c>
      <c r="B18" s="18"/>
      <c r="C18" s="41" t="s">
        <v>731</v>
      </c>
      <c r="D18" s="41" t="s">
        <v>50</v>
      </c>
    </row>
    <row r="19" spans="1:4" x14ac:dyDescent="0.2">
      <c r="A19" s="9" t="s">
        <v>79</v>
      </c>
      <c r="C19" s="40">
        <v>44.8508</v>
      </c>
      <c r="D19" s="40">
        <v>53.361600000000003</v>
      </c>
    </row>
    <row r="20" spans="1:4" x14ac:dyDescent="0.2">
      <c r="A20" s="9" t="s">
        <v>85</v>
      </c>
      <c r="C20" s="40">
        <v>44.8508</v>
      </c>
      <c r="D20" s="40">
        <v>53.361600000000003</v>
      </c>
    </row>
    <row r="21" spans="1:4" x14ac:dyDescent="0.2">
      <c r="A21" s="9" t="s">
        <v>82</v>
      </c>
      <c r="C21" s="40">
        <v>48.3795</v>
      </c>
      <c r="D21" s="40">
        <v>57.845399999999998</v>
      </c>
    </row>
    <row r="22" spans="1:4" x14ac:dyDescent="0.2">
      <c r="A22" s="9" t="s">
        <v>86</v>
      </c>
      <c r="C22" s="40">
        <v>48.3795</v>
      </c>
      <c r="D22" s="40">
        <v>57.845399999999998</v>
      </c>
    </row>
    <row r="24" spans="1:4" x14ac:dyDescent="0.2">
      <c r="A24" s="9" t="s">
        <v>52</v>
      </c>
    </row>
    <row r="26" spans="1:4" x14ac:dyDescent="0.2">
      <c r="A26" s="18" t="s">
        <v>53</v>
      </c>
      <c r="D26" s="41" t="s">
        <v>54</v>
      </c>
    </row>
    <row r="28" spans="1:4" x14ac:dyDescent="0.2">
      <c r="A28" s="18" t="s">
        <v>231</v>
      </c>
      <c r="D28" s="46">
        <v>9.8617245750654697E-3</v>
      </c>
    </row>
    <row r="30" spans="1:4" x14ac:dyDescent="0.2">
      <c r="A30" s="18" t="s">
        <v>742</v>
      </c>
    </row>
    <row r="31" spans="1:4" x14ac:dyDescent="0.2">
      <c r="A31" s="53" t="s">
        <v>57</v>
      </c>
    </row>
    <row r="32" spans="1:4" x14ac:dyDescent="0.2">
      <c r="A32" s="18"/>
    </row>
    <row r="33" spans="1:1" ht="14.4" x14ac:dyDescent="0.3">
      <c r="A33" s="43"/>
    </row>
  </sheetData>
  <mergeCells count="1">
    <mergeCell ref="A1:E1"/>
  </mergeCells>
  <conditionalFormatting sqref="E5:E13">
    <cfRule type="cellIs" dxfId="10" priority="1" stopIfTrue="1" operator="between">
      <formula>0.009</formula>
      <formula>-0.009</formula>
    </cfRule>
  </conditionalFormatting>
  <hyperlinks>
    <hyperlink ref="A31" r:id="rId1" xr:uid="{00000000-0004-0000-3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31"/>
  <sheetViews>
    <sheetView workbookViewId="0">
      <selection sqref="A1:E1"/>
    </sheetView>
  </sheetViews>
  <sheetFormatPr defaultColWidth="9.109375" defaultRowHeight="10.199999999999999" x14ac:dyDescent="0.2"/>
  <cols>
    <col min="1" max="1" width="32.33203125" style="9" bestFit="1" customWidth="1"/>
    <col min="2" max="2" width="39.3320312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5" customHeight="1" x14ac:dyDescent="0.2">
      <c r="A1" s="76" t="s">
        <v>746</v>
      </c>
      <c r="B1" s="77"/>
      <c r="C1" s="77"/>
      <c r="D1" s="77"/>
      <c r="E1" s="77"/>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373</v>
      </c>
      <c r="B5" s="22"/>
      <c r="C5" s="23"/>
      <c r="D5" s="24"/>
      <c r="E5" s="25"/>
    </row>
    <row r="6" spans="1:8" x14ac:dyDescent="0.2">
      <c r="A6" s="27" t="s">
        <v>704</v>
      </c>
      <c r="B6" s="27" t="s">
        <v>703</v>
      </c>
      <c r="C6" s="31">
        <v>83313.404999999999</v>
      </c>
      <c r="D6" s="29">
        <v>2128.9783830000001</v>
      </c>
      <c r="E6" s="30">
        <v>97.302671200778605</v>
      </c>
    </row>
    <row r="7" spans="1:8" x14ac:dyDescent="0.2">
      <c r="A7" s="26" t="s">
        <v>39</v>
      </c>
      <c r="B7" s="26"/>
      <c r="C7" s="32"/>
      <c r="D7" s="33">
        <f>SUM(D6:D6)</f>
        <v>2128.9783830000001</v>
      </c>
      <c r="E7" s="34">
        <f>SUM(E6:E6)</f>
        <v>97.302671200778605</v>
      </c>
      <c r="F7" s="18"/>
      <c r="G7" s="18"/>
      <c r="H7" s="18"/>
    </row>
    <row r="8" spans="1:8" x14ac:dyDescent="0.2">
      <c r="A8" s="27"/>
      <c r="B8" s="27"/>
      <c r="C8" s="28"/>
      <c r="D8" s="29"/>
      <c r="E8" s="30"/>
    </row>
    <row r="9" spans="1:8" x14ac:dyDescent="0.2">
      <c r="A9" s="26" t="s">
        <v>42</v>
      </c>
      <c r="B9" s="26"/>
      <c r="C9" s="32"/>
      <c r="D9" s="33">
        <f>D7</f>
        <v>2128.9783830000001</v>
      </c>
      <c r="E9" s="34">
        <f>E7</f>
        <v>97.302671200778605</v>
      </c>
      <c r="F9" s="18"/>
      <c r="G9" s="18"/>
      <c r="H9" s="18"/>
    </row>
    <row r="10" spans="1:8" x14ac:dyDescent="0.2">
      <c r="A10" s="26"/>
      <c r="B10" s="26"/>
      <c r="C10" s="32"/>
      <c r="D10" s="33"/>
      <c r="E10" s="34"/>
      <c r="F10" s="18"/>
      <c r="G10" s="18"/>
      <c r="H10" s="18"/>
    </row>
    <row r="11" spans="1:8" x14ac:dyDescent="0.2">
      <c r="A11" s="26" t="s">
        <v>44</v>
      </c>
      <c r="B11" s="26"/>
      <c r="C11" s="32"/>
      <c r="D11" s="33">
        <f>D13-(D7)</f>
        <v>59.017441499999677</v>
      </c>
      <c r="E11" s="34">
        <f>E13-(E7)</f>
        <v>2.6973287992213955</v>
      </c>
      <c r="F11" s="18"/>
      <c r="G11" s="18"/>
      <c r="H11" s="18"/>
    </row>
    <row r="12" spans="1:8" x14ac:dyDescent="0.2">
      <c r="A12" s="26"/>
      <c r="B12" s="26"/>
      <c r="C12" s="32"/>
      <c r="D12" s="33"/>
      <c r="E12" s="34"/>
      <c r="F12" s="18"/>
      <c r="G12" s="18"/>
      <c r="H12" s="18"/>
    </row>
    <row r="13" spans="1:8" x14ac:dyDescent="0.2">
      <c r="A13" s="35" t="s">
        <v>43</v>
      </c>
      <c r="B13" s="35"/>
      <c r="C13" s="36"/>
      <c r="D13" s="37">
        <v>2187.9958244999998</v>
      </c>
      <c r="E13" s="38">
        <v>100</v>
      </c>
      <c r="F13" s="18"/>
      <c r="G13" s="18"/>
      <c r="H13" s="18"/>
    </row>
    <row r="16" spans="1:8" x14ac:dyDescent="0.2">
      <c r="A16" s="18" t="s">
        <v>47</v>
      </c>
    </row>
    <row r="17" spans="1:4" x14ac:dyDescent="0.2">
      <c r="A17" s="18" t="s">
        <v>48</v>
      </c>
    </row>
    <row r="18" spans="1:4" x14ac:dyDescent="0.2">
      <c r="A18" s="18" t="s">
        <v>49</v>
      </c>
      <c r="B18" s="18"/>
      <c r="C18" s="41" t="s">
        <v>731</v>
      </c>
      <c r="D18" s="41" t="s">
        <v>50</v>
      </c>
    </row>
    <row r="19" spans="1:4" x14ac:dyDescent="0.2">
      <c r="A19" s="9" t="s">
        <v>79</v>
      </c>
      <c r="C19" s="40">
        <v>7.532</v>
      </c>
      <c r="D19" s="40">
        <v>9.5976999999999997</v>
      </c>
    </row>
    <row r="20" spans="1:4" x14ac:dyDescent="0.2">
      <c r="A20" s="9" t="s">
        <v>85</v>
      </c>
      <c r="C20" s="40">
        <v>7.532</v>
      </c>
      <c r="D20" s="40">
        <v>9.5976999999999997</v>
      </c>
    </row>
    <row r="21" spans="1:4" x14ac:dyDescent="0.2">
      <c r="A21" s="9" t="s">
        <v>82</v>
      </c>
      <c r="C21" s="40">
        <v>8.1431000000000004</v>
      </c>
      <c r="D21" s="40">
        <v>10.4201</v>
      </c>
    </row>
    <row r="22" spans="1:4" x14ac:dyDescent="0.2">
      <c r="A22" s="9" t="s">
        <v>86</v>
      </c>
      <c r="C22" s="40">
        <v>8.1431000000000004</v>
      </c>
      <c r="D22" s="40">
        <v>10.4201</v>
      </c>
    </row>
    <row r="24" spans="1:4" x14ac:dyDescent="0.2">
      <c r="A24" s="9" t="s">
        <v>52</v>
      </c>
    </row>
    <row r="26" spans="1:4" x14ac:dyDescent="0.2">
      <c r="A26" s="18" t="s">
        <v>53</v>
      </c>
      <c r="D26" s="41" t="s">
        <v>54</v>
      </c>
    </row>
    <row r="28" spans="1:4" x14ac:dyDescent="0.2">
      <c r="A28" s="18" t="s">
        <v>231</v>
      </c>
      <c r="D28" s="46">
        <v>0.11395227009569611</v>
      </c>
    </row>
    <row r="30" spans="1:4" x14ac:dyDescent="0.2">
      <c r="A30" s="18" t="s">
        <v>742</v>
      </c>
    </row>
    <row r="31" spans="1:4" x14ac:dyDescent="0.2">
      <c r="A31" s="53" t="s">
        <v>57</v>
      </c>
    </row>
  </sheetData>
  <mergeCells count="1">
    <mergeCell ref="A1:E1"/>
  </mergeCells>
  <conditionalFormatting sqref="E5:E13">
    <cfRule type="cellIs" dxfId="9" priority="1" stopIfTrue="1" operator="between">
      <formula>0.009</formula>
      <formula>-0.009</formula>
    </cfRule>
  </conditionalFormatting>
  <hyperlinks>
    <hyperlink ref="A31" r:id="rId1" xr:uid="{00000000-0004-0000-3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1"/>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15" style="9" bestFit="1" customWidth="1"/>
    <col min="4" max="4" width="18.109375" style="10" customWidth="1"/>
    <col min="5" max="5" width="13.5546875" style="13" customWidth="1"/>
    <col min="6" max="16384" width="9.109375" style="9"/>
  </cols>
  <sheetData>
    <row r="1" spans="1:8" s="1" customFormat="1" ht="13.8" x14ac:dyDescent="0.2">
      <c r="A1" s="76" t="s">
        <v>28</v>
      </c>
      <c r="B1" s="77"/>
      <c r="C1" s="77"/>
      <c r="D1" s="77"/>
      <c r="E1" s="77"/>
    </row>
    <row r="2" spans="1:8" s="1" customFormat="1" ht="11.4" x14ac:dyDescent="0.2">
      <c r="D2" s="6"/>
      <c r="E2" s="7"/>
    </row>
    <row r="3" spans="1:8" s="1" customFormat="1" ht="12" x14ac:dyDescent="0.2">
      <c r="A3" s="11" t="s">
        <v>7</v>
      </c>
      <c r="B3" s="2"/>
      <c r="C3" s="3"/>
      <c r="D3" s="4"/>
      <c r="E3" s="5"/>
    </row>
    <row r="4" spans="1:8" s="1" customFormat="1" ht="24" customHeight="1" x14ac:dyDescent="0.2">
      <c r="A4" s="8" t="s">
        <v>2</v>
      </c>
      <c r="B4" s="8" t="s">
        <v>0</v>
      </c>
      <c r="C4" s="16" t="s">
        <v>1</v>
      </c>
      <c r="D4" s="75" t="s">
        <v>3</v>
      </c>
      <c r="E4" s="15" t="s">
        <v>4</v>
      </c>
    </row>
    <row r="5" spans="1:8" x14ac:dyDescent="0.2">
      <c r="A5" s="21" t="s">
        <v>1388</v>
      </c>
      <c r="B5" s="22"/>
      <c r="C5" s="23"/>
      <c r="D5" s="24"/>
      <c r="E5" s="25"/>
    </row>
    <row r="6" spans="1:8" x14ac:dyDescent="0.2">
      <c r="A6" s="27" t="s">
        <v>706</v>
      </c>
      <c r="B6" s="52" t="s">
        <v>705</v>
      </c>
      <c r="C6" s="31">
        <v>200365.212</v>
      </c>
      <c r="D6" s="29">
        <v>1286.455463</v>
      </c>
      <c r="E6" s="30">
        <v>29.278834615887501</v>
      </c>
    </row>
    <row r="7" spans="1:8" x14ac:dyDescent="0.2">
      <c r="A7" s="27" t="s">
        <v>708</v>
      </c>
      <c r="B7" s="52" t="s">
        <v>707</v>
      </c>
      <c r="C7" s="31">
        <v>2758398</v>
      </c>
      <c r="D7" s="29">
        <v>1119.633748</v>
      </c>
      <c r="E7" s="30">
        <v>25.482088016954801</v>
      </c>
    </row>
    <row r="8" spans="1:8" ht="20.399999999999999" x14ac:dyDescent="0.2">
      <c r="A8" s="27" t="s">
        <v>709</v>
      </c>
      <c r="B8" s="52" t="s">
        <v>739</v>
      </c>
      <c r="C8" s="31">
        <v>21611.65</v>
      </c>
      <c r="D8" s="29">
        <v>467.72101500000002</v>
      </c>
      <c r="E8" s="30">
        <v>10.6450060949837</v>
      </c>
    </row>
    <row r="9" spans="1:8" ht="20.399999999999999" x14ac:dyDescent="0.2">
      <c r="A9" s="27" t="s">
        <v>711</v>
      </c>
      <c r="B9" s="52" t="s">
        <v>710</v>
      </c>
      <c r="C9" s="31">
        <v>23973.544999999998</v>
      </c>
      <c r="D9" s="29">
        <v>0</v>
      </c>
      <c r="E9" s="29">
        <v>0</v>
      </c>
    </row>
    <row r="10" spans="1:8" ht="20.399999999999999" x14ac:dyDescent="0.2">
      <c r="A10" s="27" t="s">
        <v>713</v>
      </c>
      <c r="B10" s="52" t="s">
        <v>712</v>
      </c>
      <c r="C10" s="31">
        <v>22876.138999999999</v>
      </c>
      <c r="D10" s="29">
        <v>0</v>
      </c>
      <c r="E10" s="29">
        <v>0</v>
      </c>
    </row>
    <row r="11" spans="1:8" x14ac:dyDescent="0.2">
      <c r="A11" s="26" t="s">
        <v>39</v>
      </c>
      <c r="B11" s="26"/>
      <c r="C11" s="32"/>
      <c r="D11" s="33">
        <f>SUM(D6:D10)</f>
        <v>2873.8102260000001</v>
      </c>
      <c r="E11" s="34">
        <f>SUM(E6:E10)</f>
        <v>65.405928727825994</v>
      </c>
      <c r="F11" s="18"/>
      <c r="G11" s="18"/>
      <c r="H11" s="18"/>
    </row>
    <row r="12" spans="1:8" x14ac:dyDescent="0.2">
      <c r="A12" s="27"/>
      <c r="B12" s="27"/>
      <c r="C12" s="28"/>
      <c r="D12" s="29"/>
      <c r="E12" s="30"/>
    </row>
    <row r="13" spans="1:8" x14ac:dyDescent="0.2">
      <c r="A13" s="26" t="s">
        <v>42</v>
      </c>
      <c r="B13" s="26"/>
      <c r="C13" s="32"/>
      <c r="D13" s="33">
        <f>D11</f>
        <v>2873.8102260000001</v>
      </c>
      <c r="E13" s="34">
        <f>E11</f>
        <v>65.405928727825994</v>
      </c>
      <c r="F13" s="18"/>
      <c r="G13" s="18"/>
      <c r="H13" s="18"/>
    </row>
    <row r="14" spans="1:8" x14ac:dyDescent="0.2">
      <c r="A14" s="26"/>
      <c r="B14" s="26"/>
      <c r="C14" s="32"/>
      <c r="D14" s="33"/>
      <c r="E14" s="34"/>
      <c r="F14" s="18"/>
      <c r="G14" s="18"/>
      <c r="H14" s="18"/>
    </row>
    <row r="15" spans="1:8" x14ac:dyDescent="0.2">
      <c r="A15" s="26" t="s">
        <v>44</v>
      </c>
      <c r="B15" s="26"/>
      <c r="C15" s="32"/>
      <c r="D15" s="33">
        <f>D17-(D11)</f>
        <v>1519.9966993000003</v>
      </c>
      <c r="E15" s="34">
        <f>E17-(E11)</f>
        <v>34.594071272174006</v>
      </c>
      <c r="F15" s="18"/>
      <c r="G15" s="18"/>
      <c r="H15" s="18"/>
    </row>
    <row r="16" spans="1:8" x14ac:dyDescent="0.2">
      <c r="A16" s="26"/>
      <c r="B16" s="26"/>
      <c r="C16" s="32"/>
      <c r="D16" s="33"/>
      <c r="E16" s="34"/>
      <c r="F16" s="18"/>
      <c r="G16" s="18"/>
      <c r="H16" s="18"/>
    </row>
    <row r="17" spans="1:8" x14ac:dyDescent="0.2">
      <c r="A17" s="35" t="s">
        <v>43</v>
      </c>
      <c r="B17" s="35"/>
      <c r="C17" s="36"/>
      <c r="D17" s="37">
        <v>4393.8069253000003</v>
      </c>
      <c r="E17" s="38">
        <v>100</v>
      </c>
      <c r="F17" s="18"/>
      <c r="G17" s="18"/>
      <c r="H17" s="18"/>
    </row>
    <row r="19" spans="1:8" x14ac:dyDescent="0.2">
      <c r="A19" s="18" t="s">
        <v>740</v>
      </c>
    </row>
    <row r="20" spans="1:8" ht="28.5" customHeight="1" x14ac:dyDescent="0.3">
      <c r="A20" s="91" t="s">
        <v>741</v>
      </c>
      <c r="B20" s="85"/>
      <c r="C20" s="85"/>
      <c r="D20" s="85"/>
      <c r="E20" s="85"/>
    </row>
    <row r="22" spans="1:8" x14ac:dyDescent="0.2">
      <c r="A22" s="18" t="s">
        <v>47</v>
      </c>
    </row>
    <row r="23" spans="1:8" x14ac:dyDescent="0.2">
      <c r="A23" s="18" t="s">
        <v>48</v>
      </c>
    </row>
    <row r="24" spans="1:8" x14ac:dyDescent="0.2">
      <c r="A24" s="18" t="s">
        <v>49</v>
      </c>
      <c r="B24" s="18"/>
      <c r="C24" s="39" t="s">
        <v>51</v>
      </c>
      <c r="D24" s="41" t="s">
        <v>50</v>
      </c>
    </row>
    <row r="25" spans="1:8" x14ac:dyDescent="0.2">
      <c r="A25" s="9" t="s">
        <v>79</v>
      </c>
      <c r="C25" s="40">
        <v>10.552899999999999</v>
      </c>
      <c r="D25" s="40">
        <v>12.1699</v>
      </c>
    </row>
    <row r="26" spans="1:8" x14ac:dyDescent="0.2">
      <c r="A26" s="9" t="s">
        <v>85</v>
      </c>
      <c r="C26" s="40">
        <v>10.552899999999999</v>
      </c>
      <c r="D26" s="40">
        <v>12.1699</v>
      </c>
    </row>
    <row r="27" spans="1:8" x14ac:dyDescent="0.2">
      <c r="A27" s="9" t="s">
        <v>82</v>
      </c>
      <c r="C27" s="40">
        <v>11.382199999999999</v>
      </c>
      <c r="D27" s="40">
        <v>13.1785</v>
      </c>
    </row>
    <row r="28" spans="1:8" x14ac:dyDescent="0.2">
      <c r="A28" s="9" t="s">
        <v>86</v>
      </c>
      <c r="C28" s="40">
        <v>11.382199999999999</v>
      </c>
      <c r="D28" s="40">
        <v>13.1785</v>
      </c>
    </row>
    <row r="30" spans="1:8" x14ac:dyDescent="0.2">
      <c r="A30" s="9" t="s">
        <v>52</v>
      </c>
    </row>
    <row r="32" spans="1:8" x14ac:dyDescent="0.2">
      <c r="A32" s="18" t="s">
        <v>53</v>
      </c>
      <c r="D32" s="41" t="s">
        <v>54</v>
      </c>
    </row>
    <row r="34" spans="1:4" x14ac:dyDescent="0.2">
      <c r="A34" s="18" t="s">
        <v>231</v>
      </c>
      <c r="D34" s="46">
        <v>0.28186099407213461</v>
      </c>
    </row>
    <row r="36" spans="1:4" x14ac:dyDescent="0.2">
      <c r="A36" s="18" t="s">
        <v>56</v>
      </c>
      <c r="D36" s="41" t="s">
        <v>54</v>
      </c>
    </row>
    <row r="37" spans="1:4" x14ac:dyDescent="0.2">
      <c r="A37" s="9" t="s">
        <v>58</v>
      </c>
    </row>
    <row r="38" spans="1:4" x14ac:dyDescent="0.2">
      <c r="A38" s="53" t="s">
        <v>744</v>
      </c>
    </row>
    <row r="40" spans="1:4" x14ac:dyDescent="0.2">
      <c r="A40" s="18" t="s">
        <v>745</v>
      </c>
    </row>
    <row r="41" spans="1:4" x14ac:dyDescent="0.2">
      <c r="A41" s="53" t="s">
        <v>57</v>
      </c>
    </row>
  </sheetData>
  <mergeCells count="2">
    <mergeCell ref="A1:E1"/>
    <mergeCell ref="A20:E20"/>
  </mergeCells>
  <conditionalFormatting sqref="E5:E8 E11:E17">
    <cfRule type="cellIs" dxfId="8" priority="1" stopIfTrue="1" operator="between">
      <formula>0.009</formula>
      <formula>-0.009</formula>
    </cfRule>
  </conditionalFormatting>
  <hyperlinks>
    <hyperlink ref="A41" r:id="rId1" xr:uid="{00000000-0004-0000-3200-000000000000}"/>
    <hyperlink ref="A38" r:id="rId2" xr:uid="{00000000-0004-0000-32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37"/>
  <sheetViews>
    <sheetView workbookViewId="0">
      <selection sqref="A1:E1"/>
    </sheetView>
  </sheetViews>
  <sheetFormatPr defaultColWidth="9.109375" defaultRowHeight="10.199999999999999" x14ac:dyDescent="0.2"/>
  <cols>
    <col min="1" max="1" width="32.33203125" style="9" bestFit="1" customWidth="1"/>
    <col min="2" max="2" width="34.44140625" style="9" bestFit="1" customWidth="1"/>
    <col min="3" max="3" width="24.6640625" style="9" bestFit="1" customWidth="1"/>
    <col min="4" max="4" width="18.6640625" style="10" customWidth="1"/>
    <col min="5" max="5" width="15.6640625" style="13" customWidth="1"/>
    <col min="6" max="16384" width="9.109375" style="9"/>
  </cols>
  <sheetData>
    <row r="1" spans="1:8" s="1" customFormat="1" ht="13.8" x14ac:dyDescent="0.2">
      <c r="A1" s="76" t="s">
        <v>29</v>
      </c>
      <c r="B1" s="77"/>
      <c r="C1" s="77"/>
      <c r="D1" s="77"/>
      <c r="E1" s="77"/>
    </row>
    <row r="2" spans="1:8" s="1" customFormat="1" ht="11.4" x14ac:dyDescent="0.2">
      <c r="D2" s="6"/>
      <c r="E2" s="7"/>
    </row>
    <row r="3" spans="1:8" s="1" customFormat="1" ht="12" x14ac:dyDescent="0.2">
      <c r="A3" s="11" t="s">
        <v>7</v>
      </c>
      <c r="B3" s="2"/>
      <c r="C3" s="3"/>
      <c r="D3" s="4"/>
      <c r="E3" s="5"/>
    </row>
    <row r="4" spans="1:8" s="1" customFormat="1" ht="27.75" customHeight="1" x14ac:dyDescent="0.2">
      <c r="A4" s="8" t="s">
        <v>2</v>
      </c>
      <c r="B4" s="8" t="s">
        <v>0</v>
      </c>
      <c r="C4" s="16" t="s">
        <v>1</v>
      </c>
      <c r="D4" s="75" t="s">
        <v>3</v>
      </c>
      <c r="E4" s="15" t="s">
        <v>4</v>
      </c>
    </row>
    <row r="5" spans="1:8" x14ac:dyDescent="0.2">
      <c r="A5" s="21" t="s">
        <v>40</v>
      </c>
      <c r="B5" s="22"/>
      <c r="C5" s="23"/>
      <c r="D5" s="24"/>
      <c r="E5" s="25"/>
    </row>
    <row r="6" spans="1:8" x14ac:dyDescent="0.2">
      <c r="A6" s="27" t="s">
        <v>715</v>
      </c>
      <c r="B6" s="27" t="s">
        <v>714</v>
      </c>
      <c r="C6" s="31">
        <v>4073759.4440000001</v>
      </c>
      <c r="D6" s="29">
        <v>1633.6427169999999</v>
      </c>
      <c r="E6" s="30">
        <v>78.804703739821306</v>
      </c>
    </row>
    <row r="7" spans="1:8" x14ac:dyDescent="0.2">
      <c r="A7" s="27" t="s">
        <v>717</v>
      </c>
      <c r="B7" s="27" t="s">
        <v>716</v>
      </c>
      <c r="C7" s="31">
        <v>61461.714999999997</v>
      </c>
      <c r="D7" s="29">
        <v>204.79823999999999</v>
      </c>
      <c r="E7" s="30">
        <v>9.8791886755228795</v>
      </c>
    </row>
    <row r="8" spans="1:8" x14ac:dyDescent="0.2">
      <c r="A8" s="27" t="s">
        <v>706</v>
      </c>
      <c r="B8" s="27" t="s">
        <v>705</v>
      </c>
      <c r="C8" s="31">
        <v>31849.043000000001</v>
      </c>
      <c r="D8" s="29">
        <v>204.4884686</v>
      </c>
      <c r="E8" s="30">
        <v>9.8642457243193906</v>
      </c>
    </row>
    <row r="9" spans="1:8" x14ac:dyDescent="0.2">
      <c r="A9" s="26" t="s">
        <v>39</v>
      </c>
      <c r="B9" s="26"/>
      <c r="C9" s="32"/>
      <c r="D9" s="33">
        <f>SUM(D6:D8)</f>
        <v>2042.9294256000001</v>
      </c>
      <c r="E9" s="34">
        <f>SUM(E6:E8)</f>
        <v>98.548138139663578</v>
      </c>
      <c r="F9" s="18"/>
      <c r="G9" s="18"/>
      <c r="H9" s="18"/>
    </row>
    <row r="10" spans="1:8" x14ac:dyDescent="0.2">
      <c r="A10" s="27"/>
      <c r="B10" s="27"/>
      <c r="C10" s="28"/>
      <c r="D10" s="29"/>
      <c r="E10" s="30"/>
    </row>
    <row r="11" spans="1:8" x14ac:dyDescent="0.2">
      <c r="A11" s="26" t="s">
        <v>42</v>
      </c>
      <c r="B11" s="26"/>
      <c r="C11" s="32"/>
      <c r="D11" s="33">
        <f>D9</f>
        <v>2042.9294256000001</v>
      </c>
      <c r="E11" s="34">
        <f>E9</f>
        <v>98.548138139663578</v>
      </c>
      <c r="F11" s="18"/>
      <c r="G11" s="18"/>
      <c r="H11" s="18"/>
    </row>
    <row r="12" spans="1:8" x14ac:dyDescent="0.2">
      <c r="A12" s="26"/>
      <c r="B12" s="26"/>
      <c r="C12" s="32"/>
      <c r="D12" s="33"/>
      <c r="E12" s="34"/>
      <c r="F12" s="18"/>
      <c r="G12" s="18"/>
      <c r="H12" s="18"/>
    </row>
    <row r="13" spans="1:8" x14ac:dyDescent="0.2">
      <c r="A13" s="26" t="s">
        <v>44</v>
      </c>
      <c r="B13" s="26"/>
      <c r="C13" s="32"/>
      <c r="D13" s="33">
        <f>D15-(D9)</f>
        <v>30.09748710000008</v>
      </c>
      <c r="E13" s="34">
        <f>E15-(E9)</f>
        <v>1.4518618603364217</v>
      </c>
      <c r="F13" s="18"/>
      <c r="G13" s="18"/>
      <c r="H13" s="18"/>
    </row>
    <row r="14" spans="1:8" x14ac:dyDescent="0.2">
      <c r="A14" s="26"/>
      <c r="B14" s="26"/>
      <c r="C14" s="32"/>
      <c r="D14" s="33"/>
      <c r="E14" s="34"/>
      <c r="F14" s="18"/>
      <c r="G14" s="18"/>
      <c r="H14" s="18"/>
    </row>
    <row r="15" spans="1:8" x14ac:dyDescent="0.2">
      <c r="A15" s="35" t="s">
        <v>43</v>
      </c>
      <c r="B15" s="35"/>
      <c r="C15" s="36"/>
      <c r="D15" s="37">
        <v>2073.0269127000001</v>
      </c>
      <c r="E15" s="38">
        <v>100</v>
      </c>
      <c r="F15" s="18"/>
      <c r="G15" s="18"/>
      <c r="H15" s="18"/>
    </row>
    <row r="17" spans="1:4" x14ac:dyDescent="0.2">
      <c r="A17" s="18" t="s">
        <v>47</v>
      </c>
    </row>
    <row r="18" spans="1:4" x14ac:dyDescent="0.2">
      <c r="A18" s="18" t="s">
        <v>48</v>
      </c>
    </row>
    <row r="19" spans="1:4" x14ac:dyDescent="0.2">
      <c r="A19" s="18" t="s">
        <v>49</v>
      </c>
      <c r="B19" s="18"/>
      <c r="C19" s="39" t="s">
        <v>51</v>
      </c>
      <c r="D19" s="41" t="s">
        <v>50</v>
      </c>
    </row>
    <row r="20" spans="1:4" x14ac:dyDescent="0.2">
      <c r="A20" s="9" t="s">
        <v>97</v>
      </c>
      <c r="C20" s="40">
        <v>40.595300000000002</v>
      </c>
      <c r="D20" s="40">
        <v>43.962000000000003</v>
      </c>
    </row>
    <row r="21" spans="1:4" x14ac:dyDescent="0.2">
      <c r="A21" s="9" t="s">
        <v>718</v>
      </c>
      <c r="C21" s="40">
        <v>13.637</v>
      </c>
      <c r="D21" s="40">
        <v>14.2249</v>
      </c>
    </row>
    <row r="22" spans="1:4" x14ac:dyDescent="0.2">
      <c r="A22" s="9" t="s">
        <v>98</v>
      </c>
      <c r="C22" s="40">
        <v>41.988900000000001</v>
      </c>
      <c r="D22" s="40">
        <v>45.618600000000001</v>
      </c>
    </row>
    <row r="23" spans="1:4" x14ac:dyDescent="0.2">
      <c r="A23" s="9" t="s">
        <v>719</v>
      </c>
      <c r="C23" s="40">
        <v>14.151</v>
      </c>
      <c r="D23" s="40">
        <v>14.8116</v>
      </c>
    </row>
    <row r="25" spans="1:4" x14ac:dyDescent="0.2">
      <c r="A25" s="18" t="s">
        <v>53</v>
      </c>
    </row>
    <row r="26" spans="1:4" x14ac:dyDescent="0.2">
      <c r="A26" s="82" t="s">
        <v>76</v>
      </c>
      <c r="B26" s="83"/>
      <c r="C26" s="44" t="s">
        <v>77</v>
      </c>
    </row>
    <row r="27" spans="1:4" x14ac:dyDescent="0.2">
      <c r="A27" s="78" t="s">
        <v>718</v>
      </c>
      <c r="B27" s="79"/>
      <c r="C27" s="45">
        <v>0.53</v>
      </c>
    </row>
    <row r="28" spans="1:4" x14ac:dyDescent="0.2">
      <c r="A28" s="78" t="s">
        <v>719</v>
      </c>
      <c r="B28" s="79"/>
      <c r="C28" s="45">
        <v>0.53</v>
      </c>
    </row>
    <row r="29" spans="1:4" x14ac:dyDescent="0.2">
      <c r="A29" s="9" t="s">
        <v>78</v>
      </c>
    </row>
    <row r="30" spans="1:4" x14ac:dyDescent="0.2">
      <c r="A30" s="9" t="s">
        <v>52</v>
      </c>
    </row>
    <row r="32" spans="1:4" x14ac:dyDescent="0.2">
      <c r="A32" s="18" t="s">
        <v>231</v>
      </c>
      <c r="D32" s="46">
        <v>6.6514187007732442E-2</v>
      </c>
    </row>
    <row r="34" spans="1:1" x14ac:dyDescent="0.2">
      <c r="A34" s="18" t="s">
        <v>742</v>
      </c>
    </row>
    <row r="35" spans="1:1" x14ac:dyDescent="0.2">
      <c r="A35" s="53" t="s">
        <v>57</v>
      </c>
    </row>
    <row r="36" spans="1:1" x14ac:dyDescent="0.2">
      <c r="A36" s="18"/>
    </row>
    <row r="37" spans="1:1" ht="14.4" x14ac:dyDescent="0.3">
      <c r="A37" s="43"/>
    </row>
  </sheetData>
  <mergeCells count="4">
    <mergeCell ref="A1:E1"/>
    <mergeCell ref="A26:B26"/>
    <mergeCell ref="A27:B27"/>
    <mergeCell ref="A28:B28"/>
  </mergeCells>
  <conditionalFormatting sqref="E5:E15">
    <cfRule type="cellIs" dxfId="7" priority="1" stopIfTrue="1" operator="between">
      <formula>0.009</formula>
      <formula>-0.009</formula>
    </cfRule>
  </conditionalFormatting>
  <hyperlinks>
    <hyperlink ref="A35" r:id="rId1" xr:uid="{00000000-0004-0000-3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45"/>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24.6640625" style="9" customWidth="1"/>
    <col min="4" max="4" width="18.33203125" style="10" customWidth="1"/>
    <col min="5" max="5" width="13.5546875" style="13" customWidth="1"/>
    <col min="6" max="16384" width="9.109375" style="9"/>
  </cols>
  <sheetData>
    <row r="1" spans="1:8" s="1" customFormat="1" ht="13.8" x14ac:dyDescent="0.2">
      <c r="A1" s="76" t="s">
        <v>30</v>
      </c>
      <c r="B1" s="77"/>
      <c r="C1" s="77"/>
      <c r="D1" s="77"/>
      <c r="E1" s="77"/>
    </row>
    <row r="2" spans="1:8" s="1" customFormat="1" ht="11.4" x14ac:dyDescent="0.2">
      <c r="D2" s="6"/>
      <c r="E2" s="7"/>
    </row>
    <row r="3" spans="1:8" s="1" customFormat="1" ht="12" x14ac:dyDescent="0.2">
      <c r="A3" s="11" t="s">
        <v>7</v>
      </c>
      <c r="B3" s="2"/>
      <c r="C3" s="3"/>
      <c r="D3" s="4"/>
      <c r="E3" s="5"/>
    </row>
    <row r="4" spans="1:8" s="1" customFormat="1" ht="27.75" customHeight="1" x14ac:dyDescent="0.2">
      <c r="A4" s="8" t="s">
        <v>2</v>
      </c>
      <c r="B4" s="8" t="s">
        <v>0</v>
      </c>
      <c r="C4" s="16" t="s">
        <v>1</v>
      </c>
      <c r="D4" s="75" t="s">
        <v>3</v>
      </c>
      <c r="E4" s="15" t="s">
        <v>4</v>
      </c>
    </row>
    <row r="5" spans="1:8" x14ac:dyDescent="0.2">
      <c r="A5" s="21" t="s">
        <v>40</v>
      </c>
      <c r="B5" s="22"/>
      <c r="C5" s="23"/>
      <c r="D5" s="24"/>
      <c r="E5" s="25"/>
    </row>
    <row r="6" spans="1:8" x14ac:dyDescent="0.2">
      <c r="A6" s="27" t="s">
        <v>721</v>
      </c>
      <c r="B6" s="52" t="s">
        <v>720</v>
      </c>
      <c r="C6" s="31">
        <v>1472906.625</v>
      </c>
      <c r="D6" s="29">
        <v>1211.6910539999999</v>
      </c>
      <c r="E6" s="30">
        <v>73.907499357323005</v>
      </c>
    </row>
    <row r="7" spans="1:8" x14ac:dyDescent="0.2">
      <c r="A7" s="27" t="s">
        <v>717</v>
      </c>
      <c r="B7" s="52" t="s">
        <v>716</v>
      </c>
      <c r="C7" s="31">
        <v>48635.430999999997</v>
      </c>
      <c r="D7" s="29">
        <v>162.0594328</v>
      </c>
      <c r="E7" s="30">
        <v>9.8848690728339097</v>
      </c>
    </row>
    <row r="8" spans="1:8" x14ac:dyDescent="0.2">
      <c r="A8" s="27" t="s">
        <v>706</v>
      </c>
      <c r="B8" s="52" t="s">
        <v>705</v>
      </c>
      <c r="C8" s="31">
        <v>25195.708999999999</v>
      </c>
      <c r="D8" s="29">
        <v>161.770385</v>
      </c>
      <c r="E8" s="30">
        <v>9.8672385060139192</v>
      </c>
    </row>
    <row r="9" spans="1:8" ht="20.399999999999999" x14ac:dyDescent="0.2">
      <c r="A9" s="27" t="s">
        <v>722</v>
      </c>
      <c r="B9" s="52" t="s">
        <v>743</v>
      </c>
      <c r="C9" s="31">
        <v>229121.18599999999</v>
      </c>
      <c r="D9" s="29">
        <v>88.092055400000007</v>
      </c>
      <c r="E9" s="30">
        <v>5.37320425562931</v>
      </c>
    </row>
    <row r="10" spans="1:8" ht="20.399999999999999" x14ac:dyDescent="0.2">
      <c r="A10" s="27" t="s">
        <v>724</v>
      </c>
      <c r="B10" s="52" t="s">
        <v>723</v>
      </c>
      <c r="C10" s="31">
        <v>489502.28</v>
      </c>
      <c r="D10" s="29">
        <v>0</v>
      </c>
      <c r="E10" s="29">
        <v>0</v>
      </c>
    </row>
    <row r="11" spans="1:8" ht="20.399999999999999" x14ac:dyDescent="0.2">
      <c r="A11" s="27" t="s">
        <v>726</v>
      </c>
      <c r="B11" s="52" t="s">
        <v>725</v>
      </c>
      <c r="C11" s="31">
        <v>371180.549</v>
      </c>
      <c r="D11" s="29">
        <v>0</v>
      </c>
      <c r="E11" s="29">
        <v>0</v>
      </c>
    </row>
    <row r="12" spans="1:8" x14ac:dyDescent="0.2">
      <c r="A12" s="26" t="s">
        <v>39</v>
      </c>
      <c r="B12" s="26"/>
      <c r="C12" s="32"/>
      <c r="D12" s="33">
        <f>SUM(D6:D11)</f>
        <v>1623.6129271999998</v>
      </c>
      <c r="E12" s="34">
        <f>SUM(E6:E11)</f>
        <v>99.032811191800135</v>
      </c>
      <c r="F12" s="18"/>
      <c r="G12" s="18"/>
      <c r="H12" s="18"/>
    </row>
    <row r="13" spans="1:8" x14ac:dyDescent="0.2">
      <c r="A13" s="27"/>
      <c r="B13" s="27"/>
      <c r="C13" s="28"/>
      <c r="D13" s="29"/>
      <c r="E13" s="30"/>
    </row>
    <row r="14" spans="1:8" x14ac:dyDescent="0.2">
      <c r="A14" s="26" t="s">
        <v>42</v>
      </c>
      <c r="B14" s="26"/>
      <c r="C14" s="32"/>
      <c r="D14" s="33">
        <f>D12</f>
        <v>1623.6129271999998</v>
      </c>
      <c r="E14" s="34">
        <f>E12</f>
        <v>99.032811191800135</v>
      </c>
      <c r="F14" s="18"/>
      <c r="G14" s="18"/>
      <c r="H14" s="18"/>
    </row>
    <row r="15" spans="1:8" x14ac:dyDescent="0.2">
      <c r="A15" s="26"/>
      <c r="B15" s="26"/>
      <c r="C15" s="32"/>
      <c r="D15" s="33"/>
      <c r="E15" s="34"/>
      <c r="F15" s="18"/>
      <c r="G15" s="18"/>
      <c r="H15" s="18"/>
    </row>
    <row r="16" spans="1:8" x14ac:dyDescent="0.2">
      <c r="A16" s="26" t="s">
        <v>44</v>
      </c>
      <c r="B16" s="26"/>
      <c r="C16" s="32"/>
      <c r="D16" s="33">
        <f>D18-(D12)</f>
        <v>15.856767400000081</v>
      </c>
      <c r="E16" s="34">
        <f>E18-(E12)</f>
        <v>0.96718880819986452</v>
      </c>
      <c r="F16" s="18"/>
      <c r="G16" s="18"/>
      <c r="H16" s="18"/>
    </row>
    <row r="17" spans="1:8" x14ac:dyDescent="0.2">
      <c r="A17" s="26"/>
      <c r="B17" s="26"/>
      <c r="C17" s="32"/>
      <c r="D17" s="33"/>
      <c r="E17" s="34"/>
      <c r="F17" s="18"/>
      <c r="G17" s="18"/>
      <c r="H17" s="18"/>
    </row>
    <row r="18" spans="1:8" x14ac:dyDescent="0.2">
      <c r="A18" s="35" t="s">
        <v>43</v>
      </c>
      <c r="B18" s="35"/>
      <c r="C18" s="36"/>
      <c r="D18" s="37">
        <v>1639.4696945999999</v>
      </c>
      <c r="E18" s="38">
        <v>100</v>
      </c>
      <c r="F18" s="18"/>
      <c r="G18" s="18"/>
      <c r="H18" s="18"/>
    </row>
    <row r="20" spans="1:8" x14ac:dyDescent="0.2">
      <c r="A20" s="18" t="s">
        <v>740</v>
      </c>
    </row>
    <row r="21" spans="1:8" ht="27" customHeight="1" x14ac:dyDescent="0.3">
      <c r="A21" s="91" t="s">
        <v>741</v>
      </c>
      <c r="B21" s="85"/>
      <c r="C21" s="85"/>
      <c r="D21" s="85"/>
      <c r="E21" s="85"/>
    </row>
    <row r="23" spans="1:8" x14ac:dyDescent="0.2">
      <c r="A23" s="18" t="s">
        <v>47</v>
      </c>
    </row>
    <row r="24" spans="1:8" x14ac:dyDescent="0.2">
      <c r="A24" s="18" t="s">
        <v>48</v>
      </c>
    </row>
    <row r="25" spans="1:8" x14ac:dyDescent="0.2">
      <c r="A25" s="18" t="s">
        <v>49</v>
      </c>
      <c r="B25" s="18"/>
      <c r="C25" s="39" t="s">
        <v>51</v>
      </c>
      <c r="D25" s="41" t="s">
        <v>50</v>
      </c>
    </row>
    <row r="26" spans="1:8" x14ac:dyDescent="0.2">
      <c r="A26" s="9" t="s">
        <v>97</v>
      </c>
      <c r="C26" s="40">
        <v>28.296700000000001</v>
      </c>
      <c r="D26" s="40">
        <v>32.358199999999997</v>
      </c>
    </row>
    <row r="27" spans="1:8" x14ac:dyDescent="0.2">
      <c r="A27" s="9" t="s">
        <v>718</v>
      </c>
      <c r="C27" s="40">
        <v>9.6888000000000005</v>
      </c>
      <c r="D27" s="40">
        <v>10.856</v>
      </c>
    </row>
    <row r="28" spans="1:8" x14ac:dyDescent="0.2">
      <c r="A28" s="9" t="s">
        <v>98</v>
      </c>
      <c r="C28" s="40">
        <v>29.817699999999999</v>
      </c>
      <c r="D28" s="40">
        <v>34.2393</v>
      </c>
    </row>
    <row r="29" spans="1:8" x14ac:dyDescent="0.2">
      <c r="A29" s="9" t="s">
        <v>719</v>
      </c>
      <c r="C29" s="40">
        <v>10.226800000000001</v>
      </c>
      <c r="D29" s="40">
        <v>11.5192</v>
      </c>
    </row>
    <row r="31" spans="1:8" x14ac:dyDescent="0.2">
      <c r="A31" s="18" t="s">
        <v>53</v>
      </c>
    </row>
    <row r="32" spans="1:8" x14ac:dyDescent="0.2">
      <c r="A32" s="82" t="s">
        <v>76</v>
      </c>
      <c r="B32" s="83"/>
      <c r="C32" s="44" t="s">
        <v>77</v>
      </c>
    </row>
    <row r="33" spans="1:4" x14ac:dyDescent="0.2">
      <c r="A33" s="78" t="s">
        <v>718</v>
      </c>
      <c r="B33" s="79"/>
      <c r="C33" s="45">
        <v>0.22</v>
      </c>
    </row>
    <row r="34" spans="1:4" x14ac:dyDescent="0.2">
      <c r="A34" s="78" t="s">
        <v>719</v>
      </c>
      <c r="B34" s="79"/>
      <c r="C34" s="45">
        <v>0.22</v>
      </c>
    </row>
    <row r="35" spans="1:4" x14ac:dyDescent="0.2">
      <c r="A35" s="9" t="s">
        <v>78</v>
      </c>
    </row>
    <row r="36" spans="1:4" x14ac:dyDescent="0.2">
      <c r="A36" s="9" t="s">
        <v>52</v>
      </c>
    </row>
    <row r="38" spans="1:4" x14ac:dyDescent="0.2">
      <c r="A38" s="18" t="s">
        <v>231</v>
      </c>
      <c r="D38" s="46">
        <v>0.21082772025765051</v>
      </c>
    </row>
    <row r="40" spans="1:4" x14ac:dyDescent="0.2">
      <c r="A40" s="18" t="s">
        <v>56</v>
      </c>
      <c r="D40" s="41" t="s">
        <v>54</v>
      </c>
    </row>
    <row r="41" spans="1:4" x14ac:dyDescent="0.2">
      <c r="A41" s="9" t="s">
        <v>58</v>
      </c>
    </row>
    <row r="42" spans="1:4" x14ac:dyDescent="0.2">
      <c r="A42" s="53" t="s">
        <v>744</v>
      </c>
    </row>
    <row r="44" spans="1:4" x14ac:dyDescent="0.2">
      <c r="A44" s="18" t="s">
        <v>745</v>
      </c>
    </row>
    <row r="45" spans="1:4" x14ac:dyDescent="0.2">
      <c r="A45" s="53" t="s">
        <v>57</v>
      </c>
    </row>
  </sheetData>
  <mergeCells count="5">
    <mergeCell ref="A1:E1"/>
    <mergeCell ref="A32:B32"/>
    <mergeCell ref="A33:B33"/>
    <mergeCell ref="A34:B34"/>
    <mergeCell ref="A21:E21"/>
  </mergeCells>
  <conditionalFormatting sqref="E5:E9 E12:E18">
    <cfRule type="cellIs" dxfId="6" priority="1" stopIfTrue="1" operator="between">
      <formula>0.009</formula>
      <formula>-0.009</formula>
    </cfRule>
  </conditionalFormatting>
  <hyperlinks>
    <hyperlink ref="A45" r:id="rId1" xr:uid="{00000000-0004-0000-3400-000000000000}"/>
    <hyperlink ref="A42" r:id="rId2" xr:uid="{00000000-0004-0000-34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46"/>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15" style="9" bestFit="1" customWidth="1"/>
    <col min="4" max="4" width="17.109375" style="10" customWidth="1"/>
    <col min="5" max="5" width="13.5546875" style="13" customWidth="1"/>
    <col min="6" max="16384" width="9.109375" style="9"/>
  </cols>
  <sheetData>
    <row r="1" spans="1:8" s="1" customFormat="1" ht="13.8" x14ac:dyDescent="0.2">
      <c r="A1" s="76" t="s">
        <v>31</v>
      </c>
      <c r="B1" s="77"/>
      <c r="C1" s="77"/>
      <c r="D1" s="77"/>
      <c r="E1" s="77"/>
    </row>
    <row r="2" spans="1:8" s="1" customFormat="1" ht="11.4" x14ac:dyDescent="0.2">
      <c r="D2" s="6"/>
      <c r="E2" s="7"/>
    </row>
    <row r="3" spans="1:8" s="1" customFormat="1" ht="12" x14ac:dyDescent="0.2">
      <c r="A3" s="11" t="s">
        <v>7</v>
      </c>
      <c r="B3" s="2"/>
      <c r="C3" s="3"/>
      <c r="D3" s="4"/>
      <c r="E3" s="5"/>
    </row>
    <row r="4" spans="1:8" s="1" customFormat="1" ht="30" customHeight="1" x14ac:dyDescent="0.2">
      <c r="A4" s="8" t="s">
        <v>2</v>
      </c>
      <c r="B4" s="8" t="s">
        <v>0</v>
      </c>
      <c r="C4" s="16" t="s">
        <v>1</v>
      </c>
      <c r="D4" s="75" t="s">
        <v>3</v>
      </c>
      <c r="E4" s="15" t="s">
        <v>4</v>
      </c>
    </row>
    <row r="5" spans="1:8" x14ac:dyDescent="0.2">
      <c r="A5" s="21" t="s">
        <v>40</v>
      </c>
      <c r="B5" s="22"/>
      <c r="C5" s="23"/>
      <c r="D5" s="24"/>
      <c r="E5" s="25"/>
    </row>
    <row r="6" spans="1:8" x14ac:dyDescent="0.2">
      <c r="A6" s="27" t="s">
        <v>721</v>
      </c>
      <c r="B6" s="52" t="s">
        <v>720</v>
      </c>
      <c r="C6" s="31">
        <v>1318508.3559999999</v>
      </c>
      <c r="D6" s="29">
        <v>1084.674855</v>
      </c>
      <c r="E6" s="30">
        <v>57.854292460432902</v>
      </c>
    </row>
    <row r="7" spans="1:8" x14ac:dyDescent="0.2">
      <c r="A7" s="27" t="s">
        <v>706</v>
      </c>
      <c r="B7" s="52" t="s">
        <v>705</v>
      </c>
      <c r="C7" s="31">
        <v>43531.012000000002</v>
      </c>
      <c r="D7" s="29">
        <v>279.49316970000001</v>
      </c>
      <c r="E7" s="30">
        <v>14.907582217822499</v>
      </c>
    </row>
    <row r="8" spans="1:8" x14ac:dyDescent="0.2">
      <c r="A8" s="27" t="s">
        <v>728</v>
      </c>
      <c r="B8" s="52" t="s">
        <v>727</v>
      </c>
      <c r="C8" s="31">
        <v>13534.285</v>
      </c>
      <c r="D8" s="29">
        <v>184.3303976</v>
      </c>
      <c r="E8" s="30">
        <v>9.8317986103755306</v>
      </c>
    </row>
    <row r="9" spans="1:8" x14ac:dyDescent="0.2">
      <c r="A9" s="27" t="s">
        <v>717</v>
      </c>
      <c r="B9" s="52" t="s">
        <v>716</v>
      </c>
      <c r="C9" s="31">
        <v>55179.472000000002</v>
      </c>
      <c r="D9" s="29">
        <v>183.86500849999999</v>
      </c>
      <c r="E9" s="30">
        <v>9.8069757273012304</v>
      </c>
    </row>
    <row r="10" spans="1:8" ht="20.399999999999999" x14ac:dyDescent="0.2">
      <c r="A10" s="27" t="s">
        <v>722</v>
      </c>
      <c r="B10" s="52" t="s">
        <v>743</v>
      </c>
      <c r="C10" s="31">
        <v>298251.565</v>
      </c>
      <c r="D10" s="29">
        <v>114.6711652</v>
      </c>
      <c r="E10" s="30">
        <v>6.1163205707939197</v>
      </c>
    </row>
    <row r="11" spans="1:8" ht="20.399999999999999" x14ac:dyDescent="0.2">
      <c r="A11" s="27" t="s">
        <v>724</v>
      </c>
      <c r="B11" s="52" t="s">
        <v>723</v>
      </c>
      <c r="C11" s="31">
        <v>631308.71</v>
      </c>
      <c r="D11" s="29">
        <v>0</v>
      </c>
      <c r="E11" s="29">
        <v>0</v>
      </c>
    </row>
    <row r="12" spans="1:8" ht="20.399999999999999" x14ac:dyDescent="0.2">
      <c r="A12" s="27" t="s">
        <v>726</v>
      </c>
      <c r="B12" s="52" t="s">
        <v>725</v>
      </c>
      <c r="C12" s="31">
        <v>584729.58299999998</v>
      </c>
      <c r="D12" s="29">
        <v>0</v>
      </c>
      <c r="E12" s="29">
        <v>0</v>
      </c>
    </row>
    <row r="13" spans="1:8" x14ac:dyDescent="0.2">
      <c r="A13" s="26" t="s">
        <v>39</v>
      </c>
      <c r="B13" s="26"/>
      <c r="C13" s="32"/>
      <c r="D13" s="33">
        <f>SUM(D6:D12)</f>
        <v>1847.0345959999997</v>
      </c>
      <c r="E13" s="34">
        <f>SUM(E6:E12)</f>
        <v>98.516969586726077</v>
      </c>
      <c r="F13" s="18"/>
      <c r="G13" s="18"/>
      <c r="H13" s="18"/>
    </row>
    <row r="14" spans="1:8" x14ac:dyDescent="0.2">
      <c r="A14" s="27"/>
      <c r="B14" s="27"/>
      <c r="C14" s="28"/>
      <c r="D14" s="29"/>
      <c r="E14" s="30"/>
    </row>
    <row r="15" spans="1:8" x14ac:dyDescent="0.2">
      <c r="A15" s="26" t="s">
        <v>42</v>
      </c>
      <c r="B15" s="26"/>
      <c r="C15" s="32"/>
      <c r="D15" s="33">
        <f>D13</f>
        <v>1847.0345959999997</v>
      </c>
      <c r="E15" s="34">
        <f>E13</f>
        <v>98.516969586726077</v>
      </c>
      <c r="F15" s="18"/>
      <c r="G15" s="18"/>
      <c r="H15" s="18"/>
    </row>
    <row r="16" spans="1:8" x14ac:dyDescent="0.2">
      <c r="A16" s="26"/>
      <c r="B16" s="26"/>
      <c r="C16" s="32"/>
      <c r="D16" s="33"/>
      <c r="E16" s="34"/>
      <c r="F16" s="18"/>
      <c r="G16" s="18"/>
      <c r="H16" s="18"/>
    </row>
    <row r="17" spans="1:8" x14ac:dyDescent="0.2">
      <c r="A17" s="26" t="s">
        <v>44</v>
      </c>
      <c r="B17" s="26"/>
      <c r="C17" s="32"/>
      <c r="D17" s="33">
        <f>D19-(D13)</f>
        <v>27.804433000000245</v>
      </c>
      <c r="E17" s="34">
        <f>E19-(E13)</f>
        <v>1.4830304132739229</v>
      </c>
      <c r="F17" s="18"/>
      <c r="G17" s="18"/>
      <c r="H17" s="18"/>
    </row>
    <row r="18" spans="1:8" x14ac:dyDescent="0.2">
      <c r="A18" s="26"/>
      <c r="B18" s="26"/>
      <c r="C18" s="32"/>
      <c r="D18" s="33"/>
      <c r="E18" s="34"/>
      <c r="F18" s="18"/>
      <c r="G18" s="18"/>
      <c r="H18" s="18"/>
    </row>
    <row r="19" spans="1:8" x14ac:dyDescent="0.2">
      <c r="A19" s="35" t="s">
        <v>43</v>
      </c>
      <c r="B19" s="35"/>
      <c r="C19" s="36"/>
      <c r="D19" s="37">
        <v>1874.839029</v>
      </c>
      <c r="E19" s="38">
        <v>100</v>
      </c>
      <c r="F19" s="18"/>
      <c r="G19" s="18"/>
      <c r="H19" s="18"/>
    </row>
    <row r="21" spans="1:8" x14ac:dyDescent="0.2">
      <c r="A21" s="18" t="s">
        <v>740</v>
      </c>
      <c r="C21" s="10"/>
      <c r="D21" s="13"/>
      <c r="E21" s="14"/>
    </row>
    <row r="22" spans="1:8" ht="27.75" customHeight="1" x14ac:dyDescent="0.3">
      <c r="A22" s="91" t="s">
        <v>741</v>
      </c>
      <c r="B22" s="85"/>
      <c r="C22" s="85"/>
      <c r="D22" s="85"/>
      <c r="E22" s="85"/>
    </row>
    <row r="24" spans="1:8" x14ac:dyDescent="0.2">
      <c r="A24" s="18" t="s">
        <v>47</v>
      </c>
    </row>
    <row r="25" spans="1:8" x14ac:dyDescent="0.2">
      <c r="A25" s="18" t="s">
        <v>48</v>
      </c>
    </row>
    <row r="26" spans="1:8" x14ac:dyDescent="0.2">
      <c r="A26" s="18" t="s">
        <v>49</v>
      </c>
      <c r="B26" s="18"/>
      <c r="C26" s="39" t="s">
        <v>51</v>
      </c>
      <c r="D26" s="41" t="s">
        <v>50</v>
      </c>
    </row>
    <row r="27" spans="1:8" x14ac:dyDescent="0.2">
      <c r="A27" s="9" t="s">
        <v>97</v>
      </c>
      <c r="C27" s="40">
        <v>41.709699999999998</v>
      </c>
      <c r="D27" s="40">
        <v>50.017899999999997</v>
      </c>
    </row>
    <row r="28" spans="1:8" x14ac:dyDescent="0.2">
      <c r="A28" s="9" t="s">
        <v>718</v>
      </c>
      <c r="C28" s="40">
        <v>10.9153</v>
      </c>
      <c r="D28" s="40">
        <v>13.089499999999999</v>
      </c>
    </row>
    <row r="29" spans="1:8" x14ac:dyDescent="0.2">
      <c r="A29" s="9" t="s">
        <v>98</v>
      </c>
      <c r="C29" s="40">
        <v>43.920099999999998</v>
      </c>
      <c r="D29" s="40">
        <v>52.862200000000001</v>
      </c>
    </row>
    <row r="30" spans="1:8" x14ac:dyDescent="0.2">
      <c r="A30" s="9" t="s">
        <v>719</v>
      </c>
      <c r="C30" s="40">
        <v>11.489699999999999</v>
      </c>
      <c r="D30" s="40">
        <v>13.823</v>
      </c>
    </row>
    <row r="32" spans="1:8" x14ac:dyDescent="0.2">
      <c r="A32" s="9" t="s">
        <v>52</v>
      </c>
    </row>
    <row r="34" spans="1:4" x14ac:dyDescent="0.2">
      <c r="A34" s="18" t="s">
        <v>53</v>
      </c>
      <c r="D34" s="41" t="s">
        <v>54</v>
      </c>
    </row>
    <row r="36" spans="1:4" x14ac:dyDescent="0.2">
      <c r="A36" s="18" t="s">
        <v>231</v>
      </c>
      <c r="D36" s="46">
        <v>0.19240362678592707</v>
      </c>
    </row>
    <row r="38" spans="1:4" x14ac:dyDescent="0.2">
      <c r="A38" s="18" t="s">
        <v>56</v>
      </c>
      <c r="D38" s="41" t="s">
        <v>54</v>
      </c>
    </row>
    <row r="39" spans="1:4" x14ac:dyDescent="0.2">
      <c r="A39" s="9" t="s">
        <v>58</v>
      </c>
    </row>
    <row r="40" spans="1:4" x14ac:dyDescent="0.2">
      <c r="A40" s="53" t="s">
        <v>744</v>
      </c>
    </row>
    <row r="42" spans="1:4" x14ac:dyDescent="0.2">
      <c r="A42" s="18" t="s">
        <v>745</v>
      </c>
    </row>
    <row r="43" spans="1:4" x14ac:dyDescent="0.2">
      <c r="A43" s="53" t="s">
        <v>57</v>
      </c>
    </row>
    <row r="46" spans="1:4" x14ac:dyDescent="0.2">
      <c r="C46" s="13"/>
    </row>
  </sheetData>
  <mergeCells count="2">
    <mergeCell ref="A1:E1"/>
    <mergeCell ref="A22:E22"/>
  </mergeCells>
  <conditionalFormatting sqref="E5:E10 E13:E19">
    <cfRule type="cellIs" dxfId="5" priority="2" stopIfTrue="1" operator="between">
      <formula>0.009</formula>
      <formula>-0.009</formula>
    </cfRule>
  </conditionalFormatting>
  <conditionalFormatting sqref="E21">
    <cfRule type="cellIs" dxfId="4" priority="1" stopIfTrue="1" operator="between">
      <formula>0.009</formula>
      <formula>-0.009</formula>
    </cfRule>
  </conditionalFormatting>
  <hyperlinks>
    <hyperlink ref="A43" r:id="rId1" xr:uid="{00000000-0004-0000-3500-000000000000}"/>
    <hyperlink ref="A40" r:id="rId2" xr:uid="{00000000-0004-0000-35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43"/>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15" style="9" bestFit="1" customWidth="1"/>
    <col min="4" max="4" width="18.5546875" style="10" customWidth="1"/>
    <col min="5" max="5" width="13.5546875" style="13" bestFit="1" customWidth="1"/>
    <col min="6" max="16384" width="9.109375" style="9"/>
  </cols>
  <sheetData>
    <row r="1" spans="1:8" s="1" customFormat="1" ht="13.8" x14ac:dyDescent="0.2">
      <c r="A1" s="76" t="s">
        <v>32</v>
      </c>
      <c r="B1" s="77"/>
      <c r="C1" s="77"/>
      <c r="D1" s="77"/>
      <c r="E1" s="77"/>
    </row>
    <row r="2" spans="1:8" s="1" customFormat="1" ht="11.4" x14ac:dyDescent="0.2">
      <c r="D2" s="6"/>
      <c r="E2" s="7"/>
    </row>
    <row r="3" spans="1:8" s="1" customFormat="1" ht="12" x14ac:dyDescent="0.2">
      <c r="A3" s="11" t="s">
        <v>7</v>
      </c>
      <c r="B3" s="2"/>
      <c r="C3" s="3"/>
      <c r="D3" s="4"/>
      <c r="E3" s="5"/>
    </row>
    <row r="4" spans="1:8" s="1" customFormat="1" ht="35.25" customHeight="1" x14ac:dyDescent="0.2">
      <c r="A4" s="8" t="s">
        <v>2</v>
      </c>
      <c r="B4" s="8" t="s">
        <v>0</v>
      </c>
      <c r="C4" s="16" t="s">
        <v>1</v>
      </c>
      <c r="D4" s="50" t="s">
        <v>3</v>
      </c>
      <c r="E4" s="15" t="s">
        <v>4</v>
      </c>
    </row>
    <row r="5" spans="1:8" x14ac:dyDescent="0.2">
      <c r="A5" s="21" t="s">
        <v>40</v>
      </c>
      <c r="B5" s="22"/>
      <c r="C5" s="23"/>
      <c r="D5" s="24"/>
      <c r="E5" s="25"/>
    </row>
    <row r="6" spans="1:8" x14ac:dyDescent="0.2">
      <c r="A6" s="27" t="s">
        <v>721</v>
      </c>
      <c r="B6" s="52" t="s">
        <v>720</v>
      </c>
      <c r="C6" s="31">
        <v>266271.25099999999</v>
      </c>
      <c r="D6" s="29">
        <v>219.04884340000001</v>
      </c>
      <c r="E6" s="30">
        <v>38.066651432823797</v>
      </c>
    </row>
    <row r="7" spans="1:8" x14ac:dyDescent="0.2">
      <c r="A7" s="27" t="s">
        <v>706</v>
      </c>
      <c r="B7" s="52" t="s">
        <v>705</v>
      </c>
      <c r="C7" s="31">
        <v>30990.624</v>
      </c>
      <c r="D7" s="29">
        <v>198.97694390000001</v>
      </c>
      <c r="E7" s="30">
        <v>34.578525268806999</v>
      </c>
    </row>
    <row r="8" spans="1:8" x14ac:dyDescent="0.2">
      <c r="A8" s="27" t="s">
        <v>728</v>
      </c>
      <c r="B8" s="52" t="s">
        <v>727</v>
      </c>
      <c r="C8" s="31">
        <v>4169.6620000000003</v>
      </c>
      <c r="D8" s="29">
        <v>56.788774199999999</v>
      </c>
      <c r="E8" s="30">
        <v>9.8688422144334407</v>
      </c>
    </row>
    <row r="9" spans="1:8" x14ac:dyDescent="0.2">
      <c r="A9" s="27" t="s">
        <v>717</v>
      </c>
      <c r="B9" s="52" t="s">
        <v>716</v>
      </c>
      <c r="C9" s="31">
        <v>16945.472000000002</v>
      </c>
      <c r="D9" s="29">
        <v>56.464464800000002</v>
      </c>
      <c r="E9" s="30">
        <v>9.8124832184462107</v>
      </c>
    </row>
    <row r="10" spans="1:8" ht="20.399999999999999" x14ac:dyDescent="0.2">
      <c r="A10" s="27" t="s">
        <v>722</v>
      </c>
      <c r="B10" s="52" t="s">
        <v>743</v>
      </c>
      <c r="C10" s="31">
        <v>88925.959000000003</v>
      </c>
      <c r="D10" s="29">
        <v>34.190074899999999</v>
      </c>
      <c r="E10" s="30">
        <v>5.9416048196328397</v>
      </c>
    </row>
    <row r="11" spans="1:8" ht="20.399999999999999" x14ac:dyDescent="0.2">
      <c r="A11" s="27" t="s">
        <v>724</v>
      </c>
      <c r="B11" s="52" t="s">
        <v>723</v>
      </c>
      <c r="C11" s="31">
        <v>196087.27</v>
      </c>
      <c r="D11" s="29">
        <v>0</v>
      </c>
      <c r="E11" s="29">
        <v>0</v>
      </c>
    </row>
    <row r="12" spans="1:8" ht="20.399999999999999" x14ac:dyDescent="0.2">
      <c r="A12" s="27" t="s">
        <v>726</v>
      </c>
      <c r="B12" s="52" t="s">
        <v>725</v>
      </c>
      <c r="C12" s="31">
        <v>177292.25099999999</v>
      </c>
      <c r="D12" s="29">
        <v>0</v>
      </c>
      <c r="E12" s="29">
        <v>0</v>
      </c>
    </row>
    <row r="13" spans="1:8" x14ac:dyDescent="0.2">
      <c r="A13" s="26" t="s">
        <v>39</v>
      </c>
      <c r="B13" s="26"/>
      <c r="C13" s="32"/>
      <c r="D13" s="33">
        <f>SUM(D6:D12)</f>
        <v>565.46910120000007</v>
      </c>
      <c r="E13" s="34">
        <f>SUM(E6:E12)</f>
        <v>98.268106954143278</v>
      </c>
      <c r="F13" s="18"/>
      <c r="G13" s="18"/>
      <c r="H13" s="18"/>
    </row>
    <row r="14" spans="1:8" x14ac:dyDescent="0.2">
      <c r="A14" s="27"/>
      <c r="B14" s="27"/>
      <c r="C14" s="28"/>
      <c r="D14" s="29"/>
      <c r="E14" s="30"/>
    </row>
    <row r="15" spans="1:8" x14ac:dyDescent="0.2">
      <c r="A15" s="26" t="s">
        <v>42</v>
      </c>
      <c r="B15" s="26"/>
      <c r="C15" s="32"/>
      <c r="D15" s="33">
        <f>D13</f>
        <v>565.46910120000007</v>
      </c>
      <c r="E15" s="34">
        <f>E13</f>
        <v>98.268106954143278</v>
      </c>
      <c r="F15" s="18"/>
      <c r="G15" s="18"/>
      <c r="H15" s="18"/>
    </row>
    <row r="16" spans="1:8" x14ac:dyDescent="0.2">
      <c r="A16" s="26"/>
      <c r="B16" s="26"/>
      <c r="C16" s="32"/>
      <c r="D16" s="33"/>
      <c r="E16" s="34"/>
      <c r="F16" s="18"/>
      <c r="G16" s="18"/>
      <c r="H16" s="18"/>
    </row>
    <row r="17" spans="1:8" x14ac:dyDescent="0.2">
      <c r="A17" s="26" t="s">
        <v>44</v>
      </c>
      <c r="B17" s="26"/>
      <c r="C17" s="32"/>
      <c r="D17" s="33">
        <f>D19-(D13)</f>
        <v>9.965919099999951</v>
      </c>
      <c r="E17" s="34">
        <f>E19-(E13)</f>
        <v>1.7318930458567223</v>
      </c>
      <c r="F17" s="18"/>
      <c r="G17" s="18"/>
      <c r="H17" s="18"/>
    </row>
    <row r="18" spans="1:8" x14ac:dyDescent="0.2">
      <c r="A18" s="26"/>
      <c r="B18" s="26"/>
      <c r="C18" s="32"/>
      <c r="D18" s="33"/>
      <c r="E18" s="34"/>
      <c r="F18" s="18"/>
      <c r="G18" s="18"/>
      <c r="H18" s="18"/>
    </row>
    <row r="19" spans="1:8" x14ac:dyDescent="0.2">
      <c r="A19" s="35" t="s">
        <v>43</v>
      </c>
      <c r="B19" s="35"/>
      <c r="C19" s="36"/>
      <c r="D19" s="37">
        <v>575.43502030000002</v>
      </c>
      <c r="E19" s="38">
        <v>100</v>
      </c>
      <c r="F19" s="18"/>
      <c r="G19" s="18"/>
      <c r="H19" s="18"/>
    </row>
    <row r="21" spans="1:8" x14ac:dyDescent="0.2">
      <c r="A21" s="18" t="s">
        <v>740</v>
      </c>
    </row>
    <row r="22" spans="1:8" ht="28.5" customHeight="1" x14ac:dyDescent="0.3">
      <c r="A22" s="91" t="s">
        <v>741</v>
      </c>
      <c r="B22" s="85"/>
      <c r="C22" s="85"/>
      <c r="D22" s="85"/>
      <c r="E22" s="85"/>
    </row>
    <row r="24" spans="1:8" x14ac:dyDescent="0.2">
      <c r="A24" s="18" t="s">
        <v>47</v>
      </c>
    </row>
    <row r="25" spans="1:8" x14ac:dyDescent="0.2">
      <c r="A25" s="18" t="s">
        <v>48</v>
      </c>
    </row>
    <row r="26" spans="1:8" x14ac:dyDescent="0.2">
      <c r="A26" s="18" t="s">
        <v>49</v>
      </c>
      <c r="B26" s="18"/>
      <c r="C26" s="39" t="s">
        <v>51</v>
      </c>
      <c r="D26" s="41" t="s">
        <v>50</v>
      </c>
    </row>
    <row r="27" spans="1:8" x14ac:dyDescent="0.2">
      <c r="A27" s="9" t="s">
        <v>97</v>
      </c>
      <c r="C27" s="40">
        <v>53.007199999999997</v>
      </c>
      <c r="D27" s="40">
        <v>67.128699999999995</v>
      </c>
    </row>
    <row r="28" spans="1:8" x14ac:dyDescent="0.2">
      <c r="A28" s="9" t="s">
        <v>718</v>
      </c>
      <c r="C28" s="40">
        <v>17.208100000000002</v>
      </c>
      <c r="D28" s="40">
        <v>21.7925</v>
      </c>
    </row>
    <row r="29" spans="1:8" x14ac:dyDescent="0.2">
      <c r="A29" s="9" t="s">
        <v>98</v>
      </c>
      <c r="C29" s="40">
        <v>55.492100000000001</v>
      </c>
      <c r="D29" s="40">
        <v>70.475399999999993</v>
      </c>
    </row>
    <row r="30" spans="1:8" x14ac:dyDescent="0.2">
      <c r="A30" s="9" t="s">
        <v>719</v>
      </c>
      <c r="C30" s="40">
        <v>18.3078</v>
      </c>
      <c r="D30" s="40">
        <v>23.243200000000002</v>
      </c>
    </row>
    <row r="32" spans="1:8" x14ac:dyDescent="0.2">
      <c r="A32" s="9" t="s">
        <v>52</v>
      </c>
    </row>
    <row r="34" spans="1:4" x14ac:dyDescent="0.2">
      <c r="A34" s="18" t="s">
        <v>53</v>
      </c>
      <c r="D34" s="41" t="s">
        <v>54</v>
      </c>
    </row>
    <row r="36" spans="1:4" x14ac:dyDescent="0.2">
      <c r="A36" s="18" t="s">
        <v>231</v>
      </c>
      <c r="D36" s="46">
        <v>0.24690221583268626</v>
      </c>
    </row>
    <row r="38" spans="1:4" x14ac:dyDescent="0.2">
      <c r="A38" s="18" t="s">
        <v>56</v>
      </c>
      <c r="D38" s="41" t="s">
        <v>54</v>
      </c>
    </row>
    <row r="39" spans="1:4" x14ac:dyDescent="0.2">
      <c r="A39" s="9" t="s">
        <v>58</v>
      </c>
    </row>
    <row r="40" spans="1:4" x14ac:dyDescent="0.2">
      <c r="A40" s="53" t="s">
        <v>744</v>
      </c>
    </row>
    <row r="42" spans="1:4" x14ac:dyDescent="0.2">
      <c r="A42" s="18" t="s">
        <v>745</v>
      </c>
    </row>
    <row r="43" spans="1:4" x14ac:dyDescent="0.2">
      <c r="A43" s="53" t="s">
        <v>57</v>
      </c>
    </row>
  </sheetData>
  <mergeCells count="2">
    <mergeCell ref="A1:E1"/>
    <mergeCell ref="A22:E22"/>
  </mergeCells>
  <conditionalFormatting sqref="E5:E10 E13:E19">
    <cfRule type="cellIs" dxfId="3" priority="1" stopIfTrue="1" operator="between">
      <formula>0.009</formula>
      <formula>-0.009</formula>
    </cfRule>
  </conditionalFormatting>
  <hyperlinks>
    <hyperlink ref="A43" r:id="rId1" xr:uid="{00000000-0004-0000-3600-000000000000}"/>
    <hyperlink ref="A40" r:id="rId2" xr:uid="{00000000-0004-0000-36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43"/>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15" style="9" bestFit="1" customWidth="1"/>
    <col min="4" max="4" width="17.88671875" style="10" customWidth="1"/>
    <col min="5" max="5" width="13.5546875" style="13" customWidth="1"/>
    <col min="6" max="16384" width="9.109375" style="9"/>
  </cols>
  <sheetData>
    <row r="1" spans="1:8" s="1" customFormat="1" ht="13.8" x14ac:dyDescent="0.2">
      <c r="A1" s="76" t="s">
        <v>33</v>
      </c>
      <c r="B1" s="77"/>
      <c r="C1" s="77"/>
      <c r="D1" s="77"/>
      <c r="E1" s="77"/>
    </row>
    <row r="2" spans="1:8" s="1" customFormat="1" ht="11.4" x14ac:dyDescent="0.2">
      <c r="D2" s="6"/>
      <c r="E2" s="7"/>
    </row>
    <row r="3" spans="1:8" s="1" customFormat="1" ht="12" x14ac:dyDescent="0.2">
      <c r="A3" s="11" t="s">
        <v>7</v>
      </c>
      <c r="B3" s="2"/>
      <c r="C3" s="3"/>
      <c r="D3" s="4"/>
      <c r="E3" s="5"/>
    </row>
    <row r="4" spans="1:8" s="1" customFormat="1" ht="27.75" customHeight="1" x14ac:dyDescent="0.2">
      <c r="A4" s="8" t="s">
        <v>2</v>
      </c>
      <c r="B4" s="8" t="s">
        <v>0</v>
      </c>
      <c r="C4" s="16" t="s">
        <v>1</v>
      </c>
      <c r="D4" s="75" t="s">
        <v>3</v>
      </c>
      <c r="E4" s="15" t="s">
        <v>4</v>
      </c>
    </row>
    <row r="5" spans="1:8" x14ac:dyDescent="0.2">
      <c r="A5" s="21" t="s">
        <v>40</v>
      </c>
      <c r="B5" s="22"/>
      <c r="C5" s="23"/>
      <c r="D5" s="24"/>
      <c r="E5" s="25"/>
    </row>
    <row r="6" spans="1:8" x14ac:dyDescent="0.2">
      <c r="A6" s="27" t="s">
        <v>706</v>
      </c>
      <c r="B6" s="52" t="s">
        <v>705</v>
      </c>
      <c r="C6" s="31">
        <v>99236.884000000005</v>
      </c>
      <c r="D6" s="29">
        <v>637.15567329999999</v>
      </c>
      <c r="E6" s="30">
        <v>49.576660958371598</v>
      </c>
    </row>
    <row r="7" spans="1:8" x14ac:dyDescent="0.2">
      <c r="A7" s="27" t="s">
        <v>721</v>
      </c>
      <c r="B7" s="52" t="s">
        <v>720</v>
      </c>
      <c r="C7" s="31">
        <v>265204.50799999997</v>
      </c>
      <c r="D7" s="29">
        <v>218.17128410000001</v>
      </c>
      <c r="E7" s="30">
        <v>16.975763123410999</v>
      </c>
    </row>
    <row r="8" spans="1:8" x14ac:dyDescent="0.2">
      <c r="A8" s="27" t="s">
        <v>728</v>
      </c>
      <c r="B8" s="52" t="s">
        <v>727</v>
      </c>
      <c r="C8" s="31">
        <v>14002.513999999999</v>
      </c>
      <c r="D8" s="29">
        <v>190.7074495</v>
      </c>
      <c r="E8" s="30">
        <v>14.8388203421766</v>
      </c>
    </row>
    <row r="9" spans="1:8" x14ac:dyDescent="0.2">
      <c r="A9" s="27" t="s">
        <v>717</v>
      </c>
      <c r="B9" s="52" t="s">
        <v>716</v>
      </c>
      <c r="C9" s="31">
        <v>56865.061999999998</v>
      </c>
      <c r="D9" s="29">
        <v>189.4816084</v>
      </c>
      <c r="E9" s="30">
        <v>14.7434384580465</v>
      </c>
    </row>
    <row r="10" spans="1:8" ht="20.399999999999999" x14ac:dyDescent="0.2">
      <c r="A10" s="27" t="s">
        <v>722</v>
      </c>
      <c r="B10" s="52" t="s">
        <v>743</v>
      </c>
      <c r="C10" s="31">
        <v>68489.532999999996</v>
      </c>
      <c r="D10" s="29">
        <v>26.332718700000001</v>
      </c>
      <c r="E10" s="30">
        <v>2.0489314021808802</v>
      </c>
    </row>
    <row r="11" spans="1:8" ht="20.399999999999999" x14ac:dyDescent="0.2">
      <c r="A11" s="27" t="s">
        <v>724</v>
      </c>
      <c r="B11" s="52" t="s">
        <v>723</v>
      </c>
      <c r="C11" s="31">
        <v>167004.62</v>
      </c>
      <c r="D11" s="29">
        <v>0</v>
      </c>
      <c r="E11" s="29">
        <v>0</v>
      </c>
    </row>
    <row r="12" spans="1:8" ht="20.399999999999999" x14ac:dyDescent="0.2">
      <c r="A12" s="27" t="s">
        <v>726</v>
      </c>
      <c r="B12" s="52" t="s">
        <v>725</v>
      </c>
      <c r="C12" s="31">
        <v>147479.853</v>
      </c>
      <c r="D12" s="29">
        <v>0</v>
      </c>
      <c r="E12" s="29">
        <v>0</v>
      </c>
    </row>
    <row r="13" spans="1:8" x14ac:dyDescent="0.2">
      <c r="A13" s="26" t="s">
        <v>39</v>
      </c>
      <c r="B13" s="26"/>
      <c r="C13" s="32"/>
      <c r="D13" s="33">
        <f>SUM(D6:D12)</f>
        <v>1261.8487339999999</v>
      </c>
      <c r="E13" s="34">
        <f>SUM(E6:E12)</f>
        <v>98.183614284186575</v>
      </c>
      <c r="F13" s="18"/>
      <c r="G13" s="18"/>
      <c r="H13" s="18"/>
    </row>
    <row r="14" spans="1:8" x14ac:dyDescent="0.2">
      <c r="A14" s="27"/>
      <c r="B14" s="27"/>
      <c r="C14" s="28"/>
      <c r="D14" s="29"/>
      <c r="E14" s="30"/>
    </row>
    <row r="15" spans="1:8" x14ac:dyDescent="0.2">
      <c r="A15" s="26" t="s">
        <v>42</v>
      </c>
      <c r="B15" s="26"/>
      <c r="C15" s="32"/>
      <c r="D15" s="33">
        <f>D13</f>
        <v>1261.8487339999999</v>
      </c>
      <c r="E15" s="34">
        <f>E13</f>
        <v>98.183614284186575</v>
      </c>
      <c r="F15" s="18"/>
      <c r="G15" s="18"/>
      <c r="H15" s="18"/>
    </row>
    <row r="16" spans="1:8" x14ac:dyDescent="0.2">
      <c r="A16" s="26"/>
      <c r="B16" s="26"/>
      <c r="C16" s="32"/>
      <c r="D16" s="33"/>
      <c r="E16" s="34"/>
      <c r="F16" s="18"/>
      <c r="G16" s="18"/>
      <c r="H16" s="18"/>
    </row>
    <row r="17" spans="1:8" x14ac:dyDescent="0.2">
      <c r="A17" s="26" t="s">
        <v>44</v>
      </c>
      <c r="B17" s="26"/>
      <c r="C17" s="32"/>
      <c r="D17" s="33">
        <f>D19-(D13)</f>
        <v>23.344058300000142</v>
      </c>
      <c r="E17" s="34">
        <f>E19-(E13)</f>
        <v>1.8163857158134249</v>
      </c>
      <c r="F17" s="18"/>
      <c r="G17" s="18"/>
      <c r="H17" s="18"/>
    </row>
    <row r="18" spans="1:8" x14ac:dyDescent="0.2">
      <c r="A18" s="26"/>
      <c r="B18" s="26"/>
      <c r="C18" s="32"/>
      <c r="D18" s="33"/>
      <c r="E18" s="34"/>
      <c r="F18" s="18"/>
      <c r="G18" s="18"/>
      <c r="H18" s="18"/>
    </row>
    <row r="19" spans="1:8" x14ac:dyDescent="0.2">
      <c r="A19" s="35" t="s">
        <v>43</v>
      </c>
      <c r="B19" s="35"/>
      <c r="C19" s="36"/>
      <c r="D19" s="37">
        <v>1285.1927923000001</v>
      </c>
      <c r="E19" s="38">
        <v>100</v>
      </c>
      <c r="F19" s="18"/>
      <c r="G19" s="18"/>
      <c r="H19" s="18"/>
    </row>
    <row r="21" spans="1:8" x14ac:dyDescent="0.2">
      <c r="A21" s="18" t="s">
        <v>740</v>
      </c>
    </row>
    <row r="22" spans="1:8" ht="26.25" customHeight="1" x14ac:dyDescent="0.3">
      <c r="A22" s="91" t="s">
        <v>741</v>
      </c>
      <c r="B22" s="85"/>
      <c r="C22" s="85"/>
      <c r="D22" s="85"/>
      <c r="E22" s="85"/>
    </row>
    <row r="24" spans="1:8" x14ac:dyDescent="0.2">
      <c r="A24" s="18" t="s">
        <v>47</v>
      </c>
    </row>
    <row r="25" spans="1:8" x14ac:dyDescent="0.2">
      <c r="A25" s="18" t="s">
        <v>48</v>
      </c>
    </row>
    <row r="26" spans="1:8" x14ac:dyDescent="0.2">
      <c r="A26" s="18" t="s">
        <v>49</v>
      </c>
      <c r="B26" s="18"/>
      <c r="C26" s="39" t="s">
        <v>51</v>
      </c>
      <c r="D26" s="41" t="s">
        <v>50</v>
      </c>
    </row>
    <row r="27" spans="1:8" x14ac:dyDescent="0.2">
      <c r="A27" s="9" t="s">
        <v>79</v>
      </c>
      <c r="C27" s="40">
        <v>76.146199999999993</v>
      </c>
      <c r="D27" s="40">
        <v>100.06059999999999</v>
      </c>
    </row>
    <row r="28" spans="1:8" x14ac:dyDescent="0.2">
      <c r="A28" s="9" t="s">
        <v>85</v>
      </c>
      <c r="C28" s="40">
        <v>22.9053</v>
      </c>
      <c r="D28" s="40">
        <v>30.099</v>
      </c>
    </row>
    <row r="29" spans="1:8" x14ac:dyDescent="0.2">
      <c r="A29" s="9" t="s">
        <v>82</v>
      </c>
      <c r="C29" s="40">
        <v>79.014799999999994</v>
      </c>
      <c r="D29" s="40">
        <v>104.1224</v>
      </c>
    </row>
    <row r="30" spans="1:8" x14ac:dyDescent="0.2">
      <c r="A30" s="9" t="s">
        <v>86</v>
      </c>
      <c r="C30" s="40">
        <v>24.066600000000001</v>
      </c>
      <c r="D30" s="40">
        <v>31.7058</v>
      </c>
    </row>
    <row r="32" spans="1:8" x14ac:dyDescent="0.2">
      <c r="A32" s="9" t="s">
        <v>52</v>
      </c>
    </row>
    <row r="34" spans="1:4" x14ac:dyDescent="0.2">
      <c r="A34" s="18" t="s">
        <v>53</v>
      </c>
      <c r="D34" s="41" t="s">
        <v>54</v>
      </c>
    </row>
    <row r="36" spans="1:4" x14ac:dyDescent="0.2">
      <c r="A36" s="18" t="s">
        <v>231</v>
      </c>
      <c r="D36" s="46">
        <v>0.15660491389587419</v>
      </c>
    </row>
    <row r="38" spans="1:4" x14ac:dyDescent="0.2">
      <c r="A38" s="18" t="s">
        <v>56</v>
      </c>
      <c r="D38" s="41" t="s">
        <v>54</v>
      </c>
    </row>
    <row r="39" spans="1:4" x14ac:dyDescent="0.2">
      <c r="A39" s="9" t="s">
        <v>58</v>
      </c>
    </row>
    <row r="40" spans="1:4" x14ac:dyDescent="0.2">
      <c r="A40" s="53" t="s">
        <v>744</v>
      </c>
    </row>
    <row r="42" spans="1:4" x14ac:dyDescent="0.2">
      <c r="A42" s="18" t="s">
        <v>745</v>
      </c>
    </row>
    <row r="43" spans="1:4" x14ac:dyDescent="0.2">
      <c r="A43" s="53" t="s">
        <v>57</v>
      </c>
    </row>
  </sheetData>
  <mergeCells count="2">
    <mergeCell ref="A1:E1"/>
    <mergeCell ref="A22:E22"/>
  </mergeCells>
  <conditionalFormatting sqref="E5:E10 E13:E19">
    <cfRule type="cellIs" dxfId="2" priority="1" stopIfTrue="1" operator="between">
      <formula>0.009</formula>
      <formula>-0.009</formula>
    </cfRule>
  </conditionalFormatting>
  <hyperlinks>
    <hyperlink ref="A43" r:id="rId1" xr:uid="{00000000-0004-0000-3700-000000000000}"/>
    <hyperlink ref="A40" r:id="rId2" xr:uid="{00000000-0004-0000-37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43"/>
  <sheetViews>
    <sheetView workbookViewId="0">
      <selection sqref="A1:E1"/>
    </sheetView>
  </sheetViews>
  <sheetFormatPr defaultColWidth="9.109375" defaultRowHeight="10.199999999999999" x14ac:dyDescent="0.2"/>
  <cols>
    <col min="1" max="1" width="32.33203125" style="9" bestFit="1" customWidth="1"/>
    <col min="2" max="2" width="50.6640625" style="9" customWidth="1"/>
    <col min="3" max="3" width="24.6640625" style="9" customWidth="1"/>
    <col min="4" max="4" width="16.5546875" style="10" customWidth="1"/>
    <col min="5" max="5" width="13.5546875" style="13" customWidth="1"/>
    <col min="6" max="16384" width="9.109375" style="9"/>
  </cols>
  <sheetData>
    <row r="1" spans="1:8" s="1" customFormat="1" ht="13.8" x14ac:dyDescent="0.2">
      <c r="A1" s="76" t="s">
        <v>34</v>
      </c>
      <c r="B1" s="77"/>
      <c r="C1" s="77"/>
      <c r="D1" s="77"/>
      <c r="E1" s="77"/>
    </row>
    <row r="2" spans="1:8" s="1" customFormat="1" ht="11.4" x14ac:dyDescent="0.2">
      <c r="D2" s="6"/>
      <c r="E2" s="7"/>
    </row>
    <row r="3" spans="1:8" s="1" customFormat="1" ht="12" x14ac:dyDescent="0.2">
      <c r="A3" s="11" t="s">
        <v>7</v>
      </c>
      <c r="B3" s="2"/>
      <c r="C3" s="3"/>
      <c r="D3" s="4"/>
      <c r="E3" s="5"/>
    </row>
    <row r="4" spans="1:8" s="1" customFormat="1" ht="20.399999999999999" x14ac:dyDescent="0.2">
      <c r="A4" s="8" t="s">
        <v>2</v>
      </c>
      <c r="B4" s="8" t="s">
        <v>0</v>
      </c>
      <c r="C4" s="16" t="s">
        <v>1</v>
      </c>
      <c r="D4" s="50" t="s">
        <v>3</v>
      </c>
      <c r="E4" s="15" t="s">
        <v>4</v>
      </c>
    </row>
    <row r="5" spans="1:8" x14ac:dyDescent="0.2">
      <c r="A5" s="21" t="s">
        <v>40</v>
      </c>
      <c r="B5" s="22"/>
      <c r="C5" s="23"/>
      <c r="D5" s="24"/>
      <c r="E5" s="25"/>
    </row>
    <row r="6" spans="1:8" ht="20.399999999999999" x14ac:dyDescent="0.2">
      <c r="A6" s="27" t="s">
        <v>730</v>
      </c>
      <c r="B6" s="52" t="s">
        <v>729</v>
      </c>
      <c r="C6" s="31">
        <v>5293160.62</v>
      </c>
      <c r="D6" s="29">
        <v>43553.051879999999</v>
      </c>
      <c r="E6" s="30">
        <v>45.733008679188799</v>
      </c>
    </row>
    <row r="7" spans="1:8" ht="20.399999999999999" x14ac:dyDescent="0.2">
      <c r="A7" s="27" t="s">
        <v>709</v>
      </c>
      <c r="B7" s="52" t="s">
        <v>739</v>
      </c>
      <c r="C7" s="31">
        <v>535905.69900000002</v>
      </c>
      <c r="D7" s="29">
        <v>11598.112940000001</v>
      </c>
      <c r="E7" s="30">
        <v>12.178632193414799</v>
      </c>
    </row>
    <row r="8" spans="1:8" ht="20.399999999999999" x14ac:dyDescent="0.2">
      <c r="A8" s="27" t="s">
        <v>711</v>
      </c>
      <c r="B8" s="52" t="s">
        <v>710</v>
      </c>
      <c r="C8" s="31">
        <v>1370528.45</v>
      </c>
      <c r="D8" s="29">
        <v>0</v>
      </c>
      <c r="E8" s="29">
        <v>0</v>
      </c>
    </row>
    <row r="9" spans="1:8" ht="20.399999999999999" x14ac:dyDescent="0.2">
      <c r="A9" s="27" t="s">
        <v>713</v>
      </c>
      <c r="B9" s="52" t="s">
        <v>712</v>
      </c>
      <c r="C9" s="31">
        <v>1235134.5419999999</v>
      </c>
      <c r="D9" s="29">
        <v>0</v>
      </c>
      <c r="E9" s="29">
        <v>0</v>
      </c>
    </row>
    <row r="10" spans="1:8" x14ac:dyDescent="0.2">
      <c r="A10" s="26" t="s">
        <v>39</v>
      </c>
      <c r="B10" s="26"/>
      <c r="C10" s="32"/>
      <c r="D10" s="33">
        <f>SUM(D6:D9)</f>
        <v>55151.164819999998</v>
      </c>
      <c r="E10" s="34">
        <f>SUM(E6:E9)</f>
        <v>57.911640872603598</v>
      </c>
      <c r="F10" s="18"/>
      <c r="G10" s="18"/>
      <c r="H10" s="18"/>
    </row>
    <row r="11" spans="1:8" x14ac:dyDescent="0.2">
      <c r="A11" s="27"/>
      <c r="B11" s="27"/>
      <c r="C11" s="28"/>
      <c r="D11" s="29"/>
      <c r="E11" s="30"/>
    </row>
    <row r="12" spans="1:8" x14ac:dyDescent="0.2">
      <c r="A12" s="26" t="s">
        <v>42</v>
      </c>
      <c r="B12" s="26"/>
      <c r="C12" s="32"/>
      <c r="D12" s="33">
        <f>D10</f>
        <v>55151.164819999998</v>
      </c>
      <c r="E12" s="34">
        <f>E10</f>
        <v>57.911640872603598</v>
      </c>
      <c r="F12" s="18"/>
      <c r="G12" s="18"/>
      <c r="H12" s="18"/>
    </row>
    <row r="13" spans="1:8" x14ac:dyDescent="0.2">
      <c r="A13" s="26"/>
      <c r="B13" s="26"/>
      <c r="C13" s="32"/>
      <c r="D13" s="33"/>
      <c r="E13" s="34"/>
      <c r="F13" s="18"/>
      <c r="G13" s="18"/>
      <c r="H13" s="18"/>
    </row>
    <row r="14" spans="1:8" x14ac:dyDescent="0.2">
      <c r="A14" s="26" t="s">
        <v>44</v>
      </c>
      <c r="B14" s="26"/>
      <c r="C14" s="32"/>
      <c r="D14" s="33">
        <f>D16-(D10)</f>
        <v>40082.131955900004</v>
      </c>
      <c r="E14" s="34">
        <f>E16-(E10)</f>
        <v>42.088359127396402</v>
      </c>
      <c r="F14" s="18"/>
      <c r="G14" s="18"/>
      <c r="H14" s="18"/>
    </row>
    <row r="15" spans="1:8" x14ac:dyDescent="0.2">
      <c r="A15" s="26"/>
      <c r="B15" s="26"/>
      <c r="C15" s="32"/>
      <c r="D15" s="33"/>
      <c r="E15" s="34"/>
      <c r="F15" s="18"/>
      <c r="G15" s="18"/>
      <c r="H15" s="18"/>
    </row>
    <row r="16" spans="1:8" x14ac:dyDescent="0.2">
      <c r="A16" s="35" t="s">
        <v>43</v>
      </c>
      <c r="B16" s="35"/>
      <c r="C16" s="36"/>
      <c r="D16" s="37">
        <v>95233.296775900002</v>
      </c>
      <c r="E16" s="38">
        <v>100</v>
      </c>
      <c r="F16" s="18"/>
      <c r="G16" s="18"/>
      <c r="H16" s="18"/>
    </row>
    <row r="18" spans="1:5" x14ac:dyDescent="0.2">
      <c r="A18" s="18" t="s">
        <v>740</v>
      </c>
      <c r="C18" s="10"/>
      <c r="D18" s="13"/>
      <c r="E18" s="14"/>
    </row>
    <row r="19" spans="1:5" ht="25.5" customHeight="1" x14ac:dyDescent="0.3">
      <c r="A19" s="91" t="s">
        <v>741</v>
      </c>
      <c r="B19" s="85"/>
      <c r="C19" s="85"/>
      <c r="D19" s="85"/>
      <c r="E19" s="85"/>
    </row>
    <row r="21" spans="1:5" x14ac:dyDescent="0.2">
      <c r="A21" s="18" t="s">
        <v>47</v>
      </c>
    </row>
    <row r="22" spans="1:5" x14ac:dyDescent="0.2">
      <c r="A22" s="18" t="s">
        <v>48</v>
      </c>
    </row>
    <row r="23" spans="1:5" x14ac:dyDescent="0.2">
      <c r="A23" s="18" t="s">
        <v>49</v>
      </c>
      <c r="B23" s="18"/>
      <c r="C23" s="39" t="s">
        <v>51</v>
      </c>
      <c r="D23" s="41" t="s">
        <v>50</v>
      </c>
    </row>
    <row r="24" spans="1:5" x14ac:dyDescent="0.2">
      <c r="A24" s="9" t="s">
        <v>79</v>
      </c>
      <c r="C24" s="40">
        <v>71.666799999999995</v>
      </c>
      <c r="D24" s="40">
        <v>87.506799999999998</v>
      </c>
    </row>
    <row r="25" spans="1:5" x14ac:dyDescent="0.2">
      <c r="A25" s="9" t="s">
        <v>85</v>
      </c>
      <c r="C25" s="40">
        <v>27.327200000000001</v>
      </c>
      <c r="D25" s="40">
        <v>31.806699999999999</v>
      </c>
    </row>
    <row r="26" spans="1:5" x14ac:dyDescent="0.2">
      <c r="A26" s="9" t="s">
        <v>82</v>
      </c>
      <c r="C26" s="40">
        <v>77.4435</v>
      </c>
      <c r="D26" s="40">
        <v>95.078999999999994</v>
      </c>
    </row>
    <row r="27" spans="1:5" x14ac:dyDescent="0.2">
      <c r="A27" s="9" t="s">
        <v>86</v>
      </c>
      <c r="C27" s="40">
        <v>30.4772</v>
      </c>
      <c r="D27" s="40">
        <v>35.853900000000003</v>
      </c>
    </row>
    <row r="29" spans="1:5" x14ac:dyDescent="0.2">
      <c r="A29" s="18" t="s">
        <v>53</v>
      </c>
    </row>
    <row r="30" spans="1:5" x14ac:dyDescent="0.2">
      <c r="A30" s="82" t="s">
        <v>76</v>
      </c>
      <c r="B30" s="83"/>
      <c r="C30" s="44" t="s">
        <v>77</v>
      </c>
    </row>
    <row r="31" spans="1:5" x14ac:dyDescent="0.2">
      <c r="A31" s="78" t="s">
        <v>85</v>
      </c>
      <c r="B31" s="79"/>
      <c r="C31" s="45">
        <v>1.5</v>
      </c>
    </row>
    <row r="32" spans="1:5" x14ac:dyDescent="0.2">
      <c r="A32" s="78" t="s">
        <v>86</v>
      </c>
      <c r="B32" s="79"/>
      <c r="C32" s="45">
        <v>1.5</v>
      </c>
    </row>
    <row r="33" spans="1:4" x14ac:dyDescent="0.2">
      <c r="A33" s="9" t="s">
        <v>78</v>
      </c>
    </row>
    <row r="34" spans="1:4" x14ac:dyDescent="0.2">
      <c r="A34" s="9" t="s">
        <v>52</v>
      </c>
    </row>
    <row r="36" spans="1:4" x14ac:dyDescent="0.2">
      <c r="A36" s="18" t="s">
        <v>231</v>
      </c>
      <c r="D36" s="46">
        <v>8.7414403768945562E-2</v>
      </c>
    </row>
    <row r="38" spans="1:4" x14ac:dyDescent="0.2">
      <c r="A38" s="18" t="s">
        <v>56</v>
      </c>
      <c r="D38" s="41" t="s">
        <v>54</v>
      </c>
    </row>
    <row r="39" spans="1:4" x14ac:dyDescent="0.2">
      <c r="A39" s="9" t="s">
        <v>58</v>
      </c>
    </row>
    <row r="40" spans="1:4" x14ac:dyDescent="0.2">
      <c r="A40" s="53" t="s">
        <v>744</v>
      </c>
    </row>
    <row r="42" spans="1:4" x14ac:dyDescent="0.2">
      <c r="A42" s="18" t="s">
        <v>745</v>
      </c>
    </row>
    <row r="43" spans="1:4" x14ac:dyDescent="0.2">
      <c r="A43" s="53" t="s">
        <v>57</v>
      </c>
    </row>
  </sheetData>
  <mergeCells count="5">
    <mergeCell ref="A1:E1"/>
    <mergeCell ref="A30:B30"/>
    <mergeCell ref="A31:B31"/>
    <mergeCell ref="A32:B32"/>
    <mergeCell ref="A19:E19"/>
  </mergeCells>
  <conditionalFormatting sqref="E5:E7 E10:E16">
    <cfRule type="cellIs" dxfId="1" priority="2" stopIfTrue="1" operator="between">
      <formula>0.009</formula>
      <formula>-0.009</formula>
    </cfRule>
  </conditionalFormatting>
  <conditionalFormatting sqref="E18">
    <cfRule type="cellIs" dxfId="0" priority="1" stopIfTrue="1" operator="between">
      <formula>0.009</formula>
      <formula>-0.009</formula>
    </cfRule>
  </conditionalFormatting>
  <hyperlinks>
    <hyperlink ref="A43" r:id="rId1" xr:uid="{00000000-0004-0000-3800-000000000000}"/>
    <hyperlink ref="A40" r:id="rId2" xr:uid="{00000000-0004-0000-38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26944</vt:lpstr>
      <vt:lpstr>26756</vt: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FIPP</vt:lpstr>
      <vt:lpstr>FIDHY</vt:lpstr>
      <vt:lpstr>FIDA</vt:lpstr>
      <vt:lpstr>FILDF</vt:lpstr>
      <vt:lpstr>FIUBF</vt:lpstr>
      <vt:lpstr>FISTIP</vt:lpstr>
      <vt:lpstr>FIIOF</vt:lpstr>
      <vt:lpstr>FICRF</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April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2021-05-10T04:52:55Z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2021-05-07T16:03:35Z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a694e88c-a642-438d-8c45-35236b1040ed</vt:lpwstr>
  </property>
  <property fmtid="{D5CDD505-2E9C-101B-9397-08002B2CF9AE}" pid="10" name="MSIP_Label_3486a02c-2dfb-4efe-823f-aa2d1f0e6ab7_ContentBits">
    <vt:lpwstr>2</vt:lpwstr>
  </property>
  <property fmtid="{D5CDD505-2E9C-101B-9397-08002B2CF9AE}" pid="11" name="Classification">
    <vt:lpwstr>PUBLIC</vt:lpwstr>
  </property>
</Properties>
</file>