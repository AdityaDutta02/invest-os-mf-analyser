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defaultThemeVersion="124226"/>
  <xr:revisionPtr revIDLastSave="0" documentId="13_ncr:1_{9655184F-810A-4DF4-BB7B-BD6C568CBFB5}" xr6:coauthVersionLast="45" xr6:coauthVersionMax="45" xr10:uidLastSave="{00000000-0000-0000-0000-000000000000}"/>
  <bookViews>
    <workbookView xWindow="-110" yWindow="-110" windowWidth="19420" windowHeight="10420" xr2:uid="{00000000-000D-0000-FFFF-FFFF00000000}"/>
  </bookViews>
  <sheets>
    <sheet name="FILF" sheetId="14" r:id="rId1"/>
    <sheet name="FIONF" sheetId="13" r:id="rId2"/>
    <sheet name="FISF" sheetId="4" r:id="rId3"/>
    <sheet name="FIFRF" sheetId="8" r:id="rId4"/>
    <sheet name="FICDF" sheetId="11" r:id="rId5"/>
    <sheet name="FBPF" sheetId="12" r:id="rId6"/>
    <sheet name="FIGSF" sheetId="7" r:id="rId7"/>
    <sheet name="FIDA" sheetId="9" r:id="rId8"/>
    <sheet name="FILDF" sheetId="5" r:id="rId9"/>
    <sheet name="FIUBF" sheetId="2" r:id="rId10"/>
    <sheet name="FISTIP" sheetId="3" r:id="rId11"/>
    <sheet name="FIIOF" sheetId="6" r:id="rId12"/>
    <sheet name="FICRF" sheetId="10" r:id="rId13"/>
    <sheet name="FMPS6C" sheetId="15" r:id="rId14"/>
    <sheet name="FMPS5F" sheetId="16" r:id="rId15"/>
    <sheet name="FMPS5E" sheetId="17" r:id="rId16"/>
    <sheet name="FMPS5D" sheetId="18" r:id="rId17"/>
    <sheet name="FMPS5C" sheetId="19" r:id="rId18"/>
    <sheet name="FMPS5B" sheetId="20" r:id="rId19"/>
    <sheet name="FMPS5A" sheetId="21" r:id="rId20"/>
    <sheet name="FMPS4F" sheetId="22" r:id="rId21"/>
    <sheet name="FMPS4E" sheetId="23" r:id="rId22"/>
    <sheet name="FMPS4D" sheetId="24" r:id="rId23"/>
    <sheet name="FMPS4C" sheetId="25" r:id="rId24"/>
    <sheet name="FMPS4B" sheetId="26" r:id="rId25"/>
    <sheet name="FMPS4A" sheetId="27" r:id="rId26"/>
    <sheet name="FMPS3F" sheetId="28" r:id="rId27"/>
    <sheet name="FMPS3E" sheetId="29" r:id="rId28"/>
    <sheet name="FMPS3D" sheetId="30" r:id="rId29"/>
    <sheet name="FMPS3C" sheetId="31" r:id="rId30"/>
    <sheet name="FMPS3B" sheetId="32" r:id="rId31"/>
    <sheet name="FMPS3A" sheetId="33" r:id="rId32"/>
    <sheet name="FMPS2C" sheetId="34" r:id="rId33"/>
    <sheet name="FMPS2B" sheetId="35" r:id="rId34"/>
    <sheet name="FMPS2A" sheetId="36" r:id="rId35"/>
    <sheet name="FIPP" sheetId="37" r:id="rId36"/>
    <sheet name="FIDHY" sheetId="38" r:id="rId37"/>
    <sheet name="FIESF" sheetId="39" r:id="rId38"/>
    <sheet name="FIEHF" sheetId="40" r:id="rId39"/>
    <sheet name="TIVF" sheetId="41" r:id="rId40"/>
    <sheet name="TIEIF" sheetId="42" r:id="rId41"/>
    <sheet name="FITF" sheetId="43" r:id="rId42"/>
    <sheet name="FISCF" sheetId="44" r:id="rId43"/>
    <sheet name="FIPF" sheetId="45" r:id="rId44"/>
    <sheet name="FIOF" sheetId="46" r:id="rId45"/>
    <sheet name="FIFEF" sheetId="47" r:id="rId46"/>
    <sheet name="FIEF" sheetId="48" r:id="rId47"/>
    <sheet name="FIEAF" sheetId="49" r:id="rId48"/>
    <sheet name="FIBF" sheetId="50" r:id="rId49"/>
    <sheet name="FBIF" sheetId="51" r:id="rId50"/>
    <sheet name="FAEF" sheetId="52" r:id="rId51"/>
    <sheet name="FIIF-NSE" sheetId="53" r:id="rId52"/>
    <sheet name="FITX" sheetId="54" r:id="rId53"/>
    <sheet name="FIUS" sheetId="55" r:id="rId54"/>
    <sheet name="FEGF" sheetId="56" r:id="rId55"/>
    <sheet name="FIMAS" sheetId="57" r:id="rId56"/>
    <sheet name="FIFOF-50's+" sheetId="58" r:id="rId57"/>
    <sheet name="FIFOF-50's" sheetId="59" r:id="rId58"/>
    <sheet name="FIFOF-40's" sheetId="60" r:id="rId59"/>
    <sheet name="FIFOF-30's" sheetId="61" r:id="rId60"/>
    <sheet name="FIFOF-20's" sheetId="62" r:id="rId61"/>
    <sheet name="FF" sheetId="63" r:id="rId62"/>
  </sheets>
  <definedNames>
    <definedName name="_xlnm._FilterDatabase" localSheetId="10" hidden="1">FISTIP!$A$147:$E$156</definedName>
    <definedName name="_xlnm.Print_Area" localSheetId="50">FAEF!$A$1:$F$83</definedName>
    <definedName name="_xlnm.Print_Area" localSheetId="49">FBIF!$A$1:$F$61</definedName>
    <definedName name="_xlnm.Print_Area" localSheetId="5">FBPF!$A$1:$F$88</definedName>
    <definedName name="_xlnm.Print_Area" localSheetId="54">FEGF!$A$1:$E$29</definedName>
    <definedName name="_xlnm.Print_Area" localSheetId="61">FF!$A$1:$E$38</definedName>
    <definedName name="_xlnm.Print_Area" localSheetId="48">FIBF!$A$1:$F$52</definedName>
    <definedName name="_xlnm.Print_Area" localSheetId="4">FICDF!$A$1:$F$123</definedName>
    <definedName name="_xlnm.Print_Area" localSheetId="12">FICRF!$A$1:$F$188</definedName>
    <definedName name="_xlnm.Print_Area" localSheetId="7">FIDA!$A$1:$F$171</definedName>
    <definedName name="_xlnm.Print_Area" localSheetId="36">FIDHY!$A$1:$F$125</definedName>
    <definedName name="_xlnm.Print_Area" localSheetId="47">FIEAF!$A$1:$F$90</definedName>
    <definedName name="_xlnm.Print_Area" localSheetId="46">FIEF!$A$1:$F$87</definedName>
    <definedName name="_xlnm.Print_Area" localSheetId="38">FIEHF!$A$1:$F$114</definedName>
    <definedName name="_xlnm.Print_Area" localSheetId="37">FIESF!$A$1:$G$88</definedName>
    <definedName name="_xlnm.Print_Area" localSheetId="45">FIFEF!$A$1:$F$60</definedName>
    <definedName name="_xlnm.Print_Area" localSheetId="60">'FIFOF-20''s'!$A$1:$E$37</definedName>
    <definedName name="_xlnm.Print_Area" localSheetId="59">'FIFOF-30''s'!$A$1:$E$37</definedName>
    <definedName name="_xlnm.Print_Area" localSheetId="58">'FIFOF-40''s'!$A$1:$E$37</definedName>
    <definedName name="_xlnm.Print_Area" localSheetId="57">'FIFOF-50''s'!$A$1:$E$36</definedName>
    <definedName name="_xlnm.Print_Area" localSheetId="56">'FIFOF-50''s+'!$A$1:$E$37</definedName>
    <definedName name="_xlnm.Print_Area" localSheetId="3">FIFRF!$A$1:$F$54</definedName>
    <definedName name="_xlnm.Print_Area" localSheetId="6">FIGSF!$A$1:$F$42</definedName>
    <definedName name="_xlnm.Print_Area" localSheetId="51">'FIIF-NSE'!$A$1:$F$80</definedName>
    <definedName name="_xlnm.Print_Area" localSheetId="11">FIIOF!$A$1:$F$118</definedName>
    <definedName name="_xlnm.Print_Area" localSheetId="8">FILDF!$A$1:$F$127</definedName>
    <definedName name="_xlnm.Print_Area" localSheetId="0">FILF!$A$1:$F$87</definedName>
    <definedName name="_xlnm.Print_Area" localSheetId="55">FIMAS!$A$1:$E$32</definedName>
    <definedName name="_xlnm.Print_Area" localSheetId="44">FIOF!$A$1:$F$69</definedName>
    <definedName name="_xlnm.Print_Area" localSheetId="1">FIONF!$A$1:$F$32</definedName>
    <definedName name="_xlnm.Print_Area" localSheetId="43">FIPF!$A$1:$F$90</definedName>
    <definedName name="_xlnm.Print_Area" localSheetId="35">FIPP!$A$1:$F$97</definedName>
    <definedName name="_xlnm.Print_Area" localSheetId="42">FISCF!$A$1:$F$92</definedName>
    <definedName name="_xlnm.Print_Area" localSheetId="2">FISF!$A$1:$F$83</definedName>
    <definedName name="_xlnm.Print_Area" localSheetId="10">FISTIP!$A$1:$F$247</definedName>
    <definedName name="_xlnm.Print_Area" localSheetId="41">FITF!$A$1:$F$63</definedName>
    <definedName name="_xlnm.Print_Area" localSheetId="52">FITX!$A$1:$F$90</definedName>
    <definedName name="_xlnm.Print_Area" localSheetId="9">FIUBF!$A$1:$F$92</definedName>
    <definedName name="_xlnm.Print_Area" localSheetId="53">FIUS!$A$1:$E$27</definedName>
    <definedName name="_xlnm.Print_Area" localSheetId="34">FMPS2A!$A$1:$F$71</definedName>
    <definedName name="_xlnm.Print_Area" localSheetId="33">FMPS2B!$A$1:$F$69</definedName>
    <definedName name="_xlnm.Print_Area" localSheetId="32">FMPS2C!$A$1:$F$73</definedName>
    <definedName name="_xlnm.Print_Area" localSheetId="31">FMPS3A!$A$1:$F$64</definedName>
    <definedName name="_xlnm.Print_Area" localSheetId="30">FMPS3B!$A$1:$F$64</definedName>
    <definedName name="_xlnm.Print_Area" localSheetId="29">FMPS3C!$A$1:$F$69</definedName>
    <definedName name="_xlnm.Print_Area" localSheetId="28">FMPS3D!$A$1:$F$63</definedName>
    <definedName name="_xlnm.Print_Area" localSheetId="27">FMPS3E!$A$1:$F$70</definedName>
    <definedName name="_xlnm.Print_Area" localSheetId="26">FMPS3F!$A$1:$F$62</definedName>
    <definedName name="_xlnm.Print_Area" localSheetId="25">FMPS4A!$A$1:$F$65</definedName>
    <definedName name="_xlnm.Print_Area" localSheetId="24">FMPS4B!$A$1:$F$65</definedName>
    <definedName name="_xlnm.Print_Area" localSheetId="23">FMPS4C!$A$1:$F$58</definedName>
    <definedName name="_xlnm.Print_Area" localSheetId="22">FMPS4D!$A$1:$F$55</definedName>
    <definedName name="_xlnm.Print_Area" localSheetId="21">FMPS4E!$A$1:$F$59</definedName>
    <definedName name="_xlnm.Print_Area" localSheetId="20">FMPS4F!$A$1:$F$57</definedName>
    <definedName name="_xlnm.Print_Area" localSheetId="19">FMPS5A!$A$1:$F$49</definedName>
    <definedName name="_xlnm.Print_Area" localSheetId="18">FMPS5B!$A$1:$F$51</definedName>
    <definedName name="_xlnm.Print_Area" localSheetId="17">FMPS5C!$A$1:$F$54</definedName>
    <definedName name="_xlnm.Print_Area" localSheetId="16">FMPS5D!$A$1:$F$49</definedName>
    <definedName name="_xlnm.Print_Area" localSheetId="15">FMPS5E!$A$1:$F$50</definedName>
    <definedName name="_xlnm.Print_Area" localSheetId="14">FMPS5F!$A$1:$F$51</definedName>
    <definedName name="_xlnm.Print_Area" localSheetId="13">FMPS6C!$A$1:$F$49</definedName>
    <definedName name="_xlnm.Print_Area" localSheetId="40">TIEIF!$A$1:$F$88</definedName>
    <definedName name="_xlnm.Print_Area" localSheetId="39">TIVF!$A$1:$F$65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86" i="5" l="1"/>
  <c r="E85" i="5"/>
  <c r="E115" i="11" l="1"/>
  <c r="C115" i="11"/>
  <c r="F218" i="3" l="1"/>
  <c r="F220" i="3" s="1"/>
  <c r="E218" i="3"/>
  <c r="E220" i="3" s="1"/>
  <c r="F179" i="3"/>
  <c r="F181" i="3" s="1"/>
  <c r="E179" i="3"/>
  <c r="E183" i="3" s="1"/>
  <c r="F102" i="5"/>
  <c r="F104" i="5" s="1"/>
  <c r="E102" i="5"/>
  <c r="E104" i="5" s="1"/>
  <c r="F95" i="6"/>
  <c r="F97" i="6" s="1"/>
  <c r="E95" i="6"/>
  <c r="E97" i="6" s="1"/>
  <c r="E222" i="3" l="1"/>
  <c r="E181" i="3"/>
  <c r="E106" i="5"/>
  <c r="E99" i="6"/>
  <c r="F149" i="9"/>
  <c r="F151" i="9" s="1"/>
  <c r="E149" i="9"/>
  <c r="E153" i="9" s="1"/>
  <c r="F117" i="9"/>
  <c r="F119" i="9" s="1"/>
  <c r="E117" i="9"/>
  <c r="E121" i="9" s="1"/>
  <c r="F166" i="10"/>
  <c r="F168" i="10" s="1"/>
  <c r="E166" i="10"/>
  <c r="E170" i="10" s="1"/>
  <c r="F134" i="10"/>
  <c r="F136" i="10" s="1"/>
  <c r="E134" i="10"/>
  <c r="E138" i="10" s="1"/>
  <c r="E151" i="9" l="1"/>
  <c r="E119" i="9"/>
  <c r="E136" i="10"/>
  <c r="E168" i="10"/>
  <c r="G43" i="39" l="1"/>
  <c r="D81" i="39" s="1"/>
  <c r="F33" i="27"/>
  <c r="F101" i="38" l="1"/>
  <c r="F103" i="38" s="1"/>
  <c r="E101" i="38"/>
  <c r="E103" i="38" s="1"/>
  <c r="E13" i="61"/>
  <c r="E17" i="61" s="1"/>
  <c r="D13" i="61"/>
  <c r="D17" i="61" s="1"/>
  <c r="E15" i="61" l="1"/>
  <c r="D15" i="61"/>
  <c r="E10" i="63"/>
  <c r="E14" i="63" s="1"/>
  <c r="D10" i="63"/>
  <c r="D14" i="63" s="1"/>
  <c r="E13" i="62"/>
  <c r="E15" i="62" s="1"/>
  <c r="D13" i="62"/>
  <c r="D17" i="62" s="1"/>
  <c r="E13" i="60"/>
  <c r="E17" i="60" s="1"/>
  <c r="D13" i="60"/>
  <c r="D17" i="60" s="1"/>
  <c r="E12" i="59"/>
  <c r="E16" i="59" s="1"/>
  <c r="D12" i="59"/>
  <c r="D16" i="59" s="1"/>
  <c r="D13" i="58"/>
  <c r="E9" i="58"/>
  <c r="E13" i="58" s="1"/>
  <c r="D9" i="58"/>
  <c r="D11" i="58" s="1"/>
  <c r="E11" i="57"/>
  <c r="E15" i="57" s="1"/>
  <c r="D11" i="57"/>
  <c r="D13" i="57" s="1"/>
  <c r="E7" i="56"/>
  <c r="E9" i="56" s="1"/>
  <c r="D7" i="56"/>
  <c r="D11" i="56" s="1"/>
  <c r="D9" i="56"/>
  <c r="E7" i="55"/>
  <c r="E11" i="55" s="1"/>
  <c r="D7" i="55"/>
  <c r="D9" i="55" s="1"/>
  <c r="F67" i="54"/>
  <c r="E67" i="54"/>
  <c r="F61" i="54"/>
  <c r="F69" i="54"/>
  <c r="E61" i="54"/>
  <c r="E69" i="54"/>
  <c r="F58" i="53"/>
  <c r="F62" i="53" s="1"/>
  <c r="E58" i="53"/>
  <c r="E62" i="53" s="1"/>
  <c r="E65" i="52"/>
  <c r="F63" i="52"/>
  <c r="E63" i="52"/>
  <c r="F20" i="52"/>
  <c r="E20" i="52"/>
  <c r="E67" i="52"/>
  <c r="F43" i="51"/>
  <c r="F41" i="51"/>
  <c r="F45" i="51" s="1"/>
  <c r="E41" i="51"/>
  <c r="F34" i="50"/>
  <c r="F32" i="50"/>
  <c r="F36" i="50" s="1"/>
  <c r="E32" i="50"/>
  <c r="F63" i="49"/>
  <c r="F67" i="49"/>
  <c r="E63" i="49"/>
  <c r="E67" i="49" s="1"/>
  <c r="F62" i="48"/>
  <c r="E62" i="48"/>
  <c r="F56" i="48"/>
  <c r="E56" i="48"/>
  <c r="F35" i="47"/>
  <c r="F33" i="47"/>
  <c r="F37" i="47" s="1"/>
  <c r="E33" i="47"/>
  <c r="F46" i="46"/>
  <c r="E46" i="46"/>
  <c r="F39" i="46"/>
  <c r="F50" i="46"/>
  <c r="E39" i="46"/>
  <c r="E50" i="46" s="1"/>
  <c r="F62" i="45"/>
  <c r="E62" i="45"/>
  <c r="F58" i="45"/>
  <c r="E58" i="45"/>
  <c r="F72" i="44"/>
  <c r="F76" i="44" s="1"/>
  <c r="E72" i="44"/>
  <c r="E74" i="44" s="1"/>
  <c r="F40" i="43"/>
  <c r="E40" i="43"/>
  <c r="E44" i="43" s="1"/>
  <c r="F36" i="43"/>
  <c r="E36" i="43"/>
  <c r="F21" i="43"/>
  <c r="E21" i="43"/>
  <c r="F17" i="43"/>
  <c r="F42" i="43" s="1"/>
  <c r="E17" i="43"/>
  <c r="E42" i="43" s="1"/>
  <c r="F63" i="42"/>
  <c r="E63" i="42"/>
  <c r="F49" i="42"/>
  <c r="E49" i="42"/>
  <c r="F45" i="42"/>
  <c r="E45" i="42"/>
  <c r="F43" i="41"/>
  <c r="E43" i="41"/>
  <c r="E47" i="41"/>
  <c r="F78" i="40"/>
  <c r="E78" i="40"/>
  <c r="F69" i="40"/>
  <c r="E69" i="40"/>
  <c r="F64" i="40"/>
  <c r="E64" i="40"/>
  <c r="F60" i="40"/>
  <c r="E60" i="40"/>
  <c r="F47" i="40"/>
  <c r="E47" i="40"/>
  <c r="F42" i="40"/>
  <c r="E42" i="40"/>
  <c r="F54" i="39"/>
  <c r="E54" i="39"/>
  <c r="F49" i="39"/>
  <c r="F56" i="39" s="1"/>
  <c r="E49" i="39"/>
  <c r="F43" i="39"/>
  <c r="E43" i="39"/>
  <c r="F58" i="38"/>
  <c r="E58" i="38"/>
  <c r="F50" i="38"/>
  <c r="E50" i="38"/>
  <c r="F45" i="38"/>
  <c r="E45" i="38"/>
  <c r="F35" i="38"/>
  <c r="E35" i="38"/>
  <c r="F72" i="37"/>
  <c r="F76" i="37" s="1"/>
  <c r="E72" i="37"/>
  <c r="F63" i="37"/>
  <c r="E63" i="37"/>
  <c r="F57" i="37"/>
  <c r="E57" i="37"/>
  <c r="F53" i="37"/>
  <c r="F74" i="37" s="1"/>
  <c r="E53" i="37"/>
  <c r="F40" i="37"/>
  <c r="E40" i="37"/>
  <c r="F41" i="36"/>
  <c r="E41" i="36"/>
  <c r="E45" i="36" s="1"/>
  <c r="F37" i="36"/>
  <c r="E37" i="36"/>
  <c r="F32" i="36"/>
  <c r="F43" i="36" s="1"/>
  <c r="E32" i="36"/>
  <c r="F27" i="36"/>
  <c r="F45" i="36" s="1"/>
  <c r="E27" i="36"/>
  <c r="F41" i="35"/>
  <c r="E41" i="35"/>
  <c r="F37" i="35"/>
  <c r="E37" i="35"/>
  <c r="F33" i="35"/>
  <c r="E33" i="35"/>
  <c r="F28" i="35"/>
  <c r="E28" i="35"/>
  <c r="F23" i="35"/>
  <c r="E23" i="35"/>
  <c r="E43" i="35" s="1"/>
  <c r="F44" i="34"/>
  <c r="E44" i="34"/>
  <c r="F40" i="34"/>
  <c r="E40" i="34"/>
  <c r="F36" i="34"/>
  <c r="E36" i="34"/>
  <c r="E46" i="34"/>
  <c r="F31" i="34"/>
  <c r="F46" i="34" s="1"/>
  <c r="E31" i="34"/>
  <c r="F25" i="34"/>
  <c r="F48" i="34"/>
  <c r="E25" i="34"/>
  <c r="E48" i="34"/>
  <c r="F41" i="33"/>
  <c r="F45" i="33" s="1"/>
  <c r="E41" i="33"/>
  <c r="F37" i="33"/>
  <c r="E37" i="33"/>
  <c r="F33" i="33"/>
  <c r="E33" i="33"/>
  <c r="F28" i="33"/>
  <c r="F43" i="33" s="1"/>
  <c r="E28" i="33"/>
  <c r="F22" i="33"/>
  <c r="E22" i="33"/>
  <c r="F37" i="32"/>
  <c r="E37" i="32"/>
  <c r="F33" i="32"/>
  <c r="E33" i="32"/>
  <c r="F28" i="32"/>
  <c r="E28" i="32"/>
  <c r="F23" i="32"/>
  <c r="F41" i="32"/>
  <c r="E23" i="32"/>
  <c r="F39" i="31"/>
  <c r="E39" i="31"/>
  <c r="F35" i="31"/>
  <c r="E35" i="31"/>
  <c r="F30" i="31"/>
  <c r="E30" i="31"/>
  <c r="F25" i="31"/>
  <c r="E25" i="31"/>
  <c r="F34" i="30"/>
  <c r="E34" i="30"/>
  <c r="F30" i="30"/>
  <c r="E30" i="30"/>
  <c r="F25" i="30"/>
  <c r="F38" i="30" s="1"/>
  <c r="E25" i="30"/>
  <c r="F20" i="30"/>
  <c r="F36" i="30"/>
  <c r="E20" i="30"/>
  <c r="F37" i="29"/>
  <c r="E37" i="29"/>
  <c r="E39" i="29" s="1"/>
  <c r="F33" i="29"/>
  <c r="E33" i="29"/>
  <c r="F28" i="29"/>
  <c r="F39" i="29" s="1"/>
  <c r="E28" i="29"/>
  <c r="F22" i="29"/>
  <c r="F41" i="29" s="1"/>
  <c r="E22" i="29"/>
  <c r="F36" i="28"/>
  <c r="E36" i="28"/>
  <c r="F31" i="28"/>
  <c r="E31" i="28"/>
  <c r="F26" i="28"/>
  <c r="E26" i="28"/>
  <c r="E33" i="27"/>
  <c r="F28" i="27"/>
  <c r="E28" i="27"/>
  <c r="F24" i="27"/>
  <c r="F37" i="27"/>
  <c r="E24" i="27"/>
  <c r="E37" i="27"/>
  <c r="E39" i="26"/>
  <c r="F35" i="26"/>
  <c r="E35" i="26"/>
  <c r="F30" i="26"/>
  <c r="F37" i="26" s="1"/>
  <c r="E30" i="26"/>
  <c r="F26" i="26"/>
  <c r="F39" i="26"/>
  <c r="E26" i="26"/>
  <c r="E37" i="26"/>
  <c r="F30" i="25"/>
  <c r="F28" i="25"/>
  <c r="E28" i="25"/>
  <c r="F23" i="25"/>
  <c r="F32" i="25"/>
  <c r="E23" i="25"/>
  <c r="F27" i="24"/>
  <c r="E27" i="24"/>
  <c r="E31" i="24" s="1"/>
  <c r="F22" i="24"/>
  <c r="E22" i="24"/>
  <c r="F17" i="24"/>
  <c r="E17" i="24"/>
  <c r="F29" i="23"/>
  <c r="E29" i="23"/>
  <c r="F24" i="23"/>
  <c r="E24" i="23"/>
  <c r="F20" i="23"/>
  <c r="E20" i="23"/>
  <c r="E33" i="23" s="1"/>
  <c r="E31" i="23"/>
  <c r="E29" i="22"/>
  <c r="F27" i="22"/>
  <c r="E27" i="22"/>
  <c r="F23" i="22"/>
  <c r="F31" i="22"/>
  <c r="E23" i="22"/>
  <c r="E31" i="22"/>
  <c r="F23" i="21"/>
  <c r="F19" i="21"/>
  <c r="F21" i="21"/>
  <c r="E19" i="21"/>
  <c r="E23" i="21" s="1"/>
  <c r="E21" i="21"/>
  <c r="F28" i="20"/>
  <c r="F24" i="20"/>
  <c r="F26" i="20"/>
  <c r="E24" i="20"/>
  <c r="E28" i="20" s="1"/>
  <c r="F24" i="19"/>
  <c r="E24" i="19"/>
  <c r="E26" i="19" s="1"/>
  <c r="E28" i="19"/>
  <c r="F23" i="18"/>
  <c r="F21" i="18"/>
  <c r="F25" i="18" s="1"/>
  <c r="E21" i="18"/>
  <c r="F20" i="17"/>
  <c r="F24" i="17" s="1"/>
  <c r="F22" i="17"/>
  <c r="E20" i="17"/>
  <c r="F21" i="16"/>
  <c r="F25" i="16" s="1"/>
  <c r="E21" i="16"/>
  <c r="E25" i="16" s="1"/>
  <c r="F26" i="15"/>
  <c r="F24" i="15"/>
  <c r="E24" i="15"/>
  <c r="F22" i="15"/>
  <c r="E22" i="15"/>
  <c r="E26" i="15" s="1"/>
  <c r="F34" i="14"/>
  <c r="E34" i="14"/>
  <c r="F22" i="14"/>
  <c r="E22" i="14"/>
  <c r="F8" i="14"/>
  <c r="E8" i="14"/>
  <c r="F59" i="12"/>
  <c r="E59" i="12"/>
  <c r="F53" i="12"/>
  <c r="E53" i="12"/>
  <c r="F49" i="12"/>
  <c r="E49" i="12"/>
  <c r="F43" i="12"/>
  <c r="F63" i="12" s="1"/>
  <c r="E43" i="12"/>
  <c r="F70" i="11"/>
  <c r="E70" i="11"/>
  <c r="F64" i="11"/>
  <c r="E64" i="11"/>
  <c r="F60" i="11"/>
  <c r="E60" i="11"/>
  <c r="F55" i="11"/>
  <c r="E55" i="11"/>
  <c r="F51" i="11"/>
  <c r="E51" i="11"/>
  <c r="F75" i="10"/>
  <c r="E75" i="10"/>
  <c r="F57" i="10"/>
  <c r="E57" i="10"/>
  <c r="F59" i="9"/>
  <c r="E59" i="9"/>
  <c r="F40" i="9"/>
  <c r="E40" i="9"/>
  <c r="F22" i="8"/>
  <c r="E22" i="8"/>
  <c r="F16" i="8"/>
  <c r="E16" i="8"/>
  <c r="F11" i="8"/>
  <c r="E11" i="8"/>
  <c r="E26" i="8" s="1"/>
  <c r="F12" i="7"/>
  <c r="F16" i="7" s="1"/>
  <c r="E12" i="7"/>
  <c r="E14" i="7" s="1"/>
  <c r="F52" i="6"/>
  <c r="E52" i="6"/>
  <c r="F36" i="6"/>
  <c r="E36" i="6"/>
  <c r="F49" i="5"/>
  <c r="E49" i="5"/>
  <c r="F38" i="5"/>
  <c r="E38" i="5"/>
  <c r="F37" i="4"/>
  <c r="F41" i="4" s="1"/>
  <c r="E37" i="4"/>
  <c r="F30" i="4"/>
  <c r="E30" i="4"/>
  <c r="F13" i="4"/>
  <c r="E13" i="4"/>
  <c r="F102" i="3"/>
  <c r="E102" i="3"/>
  <c r="F70" i="3"/>
  <c r="E70" i="3"/>
  <c r="F57" i="2"/>
  <c r="E57" i="2"/>
  <c r="F49" i="2"/>
  <c r="F61" i="2" s="1"/>
  <c r="E49" i="2"/>
  <c r="D15" i="60"/>
  <c r="F71" i="54"/>
  <c r="E71" i="54"/>
  <c r="E60" i="53"/>
  <c r="E65" i="49"/>
  <c r="F65" i="49"/>
  <c r="F48" i="46"/>
  <c r="F44" i="43"/>
  <c r="E45" i="41"/>
  <c r="E43" i="36"/>
  <c r="F39" i="32"/>
  <c r="E35" i="27"/>
  <c r="E29" i="24"/>
  <c r="E26" i="20"/>
  <c r="F23" i="16"/>
  <c r="F61" i="12"/>
  <c r="F31" i="24" l="1"/>
  <c r="F29" i="24"/>
  <c r="E40" i="28"/>
  <c r="E38" i="28"/>
  <c r="E38" i="30"/>
  <c r="E36" i="30"/>
  <c r="E43" i="31"/>
  <c r="E41" i="31"/>
  <c r="E41" i="32"/>
  <c r="E39" i="32"/>
  <c r="E74" i="37"/>
  <c r="E76" i="37"/>
  <c r="E59" i="39"/>
  <c r="E56" i="39"/>
  <c r="E67" i="42"/>
  <c r="E65" i="42"/>
  <c r="F26" i="19"/>
  <c r="F28" i="19"/>
  <c r="F41" i="31"/>
  <c r="F43" i="31"/>
  <c r="E48" i="46"/>
  <c r="E35" i="47"/>
  <c r="E37" i="47"/>
  <c r="E66" i="48"/>
  <c r="E64" i="48"/>
  <c r="F67" i="52"/>
  <c r="F65" i="52"/>
  <c r="F39" i="4"/>
  <c r="E63" i="12"/>
  <c r="E61" i="12"/>
  <c r="E24" i="17"/>
  <c r="E22" i="17"/>
  <c r="E23" i="18"/>
  <c r="E25" i="18"/>
  <c r="F29" i="22"/>
  <c r="F33" i="23"/>
  <c r="F31" i="23"/>
  <c r="E30" i="25"/>
  <c r="E32" i="25"/>
  <c r="F35" i="27"/>
  <c r="F40" i="28"/>
  <c r="F38" i="28"/>
  <c r="E41" i="29"/>
  <c r="E43" i="33"/>
  <c r="E45" i="33"/>
  <c r="F43" i="35"/>
  <c r="F45" i="41"/>
  <c r="F47" i="41"/>
  <c r="F67" i="42"/>
  <c r="F65" i="42"/>
  <c r="E76" i="44"/>
  <c r="E34" i="50"/>
  <c r="E36" i="50"/>
  <c r="E43" i="51"/>
  <c r="E45" i="51"/>
  <c r="E39" i="4"/>
  <c r="F26" i="8"/>
  <c r="E23" i="16"/>
  <c r="F59" i="39"/>
  <c r="E41" i="4"/>
  <c r="F54" i="6"/>
  <c r="E24" i="8"/>
  <c r="E38" i="14"/>
  <c r="E80" i="40"/>
  <c r="F74" i="11"/>
  <c r="E74" i="11"/>
  <c r="E72" i="11"/>
  <c r="F72" i="11"/>
  <c r="F60" i="53"/>
  <c r="F74" i="44"/>
  <c r="E63" i="9"/>
  <c r="F24" i="8"/>
  <c r="F45" i="35"/>
  <c r="E45" i="35"/>
  <c r="E60" i="38"/>
  <c r="F60" i="38"/>
  <c r="F66" i="45"/>
  <c r="F64" i="45"/>
  <c r="E64" i="45"/>
  <c r="F66" i="48"/>
  <c r="E9" i="55"/>
  <c r="D11" i="55"/>
  <c r="E14" i="59"/>
  <c r="E61" i="2"/>
  <c r="F59" i="2"/>
  <c r="E59" i="2"/>
  <c r="E106" i="3"/>
  <c r="E104" i="3"/>
  <c r="F104" i="3"/>
  <c r="F106" i="3"/>
  <c r="F53" i="5"/>
  <c r="E53" i="5"/>
  <c r="F51" i="5"/>
  <c r="E51" i="5"/>
  <c r="E54" i="6"/>
  <c r="F56" i="6"/>
  <c r="E56" i="6"/>
  <c r="F14" i="7"/>
  <c r="E16" i="7"/>
  <c r="E61" i="9"/>
  <c r="F63" i="9"/>
  <c r="F61" i="9"/>
  <c r="F77" i="10"/>
  <c r="E79" i="10"/>
  <c r="E77" i="10"/>
  <c r="F79" i="10"/>
  <c r="F36" i="14"/>
  <c r="E36" i="14"/>
  <c r="F38" i="14"/>
  <c r="D12" i="63"/>
  <c r="F64" i="48"/>
  <c r="E66" i="45"/>
  <c r="F82" i="40"/>
  <c r="E62" i="38"/>
  <c r="F62" i="38"/>
  <c r="F80" i="40"/>
  <c r="E82" i="40"/>
  <c r="E11" i="56"/>
  <c r="E13" i="57"/>
  <c r="D15" i="57"/>
  <c r="E11" i="58"/>
  <c r="D14" i="59"/>
  <c r="E15" i="60"/>
  <c r="E17" i="62"/>
  <c r="D15" i="62"/>
  <c r="E12" i="63"/>
</calcChain>
</file>

<file path=xl/sharedStrings.xml><?xml version="1.0" encoding="utf-8"?>
<sst xmlns="http://schemas.openxmlformats.org/spreadsheetml/2006/main" count="7882" uniqueCount="1660">
  <si>
    <t>Name of the Instrument</t>
  </si>
  <si>
    <t>Quantity</t>
  </si>
  <si>
    <t>ISIN Number</t>
  </si>
  <si>
    <t xml:space="preserve">Market Value(Rs. in Lakhs) </t>
  </si>
  <si>
    <t>% to Net Assets</t>
  </si>
  <si>
    <t>Industry Classification / Rating</t>
  </si>
  <si>
    <t>Portfolio Statement as on September 30, 2020</t>
  </si>
  <si>
    <t>Franklin India Ultra Short Bond Fund - (No. of segregated Portfolio in the scheme -1) - (under winding up)</t>
  </si>
  <si>
    <t>Franklin India Short-Term Income Plan (No. of segregated Portfolios in the scheme - 3) - (under winding up)</t>
  </si>
  <si>
    <t>Franklin India Low Duration Fund (No. of segregated Portfolio in the scheme -2) - (under winding up)</t>
  </si>
  <si>
    <t>Franklin India Income Opportunities Fund (No. of segregated Portfolio in the scheme - 2) - (under winding up)</t>
  </si>
  <si>
    <t>Franklin India Dynamic Accrual Fund (No. of segregated Portfolios in the scheme - 3) - (under winding up)</t>
  </si>
  <si>
    <t>Franklin India Credit Risk Fund (No. of segregated Portfolios in the scheme -3) - (under winding up)</t>
  </si>
  <si>
    <t>Franklin India Banking &amp; PSU Debt Fund</t>
  </si>
  <si>
    <t>Franklin India Overnight Fund</t>
  </si>
  <si>
    <t>Franklin India Fixed Maturity Plans-Series 6 – Plan C  (1169 days)</t>
  </si>
  <si>
    <t>Franklin India Fixed Maturity Plans-Series 5 – Plan F (1203 days)</t>
  </si>
  <si>
    <t>Franklin India Fixed Maturity Plans-Series 5 – Plan E (1224 days)</t>
  </si>
  <si>
    <t>Franklin India Fixed Maturity Plans – Series 5 – Plan D (1238 days)</t>
  </si>
  <si>
    <t>Franklin India Fixed Maturity Plans - Series 5 -Plan C (1259 Days)</t>
  </si>
  <si>
    <t>Franklin India Fixed Maturity Plans – Series 5 - Plan B (1244 days)</t>
  </si>
  <si>
    <t>Franklin India Fixed Maturity Plans - Series 5 - Plan A (1273 days)</t>
  </si>
  <si>
    <t>Franklin India Fixed Maturity Plans - Series 4 - Plan F (1286 Days)</t>
  </si>
  <si>
    <t>Franklin India Fixed Maturity Plans - Series 4 - Plan E (1098 days)</t>
  </si>
  <si>
    <t>Franklin India Fixed Maturity Plans - Series 4 - Plan D (1098 Days)</t>
  </si>
  <si>
    <t>Franklin India Fixed Maturity Plans - Series 4 - Plan C (1098 Days)</t>
  </si>
  <si>
    <t>Franklin India Fixed Maturity Plans - Series 4 - Plan B (1098 days)</t>
  </si>
  <si>
    <t>Franklin India Fixed Maturity Plans-Series 4 - Plan A (1098 Days)</t>
  </si>
  <si>
    <t>Franklin India Fixed Maturity Plans - Series 3 - Plan F (1098 days)</t>
  </si>
  <si>
    <t>Franklin India Fixed Maturity Plans - Series 3 - Plan E (1104 Days)</t>
  </si>
  <si>
    <t>Franklin India Fixed Maturity Plans - Series 3 - Plan D (1132 Days)</t>
  </si>
  <si>
    <t>Franklin India Fixed Maturity Plans - Series 3 - Plan C (1132 Days)</t>
  </si>
  <si>
    <t>Franklin India Fixed Maturity Plans - Series 3 - Plan B (1139 Days)</t>
  </si>
  <si>
    <t>Franklin India Fixed Maturity Plans-Series 3-Plan A (1157 Days)</t>
  </si>
  <si>
    <t>Franklin India Fixed Maturity Plans- Series 2 - Plan C (1205 Days)</t>
  </si>
  <si>
    <t>Franklin India Fixed Maturity Plans - Series 2 - Plan B (1224 Days)</t>
  </si>
  <si>
    <t>Franklin India Fixed Maturity Plans - Series 2- Plan A (1224 Days)</t>
  </si>
  <si>
    <t>Franklin India Pension Plan</t>
  </si>
  <si>
    <t>Franklin India Equity Savings Fund</t>
  </si>
  <si>
    <t>Templeton India Equity Income Fund</t>
  </si>
  <si>
    <t>Franklin India Technology Fund</t>
  </si>
  <si>
    <t>Franklin India Smaller Companies Fund</t>
  </si>
  <si>
    <t>Franklin India Prima Fund</t>
  </si>
  <si>
    <t>Franklin India Opportunities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</si>
  <si>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</si>
  <si>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</si>
  <si>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</si>
  <si>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</si>
  <si>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</si>
  <si>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</si>
  <si>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</si>
  <si>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</si>
  <si>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</si>
  <si>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</si>
  <si>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</si>
  <si>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</si>
  <si>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Debt Instruments</t>
  </si>
  <si>
    <t>(a) Listed / awaiting listing on Stock Exchanges</t>
  </si>
  <si>
    <t>JM Financial Credit Solutions Ltd (1Y SBI MCLR + 460 Bps) (23-Jul-2024) **</t>
  </si>
  <si>
    <t>INE651J07739</t>
  </si>
  <si>
    <t>ICRA AA</t>
  </si>
  <si>
    <t>Indostar Capital Finance Ltd (1Y SBI MCLR + 200 Bps) (02-May-2023) **</t>
  </si>
  <si>
    <t>INE896L07561</t>
  </si>
  <si>
    <t>CARE AA-</t>
  </si>
  <si>
    <t>Indostar Capital Finance Ltd (1Y SBI MCLR + 325 Bps) (02-Nov-2021) **</t>
  </si>
  <si>
    <t>INE896L07660</t>
  </si>
  <si>
    <t>Edelweiss Rural &amp; Corporate Services Ltd (1Y SBI MCLR + 250 Bps) (29-Nov-2021) **</t>
  </si>
  <si>
    <t>INE657N07597</t>
  </si>
  <si>
    <t>ICRA A+</t>
  </si>
  <si>
    <t>Edelweiss Rural &amp; Corporate Services Ltd (1Y SBI MCLR + 250 Bps) (29-Nov-2021) - Series II **</t>
  </si>
  <si>
    <t>INE657N07605</t>
  </si>
  <si>
    <t>CRISIL AA-</t>
  </si>
  <si>
    <t>INE003S07213</t>
  </si>
  <si>
    <t>CARE A+</t>
  </si>
  <si>
    <t>9.60% Piramal Enterprises Ltd (06-May-2022) **</t>
  </si>
  <si>
    <t>INE140A07567</t>
  </si>
  <si>
    <t>CARE AA</t>
  </si>
  <si>
    <t>11.25% Clix Capital Services Pvt Ltd (27-Jun-2023) **</t>
  </si>
  <si>
    <t>INE157D08027</t>
  </si>
  <si>
    <t>0.00% Tata Realty &amp; Infrastructure Ltd (04-Jun-2021) **</t>
  </si>
  <si>
    <t>INE371K08128</t>
  </si>
  <si>
    <t>11.25% Clix Capital Services Pvt Ltd (25-May-2023) **</t>
  </si>
  <si>
    <t>INE157D08019</t>
  </si>
  <si>
    <t>8.47% PNB Housing Finance Ltd (01-Jul-2021) **</t>
  </si>
  <si>
    <t>INE572E09361</t>
  </si>
  <si>
    <t>10.15% Uttar Pradesh Power Corporation Ltd (20-Jan-2021) **</t>
  </si>
  <si>
    <t>INE540P07285</t>
  </si>
  <si>
    <t>CRISIL A+(CE)</t>
  </si>
  <si>
    <t>12.50% Clix Capital Services Pvt Ltd (06-Sep-2021) **</t>
  </si>
  <si>
    <t>INE157D08035</t>
  </si>
  <si>
    <t>12.50% Clix Capital Services Pvt Ltd (06-Jul-2021) **</t>
  </si>
  <si>
    <t>INE157D08068</t>
  </si>
  <si>
    <t>12.50% Clix Capital Services Pvt Ltd (06-May-2021) **</t>
  </si>
  <si>
    <t>INE157D08050</t>
  </si>
  <si>
    <t>7.63% PNB Housing Finance Ltd (15-Dec-2020) **</t>
  </si>
  <si>
    <t>INE572E09452</t>
  </si>
  <si>
    <t>7.80% PNB Housing Finance Ltd (07-May-2021) **</t>
  </si>
  <si>
    <t>INE572E09429</t>
  </si>
  <si>
    <t>10.15% Uttar Pradesh Power Corporation Ltd (20-Jan-2022) **</t>
  </si>
  <si>
    <t>INE540P07293</t>
  </si>
  <si>
    <t>12.50% Clix Capital Services Pvt Ltd (12-Nov-2021) **</t>
  </si>
  <si>
    <t>INE157D08043</t>
  </si>
  <si>
    <t>Northern ARC Capital Ltd (6M SBI MCLR + 305 Bps) Series A (16-Jul-2021) **</t>
  </si>
  <si>
    <t>INE850M08051</t>
  </si>
  <si>
    <t>Northern ARC Capital Ltd (6M SBI MCLR + 305 Bps) Series B (16-Jul-2021) **</t>
  </si>
  <si>
    <t>INE850M08069</t>
  </si>
  <si>
    <t>Northern ARC Capital Ltd (6M SBI MCLR + 305 Bps) Series C (16-Jul-2021) **</t>
  </si>
  <si>
    <t>INE850M08077</t>
  </si>
  <si>
    <t>INE081A08165</t>
  </si>
  <si>
    <t>11.75% AU Small Finance Bank Ltd (04-May-2021) **</t>
  </si>
  <si>
    <t>INE949L08152</t>
  </si>
  <si>
    <t>IND AA-</t>
  </si>
  <si>
    <t>9.23% Talwandi Sabo Power Ltd (30-Jul-2021) **</t>
  </si>
  <si>
    <t>INE694L07123</t>
  </si>
  <si>
    <t>CRISIL AA(CE)</t>
  </si>
  <si>
    <t>INE245A08034</t>
  </si>
  <si>
    <t>7.58% PNB Housing Finance Ltd (15-Mar-2021) **</t>
  </si>
  <si>
    <t>INE572E09569</t>
  </si>
  <si>
    <t>8.55% Shriram Transport Finance Co Ltd (21-May-2021) **</t>
  </si>
  <si>
    <t>INE721A07NI6</t>
  </si>
  <si>
    <t>CRISIL AA+</t>
  </si>
  <si>
    <t>10.75% The Tata Power Co Ltd (21-Aug-2022) **</t>
  </si>
  <si>
    <t>INE245A08042</t>
  </si>
  <si>
    <t>9.75% Uttar Pradesh Power Corporation Ltd (20-Oct-2020) **</t>
  </si>
  <si>
    <t>INE540P07194</t>
  </si>
  <si>
    <t>7.40% Tata Motors Ltd (29-Jun-2021) **</t>
  </si>
  <si>
    <t>INE155A08365</t>
  </si>
  <si>
    <t>9.70% Xander Finance Pvt Ltd (15-Mar-2021) **</t>
  </si>
  <si>
    <t>INE252T07040</t>
  </si>
  <si>
    <t>9.10% Shriram Transport Finance Co Ltd (12-Jul-2021) **</t>
  </si>
  <si>
    <t>INE721A07NV9</t>
  </si>
  <si>
    <t>11.30% Hinduja Leyland Finance Ltd (21-Jul-2021) **</t>
  </si>
  <si>
    <t>INE146O08084</t>
  </si>
  <si>
    <t>ICRA AA-</t>
  </si>
  <si>
    <t>9.70% Xander Finance Pvt Ltd (30-Apr-2021) **</t>
  </si>
  <si>
    <t>INE252T07057</t>
  </si>
  <si>
    <t>7.6414% Shriram Transport Finance Co Ltd (10-Nov-2020) **</t>
  </si>
  <si>
    <t>INE721A07MW9</t>
  </si>
  <si>
    <t>9.99% India Shelter Finance Corporation Ltd (10-Feb-2022) **</t>
  </si>
  <si>
    <t>INE922K07013</t>
  </si>
  <si>
    <t>ICRA A</t>
  </si>
  <si>
    <t>12.00% Vivriti Capital Pvt Ltd (19-Mar-2021) **</t>
  </si>
  <si>
    <t>INE01HV07015</t>
  </si>
  <si>
    <t>ICRA A-</t>
  </si>
  <si>
    <t>10.15% Uttar Pradesh Power Corporation Ltd (20-Jan-2023) **</t>
  </si>
  <si>
    <t>INE540P07301</t>
  </si>
  <si>
    <t>8.70% Edelweiss Rural &amp; Corporate Services Ltd (30-Jun-2027) **</t>
  </si>
  <si>
    <t>INE616U07036</t>
  </si>
  <si>
    <t>7.50% Tata Motors Ltd (20-Oct-2021) **</t>
  </si>
  <si>
    <t>INE155A08316</t>
  </si>
  <si>
    <t>10.25% Sikka Ports &amp; Terminals Ltd (22-Aug-2021) **</t>
  </si>
  <si>
    <t>INE941D08065</t>
  </si>
  <si>
    <t>CRISIL AAA</t>
  </si>
  <si>
    <t>Sub Total</t>
  </si>
  <si>
    <t>(b) Privately Placed / Unlisted</t>
  </si>
  <si>
    <t>0.00% Bharti Telecom Ltd (19-Feb-2021) **</t>
  </si>
  <si>
    <t>INE403D08025</t>
  </si>
  <si>
    <t>0.00% Hero Wind Energy Pvt Ltd (08-Feb-2022) **</t>
  </si>
  <si>
    <t>INE918T07020</t>
  </si>
  <si>
    <t>12.50% Clix Finance India Pvt Ltd (06-Jan-2022) **</t>
  </si>
  <si>
    <t>INE587B08037</t>
  </si>
  <si>
    <t>11.96% Renew Power Pvt Ltd (28-Sep-2022) **</t>
  </si>
  <si>
    <t>INE003S07155</t>
  </si>
  <si>
    <t>0.00% KKR India Financial Services Pvt Ltd (10-Mar-2021) **</t>
  </si>
  <si>
    <t>INE321N07244</t>
  </si>
  <si>
    <t>CRISIL AA</t>
  </si>
  <si>
    <t>Total</t>
  </si>
  <si>
    <t>Net Assets</t>
  </si>
  <si>
    <t>Call, Cash &amp; Other Assets</t>
  </si>
  <si>
    <t>Rating</t>
  </si>
  <si>
    <t>** Non- Traded Scrips</t>
  </si>
  <si>
    <t>Notes</t>
  </si>
  <si>
    <t>a) NAV at the beginning and at the end of the Half-year ended 30-Sep-2020</t>
  </si>
  <si>
    <t xml:space="preserve">      Plan/Option</t>
  </si>
  <si>
    <t>As on 30-Sep-2020</t>
  </si>
  <si>
    <t>As on 31-Mar-2020</t>
  </si>
  <si>
    <t xml:space="preserve">      Retail Plan Growth Option</t>
  </si>
  <si>
    <t xml:space="preserve">      Retail Plan Daily Dividend Option</t>
  </si>
  <si>
    <t xml:space="preserve">      Retail Plan Weekly Dividend Option</t>
  </si>
  <si>
    <t xml:space="preserve">      Super Institutional Plan Growth Option</t>
  </si>
  <si>
    <t xml:space="preserve">      Super Institutional Plan Daily Dividend Option</t>
  </si>
  <si>
    <t xml:space="preserve">      Super Institutional Plan Weekly Dividend Option</t>
  </si>
  <si>
    <t xml:space="preserve">      Direct Super Institutional Plan Growth Option</t>
  </si>
  <si>
    <t xml:space="preserve">      Direct Super Institutional Plan Daily Dividend Option</t>
  </si>
  <si>
    <t xml:space="preserve">      Direct Super Institutional Plan Weekly Dividend Option</t>
  </si>
  <si>
    <t>b) Aggregate Dividends declared during the Half - year ended 30-Sep-2020</t>
  </si>
  <si>
    <t>Nil</t>
  </si>
  <si>
    <t>c) Average Maturity as on 30-Sep-2020</t>
  </si>
  <si>
    <t>(In Years)</t>
  </si>
  <si>
    <t xml:space="preserve">d) During the month additional instances of fair valuation/deviation from valuation price provided by the valuation agencies </t>
  </si>
  <si>
    <t>Main Portfolio</t>
  </si>
  <si>
    <t>10.25% Shriram Transport Finance Co Ltd (26-Apr-2024) **</t>
  </si>
  <si>
    <t>INE721A08DC8</t>
  </si>
  <si>
    <t>9.50% Piramal Capital &amp; Housing Finance Ltd (15-Apr-2022) **</t>
  </si>
  <si>
    <t>INE516Y07105</t>
  </si>
  <si>
    <t>10.32% Andhra Pradesh Capital Region Development Authority (16-Aug-2025) **</t>
  </si>
  <si>
    <t>INE01E708024</t>
  </si>
  <si>
    <t>10.32% Andhra Pradesh Capital Region Development Authority (16-Aug-2024) **</t>
  </si>
  <si>
    <t>INE01E708016</t>
  </si>
  <si>
    <t>12.55% Sterlite Power Grid Ventures Ltd (28-Mar-2022) **</t>
  </si>
  <si>
    <t>INE615S07065</t>
  </si>
  <si>
    <t>IND A</t>
  </si>
  <si>
    <t>10.00% Aptus Value Housing Finance India Ltd (20-Aug-2025) **</t>
  </si>
  <si>
    <t>INE852O07097</t>
  </si>
  <si>
    <t>7.91% PNB Housing Finance Ltd (29-Mar-2022) **</t>
  </si>
  <si>
    <t>INE572E09403</t>
  </si>
  <si>
    <t>12.40% JM Financial Asset Reconstruction Co Ltd (02-Feb-2022) **</t>
  </si>
  <si>
    <t>INE265J07357</t>
  </si>
  <si>
    <t>12.64% Five-Star Business Finance Ltd (16-Apr-2022) **</t>
  </si>
  <si>
    <t>INE128S07374</t>
  </si>
  <si>
    <t>9.90% Shriram Transport Finance Co Ltd (21-Jun-2024) **</t>
  </si>
  <si>
    <t>INE721A08DF1</t>
  </si>
  <si>
    <t>12.00% Ess Kay Fincorp Ltd (01-Aug-2023) **</t>
  </si>
  <si>
    <t>INE124N07309</t>
  </si>
  <si>
    <t>CRISIL A</t>
  </si>
  <si>
    <t>8.50% Vedanta Ltd (05-Apr-2021) **</t>
  </si>
  <si>
    <t>INE205A07139</t>
  </si>
  <si>
    <t>10.00% Aptus Value Housing Finance India Ltd (20-Jul-2025) **</t>
  </si>
  <si>
    <t>INE852O07089</t>
  </si>
  <si>
    <t>INE657N07381</t>
  </si>
  <si>
    <t>10.15% Uttar Pradesh Power Corporation Ltd (19-Jan-2024) **</t>
  </si>
  <si>
    <t>INE540P07319</t>
  </si>
  <si>
    <t>10.15% Uttar Pradesh Power Corporation Ltd (20-Jan-2025) **</t>
  </si>
  <si>
    <t>INE540P07327</t>
  </si>
  <si>
    <t>12.40% JM Financial Asset Reconstruction Co Ltd (02-Aug-2021) **</t>
  </si>
  <si>
    <t>INE265J07365</t>
  </si>
  <si>
    <t>12.64% Five-Star Business Finance Ltd (28-May-2022) **</t>
  </si>
  <si>
    <t>INE128S07390</t>
  </si>
  <si>
    <t>10.15% Uttar Pradesh Power Corporation Ltd (20-Jan-2026) **</t>
  </si>
  <si>
    <t>INE540P07335</t>
  </si>
  <si>
    <t>10.50% Vistaar Financial Services Pvt Ltd (24-Aug-2025) **</t>
  </si>
  <si>
    <t>INE016P07146</t>
  </si>
  <si>
    <t>11.60% Hinduja Leyland Finance Ltd (29-Sep-2024) **</t>
  </si>
  <si>
    <t>INE146O08159</t>
  </si>
  <si>
    <t>12.64% Five-Star Business Finance Ltd (29-Mar-2022) **</t>
  </si>
  <si>
    <t>INE128S07358</t>
  </si>
  <si>
    <t>INE459T07090</t>
  </si>
  <si>
    <t>BWR A+</t>
  </si>
  <si>
    <t>9.90% Coastal Gujarat Power Ltd (25-Aug-2028) **</t>
  </si>
  <si>
    <t>INE295J08022</t>
  </si>
  <si>
    <t>CARE AA(CE)</t>
  </si>
  <si>
    <t>INE459T07082</t>
  </si>
  <si>
    <t>10.32% Andhra Pradesh Capital Region Development Authority (16-Aug-2026) **</t>
  </si>
  <si>
    <t>INE01E708032</t>
  </si>
  <si>
    <t>11.50% Hinduja Leyland Finance Ltd (31-May-2021) **</t>
  </si>
  <si>
    <t>INE146O08068</t>
  </si>
  <si>
    <t>9.75% Uttar Pradesh Power Corporation Ltd (20-Oct-2021) **</t>
  </si>
  <si>
    <t>INE540P07202</t>
  </si>
  <si>
    <t>INE459T07025</t>
  </si>
  <si>
    <t>10.90% Punjab &amp; Sind Bank (07-May-2022) **</t>
  </si>
  <si>
    <t>INE608A08025</t>
  </si>
  <si>
    <t>INE128S07333</t>
  </si>
  <si>
    <t>CARE A</t>
  </si>
  <si>
    <t>11.50% JM Financial Asset Reconstruction Co Ltd (29-May-2022) **</t>
  </si>
  <si>
    <t>INE265J07316</t>
  </si>
  <si>
    <t>9.18% Vedanta Ltd (02-Jul-2021) **</t>
  </si>
  <si>
    <t>INE205A07154</t>
  </si>
  <si>
    <t>12.64% Five-Star Business Finance Ltd (28-Jun-2022) **</t>
  </si>
  <si>
    <t>INE128S07408</t>
  </si>
  <si>
    <t>11.10% Hinduja Leyland Finance Ltd (08-Apr-2022) **</t>
  </si>
  <si>
    <t>INE146O08092</t>
  </si>
  <si>
    <t>9.85% DCB Bank Ltd (18-Nov-2026) **</t>
  </si>
  <si>
    <t>INE503A08028</t>
  </si>
  <si>
    <t>12.00% Hinduja Leyland Finance Ltd (28-Mar-2021) **</t>
  </si>
  <si>
    <t>INE146O08027</t>
  </si>
  <si>
    <t>9.73% Tata Motors Ltd (01-Oct-2020) **</t>
  </si>
  <si>
    <t>INE155A08225</t>
  </si>
  <si>
    <t>8.90% Vedanta Ltd (09-Dec-2021) **</t>
  </si>
  <si>
    <t>INE205A07162</t>
  </si>
  <si>
    <t>10.15% Uttar Pradesh Power Corporation Ltd (20-Jan-2027) **</t>
  </si>
  <si>
    <t>INE540P07343</t>
  </si>
  <si>
    <t>10.15% Uttar Pradesh Power Corporation Ltd (20-Jan-2028) **</t>
  </si>
  <si>
    <t>INE540P07350</t>
  </si>
  <si>
    <t>8.50% Bank of Baroda (02-Dec-2021) **</t>
  </si>
  <si>
    <t>INE028A08083</t>
  </si>
  <si>
    <t>INE128S07317</t>
  </si>
  <si>
    <t>10.00% Aptus Value Housing Finance India Ltd (24-Jan-2025) **</t>
  </si>
  <si>
    <t>INE852O07055</t>
  </si>
  <si>
    <t>9.30% Fullerton India Credit Co Ltd (15-Mar-2021) **</t>
  </si>
  <si>
    <t>INE535H07AU7</t>
  </si>
  <si>
    <t>0.00% Mahindra &amp; Mahindra Financial Services Ltd (07-Apr-2021) **</t>
  </si>
  <si>
    <t>INE774D07RY7</t>
  </si>
  <si>
    <t>IND AAA</t>
  </si>
  <si>
    <t>8.39% National Bank For Agriculture &amp; Rural Development (19-Jul-2021) **</t>
  </si>
  <si>
    <t>INE261F08AL1</t>
  </si>
  <si>
    <t>8.32% Reliance Industries Ltd (08-Jul-2021) **</t>
  </si>
  <si>
    <t>INE110L07070</t>
  </si>
  <si>
    <t>11.90% Vishal Mega Mart Pvt Ltd (20-Oct-2023) **</t>
  </si>
  <si>
    <t>INE01EA07016</t>
  </si>
  <si>
    <t>IND A+</t>
  </si>
  <si>
    <t>9.45% Renew Power Pvt Ltd (31-Jul-2025) **</t>
  </si>
  <si>
    <t>INE003S07189</t>
  </si>
  <si>
    <t>11.50% S. D. Corporation Pvt Ltd (03-Jun-2022) **</t>
  </si>
  <si>
    <t>INE660N07047</t>
  </si>
  <si>
    <t>10.25% Star Health &amp; Allied Insurance Co Ltd (06-Sep-2024) **</t>
  </si>
  <si>
    <t>INE575P08016</t>
  </si>
  <si>
    <t>9.60% Narmada Wind Energy Pvt Ltd (31-Mar-2023) **</t>
  </si>
  <si>
    <t>INE209W07010</t>
  </si>
  <si>
    <t>CARE A+(CE)</t>
  </si>
  <si>
    <t>9.60% Renew Wind Energy (Rajasthan One) Pvt Ltd (31-Mar-2023) **</t>
  </si>
  <si>
    <t>INE964Q07012</t>
  </si>
  <si>
    <t>11.50% S D Corporation Pvt Ltd (03-Jun-2022) **</t>
  </si>
  <si>
    <t>INE660N07062</t>
  </si>
  <si>
    <t>9.95% Molagavalli Renewable Pvt Ltd (31-Mar-2023) **</t>
  </si>
  <si>
    <t>INE659X07014</t>
  </si>
  <si>
    <t>11.70% Svatantra Microfin Pvt Ltd (30-Nov-2023) **</t>
  </si>
  <si>
    <t>INE00MX08011</t>
  </si>
  <si>
    <t>9.95% Narmada Wind Energy Pvt Ltd (31-Mar-2023) **</t>
  </si>
  <si>
    <t>INE209W07028</t>
  </si>
  <si>
    <t>12.41% Renew Solar Power Pvt Ltd (01-Nov-2022) **</t>
  </si>
  <si>
    <t>INE139S07017</t>
  </si>
  <si>
    <t>11.49% Reliance Infrastructure Consulting &amp; Engineers Pvt Ltd (15-Jan-2021) $$ ^^ **</t>
  </si>
  <si>
    <t>INE428K07011</t>
  </si>
  <si>
    <t>BWR D</t>
  </si>
  <si>
    <t>8.01% Tata Sons Pvt Ltd (02-Sep-2021) **</t>
  </si>
  <si>
    <t>INE895D08634</t>
  </si>
  <si>
    <t>11.49% Reliance Big Pvt Ltd Series II (14-Jan-2021) $$ ^^ **</t>
  </si>
  <si>
    <t>INE333T07055</t>
  </si>
  <si>
    <t>11.49% Reliance Big Pvt Ltd  Series I (14-Jan-2021) $$ ^^ **</t>
  </si>
  <si>
    <t>INE333T07048</t>
  </si>
  <si>
    <t>13.00% Rivaaz Trade Ventures Pvt Ltd (30-Dec-2022) $$ @@@ **</t>
  </si>
  <si>
    <t>INE971Z07182</t>
  </si>
  <si>
    <t>BWR C(CE)</t>
  </si>
  <si>
    <t>INE971Z07141</t>
  </si>
  <si>
    <t>BWR D(CE)</t>
  </si>
  <si>
    <t>14.15% Future Ideas Co Ltd (31-Jan-2022) $$ @@@ **</t>
  </si>
  <si>
    <t>INE080T07102</t>
  </si>
  <si>
    <t>12.25% Rivaaz Trade Ventures Pvt Ltd (30-Jun-2022) $$ @@@ **</t>
  </si>
  <si>
    <t>INE971Z07125</t>
  </si>
  <si>
    <t>14.15% Future Ideas Co Ltd (31-Jan-2021) $$ @@@ **</t>
  </si>
  <si>
    <t>INE080T07094</t>
  </si>
  <si>
    <t>13.00% Rivaaz Trade Ventures Pvt Ltd (30-Dec-2020) $$ @@@ **</t>
  </si>
  <si>
    <t>INE971Z07166</t>
  </si>
  <si>
    <t>13.00% Rivaaz Trade Ventures Pvt Ltd (31-Dec-2023) $$ @@@ **</t>
  </si>
  <si>
    <t>INE971Z07190</t>
  </si>
  <si>
    <t>14.15% Future Ideas Co Ltd (31-Jan-2023) $$ @@@ **</t>
  </si>
  <si>
    <t>INE080T07110</t>
  </si>
  <si>
    <t>13.00% Rivaaz Trade Ventures Pvt Ltd (30-Dec-2021) $$ @@@ **</t>
  </si>
  <si>
    <t>INE971Z07174</t>
  </si>
  <si>
    <t>INE946S07155</t>
  </si>
  <si>
    <t>INE946S07163</t>
  </si>
  <si>
    <t>12.25% Rivaaz Trade Ventures Pvt Ltd (30-Jun-2021) $$ @@@ **</t>
  </si>
  <si>
    <t>INE971Z07117</t>
  </si>
  <si>
    <t>* Less than 0.01%</t>
  </si>
  <si>
    <t xml:space="preserve">      Retail Plan Monthly Dividend Option</t>
  </si>
  <si>
    <t xml:space="preserve">      Retail Plan Quarterly Dividend Option</t>
  </si>
  <si>
    <t xml:space="preserve">      Direct Retail Plan Growth Option</t>
  </si>
  <si>
    <t xml:space="preserve">      Direct Retail Plan Weekly Dividend Option</t>
  </si>
  <si>
    <t xml:space="preserve">      Direct Retail Plan Monthly Dividend Option</t>
  </si>
  <si>
    <t xml:space="preserve">      Direct Retail Plan Quarterly Dividend Option</t>
  </si>
  <si>
    <t>Plan Name</t>
  </si>
  <si>
    <t>Individuals/HUF</t>
  </si>
  <si>
    <t>Others</t>
  </si>
  <si>
    <t>Refer below link for rationale of devation under Valuation policy</t>
  </si>
  <si>
    <t>Franklin India Short Term Income Plan - Segregated Portfolio 2 - 10.90% Vodafone Idea Ltd (02-Sep-2023) P/C 03 Sep 2021</t>
  </si>
  <si>
    <t>10.90% Vodafone Idea Ltd (02-Sep-2023) $$ ^^ **</t>
  </si>
  <si>
    <t>INE669E08318</t>
  </si>
  <si>
    <t>CARE B+</t>
  </si>
  <si>
    <t>Franklin India Short Term Income Plan - Segregated Portfolio 3 - 9.50% Yes Bank Ltd CO 23 Dec 2021</t>
  </si>
  <si>
    <t>9.50% Yes Bank Ltd (23-Dec-2021)  $$ **</t>
  </si>
  <si>
    <t>INE528G08352</t>
  </si>
  <si>
    <t>CARE D</t>
  </si>
  <si>
    <t>Money Market Instruments</t>
  </si>
  <si>
    <t>Certificate of Deposit</t>
  </si>
  <si>
    <t>Bank of Baroda (11-Feb-2021) **</t>
  </si>
  <si>
    <t>INE028A16BX1</t>
  </si>
  <si>
    <t>IND A1+</t>
  </si>
  <si>
    <t>Bank of Baroda (09-Mar-2021) **</t>
  </si>
  <si>
    <t>INE028A16BY9</t>
  </si>
  <si>
    <t>CRISIL A1+</t>
  </si>
  <si>
    <t>National Bank For Agriculture &amp; Rural Development (10-Jun-2021) **</t>
  </si>
  <si>
    <t>INE261F16538</t>
  </si>
  <si>
    <t>National Bank For Agriculture &amp; Rural Development (03-Feb-2021) **</t>
  </si>
  <si>
    <t>INE261F16488</t>
  </si>
  <si>
    <t>National Bank For Agriculture &amp; Rural Development (05-Mar-2021) **</t>
  </si>
  <si>
    <t>INE261F16512</t>
  </si>
  <si>
    <t>Cooperatieve Rabobank (MIBOR+110 Bps) (27-Nov-2020) **</t>
  </si>
  <si>
    <t>INE480Q16465</t>
  </si>
  <si>
    <t>Commercial Paper</t>
  </si>
  <si>
    <t>Kotak Mahindra Prime Ltd (27-Nov-2020) **@</t>
  </si>
  <si>
    <t>INE916D14S54</t>
  </si>
  <si>
    <t>ICRA A1+</t>
  </si>
  <si>
    <t>Export-Import Bank Of India (14-Oct-2020) **@</t>
  </si>
  <si>
    <t>INE514E14OP6</t>
  </si>
  <si>
    <t>Fullerton India Credit Co Ltd (08-Dec-2020) **@</t>
  </si>
  <si>
    <t>INE535H14ID2</t>
  </si>
  <si>
    <t>Reliance Jio Infocomm Ltd (09-Feb-2021) **@</t>
  </si>
  <si>
    <t>INE110L14NK1</t>
  </si>
  <si>
    <t>CARE A1+</t>
  </si>
  <si>
    <t>L&amp;T Infrastructure Finance Co Ltd (29-Jan-2021) **@</t>
  </si>
  <si>
    <t>INE691I14JS7</t>
  </si>
  <si>
    <t>Power Finance Corporation Ltd (30-Jul-2021) **@</t>
  </si>
  <si>
    <t>INE134E14AR8</t>
  </si>
  <si>
    <t>Housing Development Finance Corporation Ltd (13-Jan-2021) **@</t>
  </si>
  <si>
    <t>INE001A14WG4</t>
  </si>
  <si>
    <t>Bajaj Housing Finance Ltd (29-Jan-2021) **@</t>
  </si>
  <si>
    <t>INE377Y14710</t>
  </si>
  <si>
    <t>L&amp;T Infrastructure Finance Co Ltd (08-Feb-2021) **@</t>
  </si>
  <si>
    <t>INE691I14JR9</t>
  </si>
  <si>
    <t>Reliance Industries Ltd (05-Mar-2021) **@</t>
  </si>
  <si>
    <t>INE002A14FM5</t>
  </si>
  <si>
    <t>Reliance Industries Ltd (15-Mar-2021)@</t>
  </si>
  <si>
    <t>INE002A14EY3</t>
  </si>
  <si>
    <t>Kotak Mahindra Investments Ltd (23-Mar-2021) **@</t>
  </si>
  <si>
    <t>INE975F14SW3</t>
  </si>
  <si>
    <t>Indian Oil Corporation Ltd (29-Oct-2020) **@</t>
  </si>
  <si>
    <t>INE242A14RV3</t>
  </si>
  <si>
    <t>Housing Development Finance Corporation Ltd (10-Mar-2021) **@</t>
  </si>
  <si>
    <t>INE001A14WM2</t>
  </si>
  <si>
    <t>Treasury Bill</t>
  </si>
  <si>
    <t>364 DTB (25-Mar-2021)</t>
  </si>
  <si>
    <t>IN002019Z537</t>
  </si>
  <si>
    <t xml:space="preserve"> SOVEREIGN</t>
  </si>
  <si>
    <t>91 DTB (15-Oct-2020)</t>
  </si>
  <si>
    <t>IN002020X175</t>
  </si>
  <si>
    <t>364 DTB (30-Mar-2021)</t>
  </si>
  <si>
    <t>IN002019Z545</t>
  </si>
  <si>
    <t>182 DTB (31-Dec-2020)</t>
  </si>
  <si>
    <t>IN002020Y132</t>
  </si>
  <si>
    <t>@ Listed</t>
  </si>
  <si>
    <t xml:space="preserve">      Direct Retail Plan Daily Dividend Option</t>
  </si>
  <si>
    <t>11.50% JM Financial Asset Reconstruction Co Ltd (29-Mar-2022) **</t>
  </si>
  <si>
    <t>INE265J07324</t>
  </si>
  <si>
    <t>10.25% Shriram Transport Finance Co Ltd (27-Dec-2024)</t>
  </si>
  <si>
    <t>INE721A08DE4</t>
  </si>
  <si>
    <t>0.00% Shriram Transport Finance Co Ltd (31-May-2021)</t>
  </si>
  <si>
    <t>INE721A07NQ9</t>
  </si>
  <si>
    <t>10.25% Incred Financial Services Pvt Ltd (26-Apr-2021) **</t>
  </si>
  <si>
    <t>INE945W07035</t>
  </si>
  <si>
    <t>0.00% Sadbhav Infrastructure Project Ltd (23-Apr-2023) **</t>
  </si>
  <si>
    <t>INE764L07173</t>
  </si>
  <si>
    <t>CARE BBB+(CE)</t>
  </si>
  <si>
    <t>9.50% Piramal Capital &amp; Housing Finance Ltd (21-Apr-2022) **</t>
  </si>
  <si>
    <t>INE516Y07089</t>
  </si>
  <si>
    <t>9.00% Shriram Transport Finance Co Ltd (28-Mar-2028) **</t>
  </si>
  <si>
    <t>INE721A08DA2</t>
  </si>
  <si>
    <t xml:space="preserve">      Growth Plan</t>
  </si>
  <si>
    <t xml:space="preserve">      Monthly Dividend Plan</t>
  </si>
  <si>
    <t xml:space="preserve">      Quarterly Dividend Plan</t>
  </si>
  <si>
    <t xml:space="preserve">      Direct Growth Plan</t>
  </si>
  <si>
    <t xml:space="preserve">      Direct Monthly Dividend Plan</t>
  </si>
  <si>
    <t xml:space="preserve">      Direct Quarterly Dividend Plan</t>
  </si>
  <si>
    <t>Franklin India Low Duration Fund-Segregated Portfolio 2 - 10.90% Vodafone Idea Ltd (02-Sep-2023) P/C 03 Sep 2021</t>
  </si>
  <si>
    <t>9.55% Piramal Capital &amp; Housing Finance Ltd (08-Mar-2027) **</t>
  </si>
  <si>
    <t>INE641O08035</t>
  </si>
  <si>
    <t>9.85% DCB Bank Ltd (12-Jan-2028) **</t>
  </si>
  <si>
    <t>INE503A08044</t>
  </si>
  <si>
    <t>10.32% Andhra Pradesh Capital Region Development Authority (16-Aug-2028) **</t>
  </si>
  <si>
    <t>INE01E708057</t>
  </si>
  <si>
    <t>10.15% Hinduja Leyland Finance Ltd (27-Mar-2025) **</t>
  </si>
  <si>
    <t>INE146O08134</t>
  </si>
  <si>
    <t>0.00% Sadbhav Infrastructure Project Ltd (06-Jun-2023) **</t>
  </si>
  <si>
    <t>INE764L07181</t>
  </si>
  <si>
    <t>INE459T07041</t>
  </si>
  <si>
    <t>10.00% Aptus Value Housing Finance India Ltd (26-Feb-2025) **</t>
  </si>
  <si>
    <t>INE852O07063</t>
  </si>
  <si>
    <t>0.00% India Shelter Finance Corporation Ltd (02-May-2025) **</t>
  </si>
  <si>
    <t>INE922K07039</t>
  </si>
  <si>
    <t>9.75% Uttar Pradesh Power Corporation Ltd (20-Oct-2022) **</t>
  </si>
  <si>
    <t>INE540P07210</t>
  </si>
  <si>
    <t>9.20% Hinduja Leyland Finance Ltd (13-Sep-2024) **</t>
  </si>
  <si>
    <t>INE146O08118</t>
  </si>
  <si>
    <t>INE459T07058</t>
  </si>
  <si>
    <t>11.49% Reliance Big Pvt Ltd Series III (14-Jan-2021) $$ ^^ **</t>
  </si>
  <si>
    <t>INE333T07063</t>
  </si>
  <si>
    <t>14.15% Future Ideas Co Ltd (31-Dec-2023) $$ @@@ **</t>
  </si>
  <si>
    <t>INE080T07128</t>
  </si>
  <si>
    <t>INE946S07189</t>
  </si>
  <si>
    <t>12.25% Rivaaz Trade Ventures Pvt Ltd (30-Jun-2023) $$ @@@ **</t>
  </si>
  <si>
    <t>INE971Z07133</t>
  </si>
  <si>
    <t xml:space="preserve">      Dividend Plan</t>
  </si>
  <si>
    <t xml:space="preserve">      Direct Dividend Plan</t>
  </si>
  <si>
    <t>Franklin India Income Opportunities Fund-Segregated Portfolio 2 - 10.90% Vodafone Idea Ltd (02-Sep-2023) P/C 03 Sep 2021</t>
  </si>
  <si>
    <t>Government Securities</t>
  </si>
  <si>
    <t>5.77% GOI 2030 (03-Aug-2030)</t>
  </si>
  <si>
    <t>IN0020200153</t>
  </si>
  <si>
    <t>SOVEREIGN</t>
  </si>
  <si>
    <t>5.22% GOI 2025 (15-Jun-2025)</t>
  </si>
  <si>
    <t>IN0020200112</t>
  </si>
  <si>
    <t>5.79% GOI 2030 (11-May-2030)</t>
  </si>
  <si>
    <t>IN0020200070</t>
  </si>
  <si>
    <t>IN0020190016</t>
  </si>
  <si>
    <t>6.19% GOI 2034 (16-Sep-2034)</t>
  </si>
  <si>
    <t>IN0020200096</t>
  </si>
  <si>
    <t>7.32% GOI 2024 (28-Jan-2024)</t>
  </si>
  <si>
    <t>IN0020180488</t>
  </si>
  <si>
    <t xml:space="preserve">      Growth Option</t>
  </si>
  <si>
    <t xml:space="preserve">      Quarterly Dividend Option</t>
  </si>
  <si>
    <t xml:space="preserve">      Direct Growth Option</t>
  </si>
  <si>
    <t xml:space="preserve">      Direct Quarterly Dividend Option</t>
  </si>
  <si>
    <t>Aditya Birla Housing Finance Ltd (364DTB +250 Bps) (17-Feb-2023) **</t>
  </si>
  <si>
    <t>INE831R07268</t>
  </si>
  <si>
    <t>ICRA AAA</t>
  </si>
  <si>
    <t>HDB Financial Services Ltd (91DTB + 205 Bps) (12-Jul-2021) **</t>
  </si>
  <si>
    <t>INE756I07CA5</t>
  </si>
  <si>
    <t>GOI FRB 2020 (21-Dec-2020)</t>
  </si>
  <si>
    <t>IN0020092071</t>
  </si>
  <si>
    <t>6.18% GOI 2024 (04-Nov-2024)</t>
  </si>
  <si>
    <t>IN0020190396</t>
  </si>
  <si>
    <t xml:space="preserve">      Daily Dividend Plan</t>
  </si>
  <si>
    <t xml:space="preserve">      Direct Daily Dividend Plan</t>
  </si>
  <si>
    <t>12.50% JM Financial Asset Reconstruction Co Ltd (02-Aug-2022) **</t>
  </si>
  <si>
    <t>INE265J07373</t>
  </si>
  <si>
    <t>10.32% Andhra Pradesh Capital Region Development Authority (16-Aug-2027) **</t>
  </si>
  <si>
    <t>INE01E708040</t>
  </si>
  <si>
    <t>11.25% India Shelter Finance Corporation Ltd (01-Oct-2026) **</t>
  </si>
  <si>
    <t>INE922K07047</t>
  </si>
  <si>
    <t>9.40% Hinduja Leyland Finance Ltd (28-Aug-2024) **</t>
  </si>
  <si>
    <t>INE146O08100</t>
  </si>
  <si>
    <t>9.75% Uttar Pradesh Power Corporation Ltd (20-Oct-2023) **</t>
  </si>
  <si>
    <t>INE540P07228</t>
  </si>
  <si>
    <t>8.85% REC Ltd (16-Apr-2029) **</t>
  </si>
  <si>
    <t>INE020B08BQ7</t>
  </si>
  <si>
    <t>10.20% Star Health &amp; Allied Insurance Co Ltd (31-Oct-2024) **</t>
  </si>
  <si>
    <t>INE575P08024</t>
  </si>
  <si>
    <t>9.41% Renew Wind Energy Delhi Pvt Ltd (30-Sep-2030) **</t>
  </si>
  <si>
    <t>INE458O07036</t>
  </si>
  <si>
    <t>CARE A+(SO)</t>
  </si>
  <si>
    <t>Franklin India Dynamic Accrual Fund - Segregated Portfolio 2 - 10.90% Vodafone Idea Ltd (02-Sep-2023) P/C 03 Sep 2021</t>
  </si>
  <si>
    <t>Franklin India Dynamic Accrual Fund - Segregated Portfolio 3 - 9.50% Yes Bank Ltd CO 23 Dec 2021</t>
  </si>
  <si>
    <t>10.50% Vistaar Financial Services Pvt Ltd (22-Jun-2023) **</t>
  </si>
  <si>
    <t>INE016P07120</t>
  </si>
  <si>
    <t>10.50% Vistaar Financial Services Pvt Ltd (23-Jul-2024) **</t>
  </si>
  <si>
    <t>INE016P07138</t>
  </si>
  <si>
    <t>INE128S07325</t>
  </si>
  <si>
    <t>INE128S07341</t>
  </si>
  <si>
    <t>10.00% Aptus Value Housing Finance India Ltd (26-Dec-2024) **</t>
  </si>
  <si>
    <t>INE852O07048</t>
  </si>
  <si>
    <t>10.00% Aptus Value Housing Finance India Ltd (20-Jun-2025) **</t>
  </si>
  <si>
    <t>INE852O07071</t>
  </si>
  <si>
    <t>8.9492% L&amp;T Finance Ltd (16-Aug-2021) **</t>
  </si>
  <si>
    <t>INE027E07709</t>
  </si>
  <si>
    <t>CARE AAA</t>
  </si>
  <si>
    <t>8.75% Housing Development Finance Corporation Ltd (04-Mar-2021) **</t>
  </si>
  <si>
    <t>INE001A07OO9</t>
  </si>
  <si>
    <t>INE660N07054</t>
  </si>
  <si>
    <t>INE946S07171</t>
  </si>
  <si>
    <t>Franklin India Credit Risk Fund-Segregated Portfolio 2 - 10.90% Vodafone Idea Ltd (02-Sep-2023) P/C 03 Sep 2021</t>
  </si>
  <si>
    <t>Franklin India Credit Risk Fund - Segregated Portfolio 3 - 9.50% Yes Bank Ltd CO 23 Dec 2021</t>
  </si>
  <si>
    <t>8.62% Food Corporation Of India (22-Mar-2023) **</t>
  </si>
  <si>
    <t>INE861G08019</t>
  </si>
  <si>
    <t>ICRA AAA(CE)</t>
  </si>
  <si>
    <t>8.45% Sikka Ports &amp; Terminals Ltd (12-Jun-2023) **</t>
  </si>
  <si>
    <t>INE941D07133</t>
  </si>
  <si>
    <t>7.06% Housing Development Finance Corporation Ltd (13-Dec-2021) **</t>
  </si>
  <si>
    <t>INE001A07SL6</t>
  </si>
  <si>
    <t>8.60% ONGC Petro Additions Ltd (11-Mar-2022) **</t>
  </si>
  <si>
    <t>INE163N08065</t>
  </si>
  <si>
    <t>CARE AAA(CE)</t>
  </si>
  <si>
    <t>8.85% ONGC Petro Additions Ltd (19-Apr-2022) **</t>
  </si>
  <si>
    <t>INE163N08073</t>
  </si>
  <si>
    <t>7.90% National Bank For Agriculture &amp; Rural Development (18-Apr-2022) **</t>
  </si>
  <si>
    <t>INE261F08BI5</t>
  </si>
  <si>
    <t>7.60% National Highways Authority Of India (18-Mar-2022)</t>
  </si>
  <si>
    <t>INE906B07FG1</t>
  </si>
  <si>
    <t>7.09% REC Ltd (17-Oct-2022) **</t>
  </si>
  <si>
    <t>INE020B08AM8</t>
  </si>
  <si>
    <t>6.19% Indian Railway Finance Corporation Ltd (28-Apr-2023) **</t>
  </si>
  <si>
    <t>INE053F07CC9</t>
  </si>
  <si>
    <t>7.44% Power Finance Corporation Ltd (11-Jun-2027) **</t>
  </si>
  <si>
    <t>INE134E08JC3</t>
  </si>
  <si>
    <t>6.99% REC Ltd (30-Sep-2024) **</t>
  </si>
  <si>
    <t>INE020B08CM4</t>
  </si>
  <si>
    <t>5.80% National Housing Bank (15-May-2023) **</t>
  </si>
  <si>
    <t>INE557F08FJ5</t>
  </si>
  <si>
    <t>7.00% Hindustan Petroleum Corporation Ltd (14-Aug-2024) **</t>
  </si>
  <si>
    <t>INE094A08036</t>
  </si>
  <si>
    <t>0.00% LIC Housing Finance Ltd (25-Feb-2022) **</t>
  </si>
  <si>
    <t>INE115A07NM3</t>
  </si>
  <si>
    <t>7.17% National Highways Authority Of India (23-Dec-2021) **</t>
  </si>
  <si>
    <t>INE906B07FE6</t>
  </si>
  <si>
    <t>8.02% Export-Import Bank of India (29-Oct-2025) **</t>
  </si>
  <si>
    <t>INE514E08EQ7</t>
  </si>
  <si>
    <t>8.30% REC Ltd (10-Apr-2025) **</t>
  </si>
  <si>
    <t>INE020B08930</t>
  </si>
  <si>
    <t>7.42% Power Finance Corporation Ltd (19-Nov-2024)</t>
  </si>
  <si>
    <t>INE134E08KH0</t>
  </si>
  <si>
    <t>6.98% Power Finance Corporation Ltd (20-Apr-2023)</t>
  </si>
  <si>
    <t>INE134E08KN8</t>
  </si>
  <si>
    <t>8.60% National Bank For Agriculture &amp; Rural Development (31-Jan-2022) **</t>
  </si>
  <si>
    <t>INE261F08AI7</t>
  </si>
  <si>
    <t>8.18% Power Finance Corporation Ltd (19-Mar-2022) **</t>
  </si>
  <si>
    <t>INE134E08JW1</t>
  </si>
  <si>
    <t>10.40% Sikka Ports &amp; Terminals Ltd (18-Jul-2021) **</t>
  </si>
  <si>
    <t>INE941D07125</t>
  </si>
  <si>
    <t>8.41% Housing &amp; Urban Development Corporation Ltd (15-Mar-2029) **</t>
  </si>
  <si>
    <t>INE031A08699</t>
  </si>
  <si>
    <t>0.00% Fullerton India Credit Co Ltd (08-Apr-2021) **</t>
  </si>
  <si>
    <t>INE535H07AG6</t>
  </si>
  <si>
    <t>7.14% REC Ltd (02-Mar-2030) **</t>
  </si>
  <si>
    <t>INE020B08CO0</t>
  </si>
  <si>
    <t>9.25% Power Finance Corporation Ltd (25-Sep-2024) **</t>
  </si>
  <si>
    <t>INE134E08JY7</t>
  </si>
  <si>
    <t>0.00% LIC Housing Finance Ltd (04-May-2022) **</t>
  </si>
  <si>
    <t>INE115A07NW2</t>
  </si>
  <si>
    <t>8.81% Small Industries Development Bank Of India (25-Jan-2022) **</t>
  </si>
  <si>
    <t>INE556F08JI1</t>
  </si>
  <si>
    <t>7.50% Power Finance Corporation Ltd (16-Aug-2021) **</t>
  </si>
  <si>
    <t>INE134E08IH4</t>
  </si>
  <si>
    <t>7.07% Reliance Industries Ltd (24-Dec-2020) **</t>
  </si>
  <si>
    <t>INE002A08526</t>
  </si>
  <si>
    <t>8.85% Power Finance Corporation Ltd (25-May-2029) **</t>
  </si>
  <si>
    <t>INE134E08KC1</t>
  </si>
  <si>
    <t>8.40% Power Grid Corporation of India Ltd (14-Sep-2021) **</t>
  </si>
  <si>
    <t>INE752E07MZ9</t>
  </si>
  <si>
    <t>0.00% HDB Financial Services Ltd (29-Oct-2021) **</t>
  </si>
  <si>
    <t>INE756I07CD9</t>
  </si>
  <si>
    <t>8.50% NHPC Ltd (14-Jul-2021) **</t>
  </si>
  <si>
    <t>INE848E07815</t>
  </si>
  <si>
    <t>0.00% Aditya Birla Finance Ltd (08-Apr-2022) **</t>
  </si>
  <si>
    <t>INE860H07GE0</t>
  </si>
  <si>
    <t>7.35% Bharat Petroleum Corporation Ltd (10-Mar-2022) **</t>
  </si>
  <si>
    <t>INE029A07075</t>
  </si>
  <si>
    <t>7.65% Indian Railway Finance Corporation Ltd (15-Mar-2021) **</t>
  </si>
  <si>
    <t>INE053F07AK6</t>
  </si>
  <si>
    <t>9.57% Indian Railway Finance Corporation Ltd (31-May-2021) **</t>
  </si>
  <si>
    <t>INE053F09HR2</t>
  </si>
  <si>
    <t>6.70% Indian Railway Finance Corporation Ltd (24-Nov-2021) **</t>
  </si>
  <si>
    <t>INE053F07942</t>
  </si>
  <si>
    <t>7.48% Bennett Coleman and Co Ltd (26-Apr-2021) **</t>
  </si>
  <si>
    <t>INE801J08019</t>
  </si>
  <si>
    <t>6.79% GOI 2027 (15-May-2027)</t>
  </si>
  <si>
    <t>IN0020170026</t>
  </si>
  <si>
    <t xml:space="preserve">      Half Yearly Dividend Plan</t>
  </si>
  <si>
    <t xml:space="preserve">      Annual Dividend Plan</t>
  </si>
  <si>
    <t xml:space="preserve">      Direct Half Yearly Dividend Plan</t>
  </si>
  <si>
    <t xml:space="preserve">      Direct Annual Dividend Plan</t>
  </si>
  <si>
    <t>7.05% National Housing Bank (18-Dec-2024) **</t>
  </si>
  <si>
    <t>INE557F08FG1</t>
  </si>
  <si>
    <t>8.05% NTPC Ltd (05-May-2026) **</t>
  </si>
  <si>
    <t>INE733E07KA6</t>
  </si>
  <si>
    <t>7.62% Export-Import Bank of India (01-Sep-2026) **</t>
  </si>
  <si>
    <t>INE514E08FG5</t>
  </si>
  <si>
    <t>7.70% REC Ltd (10-Dec-2027) **</t>
  </si>
  <si>
    <t>INE020B08AQ9</t>
  </si>
  <si>
    <t>7.29% Small Industries Development Bank Of India (01-Aug-2022) **</t>
  </si>
  <si>
    <t>INE556F08JM3</t>
  </si>
  <si>
    <t>9.17% NTPC Ltd (21-Sep-2024) **</t>
  </si>
  <si>
    <t>INE733E07JO9</t>
  </si>
  <si>
    <t>7.27% National Highways Authority Of India (06-Jun-2022) **</t>
  </si>
  <si>
    <t>INE906B07FT4</t>
  </si>
  <si>
    <t>6.70% National Bank For Agriculture &amp; Rural Development (11-Nov-2022) **</t>
  </si>
  <si>
    <t>INE261F08BQ8</t>
  </si>
  <si>
    <t>5.36% Hindustan Petroleum Corporation Ltd (11-Apr-2025) **</t>
  </si>
  <si>
    <t>INE094A08077</t>
  </si>
  <si>
    <t>7.50% NHPC Ltd (07-Oct-2025) **</t>
  </si>
  <si>
    <t>INE848E07AO4</t>
  </si>
  <si>
    <t>8.14% Nuclear Power Corporation of India Ltd (25-Mar-2026) **</t>
  </si>
  <si>
    <t>INE206D08261</t>
  </si>
  <si>
    <t>8.27% REC Ltd (06-Feb-2025) **</t>
  </si>
  <si>
    <t>INE020B08906</t>
  </si>
  <si>
    <t>10.20% RBL Bank Ltd (15-Apr-2023) **</t>
  </si>
  <si>
    <t>INE976G08064</t>
  </si>
  <si>
    <t>7.13% NHPC Ltd (11-Feb-2027) **</t>
  </si>
  <si>
    <t>INE848E07AZ0</t>
  </si>
  <si>
    <t>6.80% NHPC Ltd (23-Apr-2027) **</t>
  </si>
  <si>
    <t>INE848E07BK0</t>
  </si>
  <si>
    <t>8.80% REC Ltd (14-May-2029) **</t>
  </si>
  <si>
    <t>INE020B08BS3</t>
  </si>
  <si>
    <t>8.19% NTPC Ltd (15-Dec-2025) **</t>
  </si>
  <si>
    <t>INE733E07JX0</t>
  </si>
  <si>
    <t>8.25% Export-Import Bank of India (28-Sep-2025) **</t>
  </si>
  <si>
    <t>INE514E08EP9</t>
  </si>
  <si>
    <t>8.40% Power Grid Corporation of India Ltd (27-May-2024) **</t>
  </si>
  <si>
    <t>INE752E07MQ8</t>
  </si>
  <si>
    <t>9.95% Food Corporation Of India (07-Mar-2022) **</t>
  </si>
  <si>
    <t>INE861G08035</t>
  </si>
  <si>
    <t>CRISIL AAA(CE)</t>
  </si>
  <si>
    <t>8.35% REC Ltd (11-Mar-2022) **</t>
  </si>
  <si>
    <t>INE020B08BM6</t>
  </si>
  <si>
    <t>8.13% Power Grid Corporation of India Ltd (23-Apr-2021) **</t>
  </si>
  <si>
    <t>INE752E07NN3</t>
  </si>
  <si>
    <t>Power Grid Corporation of India Ltd (16-Oct-2020) **@</t>
  </si>
  <si>
    <t>INE752E14435</t>
  </si>
  <si>
    <t>6.45% GOI 2029 (07-Oct-2029)</t>
  </si>
  <si>
    <t>IN0020190362</t>
  </si>
  <si>
    <t>7.17% GOI 2028 (08-Jan-2028)</t>
  </si>
  <si>
    <t>IN0020170174</t>
  </si>
  <si>
    <t xml:space="preserve">      Weekly Dividend Plan</t>
  </si>
  <si>
    <t xml:space="preserve">      Direct Weekly Dividend Plan</t>
  </si>
  <si>
    <t>8.62% Housing Development Finance Corporation Ltd (15-Oct-2020) **</t>
  </si>
  <si>
    <t>INE001A07RP9</t>
  </si>
  <si>
    <t>INE242A14RO8</t>
  </si>
  <si>
    <t>Reliance Jio Infocomm Ltd (19-Oct-2020) **@</t>
  </si>
  <si>
    <t>INE110L14OX2</t>
  </si>
  <si>
    <t>Reliance Industries Ltd (28-Oct-2020) **@</t>
  </si>
  <si>
    <t>INE002A14FS2</t>
  </si>
  <si>
    <t>Kotak Securities Ltd (12-Nov-2020) **@</t>
  </si>
  <si>
    <t>INE028E14HF2</t>
  </si>
  <si>
    <t>Indian Oil Corporation Ltd (19-Oct-2020) **@</t>
  </si>
  <si>
    <t>INE242A14RP5</t>
  </si>
  <si>
    <t>INE029A14AQ0</t>
  </si>
  <si>
    <t>ICICI Securities Ltd (12-Nov-2020) **@</t>
  </si>
  <si>
    <t>INE763G14IO9</t>
  </si>
  <si>
    <t>INE525R14536</t>
  </si>
  <si>
    <t>Reliance Industries Ltd (02-Nov-2020) **@</t>
  </si>
  <si>
    <t>INE002A14FV6</t>
  </si>
  <si>
    <t>INE763G14IY8</t>
  </si>
  <si>
    <t>91 DTB (26-Nov-2020)</t>
  </si>
  <si>
    <t>IN002020X233</t>
  </si>
  <si>
    <t>91 DTB (22-Oct-2020)</t>
  </si>
  <si>
    <t>IN002020X183</t>
  </si>
  <si>
    <t>91 DTB (01-Oct-2020)</t>
  </si>
  <si>
    <t>IN002020X159</t>
  </si>
  <si>
    <t>182 DTB (19-Nov-2020)</t>
  </si>
  <si>
    <t>IN002020Y074</t>
  </si>
  <si>
    <t>182 DTB (10-Dec-2020)</t>
  </si>
  <si>
    <t>IN002020Y108</t>
  </si>
  <si>
    <t>91 DTB (17-Dec-2020)</t>
  </si>
  <si>
    <t>IN002020X266</t>
  </si>
  <si>
    <t>182 DTB (12-Nov-2020)</t>
  </si>
  <si>
    <t>IN002020Y066</t>
  </si>
  <si>
    <t>182 DTB (06-Nov-2020)</t>
  </si>
  <si>
    <t>IN002020Y058</t>
  </si>
  <si>
    <t xml:space="preserve">      Super Institutional Plan Daily Dividend Reinvestment Option</t>
  </si>
  <si>
    <t xml:space="preserve">      Direct Super Institutional Growth Option</t>
  </si>
  <si>
    <t xml:space="preserve">      Direct Super Institutional Daily Dividend Reinvestment Option</t>
  </si>
  <si>
    <t xml:space="preserve">      Direct Super Institutional Weekly Dividend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</si>
  <si>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</si>
  <si>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</si>
  <si>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</si>
  <si>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</si>
  <si>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0.00% Axis Finance Ltd (19-Apr-2022) **</t>
  </si>
  <si>
    <t>INE891K07416</t>
  </si>
  <si>
    <t>0.00% Bajaj Housing Finance Ltd (05-Apr-2022) **</t>
  </si>
  <si>
    <t>INE377Y07052</t>
  </si>
  <si>
    <t>0.00% Mahindra &amp; Mahindra Financial Services Ltd (29-Mar-2022) **</t>
  </si>
  <si>
    <t>INE774D07SQ1</t>
  </si>
  <si>
    <t>0.00% Bajaj Finance Ltd (05-Apr-2022) **</t>
  </si>
  <si>
    <t>INE296A07QQ5</t>
  </si>
  <si>
    <t>8.23% Housing &amp; Urban Development Corporation Ltd (15-Apr-2022) **</t>
  </si>
  <si>
    <t>INE031A08657</t>
  </si>
  <si>
    <t>0.00% Fullerton India Credit Co Ltd (13-Apr-2022) **</t>
  </si>
  <si>
    <t>INE535H07AT9</t>
  </si>
  <si>
    <t xml:space="preserve">      Dividend Plan </t>
  </si>
  <si>
    <t>8.45% REC Ltd (22-Mar-2022)</t>
  </si>
  <si>
    <t>INE020B08BF0</t>
  </si>
  <si>
    <t>8.55% Power Finance Corporation Ltd (09-Dec-2021) **</t>
  </si>
  <si>
    <t>INE134E08GT3</t>
  </si>
  <si>
    <t>0.00% Aditya Birla Housing Finance Ltd (13-Apr-2022) **</t>
  </si>
  <si>
    <t>INE831R07235</t>
  </si>
  <si>
    <t>0.00% Bajaj Housing Finance Ltd (05-May-2022) **</t>
  </si>
  <si>
    <t>INE377Y07086</t>
  </si>
  <si>
    <t>0.00% HDB Financial Services Ltd (05-Apr-2022) **</t>
  </si>
  <si>
    <t>INE756I07CI8</t>
  </si>
  <si>
    <t>9.4756% Tata Capital Financial Services Ltd (08-Apr-2022) **</t>
  </si>
  <si>
    <t>INE306N07KG9</t>
  </si>
  <si>
    <t>9.05% Mahindra &amp; Mahindra Financial Services Ltd (18-Apr-2022) **</t>
  </si>
  <si>
    <t>INE774D07SS7</t>
  </si>
  <si>
    <t>0.00% Fullerton India Credit Co Ltd (19-Apr-2022) **</t>
  </si>
  <si>
    <t>INE535H07AQ5</t>
  </si>
  <si>
    <t>9.3772% L&amp;T Housing Finance Ltd (11-Mar-2022) **</t>
  </si>
  <si>
    <t>INE476M07BR8</t>
  </si>
  <si>
    <t>9.1791% Tata Capital Housing Finance Ltd (13-Apr-2022) **</t>
  </si>
  <si>
    <t>INE033L07GA4</t>
  </si>
  <si>
    <t>7.95% LIC Housing Finance Ltd (24-Mar-2022) **</t>
  </si>
  <si>
    <t>INE115A07LM7</t>
  </si>
  <si>
    <t>7.27% Power Finance Corporation Ltd (22-Dec-2021) **</t>
  </si>
  <si>
    <t>INE134E08IN2</t>
  </si>
  <si>
    <t>8.25% Tata Sons Pvt Ltd (23-Mar-2022) **</t>
  </si>
  <si>
    <t>INE895D08790</t>
  </si>
  <si>
    <t>8.36% Ultratech Cement Ltd (07-Jun-2021) **</t>
  </si>
  <si>
    <t>INE481G08057</t>
  </si>
  <si>
    <t>8.40% Small Industries Development Bank Of India (10-Aug-2021) **</t>
  </si>
  <si>
    <t>INE556F08JH3</t>
  </si>
  <si>
    <t>8.37% National Bank For Agriculture &amp; Rural Development (03-Aug-2021) **</t>
  </si>
  <si>
    <t>INE261F08AM9</t>
  </si>
  <si>
    <t>0.00% Sundaram Finance Ltd (31-Aug-2021) **</t>
  </si>
  <si>
    <t>INE660A07PT8</t>
  </si>
  <si>
    <t>7.18% REC Ltd (21-May-2021) **</t>
  </si>
  <si>
    <t>INE020B08AO4</t>
  </si>
  <si>
    <t>0.00% Aditya Birla Finance Ltd (26-Jul-2021) **</t>
  </si>
  <si>
    <t>INE860H07FW4</t>
  </si>
  <si>
    <t>8.1352% Bajaj Housing Finance Ltd (04-Jun-2021) **</t>
  </si>
  <si>
    <t>INE377Y07045</t>
  </si>
  <si>
    <t>0.00% LIC Housing Finance Ltd (25-Mar-2021) **</t>
  </si>
  <si>
    <t>INE115A07MX2</t>
  </si>
  <si>
    <t>0.00% Axis Finance Ltd (31-Aug-2021) **</t>
  </si>
  <si>
    <t>INE891K07440</t>
  </si>
  <si>
    <t>0.00% Aditya Birla Housing Finance Ltd (26-Jul-2021) **</t>
  </si>
  <si>
    <t>INE831R07201</t>
  </si>
  <si>
    <t>9.40% REC Ltd (17-Jul-2021) **</t>
  </si>
  <si>
    <t>INE020B07IW2</t>
  </si>
  <si>
    <t>0.00% Fullerton India Credit Co Ltd (15-Jul-2021) **</t>
  </si>
  <si>
    <t>INE535H07AK8</t>
  </si>
  <si>
    <t>9.70% Power Finance Corporation Ltd (09-Jun-2021) **</t>
  </si>
  <si>
    <t>INE134E08DN3</t>
  </si>
  <si>
    <t>8.25% L&amp;T Finance Ltd (21-Jun-2021) **</t>
  </si>
  <si>
    <t>INE027E07642</t>
  </si>
  <si>
    <t>8.05% Power Finance Corporation Ltd (27-Apr-2021) **</t>
  </si>
  <si>
    <t>INE134E08ID3</t>
  </si>
  <si>
    <t>8.40% Power Grid Corporation of India Ltd (27-May-2021) **</t>
  </si>
  <si>
    <t>INE752E07MN5</t>
  </si>
  <si>
    <t>0.00% Sundaram Finance Ltd (15-Jun-2021) **</t>
  </si>
  <si>
    <t>INE660A07PN1</t>
  </si>
  <si>
    <t>8.22% ICICI Home Finance Co Ltd (27-May-2021) **</t>
  </si>
  <si>
    <t>INE071G07314</t>
  </si>
  <si>
    <t>0.00% Bajaj Housing Finance Ltd (06-Apr-2021) **</t>
  </si>
  <si>
    <t>INE377Y07029</t>
  </si>
  <si>
    <t>7.88% LIC Housing Finance Ltd (28-Jan-2021) **</t>
  </si>
  <si>
    <t>INE115A07MT0</t>
  </si>
  <si>
    <t>0.00% Axis Finance Ltd (14-Jun-2021) **</t>
  </si>
  <si>
    <t>INE891K07390</t>
  </si>
  <si>
    <t>8.70% Reliance Industries Ltd (15-Jun-2021) **</t>
  </si>
  <si>
    <t>INE110L07112</t>
  </si>
  <si>
    <t>8.50% Small Industries Development Bank of India (21-Jun-2021) **</t>
  </si>
  <si>
    <t>INE556F08JF7</t>
  </si>
  <si>
    <t>7.73% REC Ltd (15-Jun-2021) **</t>
  </si>
  <si>
    <t>INE020B08AW7</t>
  </si>
  <si>
    <t>8.80% L&amp;T Housing Finance Ltd (23-Jun-2021) **</t>
  </si>
  <si>
    <t>INE476M07BM9</t>
  </si>
  <si>
    <t>7.73% Housing &amp; Urban Development Corporation Ltd (15-Apr-2021) **</t>
  </si>
  <si>
    <t>INE031A08566</t>
  </si>
  <si>
    <t>8.10% Mahindra &amp; Mahindra Financial Services Ltd (19-Apr-2021) **</t>
  </si>
  <si>
    <t>INE774D07SB3</t>
  </si>
  <si>
    <t>7.65% Small Industries Development Bank Of India (15-Apr-2021) **</t>
  </si>
  <si>
    <t>INE556F08JD2</t>
  </si>
  <si>
    <t>10.09% MRF Ltd (27-May-2021) **</t>
  </si>
  <si>
    <t>INE883A07174</t>
  </si>
  <si>
    <t>9.18% Power Finance Corporation Ltd (15-Apr-2021) **</t>
  </si>
  <si>
    <t>INE134E08DM5</t>
  </si>
  <si>
    <t>0.00% HDB Financial Services Ltd (06-Apr-2021) **</t>
  </si>
  <si>
    <t>INE756I07BW1</t>
  </si>
  <si>
    <t>8.50% LIC Housing Finance Ltd (05-Jan-2021) **</t>
  </si>
  <si>
    <t>INE115A07IO9</t>
  </si>
  <si>
    <t>8.19% Mahindra Vehicle Manufacturers Ltd (23-Feb-2021) **</t>
  </si>
  <si>
    <t>INE244N07065</t>
  </si>
  <si>
    <t>7.75% Power Finance Corporation Ltd (15-Apr-2021) **</t>
  </si>
  <si>
    <t>INE134E08JM2</t>
  </si>
  <si>
    <t>7.70% REC Ltd (15-Mar-2021) **</t>
  </si>
  <si>
    <t>INE020B08AS5</t>
  </si>
  <si>
    <t>7.68% Housing &amp; Urban Development Corporation Ltd (05-Apr-2021) **</t>
  </si>
  <si>
    <t>INE031A08590</t>
  </si>
  <si>
    <t>0.00% Kotak Mahindra Prime Ltd (27-May-2021) **</t>
  </si>
  <si>
    <t>INE916DA7PO3</t>
  </si>
  <si>
    <t>7.40% National Bank For Agriculture &amp; Rural Development (01-Feb-2021) **</t>
  </si>
  <si>
    <t>INE261F08956</t>
  </si>
  <si>
    <t>8.25% Tata Sons Pvt Ltd (24-Mar-2021) **</t>
  </si>
  <si>
    <t>INE895D08899</t>
  </si>
  <si>
    <t>Reliance Industries Ltd (02-Mar-2021)@</t>
  </si>
  <si>
    <t>INE002A14EM8</t>
  </si>
  <si>
    <t>0.00% Kotak Mahindra Prime Ltd (26-Apr-2021) **</t>
  </si>
  <si>
    <t>INE916DA7PI5</t>
  </si>
  <si>
    <t>7.73% Power Finance Corporation Ltd (05-Apr-2021) **</t>
  </si>
  <si>
    <t>INE134E08JK6</t>
  </si>
  <si>
    <t>7.52% Small Industries Development Bank of India (10-Feb-2021) **</t>
  </si>
  <si>
    <t>INE556F08JA8</t>
  </si>
  <si>
    <t>7.60% REC Ltd (17-Apr-2021) **</t>
  </si>
  <si>
    <t>INE020B08AR7</t>
  </si>
  <si>
    <t>8.84% Power Grid Corporation of India Ltd (29-Mar-2021) **</t>
  </si>
  <si>
    <t>INE752E07GX6</t>
  </si>
  <si>
    <t>8.25% Tata Sons Pvt Ltd (23-Mar-2021) **</t>
  </si>
  <si>
    <t>INE895D08881</t>
  </si>
  <si>
    <t>9.60% LIC Housing Finance Ltd (07-Mar-2021) **</t>
  </si>
  <si>
    <t>INE115A07AL2</t>
  </si>
  <si>
    <t>7.14% Housing &amp; Urban Development Corporation Ltd (22-Dec-2020) **</t>
  </si>
  <si>
    <t>INE031A08541</t>
  </si>
  <si>
    <t>7.9407% HDB Financial Services Ltd (15-Apr-2021) **</t>
  </si>
  <si>
    <t>INE756I07BU5</t>
  </si>
  <si>
    <t>7.64% Can Fin Homes Ltd (28-Feb-2021) **</t>
  </si>
  <si>
    <t>INE477A07274</t>
  </si>
  <si>
    <t>8.75% LIC Housing Finance Ltd (12-Feb-2021) **</t>
  </si>
  <si>
    <t>INE115A07JB4</t>
  </si>
  <si>
    <t>7.85% Tata Sons Pvt Ltd (31-Jan-2021) **</t>
  </si>
  <si>
    <t>INE895D08725</t>
  </si>
  <si>
    <t>8.33% NTPC Ltd (24-Feb-2021) **</t>
  </si>
  <si>
    <t>INE733E07JZ5</t>
  </si>
  <si>
    <t>9.70% Power Finance Corporation Ltd (31-Jan-2021) **</t>
  </si>
  <si>
    <t>INE134E07505</t>
  </si>
  <si>
    <t>8.62% India Infradebt Ltd (08-Mar-2021) **</t>
  </si>
  <si>
    <t>INE537P07117</t>
  </si>
  <si>
    <t>8.70% L&amp;T Infrastructure Debt Fund Ltd (24-Feb-2021) **</t>
  </si>
  <si>
    <t>INE235P07167</t>
  </si>
  <si>
    <t>8.78% NHPC Ltd (11-Feb-2021) **</t>
  </si>
  <si>
    <t>INE848E07419</t>
  </si>
  <si>
    <t>9.47% Power Grid Corporation of India Ltd (31-Mar-2021) **</t>
  </si>
  <si>
    <t>INE752E07ER3</t>
  </si>
  <si>
    <t>9.15% Export-Import Bank of India (18-Mar-2021) **</t>
  </si>
  <si>
    <t>INE514E08951</t>
  </si>
  <si>
    <t>9.15% Export-Import Bank of India (25-Feb-2021) **</t>
  </si>
  <si>
    <t>INE514E08928</t>
  </si>
  <si>
    <t>Equity &amp; Equity related</t>
  </si>
  <si>
    <t>HDFC Bank Ltd</t>
  </si>
  <si>
    <t>INE040A01034</t>
  </si>
  <si>
    <t>Banks</t>
  </si>
  <si>
    <t>Infosys Ltd</t>
  </si>
  <si>
    <t>INE009A01021</t>
  </si>
  <si>
    <t>Software</t>
  </si>
  <si>
    <t>Axis Bank Ltd</t>
  </si>
  <si>
    <t>INE238A01034</t>
  </si>
  <si>
    <t>Bharti Airtel Ltd</t>
  </si>
  <si>
    <t>INE397D01024</t>
  </si>
  <si>
    <t>Telecom - Services</t>
  </si>
  <si>
    <t>ICICI Bank Ltd</t>
  </si>
  <si>
    <t>INE090A01021</t>
  </si>
  <si>
    <t>Kotak Mahindra Bank Ltd</t>
  </si>
  <si>
    <t>INE237A01028</t>
  </si>
  <si>
    <t>Grasim Industries Ltd</t>
  </si>
  <si>
    <t>INE047A01021</t>
  </si>
  <si>
    <t>Cement</t>
  </si>
  <si>
    <t>Balkrishna Industries Ltd</t>
  </si>
  <si>
    <t>INE787D01026</t>
  </si>
  <si>
    <t>Auto Ancillaries</t>
  </si>
  <si>
    <t>Hindalco Industries Ltd</t>
  </si>
  <si>
    <t>INE038A01020</t>
  </si>
  <si>
    <t>Non - Ferrous Metals</t>
  </si>
  <si>
    <t>Petronet LNG Ltd</t>
  </si>
  <si>
    <t>INE347G01014</t>
  </si>
  <si>
    <t>Gas</t>
  </si>
  <si>
    <t>Voltas Ltd</t>
  </si>
  <si>
    <t>INE226A01021</t>
  </si>
  <si>
    <t>Consumer Durables</t>
  </si>
  <si>
    <t>Mahindra &amp; Mahindra Ltd</t>
  </si>
  <si>
    <t>INE101A01026</t>
  </si>
  <si>
    <t>Auto</t>
  </si>
  <si>
    <t>Colgate Palmolive (India) Ltd</t>
  </si>
  <si>
    <t>INE259A01022</t>
  </si>
  <si>
    <t>Consumer Non Durables</t>
  </si>
  <si>
    <t>Gujarat State Petronet Ltd</t>
  </si>
  <si>
    <t>INE246F01010</t>
  </si>
  <si>
    <t>Cadila Healthcare Ltd</t>
  </si>
  <si>
    <t>INE010B01027</t>
  </si>
  <si>
    <t>Pharmaceuticals</t>
  </si>
  <si>
    <t>Hindustan Petroleum Corporation Ltd</t>
  </si>
  <si>
    <t>INE094A01015</t>
  </si>
  <si>
    <t>Petroleum Products</t>
  </si>
  <si>
    <t>Tata Steel Ltd</t>
  </si>
  <si>
    <t>INE081A01012</t>
  </si>
  <si>
    <t>Ferrous Metals</t>
  </si>
  <si>
    <t>Power Grid Corporation of India Ltd</t>
  </si>
  <si>
    <t>INE752E01010</t>
  </si>
  <si>
    <t>Power</t>
  </si>
  <si>
    <t>Torrent Pharmaceuticals Ltd</t>
  </si>
  <si>
    <t>INE685A01028</t>
  </si>
  <si>
    <t>NTPC Ltd</t>
  </si>
  <si>
    <t>INE733E01010</t>
  </si>
  <si>
    <t>State Bank of India</t>
  </si>
  <si>
    <t>INE062A01020</t>
  </si>
  <si>
    <t>Bharat Petroleum Corporation Ltd</t>
  </si>
  <si>
    <t>INE029A01011</t>
  </si>
  <si>
    <t>United Breweries Ltd</t>
  </si>
  <si>
    <t>INE686F01025</t>
  </si>
  <si>
    <t>Cummins India Ltd</t>
  </si>
  <si>
    <t>INE298A01020</t>
  </si>
  <si>
    <t>Industrial Products</t>
  </si>
  <si>
    <t>Bajaj Auto Ltd</t>
  </si>
  <si>
    <t>INE917I01010</t>
  </si>
  <si>
    <t>Kansai Nerolac Paints Ltd</t>
  </si>
  <si>
    <t>INE531A01024</t>
  </si>
  <si>
    <t>TVS Motor Co Ltd</t>
  </si>
  <si>
    <t>INE494B01023</t>
  </si>
  <si>
    <t>Tata Motors Ltd</t>
  </si>
  <si>
    <t>INE155A01022</t>
  </si>
  <si>
    <t>Karur Vysya Bank Ltd</t>
  </si>
  <si>
    <t>INE036D01028</t>
  </si>
  <si>
    <t>Aditya Birla Fashion and Retail Ltd</t>
  </si>
  <si>
    <t>INE647O01011</t>
  </si>
  <si>
    <t>Retailing</t>
  </si>
  <si>
    <t>Jagran Prakashan Ltd</t>
  </si>
  <si>
    <t>INE199G01027</t>
  </si>
  <si>
    <t>Media &amp; Entertainment</t>
  </si>
  <si>
    <t>IN9647O01019</t>
  </si>
  <si>
    <t>Coal India Ltd</t>
  </si>
  <si>
    <t>INE522F01014</t>
  </si>
  <si>
    <t>Minerals/Mining</t>
  </si>
  <si>
    <t>9.00% State Bank of India (06-Sep-2021) **</t>
  </si>
  <si>
    <t>INE062A08124</t>
  </si>
  <si>
    <t>6.95% Housing Development Finance Corporation Ltd (27-Apr-2023) **</t>
  </si>
  <si>
    <t>INE001A07SK8</t>
  </si>
  <si>
    <t>9.25% Reliance Industries Ltd (17-Jun-2024) **</t>
  </si>
  <si>
    <t>INE110L08037</t>
  </si>
  <si>
    <t>Dr. Reddy's Laboratories Ltd</t>
  </si>
  <si>
    <t>INE089A01023</t>
  </si>
  <si>
    <t>Franklin India Debt Hybrid Fund - Segregated Portfolio 1 - 10.25% Yes Bank Ltd CO 05 Mar 2020</t>
  </si>
  <si>
    <t>10.25% Yes Bank Ltd (05-Mar-2110)  $$ **</t>
  </si>
  <si>
    <t>INE528G09061</t>
  </si>
  <si>
    <t>Housing Development Finance Corporation Ltd</t>
  </si>
  <si>
    <t>INE001A01036</t>
  </si>
  <si>
    <t>Finance</t>
  </si>
  <si>
    <t>Sun TV Network Ltd</t>
  </si>
  <si>
    <t>INE424H01027</t>
  </si>
  <si>
    <t>Maruti Suzuki India Ltd</t>
  </si>
  <si>
    <t>INE585B01010</t>
  </si>
  <si>
    <t>Tata Power Co Ltd</t>
  </si>
  <si>
    <t>INE245A01021</t>
  </si>
  <si>
    <t>NHPC Ltd</t>
  </si>
  <si>
    <t>INE848E01016</t>
  </si>
  <si>
    <t>Tech Mahindra Ltd</t>
  </si>
  <si>
    <t>INE669C01036</t>
  </si>
  <si>
    <t>Cholamandalam Financial Holdings Ltd</t>
  </si>
  <si>
    <t>INE149A01033</t>
  </si>
  <si>
    <t>Dabur India Ltd</t>
  </si>
  <si>
    <t>INE016A01026</t>
  </si>
  <si>
    <t>Larsen &amp; Toubro Ltd</t>
  </si>
  <si>
    <t>INE018A01030</t>
  </si>
  <si>
    <t>Construction Project</t>
  </si>
  <si>
    <t>Nestle India Ltd</t>
  </si>
  <si>
    <t>INE239A01016</t>
  </si>
  <si>
    <t>Indian Hotels Co Ltd</t>
  </si>
  <si>
    <t>INE053A01029</t>
  </si>
  <si>
    <t>Hotels/ Resorts And Other Recreational Activities</t>
  </si>
  <si>
    <t>Indian Oil Corporation Ltd</t>
  </si>
  <si>
    <t>INE242A01010</t>
  </si>
  <si>
    <t>Mahindra CIE Automotive Ltd</t>
  </si>
  <si>
    <t>INE536H01010</t>
  </si>
  <si>
    <t>PNB Housing Finance Ltd</t>
  </si>
  <si>
    <t>INE572E01012</t>
  </si>
  <si>
    <t>Himatsingka Seide Ltd</t>
  </si>
  <si>
    <t>INE049A01027</t>
  </si>
  <si>
    <t>Textile Products</t>
  </si>
  <si>
    <t>GAIL (India) Ltd</t>
  </si>
  <si>
    <t>INE129A01019</t>
  </si>
  <si>
    <t>Federal Bank Ltd</t>
  </si>
  <si>
    <t>INE171A01029</t>
  </si>
  <si>
    <t>c) Portfolio Turnover Ratio during the Half - year 30-Sep-2020</t>
  </si>
  <si>
    <t>d) Average Maturity as on 30-Sep-2020</t>
  </si>
  <si>
    <t>Tata Consultancy Services Ltd</t>
  </si>
  <si>
    <t>INE467B01029</t>
  </si>
  <si>
    <t>Titan Co Ltd</t>
  </si>
  <si>
    <t>INE280A01028</t>
  </si>
  <si>
    <t>INE671B01018</t>
  </si>
  <si>
    <t>10.25% JM Financial Asset Reconstruction Co Ltd (31-Aug-2021) **</t>
  </si>
  <si>
    <t>INE265J07282</t>
  </si>
  <si>
    <t>Union Bank of India (24-Feb-2021) **</t>
  </si>
  <si>
    <t>INE434A16RB3</t>
  </si>
  <si>
    <t>Tata Motors Ltd DVR</t>
  </si>
  <si>
    <t>IN9155A01020</t>
  </si>
  <si>
    <t>HCL Technologies Ltd</t>
  </si>
  <si>
    <t>INE860A01027</t>
  </si>
  <si>
    <t>ITC Ltd</t>
  </si>
  <si>
    <t>INE154A01025</t>
  </si>
  <si>
    <t>Emami Ltd</t>
  </si>
  <si>
    <t>INE548C01032</t>
  </si>
  <si>
    <t>Bharat Electronics Ltd</t>
  </si>
  <si>
    <t>INE263A01024</t>
  </si>
  <si>
    <t>Industrial Capital Goods</t>
  </si>
  <si>
    <t>Oil &amp; Natural Gas Corporation Ltd</t>
  </si>
  <si>
    <t>INE213A01029</t>
  </si>
  <si>
    <t>Oil</t>
  </si>
  <si>
    <t>Finolex Cables Ltd</t>
  </si>
  <si>
    <t>INE235A01022</t>
  </si>
  <si>
    <t>Cyient Ltd</t>
  </si>
  <si>
    <t>INE136B01020</t>
  </si>
  <si>
    <t>Tata Chemicals Ltd</t>
  </si>
  <si>
    <t>INE092A01019</t>
  </si>
  <si>
    <t>Chemicals</t>
  </si>
  <si>
    <t>Container Corporation Of India Ltd</t>
  </si>
  <si>
    <t>INE111A01025</t>
  </si>
  <si>
    <t>Transportation</t>
  </si>
  <si>
    <t>Gulf Oil Lubricants India Ltd</t>
  </si>
  <si>
    <t>INE635Q01029</t>
  </si>
  <si>
    <t>Ashok Leyland Ltd</t>
  </si>
  <si>
    <t>INE208A01029</t>
  </si>
  <si>
    <t>ACC Ltd</t>
  </si>
  <si>
    <t>INE012A01025</t>
  </si>
  <si>
    <t>Equitas Holdings Ltd</t>
  </si>
  <si>
    <t>INE988K01017</t>
  </si>
  <si>
    <t>Apollo Tyres Ltd</t>
  </si>
  <si>
    <t>INE438A01022</t>
  </si>
  <si>
    <t>Century Textile &amp; Industries Ltd</t>
  </si>
  <si>
    <t>INE055A01016</t>
  </si>
  <si>
    <t>Paper</t>
  </si>
  <si>
    <t>Vardhman Textiles Ltd</t>
  </si>
  <si>
    <t>INE825A01012</t>
  </si>
  <si>
    <t>Textiles - Cotton</t>
  </si>
  <si>
    <t>Industry Classification</t>
  </si>
  <si>
    <t>Tata Investment Corporation Ltd</t>
  </si>
  <si>
    <t>INE672A01018</t>
  </si>
  <si>
    <t>Finolex Industries Ltd</t>
  </si>
  <si>
    <t>INE183A01016</t>
  </si>
  <si>
    <t>Tata Consumer Products Ltd</t>
  </si>
  <si>
    <t>INE192A01025</t>
  </si>
  <si>
    <t>J.K. Cement Ltd</t>
  </si>
  <si>
    <t>INE823G01014</t>
  </si>
  <si>
    <t>Redington (India) Ltd</t>
  </si>
  <si>
    <t>INE891D01026</t>
  </si>
  <si>
    <t>K.P.R. Mill Ltd</t>
  </si>
  <si>
    <t>INE930H01023</t>
  </si>
  <si>
    <t>Dalmia Bharat Ltd</t>
  </si>
  <si>
    <t>INE00R701025</t>
  </si>
  <si>
    <t>National Aluminium Co Ltd</t>
  </si>
  <si>
    <t>INE139A01034</t>
  </si>
  <si>
    <t>Sundaram Clayton Ltd</t>
  </si>
  <si>
    <t>INE105A01035</t>
  </si>
  <si>
    <t>CESC Ltd</t>
  </si>
  <si>
    <t>INE486A01013</t>
  </si>
  <si>
    <t>NMDC Ltd</t>
  </si>
  <si>
    <t>INE584A01023</t>
  </si>
  <si>
    <t>(b) Units of Real Estate Investment Trusts (REITs)</t>
  </si>
  <si>
    <t>Embassy Office Parks REIT</t>
  </si>
  <si>
    <t>INE041025011</t>
  </si>
  <si>
    <t>Foreign Equity Securities</t>
  </si>
  <si>
    <t>Xinyi Solar Holdings Ltd</t>
  </si>
  <si>
    <t>KYG9829N1025</t>
  </si>
  <si>
    <t>US9047677045</t>
  </si>
  <si>
    <t>Aramex PJSC</t>
  </si>
  <si>
    <t>AEA002301017</t>
  </si>
  <si>
    <t>Novatek Microelectronics Corp. Ltd</t>
  </si>
  <si>
    <t>TW0003034005</t>
  </si>
  <si>
    <t>Semiconductors</t>
  </si>
  <si>
    <t>Travelsky Technology Ltd, H</t>
  </si>
  <si>
    <t>CNE1000004J3</t>
  </si>
  <si>
    <t>Xtep International Holdings Ltd</t>
  </si>
  <si>
    <t>KYG982771092</t>
  </si>
  <si>
    <t>KR7086900008</t>
  </si>
  <si>
    <t>Primax Electronics Ltd</t>
  </si>
  <si>
    <t>TW0004915004</t>
  </si>
  <si>
    <t>Hardware</t>
  </si>
  <si>
    <t>Mahle-Metal Leve S A</t>
  </si>
  <si>
    <t>BRLEVEACNOR2</t>
  </si>
  <si>
    <t>Fanhua Inc, (ADR)</t>
  </si>
  <si>
    <t>US30712A1034</t>
  </si>
  <si>
    <t>KRA0869001A0</t>
  </si>
  <si>
    <t>Info Edge (India) Ltd</t>
  </si>
  <si>
    <t>INE663F01024</t>
  </si>
  <si>
    <t>Larsen &amp; Toubro Infotech Ltd</t>
  </si>
  <si>
    <t>INE214T01019</t>
  </si>
  <si>
    <t>Happiest Minds Technologies Ltd</t>
  </si>
  <si>
    <t>INE419U01012</t>
  </si>
  <si>
    <t>Indiamart Intermesh Ltd</t>
  </si>
  <si>
    <t>INE933S01016</t>
  </si>
  <si>
    <t>Taiwan Semiconductor Manufacturing Co. Ltd</t>
  </si>
  <si>
    <t>TW0002330008</t>
  </si>
  <si>
    <t>Cognizant Technology Solutions Corp., A</t>
  </si>
  <si>
    <t>US1924461023</t>
  </si>
  <si>
    <t>Twitter Inc.</t>
  </si>
  <si>
    <t>US90184L1026</t>
  </si>
  <si>
    <t>Makemytrip Ltd</t>
  </si>
  <si>
    <t>MU0295S00016</t>
  </si>
  <si>
    <t>Samsung Electronics Co. Ltd</t>
  </si>
  <si>
    <t>KR7005930003</t>
  </si>
  <si>
    <t>Qualcomm Inc.</t>
  </si>
  <si>
    <t>US7475251036</t>
  </si>
  <si>
    <t>Telecom -  Equipment &amp; Accessories</t>
  </si>
  <si>
    <t>US79466L3024</t>
  </si>
  <si>
    <t xml:space="preserve">Software                                </t>
  </si>
  <si>
    <t>Nvidia Corp</t>
  </si>
  <si>
    <t>US67066G1040</t>
  </si>
  <si>
    <t>US4581401001</t>
  </si>
  <si>
    <t>Alphabet Inc</t>
  </si>
  <si>
    <t>US02079K3059</t>
  </si>
  <si>
    <t>Sunny Optical Technology Group Co. Ltd</t>
  </si>
  <si>
    <t>KYG8586D1097</t>
  </si>
  <si>
    <t>Microsoft Corp</t>
  </si>
  <si>
    <t>US5949181045</t>
  </si>
  <si>
    <t>Foreign Mutual Fund Units</t>
  </si>
  <si>
    <t>Franklin Technology Fund, Class I (Acc)</t>
  </si>
  <si>
    <t>LU0626261944</t>
  </si>
  <si>
    <t>Foreign Mutual Fund</t>
  </si>
  <si>
    <t>Deepak Nitrite Ltd</t>
  </si>
  <si>
    <t>INE288B01029</t>
  </si>
  <si>
    <t>J.B. Chemicals &amp; Pharmaceuticals Ltd</t>
  </si>
  <si>
    <t>INE572A01028</t>
  </si>
  <si>
    <t>Brigade Enterprises Ltd</t>
  </si>
  <si>
    <t>INE791I01019</t>
  </si>
  <si>
    <t>Construction</t>
  </si>
  <si>
    <t>Nesco Ltd</t>
  </si>
  <si>
    <t>INE317F01035</t>
  </si>
  <si>
    <t>Commercial Services</t>
  </si>
  <si>
    <t>Jyothy Labs Ltd</t>
  </si>
  <si>
    <t>INE668F01031</t>
  </si>
  <si>
    <t>CCL Products (India) Ltd</t>
  </si>
  <si>
    <t>INE421D01022</t>
  </si>
  <si>
    <t>Eris Lifesciences Ltd</t>
  </si>
  <si>
    <t>INE406M01024</t>
  </si>
  <si>
    <t>Blue Star Ltd</t>
  </si>
  <si>
    <t>INE472A01039</t>
  </si>
  <si>
    <t>Atul Ltd</t>
  </si>
  <si>
    <t>INE100A01010</t>
  </si>
  <si>
    <t>Kajaria Ceramics Ltd</t>
  </si>
  <si>
    <t>INE217B01036</t>
  </si>
  <si>
    <t>Quess Corp Ltd</t>
  </si>
  <si>
    <t>INE615P01015</t>
  </si>
  <si>
    <t>Services</t>
  </si>
  <si>
    <t>TTK Prestige Ltd</t>
  </si>
  <si>
    <t>INE690A01010</t>
  </si>
  <si>
    <t>Teamlease Services Ltd</t>
  </si>
  <si>
    <t>INE985S01024</t>
  </si>
  <si>
    <t>Narayana Hrudayalaya Ltd</t>
  </si>
  <si>
    <t>INE410P01011</t>
  </si>
  <si>
    <t>Healthcare Services</t>
  </si>
  <si>
    <t>Multi Commodity Exchange Of India Ltd</t>
  </si>
  <si>
    <t>INE745G01035</t>
  </si>
  <si>
    <t>Navneet Education Ltd</t>
  </si>
  <si>
    <t>INE060A01024</t>
  </si>
  <si>
    <t>Ahluwalia Contracts (India) Ltd</t>
  </si>
  <si>
    <t>INE758C01029</t>
  </si>
  <si>
    <t>Carborundum Universal Ltd</t>
  </si>
  <si>
    <t>INE120A01034</t>
  </si>
  <si>
    <t>DCB Bank Ltd</t>
  </si>
  <si>
    <t>INE503A01015</t>
  </si>
  <si>
    <t>KNR Constructions Ltd</t>
  </si>
  <si>
    <t>INE634I01029</t>
  </si>
  <si>
    <t>Metropolis Healthcare Ltd</t>
  </si>
  <si>
    <t>INE112L01020</t>
  </si>
  <si>
    <t>Lemon Tree Hotels Ltd</t>
  </si>
  <si>
    <t>INE970X01018</t>
  </si>
  <si>
    <t>Sobha Ltd</t>
  </si>
  <si>
    <t>INE671H01015</t>
  </si>
  <si>
    <t>GHCL Ltd</t>
  </si>
  <si>
    <t>INE539A01019</t>
  </si>
  <si>
    <t>Tube Investments of India Ltd</t>
  </si>
  <si>
    <t>INE974X01010</t>
  </si>
  <si>
    <t>JK Lakshmi Cement Ltd</t>
  </si>
  <si>
    <t>INE786A01032</t>
  </si>
  <si>
    <t>City Union Bank Ltd</t>
  </si>
  <si>
    <t>INE491A01021</t>
  </si>
  <si>
    <t>V.I.P. Industries Ltd</t>
  </si>
  <si>
    <t>INE054A01027</t>
  </si>
  <si>
    <t>TV Today Network Ltd</t>
  </si>
  <si>
    <t>INE038F01029</t>
  </si>
  <si>
    <t>Himadri Speciality Chemical Ltd</t>
  </si>
  <si>
    <t>INE019C01026</t>
  </si>
  <si>
    <t>Schaeffler India Ltd</t>
  </si>
  <si>
    <t>INE513A01014</t>
  </si>
  <si>
    <t>KPIT Technologies Ltd</t>
  </si>
  <si>
    <t>INE04I401011</t>
  </si>
  <si>
    <t>Music Broadcast Ltd</t>
  </si>
  <si>
    <t>INE919I01024</t>
  </si>
  <si>
    <t>Inox Leisure Ltd</t>
  </si>
  <si>
    <t>INE312H01016</t>
  </si>
  <si>
    <t>Ramkrishna Forgings Ltd</t>
  </si>
  <si>
    <t>INE399G01015</t>
  </si>
  <si>
    <t>Ashoka Buildcon Ltd</t>
  </si>
  <si>
    <t>INE442H01029</t>
  </si>
  <si>
    <t>Techno Electric &amp; Engineering Co Ltd</t>
  </si>
  <si>
    <t>INE285K01026</t>
  </si>
  <si>
    <t>M M Forgings Ltd</t>
  </si>
  <si>
    <t>INE227C01017</t>
  </si>
  <si>
    <t>Rallis India Ltd</t>
  </si>
  <si>
    <t>INE613A01020</t>
  </si>
  <si>
    <t>Pesticides</t>
  </si>
  <si>
    <t>CARE Ratings Ltd</t>
  </si>
  <si>
    <t>INE752H01013</t>
  </si>
  <si>
    <t>Shankara Building Products Ltd</t>
  </si>
  <si>
    <t>INE274V01019</t>
  </si>
  <si>
    <t>Route Mobile Ltd</t>
  </si>
  <si>
    <t>INE450U01017</t>
  </si>
  <si>
    <t>Cholamandalam Investment and Finance Co Ltd</t>
  </si>
  <si>
    <t>INE121A01024</t>
  </si>
  <si>
    <t>INE596I01012</t>
  </si>
  <si>
    <t>Sanghi Industries Ltd</t>
  </si>
  <si>
    <t>INE999B01013</t>
  </si>
  <si>
    <t>HT Media Ltd</t>
  </si>
  <si>
    <t>INE501G01024</t>
  </si>
  <si>
    <t>Pennar Industries Ltd</t>
  </si>
  <si>
    <t>INE932A01024</t>
  </si>
  <si>
    <t>The Ramco Cements Ltd</t>
  </si>
  <si>
    <t>INE331A01037</t>
  </si>
  <si>
    <t>Crompton Greaves Consumer Electricals Ltd</t>
  </si>
  <si>
    <t>INE299U01018</t>
  </si>
  <si>
    <t>Trent Ltd</t>
  </si>
  <si>
    <t>INE849A01020</t>
  </si>
  <si>
    <t>Aarti Industries Ltd</t>
  </si>
  <si>
    <t>INE769A01020</t>
  </si>
  <si>
    <t>Apollo Hospitals Enterprise Ltd</t>
  </si>
  <si>
    <t>INE437A01024</t>
  </si>
  <si>
    <t>PI Industries Ltd</t>
  </si>
  <si>
    <t>INE603J01030</t>
  </si>
  <si>
    <t>SKF India Ltd</t>
  </si>
  <si>
    <t>INE640A01023</t>
  </si>
  <si>
    <t>Coromandel International Ltd</t>
  </si>
  <si>
    <t>INE169A01031</t>
  </si>
  <si>
    <t>Fertilisers</t>
  </si>
  <si>
    <t>Oberoi Realty Ltd</t>
  </si>
  <si>
    <t>INE093I01010</t>
  </si>
  <si>
    <t>Sundaram Finance Ltd</t>
  </si>
  <si>
    <t>INE660A01013</t>
  </si>
  <si>
    <t>AIA Engineering Ltd</t>
  </si>
  <si>
    <t>INE212H01026</t>
  </si>
  <si>
    <t>Hindustan Unilever Ltd</t>
  </si>
  <si>
    <t>INE030A01027</t>
  </si>
  <si>
    <t>RBL Bank Ltd</t>
  </si>
  <si>
    <t>INE976G01028</t>
  </si>
  <si>
    <t>Sundram Fasteners Ltd</t>
  </si>
  <si>
    <t>INE387A01021</t>
  </si>
  <si>
    <t>Torrent Power Ltd</t>
  </si>
  <si>
    <t>INE813H01021</t>
  </si>
  <si>
    <t>Essel Propack Ltd</t>
  </si>
  <si>
    <t>INE255A01020</t>
  </si>
  <si>
    <t>Bharat Forge Ltd</t>
  </si>
  <si>
    <t>INE465A01025</t>
  </si>
  <si>
    <t>Mphasis Ltd</t>
  </si>
  <si>
    <t>INE356A01018</t>
  </si>
  <si>
    <t>Phoenix Mills Ltd</t>
  </si>
  <si>
    <t>INE211B01039</t>
  </si>
  <si>
    <t>INE09EO01013</t>
  </si>
  <si>
    <t>Asian Paints Ltd</t>
  </si>
  <si>
    <t>INE021A01026</t>
  </si>
  <si>
    <t>Caplin Point Laboratories Ltd</t>
  </si>
  <si>
    <t>INE475E01026</t>
  </si>
  <si>
    <t>Kalyani Invest Co Ltd</t>
  </si>
  <si>
    <t>INE029L01018</t>
  </si>
  <si>
    <t>INE696201123</t>
  </si>
  <si>
    <t>Ultratech Cement Ltd</t>
  </si>
  <si>
    <t>INE481G01011</t>
  </si>
  <si>
    <t>Interglobe Aviation Ltd</t>
  </si>
  <si>
    <t>INE646L01027</t>
  </si>
  <si>
    <t>Lupin Ltd</t>
  </si>
  <si>
    <t>INE326A01037</t>
  </si>
  <si>
    <t>KEI Industries Ltd</t>
  </si>
  <si>
    <t>INE878B01027</t>
  </si>
  <si>
    <t>Orient Cement Ltd</t>
  </si>
  <si>
    <t>INE876N01018</t>
  </si>
  <si>
    <t>ITD Cementation India Ltd</t>
  </si>
  <si>
    <t>INE686A01026</t>
  </si>
  <si>
    <t>Spicejet Ltd</t>
  </si>
  <si>
    <t>INE285B01017</t>
  </si>
  <si>
    <t>Somany Ceramics Ltd</t>
  </si>
  <si>
    <t>INE355A01028</t>
  </si>
  <si>
    <t>Hindustan Aeronautics Ltd</t>
  </si>
  <si>
    <t>INE066F01012</t>
  </si>
  <si>
    <t>Aerospace &amp; Defense</t>
  </si>
  <si>
    <t>Marico Ltd</t>
  </si>
  <si>
    <t>INE196A01026</t>
  </si>
  <si>
    <t>United Spirits Ltd</t>
  </si>
  <si>
    <t>INE854D01024</t>
  </si>
  <si>
    <t>ICICI Prudential Life Insurance Co Ltd</t>
  </si>
  <si>
    <t>INE726G01019</t>
  </si>
  <si>
    <t>Sun Pharmaceutical Industries Ltd</t>
  </si>
  <si>
    <t>INE044A01036</t>
  </si>
  <si>
    <t>Aditya Birla Capital Ltd</t>
  </si>
  <si>
    <t>INE674K01013</t>
  </si>
  <si>
    <t>Gujarat Pipavav Port Ltd</t>
  </si>
  <si>
    <t>INE517F01014</t>
  </si>
  <si>
    <t>Arvind Fashions Ltd</t>
  </si>
  <si>
    <t>INE955V01021</t>
  </si>
  <si>
    <t>CG Power and Industrial Solutions Ltd</t>
  </si>
  <si>
    <t>INE067A01029</t>
  </si>
  <si>
    <t>Vodafone Idea Ltd</t>
  </si>
  <si>
    <t>INE669E01016</t>
  </si>
  <si>
    <t>IndusInd Bank Ltd</t>
  </si>
  <si>
    <t>INE095A01012</t>
  </si>
  <si>
    <t>Dish TV India Ltd</t>
  </si>
  <si>
    <t>INE836F01026</t>
  </si>
  <si>
    <t>NRB Bearings Ltd</t>
  </si>
  <si>
    <t>INE349A01021</t>
  </si>
  <si>
    <t>Ambuja Cements Ltd</t>
  </si>
  <si>
    <t>INE079A01024</t>
  </si>
  <si>
    <t>Hero MotoCorp Ltd</t>
  </si>
  <si>
    <t>INE158A01026</t>
  </si>
  <si>
    <t>Gateway Distriparks Ltd</t>
  </si>
  <si>
    <t>INE852F01015</t>
  </si>
  <si>
    <t>Puravankara Ltd</t>
  </si>
  <si>
    <t>INE323I01011</t>
  </si>
  <si>
    <t>The New India Assurance Co Ltd</t>
  </si>
  <si>
    <t>INE470Y01017</t>
  </si>
  <si>
    <t>Punjab National Bank</t>
  </si>
  <si>
    <t>INE160A01022</t>
  </si>
  <si>
    <t>Hindustan Media Vent Ltd</t>
  </si>
  <si>
    <t>INE871K01015</t>
  </si>
  <si>
    <t>Godrej Properties Ltd</t>
  </si>
  <si>
    <t>INE484J01027</t>
  </si>
  <si>
    <t>Motilal Oswal Financial Services Ltd</t>
  </si>
  <si>
    <t>INE338I01027</t>
  </si>
  <si>
    <t>Alibaba Group Holding Ltd (ADR)</t>
  </si>
  <si>
    <t>US01609W1027</t>
  </si>
  <si>
    <t>Tencent Holdings Ltd</t>
  </si>
  <si>
    <t>KYG875721634</t>
  </si>
  <si>
    <t>AIA Group Ltd</t>
  </si>
  <si>
    <t>HK0000069689</t>
  </si>
  <si>
    <t>Meituan Dianping</t>
  </si>
  <si>
    <t>KYG596691041</t>
  </si>
  <si>
    <t>Ping An Insurance (Group) Co. Of China Ltd, H</t>
  </si>
  <si>
    <t>CNE1000003X6</t>
  </si>
  <si>
    <t>China Mengniu Dairy Co. Ltd</t>
  </si>
  <si>
    <t>KYG210961051</t>
  </si>
  <si>
    <t>New Oriental Education &amp; Technology Group Inc, (ADR)</t>
  </si>
  <si>
    <t>US6475811070</t>
  </si>
  <si>
    <t>Diversified Consumer Service</t>
  </si>
  <si>
    <t>Techtronic Industries Co. Ltd</t>
  </si>
  <si>
    <t>HK0669013440</t>
  </si>
  <si>
    <t>Naver Corp</t>
  </si>
  <si>
    <t>KR7035420009</t>
  </si>
  <si>
    <t>China Resources Land Ltd</t>
  </si>
  <si>
    <t>KYG2108Y1052</t>
  </si>
  <si>
    <t>Kweichow Moutai Co. Ltd, A</t>
  </si>
  <si>
    <t>CNE0000018R8</t>
  </si>
  <si>
    <t>Bank Central Asia Tbk Pt</t>
  </si>
  <si>
    <t>ID1000109507</t>
  </si>
  <si>
    <t>China Merchants Bank Co Ltd</t>
  </si>
  <si>
    <t>CNE1000002M1</t>
  </si>
  <si>
    <t>Budweiser Brewing Co APAC Ltd</t>
  </si>
  <si>
    <t>KYG1674K1013</t>
  </si>
  <si>
    <t>SM Investments Corp</t>
  </si>
  <si>
    <t>PHY806761029</t>
  </si>
  <si>
    <t>Semen Indonesia (Persero) Tbk PT</t>
  </si>
  <si>
    <t>ID1000106800</t>
  </si>
  <si>
    <t>Alibaba Health Information Technology Ltd</t>
  </si>
  <si>
    <t>BMG0171K1018</t>
  </si>
  <si>
    <t>JD.Com Inc</t>
  </si>
  <si>
    <t>KYG8208B1014</t>
  </si>
  <si>
    <t>China Resources Cement Holdings Ltd</t>
  </si>
  <si>
    <t>KYG2113L1068</t>
  </si>
  <si>
    <t>Yum China Holdings INC</t>
  </si>
  <si>
    <t>US98850P1093</t>
  </si>
  <si>
    <t>Trip.Com Group Ltd, (ADR)</t>
  </si>
  <si>
    <t>US89677Q1076</t>
  </si>
  <si>
    <t>Midea Group Co Ltd</t>
  </si>
  <si>
    <t>CNE100001QQ5</t>
  </si>
  <si>
    <t>Country Garden Services Holdings Co Ltd</t>
  </si>
  <si>
    <t>KYG2453A1085</t>
  </si>
  <si>
    <t>CNOOC Ltd</t>
  </si>
  <si>
    <t>HK0883013259</t>
  </si>
  <si>
    <t>Sea Ltd (ADR)</t>
  </si>
  <si>
    <t>US81141R1005</t>
  </si>
  <si>
    <t>ACE Hardware Indonesia Tbk Pt</t>
  </si>
  <si>
    <t>ID1000125503</t>
  </si>
  <si>
    <t>SK Hynix Inc</t>
  </si>
  <si>
    <t>KR7000660001</t>
  </si>
  <si>
    <t>Indocement Tunggal Prakarsa Tbk Pt</t>
  </si>
  <si>
    <t>ID1000061302</t>
  </si>
  <si>
    <t>Beijing Oriental Yuhong Waterproof Technology Co Ltd</t>
  </si>
  <si>
    <t>CNE100000CS3</t>
  </si>
  <si>
    <t>The Siam Cement PCL, Fgn.</t>
  </si>
  <si>
    <t>TH0003010Z12</t>
  </si>
  <si>
    <t>TW0002454006</t>
  </si>
  <si>
    <t>Minor International Pcl, Fgn.</t>
  </si>
  <si>
    <t>TH0128B10Z17</t>
  </si>
  <si>
    <t>Largan Precision Co. Ltd</t>
  </si>
  <si>
    <t>TW0003008009</t>
  </si>
  <si>
    <t>Samsonite International S A</t>
  </si>
  <si>
    <t>LU0633102719</t>
  </si>
  <si>
    <t>Health &amp; Happiness H&amp;H International Holdings Ltd</t>
  </si>
  <si>
    <t>KYG4387E1070</t>
  </si>
  <si>
    <t>Minor International PCL- Warrants (31-July-2023)</t>
  </si>
  <si>
    <t>TH0128053707</t>
  </si>
  <si>
    <t>Minor International PCL- Warrants (30-Sep-2021)</t>
  </si>
  <si>
    <t>TH0128051909</t>
  </si>
  <si>
    <t>Reliance Industries Ltd</t>
  </si>
  <si>
    <t>INE002A01018</t>
  </si>
  <si>
    <t>Bajaj Finance Ltd</t>
  </si>
  <si>
    <t>INE296A01024</t>
  </si>
  <si>
    <t>Wipro Ltd</t>
  </si>
  <si>
    <t>INE075A01022</t>
  </si>
  <si>
    <t>Britannia Industries Ltd</t>
  </si>
  <si>
    <t>INE216A01030</t>
  </si>
  <si>
    <t>HDFC Life Insurance Co Ltd</t>
  </si>
  <si>
    <t>INE795G01014</t>
  </si>
  <si>
    <t>Cipla Ltd</t>
  </si>
  <si>
    <t>INE059A01026</t>
  </si>
  <si>
    <t>Divi's Laboratories Ltd</t>
  </si>
  <si>
    <t>INE361B01024</t>
  </si>
  <si>
    <t>Bajaj Finserv Ltd</t>
  </si>
  <si>
    <t>INE918I01018</t>
  </si>
  <si>
    <t>Eicher Motors Ltd</t>
  </si>
  <si>
    <t>INE066A01021</t>
  </si>
  <si>
    <t>SBI Life Insurance Co Ltd</t>
  </si>
  <si>
    <t>INE123W01016</t>
  </si>
  <si>
    <t>JSW Steel Ltd</t>
  </si>
  <si>
    <t>INE019A01038</t>
  </si>
  <si>
    <t>UPL Ltd</t>
  </si>
  <si>
    <t>INE628A01036</t>
  </si>
  <si>
    <t>Shree Cement Ltd</t>
  </si>
  <si>
    <t>INE070A01015</t>
  </si>
  <si>
    <t>Adani Ports and Special Economic Zone Ltd</t>
  </si>
  <si>
    <t>INE742F01042</t>
  </si>
  <si>
    <t>INE528G01035</t>
  </si>
  <si>
    <t>Prestige Estates Projects Ltd</t>
  </si>
  <si>
    <t>INE811K01011</t>
  </si>
  <si>
    <t>Franklin U.S. Opportunities Fund, Class I (Acc)</t>
  </si>
  <si>
    <t>LU0195948665</t>
  </si>
  <si>
    <t>Templeton European Opportunities Fund, Class I (Acc)</t>
  </si>
  <si>
    <t>LU0195949390</t>
  </si>
  <si>
    <t>Mutual Fund Units</t>
  </si>
  <si>
    <t>Franklin India Bluechip Fund Direct-Growth Plan</t>
  </si>
  <si>
    <t>INF090I01FN7</t>
  </si>
  <si>
    <t>Franklin India Short-Term Income Plan (No. of Segregated Portfolios in the Scheme- 3) - (under winding up) Direct-Growth Plan ^^</t>
  </si>
  <si>
    <t>INF090I01GK1</t>
  </si>
  <si>
    <t>Nippon India ETF Gold Bees</t>
  </si>
  <si>
    <t>INF204KB17I5</t>
  </si>
  <si>
    <t>Franklin India Short Term Income Plan-Segregated Portfolio 3- 9.50% Yes Bank Ltd CO 23Dec21-Direct-Growth Plan</t>
  </si>
  <si>
    <t>INF090I01VS3</t>
  </si>
  <si>
    <t>Franklin India Short Term Income Plan- Segregated Portfolio 2- 10.90% Vodafone Idea Ltd 02Sep2023 (P/C 03Sep2021)-Direct-Growth Plan</t>
  </si>
  <si>
    <t>INF090I01UY3</t>
  </si>
  <si>
    <t>INF090I01GV8</t>
  </si>
  <si>
    <t>INF090I01GY2</t>
  </si>
  <si>
    <t xml:space="preserve">      Dividend Option</t>
  </si>
  <si>
    <t xml:space="preserve">      Direct Dividend Option</t>
  </si>
  <si>
    <t>INF090I01FW8</t>
  </si>
  <si>
    <t>Franklin India Dynamic Accrual Fund (No. of Segregated Portfolios in the Scheme- 3) - (under winding up) Direct-Growth Plan ^^</t>
  </si>
  <si>
    <t>INF090I01HB8</t>
  </si>
  <si>
    <t>Franklin India Dynamic Accrual Fund- Segregated Portfolio 2- 10.90% Vodafone Idea Ltd 02Sep2023 (P/C 03Sep2021)-Direct-Growth Plan</t>
  </si>
  <si>
    <t>INF090I01TX7</t>
  </si>
  <si>
    <t>Franklin India Dynamic Accrual Fund- Segregated Portfolio 3- 9.50% Yes Bank Ltd CO 23Dec21-Direct-Growth Plan</t>
  </si>
  <si>
    <t>INF090I01WD3</t>
  </si>
  <si>
    <t>Franklin India Prima Fund Direct-Growth Plan</t>
  </si>
  <si>
    <t>INF090I01FH9</t>
  </si>
  <si>
    <t>Franklin India Equity Fund Direct-Growth Plan</t>
  </si>
  <si>
    <t>INF090I01FK3</t>
  </si>
  <si>
    <t xml:space="preserve"> $$ Indicates securties below investment grade or default</t>
  </si>
  <si>
    <t>N..A **</t>
  </si>
  <si>
    <t>** Plan closed effective 09 July 2020</t>
  </si>
  <si>
    <t xml:space="preserve">      Regular Plan Growth Option  !</t>
  </si>
  <si>
    <t xml:space="preserve">      Regular Plan Daily Dividend Reinvestment Option  !</t>
  </si>
  <si>
    <t xml:space="preserve">      Regular Plan Weekly Dividend Option  !</t>
  </si>
  <si>
    <t xml:space="preserve">      Institutional Plan Growth Option  !</t>
  </si>
  <si>
    <t xml:space="preserve">      Institutional Plan Daily Dividend Reinvestment Option  !</t>
  </si>
  <si>
    <t xml:space="preserve">      Institutional Plan Weekly Dividend Option  !</t>
  </si>
  <si>
    <t xml:space="preserve"> ! The sale of units has been suspended effective October 1, 2012.</t>
  </si>
  <si>
    <t>Franklin India Liquid Fund ^</t>
  </si>
  <si>
    <t>SBI MCLR - Base Rate of State Bank of India Marginal Cost of Funds Based Lending Rate</t>
  </si>
  <si>
    <t>Franklin India Debt Hybrid Fund ^ (No. of segregated Portfolio in the scheme - 1)</t>
  </si>
  <si>
    <t>^ Effective June 4, 2018, Franklin India Monthly Income Plan was renamed as Franklin India Debt Hybrid Fund.</t>
  </si>
  <si>
    <t>% to Net Assets(Hedged &amp; Unhedged)</t>
  </si>
  <si>
    <t>% to Net Assets Derivative</t>
  </si>
  <si>
    <t>Margin on Derivatives</t>
  </si>
  <si>
    <t xml:space="preserve">c) Total outstanding position (as at September 30 , 2020) in Derivative Instruments (Gross Notional) </t>
  </si>
  <si>
    <t>d) Outstanding derivative exposure as % to net assets</t>
  </si>
  <si>
    <t>e) Portfolio Turnover Ratio during the Half - year 30-Sep-2020</t>
  </si>
  <si>
    <t>f) Average Maturity as on 30-Sep-2020</t>
  </si>
  <si>
    <t xml:space="preserve">g) During the month additional instances of fair valuation/deviation from valuation price provided by the valuation agencies </t>
  </si>
  <si>
    <t xml:space="preserve">Franklin India Equity Hybrid Fund ^ </t>
  </si>
  <si>
    <t>(b) Unlisted ***</t>
  </si>
  <si>
    <t xml:space="preserve">f) During the month additional instances of fair valuation/deviation from valuation price provided by the valuation agencies </t>
  </si>
  <si>
    <t>Templeton India Value Fund ^</t>
  </si>
  <si>
    <t>^ Effective June 4, 2018, Templeton India Growth Fund was renamed as Templeton India Value Fund.</t>
  </si>
  <si>
    <t>(b) Unlisted  ***</t>
  </si>
  <si>
    <t>Brillio Technologies Pvt Ltd **</t>
  </si>
  <si>
    <t>Numero Uno International Ltd **</t>
  </si>
  <si>
    <t>Quantum Information Services **</t>
  </si>
  <si>
    <t>Chennai Interactive Business Services Pvt Ltd **</t>
  </si>
  <si>
    <t>Globsyn Technologies Ltd **</t>
  </si>
  <si>
    <t>Franklin India Focused Equity Fund ^</t>
  </si>
  <si>
    <t>^ Effective June 4, 2018, Franklin India High Growth Companies Fund was renamed as Franklin India Focused Equity Fund.</t>
  </si>
  <si>
    <t>Franklin India Equity Fund ^</t>
  </si>
  <si>
    <t>Quantum Information Systems **</t>
  </si>
  <si>
    <t>^ Effective June 4, 2018, Franklin India Prima Plus was renamed as Franklin India Equity Fund.</t>
  </si>
  <si>
    <t>Franklin India Equity Advantage Fund ^</t>
  </si>
  <si>
    <t>^ Effective June 4, 2018, Franklin India Flexi Cap Fund was renamed as Franklin India Equity Advantage Fund.</t>
  </si>
  <si>
    <t>Franklin India Feeder - Templeton European Opportunities Fund ^</t>
  </si>
  <si>
    <t>^ Franklin India Feeder - Franklin European Growth Fund is renamed as Franklin India Feeder - Templeton European Opportunities Fund effective Aug 18, 2020.</t>
  </si>
  <si>
    <t>^^ Securities are fair Valued</t>
  </si>
  <si>
    <t>Franklin India Dynamic Asset Allocation Fund Of Funds ^</t>
  </si>
  <si>
    <t>^ Effective October 21, 2019, scheme name of Franklin India Dynamic PE Ratio Fund of Funds was changed to Franklin India Dynamic Asset Allocation Fund of Funds.</t>
  </si>
  <si>
    <t>^ Effective June 4, 2018,  Franklin India Income Builder Account was renamed as Franklin India Corporate Debt Fund.</t>
  </si>
  <si>
    <t>Franklin India Corporate Debt Fund Direct-Growth Plan ^</t>
  </si>
  <si>
    <t>Templeton India Value Fund Direct-Growth Plan ^</t>
  </si>
  <si>
    <t>^ Effective June 4, 2018, Franklin India Income Builder Account was renamed as Franklin India Corporate Debt Fund.</t>
  </si>
  <si>
    <t>^ Effective June 4, 2018, Franklin India Savings Plus Fund was renamed as Franklin India Savings Fund.</t>
  </si>
  <si>
    <t>Franklin India Savings Fund Direct-Growth Plan ^</t>
  </si>
  <si>
    <t>Yes Bank Ltd ^^</t>
  </si>
  <si>
    <t>^ Effective June 4, 2018 Franklin India Balanced Fund was renamed as Franklin India Equity Hybrid Fund.</t>
  </si>
  <si>
    <t>^ Effective June 4, 2018, Franklin India Treasury Management Account  was renamed as Franklin India Liquid Fund.</t>
  </si>
  <si>
    <t>Franklin India Corporate Debt Fund ^</t>
  </si>
  <si>
    <t>https://www.franklintempletonindia.com/downloadsServlet/pdf/franklin-templeton-update-on-reliance-broadcast-july-23-2020-kcg9m1gq</t>
  </si>
  <si>
    <t>https://www.franklintempletonindia.com/investor/reports?firstFilter-4</t>
  </si>
  <si>
    <t>https://www.franklintempletonindia.com/downloadsServlet/pdf/franklin-templeton-update-on-future-group-july-31-2020-kd193hq1</t>
  </si>
  <si>
    <t>https://www.franklintempletonindia.com/downloadsServlet/pdf/franklin-templeton-update-on-future-group-aug-31-2020-kegstinm</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</si>
  <si>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</si>
  <si>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b) During the month additional instances of fair valuation/deviation from valuation price provided by the valuation agencies </t>
  </si>
  <si>
    <t>^ Effective June 4, 2018, Franklin India Corporate Bond Opportunities Fund  was renamed as Franklin India Credit Risk Fund.</t>
  </si>
  <si>
    <t>Franklin India Floating Rate Fund ^</t>
  </si>
  <si>
    <t>MIBOR - Mumbai Interbank Offered Rate</t>
  </si>
  <si>
    <t>^ Effective June 4, 2018, Franklin India Cash Management Account was renamed as Franklin India Floating Rate Fund.</t>
  </si>
  <si>
    <t>Franklin India Government Securities Fund ^</t>
  </si>
  <si>
    <t>^ Effective June 4, 2018, Franklin India Government Securities Fund – Long Term Plan was renamed as Franklin India Government Securities Fund.</t>
  </si>
  <si>
    <t>e) @@@ On July 31, 2020, coupons/ part payments were due to be paid by Nufuture Digital (India) Ltd. and Future Ideas Co Ltd. and on August 31, 2020 by Rivaaz Trade Ventures Pvt. Ltd. However, these issuers were unable to meet their payment obligations. Due to default in payment, the securities of these issuers are valued at zero basis the AMFI standard haircut matrix. This amount only reflects the realizable value as on the date of disclosure and does not indicate any reduction or write-off of the amount repayable by the issuers. For more details kindly refer to the note for July 31, 2020 and note for August 31, 2020 on our website.</t>
  </si>
  <si>
    <t>f)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</si>
  <si>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Plan closed effective 19 June 2020</t>
  </si>
  <si>
    <t>Franklin India Savings Fund ^</t>
  </si>
  <si>
    <t>^ Effective June 4, 2018, Franklin India Savings Plus Fund  was renamed as Franklin India Savings Fund.</t>
  </si>
  <si>
    <t xml:space="preserve">      Institutional Plan Dividend Option !</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</si>
  <si>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</si>
  <si>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      Institutional Plan Growth Option !</t>
  </si>
  <si>
    <t xml:space="preserve">      Retail Plan Growth Option !</t>
  </si>
  <si>
    <t xml:space="preserve">      Retail Plan Daily Dividend Option !</t>
  </si>
  <si>
    <t xml:space="preserve">      Retail Plan Weekly Dividend Option !</t>
  </si>
  <si>
    <t xml:space="preserve">      Institutional Plan Daily Dividend Option !</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</si>
  <si>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</si>
  <si>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Mediatek Inc</t>
  </si>
  <si>
    <t>Salesforce.Com Inc</t>
  </si>
  <si>
    <t>Intel Corp</t>
  </si>
  <si>
    <t>Unilever PLC (ADR)</t>
  </si>
  <si>
    <t>Medy-Tox Inc</t>
  </si>
  <si>
    <t>7.27% GOI 2026 (08-Apr-2026) ^^</t>
  </si>
  <si>
    <t>Engineering Services</t>
  </si>
  <si>
    <t>Rs.3,526.96 Lacs</t>
  </si>
  <si>
    <t>Computer Age Management Services Ltd ##</t>
  </si>
  <si>
    <t>https://www.franklintempletonindia.com/downloadsServlet/pdf/franklin-templeton-update-on-essel-infraproject-september-18-2020-kf3gzax7</t>
  </si>
  <si>
    <t>11.80% Tata Steel Ltd (18-Mar-2021) **</t>
  </si>
  <si>
    <t>11.40% Tata Power Co Ltd (02-Jun-2021) **</t>
  </si>
  <si>
    <t>Mutual Fund Units / ETF</t>
  </si>
  <si>
    <t>Name of Securities in default beyond its maturity as on September 30, 2020</t>
  </si>
  <si>
    <t>% to AUM on September 30, 2020</t>
  </si>
  <si>
    <t>INE080T07086</t>
  </si>
  <si>
    <t>INE946S07098</t>
  </si>
  <si>
    <t>INE498F07071</t>
  </si>
  <si>
    <t>e) Disclosure with reference to SEBI circular number SEBI/HO/IMD/DF4/CIR/P/2019/102, dated September 24, 2019, is as given below:</t>
  </si>
  <si>
    <t>Below given securities were in default beyond its maturity date and its values as on September 30, 2020:</t>
  </si>
  <si>
    <t>Aarti Surfactants Ltd</t>
  </si>
  <si>
    <t>MIBOR - ( Mumbai Interbank Offered Rate )</t>
  </si>
  <si>
    <t>Indian Oil Corporation Ltd (12-Oct-2020)**@</t>
  </si>
  <si>
    <t>Bharat Petroleum Corporation Ltd (26-Oct-2020)**@</t>
  </si>
  <si>
    <t>JM Financial Properties And Holdings Ltd (09-Oct-2020)**@</t>
  </si>
  <si>
    <t>ICICI Securities Ltd (06-Nov-2020)**@</t>
  </si>
  <si>
    <t xml:space="preserve">      Regular Plan Daily Dividend Reinvestment Option   !</t>
  </si>
  <si>
    <t xml:space="preserve">      Regular Plan Weekly Dividend Option   !</t>
  </si>
  <si>
    <t xml:space="preserve">      Institutional Plan Daily Dividend Reinvestment Option   !</t>
  </si>
  <si>
    <t xml:space="preserve">      Institutional Plan Weekly Dividend Option   !</t>
  </si>
  <si>
    <t>12.75% Renew Power Pvt Ltd (26-Feb-2021) **</t>
  </si>
  <si>
    <t>13.55% Nufuture Digital (India) Ltd (31-Dec-2023) $$ @@@ **</t>
  </si>
  <si>
    <t>13.55% Nufuture Digital (India) Ltd (31-Dec-2022) $$ @@@ **</t>
  </si>
  <si>
    <t>12.65% Rivaaz Trade Ventures Pvt Ltd (07-Nov-2020) $$ @@@**</t>
  </si>
  <si>
    <t>12.65% Rivaaz Trade Ventures Pvt Ltd (07-Nov-2020) $$ @@@ **</t>
  </si>
  <si>
    <t>13.55% Nufuture Digital (India) Ltd (31-Dec-2021) $$ @@@ **</t>
  </si>
  <si>
    <t>13.55% Nufuture Digital (India) Ltd (31-Dec-2020) $$ @@@ **</t>
  </si>
  <si>
    <t>10.21% Five-Star Business Finance Ltd Series B (28-Mar-2023) **</t>
  </si>
  <si>
    <t>10.21% Five-Star Business Finance Ltd Series D (28-Mar-2023) **</t>
  </si>
  <si>
    <t>10.21% Five-Star Business Finance Ltd Series C (28-Mar-2023) **</t>
  </si>
  <si>
    <t>10.21% Five-Star Business Finance Ltd Series A (28-Mar-2023) **</t>
  </si>
  <si>
    <t>9.95% Vastu Housing Finance Corporation Ltd Series A (27-Feb-2025) **</t>
  </si>
  <si>
    <t>9.95% Vastu Housing Finance Corporation Ltd Series C (27-Feb-2025) **</t>
  </si>
  <si>
    <t>9.95% Vastu Housing Finance Corporation Ltd Series D (27-Feb-2025) **</t>
  </si>
  <si>
    <t>10.40% Vastu Housing Finance Corporation Ltd Series D (27-Nov-2025) **</t>
  </si>
  <si>
    <t>10.40% Vastu Housing Finance Corporation Ltd Series C (27-Nov-2025) **</t>
  </si>
  <si>
    <t>Aditya Birla Fashion and Retail Ltd – Partly Paid</t>
  </si>
  <si>
    <t>## Awaiting Listing</t>
  </si>
  <si>
    <t>Total Amount outstanding (Incl. Principal &amp; Interest) as on September 30, 2020 (Rs In Lakhs)</t>
  </si>
  <si>
    <t>g) @@@ Coupons/ part payments/ maturity payments were due to be paid by Nufuture Digital (India) Ltd. &amp; Future Ideas Co Ltd. on July 31, 2020, by Rivaaz Trade Ventures Pvt. Ltd on August 31, 2020, by Nufuture Digital (India) Ltd on September 02, 2020 and by Rivaaz Trade Ventures Pvt. Ltd &amp; Future Ideas Co Ltd on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 For more details kindly refer to the note for July 31, 2020 and note for August 31, 2020 on our website.</t>
  </si>
  <si>
    <t>INE498F07063</t>
  </si>
  <si>
    <t>g) @@@ Coupons/ part payments/ maturity payments were due to be paid by Nufuture Digital (India) Ltd. &amp; Future Ideas Co Ltd. on July 31, 2020, by Rivaaz Trade Ventures Pvt. Ltd on August 31, 2020, by Nufuture Digital (India) Ltd on September 02, 2020 and by Future Ideas Co. Ltd on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 For more details kindly refer to the note for July 31, 2020 and note for August 31, 2020 on our website.</t>
  </si>
  <si>
    <t>INE445K07106</t>
  </si>
  <si>
    <t>9.50% Reliance Broadcast Network Ltd (20-Jul-2020)</t>
  </si>
  <si>
    <t>g) For ISIN INE445K07106 - 9.50% Reliance Broadcast Network Ltd (20-Jul-2020), the amount due at maturity was not received. For further details refer below link</t>
  </si>
  <si>
    <t>h) @@@ Coupons/ part payments/ maturity payments were due to be paid by Nufuture Digital (India) Ltd. &amp; Future Ideas Co Ltd. on July 31, 2020, by Rivaaz Trade Ventures Pvt. Ltd on August 31, 2020, by Nufuture Digital (India) Ltd on September 02, 2020 and by Rivaaz Trade Ventures Pvt. Ltd and Nufuture Digital (India) Ltd on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 For more details kindly refer to the note for July 31, 2020 and note for August 31, 2020 on our website.</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</si>
  <si>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</si>
  <si>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Medy-Tox Inc -Rights Entitlements</t>
  </si>
  <si>
    <t>d) *** Total value and percentage of illiquid securities is Rs.0.02 Lakh and 0.00001% of net 
assets.</t>
  </si>
  <si>
    <t>!!! Default for part redemption and interest</t>
  </si>
  <si>
    <t>d) *** Total value and percentage of illiquid securities is Rs.0.00 Lakh and less than 0.000001% of net assets.</t>
  </si>
  <si>
    <t>d) ^^ Total value and percentage of illiquid securities is Rs.0.00 Lakh and less than 0.00% of net assets.</t>
  </si>
  <si>
    <t>d) *** Total value and percentage of illiquid securities is Rs.0.07 Lakh and 0.0001% of net assets.</t>
  </si>
  <si>
    <t>d) *** Total value and percentage of illiquid securities is Rs.0.00 Lakh and 0.0000001% of net assets.</t>
  </si>
  <si>
    <t>d) *** Total value and percentage of illiquid securities is Rs.0.10 Lakh and 0.0004% of net assets.</t>
  </si>
  <si>
    <t>e) *** Total value and percentage of illiquid securities is Rs 0.03 Lakh and 0.00001% of net assets.</t>
  </si>
  <si>
    <t>For further details refer below link</t>
  </si>
  <si>
    <t>0.00% Essel Infraprojects Ltd Series II (22-May-2020) (refer note f)</t>
  </si>
  <si>
    <t>12.90% Nufuture Digital (India) Ltd (02-Sep-2020) (refer note g)</t>
  </si>
  <si>
    <t>12.65% Rivaaz Trade Ventures Pvt Ltd (07-Nov-2020) !!! (refer note g)</t>
  </si>
  <si>
    <t>13.50% Future Ideas Co Ltd (30-Sep-2020) (refer note g)</t>
  </si>
  <si>
    <t>0.00% Essel Infraprojects Ltd Series I (22-May-2020) (refer note f)</t>
  </si>
  <si>
    <t>9.50% Reliance Broadcast Network Ltd (20-Jul-2020) (refer note g)</t>
  </si>
  <si>
    <t>12.90% Nufuture Digital (India) Ltd (02-Sep-2020) (refer note h)</t>
  </si>
  <si>
    <t>14.15% Future Ideas Co Ltd (31-Jan-2021) !!! (refer note h)</t>
  </si>
  <si>
    <t>13.55% Nufuture Digital (India) Ltd (31-Dec-2020) !!! (refer note h)</t>
  </si>
  <si>
    <t>12.65% Rivaaz Trade Ventures Pvt Ltd (07-Nov-2020) !!! (refer note h)</t>
  </si>
  <si>
    <t>Listed / awaiting listing on Stock Exchanges</t>
  </si>
  <si>
    <t>^^19.04% of the Investment in this security by FTMF is placed with Clearing Corporation of India Limited (CCIL) as collateral.</t>
  </si>
  <si>
    <t xml:space="preserve"> ! The sale of units in the main portfolio has been suspended effective October 1, 2012.</t>
  </si>
  <si>
    <t>^^ Securities are fair valued. This amount only reflects the realizable value as on the date of disclosure and does not indicate any reduction or write-off of the amount repayable by the issuers.</t>
  </si>
  <si>
    <t>f) Essel Infra Projects Ltd - Further to the favorable decision from the Delhi High Court, the Debenture Trustees have sold the entire shares of Zee Entertainment Enterprises Ltd. and recovered Rs. 9,234.61 Lakhs (across the 4 schemes) which is slightly higher that the value at which the Essel Infraprojects NCDs were valued in these schemes as on the maturity date of the securities i.e. May 22, 2020. We will continue our efforts to recover the maximum value for the benefit of the unitholders. Recovery made by Franklin India Credit Risk Fund is 1,552.26 Lakhs. For further details refer below link</t>
  </si>
  <si>
    <t>f) Essel Infra Projects Ltd - Further to the favorable decision from the Delhi High Court, the Debenture Trustees have sold the entire shares of Zee Entertainment Enterprises Ltd. and recovered Rs. 9,234.61 Lakhs (across the 4 schemes) which is slightly higher that the value at which the Essel Infraprojects NCDs were valued in these schemes as on the maturity date of the securities i.e. May 22, 2020. We will continue our efforts to recover the maximum value for the benefit of the unitholders. Recovery made by Franklin India Short Term Income Plan is 2,927.76 Lakhs. For further details refer below link</t>
  </si>
  <si>
    <t>f) Essel Infra Projects Ltd - Further to the favorable decision from the Delhi High Court, the Debenture Trustees have sold the entire shares of Zee Entertainment Enterprises Ltd. and recovered Rs. 9,234.61 Lakhs (across the 4 schemes) which is slightly higher that the value at which the Essel Infraprojects NCDs were valued in these schemes as on the maturity date of the securities i.e. May 22, 2020. We will continue our efforts to recover the maximum value for the benefit of the unitholders. Recovery made by Franklin India Low Duration Fund is 4,387.74 Lakhs. For further details refer below link</t>
  </si>
  <si>
    <t>f) Essel Infra Projects Ltd - Further to the favorable decision from the Delhi High Court, the Debenture Trustees have sold the entire shares of Zee Entertainment Enterprises Ltd. and recovered Rs. 9,234.61 Lakhs (across the 4 schemes) which is slightly higher that the value at which the Essel Infraprojects NCDs were valued in these schemes as on the maturity date of the securities i.e. May 22, 2020. We will continue our efforts to recover the maximum value for the benefit of the unitholders. Recovery made by Franklin India Dynamic Accrual Fund is 366.55 Lakhs. For further details refer below link</t>
  </si>
  <si>
    <t>Value of the security considered under net receivables as on September 30, 2020 (Rs In Lakhs) ~~~</t>
  </si>
  <si>
    <t>~~~ This amount only reflects the realizable value as on the date of disclosure/ date of maturity and does not indicate any reduction or write-off of the amount repayable by the issuers</t>
  </si>
  <si>
    <t>+++ Dividend payouts/ re-investments are subject to deduction of TDS at the applicable rates</t>
  </si>
  <si>
    <r>
      <t>Dividend per unit (Rs.)</t>
    </r>
    <r>
      <rPr>
        <b/>
        <vertAlign val="superscript"/>
        <sz val="8"/>
        <color theme="1"/>
        <rFont val="Arial"/>
        <family val="2"/>
      </rPr>
      <t>+++</t>
    </r>
  </si>
  <si>
    <t>'+++ Dividend payouts/ re-investments are subject to deduction of TDS at the applicable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</si>
</sst>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
    <numFmt numFmtId="166" formatCode="#,##0.000"/>
  </numFmts>
  <fonts count="14"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b/>
      <sz val="9"/>
      <color theme="1"/>
      <name val="Arial"/>
      <family val="2"/>
    </font>
    <font>
      <u/>
      <sz val="11"/>
      <color theme="10"/>
      <name val="Calibri"/>
      <family val="2"/>
      <scheme val="minor"/>
    </font>
    <font>
      <sz val="8"/>
      <name val="Arial"/>
      <family val="2"/>
    </font>
    <font>
      <sz val="11"/>
      <color theme="1"/>
      <name val="Calibri"/>
      <family val="2"/>
      <scheme val="minor"/>
    </font>
    <font>
      <u/>
      <sz val="8"/>
      <color theme="10"/>
      <name val="Arial"/>
      <family val="2"/>
    </font>
    <font>
      <b/>
      <vertAlign val="superscript"/>
      <sz val="8"/>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9" fillId="0" borderId="0" applyNumberFormat="0" applyFill="0" applyBorder="0" applyAlignment="0" applyProtection="0"/>
    <xf numFmtId="9" fontId="11" fillId="0" borderId="0" applyFont="0" applyFill="0" applyBorder="0" applyAlignment="0" applyProtection="0"/>
  </cellStyleXfs>
  <cellXfs count="107">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2" fontId="6" fillId="0" borderId="1" xfId="0" applyNumberFormat="1"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0" fontId="6" fillId="0" borderId="1" xfId="0" applyNumberFormat="1" applyFont="1" applyBorder="1" applyAlignment="1">
      <alignment vertical="center"/>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8" fillId="2" borderId="0" xfId="0" applyFont="1" applyFill="1"/>
    <xf numFmtId="0" fontId="6" fillId="2" borderId="1" xfId="0" applyFont="1" applyFill="1" applyBorder="1" applyAlignment="1">
      <alignment horizontal="right"/>
    </xf>
    <xf numFmtId="0" fontId="6" fillId="2" borderId="1" xfId="0" applyNumberFormat="1" applyFont="1" applyFill="1" applyBorder="1" applyAlignment="1">
      <alignment horizontal="right"/>
    </xf>
    <xf numFmtId="164" fontId="7" fillId="2" borderId="1" xfId="0" applyNumberFormat="1" applyFont="1" applyFill="1" applyBorder="1"/>
    <xf numFmtId="0" fontId="9" fillId="2" borderId="0" xfId="1" applyFill="1"/>
    <xf numFmtId="165" fontId="7" fillId="2" borderId="0" xfId="0" applyNumberFormat="1" applyFont="1" applyFill="1"/>
    <xf numFmtId="0" fontId="6" fillId="0" borderId="1" xfId="0" applyNumberFormat="1" applyFont="1" applyBorder="1" applyAlignment="1">
      <alignment horizontal="center" vertical="center"/>
    </xf>
    <xf numFmtId="2" fontId="6" fillId="0" borderId="1" xfId="0" applyNumberFormat="1" applyFont="1" applyBorder="1" applyAlignment="1">
      <alignment horizontal="center" vertical="center"/>
    </xf>
    <xf numFmtId="4" fontId="7" fillId="3" borderId="4" xfId="0" applyNumberFormat="1" applyFont="1" applyFill="1" applyBorder="1"/>
    <xf numFmtId="4" fontId="6" fillId="2" borderId="4" xfId="0" applyNumberFormat="1" applyFont="1" applyFill="1" applyBorder="1"/>
    <xf numFmtId="4" fontId="6" fillId="3" borderId="4" xfId="0" applyNumberFormat="1" applyFont="1" applyFill="1" applyBorder="1"/>
    <xf numFmtId="4" fontId="7" fillId="2" borderId="4" xfId="0" applyNumberFormat="1" applyFont="1" applyFill="1" applyBorder="1"/>
    <xf numFmtId="4" fontId="6" fillId="2" borderId="5" xfId="0" applyNumberFormat="1" applyFont="1" applyFill="1" applyBorder="1"/>
    <xf numFmtId="4" fontId="6" fillId="3" borderId="5" xfId="0" applyNumberFormat="1" applyFont="1" applyFill="1" applyBorder="1"/>
    <xf numFmtId="39" fontId="6" fillId="3" borderId="0" xfId="0" applyNumberFormat="1" applyFont="1" applyFill="1" applyBorder="1" applyAlignment="1">
      <alignment horizontal="right"/>
    </xf>
    <xf numFmtId="164" fontId="7" fillId="3" borderId="0" xfId="0" applyNumberFormat="1" applyFont="1" applyFill="1" applyAlignment="1">
      <alignment horizontal="right"/>
    </xf>
    <xf numFmtId="0" fontId="7" fillId="3" borderId="0" xfId="0" applyFont="1" applyFill="1"/>
    <xf numFmtId="0" fontId="6" fillId="3" borderId="0" xfId="0" applyFont="1" applyFill="1"/>
    <xf numFmtId="2" fontId="6" fillId="0" borderId="1" xfId="0" applyNumberFormat="1" applyFont="1" applyBorder="1" applyAlignment="1">
      <alignment horizontal="center" vertical="center" wrapText="1"/>
    </xf>
    <xf numFmtId="0" fontId="7" fillId="2" borderId="4" xfId="0" applyFont="1" applyFill="1" applyBorder="1" applyAlignment="1">
      <alignment wrapText="1"/>
    </xf>
    <xf numFmtId="39" fontId="6" fillId="0" borderId="4" xfId="0" applyNumberFormat="1" applyFont="1" applyFill="1" applyBorder="1"/>
    <xf numFmtId="166" fontId="7" fillId="2" borderId="0" xfId="0" applyNumberFormat="1" applyFont="1" applyFill="1"/>
    <xf numFmtId="0" fontId="7" fillId="2" borderId="0" xfId="0" applyFont="1" applyFill="1" applyBorder="1"/>
    <xf numFmtId="0" fontId="9" fillId="0" borderId="0" xfId="1" applyAlignment="1">
      <alignment vertical="center"/>
    </xf>
    <xf numFmtId="0" fontId="6" fillId="2" borderId="0" xfId="0" applyFont="1" applyFill="1" applyAlignment="1">
      <alignment horizontal="left" wrapText="1"/>
    </xf>
    <xf numFmtId="0" fontId="6" fillId="3" borderId="0" xfId="0" quotePrefix="1" applyFont="1" applyFill="1"/>
    <xf numFmtId="0" fontId="7" fillId="3" borderId="0" xfId="0" applyNumberFormat="1" applyFont="1" applyFill="1"/>
    <xf numFmtId="39" fontId="7" fillId="3" borderId="0" xfId="0" applyNumberFormat="1" applyFont="1" applyFill="1"/>
    <xf numFmtId="0" fontId="6" fillId="2" borderId="0" xfId="0" applyFont="1" applyFill="1" applyAlignment="1">
      <alignment horizontal="left" vertical="top" wrapText="1"/>
    </xf>
    <xf numFmtId="0" fontId="6" fillId="2" borderId="0" xfId="0" applyFont="1" applyFill="1" applyAlignment="1"/>
    <xf numFmtId="164" fontId="7" fillId="2" borderId="0" xfId="0" applyNumberFormat="1" applyFont="1" applyFill="1" applyAlignment="1">
      <alignment horizontal="right"/>
    </xf>
    <xf numFmtId="0" fontId="7" fillId="3" borderId="4" xfId="0" applyFont="1" applyFill="1" applyBorder="1"/>
    <xf numFmtId="0" fontId="7" fillId="3" borderId="0" xfId="0" applyFont="1" applyFill="1" applyBorder="1"/>
    <xf numFmtId="0" fontId="10" fillId="3" borderId="0" xfId="0" applyFont="1" applyFill="1" applyAlignment="1">
      <alignment horizontal="right"/>
    </xf>
    <xf numFmtId="0" fontId="6" fillId="2" borderId="0" xfId="0" applyFont="1" applyFill="1" applyAlignment="1">
      <alignment horizontal="left" vertical="top" wrapText="1"/>
    </xf>
    <xf numFmtId="0" fontId="6" fillId="2" borderId="0" xfId="0" applyFont="1" applyFill="1" applyAlignment="1">
      <alignment horizontal="justify" vertical="top" wrapText="1"/>
    </xf>
    <xf numFmtId="0" fontId="6" fillId="2" borderId="0" xfId="0" applyFont="1" applyFill="1" applyBorder="1"/>
    <xf numFmtId="0" fontId="6" fillId="2" borderId="0" xfId="0" applyNumberFormat="1" applyFont="1" applyFill="1" applyBorder="1"/>
    <xf numFmtId="39" fontId="6" fillId="2" borderId="0" xfId="0" applyNumberFormat="1" applyFont="1" applyFill="1" applyBorder="1"/>
    <xf numFmtId="0" fontId="7" fillId="0" borderId="1" xfId="0" applyFont="1" applyFill="1" applyBorder="1"/>
    <xf numFmtId="4" fontId="7" fillId="0" borderId="1" xfId="0" applyNumberFormat="1" applyFont="1" applyFill="1" applyBorder="1"/>
    <xf numFmtId="10" fontId="7" fillId="0" borderId="1" xfId="2" applyNumberFormat="1" applyFont="1" applyFill="1" applyBorder="1"/>
    <xf numFmtId="0" fontId="6" fillId="2" borderId="0" xfId="0" quotePrefix="1" applyFont="1" applyFill="1" applyAlignment="1">
      <alignment horizontal="justify" vertical="top" wrapText="1"/>
    </xf>
    <xf numFmtId="0" fontId="6" fillId="0" borderId="1" xfId="0" applyFont="1" applyBorder="1" applyAlignment="1">
      <alignment vertical="center" wrapText="1"/>
    </xf>
    <xf numFmtId="0" fontId="12" fillId="2" borderId="0" xfId="1" applyFont="1" applyFill="1" applyAlignment="1"/>
    <xf numFmtId="0" fontId="12" fillId="2" borderId="0" xfId="1" applyFont="1" applyFill="1"/>
    <xf numFmtId="0" fontId="12" fillId="0" borderId="0" xfId="1" applyFont="1" applyAlignment="1">
      <alignment vertical="center"/>
    </xf>
    <xf numFmtId="0" fontId="12" fillId="3" borderId="0" xfId="1" applyFont="1" applyFill="1"/>
    <xf numFmtId="0" fontId="7" fillId="2" borderId="0" xfId="0" quotePrefix="1" applyFont="1" applyFill="1"/>
    <xf numFmtId="0" fontId="7" fillId="0" borderId="0" xfId="0" applyFont="1" applyFill="1" applyBorder="1"/>
    <xf numFmtId="4" fontId="7" fillId="0" borderId="0" xfId="0" applyNumberFormat="1" applyFont="1" applyFill="1" applyBorder="1"/>
    <xf numFmtId="10" fontId="7" fillId="0" borderId="0" xfId="2" applyNumberFormat="1" applyFont="1" applyFill="1" applyBorder="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applyAlignment="1">
      <alignment horizontal="center"/>
    </xf>
    <xf numFmtId="0" fontId="6" fillId="2" borderId="7" xfId="0" applyFont="1" applyFill="1" applyBorder="1" applyAlignment="1">
      <alignment horizontal="center"/>
    </xf>
    <xf numFmtId="0" fontId="6" fillId="2" borderId="6" xfId="0" applyFont="1" applyFill="1" applyBorder="1"/>
    <xf numFmtId="0" fontId="6" fillId="2" borderId="7" xfId="0" applyFont="1" applyFill="1" applyBorder="1"/>
    <xf numFmtId="0" fontId="6" fillId="2" borderId="0" xfId="0" quotePrefix="1" applyFont="1" applyFill="1" applyAlignment="1">
      <alignment horizontal="justify" vertical="top" wrapText="1"/>
    </xf>
    <xf numFmtId="0" fontId="6" fillId="2" borderId="0" xfId="0" applyFont="1" applyFill="1" applyAlignment="1">
      <alignment horizontal="left" vertical="top" wrapText="1"/>
    </xf>
    <xf numFmtId="0" fontId="12" fillId="0" borderId="0" xfId="1" quotePrefix="1" applyFont="1" applyFill="1" applyAlignment="1">
      <alignment horizontal="left" vertical="top" wrapText="1"/>
    </xf>
    <xf numFmtId="0" fontId="6" fillId="2" borderId="0" xfId="0" applyFont="1" applyFill="1" applyAlignment="1">
      <alignment horizontal="justify" vertical="top" wrapText="1"/>
    </xf>
    <xf numFmtId="0" fontId="6" fillId="2" borderId="0" xfId="0" applyFont="1" applyFill="1" applyAlignment="1">
      <alignment horizontal="left" wrapText="1"/>
    </xf>
  </cellXfs>
  <cellStyles count="3">
    <cellStyle name="Hyperlink" xfId="1" builtinId="8"/>
    <cellStyle name="Normal" xfId="0" builtinId="0"/>
    <cellStyle name="Percent" xfId="2" builtinId="5"/>
  </cellStyles>
  <dxfs count="107">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7" Type="http://schemas.openxmlformats.org/officeDocument/2006/relationships/printerSettings" Target="../printerSettings/printerSettings8.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downloadsServlet/pdf/franklin-templeton-update-on-essel-infraproject-september-18-2020-kf3gzax7" TargetMode="External"/><Relationship Id="rId5" Type="http://schemas.openxmlformats.org/officeDocument/2006/relationships/hyperlink" Target="https://www.franklintempletonindia.com/downloadsServlet/pdf/franklin-templeton-update-on-future-group-aug-31-2020-kegstinm" TargetMode="External"/><Relationship Id="rId4" Type="http://schemas.openxmlformats.org/officeDocument/2006/relationships/hyperlink" Target="https://www.franklintempletonindia.com/downloadsServlet/pdf/franklin-templeton-update-on-future-group-july-31-2020-kd193hq1"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franklintempletonindia.com/downloadsServlet/pdf/franklin-templeton-update-on-essel-infraproject-september-18-2020-kf3gzax7" TargetMode="External"/><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investor/reports?firstFilter-4" TargetMode="Externa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11.bin"/><Relationship Id="rId3" Type="http://schemas.openxmlformats.org/officeDocument/2006/relationships/hyperlink" Target="https://www.franklintempletonindia.com/downloadsServlet/pdf/franklin-templeton-update-on-reliance-broadcast-july-23-2020-kcg9m1gq" TargetMode="External"/><Relationship Id="rId7" Type="http://schemas.openxmlformats.org/officeDocument/2006/relationships/hyperlink" Target="https://www.franklintempletonindia.com/downloadsServlet/pdf/franklin-templeton-update-on-future-group-aug-31-2020-kegstinm" TargetMode="External"/><Relationship Id="rId2" Type="http://schemas.openxmlformats.org/officeDocument/2006/relationships/hyperlink" Target="https://www.franklintempletonindia.com/downloadsServlet/pdf/franklin-templeton-update-on-essel-infraproject-september-18-2020-kf3gzax7"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downloadsServlet/pdf/franklin-templeton-update-on-future-group-july-31-2020-kd193hq1" TargetMode="External"/><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investor/reports?firstFilter-4"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franklintempletonindia.com/downloadsServlet/pdf/franklin-templeton-update-on-future-group-july-31-2020-kd193hq1" TargetMode="External"/><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investor/reports?firstFilter-4" TargetMode="External"/><Relationship Id="rId5" Type="http://schemas.openxmlformats.org/officeDocument/2006/relationships/printerSettings" Target="../printerSettings/printerSettings12.bin"/><Relationship Id="rId4" Type="http://schemas.openxmlformats.org/officeDocument/2006/relationships/hyperlink" Target="https://www.franklintempletonindia.com/downloadsServlet/pdf/franklin-templeton-update-on-future-group-aug-31-2020-kegstinm"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7" Type="http://schemas.openxmlformats.org/officeDocument/2006/relationships/printerSettings" Target="../printerSettings/printerSettings13.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downloadsServlet/pdf/franklin-templeton-update-on-essel-infraproject-september-18-2020-kf3gzax7" TargetMode="External"/><Relationship Id="rId5" Type="http://schemas.openxmlformats.org/officeDocument/2006/relationships/hyperlink" Target="https://www.franklintempletonindia.com/downloadsServlet/pdf/franklin-templeton-update-on-future-group-aug-31-2020-kegstinm" TargetMode="External"/><Relationship Id="rId4" Type="http://schemas.openxmlformats.org/officeDocument/2006/relationships/hyperlink" Target="https://www.franklintempletonindia.com/downloadsServlet/pdf/franklin-templeton-update-on-future-group-july-31-2020-kd193hq1"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www.franklintempletonindia.com/investor/reports?firstFilter-4"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6"/>
  <sheetViews>
    <sheetView tabSelected="1"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0.81640625"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9" s="1" customFormat="1" ht="14" x14ac:dyDescent="0.25">
      <c r="A1" s="96" t="s">
        <v>1500</v>
      </c>
      <c r="B1" s="97"/>
      <c r="C1" s="97"/>
      <c r="D1" s="97"/>
      <c r="E1" s="97"/>
      <c r="F1" s="97"/>
    </row>
    <row r="2" spans="1:9" s="1" customFormat="1" ht="11.5" x14ac:dyDescent="0.25">
      <c r="D2" s="6"/>
      <c r="E2" s="7"/>
      <c r="F2" s="14"/>
    </row>
    <row r="3" spans="1:9" s="1" customFormat="1" ht="11.5" x14ac:dyDescent="0.25">
      <c r="A3" s="12" t="s">
        <v>6</v>
      </c>
      <c r="B3" s="2"/>
      <c r="C3" s="3"/>
      <c r="D3" s="4"/>
      <c r="E3" s="5"/>
      <c r="F3" s="14"/>
    </row>
    <row r="4" spans="1:9" s="1" customFormat="1" ht="17.5" customHeight="1" x14ac:dyDescent="0.25">
      <c r="A4" s="8" t="s">
        <v>2</v>
      </c>
      <c r="B4" s="8" t="s">
        <v>0</v>
      </c>
      <c r="C4" s="8" t="s">
        <v>169</v>
      </c>
      <c r="D4" s="48" t="s">
        <v>1</v>
      </c>
      <c r="E4" s="9" t="s">
        <v>3</v>
      </c>
      <c r="F4" s="9" t="s">
        <v>4</v>
      </c>
    </row>
    <row r="5" spans="1:9" ht="10.5" x14ac:dyDescent="0.25">
      <c r="A5" s="20" t="s">
        <v>56</v>
      </c>
      <c r="B5" s="21"/>
      <c r="C5" s="21"/>
      <c r="D5" s="22"/>
      <c r="E5" s="23"/>
      <c r="F5" s="24"/>
    </row>
    <row r="6" spans="1:9" ht="10.5" x14ac:dyDescent="0.25">
      <c r="A6" s="25" t="s">
        <v>1647</v>
      </c>
      <c r="B6" s="26"/>
      <c r="C6" s="26"/>
      <c r="D6" s="27"/>
      <c r="E6" s="28"/>
      <c r="F6" s="29"/>
    </row>
    <row r="7" spans="1:9" x14ac:dyDescent="0.2">
      <c r="A7" s="26" t="s">
        <v>681</v>
      </c>
      <c r="B7" s="26" t="s">
        <v>680</v>
      </c>
      <c r="C7" s="26" t="s">
        <v>152</v>
      </c>
      <c r="D7" s="30">
        <v>1250</v>
      </c>
      <c r="E7" s="28">
        <v>12523.375</v>
      </c>
      <c r="F7" s="29">
        <v>5.87316519677697</v>
      </c>
    </row>
    <row r="8" spans="1:9" ht="10.5" x14ac:dyDescent="0.25">
      <c r="A8" s="25" t="s">
        <v>153</v>
      </c>
      <c r="B8" s="25"/>
      <c r="C8" s="25"/>
      <c r="D8" s="31"/>
      <c r="E8" s="32">
        <f>SUM(E6:E7)</f>
        <v>12523.375</v>
      </c>
      <c r="F8" s="33">
        <f>SUM(F6:F7)</f>
        <v>5.87316519677697</v>
      </c>
      <c r="G8" s="17"/>
      <c r="H8" s="17"/>
      <c r="I8" s="17"/>
    </row>
    <row r="9" spans="1:9" x14ac:dyDescent="0.2">
      <c r="A9" s="26"/>
      <c r="B9" s="26"/>
      <c r="C9" s="26"/>
      <c r="D9" s="27"/>
      <c r="E9" s="28"/>
      <c r="F9" s="29"/>
    </row>
    <row r="10" spans="1:9" ht="10.5" x14ac:dyDescent="0.25">
      <c r="A10" s="25" t="s">
        <v>362</v>
      </c>
      <c r="B10" s="26"/>
      <c r="C10" s="26"/>
      <c r="D10" s="27"/>
      <c r="E10" s="28"/>
      <c r="F10" s="29"/>
    </row>
    <row r="11" spans="1:9" ht="10.5" x14ac:dyDescent="0.25">
      <c r="A11" s="25" t="s">
        <v>378</v>
      </c>
      <c r="B11" s="26"/>
      <c r="C11" s="26"/>
      <c r="D11" s="27"/>
      <c r="E11" s="28"/>
      <c r="F11" s="29"/>
    </row>
    <row r="12" spans="1:9" x14ac:dyDescent="0.2">
      <c r="A12" s="26" t="s">
        <v>682</v>
      </c>
      <c r="B12" s="26" t="s">
        <v>1592</v>
      </c>
      <c r="C12" s="26" t="s">
        <v>381</v>
      </c>
      <c r="D12" s="30">
        <v>2000</v>
      </c>
      <c r="E12" s="28">
        <v>9989.4599999999991</v>
      </c>
      <c r="F12" s="29">
        <v>4.6848192924507703</v>
      </c>
    </row>
    <row r="13" spans="1:9" x14ac:dyDescent="0.2">
      <c r="A13" s="26" t="s">
        <v>684</v>
      </c>
      <c r="B13" s="26" t="s">
        <v>683</v>
      </c>
      <c r="C13" s="26" t="s">
        <v>369</v>
      </c>
      <c r="D13" s="30">
        <v>2000</v>
      </c>
      <c r="E13" s="28">
        <v>9983.2099999999991</v>
      </c>
      <c r="F13" s="29">
        <v>4.68188819101207</v>
      </c>
    </row>
    <row r="14" spans="1:9" x14ac:dyDescent="0.2">
      <c r="A14" s="26" t="s">
        <v>686</v>
      </c>
      <c r="B14" s="26" t="s">
        <v>685</v>
      </c>
      <c r="C14" s="26" t="s">
        <v>369</v>
      </c>
      <c r="D14" s="30">
        <v>2000</v>
      </c>
      <c r="E14" s="28">
        <v>9975.39</v>
      </c>
      <c r="F14" s="29">
        <v>4.6782207968919796</v>
      </c>
    </row>
    <row r="15" spans="1:9" x14ac:dyDescent="0.2">
      <c r="A15" s="26" t="s">
        <v>688</v>
      </c>
      <c r="B15" s="26" t="s">
        <v>687</v>
      </c>
      <c r="C15" s="26" t="s">
        <v>381</v>
      </c>
      <c r="D15" s="30">
        <v>2000</v>
      </c>
      <c r="E15" s="28">
        <v>9958.4699999999993</v>
      </c>
      <c r="F15" s="29">
        <v>4.6702857190771301</v>
      </c>
    </row>
    <row r="16" spans="1:9" x14ac:dyDescent="0.2">
      <c r="A16" s="26" t="s">
        <v>690</v>
      </c>
      <c r="B16" s="26" t="s">
        <v>689</v>
      </c>
      <c r="C16" s="26" t="s">
        <v>369</v>
      </c>
      <c r="D16" s="30">
        <v>1500</v>
      </c>
      <c r="E16" s="28">
        <v>7487.8125</v>
      </c>
      <c r="F16" s="29">
        <v>3.5116060786322798</v>
      </c>
    </row>
    <row r="17" spans="1:9" x14ac:dyDescent="0.2">
      <c r="A17" s="26" t="s">
        <v>691</v>
      </c>
      <c r="B17" s="26" t="s">
        <v>1593</v>
      </c>
      <c r="C17" s="26" t="s">
        <v>369</v>
      </c>
      <c r="D17" s="30">
        <v>1500</v>
      </c>
      <c r="E17" s="28">
        <v>7481.8575000000001</v>
      </c>
      <c r="F17" s="29">
        <v>3.5088133251814901</v>
      </c>
    </row>
    <row r="18" spans="1:9" x14ac:dyDescent="0.2">
      <c r="A18" s="26" t="s">
        <v>693</v>
      </c>
      <c r="B18" s="26" t="s">
        <v>692</v>
      </c>
      <c r="C18" s="26" t="s">
        <v>369</v>
      </c>
      <c r="D18" s="30">
        <v>1500</v>
      </c>
      <c r="E18" s="28">
        <v>7469.0625</v>
      </c>
      <c r="F18" s="29">
        <v>3.5028127743161899</v>
      </c>
    </row>
    <row r="19" spans="1:9" x14ac:dyDescent="0.2">
      <c r="A19" s="26" t="s">
        <v>694</v>
      </c>
      <c r="B19" s="26" t="s">
        <v>1594</v>
      </c>
      <c r="C19" s="26" t="s">
        <v>381</v>
      </c>
      <c r="D19" s="30">
        <v>1000</v>
      </c>
      <c r="E19" s="28">
        <v>4994.5249999999996</v>
      </c>
      <c r="F19" s="29">
        <v>2.3423135060982001</v>
      </c>
    </row>
    <row r="20" spans="1:9" x14ac:dyDescent="0.2">
      <c r="A20" s="26" t="s">
        <v>696</v>
      </c>
      <c r="B20" s="26" t="s">
        <v>695</v>
      </c>
      <c r="C20" s="26" t="s">
        <v>388</v>
      </c>
      <c r="D20" s="30">
        <v>1000</v>
      </c>
      <c r="E20" s="28">
        <v>4985.2849999999999</v>
      </c>
      <c r="F20" s="29">
        <v>2.33798016573123</v>
      </c>
    </row>
    <row r="21" spans="1:9" x14ac:dyDescent="0.2">
      <c r="A21" s="26" t="s">
        <v>697</v>
      </c>
      <c r="B21" s="26" t="s">
        <v>1595</v>
      </c>
      <c r="C21" s="26" t="s">
        <v>369</v>
      </c>
      <c r="D21" s="30">
        <v>1000</v>
      </c>
      <c r="E21" s="28">
        <v>4981.33</v>
      </c>
      <c r="F21" s="29">
        <v>2.3361253647408202</v>
      </c>
    </row>
    <row r="22" spans="1:9" ht="10.5" x14ac:dyDescent="0.25">
      <c r="A22" s="25" t="s">
        <v>153</v>
      </c>
      <c r="B22" s="25"/>
      <c r="C22" s="25"/>
      <c r="D22" s="31"/>
      <c r="E22" s="32">
        <f>SUM(E11:E21)</f>
        <v>77306.402499999997</v>
      </c>
      <c r="F22" s="33">
        <f>SUM(F11:F21)</f>
        <v>36.25486521413216</v>
      </c>
      <c r="G22" s="17"/>
      <c r="H22" s="17"/>
      <c r="I22" s="17"/>
    </row>
    <row r="23" spans="1:9" x14ac:dyDescent="0.2">
      <c r="A23" s="26"/>
      <c r="B23" s="26"/>
      <c r="C23" s="26"/>
      <c r="D23" s="27"/>
      <c r="E23" s="28"/>
      <c r="F23" s="29"/>
    </row>
    <row r="24" spans="1:9" ht="10.5" x14ac:dyDescent="0.25">
      <c r="A24" s="25" t="s">
        <v>409</v>
      </c>
      <c r="B24" s="26"/>
      <c r="C24" s="26"/>
      <c r="D24" s="27"/>
      <c r="E24" s="28"/>
      <c r="F24" s="29"/>
    </row>
    <row r="25" spans="1:9" x14ac:dyDescent="0.2">
      <c r="A25" s="26" t="s">
        <v>414</v>
      </c>
      <c r="B25" s="26" t="s">
        <v>413</v>
      </c>
      <c r="C25" s="26" t="s">
        <v>412</v>
      </c>
      <c r="D25" s="30">
        <v>20000000</v>
      </c>
      <c r="E25" s="28">
        <v>19975.8</v>
      </c>
      <c r="F25" s="29">
        <v>9.3681753790633504</v>
      </c>
    </row>
    <row r="26" spans="1:9" x14ac:dyDescent="0.2">
      <c r="A26" s="26" t="s">
        <v>699</v>
      </c>
      <c r="B26" s="26" t="s">
        <v>698</v>
      </c>
      <c r="C26" s="26" t="s">
        <v>412</v>
      </c>
      <c r="D26" s="30">
        <v>15000000</v>
      </c>
      <c r="E26" s="28">
        <v>14925.57</v>
      </c>
      <c r="F26" s="29">
        <v>6.99973755206232</v>
      </c>
    </row>
    <row r="27" spans="1:9" x14ac:dyDescent="0.2">
      <c r="A27" s="26" t="s">
        <v>701</v>
      </c>
      <c r="B27" s="26" t="s">
        <v>700</v>
      </c>
      <c r="C27" s="26" t="s">
        <v>412</v>
      </c>
      <c r="D27" s="30">
        <v>14000000</v>
      </c>
      <c r="E27" s="28">
        <v>13974.268</v>
      </c>
      <c r="F27" s="29">
        <v>6.5535995263285001</v>
      </c>
    </row>
    <row r="28" spans="1:9" x14ac:dyDescent="0.2">
      <c r="A28" s="26" t="s">
        <v>703</v>
      </c>
      <c r="B28" s="26" t="s">
        <v>702</v>
      </c>
      <c r="C28" s="26" t="s">
        <v>412</v>
      </c>
      <c r="D28" s="30">
        <v>10000000</v>
      </c>
      <c r="E28" s="28">
        <v>10000</v>
      </c>
      <c r="F28" s="29">
        <v>4.6897623019169901</v>
      </c>
    </row>
    <row r="29" spans="1:9" x14ac:dyDescent="0.2">
      <c r="A29" s="26" t="s">
        <v>705</v>
      </c>
      <c r="B29" s="26" t="s">
        <v>704</v>
      </c>
      <c r="C29" s="26" t="s">
        <v>412</v>
      </c>
      <c r="D29" s="30">
        <v>10000000</v>
      </c>
      <c r="E29" s="28">
        <v>9956.56</v>
      </c>
      <c r="F29" s="29">
        <v>4.6693899744774701</v>
      </c>
    </row>
    <row r="30" spans="1:9" x14ac:dyDescent="0.2">
      <c r="A30" s="26" t="s">
        <v>707</v>
      </c>
      <c r="B30" s="26" t="s">
        <v>706</v>
      </c>
      <c r="C30" s="26" t="s">
        <v>412</v>
      </c>
      <c r="D30" s="30">
        <v>10000000</v>
      </c>
      <c r="E30" s="28">
        <v>9937.8700000000008</v>
      </c>
      <c r="F30" s="29">
        <v>4.6606248087351796</v>
      </c>
    </row>
    <row r="31" spans="1:9" x14ac:dyDescent="0.2">
      <c r="A31" s="26" t="s">
        <v>709</v>
      </c>
      <c r="B31" s="26" t="s">
        <v>708</v>
      </c>
      <c r="C31" s="26" t="s">
        <v>412</v>
      </c>
      <c r="D31" s="30">
        <v>10000000</v>
      </c>
      <c r="E31" s="28">
        <v>9931.59</v>
      </c>
      <c r="F31" s="29">
        <v>4.6576796380095802</v>
      </c>
    </row>
    <row r="32" spans="1:9" x14ac:dyDescent="0.2">
      <c r="A32" s="26" t="s">
        <v>711</v>
      </c>
      <c r="B32" s="26" t="s">
        <v>710</v>
      </c>
      <c r="C32" s="26" t="s">
        <v>412</v>
      </c>
      <c r="D32" s="30">
        <v>5000000</v>
      </c>
      <c r="E32" s="28">
        <v>4981.4549999999999</v>
      </c>
      <c r="F32" s="29">
        <v>2.3361839867695902</v>
      </c>
    </row>
    <row r="33" spans="1:9" x14ac:dyDescent="0.2">
      <c r="A33" s="26" t="s">
        <v>713</v>
      </c>
      <c r="B33" s="26" t="s">
        <v>712</v>
      </c>
      <c r="C33" s="26" t="s">
        <v>412</v>
      </c>
      <c r="D33" s="30">
        <v>3500000</v>
      </c>
      <c r="E33" s="28">
        <v>3488.9050000000002</v>
      </c>
      <c r="F33" s="29">
        <v>1.63621351439697</v>
      </c>
    </row>
    <row r="34" spans="1:9" ht="10.5" x14ac:dyDescent="0.25">
      <c r="A34" s="25" t="s">
        <v>153</v>
      </c>
      <c r="B34" s="25"/>
      <c r="C34" s="25"/>
      <c r="D34" s="31"/>
      <c r="E34" s="32">
        <f>SUM(E24:E33)</f>
        <v>97172.017999999982</v>
      </c>
      <c r="F34" s="33">
        <f>SUM(F24:F33)</f>
        <v>45.571366681759955</v>
      </c>
      <c r="G34" s="17"/>
      <c r="H34" s="17"/>
      <c r="I34" s="17"/>
    </row>
    <row r="35" spans="1:9" x14ac:dyDescent="0.2">
      <c r="A35" s="26"/>
      <c r="B35" s="26"/>
      <c r="C35" s="26"/>
      <c r="D35" s="27"/>
      <c r="E35" s="28"/>
      <c r="F35" s="29"/>
    </row>
    <row r="36" spans="1:9" ht="10.5" x14ac:dyDescent="0.25">
      <c r="A36" s="25" t="s">
        <v>166</v>
      </c>
      <c r="B36" s="25"/>
      <c r="C36" s="25"/>
      <c r="D36" s="31"/>
      <c r="E36" s="32">
        <f>E8+E22+E34</f>
        <v>187001.79549999998</v>
      </c>
      <c r="F36" s="33">
        <f>F8+F22+F34</f>
        <v>87.699397092669088</v>
      </c>
      <c r="G36" s="17"/>
      <c r="H36" s="17"/>
      <c r="I36" s="17"/>
    </row>
    <row r="37" spans="1:9" ht="10.5" x14ac:dyDescent="0.25">
      <c r="A37" s="25"/>
      <c r="B37" s="25"/>
      <c r="C37" s="25"/>
      <c r="D37" s="31"/>
      <c r="E37" s="32"/>
      <c r="F37" s="33"/>
      <c r="G37" s="17"/>
      <c r="H37" s="17"/>
      <c r="I37" s="17"/>
    </row>
    <row r="38" spans="1:9" ht="10.5" x14ac:dyDescent="0.25">
      <c r="A38" s="25" t="s">
        <v>168</v>
      </c>
      <c r="B38" s="25"/>
      <c r="C38" s="25"/>
      <c r="D38" s="31"/>
      <c r="E38" s="32">
        <f>E40-(E8+E22+E34)</f>
        <v>26228.627626400033</v>
      </c>
      <c r="F38" s="33">
        <f>F40-(F8+F22+F34)</f>
        <v>12.300602907330912</v>
      </c>
      <c r="G38" s="17"/>
      <c r="H38" s="17"/>
      <c r="I38" s="17"/>
    </row>
    <row r="39" spans="1:9" ht="10.5" x14ac:dyDescent="0.25">
      <c r="A39" s="25"/>
      <c r="B39" s="25"/>
      <c r="C39" s="25"/>
      <c r="D39" s="31"/>
      <c r="E39" s="32"/>
      <c r="F39" s="33"/>
      <c r="G39" s="17"/>
      <c r="H39" s="17"/>
      <c r="I39" s="17"/>
    </row>
    <row r="40" spans="1:9" ht="10.5" x14ac:dyDescent="0.25">
      <c r="A40" s="34" t="s">
        <v>167</v>
      </c>
      <c r="B40" s="34"/>
      <c r="C40" s="34"/>
      <c r="D40" s="35"/>
      <c r="E40" s="36">
        <v>213230.42312640001</v>
      </c>
      <c r="F40" s="37">
        <v>100</v>
      </c>
      <c r="G40" s="17"/>
      <c r="H40" s="17"/>
      <c r="I40" s="17"/>
    </row>
    <row r="42" spans="1:9" ht="10.5" x14ac:dyDescent="0.25">
      <c r="A42" s="17" t="s">
        <v>419</v>
      </c>
    </row>
    <row r="43" spans="1:9" ht="10.5" x14ac:dyDescent="0.25">
      <c r="A43" s="17" t="s">
        <v>170</v>
      </c>
    </row>
    <row r="45" spans="1:9" ht="10.5" x14ac:dyDescent="0.25">
      <c r="A45" s="17" t="s">
        <v>171</v>
      </c>
    </row>
    <row r="46" spans="1:9" ht="10.5" x14ac:dyDescent="0.25">
      <c r="A46" s="17" t="s">
        <v>172</v>
      </c>
    </row>
    <row r="47" spans="1:9" ht="10.5" x14ac:dyDescent="0.25">
      <c r="A47" s="17" t="s">
        <v>173</v>
      </c>
      <c r="B47" s="17"/>
      <c r="C47" s="38" t="s">
        <v>175</v>
      </c>
      <c r="D47" s="18" t="s">
        <v>174</v>
      </c>
    </row>
    <row r="48" spans="1:9" x14ac:dyDescent="0.2">
      <c r="A48" s="58" t="s">
        <v>1493</v>
      </c>
      <c r="C48" s="39">
        <v>4626.2708000000002</v>
      </c>
      <c r="D48" s="39">
        <v>4702.0554000000002</v>
      </c>
    </row>
    <row r="49" spans="1:4" x14ac:dyDescent="0.2">
      <c r="A49" s="58" t="s">
        <v>1494</v>
      </c>
      <c r="C49" s="39">
        <v>1510.1904999999999</v>
      </c>
      <c r="D49" s="39">
        <v>1510.5263</v>
      </c>
    </row>
    <row r="50" spans="1:4" x14ac:dyDescent="0.2">
      <c r="A50" s="58" t="s">
        <v>1495</v>
      </c>
      <c r="C50" s="39">
        <v>1245.1873000000001</v>
      </c>
      <c r="D50" s="39">
        <v>1244.655</v>
      </c>
    </row>
    <row r="51" spans="1:4" x14ac:dyDescent="0.2">
      <c r="A51" s="58" t="s">
        <v>1496</v>
      </c>
      <c r="C51" s="39">
        <v>3007.0924</v>
      </c>
      <c r="D51" s="57" t="s">
        <v>1491</v>
      </c>
    </row>
    <row r="52" spans="1:4" x14ac:dyDescent="0.2">
      <c r="A52" s="58" t="s">
        <v>1497</v>
      </c>
      <c r="C52" s="39">
        <v>1000</v>
      </c>
      <c r="D52" s="39">
        <v>1000</v>
      </c>
    </row>
    <row r="53" spans="1:4" x14ac:dyDescent="0.2">
      <c r="A53" s="58" t="s">
        <v>1498</v>
      </c>
      <c r="C53" s="39">
        <v>1055.4888000000001</v>
      </c>
      <c r="D53" s="39">
        <v>1055.0467000000001</v>
      </c>
    </row>
    <row r="54" spans="1:4" x14ac:dyDescent="0.2">
      <c r="A54" s="10" t="s">
        <v>179</v>
      </c>
      <c r="C54" s="39">
        <v>2970.4378999999999</v>
      </c>
      <c r="D54" s="39">
        <v>3029.2559999999999</v>
      </c>
    </row>
    <row r="55" spans="1:4" x14ac:dyDescent="0.2">
      <c r="A55" s="10" t="s">
        <v>714</v>
      </c>
      <c r="C55" s="39">
        <v>1000</v>
      </c>
      <c r="D55" s="39">
        <v>1000</v>
      </c>
    </row>
    <row r="56" spans="1:4" x14ac:dyDescent="0.2">
      <c r="A56" s="10" t="s">
        <v>181</v>
      </c>
      <c r="C56" s="39">
        <v>1022.0711</v>
      </c>
      <c r="D56" s="39">
        <v>1022.2748</v>
      </c>
    </row>
    <row r="57" spans="1:4" x14ac:dyDescent="0.2">
      <c r="A57" s="10" t="s">
        <v>715</v>
      </c>
      <c r="C57" s="39">
        <v>2983.3481000000002</v>
      </c>
      <c r="D57" s="39">
        <v>3043.7177000000001</v>
      </c>
    </row>
    <row r="58" spans="1:4" x14ac:dyDescent="0.2">
      <c r="A58" s="10" t="s">
        <v>716</v>
      </c>
      <c r="C58" s="39">
        <v>1001.9927</v>
      </c>
      <c r="D58" s="39">
        <v>1002.2243</v>
      </c>
    </row>
    <row r="59" spans="1:4" x14ac:dyDescent="0.2">
      <c r="A59" s="10" t="s">
        <v>717</v>
      </c>
      <c r="C59" s="39">
        <v>1022.1614</v>
      </c>
      <c r="D59" s="39">
        <v>1021.7454</v>
      </c>
    </row>
    <row r="60" spans="1:4" x14ac:dyDescent="0.2">
      <c r="A60" s="10" t="s">
        <v>718</v>
      </c>
      <c r="C60" s="39">
        <v>12.594900000000001</v>
      </c>
      <c r="D60" s="39">
        <v>12.849</v>
      </c>
    </row>
    <row r="61" spans="1:4" x14ac:dyDescent="0.2">
      <c r="A61" s="10" t="s">
        <v>719</v>
      </c>
      <c r="C61" s="39">
        <v>12.594900000000001</v>
      </c>
      <c r="D61" s="39">
        <v>12.849</v>
      </c>
    </row>
    <row r="62" spans="1:4" x14ac:dyDescent="0.2">
      <c r="A62" s="10" t="s">
        <v>720</v>
      </c>
      <c r="C62" s="39">
        <v>10</v>
      </c>
      <c r="D62" s="39">
        <v>10</v>
      </c>
    </row>
    <row r="63" spans="1:4" x14ac:dyDescent="0.2">
      <c r="A63" s="10" t="s">
        <v>721</v>
      </c>
      <c r="C63" s="39">
        <v>10</v>
      </c>
      <c r="D63" s="39">
        <v>10</v>
      </c>
    </row>
    <row r="65" spans="1:4" ht="10.5" x14ac:dyDescent="0.25">
      <c r="A65" s="17" t="s">
        <v>1492</v>
      </c>
    </row>
    <row r="67" spans="1:4" ht="10.5" x14ac:dyDescent="0.25">
      <c r="A67" s="59" t="s">
        <v>1499</v>
      </c>
    </row>
    <row r="69" spans="1:4" ht="10.5" x14ac:dyDescent="0.25">
      <c r="A69" s="17" t="s">
        <v>185</v>
      </c>
    </row>
    <row r="70" spans="1:4" ht="12.5" x14ac:dyDescent="0.25">
      <c r="A70" s="100" t="s">
        <v>350</v>
      </c>
      <c r="B70" s="101"/>
      <c r="C70" s="98" t="s">
        <v>1658</v>
      </c>
      <c r="D70" s="99"/>
    </row>
    <row r="71" spans="1:4" ht="10.5" x14ac:dyDescent="0.25">
      <c r="A71" s="100"/>
      <c r="B71" s="101"/>
      <c r="C71" s="43" t="s">
        <v>351</v>
      </c>
      <c r="D71" s="44" t="s">
        <v>352</v>
      </c>
    </row>
    <row r="72" spans="1:4" x14ac:dyDescent="0.2">
      <c r="A72" s="94" t="s">
        <v>1596</v>
      </c>
      <c r="B72" s="95"/>
      <c r="C72" s="45">
        <v>24.209934681999997</v>
      </c>
      <c r="D72" s="45">
        <v>24.209934681999997</v>
      </c>
    </row>
    <row r="73" spans="1:4" x14ac:dyDescent="0.2">
      <c r="A73" s="94" t="s">
        <v>1597</v>
      </c>
      <c r="B73" s="95"/>
      <c r="C73" s="45">
        <v>20.758341402000003</v>
      </c>
      <c r="D73" s="45">
        <v>20.758341402000003</v>
      </c>
    </row>
    <row r="74" spans="1:4" x14ac:dyDescent="0.2">
      <c r="A74" s="94" t="s">
        <v>1598</v>
      </c>
      <c r="B74" s="95"/>
      <c r="C74" s="45">
        <v>17.501504206000003</v>
      </c>
      <c r="D74" s="45">
        <v>17.501504206000003</v>
      </c>
    </row>
    <row r="75" spans="1:4" x14ac:dyDescent="0.2">
      <c r="A75" s="94" t="s">
        <v>1599</v>
      </c>
      <c r="B75" s="95"/>
      <c r="C75" s="45">
        <v>18.948009749999997</v>
      </c>
      <c r="D75" s="45">
        <v>18.948009749999997</v>
      </c>
    </row>
    <row r="76" spans="1:4" x14ac:dyDescent="0.2">
      <c r="A76" s="94" t="s">
        <v>714</v>
      </c>
      <c r="B76" s="95"/>
      <c r="C76" s="45">
        <v>19.604078413999996</v>
      </c>
      <c r="D76" s="45">
        <v>19.604078413999996</v>
      </c>
    </row>
    <row r="77" spans="1:4" x14ac:dyDescent="0.2">
      <c r="A77" s="94" t="s">
        <v>181</v>
      </c>
      <c r="B77" s="95"/>
      <c r="C77" s="45">
        <v>19.841384946999998</v>
      </c>
      <c r="D77" s="45">
        <v>19.841384946999998</v>
      </c>
    </row>
    <row r="78" spans="1:4" x14ac:dyDescent="0.2">
      <c r="A78" s="94" t="s">
        <v>716</v>
      </c>
      <c r="B78" s="95"/>
      <c r="C78" s="45">
        <v>19.767297783</v>
      </c>
      <c r="D78" s="45">
        <v>19.767297783</v>
      </c>
    </row>
    <row r="79" spans="1:4" x14ac:dyDescent="0.2">
      <c r="A79" s="94" t="s">
        <v>717</v>
      </c>
      <c r="B79" s="95"/>
      <c r="C79" s="45">
        <v>20.813510259000001</v>
      </c>
      <c r="D79" s="45">
        <v>20.813510259000001</v>
      </c>
    </row>
    <row r="80" spans="1:4" x14ac:dyDescent="0.2">
      <c r="A80" s="90" t="s">
        <v>1657</v>
      </c>
    </row>
    <row r="81" spans="1:5" x14ac:dyDescent="0.2">
      <c r="A81" s="90"/>
    </row>
    <row r="82" spans="1:5" ht="10.5" x14ac:dyDescent="0.25">
      <c r="A82" s="17" t="s">
        <v>187</v>
      </c>
      <c r="D82" s="41">
        <v>7.7681382493150694E-2</v>
      </c>
      <c r="E82" s="15" t="s">
        <v>188</v>
      </c>
    </row>
    <row r="84" spans="1:5" ht="10.5" x14ac:dyDescent="0.25">
      <c r="A84" s="17" t="s">
        <v>189</v>
      </c>
      <c r="D84" s="40" t="s">
        <v>186</v>
      </c>
    </row>
    <row r="86" spans="1:5" ht="10.5" x14ac:dyDescent="0.25">
      <c r="A86" s="59" t="s">
        <v>1543</v>
      </c>
    </row>
  </sheetData>
  <mergeCells count="12">
    <mergeCell ref="A1:F1"/>
    <mergeCell ref="C70:D70"/>
    <mergeCell ref="A70:B70"/>
    <mergeCell ref="A71:B71"/>
    <mergeCell ref="A72:B72"/>
    <mergeCell ref="A78:B78"/>
    <mergeCell ref="A79:B79"/>
    <mergeCell ref="A73:B73"/>
    <mergeCell ref="A74:B74"/>
    <mergeCell ref="A75:B75"/>
    <mergeCell ref="A76:B76"/>
    <mergeCell ref="A77:B77"/>
  </mergeCells>
  <conditionalFormatting sqref="F2:F3 F5:F65540">
    <cfRule type="cellIs" dxfId="106" priority="1" stopIfTrue="1" operator="between">
      <formula>0.009</formula>
      <formula>-0.009</formula>
    </cfRule>
  </conditionalFormatting>
  <pageMargins left="0.7" right="0.7" top="0.75" bottom="0.75" header="0.3" footer="0.3"/>
  <pageSetup paperSize="9" scale="55" orientation="portrait" r:id="rId1"/>
  <headerFooter>
    <oddFooter>&amp;LPUBLIC</oddFooter>
    <evenFooter>&amp;LPUBLIC</evenFooter>
    <firstFooter>&amp;LPUBLIC</firstFooter>
  </headerFooter>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view="pageBreakPreview" zoomScaleNormal="100" zoomScaleSheetLayoutView="100" workbookViewId="0">
      <selection sqref="A1:F1"/>
    </sheetView>
  </sheetViews>
  <sheetFormatPr defaultColWidth="9.1796875" defaultRowHeight="10" x14ac:dyDescent="0.2"/>
  <cols>
    <col min="1" max="1" width="45.81640625" style="10" customWidth="1"/>
    <col min="2" max="3" width="25.81640625" style="10" customWidth="1"/>
    <col min="4" max="4" width="15.453125" style="11" bestFit="1" customWidth="1"/>
    <col min="5" max="5" width="23" style="15" bestFit="1" customWidth="1"/>
    <col min="6" max="6" width="13.54296875" style="16" bestFit="1" customWidth="1"/>
    <col min="7" max="16384" width="9.1796875" style="10"/>
  </cols>
  <sheetData>
    <row r="1" spans="1:9" s="1" customFormat="1" ht="14" x14ac:dyDescent="0.25">
      <c r="A1" s="96" t="s">
        <v>14</v>
      </c>
      <c r="B1" s="97"/>
      <c r="C1" s="97"/>
      <c r="D1" s="97"/>
      <c r="E1" s="97"/>
      <c r="F1" s="97"/>
    </row>
    <row r="2" spans="1:9" s="1" customFormat="1" ht="11.5" x14ac:dyDescent="0.25">
      <c r="D2" s="6"/>
      <c r="E2" s="7"/>
      <c r="F2" s="14"/>
    </row>
    <row r="3" spans="1:9" s="1" customFormat="1" ht="11.5" x14ac:dyDescent="0.25">
      <c r="A3" s="12" t="s">
        <v>6</v>
      </c>
      <c r="B3" s="2"/>
      <c r="C3" s="3"/>
      <c r="D3" s="4"/>
      <c r="E3" s="5"/>
      <c r="F3" s="14"/>
    </row>
    <row r="4" spans="1:9" s="1" customFormat="1" ht="17.5" customHeight="1" x14ac:dyDescent="0.25">
      <c r="A4" s="8" t="s">
        <v>2</v>
      </c>
      <c r="B4" s="8" t="s">
        <v>0</v>
      </c>
      <c r="C4" s="8" t="s">
        <v>169</v>
      </c>
      <c r="D4" s="48" t="s">
        <v>1</v>
      </c>
      <c r="E4" s="9" t="s">
        <v>3</v>
      </c>
      <c r="F4" s="9" t="s">
        <v>4</v>
      </c>
    </row>
    <row r="5" spans="1:9" ht="10.5" x14ac:dyDescent="0.25">
      <c r="A5" s="25" t="s">
        <v>168</v>
      </c>
      <c r="B5" s="25"/>
      <c r="C5" s="25"/>
      <c r="D5" s="31"/>
      <c r="E5" s="32">
        <v>41161.710587699999</v>
      </c>
      <c r="F5" s="33">
        <v>100</v>
      </c>
      <c r="G5" s="17"/>
      <c r="H5" s="17"/>
      <c r="I5" s="17"/>
    </row>
    <row r="6" spans="1:9" ht="10.5" x14ac:dyDescent="0.25">
      <c r="A6" s="25"/>
      <c r="B6" s="25"/>
      <c r="C6" s="25"/>
      <c r="D6" s="31"/>
      <c r="E6" s="32"/>
      <c r="F6" s="33"/>
      <c r="G6" s="17"/>
      <c r="H6" s="17"/>
      <c r="I6" s="17"/>
    </row>
    <row r="7" spans="1:9" ht="10.5" x14ac:dyDescent="0.25">
      <c r="A7" s="34" t="s">
        <v>167</v>
      </c>
      <c r="B7" s="34"/>
      <c r="C7" s="34"/>
      <c r="D7" s="35"/>
      <c r="E7" s="36">
        <v>41161.710587699999</v>
      </c>
      <c r="F7" s="37">
        <v>100</v>
      </c>
      <c r="G7" s="17"/>
      <c r="H7" s="17"/>
      <c r="I7" s="17"/>
    </row>
    <row r="10" spans="1:9" ht="10.5" x14ac:dyDescent="0.25">
      <c r="A10" s="17" t="s">
        <v>171</v>
      </c>
    </row>
    <row r="11" spans="1:9" ht="10.5" x14ac:dyDescent="0.25">
      <c r="A11" s="17" t="s">
        <v>172</v>
      </c>
    </row>
    <row r="12" spans="1:9" ht="10.5" x14ac:dyDescent="0.25">
      <c r="A12" s="17" t="s">
        <v>173</v>
      </c>
      <c r="B12" s="17"/>
      <c r="C12" s="38" t="s">
        <v>175</v>
      </c>
      <c r="D12" s="18" t="s">
        <v>174</v>
      </c>
    </row>
    <row r="13" spans="1:9" x14ac:dyDescent="0.2">
      <c r="A13" s="10" t="s">
        <v>436</v>
      </c>
      <c r="C13" s="39">
        <v>1044.2829999999999</v>
      </c>
      <c r="D13" s="39">
        <v>1058.9866999999999</v>
      </c>
    </row>
    <row r="14" spans="1:9" x14ac:dyDescent="0.2">
      <c r="A14" s="10" t="s">
        <v>499</v>
      </c>
      <c r="C14" s="39">
        <v>1000</v>
      </c>
      <c r="D14" s="39">
        <v>1000</v>
      </c>
    </row>
    <row r="15" spans="1:9" x14ac:dyDescent="0.2">
      <c r="A15" s="10" t="s">
        <v>678</v>
      </c>
      <c r="C15" s="39">
        <v>1000.0085</v>
      </c>
      <c r="D15" s="39">
        <v>1000.2512</v>
      </c>
    </row>
    <row r="16" spans="1:9" x14ac:dyDescent="0.2">
      <c r="A16" s="10" t="s">
        <v>439</v>
      </c>
      <c r="C16" s="39">
        <v>1044.8101999999999</v>
      </c>
      <c r="D16" s="39">
        <v>1059.8851999999999</v>
      </c>
    </row>
    <row r="17" spans="1:5" x14ac:dyDescent="0.2">
      <c r="A17" s="10" t="s">
        <v>500</v>
      </c>
      <c r="C17" s="39">
        <v>1000</v>
      </c>
      <c r="D17" s="39">
        <v>1000</v>
      </c>
    </row>
    <row r="18" spans="1:5" x14ac:dyDescent="0.2">
      <c r="A18" s="10" t="s">
        <v>679</v>
      </c>
      <c r="C18" s="39">
        <v>1000.0132</v>
      </c>
      <c r="D18" s="39">
        <v>1000.2546</v>
      </c>
    </row>
    <row r="20" spans="1:5" ht="10.5" x14ac:dyDescent="0.25">
      <c r="A20" s="17" t="s">
        <v>185</v>
      </c>
    </row>
    <row r="21" spans="1:5" ht="12.5" x14ac:dyDescent="0.25">
      <c r="A21" s="100" t="s">
        <v>350</v>
      </c>
      <c r="B21" s="101"/>
      <c r="C21" s="98" t="s">
        <v>1658</v>
      </c>
      <c r="D21" s="99"/>
    </row>
    <row r="22" spans="1:5" ht="10.5" x14ac:dyDescent="0.25">
      <c r="A22" s="100"/>
      <c r="B22" s="101"/>
      <c r="C22" s="43" t="s">
        <v>351</v>
      </c>
      <c r="D22" s="44" t="s">
        <v>352</v>
      </c>
    </row>
    <row r="23" spans="1:5" x14ac:dyDescent="0.2">
      <c r="A23" s="94" t="s">
        <v>499</v>
      </c>
      <c r="B23" s="95"/>
      <c r="C23" s="45">
        <v>13.982368156000003</v>
      </c>
      <c r="D23" s="45">
        <v>13.982368156000003</v>
      </c>
    </row>
    <row r="24" spans="1:5" x14ac:dyDescent="0.2">
      <c r="A24" s="94" t="s">
        <v>678</v>
      </c>
      <c r="B24" s="95"/>
      <c r="C24" s="45">
        <v>13.768243956000001</v>
      </c>
      <c r="D24" s="45">
        <v>13.768243956000001</v>
      </c>
    </row>
    <row r="25" spans="1:5" x14ac:dyDescent="0.2">
      <c r="A25" s="94" t="s">
        <v>500</v>
      </c>
      <c r="B25" s="95"/>
      <c r="C25" s="45">
        <v>14.312102506999997</v>
      </c>
      <c r="D25" s="45">
        <v>14.312102506999997</v>
      </c>
    </row>
    <row r="26" spans="1:5" x14ac:dyDescent="0.2">
      <c r="A26" s="94" t="s">
        <v>679</v>
      </c>
      <c r="B26" s="95"/>
      <c r="C26" s="45">
        <v>14.098926678999996</v>
      </c>
      <c r="D26" s="45">
        <v>14.098926678999996</v>
      </c>
    </row>
    <row r="27" spans="1:5" x14ac:dyDescent="0.2">
      <c r="A27" s="90" t="s">
        <v>1657</v>
      </c>
    </row>
    <row r="29" spans="1:5" ht="10.5" x14ac:dyDescent="0.25">
      <c r="A29" s="17" t="s">
        <v>187</v>
      </c>
      <c r="D29" s="63">
        <v>2.7397260273972599E-3</v>
      </c>
      <c r="E29" s="15" t="s">
        <v>188</v>
      </c>
    </row>
    <row r="30" spans="1:5" ht="10.5" x14ac:dyDescent="0.25">
      <c r="A30" s="17"/>
      <c r="D30" s="63"/>
    </row>
    <row r="31" spans="1:5" ht="10.5" x14ac:dyDescent="0.25">
      <c r="A31" s="17" t="s">
        <v>189</v>
      </c>
      <c r="D31" s="40" t="s">
        <v>186</v>
      </c>
    </row>
  </sheetData>
  <mergeCells count="8">
    <mergeCell ref="A25:B25"/>
    <mergeCell ref="A26:B26"/>
    <mergeCell ref="A1:F1"/>
    <mergeCell ref="C21:D21"/>
    <mergeCell ref="A21:B21"/>
    <mergeCell ref="A22:B22"/>
    <mergeCell ref="A23:B23"/>
    <mergeCell ref="A24:B24"/>
  </mergeCells>
  <conditionalFormatting sqref="F2:F3 F5:F65536">
    <cfRule type="cellIs" dxfId="105" priority="1" stopIfTrue="1" operator="between">
      <formula>0.009</formula>
      <formula>-0.009</formula>
    </cfRule>
  </conditionalFormatting>
  <pageMargins left="0.7" right="0.7" top="0.75" bottom="0.75" header="0.3" footer="0.3"/>
  <pageSetup paperSize="9" scale="58" orientation="portrait" r:id="rId1"/>
  <headerFooter>
    <oddFooter>&amp;LPUBLIC</oddFooter>
    <evenFooter>&amp;LPUBLIC</evenFooter>
    <firstFooter>&amp;LPUBLIC</firstFooter>
  </headerFooter>
  <colBreaks count="1" manualBreakCount="1">
    <brk id="6"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2"/>
  <sheetViews>
    <sheetView view="pageBreakPreview" zoomScaleNormal="100" zoomScaleSheetLayoutView="100" workbookViewId="0">
      <selection sqref="A1:F1"/>
    </sheetView>
  </sheetViews>
  <sheetFormatPr defaultColWidth="9.1796875" defaultRowHeight="10" x14ac:dyDescent="0.2"/>
  <cols>
    <col min="1" max="1" width="37.54296875" style="10" bestFit="1" customWidth="1"/>
    <col min="2" max="2" width="49"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9" s="1" customFormat="1" ht="14" x14ac:dyDescent="0.25">
      <c r="A1" s="96" t="s">
        <v>1560</v>
      </c>
      <c r="B1" s="97"/>
      <c r="C1" s="97"/>
      <c r="D1" s="97"/>
      <c r="E1" s="97"/>
      <c r="F1" s="97"/>
    </row>
    <row r="2" spans="1:9" s="1" customFormat="1" ht="11.5" x14ac:dyDescent="0.25">
      <c r="D2" s="6"/>
      <c r="E2" s="7"/>
      <c r="F2" s="14"/>
    </row>
    <row r="3" spans="1:9" s="1" customFormat="1" ht="11.5" x14ac:dyDescent="0.25">
      <c r="A3" s="12" t="s">
        <v>6</v>
      </c>
      <c r="B3" s="2"/>
      <c r="C3" s="3"/>
      <c r="D3" s="4"/>
      <c r="E3" s="5"/>
      <c r="F3" s="14"/>
    </row>
    <row r="4" spans="1:9" s="1" customFormat="1" ht="17.5" customHeight="1" x14ac:dyDescent="0.25">
      <c r="A4" s="8" t="s">
        <v>2</v>
      </c>
      <c r="B4" s="8" t="s">
        <v>0</v>
      </c>
      <c r="C4" s="8" t="s">
        <v>169</v>
      </c>
      <c r="D4" s="48" t="s">
        <v>1</v>
      </c>
      <c r="E4" s="9" t="s">
        <v>3</v>
      </c>
      <c r="F4" s="9" t="s">
        <v>4</v>
      </c>
    </row>
    <row r="5" spans="1:9" ht="10.5" x14ac:dyDescent="0.25">
      <c r="A5" s="20" t="s">
        <v>362</v>
      </c>
      <c r="B5" s="21"/>
      <c r="C5" s="21"/>
      <c r="D5" s="22"/>
      <c r="E5" s="23"/>
      <c r="F5" s="24"/>
    </row>
    <row r="6" spans="1:9" ht="10.5" x14ac:dyDescent="0.25">
      <c r="A6" s="25" t="s">
        <v>363</v>
      </c>
      <c r="B6" s="26"/>
      <c r="C6" s="26"/>
      <c r="D6" s="27"/>
      <c r="E6" s="28"/>
      <c r="F6" s="29"/>
    </row>
    <row r="7" spans="1:9" x14ac:dyDescent="0.2">
      <c r="A7" s="26" t="s">
        <v>365</v>
      </c>
      <c r="B7" s="26" t="s">
        <v>364</v>
      </c>
      <c r="C7" s="26" t="s">
        <v>366</v>
      </c>
      <c r="D7" s="30">
        <v>10000</v>
      </c>
      <c r="E7" s="28">
        <v>9873.5400000000009</v>
      </c>
      <c r="F7" s="29">
        <v>7.3990967031460197</v>
      </c>
    </row>
    <row r="8" spans="1:9" x14ac:dyDescent="0.2">
      <c r="A8" s="26" t="s">
        <v>368</v>
      </c>
      <c r="B8" s="26" t="s">
        <v>367</v>
      </c>
      <c r="C8" s="26" t="s">
        <v>369</v>
      </c>
      <c r="D8" s="30">
        <v>5000</v>
      </c>
      <c r="E8" s="28">
        <v>4924.5950000000003</v>
      </c>
      <c r="F8" s="29">
        <v>3.6904245720207101</v>
      </c>
    </row>
    <row r="9" spans="1:9" x14ac:dyDescent="0.2">
      <c r="A9" s="26" t="s">
        <v>371</v>
      </c>
      <c r="B9" s="26" t="s">
        <v>370</v>
      </c>
      <c r="C9" s="26" t="s">
        <v>369</v>
      </c>
      <c r="D9" s="30">
        <v>5000</v>
      </c>
      <c r="E9" s="28">
        <v>4870.5349999999999</v>
      </c>
      <c r="F9" s="29">
        <v>3.6499127426492701</v>
      </c>
    </row>
    <row r="10" spans="1:9" x14ac:dyDescent="0.2">
      <c r="A10" s="26" t="s">
        <v>373</v>
      </c>
      <c r="B10" s="26" t="s">
        <v>372</v>
      </c>
      <c r="C10" s="26" t="s">
        <v>366</v>
      </c>
      <c r="D10" s="30">
        <v>2500</v>
      </c>
      <c r="E10" s="28">
        <v>2469.8049999999998</v>
      </c>
      <c r="F10" s="29">
        <v>1.8508383044899299</v>
      </c>
    </row>
    <row r="11" spans="1:9" x14ac:dyDescent="0.2">
      <c r="A11" s="26" t="s">
        <v>375</v>
      </c>
      <c r="B11" s="26" t="s">
        <v>374</v>
      </c>
      <c r="C11" s="26" t="s">
        <v>369</v>
      </c>
      <c r="D11" s="30">
        <v>1022</v>
      </c>
      <c r="E11" s="28">
        <v>1006.738474</v>
      </c>
      <c r="F11" s="29">
        <v>0.75443613171199497</v>
      </c>
    </row>
    <row r="12" spans="1:9" x14ac:dyDescent="0.2">
      <c r="A12" s="26" t="s">
        <v>377</v>
      </c>
      <c r="B12" s="26" t="s">
        <v>376</v>
      </c>
      <c r="C12" s="26" t="s">
        <v>369</v>
      </c>
      <c r="D12" s="30">
        <v>200</v>
      </c>
      <c r="E12" s="28">
        <v>200.0444</v>
      </c>
      <c r="F12" s="29">
        <v>0.149910554929926</v>
      </c>
    </row>
    <row r="13" spans="1:9" ht="10.5" x14ac:dyDescent="0.25">
      <c r="A13" s="25" t="s">
        <v>153</v>
      </c>
      <c r="B13" s="25"/>
      <c r="C13" s="25"/>
      <c r="D13" s="31"/>
      <c r="E13" s="32">
        <f>SUM(E6:E12)</f>
        <v>23345.257874000003</v>
      </c>
      <c r="F13" s="33">
        <f>SUM(F6:F12)</f>
        <v>17.494619008947851</v>
      </c>
      <c r="G13" s="17"/>
      <c r="H13" s="17"/>
      <c r="I13" s="17"/>
    </row>
    <row r="14" spans="1:9" x14ac:dyDescent="0.2">
      <c r="A14" s="26"/>
      <c r="B14" s="26"/>
      <c r="C14" s="26"/>
      <c r="D14" s="27"/>
      <c r="E14" s="28"/>
      <c r="F14" s="29"/>
    </row>
    <row r="15" spans="1:9" ht="10.5" x14ac:dyDescent="0.25">
      <c r="A15" s="25" t="s">
        <v>378</v>
      </c>
      <c r="B15" s="26"/>
      <c r="C15" s="26"/>
      <c r="D15" s="27"/>
      <c r="E15" s="28"/>
      <c r="F15" s="29"/>
    </row>
    <row r="16" spans="1:9" x14ac:dyDescent="0.2">
      <c r="A16" s="26" t="s">
        <v>380</v>
      </c>
      <c r="B16" s="26" t="s">
        <v>379</v>
      </c>
      <c r="C16" s="26" t="s">
        <v>381</v>
      </c>
      <c r="D16" s="30">
        <v>2500</v>
      </c>
      <c r="E16" s="28">
        <v>12432.05</v>
      </c>
      <c r="F16" s="29">
        <v>9.3164093292118597</v>
      </c>
    </row>
    <row r="17" spans="1:9" x14ac:dyDescent="0.2">
      <c r="A17" s="26" t="s">
        <v>383</v>
      </c>
      <c r="B17" s="26" t="s">
        <v>382</v>
      </c>
      <c r="C17" s="26" t="s">
        <v>369</v>
      </c>
      <c r="D17" s="30">
        <v>2000</v>
      </c>
      <c r="E17" s="28">
        <v>9988.5300000000007</v>
      </c>
      <c r="F17" s="29">
        <v>7.4852686465315497</v>
      </c>
    </row>
    <row r="18" spans="1:9" x14ac:dyDescent="0.2">
      <c r="A18" s="26" t="s">
        <v>385</v>
      </c>
      <c r="B18" s="26" t="s">
        <v>384</v>
      </c>
      <c r="C18" s="26" t="s">
        <v>381</v>
      </c>
      <c r="D18" s="30">
        <v>2000</v>
      </c>
      <c r="E18" s="28">
        <v>9922.92</v>
      </c>
      <c r="F18" s="29">
        <v>7.4361014041146003</v>
      </c>
    </row>
    <row r="19" spans="1:9" x14ac:dyDescent="0.2">
      <c r="A19" s="26" t="s">
        <v>387</v>
      </c>
      <c r="B19" s="26" t="s">
        <v>386</v>
      </c>
      <c r="C19" s="26" t="s">
        <v>388</v>
      </c>
      <c r="D19" s="30">
        <v>2000</v>
      </c>
      <c r="E19" s="28">
        <v>9870.35</v>
      </c>
      <c r="F19" s="29">
        <v>7.3967061604953503</v>
      </c>
    </row>
    <row r="20" spans="1:9" x14ac:dyDescent="0.2">
      <c r="A20" s="26" t="s">
        <v>390</v>
      </c>
      <c r="B20" s="26" t="s">
        <v>389</v>
      </c>
      <c r="C20" s="26" t="s">
        <v>381</v>
      </c>
      <c r="D20" s="30">
        <v>1500</v>
      </c>
      <c r="E20" s="28">
        <v>7401.93</v>
      </c>
      <c r="F20" s="29">
        <v>5.5469057561844703</v>
      </c>
    </row>
    <row r="21" spans="1:9" x14ac:dyDescent="0.2">
      <c r="A21" s="26" t="s">
        <v>392</v>
      </c>
      <c r="B21" s="26" t="s">
        <v>391</v>
      </c>
      <c r="C21" s="26" t="s">
        <v>388</v>
      </c>
      <c r="D21" s="30">
        <v>1500</v>
      </c>
      <c r="E21" s="28">
        <v>7257.8474999999999</v>
      </c>
      <c r="F21" s="29">
        <v>5.4389322886408102</v>
      </c>
    </row>
    <row r="22" spans="1:9" x14ac:dyDescent="0.2">
      <c r="A22" s="26" t="s">
        <v>394</v>
      </c>
      <c r="B22" s="26" t="s">
        <v>393</v>
      </c>
      <c r="C22" s="26" t="s">
        <v>381</v>
      </c>
      <c r="D22" s="30">
        <v>1000</v>
      </c>
      <c r="E22" s="28">
        <v>4947.7</v>
      </c>
      <c r="F22" s="29">
        <v>3.7077391450437802</v>
      </c>
    </row>
    <row r="23" spans="1:9" x14ac:dyDescent="0.2">
      <c r="A23" s="26" t="s">
        <v>396</v>
      </c>
      <c r="B23" s="26" t="s">
        <v>395</v>
      </c>
      <c r="C23" s="26" t="s">
        <v>369</v>
      </c>
      <c r="D23" s="30">
        <v>1000</v>
      </c>
      <c r="E23" s="28">
        <v>4937.3450000000003</v>
      </c>
      <c r="F23" s="29">
        <v>3.6999792487592602</v>
      </c>
    </row>
    <row r="24" spans="1:9" x14ac:dyDescent="0.2">
      <c r="A24" s="26" t="s">
        <v>398</v>
      </c>
      <c r="B24" s="26" t="s">
        <v>397</v>
      </c>
      <c r="C24" s="26" t="s">
        <v>381</v>
      </c>
      <c r="D24" s="30">
        <v>1000</v>
      </c>
      <c r="E24" s="28">
        <v>4927.95</v>
      </c>
      <c r="F24" s="29">
        <v>3.6929387634291699</v>
      </c>
    </row>
    <row r="25" spans="1:9" x14ac:dyDescent="0.2">
      <c r="A25" s="26" t="s">
        <v>400</v>
      </c>
      <c r="B25" s="26" t="s">
        <v>399</v>
      </c>
      <c r="C25" s="26" t="s">
        <v>388</v>
      </c>
      <c r="D25" s="30">
        <v>1000</v>
      </c>
      <c r="E25" s="28">
        <v>4924.3</v>
      </c>
      <c r="F25" s="29">
        <v>3.6902035030295002</v>
      </c>
    </row>
    <row r="26" spans="1:9" x14ac:dyDescent="0.2">
      <c r="A26" s="26" t="s">
        <v>402</v>
      </c>
      <c r="B26" s="26" t="s">
        <v>401</v>
      </c>
      <c r="C26" s="26" t="s">
        <v>369</v>
      </c>
      <c r="D26" s="30">
        <v>1000</v>
      </c>
      <c r="E26" s="28">
        <v>4919.55</v>
      </c>
      <c r="F26" s="29">
        <v>3.6866439175778898</v>
      </c>
    </row>
    <row r="27" spans="1:9" x14ac:dyDescent="0.2">
      <c r="A27" s="26" t="s">
        <v>404</v>
      </c>
      <c r="B27" s="26" t="s">
        <v>403</v>
      </c>
      <c r="C27" s="26" t="s">
        <v>369</v>
      </c>
      <c r="D27" s="30">
        <v>1000</v>
      </c>
      <c r="E27" s="28">
        <v>4906.97</v>
      </c>
      <c r="F27" s="29">
        <v>3.6772166365291898</v>
      </c>
    </row>
    <row r="28" spans="1:9" x14ac:dyDescent="0.2">
      <c r="A28" s="26" t="s">
        <v>406</v>
      </c>
      <c r="B28" s="26" t="s">
        <v>405</v>
      </c>
      <c r="C28" s="26" t="s">
        <v>369</v>
      </c>
      <c r="D28" s="30">
        <v>500</v>
      </c>
      <c r="E28" s="28">
        <v>2493.6875</v>
      </c>
      <c r="F28" s="29">
        <v>1.86873552544745</v>
      </c>
    </row>
    <row r="29" spans="1:9" x14ac:dyDescent="0.2">
      <c r="A29" s="26" t="s">
        <v>408</v>
      </c>
      <c r="B29" s="26" t="s">
        <v>407</v>
      </c>
      <c r="C29" s="26" t="s">
        <v>369</v>
      </c>
      <c r="D29" s="30">
        <v>500</v>
      </c>
      <c r="E29" s="28">
        <v>2459.5700000000002</v>
      </c>
      <c r="F29" s="29">
        <v>1.8431683345747201</v>
      </c>
    </row>
    <row r="30" spans="1:9" ht="10.5" x14ac:dyDescent="0.25">
      <c r="A30" s="25" t="s">
        <v>153</v>
      </c>
      <c r="B30" s="25"/>
      <c r="C30" s="25"/>
      <c r="D30" s="31"/>
      <c r="E30" s="32">
        <f>SUM(E15:E29)</f>
        <v>91390.700000000012</v>
      </c>
      <c r="F30" s="33">
        <f>SUM(F15:F29)</f>
        <v>68.486948659569592</v>
      </c>
      <c r="G30" s="17"/>
      <c r="H30" s="17"/>
      <c r="I30" s="17"/>
    </row>
    <row r="31" spans="1:9" x14ac:dyDescent="0.2">
      <c r="A31" s="26"/>
      <c r="B31" s="26"/>
      <c r="C31" s="26"/>
      <c r="D31" s="27"/>
      <c r="E31" s="28"/>
      <c r="F31" s="29"/>
    </row>
    <row r="32" spans="1:9" ht="10.5" x14ac:dyDescent="0.25">
      <c r="A32" s="25" t="s">
        <v>409</v>
      </c>
      <c r="B32" s="26"/>
      <c r="C32" s="26"/>
      <c r="D32" s="27"/>
      <c r="E32" s="28"/>
      <c r="F32" s="29"/>
    </row>
    <row r="33" spans="1:9" x14ac:dyDescent="0.2">
      <c r="A33" s="26" t="s">
        <v>411</v>
      </c>
      <c r="B33" s="26" t="s">
        <v>410</v>
      </c>
      <c r="C33" s="26" t="s">
        <v>412</v>
      </c>
      <c r="D33" s="30">
        <v>5700000</v>
      </c>
      <c r="E33" s="28">
        <v>5607.2496000000001</v>
      </c>
      <c r="F33" s="29">
        <v>4.2019966525761596</v>
      </c>
    </row>
    <row r="34" spans="1:9" x14ac:dyDescent="0.2">
      <c r="A34" s="26" t="s">
        <v>414</v>
      </c>
      <c r="B34" s="26" t="s">
        <v>413</v>
      </c>
      <c r="C34" s="26" t="s">
        <v>412</v>
      </c>
      <c r="D34" s="30">
        <v>5000000</v>
      </c>
      <c r="E34" s="28">
        <v>4993.95</v>
      </c>
      <c r="F34" s="29">
        <v>3.74239826654635</v>
      </c>
    </row>
    <row r="35" spans="1:9" x14ac:dyDescent="0.2">
      <c r="A35" s="26" t="s">
        <v>416</v>
      </c>
      <c r="B35" s="26" t="s">
        <v>415</v>
      </c>
      <c r="C35" s="26" t="s">
        <v>412</v>
      </c>
      <c r="D35" s="30">
        <v>5000000</v>
      </c>
      <c r="E35" s="28">
        <v>4916.37</v>
      </c>
      <c r="F35" s="29">
        <v>3.6842608687913301</v>
      </c>
    </row>
    <row r="36" spans="1:9" x14ac:dyDescent="0.2">
      <c r="A36" s="26" t="s">
        <v>418</v>
      </c>
      <c r="B36" s="26" t="s">
        <v>417</v>
      </c>
      <c r="C36" s="26" t="s">
        <v>412</v>
      </c>
      <c r="D36" s="30">
        <v>2500000</v>
      </c>
      <c r="E36" s="28">
        <v>2479.7824999999998</v>
      </c>
      <c r="F36" s="29">
        <v>1.8583153074043499</v>
      </c>
    </row>
    <row r="37" spans="1:9" ht="10.5" x14ac:dyDescent="0.25">
      <c r="A37" s="25" t="s">
        <v>153</v>
      </c>
      <c r="B37" s="25"/>
      <c r="C37" s="25"/>
      <c r="D37" s="31"/>
      <c r="E37" s="32">
        <f>SUM(E32:E36)</f>
        <v>17997.3521</v>
      </c>
      <c r="F37" s="33">
        <f>SUM(F32:F36)</f>
        <v>13.486971095318189</v>
      </c>
      <c r="G37" s="17"/>
      <c r="H37" s="17"/>
      <c r="I37" s="17"/>
    </row>
    <row r="38" spans="1:9" x14ac:dyDescent="0.2">
      <c r="A38" s="26"/>
      <c r="B38" s="26"/>
      <c r="C38" s="26"/>
      <c r="D38" s="27"/>
      <c r="E38" s="28"/>
      <c r="F38" s="29"/>
    </row>
    <row r="39" spans="1:9" ht="10.5" x14ac:dyDescent="0.25">
      <c r="A39" s="25" t="s">
        <v>166</v>
      </c>
      <c r="B39" s="25"/>
      <c r="C39" s="25"/>
      <c r="D39" s="31"/>
      <c r="E39" s="32">
        <f>E13+E30+E37</f>
        <v>132733.309974</v>
      </c>
      <c r="F39" s="33">
        <f>F13+F30+F37</f>
        <v>99.468538763835625</v>
      </c>
      <c r="G39" s="17"/>
      <c r="H39" s="17"/>
      <c r="I39" s="17"/>
    </row>
    <row r="40" spans="1:9" ht="10.5" x14ac:dyDescent="0.25">
      <c r="A40" s="25"/>
      <c r="B40" s="25"/>
      <c r="C40" s="25"/>
      <c r="D40" s="31"/>
      <c r="E40" s="32"/>
      <c r="F40" s="33"/>
      <c r="G40" s="17"/>
      <c r="H40" s="17"/>
      <c r="I40" s="17"/>
    </row>
    <row r="41" spans="1:9" ht="10.5" x14ac:dyDescent="0.25">
      <c r="A41" s="25" t="s">
        <v>168</v>
      </c>
      <c r="B41" s="25"/>
      <c r="C41" s="25"/>
      <c r="D41" s="31"/>
      <c r="E41" s="32">
        <f>E43-(E13+E30+E37)</f>
        <v>709.19518750000861</v>
      </c>
      <c r="F41" s="33">
        <f>F43-(F13+F30+F37)</f>
        <v>0.53146123616437535</v>
      </c>
      <c r="G41" s="17"/>
      <c r="H41" s="17"/>
      <c r="I41" s="17"/>
    </row>
    <row r="42" spans="1:9" ht="10.5" x14ac:dyDescent="0.25">
      <c r="A42" s="25"/>
      <c r="B42" s="25"/>
      <c r="C42" s="25"/>
      <c r="D42" s="31"/>
      <c r="E42" s="32"/>
      <c r="F42" s="33"/>
      <c r="G42" s="17"/>
      <c r="H42" s="17"/>
      <c r="I42" s="17"/>
    </row>
    <row r="43" spans="1:9" ht="10.5" x14ac:dyDescent="0.25">
      <c r="A43" s="34" t="s">
        <v>167</v>
      </c>
      <c r="B43" s="34"/>
      <c r="C43" s="34"/>
      <c r="D43" s="35"/>
      <c r="E43" s="36">
        <v>133442.50516150001</v>
      </c>
      <c r="F43" s="37">
        <v>100</v>
      </c>
      <c r="G43" s="17"/>
      <c r="H43" s="17"/>
      <c r="I43" s="17"/>
    </row>
    <row r="45" spans="1:9" ht="10.5" x14ac:dyDescent="0.25">
      <c r="A45" s="17" t="s">
        <v>419</v>
      </c>
    </row>
    <row r="46" spans="1:9" ht="10.5" x14ac:dyDescent="0.25">
      <c r="A46" s="17" t="s">
        <v>170</v>
      </c>
    </row>
    <row r="47" spans="1:9" ht="10.5" x14ac:dyDescent="0.25">
      <c r="A47" s="17" t="s">
        <v>1591</v>
      </c>
    </row>
    <row r="49" spans="1:4" ht="10.5" x14ac:dyDescent="0.25">
      <c r="A49" s="17" t="s">
        <v>171</v>
      </c>
    </row>
    <row r="50" spans="1:4" ht="10.5" x14ac:dyDescent="0.25">
      <c r="A50" s="17" t="s">
        <v>172</v>
      </c>
    </row>
    <row r="51" spans="1:4" ht="10.5" x14ac:dyDescent="0.25">
      <c r="A51" s="17" t="s">
        <v>173</v>
      </c>
      <c r="B51" s="17"/>
      <c r="C51" s="38" t="s">
        <v>175</v>
      </c>
      <c r="D51" s="18" t="s">
        <v>174</v>
      </c>
    </row>
    <row r="52" spans="1:4" x14ac:dyDescent="0.2">
      <c r="A52" s="10" t="s">
        <v>176</v>
      </c>
      <c r="C52" s="39">
        <v>37.000900000000001</v>
      </c>
      <c r="D52" s="39">
        <v>38.253399999999999</v>
      </c>
    </row>
    <row r="53" spans="1:4" x14ac:dyDescent="0.2">
      <c r="A53" s="10" t="s">
        <v>177</v>
      </c>
      <c r="C53" s="39">
        <v>10.0646</v>
      </c>
      <c r="D53" s="39">
        <v>10.110799999999999</v>
      </c>
    </row>
    <row r="54" spans="1:4" x14ac:dyDescent="0.2">
      <c r="A54" s="10" t="s">
        <v>344</v>
      </c>
      <c r="C54" s="39">
        <v>10.1851</v>
      </c>
      <c r="D54" s="39">
        <v>10.1754</v>
      </c>
    </row>
    <row r="55" spans="1:4" x14ac:dyDescent="0.2">
      <c r="A55" s="10" t="s">
        <v>345</v>
      </c>
      <c r="C55" s="39">
        <v>10.806100000000001</v>
      </c>
      <c r="D55" s="39">
        <v>10.728999999999999</v>
      </c>
    </row>
    <row r="56" spans="1:4" x14ac:dyDescent="0.2">
      <c r="A56" s="58" t="s">
        <v>1562</v>
      </c>
      <c r="C56" s="39">
        <v>10.323</v>
      </c>
      <c r="D56" s="72" t="s">
        <v>1491</v>
      </c>
    </row>
    <row r="57" spans="1:4" x14ac:dyDescent="0.2">
      <c r="A57" s="10" t="s">
        <v>346</v>
      </c>
      <c r="C57" s="39">
        <v>37.912999999999997</v>
      </c>
      <c r="D57" s="39">
        <v>39.226599999999998</v>
      </c>
    </row>
    <row r="58" spans="1:4" x14ac:dyDescent="0.2">
      <c r="A58" s="10" t="s">
        <v>420</v>
      </c>
      <c r="C58" s="39">
        <v>10.072699999999999</v>
      </c>
      <c r="D58" s="39">
        <v>10.1205</v>
      </c>
    </row>
    <row r="59" spans="1:4" x14ac:dyDescent="0.2">
      <c r="A59" s="10" t="s">
        <v>348</v>
      </c>
      <c r="C59" s="39">
        <v>10.498799999999999</v>
      </c>
      <c r="D59" s="39">
        <v>10.5078</v>
      </c>
    </row>
    <row r="60" spans="1:4" x14ac:dyDescent="0.2">
      <c r="A60" s="10" t="s">
        <v>349</v>
      </c>
      <c r="C60" s="39">
        <v>11.1661</v>
      </c>
      <c r="D60" s="39">
        <v>11.1098</v>
      </c>
    </row>
    <row r="62" spans="1:4" ht="10.5" x14ac:dyDescent="0.25">
      <c r="A62" s="17" t="s">
        <v>1559</v>
      </c>
    </row>
    <row r="64" spans="1:4" ht="10.5" x14ac:dyDescent="0.25">
      <c r="A64" s="59" t="s">
        <v>1499</v>
      </c>
    </row>
    <row r="66" spans="1:5" ht="10.5" x14ac:dyDescent="0.25">
      <c r="A66" s="17" t="s">
        <v>185</v>
      </c>
    </row>
    <row r="67" spans="1:5" ht="12.5" x14ac:dyDescent="0.25">
      <c r="A67" s="100" t="s">
        <v>350</v>
      </c>
      <c r="B67" s="101"/>
      <c r="C67" s="98" t="s">
        <v>1658</v>
      </c>
      <c r="D67" s="99"/>
    </row>
    <row r="68" spans="1:5" ht="10.5" x14ac:dyDescent="0.25">
      <c r="A68" s="100"/>
      <c r="B68" s="101"/>
      <c r="C68" s="43" t="s">
        <v>351</v>
      </c>
      <c r="D68" s="44" t="s">
        <v>352</v>
      </c>
    </row>
    <row r="69" spans="1:5" x14ac:dyDescent="0.2">
      <c r="A69" s="94" t="s">
        <v>177</v>
      </c>
      <c r="B69" s="95"/>
      <c r="C69" s="45">
        <v>0.28988620850000008</v>
      </c>
      <c r="D69" s="45">
        <v>0.28988620850000008</v>
      </c>
    </row>
    <row r="70" spans="1:5" x14ac:dyDescent="0.2">
      <c r="A70" s="94" t="s">
        <v>344</v>
      </c>
      <c r="B70" s="95"/>
      <c r="C70" s="45">
        <v>0.35000000000000003</v>
      </c>
      <c r="D70" s="45">
        <v>0.35000000000000003</v>
      </c>
    </row>
    <row r="71" spans="1:5" x14ac:dyDescent="0.2">
      <c r="A71" s="94" t="s">
        <v>345</v>
      </c>
      <c r="B71" s="95"/>
      <c r="C71" s="45">
        <v>0.44000000000000006</v>
      </c>
      <c r="D71" s="45">
        <v>0.44000000000000006</v>
      </c>
    </row>
    <row r="72" spans="1:5" x14ac:dyDescent="0.2">
      <c r="A72" s="94" t="s">
        <v>1562</v>
      </c>
      <c r="B72" s="95"/>
      <c r="C72" s="45">
        <v>0.14679999999999999</v>
      </c>
      <c r="D72" s="45">
        <v>0.14679999999999999</v>
      </c>
    </row>
    <row r="73" spans="1:5" x14ac:dyDescent="0.2">
      <c r="A73" s="94" t="s">
        <v>420</v>
      </c>
      <c r="B73" s="95"/>
      <c r="C73" s="45">
        <v>0.29640049669999996</v>
      </c>
      <c r="D73" s="45">
        <v>0.29640049669999996</v>
      </c>
    </row>
    <row r="74" spans="1:5" x14ac:dyDescent="0.2">
      <c r="A74" s="94" t="s">
        <v>348</v>
      </c>
      <c r="B74" s="95"/>
      <c r="C74" s="45">
        <v>0.35000000000000003</v>
      </c>
      <c r="D74" s="45">
        <v>0.35000000000000003</v>
      </c>
    </row>
    <row r="75" spans="1:5" x14ac:dyDescent="0.2">
      <c r="A75" s="94" t="s">
        <v>349</v>
      </c>
      <c r="B75" s="95"/>
      <c r="C75" s="45">
        <v>0.44000000000000006</v>
      </c>
      <c r="D75" s="45">
        <v>0.44000000000000006</v>
      </c>
    </row>
    <row r="76" spans="1:5" x14ac:dyDescent="0.2">
      <c r="A76" s="90" t="s">
        <v>1657</v>
      </c>
    </row>
    <row r="78" spans="1:5" ht="10.5" x14ac:dyDescent="0.25">
      <c r="A78" s="17" t="s">
        <v>187</v>
      </c>
      <c r="D78" s="41">
        <v>0.34113599189041099</v>
      </c>
      <c r="E78" s="15" t="s">
        <v>188</v>
      </c>
    </row>
    <row r="80" spans="1:5" ht="10.5" x14ac:dyDescent="0.25">
      <c r="A80" s="17" t="s">
        <v>189</v>
      </c>
      <c r="D80" s="40" t="s">
        <v>186</v>
      </c>
    </row>
    <row r="82" spans="1:1" ht="10.5" x14ac:dyDescent="0.25">
      <c r="A82" s="17" t="s">
        <v>1561</v>
      </c>
    </row>
  </sheetData>
  <mergeCells count="11">
    <mergeCell ref="A75:B75"/>
    <mergeCell ref="A1:F1"/>
    <mergeCell ref="C67:D67"/>
    <mergeCell ref="A67:B67"/>
    <mergeCell ref="A68:B68"/>
    <mergeCell ref="A69:B69"/>
    <mergeCell ref="A70:B70"/>
    <mergeCell ref="A71:B71"/>
    <mergeCell ref="A72:B72"/>
    <mergeCell ref="A73:B73"/>
    <mergeCell ref="A74:B74"/>
  </mergeCells>
  <conditionalFormatting sqref="F2:F3 F5:F65543">
    <cfRule type="cellIs" dxfId="104" priority="1" stopIfTrue="1" operator="between">
      <formula>0.009</formula>
      <formula>-0.009</formula>
    </cfRule>
  </conditionalFormatting>
  <pageMargins left="0.7" right="0.7" top="0.75" bottom="0.75" header="0.3" footer="0.3"/>
  <pageSetup paperSize="9" scale="56" orientation="portrait" r:id="rId1"/>
  <headerFooter>
    <oddFooter>&amp;LPUBLIC</oddFooter>
    <evenFooter>&amp;LPUBLIC</evenFooter>
    <firstFooter>&amp;LPUBLIC</firstFooter>
  </headerFooter>
  <colBreaks count="1" manualBreakCount="1">
    <brk id="6"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3"/>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3.81640625"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9" s="1" customFormat="1" ht="14" x14ac:dyDescent="0.25">
      <c r="A1" s="96" t="s">
        <v>1552</v>
      </c>
      <c r="B1" s="97"/>
      <c r="C1" s="97"/>
      <c r="D1" s="97"/>
      <c r="E1" s="97"/>
      <c r="F1" s="97"/>
    </row>
    <row r="2" spans="1:9" s="1" customFormat="1" ht="11.5" x14ac:dyDescent="0.25">
      <c r="D2" s="6"/>
      <c r="E2" s="7"/>
      <c r="F2" s="14"/>
    </row>
    <row r="3" spans="1:9" s="1" customFormat="1" ht="11.5" x14ac:dyDescent="0.25">
      <c r="A3" s="12" t="s">
        <v>6</v>
      </c>
      <c r="B3" s="2"/>
      <c r="C3" s="3"/>
      <c r="D3" s="4"/>
      <c r="E3" s="5"/>
      <c r="F3" s="14"/>
    </row>
    <row r="4" spans="1:9" s="1" customFormat="1" ht="17.5" customHeight="1" x14ac:dyDescent="0.25">
      <c r="A4" s="8" t="s">
        <v>2</v>
      </c>
      <c r="B4" s="8" t="s">
        <v>0</v>
      </c>
      <c r="C4" s="8" t="s">
        <v>169</v>
      </c>
      <c r="D4" s="48" t="s">
        <v>1</v>
      </c>
      <c r="E4" s="9" t="s">
        <v>3</v>
      </c>
      <c r="F4" s="9" t="s">
        <v>4</v>
      </c>
    </row>
    <row r="5" spans="1:9" ht="10.5" x14ac:dyDescent="0.25">
      <c r="A5" s="20" t="s">
        <v>56</v>
      </c>
      <c r="B5" s="21"/>
      <c r="C5" s="21"/>
      <c r="D5" s="22"/>
      <c r="E5" s="23"/>
      <c r="F5" s="24"/>
    </row>
    <row r="6" spans="1:9" ht="10.5" x14ac:dyDescent="0.25">
      <c r="A6" s="25" t="s">
        <v>1647</v>
      </c>
      <c r="B6" s="26"/>
      <c r="C6" s="26"/>
      <c r="D6" s="27"/>
      <c r="E6" s="28"/>
      <c r="F6" s="29"/>
    </row>
    <row r="7" spans="1:9" x14ac:dyDescent="0.2">
      <c r="A7" s="26" t="s">
        <v>491</v>
      </c>
      <c r="B7" s="26" t="s">
        <v>490</v>
      </c>
      <c r="C7" s="26" t="s">
        <v>492</v>
      </c>
      <c r="D7" s="30">
        <v>250</v>
      </c>
      <c r="E7" s="28">
        <v>2575.8425000000002</v>
      </c>
      <c r="F7" s="29">
        <v>15.8424207733168</v>
      </c>
    </row>
    <row r="8" spans="1:9" x14ac:dyDescent="0.2">
      <c r="A8" s="26" t="s">
        <v>494</v>
      </c>
      <c r="B8" s="26" t="s">
        <v>493</v>
      </c>
      <c r="C8" s="26" t="s">
        <v>152</v>
      </c>
      <c r="D8" s="30">
        <v>250</v>
      </c>
      <c r="E8" s="28">
        <v>2511.8474999999999</v>
      </c>
      <c r="F8" s="29">
        <v>15.448826942409699</v>
      </c>
    </row>
    <row r="9" spans="1:9" x14ac:dyDescent="0.2">
      <c r="A9" s="26" t="s">
        <v>59</v>
      </c>
      <c r="B9" s="26" t="s">
        <v>58</v>
      </c>
      <c r="C9" s="26" t="s">
        <v>60</v>
      </c>
      <c r="D9" s="30">
        <v>100</v>
      </c>
      <c r="E9" s="28">
        <v>1001.974</v>
      </c>
      <c r="F9" s="29">
        <v>6.1625249649088802</v>
      </c>
    </row>
    <row r="10" spans="1:9" x14ac:dyDescent="0.2">
      <c r="A10" s="26" t="s">
        <v>62</v>
      </c>
      <c r="B10" s="26" t="s">
        <v>61</v>
      </c>
      <c r="C10" s="26" t="s">
        <v>63</v>
      </c>
      <c r="D10" s="30">
        <v>100</v>
      </c>
      <c r="E10" s="28">
        <v>990.26</v>
      </c>
      <c r="F10" s="29">
        <v>6.0904793654832101</v>
      </c>
    </row>
    <row r="11" spans="1:9" ht="10.5" x14ac:dyDescent="0.25">
      <c r="A11" s="25" t="s">
        <v>153</v>
      </c>
      <c r="B11" s="25"/>
      <c r="C11" s="25"/>
      <c r="D11" s="31"/>
      <c r="E11" s="32">
        <f>SUM(E6:E10)</f>
        <v>7079.9240000000009</v>
      </c>
      <c r="F11" s="33">
        <f>SUM(F6:F10)</f>
        <v>43.544252046118594</v>
      </c>
      <c r="G11" s="17"/>
      <c r="H11" s="17"/>
      <c r="I11" s="17"/>
    </row>
    <row r="12" spans="1:9" x14ac:dyDescent="0.2">
      <c r="A12" s="26"/>
      <c r="B12" s="26"/>
      <c r="C12" s="26"/>
      <c r="D12" s="27"/>
      <c r="E12" s="28"/>
      <c r="F12" s="29"/>
    </row>
    <row r="13" spans="1:9" ht="10.5" x14ac:dyDescent="0.25">
      <c r="A13" s="25" t="s">
        <v>362</v>
      </c>
      <c r="B13" s="26"/>
      <c r="C13" s="26"/>
      <c r="D13" s="27"/>
      <c r="E13" s="28"/>
      <c r="F13" s="29"/>
    </row>
    <row r="14" spans="1:9" ht="10.5" x14ac:dyDescent="0.25">
      <c r="A14" s="25" t="s">
        <v>363</v>
      </c>
      <c r="B14" s="26"/>
      <c r="C14" s="26"/>
      <c r="D14" s="27"/>
      <c r="E14" s="28"/>
      <c r="F14" s="29"/>
    </row>
    <row r="15" spans="1:9" x14ac:dyDescent="0.2">
      <c r="A15" s="26" t="s">
        <v>377</v>
      </c>
      <c r="B15" s="26" t="s">
        <v>376</v>
      </c>
      <c r="C15" s="26" t="s">
        <v>369</v>
      </c>
      <c r="D15" s="30">
        <v>2300</v>
      </c>
      <c r="E15" s="28">
        <v>2300.5106000000001</v>
      </c>
      <c r="F15" s="29">
        <v>14.1490238314941</v>
      </c>
    </row>
    <row r="16" spans="1:9" ht="10.5" x14ac:dyDescent="0.25">
      <c r="A16" s="25" t="s">
        <v>153</v>
      </c>
      <c r="B16" s="25"/>
      <c r="C16" s="25"/>
      <c r="D16" s="31"/>
      <c r="E16" s="32">
        <f>SUM(E14:E15)</f>
        <v>2300.5106000000001</v>
      </c>
      <c r="F16" s="33">
        <f>SUM(F14:F15)</f>
        <v>14.1490238314941</v>
      </c>
      <c r="G16" s="17"/>
      <c r="H16" s="17"/>
      <c r="I16" s="17"/>
    </row>
    <row r="17" spans="1:9" x14ac:dyDescent="0.2">
      <c r="A17" s="26"/>
      <c r="B17" s="26"/>
      <c r="C17" s="26"/>
      <c r="D17" s="27"/>
      <c r="E17" s="28"/>
      <c r="F17" s="29"/>
    </row>
    <row r="18" spans="1:9" ht="10.5" x14ac:dyDescent="0.25">
      <c r="A18" s="25" t="s">
        <v>473</v>
      </c>
      <c r="B18" s="26"/>
      <c r="C18" s="26"/>
      <c r="D18" s="27"/>
      <c r="E18" s="28"/>
      <c r="F18" s="29"/>
    </row>
    <row r="19" spans="1:9" x14ac:dyDescent="0.2">
      <c r="A19" s="26" t="s">
        <v>496</v>
      </c>
      <c r="B19" s="26" t="s">
        <v>495</v>
      </c>
      <c r="C19" s="26" t="s">
        <v>476</v>
      </c>
      <c r="D19" s="30">
        <v>3000000</v>
      </c>
      <c r="E19" s="28">
        <v>3000.9</v>
      </c>
      <c r="F19" s="29">
        <v>18.456687665742901</v>
      </c>
    </row>
    <row r="20" spans="1:9" x14ac:dyDescent="0.2">
      <c r="A20" s="26" t="s">
        <v>498</v>
      </c>
      <c r="B20" s="26" t="s">
        <v>497</v>
      </c>
      <c r="C20" s="26" t="s">
        <v>476</v>
      </c>
      <c r="D20" s="30">
        <v>1500000</v>
      </c>
      <c r="E20" s="28">
        <v>1549.461</v>
      </c>
      <c r="F20" s="29">
        <v>9.5297803083240495</v>
      </c>
    </row>
    <row r="21" spans="1:9" x14ac:dyDescent="0.2">
      <c r="A21" s="26" t="s">
        <v>475</v>
      </c>
      <c r="B21" s="26" t="s">
        <v>474</v>
      </c>
      <c r="C21" s="26" t="s">
        <v>476</v>
      </c>
      <c r="D21" s="30">
        <v>1000000</v>
      </c>
      <c r="E21" s="28">
        <v>982.02499999999998</v>
      </c>
      <c r="F21" s="29">
        <v>6.0398309523646798</v>
      </c>
    </row>
    <row r="22" spans="1:9" ht="10.5" x14ac:dyDescent="0.25">
      <c r="A22" s="25" t="s">
        <v>153</v>
      </c>
      <c r="B22" s="25"/>
      <c r="C22" s="25"/>
      <c r="D22" s="31"/>
      <c r="E22" s="32">
        <f>SUM(E19:E21)</f>
        <v>5532.3859999999995</v>
      </c>
      <c r="F22" s="33">
        <f>SUM(F19:F21)</f>
        <v>34.026298926431629</v>
      </c>
      <c r="G22" s="17"/>
      <c r="H22" s="17"/>
      <c r="I22" s="17"/>
    </row>
    <row r="23" spans="1:9" x14ac:dyDescent="0.2">
      <c r="A23" s="26"/>
      <c r="B23" s="26"/>
      <c r="C23" s="26"/>
      <c r="D23" s="27"/>
      <c r="E23" s="28"/>
      <c r="F23" s="29"/>
    </row>
    <row r="24" spans="1:9" ht="10.5" x14ac:dyDescent="0.25">
      <c r="A24" s="25" t="s">
        <v>166</v>
      </c>
      <c r="B24" s="25"/>
      <c r="C24" s="25"/>
      <c r="D24" s="31"/>
      <c r="E24" s="32">
        <f>E11+E16+E22</f>
        <v>14912.820599999999</v>
      </c>
      <c r="F24" s="33">
        <f>F11+F16+F22</f>
        <v>91.719574804044328</v>
      </c>
      <c r="G24" s="17"/>
      <c r="H24" s="17"/>
      <c r="I24" s="17"/>
    </row>
    <row r="25" spans="1:9" ht="10.5" x14ac:dyDescent="0.25">
      <c r="A25" s="25"/>
      <c r="B25" s="25"/>
      <c r="C25" s="25"/>
      <c r="D25" s="31"/>
      <c r="E25" s="32"/>
      <c r="F25" s="33"/>
      <c r="G25" s="17"/>
      <c r="H25" s="17"/>
      <c r="I25" s="17"/>
    </row>
    <row r="26" spans="1:9" ht="10.5" x14ac:dyDescent="0.25">
      <c r="A26" s="25" t="s">
        <v>168</v>
      </c>
      <c r="B26" s="25"/>
      <c r="C26" s="25"/>
      <c r="D26" s="31"/>
      <c r="E26" s="32">
        <f>E28-(E11+E16+E22)</f>
        <v>1346.3265143000008</v>
      </c>
      <c r="F26" s="33">
        <f>F28-(F11+F16+F22)</f>
        <v>8.2804251959556723</v>
      </c>
      <c r="G26" s="17"/>
      <c r="H26" s="17"/>
      <c r="I26" s="17"/>
    </row>
    <row r="27" spans="1:9" ht="10.5" x14ac:dyDescent="0.25">
      <c r="A27" s="25"/>
      <c r="B27" s="25"/>
      <c r="C27" s="25"/>
      <c r="D27" s="31"/>
      <c r="E27" s="32"/>
      <c r="F27" s="33"/>
      <c r="G27" s="17"/>
      <c r="H27" s="17"/>
      <c r="I27" s="17"/>
    </row>
    <row r="28" spans="1:9" ht="10.5" x14ac:dyDescent="0.25">
      <c r="A28" s="34" t="s">
        <v>167</v>
      </c>
      <c r="B28" s="34"/>
      <c r="C28" s="34"/>
      <c r="D28" s="35"/>
      <c r="E28" s="36">
        <v>16259.1471143</v>
      </c>
      <c r="F28" s="37">
        <v>100</v>
      </c>
      <c r="G28" s="17"/>
      <c r="H28" s="17"/>
      <c r="I28" s="17"/>
    </row>
    <row r="30" spans="1:9" ht="10.5" x14ac:dyDescent="0.25">
      <c r="A30" s="17" t="s">
        <v>170</v>
      </c>
    </row>
    <row r="31" spans="1:9" ht="10.5" x14ac:dyDescent="0.25">
      <c r="A31" s="17" t="s">
        <v>1501</v>
      </c>
    </row>
    <row r="32" spans="1:9" ht="10.5" x14ac:dyDescent="0.25">
      <c r="A32" s="17" t="s">
        <v>1553</v>
      </c>
    </row>
    <row r="34" spans="1:4" ht="10.5" x14ac:dyDescent="0.25">
      <c r="A34" s="17" t="s">
        <v>171</v>
      </c>
    </row>
    <row r="35" spans="1:4" ht="10.5" x14ac:dyDescent="0.25">
      <c r="A35" s="17" t="s">
        <v>172</v>
      </c>
    </row>
    <row r="36" spans="1:4" ht="10.5" x14ac:dyDescent="0.25">
      <c r="A36" s="17" t="s">
        <v>173</v>
      </c>
      <c r="B36" s="17"/>
      <c r="C36" s="38" t="s">
        <v>175</v>
      </c>
      <c r="D36" s="18" t="s">
        <v>174</v>
      </c>
    </row>
    <row r="37" spans="1:4" x14ac:dyDescent="0.2">
      <c r="A37" s="10" t="s">
        <v>436</v>
      </c>
      <c r="C37" s="39">
        <v>29.8429</v>
      </c>
      <c r="D37" s="39">
        <v>30.739899999999999</v>
      </c>
    </row>
    <row r="38" spans="1:4" x14ac:dyDescent="0.2">
      <c r="A38" s="10" t="s">
        <v>499</v>
      </c>
      <c r="C38" s="39">
        <v>10</v>
      </c>
      <c r="D38" s="39">
        <v>10.145799999999999</v>
      </c>
    </row>
    <row r="39" spans="1:4" x14ac:dyDescent="0.2">
      <c r="A39" s="10" t="s">
        <v>439</v>
      </c>
      <c r="C39" s="39">
        <v>31.385000000000002</v>
      </c>
      <c r="D39" s="39">
        <v>32.460099999999997</v>
      </c>
    </row>
    <row r="40" spans="1:4" x14ac:dyDescent="0.2">
      <c r="A40" s="10" t="s">
        <v>500</v>
      </c>
      <c r="C40" s="39">
        <v>10</v>
      </c>
      <c r="D40" s="39">
        <v>10.047000000000001</v>
      </c>
    </row>
    <row r="42" spans="1:4" ht="10.5" x14ac:dyDescent="0.25">
      <c r="A42" s="17" t="s">
        <v>185</v>
      </c>
    </row>
    <row r="43" spans="1:4" ht="12.5" x14ac:dyDescent="0.25">
      <c r="A43" s="100" t="s">
        <v>350</v>
      </c>
      <c r="B43" s="101"/>
      <c r="C43" s="98" t="s">
        <v>1658</v>
      </c>
      <c r="D43" s="99"/>
    </row>
    <row r="44" spans="1:4" ht="10.5" x14ac:dyDescent="0.25">
      <c r="A44" s="100"/>
      <c r="B44" s="101"/>
      <c r="C44" s="43" t="s">
        <v>351</v>
      </c>
      <c r="D44" s="44" t="s">
        <v>352</v>
      </c>
    </row>
    <row r="45" spans="1:4" x14ac:dyDescent="0.2">
      <c r="A45" s="94" t="s">
        <v>499</v>
      </c>
      <c r="B45" s="95"/>
      <c r="C45" s="45">
        <v>0.15309578999999995</v>
      </c>
      <c r="D45" s="45">
        <v>0.15309578999999995</v>
      </c>
    </row>
    <row r="46" spans="1:4" x14ac:dyDescent="0.2">
      <c r="A46" s="94" t="s">
        <v>500</v>
      </c>
      <c r="B46" s="95"/>
      <c r="C46" s="45">
        <v>0.29032669280000001</v>
      </c>
      <c r="D46" s="45">
        <v>0.29032669280000001</v>
      </c>
    </row>
    <row r="47" spans="1:4" x14ac:dyDescent="0.2">
      <c r="A47" s="90" t="s">
        <v>1657</v>
      </c>
    </row>
    <row r="49" spans="1:5" ht="10.5" x14ac:dyDescent="0.25">
      <c r="A49" s="17" t="s">
        <v>187</v>
      </c>
      <c r="D49" s="41">
        <v>1.93252582706849</v>
      </c>
      <c r="E49" s="15" t="s">
        <v>188</v>
      </c>
    </row>
    <row r="51" spans="1:5" ht="10.5" x14ac:dyDescent="0.25">
      <c r="A51" s="17" t="s">
        <v>189</v>
      </c>
      <c r="D51" s="40" t="s">
        <v>186</v>
      </c>
    </row>
    <row r="53" spans="1:5" ht="10.5" x14ac:dyDescent="0.25">
      <c r="A53" s="17" t="s">
        <v>1554</v>
      </c>
    </row>
  </sheetData>
  <mergeCells count="6">
    <mergeCell ref="A46:B46"/>
    <mergeCell ref="A1:F1"/>
    <mergeCell ref="C43:D43"/>
    <mergeCell ref="A43:B43"/>
    <mergeCell ref="A44:B44"/>
    <mergeCell ref="A45:B45"/>
  </mergeCells>
  <conditionalFormatting sqref="F2:F3 F5:F65539">
    <cfRule type="cellIs" dxfId="103"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2"/>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1544</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540</v>
      </c>
      <c r="B7" s="26" t="s">
        <v>539</v>
      </c>
      <c r="C7" s="26" t="s">
        <v>541</v>
      </c>
      <c r="D7" s="30">
        <v>550</v>
      </c>
      <c r="E7" s="28">
        <v>5954.0744999999997</v>
      </c>
      <c r="F7" s="29">
        <v>7.1851031238273002</v>
      </c>
    </row>
    <row r="8" spans="1:6" x14ac:dyDescent="0.2">
      <c r="A8" s="26" t="s">
        <v>543</v>
      </c>
      <c r="B8" s="26" t="s">
        <v>542</v>
      </c>
      <c r="C8" s="26" t="s">
        <v>152</v>
      </c>
      <c r="D8" s="30">
        <v>500</v>
      </c>
      <c r="E8" s="28">
        <v>5322.81</v>
      </c>
      <c r="F8" s="29">
        <v>6.4233221735030703</v>
      </c>
    </row>
    <row r="9" spans="1:6" x14ac:dyDescent="0.2">
      <c r="A9" s="26" t="s">
        <v>545</v>
      </c>
      <c r="B9" s="26" t="s">
        <v>544</v>
      </c>
      <c r="C9" s="26" t="s">
        <v>152</v>
      </c>
      <c r="D9" s="30">
        <v>500</v>
      </c>
      <c r="E9" s="28">
        <v>5146.375</v>
      </c>
      <c r="F9" s="29">
        <v>6.2104085343384199</v>
      </c>
    </row>
    <row r="10" spans="1:6" x14ac:dyDescent="0.2">
      <c r="A10" s="26" t="s">
        <v>192</v>
      </c>
      <c r="B10" s="26" t="s">
        <v>191</v>
      </c>
      <c r="C10" s="26" t="s">
        <v>120</v>
      </c>
      <c r="D10" s="30">
        <v>500</v>
      </c>
      <c r="E10" s="28">
        <v>4569.93</v>
      </c>
      <c r="F10" s="29">
        <v>5.5147812340393303</v>
      </c>
    </row>
    <row r="11" spans="1:6" x14ac:dyDescent="0.2">
      <c r="A11" s="26" t="s">
        <v>547</v>
      </c>
      <c r="B11" s="26" t="s">
        <v>546</v>
      </c>
      <c r="C11" s="26" t="s">
        <v>548</v>
      </c>
      <c r="D11" s="30">
        <v>430</v>
      </c>
      <c r="E11" s="28">
        <v>4435.9917999999998</v>
      </c>
      <c r="F11" s="29">
        <v>5.3531507775813498</v>
      </c>
    </row>
    <row r="12" spans="1:6" x14ac:dyDescent="0.2">
      <c r="A12" s="26" t="s">
        <v>239</v>
      </c>
      <c r="B12" s="26" t="s">
        <v>238</v>
      </c>
      <c r="C12" s="26" t="s">
        <v>240</v>
      </c>
      <c r="D12" s="30">
        <v>310</v>
      </c>
      <c r="E12" s="28">
        <v>3328.4358999999999</v>
      </c>
      <c r="F12" s="29">
        <v>4.01660328276862</v>
      </c>
    </row>
    <row r="13" spans="1:6" x14ac:dyDescent="0.2">
      <c r="A13" s="26" t="s">
        <v>550</v>
      </c>
      <c r="B13" s="26" t="s">
        <v>549</v>
      </c>
      <c r="C13" s="26" t="s">
        <v>541</v>
      </c>
      <c r="D13" s="30">
        <v>264</v>
      </c>
      <c r="E13" s="28">
        <v>2733.2395200000001</v>
      </c>
      <c r="F13" s="29">
        <v>3.2983476799492899</v>
      </c>
    </row>
    <row r="14" spans="1:6" x14ac:dyDescent="0.2">
      <c r="A14" s="26" t="s">
        <v>552</v>
      </c>
      <c r="B14" s="26" t="s">
        <v>551</v>
      </c>
      <c r="C14" s="26" t="s">
        <v>152</v>
      </c>
      <c r="D14" s="30">
        <v>250</v>
      </c>
      <c r="E14" s="28">
        <v>2621.2125000000001</v>
      </c>
      <c r="F14" s="29">
        <v>3.1631586272501599</v>
      </c>
    </row>
    <row r="15" spans="1:6" x14ac:dyDescent="0.2">
      <c r="A15" s="26" t="s">
        <v>554</v>
      </c>
      <c r="B15" s="26" t="s">
        <v>553</v>
      </c>
      <c r="C15" s="26" t="s">
        <v>152</v>
      </c>
      <c r="D15" s="30">
        <v>250</v>
      </c>
      <c r="E15" s="28">
        <v>2611.6149999999998</v>
      </c>
      <c r="F15" s="29">
        <v>3.1515768058888498</v>
      </c>
    </row>
    <row r="16" spans="1:6" x14ac:dyDescent="0.2">
      <c r="A16" s="26" t="s">
        <v>556</v>
      </c>
      <c r="B16" s="26" t="s">
        <v>555</v>
      </c>
      <c r="C16" s="26" t="s">
        <v>152</v>
      </c>
      <c r="D16" s="30">
        <v>250</v>
      </c>
      <c r="E16" s="28">
        <v>2594.1075000000001</v>
      </c>
      <c r="F16" s="29">
        <v>3.1304495605142102</v>
      </c>
    </row>
    <row r="17" spans="1:6" x14ac:dyDescent="0.2">
      <c r="A17" s="26" t="s">
        <v>558</v>
      </c>
      <c r="B17" s="26" t="s">
        <v>557</v>
      </c>
      <c r="C17" s="26" t="s">
        <v>152</v>
      </c>
      <c r="D17" s="30">
        <v>250</v>
      </c>
      <c r="E17" s="28">
        <v>2571.3150000000001</v>
      </c>
      <c r="F17" s="29">
        <v>3.1029446203341902</v>
      </c>
    </row>
    <row r="18" spans="1:6" x14ac:dyDescent="0.2">
      <c r="A18" s="26" t="s">
        <v>560</v>
      </c>
      <c r="B18" s="26" t="s">
        <v>559</v>
      </c>
      <c r="C18" s="26" t="s">
        <v>152</v>
      </c>
      <c r="D18" s="30">
        <v>250</v>
      </c>
      <c r="E18" s="28">
        <v>2561.8825000000002</v>
      </c>
      <c r="F18" s="29">
        <v>3.0915619133802399</v>
      </c>
    </row>
    <row r="19" spans="1:6" x14ac:dyDescent="0.2">
      <c r="A19" s="26" t="s">
        <v>562</v>
      </c>
      <c r="B19" s="26" t="s">
        <v>561</v>
      </c>
      <c r="C19" s="26" t="s">
        <v>152</v>
      </c>
      <c r="D19" s="30">
        <v>250</v>
      </c>
      <c r="E19" s="28">
        <v>2559.875</v>
      </c>
      <c r="F19" s="29">
        <v>3.08913935475739</v>
      </c>
    </row>
    <row r="20" spans="1:6" x14ac:dyDescent="0.2">
      <c r="A20" s="26" t="s">
        <v>564</v>
      </c>
      <c r="B20" s="26" t="s">
        <v>563</v>
      </c>
      <c r="C20" s="26" t="s">
        <v>152</v>
      </c>
      <c r="D20" s="30">
        <v>250</v>
      </c>
      <c r="E20" s="28">
        <v>2546.5225</v>
      </c>
      <c r="F20" s="29">
        <v>3.0730261721862102</v>
      </c>
    </row>
    <row r="21" spans="1:6" x14ac:dyDescent="0.2">
      <c r="A21" s="26" t="s">
        <v>566</v>
      </c>
      <c r="B21" s="26" t="s">
        <v>565</v>
      </c>
      <c r="C21" s="26" t="s">
        <v>152</v>
      </c>
      <c r="D21" s="30">
        <v>200</v>
      </c>
      <c r="E21" s="28">
        <v>2099.19</v>
      </c>
      <c r="F21" s="29">
        <v>2.53320589564458</v>
      </c>
    </row>
    <row r="22" spans="1:6" x14ac:dyDescent="0.2">
      <c r="A22" s="26" t="s">
        <v>568</v>
      </c>
      <c r="B22" s="26" t="s">
        <v>567</v>
      </c>
      <c r="C22" s="26" t="s">
        <v>152</v>
      </c>
      <c r="D22" s="30">
        <v>166</v>
      </c>
      <c r="E22" s="28">
        <v>2061.7216600000002</v>
      </c>
      <c r="F22" s="29">
        <v>2.4879908270762199</v>
      </c>
    </row>
    <row r="23" spans="1:6" x14ac:dyDescent="0.2">
      <c r="A23" s="26" t="s">
        <v>151</v>
      </c>
      <c r="B23" s="26" t="s">
        <v>150</v>
      </c>
      <c r="C23" s="26" t="s">
        <v>152</v>
      </c>
      <c r="D23" s="30">
        <v>187</v>
      </c>
      <c r="E23" s="28">
        <v>1961.5832499999999</v>
      </c>
      <c r="F23" s="29">
        <v>2.3671484018586502</v>
      </c>
    </row>
    <row r="24" spans="1:6" x14ac:dyDescent="0.2">
      <c r="A24" s="26" t="s">
        <v>570</v>
      </c>
      <c r="B24" s="26" t="s">
        <v>569</v>
      </c>
      <c r="C24" s="26" t="s">
        <v>152</v>
      </c>
      <c r="D24" s="30">
        <v>180</v>
      </c>
      <c r="E24" s="28">
        <v>1860.4349999999999</v>
      </c>
      <c r="F24" s="29">
        <v>2.2450873481978899</v>
      </c>
    </row>
    <row r="25" spans="1:6" x14ac:dyDescent="0.2">
      <c r="A25" s="26" t="s">
        <v>572</v>
      </c>
      <c r="B25" s="26" t="s">
        <v>571</v>
      </c>
      <c r="C25" s="26" t="s">
        <v>152</v>
      </c>
      <c r="D25" s="30">
        <v>140</v>
      </c>
      <c r="E25" s="28">
        <v>1529.0296000000001</v>
      </c>
      <c r="F25" s="29">
        <v>1.8451625614332501</v>
      </c>
    </row>
    <row r="26" spans="1:6" x14ac:dyDescent="0.2">
      <c r="A26" s="26" t="s">
        <v>284</v>
      </c>
      <c r="B26" s="26" t="s">
        <v>283</v>
      </c>
      <c r="C26" s="26" t="s">
        <v>152</v>
      </c>
      <c r="D26" s="30">
        <v>118</v>
      </c>
      <c r="E26" s="28">
        <v>1217.8721</v>
      </c>
      <c r="F26" s="29">
        <v>1.46967200866098</v>
      </c>
    </row>
    <row r="27" spans="1:6" x14ac:dyDescent="0.2">
      <c r="A27" s="26" t="s">
        <v>574</v>
      </c>
      <c r="B27" s="26" t="s">
        <v>573</v>
      </c>
      <c r="C27" s="26" t="s">
        <v>152</v>
      </c>
      <c r="D27" s="30">
        <v>100</v>
      </c>
      <c r="E27" s="28">
        <v>1070.223</v>
      </c>
      <c r="F27" s="29">
        <v>1.29149586900396</v>
      </c>
    </row>
    <row r="28" spans="1:6" x14ac:dyDescent="0.2">
      <c r="A28" s="26" t="s">
        <v>576</v>
      </c>
      <c r="B28" s="26" t="s">
        <v>575</v>
      </c>
      <c r="C28" s="26" t="s">
        <v>152</v>
      </c>
      <c r="D28" s="30">
        <v>100</v>
      </c>
      <c r="E28" s="28">
        <v>1041.2349999999999</v>
      </c>
      <c r="F28" s="29">
        <v>1.25651448451616</v>
      </c>
    </row>
    <row r="29" spans="1:6" x14ac:dyDescent="0.2">
      <c r="A29" s="26" t="s">
        <v>578</v>
      </c>
      <c r="B29" s="26" t="s">
        <v>577</v>
      </c>
      <c r="C29" s="26" t="s">
        <v>152</v>
      </c>
      <c r="D29" s="30">
        <v>100</v>
      </c>
      <c r="E29" s="28">
        <v>1033.412</v>
      </c>
      <c r="F29" s="29">
        <v>1.24707404809944</v>
      </c>
    </row>
    <row r="30" spans="1:6" x14ac:dyDescent="0.2">
      <c r="A30" s="26" t="s">
        <v>580</v>
      </c>
      <c r="B30" s="26" t="s">
        <v>579</v>
      </c>
      <c r="C30" s="26" t="s">
        <v>152</v>
      </c>
      <c r="D30" s="30">
        <v>76</v>
      </c>
      <c r="E30" s="28">
        <v>799.75788</v>
      </c>
      <c r="F30" s="29">
        <v>0.96511100791458104</v>
      </c>
    </row>
    <row r="31" spans="1:6" x14ac:dyDescent="0.2">
      <c r="A31" s="26" t="s">
        <v>582</v>
      </c>
      <c r="B31" s="26" t="s">
        <v>581</v>
      </c>
      <c r="C31" s="26" t="s">
        <v>492</v>
      </c>
      <c r="D31" s="30">
        <v>59</v>
      </c>
      <c r="E31" s="28">
        <v>618.88404000000003</v>
      </c>
      <c r="F31" s="29">
        <v>0.74684078089564798</v>
      </c>
    </row>
    <row r="32" spans="1:6" x14ac:dyDescent="0.2">
      <c r="A32" s="26" t="s">
        <v>584</v>
      </c>
      <c r="B32" s="26" t="s">
        <v>583</v>
      </c>
      <c r="C32" s="26" t="s">
        <v>532</v>
      </c>
      <c r="D32" s="30">
        <v>53</v>
      </c>
      <c r="E32" s="28">
        <v>554.07312999999999</v>
      </c>
      <c r="F32" s="29">
        <v>0.66862995704735895</v>
      </c>
    </row>
    <row r="33" spans="1:6" x14ac:dyDescent="0.2">
      <c r="A33" s="26" t="s">
        <v>586</v>
      </c>
      <c r="B33" s="26" t="s">
        <v>585</v>
      </c>
      <c r="C33" s="26" t="s">
        <v>532</v>
      </c>
      <c r="D33" s="30">
        <v>50</v>
      </c>
      <c r="E33" s="28">
        <v>552.90449999999998</v>
      </c>
      <c r="F33" s="29">
        <v>0.66721970813905196</v>
      </c>
    </row>
    <row r="34" spans="1:6" x14ac:dyDescent="0.2">
      <c r="A34" s="26" t="s">
        <v>588</v>
      </c>
      <c r="B34" s="26" t="s">
        <v>587</v>
      </c>
      <c r="C34" s="26" t="s">
        <v>532</v>
      </c>
      <c r="D34" s="30">
        <v>44</v>
      </c>
      <c r="E34" s="28">
        <v>547.99843999999996</v>
      </c>
      <c r="F34" s="29">
        <v>0.66129930068837595</v>
      </c>
    </row>
    <row r="35" spans="1:6" x14ac:dyDescent="0.2">
      <c r="A35" s="26" t="s">
        <v>590</v>
      </c>
      <c r="B35" s="26" t="s">
        <v>589</v>
      </c>
      <c r="C35" s="26" t="s">
        <v>152</v>
      </c>
      <c r="D35" s="30">
        <v>50</v>
      </c>
      <c r="E35" s="28">
        <v>512.46600000000001</v>
      </c>
      <c r="F35" s="29">
        <v>0.61842038715761505</v>
      </c>
    </row>
    <row r="36" spans="1:6" x14ac:dyDescent="0.2">
      <c r="A36" s="26" t="s">
        <v>512</v>
      </c>
      <c r="B36" s="26" t="s">
        <v>511</v>
      </c>
      <c r="C36" s="26" t="s">
        <v>152</v>
      </c>
      <c r="D36" s="30">
        <v>45</v>
      </c>
      <c r="E36" s="28">
        <v>494.33715000000001</v>
      </c>
      <c r="F36" s="29">
        <v>0.59654332519502196</v>
      </c>
    </row>
    <row r="37" spans="1:6" x14ac:dyDescent="0.2">
      <c r="A37" s="26" t="s">
        <v>592</v>
      </c>
      <c r="B37" s="26" t="s">
        <v>591</v>
      </c>
      <c r="C37" s="26" t="s">
        <v>152</v>
      </c>
      <c r="D37" s="30">
        <v>45</v>
      </c>
      <c r="E37" s="28">
        <v>489.89564999999999</v>
      </c>
      <c r="F37" s="29">
        <v>0.59118352737514601</v>
      </c>
    </row>
    <row r="38" spans="1:6" x14ac:dyDescent="0.2">
      <c r="A38" s="26" t="s">
        <v>594</v>
      </c>
      <c r="B38" s="26" t="s">
        <v>593</v>
      </c>
      <c r="C38" s="26" t="s">
        <v>152</v>
      </c>
      <c r="D38" s="30">
        <v>31</v>
      </c>
      <c r="E38" s="28">
        <v>374.45085999999998</v>
      </c>
      <c r="F38" s="29">
        <v>0.45187006711216299</v>
      </c>
    </row>
    <row r="39" spans="1:6" x14ac:dyDescent="0.2">
      <c r="A39" s="26" t="s">
        <v>596</v>
      </c>
      <c r="B39" s="26" t="s">
        <v>595</v>
      </c>
      <c r="C39" s="26" t="s">
        <v>532</v>
      </c>
      <c r="D39" s="30">
        <v>34</v>
      </c>
      <c r="E39" s="28">
        <v>358.75916000000001</v>
      </c>
      <c r="F39" s="29">
        <v>0.432934045621643</v>
      </c>
    </row>
    <row r="40" spans="1:6" x14ac:dyDescent="0.2">
      <c r="A40" s="26" t="s">
        <v>598</v>
      </c>
      <c r="B40" s="26" t="s">
        <v>597</v>
      </c>
      <c r="C40" s="26" t="s">
        <v>152</v>
      </c>
      <c r="D40" s="30">
        <v>33</v>
      </c>
      <c r="E40" s="28">
        <v>338.92847999999998</v>
      </c>
      <c r="F40" s="29">
        <v>0.40900329352648201</v>
      </c>
    </row>
    <row r="41" spans="1:6" x14ac:dyDescent="0.2">
      <c r="A41" s="26" t="s">
        <v>600</v>
      </c>
      <c r="B41" s="26" t="s">
        <v>599</v>
      </c>
      <c r="C41" s="26" t="s">
        <v>152</v>
      </c>
      <c r="D41" s="30">
        <v>23</v>
      </c>
      <c r="E41" s="28">
        <v>231.76410000000001</v>
      </c>
      <c r="F41" s="29">
        <v>0.27968225102004102</v>
      </c>
    </row>
    <row r="42" spans="1:6" x14ac:dyDescent="0.2">
      <c r="A42" s="26" t="s">
        <v>602</v>
      </c>
      <c r="B42" s="26" t="s">
        <v>601</v>
      </c>
      <c r="C42" s="26" t="s">
        <v>152</v>
      </c>
      <c r="D42" s="30">
        <v>20</v>
      </c>
      <c r="E42" s="28">
        <v>220.43860000000001</v>
      </c>
      <c r="F42" s="29">
        <v>0.26601515877440202</v>
      </c>
    </row>
    <row r="43" spans="1:6" x14ac:dyDescent="0.2">
      <c r="A43" s="26" t="s">
        <v>604</v>
      </c>
      <c r="B43" s="26" t="s">
        <v>603</v>
      </c>
      <c r="C43" s="26" t="s">
        <v>532</v>
      </c>
      <c r="D43" s="30">
        <v>19</v>
      </c>
      <c r="E43" s="28">
        <v>197.56864999999999</v>
      </c>
      <c r="F43" s="29">
        <v>0.23841675549833</v>
      </c>
    </row>
    <row r="44" spans="1:6" x14ac:dyDescent="0.2">
      <c r="A44" s="26" t="s">
        <v>606</v>
      </c>
      <c r="B44" s="26" t="s">
        <v>605</v>
      </c>
      <c r="C44" s="26" t="s">
        <v>152</v>
      </c>
      <c r="D44" s="30">
        <v>15</v>
      </c>
      <c r="E44" s="28">
        <v>187.27424999999999</v>
      </c>
      <c r="F44" s="29">
        <v>0.22599394728558</v>
      </c>
    </row>
    <row r="45" spans="1:6" x14ac:dyDescent="0.2">
      <c r="A45" s="26" t="s">
        <v>608</v>
      </c>
      <c r="B45" s="26" t="s">
        <v>607</v>
      </c>
      <c r="C45" s="26" t="s">
        <v>532</v>
      </c>
      <c r="D45" s="30">
        <v>70</v>
      </c>
      <c r="E45" s="28">
        <v>72.354100000000003</v>
      </c>
      <c r="F45" s="29">
        <v>8.7313598432756101E-2</v>
      </c>
    </row>
    <row r="46" spans="1:6" x14ac:dyDescent="0.2">
      <c r="A46" s="26" t="s">
        <v>610</v>
      </c>
      <c r="B46" s="26" t="s">
        <v>609</v>
      </c>
      <c r="C46" s="26" t="s">
        <v>492</v>
      </c>
      <c r="D46" s="30">
        <v>3</v>
      </c>
      <c r="E46" s="28">
        <v>37.309950000000001</v>
      </c>
      <c r="F46" s="29">
        <v>4.5023930804836299E-2</v>
      </c>
    </row>
    <row r="47" spans="1:6" x14ac:dyDescent="0.2">
      <c r="A47" s="26" t="s">
        <v>612</v>
      </c>
      <c r="B47" s="26" t="s">
        <v>611</v>
      </c>
      <c r="C47" s="26" t="s">
        <v>152</v>
      </c>
      <c r="D47" s="30">
        <v>3</v>
      </c>
      <c r="E47" s="28">
        <v>31.06353</v>
      </c>
      <c r="F47" s="29">
        <v>3.7486038584183499E-2</v>
      </c>
    </row>
    <row r="48" spans="1:6" x14ac:dyDescent="0.2">
      <c r="A48" s="26" t="s">
        <v>614</v>
      </c>
      <c r="B48" s="26" t="s">
        <v>613</v>
      </c>
      <c r="C48" s="26" t="s">
        <v>152</v>
      </c>
      <c r="D48" s="30">
        <v>3</v>
      </c>
      <c r="E48" s="28">
        <v>30.523319999999998</v>
      </c>
      <c r="F48" s="29">
        <v>3.68341380144942E-2</v>
      </c>
    </row>
    <row r="49" spans="1:9" x14ac:dyDescent="0.2">
      <c r="A49" s="26" t="s">
        <v>616</v>
      </c>
      <c r="B49" s="26" t="s">
        <v>615</v>
      </c>
      <c r="C49" s="26" t="s">
        <v>152</v>
      </c>
      <c r="D49" s="30">
        <v>2</v>
      </c>
      <c r="E49" s="28">
        <v>20.739080000000001</v>
      </c>
      <c r="F49" s="29">
        <v>2.5026967414214299E-2</v>
      </c>
    </row>
    <row r="50" spans="1:9" x14ac:dyDescent="0.2">
      <c r="A50" s="26" t="s">
        <v>618</v>
      </c>
      <c r="B50" s="26" t="s">
        <v>617</v>
      </c>
      <c r="C50" s="26" t="s">
        <v>152</v>
      </c>
      <c r="D50" s="30">
        <v>2</v>
      </c>
      <c r="E50" s="28">
        <v>20.53942</v>
      </c>
      <c r="F50" s="29">
        <v>2.4786026913771599E-2</v>
      </c>
    </row>
    <row r="51" spans="1:9" ht="10.5" x14ac:dyDescent="0.25">
      <c r="A51" s="25" t="s">
        <v>153</v>
      </c>
      <c r="B51" s="25"/>
      <c r="C51" s="25"/>
      <c r="D51" s="31"/>
      <c r="E51" s="32">
        <f>SUM(E6:E50)</f>
        <v>70124.118619999979</v>
      </c>
      <c r="F51" s="33">
        <f>SUM(F6:F50)</f>
        <v>84.622559518225501</v>
      </c>
      <c r="G51" s="17"/>
      <c r="H51" s="17"/>
      <c r="I51" s="17"/>
    </row>
    <row r="52" spans="1:9" x14ac:dyDescent="0.2">
      <c r="A52" s="26"/>
      <c r="B52" s="26"/>
      <c r="C52" s="26"/>
      <c r="D52" s="27"/>
      <c r="E52" s="28"/>
      <c r="F52" s="29"/>
    </row>
    <row r="53" spans="1:9" ht="10.5" x14ac:dyDescent="0.25">
      <c r="A53" s="25" t="s">
        <v>154</v>
      </c>
      <c r="B53" s="26"/>
      <c r="C53" s="26"/>
      <c r="D53" s="27"/>
      <c r="E53" s="28"/>
      <c r="F53" s="29"/>
    </row>
    <row r="54" spans="1:9" x14ac:dyDescent="0.2">
      <c r="A54" s="26" t="s">
        <v>620</v>
      </c>
      <c r="B54" s="26" t="s">
        <v>619</v>
      </c>
      <c r="C54" s="26" t="s">
        <v>152</v>
      </c>
      <c r="D54" s="30">
        <v>49</v>
      </c>
      <c r="E54" s="28">
        <v>498.77247</v>
      </c>
      <c r="F54" s="29">
        <v>0.60189566527527705</v>
      </c>
    </row>
    <row r="55" spans="1:9" ht="10.5" x14ac:dyDescent="0.25">
      <c r="A55" s="25" t="s">
        <v>153</v>
      </c>
      <c r="B55" s="25"/>
      <c r="C55" s="25"/>
      <c r="D55" s="31"/>
      <c r="E55" s="32">
        <f>SUM(E53:E54)</f>
        <v>498.77247</v>
      </c>
      <c r="F55" s="33">
        <f>SUM(F53:F54)</f>
        <v>0.60189566527527705</v>
      </c>
      <c r="G55" s="17"/>
      <c r="H55" s="17"/>
      <c r="I55" s="17"/>
    </row>
    <row r="56" spans="1:9" x14ac:dyDescent="0.2">
      <c r="A56" s="26"/>
      <c r="B56" s="26"/>
      <c r="C56" s="26"/>
      <c r="D56" s="27"/>
      <c r="E56" s="28"/>
      <c r="F56" s="29"/>
    </row>
    <row r="57" spans="1:9" ht="10.5" x14ac:dyDescent="0.25">
      <c r="A57" s="25" t="s">
        <v>362</v>
      </c>
      <c r="B57" s="26"/>
      <c r="C57" s="26"/>
      <c r="D57" s="27"/>
      <c r="E57" s="28"/>
      <c r="F57" s="29"/>
    </row>
    <row r="58" spans="1:9" ht="10.5" x14ac:dyDescent="0.25">
      <c r="A58" s="25" t="s">
        <v>363</v>
      </c>
      <c r="B58" s="26"/>
      <c r="C58" s="26"/>
      <c r="D58" s="27"/>
      <c r="E58" s="28"/>
      <c r="F58" s="29"/>
    </row>
    <row r="59" spans="1:9" x14ac:dyDescent="0.2">
      <c r="A59" s="26" t="s">
        <v>368</v>
      </c>
      <c r="B59" s="26" t="s">
        <v>367</v>
      </c>
      <c r="C59" s="26" t="s">
        <v>369</v>
      </c>
      <c r="D59" s="30">
        <v>1000</v>
      </c>
      <c r="E59" s="28">
        <v>984.91899999999998</v>
      </c>
      <c r="F59" s="29">
        <v>1.1885549271539799</v>
      </c>
    </row>
    <row r="60" spans="1:9" ht="10.5" x14ac:dyDescent="0.25">
      <c r="A60" s="25" t="s">
        <v>153</v>
      </c>
      <c r="B60" s="25"/>
      <c r="C60" s="25"/>
      <c r="D60" s="31"/>
      <c r="E60" s="32">
        <f>SUM(E58:E59)</f>
        <v>984.91899999999998</v>
      </c>
      <c r="F60" s="33">
        <f>SUM(F58:F59)</f>
        <v>1.1885549271539799</v>
      </c>
      <c r="G60" s="17"/>
      <c r="H60" s="17"/>
      <c r="I60" s="17"/>
    </row>
    <row r="61" spans="1:9" x14ac:dyDescent="0.2">
      <c r="A61" s="26"/>
      <c r="B61" s="26"/>
      <c r="C61" s="26"/>
      <c r="D61" s="27"/>
      <c r="E61" s="28"/>
      <c r="F61" s="29"/>
    </row>
    <row r="62" spans="1:9" ht="10.5" x14ac:dyDescent="0.25">
      <c r="A62" s="25" t="s">
        <v>409</v>
      </c>
      <c r="B62" s="26"/>
      <c r="C62" s="26"/>
      <c r="D62" s="27"/>
      <c r="E62" s="28"/>
      <c r="F62" s="29"/>
    </row>
    <row r="63" spans="1:9" x14ac:dyDescent="0.2">
      <c r="A63" s="26" t="s">
        <v>411</v>
      </c>
      <c r="B63" s="26" t="s">
        <v>410</v>
      </c>
      <c r="C63" s="26" t="s">
        <v>412</v>
      </c>
      <c r="D63" s="30">
        <v>500000</v>
      </c>
      <c r="E63" s="28">
        <v>491.86399999999998</v>
      </c>
      <c r="F63" s="29">
        <v>0.59355884157952599</v>
      </c>
    </row>
    <row r="64" spans="1:9" ht="10.5" x14ac:dyDescent="0.25">
      <c r="A64" s="25" t="s">
        <v>153</v>
      </c>
      <c r="B64" s="25"/>
      <c r="C64" s="25"/>
      <c r="D64" s="31"/>
      <c r="E64" s="32">
        <f>SUM(E62:E63)</f>
        <v>491.86399999999998</v>
      </c>
      <c r="F64" s="33">
        <f>SUM(F62:F63)</f>
        <v>0.59355884157952599</v>
      </c>
      <c r="G64" s="17"/>
      <c r="H64" s="17"/>
      <c r="I64" s="17"/>
    </row>
    <row r="65" spans="1:9" x14ac:dyDescent="0.2">
      <c r="A65" s="26"/>
      <c r="B65" s="26"/>
      <c r="C65" s="26"/>
      <c r="D65" s="27"/>
      <c r="E65" s="28"/>
      <c r="F65" s="29"/>
    </row>
    <row r="66" spans="1:9" ht="10.5" x14ac:dyDescent="0.25">
      <c r="A66" s="25" t="s">
        <v>473</v>
      </c>
      <c r="B66" s="26"/>
      <c r="C66" s="26"/>
      <c r="D66" s="27"/>
      <c r="E66" s="28"/>
      <c r="F66" s="29"/>
    </row>
    <row r="67" spans="1:9" x14ac:dyDescent="0.2">
      <c r="A67" s="26" t="s">
        <v>481</v>
      </c>
      <c r="B67" s="26" t="s">
        <v>1575</v>
      </c>
      <c r="C67" s="26" t="s">
        <v>476</v>
      </c>
      <c r="D67" s="30">
        <v>4000000</v>
      </c>
      <c r="E67" s="28">
        <v>4293.9080000000004</v>
      </c>
      <c r="F67" s="29">
        <v>5.1816905858714204</v>
      </c>
    </row>
    <row r="68" spans="1:9" x14ac:dyDescent="0.2">
      <c r="A68" s="26" t="s">
        <v>498</v>
      </c>
      <c r="B68" s="26" t="s">
        <v>497</v>
      </c>
      <c r="C68" s="26" t="s">
        <v>476</v>
      </c>
      <c r="D68" s="30">
        <v>2000000</v>
      </c>
      <c r="E68" s="28">
        <v>2065.9479999999999</v>
      </c>
      <c r="F68" s="29">
        <v>2.4930909797088998</v>
      </c>
    </row>
    <row r="69" spans="1:9" x14ac:dyDescent="0.2">
      <c r="A69" s="26" t="s">
        <v>622</v>
      </c>
      <c r="B69" s="26" t="s">
        <v>621</v>
      </c>
      <c r="C69" s="26" t="s">
        <v>476</v>
      </c>
      <c r="D69" s="30">
        <v>500000</v>
      </c>
      <c r="E69" s="28">
        <v>522.33749999999998</v>
      </c>
      <c r="F69" s="29">
        <v>0.63033285911053805</v>
      </c>
    </row>
    <row r="70" spans="1:9" ht="10.5" x14ac:dyDescent="0.25">
      <c r="A70" s="25" t="s">
        <v>153</v>
      </c>
      <c r="B70" s="25"/>
      <c r="C70" s="25"/>
      <c r="D70" s="31"/>
      <c r="E70" s="32">
        <f>SUM(E67:E69)</f>
        <v>6882.1934999999994</v>
      </c>
      <c r="F70" s="33">
        <f>SUM(F67:F69)</f>
        <v>8.3051144246908581</v>
      </c>
      <c r="G70" s="17"/>
      <c r="H70" s="17"/>
      <c r="I70" s="17"/>
    </row>
    <row r="71" spans="1:9" x14ac:dyDescent="0.2">
      <c r="A71" s="26"/>
      <c r="B71" s="26"/>
      <c r="C71" s="26"/>
      <c r="D71" s="27"/>
      <c r="E71" s="28"/>
      <c r="F71" s="29"/>
    </row>
    <row r="72" spans="1:9" ht="10.5" x14ac:dyDescent="0.25">
      <c r="A72" s="25" t="s">
        <v>166</v>
      </c>
      <c r="B72" s="25"/>
      <c r="C72" s="25"/>
      <c r="D72" s="31"/>
      <c r="E72" s="32">
        <f>E51+E55+E60+E64+E70</f>
        <v>78981.867589999965</v>
      </c>
      <c r="F72" s="33">
        <f>F51+F55+F60+F64+F70</f>
        <v>95.311683376925131</v>
      </c>
      <c r="G72" s="17"/>
      <c r="H72" s="17"/>
      <c r="I72" s="17"/>
    </row>
    <row r="73" spans="1:9" ht="10.5" x14ac:dyDescent="0.25">
      <c r="A73" s="25"/>
      <c r="B73" s="25"/>
      <c r="C73" s="25"/>
      <c r="D73" s="31"/>
      <c r="E73" s="32"/>
      <c r="F73" s="33"/>
      <c r="G73" s="17"/>
      <c r="H73" s="17"/>
      <c r="I73" s="17"/>
    </row>
    <row r="74" spans="1:9" ht="10.5" x14ac:dyDescent="0.25">
      <c r="A74" s="25" t="s">
        <v>168</v>
      </c>
      <c r="B74" s="25"/>
      <c r="C74" s="25"/>
      <c r="D74" s="31"/>
      <c r="E74" s="32">
        <f>E76-(E51+E55+E60+E64+E70)</f>
        <v>3885.0641351000377</v>
      </c>
      <c r="F74" s="33">
        <f>F76-(F51+F55+F60+F64+F70)</f>
        <v>4.6883166230748685</v>
      </c>
      <c r="G74" s="17"/>
      <c r="H74" s="17"/>
      <c r="I74" s="17"/>
    </row>
    <row r="75" spans="1:9" ht="10.5" x14ac:dyDescent="0.25">
      <c r="A75" s="25"/>
      <c r="B75" s="25"/>
      <c r="C75" s="25"/>
      <c r="D75" s="31"/>
      <c r="E75" s="32"/>
      <c r="F75" s="33"/>
      <c r="G75" s="17"/>
      <c r="H75" s="17"/>
      <c r="I75" s="17"/>
    </row>
    <row r="76" spans="1:9" ht="10.5" x14ac:dyDescent="0.25">
      <c r="A76" s="34" t="s">
        <v>167</v>
      </c>
      <c r="B76" s="34"/>
      <c r="C76" s="34"/>
      <c r="D76" s="35"/>
      <c r="E76" s="36">
        <v>82866.931725100003</v>
      </c>
      <c r="F76" s="37">
        <v>100</v>
      </c>
      <c r="G76" s="17"/>
      <c r="H76" s="17"/>
      <c r="I76" s="17"/>
    </row>
    <row r="77" spans="1:9" x14ac:dyDescent="0.2">
      <c r="A77" s="64" t="s">
        <v>1648</v>
      </c>
    </row>
    <row r="78" spans="1:9" x14ac:dyDescent="0.2">
      <c r="A78" s="74"/>
    </row>
    <row r="79" spans="1:9" ht="10.5" x14ac:dyDescent="0.25">
      <c r="A79" s="17" t="s">
        <v>170</v>
      </c>
    </row>
    <row r="81" spans="1:4" ht="10.5" x14ac:dyDescent="0.25">
      <c r="A81" s="17" t="s">
        <v>171</v>
      </c>
    </row>
    <row r="82" spans="1:4" ht="10.5" x14ac:dyDescent="0.25">
      <c r="A82" s="17" t="s">
        <v>172</v>
      </c>
    </row>
    <row r="83" spans="1:4" ht="10.5" x14ac:dyDescent="0.25">
      <c r="A83" s="17" t="s">
        <v>173</v>
      </c>
      <c r="B83" s="17"/>
      <c r="C83" s="38" t="s">
        <v>175</v>
      </c>
      <c r="D83" s="18" t="s">
        <v>174</v>
      </c>
    </row>
    <row r="84" spans="1:4" x14ac:dyDescent="0.2">
      <c r="A84" s="10" t="s">
        <v>436</v>
      </c>
      <c r="C84" s="39">
        <v>71.638400000000004</v>
      </c>
      <c r="D84" s="39">
        <v>74.726500000000001</v>
      </c>
    </row>
    <row r="85" spans="1:4" x14ac:dyDescent="0.2">
      <c r="A85" s="10" t="s">
        <v>437</v>
      </c>
      <c r="C85" s="39">
        <v>16.032900000000001</v>
      </c>
      <c r="D85" s="39">
        <v>16.1113</v>
      </c>
    </row>
    <row r="86" spans="1:4" x14ac:dyDescent="0.2">
      <c r="A86" s="10" t="s">
        <v>438</v>
      </c>
      <c r="C86" s="39">
        <v>13.311400000000001</v>
      </c>
      <c r="D86" s="39">
        <v>13.3278</v>
      </c>
    </row>
    <row r="87" spans="1:4" x14ac:dyDescent="0.2">
      <c r="A87" s="10" t="s">
        <v>623</v>
      </c>
      <c r="C87" s="39">
        <v>13.794</v>
      </c>
      <c r="D87" s="39">
        <v>13.837199999999999</v>
      </c>
    </row>
    <row r="88" spans="1:4" x14ac:dyDescent="0.2">
      <c r="A88" s="10" t="s">
        <v>624</v>
      </c>
      <c r="C88" s="39">
        <v>17.224299999999999</v>
      </c>
      <c r="D88" s="39">
        <v>17.966799999999999</v>
      </c>
    </row>
    <row r="89" spans="1:4" x14ac:dyDescent="0.2">
      <c r="A89" s="10" t="s">
        <v>439</v>
      </c>
      <c r="C89" s="39">
        <v>75.374799999999993</v>
      </c>
      <c r="D89" s="39">
        <v>78.852599999999995</v>
      </c>
    </row>
    <row r="90" spans="1:4" x14ac:dyDescent="0.2">
      <c r="A90" s="10" t="s">
        <v>440</v>
      </c>
      <c r="C90" s="39">
        <v>17.1996</v>
      </c>
      <c r="D90" s="39">
        <v>17.3796</v>
      </c>
    </row>
    <row r="91" spans="1:4" x14ac:dyDescent="0.2">
      <c r="A91" s="10" t="s">
        <v>441</v>
      </c>
      <c r="C91" s="39">
        <v>14.3187</v>
      </c>
      <c r="D91" s="39">
        <v>14.4216</v>
      </c>
    </row>
    <row r="92" spans="1:4" x14ac:dyDescent="0.2">
      <c r="A92" s="10" t="s">
        <v>625</v>
      </c>
      <c r="C92" s="39">
        <v>15.124499999999999</v>
      </c>
      <c r="D92" s="39">
        <v>15.272</v>
      </c>
    </row>
    <row r="93" spans="1:4" x14ac:dyDescent="0.2">
      <c r="A93" s="10" t="s">
        <v>626</v>
      </c>
      <c r="C93" s="39">
        <v>18.559200000000001</v>
      </c>
      <c r="D93" s="39">
        <v>19.416</v>
      </c>
    </row>
    <row r="95" spans="1:4" ht="10.5" x14ac:dyDescent="0.25">
      <c r="A95" s="17" t="s">
        <v>185</v>
      </c>
    </row>
    <row r="96" spans="1:4" ht="12.5" x14ac:dyDescent="0.25">
      <c r="A96" s="100" t="s">
        <v>350</v>
      </c>
      <c r="B96" s="101"/>
      <c r="C96" s="98" t="s">
        <v>1658</v>
      </c>
      <c r="D96" s="99"/>
    </row>
    <row r="97" spans="1:5" ht="10.5" x14ac:dyDescent="0.25">
      <c r="A97" s="100"/>
      <c r="B97" s="101"/>
      <c r="C97" s="43" t="s">
        <v>351</v>
      </c>
      <c r="D97" s="44" t="s">
        <v>352</v>
      </c>
    </row>
    <row r="98" spans="1:5" x14ac:dyDescent="0.2">
      <c r="A98" s="94" t="s">
        <v>437</v>
      </c>
      <c r="B98" s="95"/>
      <c r="C98" s="45">
        <v>0.6</v>
      </c>
      <c r="D98" s="45">
        <v>0.6</v>
      </c>
    </row>
    <row r="99" spans="1:5" x14ac:dyDescent="0.2">
      <c r="A99" s="94" t="s">
        <v>438</v>
      </c>
      <c r="B99" s="95"/>
      <c r="C99" s="45">
        <v>0.55000000000000004</v>
      </c>
      <c r="D99" s="45">
        <v>0.55000000000000004</v>
      </c>
    </row>
    <row r="100" spans="1:5" x14ac:dyDescent="0.2">
      <c r="A100" s="94" t="s">
        <v>623</v>
      </c>
      <c r="B100" s="95"/>
      <c r="C100" s="45">
        <v>0.55000000000000004</v>
      </c>
      <c r="D100" s="45">
        <v>0.55000000000000004</v>
      </c>
    </row>
    <row r="101" spans="1:5" x14ac:dyDescent="0.2">
      <c r="A101" s="94" t="s">
        <v>440</v>
      </c>
      <c r="B101" s="95"/>
      <c r="C101" s="45">
        <v>0.6</v>
      </c>
      <c r="D101" s="45">
        <v>0.6</v>
      </c>
    </row>
    <row r="102" spans="1:5" x14ac:dyDescent="0.2">
      <c r="A102" s="94" t="s">
        <v>441</v>
      </c>
      <c r="B102" s="95"/>
      <c r="C102" s="45">
        <v>0.55000000000000004</v>
      </c>
      <c r="D102" s="45">
        <v>0.55000000000000004</v>
      </c>
    </row>
    <row r="103" spans="1:5" x14ac:dyDescent="0.2">
      <c r="A103" s="94" t="s">
        <v>625</v>
      </c>
      <c r="B103" s="95"/>
      <c r="C103" s="45">
        <v>0.55000000000000004</v>
      </c>
      <c r="D103" s="45">
        <v>0.55000000000000004</v>
      </c>
    </row>
    <row r="104" spans="1:5" x14ac:dyDescent="0.2">
      <c r="A104" s="90" t="s">
        <v>1657</v>
      </c>
    </row>
    <row r="106" spans="1:5" ht="10.5" x14ac:dyDescent="0.25">
      <c r="A106" s="17" t="s">
        <v>187</v>
      </c>
      <c r="D106" s="41">
        <v>2.8599415406575401</v>
      </c>
      <c r="E106" s="15" t="s">
        <v>188</v>
      </c>
    </row>
    <row r="108" spans="1:5" ht="10.5" x14ac:dyDescent="0.25">
      <c r="A108" s="17" t="s">
        <v>189</v>
      </c>
      <c r="D108" s="40" t="s">
        <v>186</v>
      </c>
    </row>
    <row r="110" spans="1:5" ht="10.5" x14ac:dyDescent="0.25">
      <c r="A110" s="17" t="s">
        <v>1588</v>
      </c>
    </row>
    <row r="112" spans="1:5" x14ac:dyDescent="0.2">
      <c r="A112" s="10" t="s">
        <v>1589</v>
      </c>
    </row>
    <row r="114" spans="1:5" ht="63" x14ac:dyDescent="0.2">
      <c r="A114" s="8" t="s">
        <v>2</v>
      </c>
      <c r="B114" s="85" t="s">
        <v>1583</v>
      </c>
      <c r="C114" s="85" t="s">
        <v>1655</v>
      </c>
      <c r="D114" s="85" t="s">
        <v>1584</v>
      </c>
      <c r="E114" s="85" t="s">
        <v>1618</v>
      </c>
    </row>
    <row r="115" spans="1:5" x14ac:dyDescent="0.2">
      <c r="A115" s="81" t="s">
        <v>1622</v>
      </c>
      <c r="B115" s="81" t="s">
        <v>1623</v>
      </c>
      <c r="C115" s="82">
        <f>53460000/100000</f>
        <v>534.6</v>
      </c>
      <c r="D115" s="83">
        <v>6.4513067983917186E-3</v>
      </c>
      <c r="E115" s="82">
        <f>224422415.43/100000</f>
        <v>2244.2241543</v>
      </c>
    </row>
    <row r="116" spans="1:5" x14ac:dyDescent="0.2">
      <c r="A116" s="91"/>
      <c r="B116" s="91"/>
      <c r="C116" s="92"/>
      <c r="D116" s="93"/>
      <c r="E116" s="92"/>
    </row>
    <row r="117" spans="1:5" x14ac:dyDescent="0.2">
      <c r="A117" s="91" t="s">
        <v>1656</v>
      </c>
      <c r="B117" s="91"/>
      <c r="C117" s="92"/>
      <c r="D117" s="93"/>
      <c r="E117" s="92"/>
    </row>
    <row r="119" spans="1:5" ht="10.5" x14ac:dyDescent="0.25">
      <c r="A119" s="17" t="s">
        <v>1636</v>
      </c>
    </row>
    <row r="120" spans="1:5" x14ac:dyDescent="0.2">
      <c r="A120" s="88" t="s">
        <v>1545</v>
      </c>
    </row>
    <row r="121" spans="1:5" ht="14.5" x14ac:dyDescent="0.2">
      <c r="A121" s="65"/>
    </row>
    <row r="122" spans="1:5" ht="10.5" x14ac:dyDescent="0.25">
      <c r="A122" s="17" t="s">
        <v>1538</v>
      </c>
    </row>
  </sheetData>
  <mergeCells count="10">
    <mergeCell ref="A100:B100"/>
    <mergeCell ref="A101:B101"/>
    <mergeCell ref="A102:B102"/>
    <mergeCell ref="A103:B103"/>
    <mergeCell ref="A1:F1"/>
    <mergeCell ref="C96:D96"/>
    <mergeCell ref="A96:B96"/>
    <mergeCell ref="A97:B97"/>
    <mergeCell ref="A98:B98"/>
    <mergeCell ref="A99:B99"/>
  </mergeCells>
  <conditionalFormatting sqref="F2:F3 F5:F109 F118:F65548">
    <cfRule type="cellIs" dxfId="102" priority="3" stopIfTrue="1" operator="between">
      <formula>0.009</formula>
      <formula>-0.009</formula>
    </cfRule>
  </conditionalFormatting>
  <conditionalFormatting sqref="F110:F113">
    <cfRule type="cellIs" dxfId="101" priority="2" stopIfTrue="1" operator="between">
      <formula>0.009</formula>
      <formula>-0.009</formula>
    </cfRule>
  </conditionalFormatting>
  <conditionalFormatting sqref="F114:F117">
    <cfRule type="cellIs" dxfId="100" priority="1" stopIfTrue="1" operator="between">
      <formula>0.009</formula>
      <formula>-0.009</formula>
    </cfRule>
  </conditionalFormatting>
  <hyperlinks>
    <hyperlink ref="A120" r:id="rId1" xr:uid="{00000000-0004-0000-0400-000000000000}"/>
  </hyperlinks>
  <pageMargins left="0.7" right="0.7" top="0.75" bottom="0.75" header="0.3" footer="0.3"/>
  <pageSetup paperSize="9" scale="52" orientation="portrait" r:id="rId2"/>
  <headerFooter>
    <oddFooter>&amp;LPUBLIC</oddFooter>
    <evenFooter>&amp;LPUBLIC</evenFooter>
    <firstFooter>&amp;LPUBLIC</firstFooter>
  </headerFooter>
  <colBreaks count="1" manualBreakCount="1">
    <brk id="6"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7"/>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1796875"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13</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1647</v>
      </c>
      <c r="B6" s="26"/>
      <c r="C6" s="26"/>
      <c r="D6" s="27"/>
      <c r="E6" s="28"/>
      <c r="F6" s="29"/>
    </row>
    <row r="7" spans="1:6" x14ac:dyDescent="0.2">
      <c r="A7" s="26" t="s">
        <v>628</v>
      </c>
      <c r="B7" s="26" t="s">
        <v>627</v>
      </c>
      <c r="C7" s="26" t="s">
        <v>152</v>
      </c>
      <c r="D7" s="30">
        <v>750</v>
      </c>
      <c r="E7" s="28">
        <v>7957.4549999999999</v>
      </c>
      <c r="F7" s="29">
        <v>7.8130793999309898</v>
      </c>
    </row>
    <row r="8" spans="1:6" x14ac:dyDescent="0.2">
      <c r="A8" s="26" t="s">
        <v>630</v>
      </c>
      <c r="B8" s="26" t="s">
        <v>629</v>
      </c>
      <c r="C8" s="26" t="s">
        <v>152</v>
      </c>
      <c r="D8" s="30">
        <v>400</v>
      </c>
      <c r="E8" s="28">
        <v>4309.0479999999998</v>
      </c>
      <c r="F8" s="29">
        <v>4.2308670500950196</v>
      </c>
    </row>
    <row r="9" spans="1:6" x14ac:dyDescent="0.2">
      <c r="A9" s="26" t="s">
        <v>632</v>
      </c>
      <c r="B9" s="26" t="s">
        <v>631</v>
      </c>
      <c r="C9" s="26" t="s">
        <v>152</v>
      </c>
      <c r="D9" s="30">
        <v>400</v>
      </c>
      <c r="E9" s="28">
        <v>4255.5919999999996</v>
      </c>
      <c r="F9" s="29">
        <v>4.1783809257747802</v>
      </c>
    </row>
    <row r="10" spans="1:6" x14ac:dyDescent="0.2">
      <c r="A10" s="26" t="s">
        <v>576</v>
      </c>
      <c r="B10" s="26" t="s">
        <v>575</v>
      </c>
      <c r="C10" s="26" t="s">
        <v>152</v>
      </c>
      <c r="D10" s="30">
        <v>400</v>
      </c>
      <c r="E10" s="28">
        <v>4164.9399999999996</v>
      </c>
      <c r="F10" s="29">
        <v>4.0893736648147696</v>
      </c>
    </row>
    <row r="11" spans="1:6" x14ac:dyDescent="0.2">
      <c r="A11" s="26" t="s">
        <v>634</v>
      </c>
      <c r="B11" s="26" t="s">
        <v>633</v>
      </c>
      <c r="C11" s="26" t="s">
        <v>152</v>
      </c>
      <c r="D11" s="30">
        <v>350</v>
      </c>
      <c r="E11" s="28">
        <v>3643.2514999999999</v>
      </c>
      <c r="F11" s="29">
        <v>3.5771503883361802</v>
      </c>
    </row>
    <row r="12" spans="1:6" x14ac:dyDescent="0.2">
      <c r="A12" s="26" t="s">
        <v>636</v>
      </c>
      <c r="B12" s="26" t="s">
        <v>635</v>
      </c>
      <c r="C12" s="26" t="s">
        <v>532</v>
      </c>
      <c r="D12" s="30">
        <v>300</v>
      </c>
      <c r="E12" s="28">
        <v>3137.8620000000001</v>
      </c>
      <c r="F12" s="29">
        <v>3.0809303919439399</v>
      </c>
    </row>
    <row r="13" spans="1:6" x14ac:dyDescent="0.2">
      <c r="A13" s="26" t="s">
        <v>547</v>
      </c>
      <c r="B13" s="26" t="s">
        <v>546</v>
      </c>
      <c r="C13" s="26" t="s">
        <v>548</v>
      </c>
      <c r="D13" s="30">
        <v>300</v>
      </c>
      <c r="E13" s="28">
        <v>3094.8780000000002</v>
      </c>
      <c r="F13" s="29">
        <v>3.0387262695296</v>
      </c>
    </row>
    <row r="14" spans="1:6" x14ac:dyDescent="0.2">
      <c r="A14" s="26" t="s">
        <v>638</v>
      </c>
      <c r="B14" s="26" t="s">
        <v>637</v>
      </c>
      <c r="C14" s="26" t="s">
        <v>152</v>
      </c>
      <c r="D14" s="30">
        <v>250</v>
      </c>
      <c r="E14" s="28">
        <v>2828.9575</v>
      </c>
      <c r="F14" s="29">
        <v>2.77763048192296</v>
      </c>
    </row>
    <row r="15" spans="1:6" x14ac:dyDescent="0.2">
      <c r="A15" s="26" t="s">
        <v>640</v>
      </c>
      <c r="B15" s="26" t="s">
        <v>639</v>
      </c>
      <c r="C15" s="26" t="s">
        <v>532</v>
      </c>
      <c r="D15" s="30">
        <v>250</v>
      </c>
      <c r="E15" s="28">
        <v>2611.2624999999998</v>
      </c>
      <c r="F15" s="29">
        <v>2.5638852178947</v>
      </c>
    </row>
    <row r="16" spans="1:6" x14ac:dyDescent="0.2">
      <c r="A16" s="26" t="s">
        <v>642</v>
      </c>
      <c r="B16" s="26" t="s">
        <v>641</v>
      </c>
      <c r="C16" s="26" t="s">
        <v>152</v>
      </c>
      <c r="D16" s="30">
        <v>250</v>
      </c>
      <c r="E16" s="28">
        <v>2595.4299999999998</v>
      </c>
      <c r="F16" s="29">
        <v>2.5483399738940302</v>
      </c>
    </row>
    <row r="17" spans="1:6" x14ac:dyDescent="0.2">
      <c r="A17" s="26" t="s">
        <v>644</v>
      </c>
      <c r="B17" s="26" t="s">
        <v>643</v>
      </c>
      <c r="C17" s="26" t="s">
        <v>152</v>
      </c>
      <c r="D17" s="30">
        <v>250</v>
      </c>
      <c r="E17" s="28">
        <v>2451.9074999999998</v>
      </c>
      <c r="F17" s="29">
        <v>2.4074214656301902</v>
      </c>
    </row>
    <row r="18" spans="1:6" x14ac:dyDescent="0.2">
      <c r="A18" s="26" t="s">
        <v>572</v>
      </c>
      <c r="B18" s="26" t="s">
        <v>571</v>
      </c>
      <c r="C18" s="26" t="s">
        <v>152</v>
      </c>
      <c r="D18" s="30">
        <v>210</v>
      </c>
      <c r="E18" s="28">
        <v>2293.5444000000002</v>
      </c>
      <c r="F18" s="29">
        <v>2.25193161688845</v>
      </c>
    </row>
    <row r="19" spans="1:6" x14ac:dyDescent="0.2">
      <c r="A19" s="26" t="s">
        <v>590</v>
      </c>
      <c r="B19" s="26" t="s">
        <v>589</v>
      </c>
      <c r="C19" s="26" t="s">
        <v>152</v>
      </c>
      <c r="D19" s="30">
        <v>200</v>
      </c>
      <c r="E19" s="28">
        <v>2049.864</v>
      </c>
      <c r="F19" s="29">
        <v>2.0126724173822099</v>
      </c>
    </row>
    <row r="20" spans="1:6" x14ac:dyDescent="0.2">
      <c r="A20" s="26" t="s">
        <v>646</v>
      </c>
      <c r="B20" s="26" t="s">
        <v>645</v>
      </c>
      <c r="C20" s="26" t="s">
        <v>492</v>
      </c>
      <c r="D20" s="30">
        <v>750</v>
      </c>
      <c r="E20" s="28">
        <v>1611.9435000000001</v>
      </c>
      <c r="F20" s="29">
        <v>1.5826973012983001</v>
      </c>
    </row>
    <row r="21" spans="1:6" x14ac:dyDescent="0.2">
      <c r="A21" s="26" t="s">
        <v>578</v>
      </c>
      <c r="B21" s="26" t="s">
        <v>577</v>
      </c>
      <c r="C21" s="26" t="s">
        <v>152</v>
      </c>
      <c r="D21" s="30">
        <v>150</v>
      </c>
      <c r="E21" s="28">
        <v>1550.1179999999999</v>
      </c>
      <c r="F21" s="29">
        <v>1.5219935284914901</v>
      </c>
    </row>
    <row r="22" spans="1:6" x14ac:dyDescent="0.2">
      <c r="A22" s="26" t="s">
        <v>584</v>
      </c>
      <c r="B22" s="26" t="s">
        <v>583</v>
      </c>
      <c r="C22" s="26" t="s">
        <v>532</v>
      </c>
      <c r="D22" s="30">
        <v>120</v>
      </c>
      <c r="E22" s="28">
        <v>1254.5052000000001</v>
      </c>
      <c r="F22" s="29">
        <v>1.2317441613212201</v>
      </c>
    </row>
    <row r="23" spans="1:6" x14ac:dyDescent="0.2">
      <c r="A23" s="26" t="s">
        <v>570</v>
      </c>
      <c r="B23" s="26" t="s">
        <v>569</v>
      </c>
      <c r="C23" s="26" t="s">
        <v>152</v>
      </c>
      <c r="D23" s="30">
        <v>120</v>
      </c>
      <c r="E23" s="28">
        <v>1240.29</v>
      </c>
      <c r="F23" s="29">
        <v>1.2177868739365001</v>
      </c>
    </row>
    <row r="24" spans="1:6" x14ac:dyDescent="0.2">
      <c r="A24" s="26" t="s">
        <v>592</v>
      </c>
      <c r="B24" s="26" t="s">
        <v>591</v>
      </c>
      <c r="C24" s="26" t="s">
        <v>152</v>
      </c>
      <c r="D24" s="30">
        <v>110</v>
      </c>
      <c r="E24" s="28">
        <v>1197.5227</v>
      </c>
      <c r="F24" s="29">
        <v>1.1757955198389101</v>
      </c>
    </row>
    <row r="25" spans="1:6" x14ac:dyDescent="0.2">
      <c r="A25" s="26" t="s">
        <v>648</v>
      </c>
      <c r="B25" s="26" t="s">
        <v>647</v>
      </c>
      <c r="C25" s="26" t="s">
        <v>532</v>
      </c>
      <c r="D25" s="30">
        <v>100</v>
      </c>
      <c r="E25" s="28">
        <v>1088.5440000000001</v>
      </c>
      <c r="F25" s="29">
        <v>1.06879406824399</v>
      </c>
    </row>
    <row r="26" spans="1:6" x14ac:dyDescent="0.2">
      <c r="A26" s="26" t="s">
        <v>650</v>
      </c>
      <c r="B26" s="26" t="s">
        <v>649</v>
      </c>
      <c r="C26" s="26" t="s">
        <v>152</v>
      </c>
      <c r="D26" s="30">
        <v>100</v>
      </c>
      <c r="E26" s="28">
        <v>1066.58</v>
      </c>
      <c r="F26" s="29">
        <v>1.0472285707400699</v>
      </c>
    </row>
    <row r="27" spans="1:6" x14ac:dyDescent="0.2">
      <c r="A27" s="26" t="s">
        <v>652</v>
      </c>
      <c r="B27" s="26" t="s">
        <v>651</v>
      </c>
      <c r="C27" s="26" t="s">
        <v>133</v>
      </c>
      <c r="D27" s="30">
        <v>100</v>
      </c>
      <c r="E27" s="28">
        <v>1032.7850000000001</v>
      </c>
      <c r="F27" s="29">
        <v>1.01404672826396</v>
      </c>
    </row>
    <row r="28" spans="1:6" x14ac:dyDescent="0.2">
      <c r="A28" s="26" t="s">
        <v>654</v>
      </c>
      <c r="B28" s="26" t="s">
        <v>653</v>
      </c>
      <c r="C28" s="26" t="s">
        <v>532</v>
      </c>
      <c r="D28" s="30">
        <v>500</v>
      </c>
      <c r="E28" s="28">
        <v>1032</v>
      </c>
      <c r="F28" s="29">
        <v>1.0132759708636501</v>
      </c>
    </row>
    <row r="29" spans="1:6" x14ac:dyDescent="0.2">
      <c r="A29" s="26" t="s">
        <v>656</v>
      </c>
      <c r="B29" s="26" t="s">
        <v>655</v>
      </c>
      <c r="C29" s="26" t="s">
        <v>532</v>
      </c>
      <c r="D29" s="30">
        <v>500</v>
      </c>
      <c r="E29" s="28">
        <v>1015.621</v>
      </c>
      <c r="F29" s="29">
        <v>0.99719414225243097</v>
      </c>
    </row>
    <row r="30" spans="1:6" x14ac:dyDescent="0.2">
      <c r="A30" s="26" t="s">
        <v>658</v>
      </c>
      <c r="B30" s="26" t="s">
        <v>657</v>
      </c>
      <c r="C30" s="26" t="s">
        <v>152</v>
      </c>
      <c r="D30" s="30">
        <v>80</v>
      </c>
      <c r="E30" s="28">
        <v>876.87760000000003</v>
      </c>
      <c r="F30" s="29">
        <v>0.86096802467886102</v>
      </c>
    </row>
    <row r="31" spans="1:6" x14ac:dyDescent="0.2">
      <c r="A31" s="26" t="s">
        <v>512</v>
      </c>
      <c r="B31" s="26" t="s">
        <v>511</v>
      </c>
      <c r="C31" s="26" t="s">
        <v>152</v>
      </c>
      <c r="D31" s="30">
        <v>70</v>
      </c>
      <c r="E31" s="28">
        <v>768.96889999999996</v>
      </c>
      <c r="F31" s="29">
        <v>0.75501715960411897</v>
      </c>
    </row>
    <row r="32" spans="1:6" x14ac:dyDescent="0.2">
      <c r="A32" s="26" t="s">
        <v>660</v>
      </c>
      <c r="B32" s="26" t="s">
        <v>659</v>
      </c>
      <c r="C32" s="26" t="s">
        <v>152</v>
      </c>
      <c r="D32" s="30">
        <v>50</v>
      </c>
      <c r="E32" s="28">
        <v>554.5625</v>
      </c>
      <c r="F32" s="29">
        <v>0.54450082906208497</v>
      </c>
    </row>
    <row r="33" spans="1:9" x14ac:dyDescent="0.2">
      <c r="A33" s="26" t="s">
        <v>662</v>
      </c>
      <c r="B33" s="26" t="s">
        <v>661</v>
      </c>
      <c r="C33" s="26" t="s">
        <v>152</v>
      </c>
      <c r="D33" s="30">
        <v>50</v>
      </c>
      <c r="E33" s="28">
        <v>550.34299999999996</v>
      </c>
      <c r="F33" s="29">
        <v>0.54035788530330597</v>
      </c>
    </row>
    <row r="34" spans="1:9" x14ac:dyDescent="0.2">
      <c r="A34" s="26" t="s">
        <v>664</v>
      </c>
      <c r="B34" s="26" t="s">
        <v>663</v>
      </c>
      <c r="C34" s="26" t="s">
        <v>152</v>
      </c>
      <c r="D34" s="30">
        <v>50</v>
      </c>
      <c r="E34" s="28">
        <v>549.5915</v>
      </c>
      <c r="F34" s="29">
        <v>0.53962002009777899</v>
      </c>
    </row>
    <row r="35" spans="1:9" x14ac:dyDescent="0.2">
      <c r="A35" s="26" t="s">
        <v>574</v>
      </c>
      <c r="B35" s="26" t="s">
        <v>573</v>
      </c>
      <c r="C35" s="26" t="s">
        <v>152</v>
      </c>
      <c r="D35" s="30">
        <v>50</v>
      </c>
      <c r="E35" s="28">
        <v>535.11149999999998</v>
      </c>
      <c r="F35" s="29">
        <v>0.52540273709573904</v>
      </c>
    </row>
    <row r="36" spans="1:9" x14ac:dyDescent="0.2">
      <c r="A36" s="26" t="s">
        <v>550</v>
      </c>
      <c r="B36" s="26" t="s">
        <v>549</v>
      </c>
      <c r="C36" s="26" t="s">
        <v>541</v>
      </c>
      <c r="D36" s="30">
        <v>50</v>
      </c>
      <c r="E36" s="28">
        <v>517.65899999999999</v>
      </c>
      <c r="F36" s="29">
        <v>0.50826688546638099</v>
      </c>
    </row>
    <row r="37" spans="1:9" x14ac:dyDescent="0.2">
      <c r="A37" s="26" t="s">
        <v>552</v>
      </c>
      <c r="B37" s="26" t="s">
        <v>551</v>
      </c>
      <c r="C37" s="26" t="s">
        <v>152</v>
      </c>
      <c r="D37" s="30">
        <v>32</v>
      </c>
      <c r="E37" s="28">
        <v>335.51519999999999</v>
      </c>
      <c r="F37" s="29">
        <v>0.32942780040650299</v>
      </c>
    </row>
    <row r="38" spans="1:9" x14ac:dyDescent="0.2">
      <c r="A38" s="26" t="s">
        <v>666</v>
      </c>
      <c r="B38" s="26" t="s">
        <v>665</v>
      </c>
      <c r="C38" s="26" t="s">
        <v>667</v>
      </c>
      <c r="D38" s="30">
        <v>27</v>
      </c>
      <c r="E38" s="28">
        <v>289.96271999999999</v>
      </c>
      <c r="F38" s="29">
        <v>0.28470179905258097</v>
      </c>
    </row>
    <row r="39" spans="1:9" x14ac:dyDescent="0.2">
      <c r="A39" s="26" t="s">
        <v>618</v>
      </c>
      <c r="B39" s="26" t="s">
        <v>617</v>
      </c>
      <c r="C39" s="26" t="s">
        <v>152</v>
      </c>
      <c r="D39" s="30">
        <v>23</v>
      </c>
      <c r="E39" s="28">
        <v>236.20332999999999</v>
      </c>
      <c r="F39" s="29">
        <v>0.231917789270326</v>
      </c>
    </row>
    <row r="40" spans="1:9" x14ac:dyDescent="0.2">
      <c r="A40" s="26" t="s">
        <v>669</v>
      </c>
      <c r="B40" s="26" t="s">
        <v>668</v>
      </c>
      <c r="C40" s="26" t="s">
        <v>532</v>
      </c>
      <c r="D40" s="30">
        <v>5</v>
      </c>
      <c r="E40" s="28">
        <v>52.513500000000001</v>
      </c>
      <c r="F40" s="29">
        <v>5.1560724511577699E-2</v>
      </c>
    </row>
    <row r="41" spans="1:9" x14ac:dyDescent="0.2">
      <c r="A41" s="26" t="s">
        <v>614</v>
      </c>
      <c r="B41" s="26" t="s">
        <v>613</v>
      </c>
      <c r="C41" s="26" t="s">
        <v>152</v>
      </c>
      <c r="D41" s="30">
        <v>2</v>
      </c>
      <c r="E41" s="28">
        <v>20.348880000000001</v>
      </c>
      <c r="F41" s="29">
        <v>1.99796813352595E-2</v>
      </c>
    </row>
    <row r="42" spans="1:9" x14ac:dyDescent="0.2">
      <c r="A42" s="26" t="s">
        <v>671</v>
      </c>
      <c r="B42" s="26" t="s">
        <v>670</v>
      </c>
      <c r="C42" s="26" t="s">
        <v>152</v>
      </c>
      <c r="D42" s="30">
        <v>1</v>
      </c>
      <c r="E42" s="28">
        <v>10.22247</v>
      </c>
      <c r="F42" s="29">
        <v>1.00369992382505E-2</v>
      </c>
    </row>
    <row r="43" spans="1:9" ht="10.5" x14ac:dyDescent="0.25">
      <c r="A43" s="25" t="s">
        <v>153</v>
      </c>
      <c r="B43" s="25"/>
      <c r="C43" s="25"/>
      <c r="D43" s="31"/>
      <c r="E43" s="32">
        <f>SUM(E6:E42)</f>
        <v>62781.781900000009</v>
      </c>
      <c r="F43" s="33">
        <f>SUM(F6:F42)</f>
        <v>61.642704464411125</v>
      </c>
      <c r="G43" s="17"/>
      <c r="H43" s="17"/>
      <c r="I43" s="17"/>
    </row>
    <row r="44" spans="1:9" x14ac:dyDescent="0.2">
      <c r="A44" s="26"/>
      <c r="B44" s="26"/>
      <c r="C44" s="26"/>
      <c r="D44" s="27"/>
      <c r="E44" s="28"/>
      <c r="F44" s="29"/>
    </row>
    <row r="45" spans="1:9" ht="10.5" x14ac:dyDescent="0.25">
      <c r="A45" s="25" t="s">
        <v>362</v>
      </c>
      <c r="B45" s="26"/>
      <c r="C45" s="26"/>
      <c r="D45" s="27"/>
      <c r="E45" s="28"/>
      <c r="F45" s="29"/>
    </row>
    <row r="46" spans="1:9" ht="10.5" x14ac:dyDescent="0.25">
      <c r="A46" s="25" t="s">
        <v>363</v>
      </c>
      <c r="B46" s="26"/>
      <c r="C46" s="26"/>
      <c r="D46" s="27"/>
      <c r="E46" s="28"/>
      <c r="F46" s="29"/>
    </row>
    <row r="47" spans="1:9" x14ac:dyDescent="0.2">
      <c r="A47" s="26" t="s">
        <v>368</v>
      </c>
      <c r="B47" s="26" t="s">
        <v>367</v>
      </c>
      <c r="C47" s="26" t="s">
        <v>369</v>
      </c>
      <c r="D47" s="30">
        <v>9000</v>
      </c>
      <c r="E47" s="28">
        <v>8864.2710000000006</v>
      </c>
      <c r="F47" s="29">
        <v>8.7034426390731294</v>
      </c>
    </row>
    <row r="48" spans="1:9" x14ac:dyDescent="0.2">
      <c r="A48" s="26" t="s">
        <v>371</v>
      </c>
      <c r="B48" s="26" t="s">
        <v>370</v>
      </c>
      <c r="C48" s="26" t="s">
        <v>369</v>
      </c>
      <c r="D48" s="30">
        <v>5000</v>
      </c>
      <c r="E48" s="28">
        <v>4870.5349999999999</v>
      </c>
      <c r="F48" s="29">
        <v>4.78216674491315</v>
      </c>
    </row>
    <row r="49" spans="1:9" ht="10.5" x14ac:dyDescent="0.25">
      <c r="A49" s="25" t="s">
        <v>153</v>
      </c>
      <c r="B49" s="25"/>
      <c r="C49" s="25"/>
      <c r="D49" s="31"/>
      <c r="E49" s="32">
        <f>SUM(E46:E48)</f>
        <v>13734.806</v>
      </c>
      <c r="F49" s="33">
        <f>SUM(F46:F48)</f>
        <v>13.485609383986279</v>
      </c>
      <c r="G49" s="17"/>
      <c r="H49" s="17"/>
      <c r="I49" s="17"/>
    </row>
    <row r="50" spans="1:9" x14ac:dyDescent="0.2">
      <c r="A50" s="26"/>
      <c r="B50" s="26"/>
      <c r="C50" s="26"/>
      <c r="D50" s="27"/>
      <c r="E50" s="28"/>
      <c r="F50" s="29"/>
    </row>
    <row r="51" spans="1:9" ht="10.5" x14ac:dyDescent="0.25">
      <c r="A51" s="25" t="s">
        <v>378</v>
      </c>
      <c r="B51" s="26"/>
      <c r="C51" s="26"/>
      <c r="D51" s="27"/>
      <c r="E51" s="28"/>
      <c r="F51" s="29"/>
    </row>
    <row r="52" spans="1:9" x14ac:dyDescent="0.2">
      <c r="A52" s="26" t="s">
        <v>673</v>
      </c>
      <c r="B52" s="26" t="s">
        <v>672</v>
      </c>
      <c r="C52" s="26" t="s">
        <v>369</v>
      </c>
      <c r="D52" s="30">
        <v>800</v>
      </c>
      <c r="E52" s="28">
        <v>3994.6640000000002</v>
      </c>
      <c r="F52" s="29">
        <v>3.92218705704851</v>
      </c>
    </row>
    <row r="53" spans="1:9" ht="10.5" x14ac:dyDescent="0.25">
      <c r="A53" s="25" t="s">
        <v>153</v>
      </c>
      <c r="B53" s="25"/>
      <c r="C53" s="25"/>
      <c r="D53" s="31"/>
      <c r="E53" s="32">
        <f>SUM(E51:E52)</f>
        <v>3994.6640000000002</v>
      </c>
      <c r="F53" s="33">
        <f>SUM(F51:F52)</f>
        <v>3.92218705704851</v>
      </c>
      <c r="G53" s="17"/>
      <c r="H53" s="17"/>
      <c r="I53" s="17"/>
    </row>
    <row r="54" spans="1:9" x14ac:dyDescent="0.2">
      <c r="A54" s="26"/>
      <c r="B54" s="26"/>
      <c r="C54" s="26"/>
      <c r="D54" s="27"/>
      <c r="E54" s="28"/>
      <c r="F54" s="29"/>
    </row>
    <row r="55" spans="1:9" ht="10.5" x14ac:dyDescent="0.25">
      <c r="A55" s="25" t="s">
        <v>473</v>
      </c>
      <c r="B55" s="26"/>
      <c r="C55" s="26"/>
      <c r="D55" s="27"/>
      <c r="E55" s="28"/>
      <c r="F55" s="29"/>
    </row>
    <row r="56" spans="1:9" x14ac:dyDescent="0.2">
      <c r="A56" s="26" t="s">
        <v>675</v>
      </c>
      <c r="B56" s="26" t="s">
        <v>674</v>
      </c>
      <c r="C56" s="26" t="s">
        <v>476</v>
      </c>
      <c r="D56" s="30">
        <v>7500000</v>
      </c>
      <c r="E56" s="28">
        <v>7663.77</v>
      </c>
      <c r="F56" s="29">
        <v>7.5247228558388501</v>
      </c>
    </row>
    <row r="57" spans="1:9" x14ac:dyDescent="0.2">
      <c r="A57" s="26" t="s">
        <v>677</v>
      </c>
      <c r="B57" s="26" t="s">
        <v>676</v>
      </c>
      <c r="C57" s="26" t="s">
        <v>476</v>
      </c>
      <c r="D57" s="30">
        <v>5000000</v>
      </c>
      <c r="E57" s="28">
        <v>5309.335</v>
      </c>
      <c r="F57" s="29">
        <v>5.2130054038423896</v>
      </c>
    </row>
    <row r="58" spans="1:9" x14ac:dyDescent="0.2">
      <c r="A58" s="26" t="s">
        <v>622</v>
      </c>
      <c r="B58" s="26" t="s">
        <v>621</v>
      </c>
      <c r="C58" s="26" t="s">
        <v>476</v>
      </c>
      <c r="D58" s="30">
        <v>4500000</v>
      </c>
      <c r="E58" s="28">
        <v>4701.0375000000004</v>
      </c>
      <c r="F58" s="29">
        <v>4.6157445124795702</v>
      </c>
    </row>
    <row r="59" spans="1:9" ht="10.5" x14ac:dyDescent="0.25">
      <c r="A59" s="25" t="s">
        <v>153</v>
      </c>
      <c r="B59" s="25"/>
      <c r="C59" s="25"/>
      <c r="D59" s="31"/>
      <c r="E59" s="32">
        <f>SUM(E56:E58)</f>
        <v>17674.142500000002</v>
      </c>
      <c r="F59" s="33">
        <f>SUM(F56:F58)</f>
        <v>17.35347277216081</v>
      </c>
      <c r="G59" s="17"/>
      <c r="H59" s="17"/>
      <c r="I59" s="17"/>
    </row>
    <row r="60" spans="1:9" x14ac:dyDescent="0.2">
      <c r="A60" s="26"/>
      <c r="B60" s="26"/>
      <c r="C60" s="26"/>
      <c r="D60" s="27"/>
      <c r="E60" s="28"/>
      <c r="F60" s="29"/>
    </row>
    <row r="61" spans="1:9" ht="10.5" x14ac:dyDescent="0.25">
      <c r="A61" s="25" t="s">
        <v>166</v>
      </c>
      <c r="B61" s="25"/>
      <c r="C61" s="25"/>
      <c r="D61" s="31"/>
      <c r="E61" s="32">
        <f>E43+E49+E53+E59</f>
        <v>98185.394400000019</v>
      </c>
      <c r="F61" s="33">
        <f>F43+F49+F53+F59</f>
        <v>96.403973677606714</v>
      </c>
      <c r="G61" s="17"/>
      <c r="H61" s="17"/>
      <c r="I61" s="17"/>
    </row>
    <row r="62" spans="1:9" ht="10.5" x14ac:dyDescent="0.25">
      <c r="A62" s="25"/>
      <c r="B62" s="25"/>
      <c r="C62" s="25"/>
      <c r="D62" s="31"/>
      <c r="E62" s="32"/>
      <c r="F62" s="33"/>
      <c r="G62" s="17"/>
      <c r="H62" s="17"/>
      <c r="I62" s="17"/>
    </row>
    <row r="63" spans="1:9" ht="10.5" x14ac:dyDescent="0.25">
      <c r="A63" s="25" t="s">
        <v>168</v>
      </c>
      <c r="B63" s="25"/>
      <c r="C63" s="25"/>
      <c r="D63" s="31"/>
      <c r="E63" s="32">
        <f>E65-(E43+E49+E53+E59)</f>
        <v>3662.47623689998</v>
      </c>
      <c r="F63" s="33">
        <f>F65-(F43+F49+F53+F59)</f>
        <v>3.5960263223932856</v>
      </c>
      <c r="G63" s="17"/>
      <c r="H63" s="17"/>
      <c r="I63" s="17"/>
    </row>
    <row r="64" spans="1:9" ht="10.5" x14ac:dyDescent="0.25">
      <c r="A64" s="25"/>
      <c r="B64" s="25"/>
      <c r="C64" s="25"/>
      <c r="D64" s="31"/>
      <c r="E64" s="32"/>
      <c r="F64" s="33"/>
      <c r="G64" s="17"/>
      <c r="H64" s="17"/>
      <c r="I64" s="17"/>
    </row>
    <row r="65" spans="1:9" ht="10.5" x14ac:dyDescent="0.25">
      <c r="A65" s="34" t="s">
        <v>167</v>
      </c>
      <c r="B65" s="34"/>
      <c r="C65" s="34"/>
      <c r="D65" s="35"/>
      <c r="E65" s="36">
        <v>101847.8706369</v>
      </c>
      <c r="F65" s="37">
        <v>100</v>
      </c>
      <c r="G65" s="17"/>
      <c r="H65" s="17"/>
      <c r="I65" s="17"/>
    </row>
    <row r="67" spans="1:9" ht="10.5" x14ac:dyDescent="0.25">
      <c r="A67" s="17" t="s">
        <v>419</v>
      </c>
    </row>
    <row r="68" spans="1:9" ht="10.5" x14ac:dyDescent="0.25">
      <c r="A68" s="17" t="s">
        <v>170</v>
      </c>
    </row>
    <row r="70" spans="1:9" ht="10.5" x14ac:dyDescent="0.25">
      <c r="A70" s="17" t="s">
        <v>171</v>
      </c>
    </row>
    <row r="71" spans="1:9" ht="10.5" x14ac:dyDescent="0.25">
      <c r="A71" s="17" t="s">
        <v>172</v>
      </c>
    </row>
    <row r="72" spans="1:9" ht="10.5" x14ac:dyDescent="0.25">
      <c r="A72" s="17" t="s">
        <v>173</v>
      </c>
      <c r="B72" s="17"/>
      <c r="C72" s="38" t="s">
        <v>175</v>
      </c>
      <c r="D72" s="18" t="s">
        <v>174</v>
      </c>
    </row>
    <row r="73" spans="1:9" x14ac:dyDescent="0.2">
      <c r="A73" s="10" t="s">
        <v>436</v>
      </c>
      <c r="C73" s="39">
        <v>16.4803</v>
      </c>
      <c r="D73" s="39">
        <v>17.049700000000001</v>
      </c>
    </row>
    <row r="74" spans="1:9" x14ac:dyDescent="0.2">
      <c r="A74" s="10" t="s">
        <v>470</v>
      </c>
      <c r="C74" s="39">
        <v>10.757400000000001</v>
      </c>
      <c r="D74" s="39">
        <v>10.7263</v>
      </c>
    </row>
    <row r="75" spans="1:9" x14ac:dyDescent="0.2">
      <c r="A75" s="10" t="s">
        <v>439</v>
      </c>
      <c r="C75" s="39">
        <v>16.918900000000001</v>
      </c>
      <c r="D75" s="39">
        <v>17.532499999999999</v>
      </c>
    </row>
    <row r="76" spans="1:9" x14ac:dyDescent="0.2">
      <c r="A76" s="10" t="s">
        <v>471</v>
      </c>
      <c r="C76" s="39">
        <v>11.1068</v>
      </c>
      <c r="D76" s="39">
        <v>11.1065</v>
      </c>
    </row>
    <row r="78" spans="1:9" ht="10.5" x14ac:dyDescent="0.25">
      <c r="A78" s="17" t="s">
        <v>185</v>
      </c>
    </row>
    <row r="79" spans="1:9" ht="12.5" x14ac:dyDescent="0.25">
      <c r="A79" s="100" t="s">
        <v>350</v>
      </c>
      <c r="B79" s="101"/>
      <c r="C79" s="98" t="s">
        <v>1658</v>
      </c>
      <c r="D79" s="99"/>
    </row>
    <row r="80" spans="1:9" ht="10.5" x14ac:dyDescent="0.25">
      <c r="A80" s="100"/>
      <c r="B80" s="101"/>
      <c r="C80" s="43" t="s">
        <v>351</v>
      </c>
      <c r="D80" s="44" t="s">
        <v>352</v>
      </c>
    </row>
    <row r="81" spans="1:5" x14ac:dyDescent="0.2">
      <c r="A81" s="94" t="s">
        <v>470</v>
      </c>
      <c r="B81" s="95"/>
      <c r="C81" s="45">
        <v>0.4</v>
      </c>
      <c r="D81" s="45">
        <v>0.4</v>
      </c>
    </row>
    <row r="82" spans="1:5" x14ac:dyDescent="0.2">
      <c r="A82" s="94" t="s">
        <v>471</v>
      </c>
      <c r="B82" s="95"/>
      <c r="C82" s="45">
        <v>0.4</v>
      </c>
      <c r="D82" s="45">
        <v>0.4</v>
      </c>
    </row>
    <row r="83" spans="1:5" x14ac:dyDescent="0.2">
      <c r="A83" s="90" t="s">
        <v>1657</v>
      </c>
    </row>
    <row r="85" spans="1:5" ht="10.5" x14ac:dyDescent="0.25">
      <c r="A85" s="17" t="s">
        <v>187</v>
      </c>
      <c r="D85" s="41">
        <v>4.1074391676986304</v>
      </c>
      <c r="E85" s="15" t="s">
        <v>188</v>
      </c>
    </row>
    <row r="87" spans="1:5" ht="10.5" x14ac:dyDescent="0.25">
      <c r="A87" s="17" t="s">
        <v>189</v>
      </c>
      <c r="D87" s="40" t="s">
        <v>186</v>
      </c>
    </row>
  </sheetData>
  <mergeCells count="6">
    <mergeCell ref="A82:B82"/>
    <mergeCell ref="A1:F1"/>
    <mergeCell ref="C79:D79"/>
    <mergeCell ref="A79:B79"/>
    <mergeCell ref="A80:B80"/>
    <mergeCell ref="A81:B81"/>
  </mergeCells>
  <conditionalFormatting sqref="F2:F3 F5:F65537">
    <cfRule type="cellIs" dxfId="99"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1"/>
  <sheetViews>
    <sheetView view="pageBreakPreview" zoomScaleNormal="100" zoomScaleSheetLayoutView="100" workbookViewId="0">
      <selection sqref="A1:F1"/>
    </sheetView>
  </sheetViews>
  <sheetFormatPr defaultColWidth="9.1796875" defaultRowHeight="10" x14ac:dyDescent="0.2"/>
  <cols>
    <col min="1" max="1" width="41.453125" style="10" customWidth="1"/>
    <col min="2" max="2" width="33.54296875" style="10" customWidth="1"/>
    <col min="3" max="3" width="25" style="10" customWidth="1"/>
    <col min="4" max="4" width="15.453125" style="11" bestFit="1" customWidth="1"/>
    <col min="5" max="5" width="15.81640625" style="15" customWidth="1"/>
    <col min="6" max="6" width="13.54296875" style="16" bestFit="1" customWidth="1"/>
    <col min="7" max="16384" width="9.1796875" style="10"/>
  </cols>
  <sheetData>
    <row r="1" spans="1:9" s="1" customFormat="1" ht="15" customHeight="1" x14ac:dyDescent="0.25">
      <c r="A1" s="96" t="s">
        <v>1555</v>
      </c>
      <c r="B1" s="97"/>
      <c r="C1" s="97"/>
      <c r="D1" s="97"/>
      <c r="E1" s="97"/>
      <c r="F1" s="97"/>
    </row>
    <row r="2" spans="1:9" s="1" customFormat="1" ht="11.5" x14ac:dyDescent="0.25">
      <c r="D2" s="6"/>
      <c r="E2" s="7"/>
      <c r="F2" s="14"/>
    </row>
    <row r="3" spans="1:9" s="1" customFormat="1" ht="11.5" x14ac:dyDescent="0.25">
      <c r="A3" s="12" t="s">
        <v>6</v>
      </c>
      <c r="B3" s="2"/>
      <c r="C3" s="3"/>
      <c r="D3" s="4"/>
      <c r="E3" s="5"/>
      <c r="F3" s="14"/>
    </row>
    <row r="4" spans="1:9" s="1" customFormat="1" ht="35.15" customHeight="1" x14ac:dyDescent="0.25">
      <c r="A4" s="8" t="s">
        <v>2</v>
      </c>
      <c r="B4" s="8" t="s">
        <v>0</v>
      </c>
      <c r="C4" s="8" t="s">
        <v>169</v>
      </c>
      <c r="D4" s="48" t="s">
        <v>1</v>
      </c>
      <c r="E4" s="60" t="s">
        <v>3</v>
      </c>
      <c r="F4" s="9" t="s">
        <v>4</v>
      </c>
    </row>
    <row r="5" spans="1:9" ht="10.5" x14ac:dyDescent="0.25">
      <c r="A5" s="20" t="s">
        <v>473</v>
      </c>
      <c r="B5" s="21"/>
      <c r="C5" s="21"/>
      <c r="D5" s="22"/>
      <c r="E5" s="23"/>
      <c r="F5" s="24"/>
    </row>
    <row r="6" spans="1:9" x14ac:dyDescent="0.2">
      <c r="A6" s="26" t="s">
        <v>475</v>
      </c>
      <c r="B6" s="26" t="s">
        <v>474</v>
      </c>
      <c r="C6" s="26" t="s">
        <v>476</v>
      </c>
      <c r="D6" s="30">
        <v>8500000</v>
      </c>
      <c r="E6" s="28">
        <v>8347.2124999999996</v>
      </c>
      <c r="F6" s="29">
        <v>32.067213691534199</v>
      </c>
    </row>
    <row r="7" spans="1:9" x14ac:dyDescent="0.2">
      <c r="A7" s="26" t="s">
        <v>478</v>
      </c>
      <c r="B7" s="26" t="s">
        <v>477</v>
      </c>
      <c r="C7" s="26" t="s">
        <v>476</v>
      </c>
      <c r="D7" s="30">
        <v>6600000</v>
      </c>
      <c r="E7" s="28">
        <v>6552.9023999999999</v>
      </c>
      <c r="F7" s="29">
        <v>25.174071171731601</v>
      </c>
    </row>
    <row r="8" spans="1:9" x14ac:dyDescent="0.2">
      <c r="A8" s="26" t="s">
        <v>480</v>
      </c>
      <c r="B8" s="26" t="s">
        <v>479</v>
      </c>
      <c r="C8" s="26" t="s">
        <v>476</v>
      </c>
      <c r="D8" s="30">
        <v>6400000</v>
      </c>
      <c r="E8" s="28">
        <v>6299.5519999999997</v>
      </c>
      <c r="F8" s="29">
        <v>24.200783212950601</v>
      </c>
    </row>
    <row r="9" spans="1:9" x14ac:dyDescent="0.2">
      <c r="A9" s="26" t="s">
        <v>481</v>
      </c>
      <c r="B9" s="26" t="s">
        <v>1575</v>
      </c>
      <c r="C9" s="26" t="s">
        <v>476</v>
      </c>
      <c r="D9" s="30">
        <v>1900000</v>
      </c>
      <c r="E9" s="28">
        <v>2039.6062999999999</v>
      </c>
      <c r="F9" s="29">
        <v>7.8354889214452603</v>
      </c>
    </row>
    <row r="10" spans="1:9" x14ac:dyDescent="0.2">
      <c r="A10" s="26" t="s">
        <v>483</v>
      </c>
      <c r="B10" s="26" t="s">
        <v>482</v>
      </c>
      <c r="C10" s="26" t="s">
        <v>476</v>
      </c>
      <c r="D10" s="30">
        <v>1100000</v>
      </c>
      <c r="E10" s="28">
        <v>1079.9382000000001</v>
      </c>
      <c r="F10" s="29">
        <v>4.1487633186588697</v>
      </c>
    </row>
    <row r="11" spans="1:9" x14ac:dyDescent="0.2">
      <c r="A11" s="26" t="s">
        <v>485</v>
      </c>
      <c r="B11" s="26" t="s">
        <v>484</v>
      </c>
      <c r="C11" s="26" t="s">
        <v>476</v>
      </c>
      <c r="D11" s="30">
        <v>300000</v>
      </c>
      <c r="E11" s="28">
        <v>321.4803</v>
      </c>
      <c r="F11" s="29">
        <v>1.2350203708984899</v>
      </c>
    </row>
    <row r="12" spans="1:9" ht="10.5" x14ac:dyDescent="0.25">
      <c r="A12" s="25" t="s">
        <v>153</v>
      </c>
      <c r="B12" s="25"/>
      <c r="C12" s="25"/>
      <c r="D12" s="31"/>
      <c r="E12" s="32">
        <f>SUM(E6:E11)</f>
        <v>24640.691699999999</v>
      </c>
      <c r="F12" s="33">
        <f>SUM(F6:F11)</f>
        <v>94.661340687219024</v>
      </c>
      <c r="G12" s="17"/>
      <c r="H12" s="17"/>
      <c r="I12" s="17"/>
    </row>
    <row r="13" spans="1:9" x14ac:dyDescent="0.2">
      <c r="A13" s="26"/>
      <c r="B13" s="26"/>
      <c r="C13" s="26"/>
      <c r="D13" s="27"/>
      <c r="E13" s="28"/>
      <c r="F13" s="29"/>
    </row>
    <row r="14" spans="1:9" ht="10.5" x14ac:dyDescent="0.25">
      <c r="A14" s="25" t="s">
        <v>166</v>
      </c>
      <c r="B14" s="25"/>
      <c r="C14" s="25"/>
      <c r="D14" s="31"/>
      <c r="E14" s="32">
        <f>E12</f>
        <v>24640.691699999999</v>
      </c>
      <c r="F14" s="33">
        <f>F12</f>
        <v>94.661340687219024</v>
      </c>
      <c r="G14" s="17"/>
      <c r="H14" s="17"/>
      <c r="I14" s="17"/>
    </row>
    <row r="15" spans="1:9" ht="10.5" x14ac:dyDescent="0.25">
      <c r="A15" s="25"/>
      <c r="B15" s="25"/>
      <c r="C15" s="25"/>
      <c r="D15" s="31"/>
      <c r="E15" s="32"/>
      <c r="F15" s="33"/>
      <c r="G15" s="17"/>
      <c r="H15" s="17"/>
      <c r="I15" s="17"/>
    </row>
    <row r="16" spans="1:9" ht="10.5" x14ac:dyDescent="0.25">
      <c r="A16" s="25" t="s">
        <v>168</v>
      </c>
      <c r="B16" s="25"/>
      <c r="C16" s="25"/>
      <c r="D16" s="31"/>
      <c r="E16" s="32">
        <f>E18-(E12)</f>
        <v>1389.672460400001</v>
      </c>
      <c r="F16" s="33">
        <f>F18-(F12)</f>
        <v>5.3386593127809761</v>
      </c>
      <c r="G16" s="17"/>
      <c r="H16" s="17"/>
      <c r="I16" s="17"/>
    </row>
    <row r="17" spans="1:9" ht="10.5" x14ac:dyDescent="0.25">
      <c r="A17" s="25"/>
      <c r="B17" s="25"/>
      <c r="C17" s="25"/>
      <c r="D17" s="31"/>
      <c r="E17" s="32"/>
      <c r="F17" s="33"/>
      <c r="G17" s="17"/>
      <c r="H17" s="17"/>
      <c r="I17" s="17"/>
    </row>
    <row r="18" spans="1:9" ht="10.5" x14ac:dyDescent="0.25">
      <c r="A18" s="34" t="s">
        <v>167</v>
      </c>
      <c r="B18" s="34"/>
      <c r="C18" s="34"/>
      <c r="D18" s="35"/>
      <c r="E18" s="36">
        <v>26030.3641604</v>
      </c>
      <c r="F18" s="37">
        <v>100</v>
      </c>
      <c r="G18" s="17"/>
      <c r="H18" s="17"/>
      <c r="I18" s="17"/>
    </row>
    <row r="20" spans="1:9" x14ac:dyDescent="0.2">
      <c r="A20" s="64" t="s">
        <v>1648</v>
      </c>
    </row>
    <row r="22" spans="1:9" ht="10.5" x14ac:dyDescent="0.25">
      <c r="A22" s="17" t="s">
        <v>171</v>
      </c>
    </row>
    <row r="23" spans="1:9" ht="10.5" x14ac:dyDescent="0.25">
      <c r="A23" s="17" t="s">
        <v>172</v>
      </c>
    </row>
    <row r="24" spans="1:9" ht="10.5" x14ac:dyDescent="0.25">
      <c r="A24" s="17" t="s">
        <v>173</v>
      </c>
      <c r="B24" s="17"/>
      <c r="C24" s="38" t="s">
        <v>175</v>
      </c>
      <c r="D24" s="18" t="s">
        <v>174</v>
      </c>
    </row>
    <row r="25" spans="1:9" x14ac:dyDescent="0.2">
      <c r="A25" s="10" t="s">
        <v>486</v>
      </c>
      <c r="C25" s="39">
        <v>45.561900000000001</v>
      </c>
      <c r="D25" s="39">
        <v>46.775399999999998</v>
      </c>
    </row>
    <row r="26" spans="1:9" x14ac:dyDescent="0.2">
      <c r="A26" s="10" t="s">
        <v>487</v>
      </c>
      <c r="C26" s="39">
        <v>10.9056</v>
      </c>
      <c r="D26" s="39">
        <v>10.7559</v>
      </c>
    </row>
    <row r="27" spans="1:9" x14ac:dyDescent="0.2">
      <c r="A27" s="10" t="s">
        <v>488</v>
      </c>
      <c r="C27" s="39">
        <v>48.6768</v>
      </c>
      <c r="D27" s="39">
        <v>50.101500000000001</v>
      </c>
    </row>
    <row r="28" spans="1:9" x14ac:dyDescent="0.2">
      <c r="A28" s="10" t="s">
        <v>489</v>
      </c>
      <c r="C28" s="39">
        <v>11.9175</v>
      </c>
      <c r="D28" s="39">
        <v>11.8253</v>
      </c>
    </row>
    <row r="30" spans="1:9" ht="10.5" x14ac:dyDescent="0.25">
      <c r="A30" s="17" t="s">
        <v>185</v>
      </c>
    </row>
    <row r="31" spans="1:9" ht="12.5" x14ac:dyDescent="0.25">
      <c r="A31" s="100" t="s">
        <v>350</v>
      </c>
      <c r="B31" s="101"/>
      <c r="C31" s="98" t="s">
        <v>1658</v>
      </c>
      <c r="D31" s="99"/>
    </row>
    <row r="32" spans="1:9" ht="10.5" x14ac:dyDescent="0.25">
      <c r="A32" s="100"/>
      <c r="B32" s="101"/>
      <c r="C32" s="43" t="s">
        <v>351</v>
      </c>
      <c r="D32" s="44" t="s">
        <v>352</v>
      </c>
    </row>
    <row r="33" spans="1:5" x14ac:dyDescent="0.2">
      <c r="A33" s="94" t="s">
        <v>487</v>
      </c>
      <c r="B33" s="95"/>
      <c r="C33" s="45">
        <v>0.44000000000000006</v>
      </c>
      <c r="D33" s="45">
        <v>0.44000000000000006</v>
      </c>
    </row>
    <row r="34" spans="1:5" x14ac:dyDescent="0.2">
      <c r="A34" s="94" t="s">
        <v>489</v>
      </c>
      <c r="B34" s="95"/>
      <c r="C34" s="45">
        <v>0.44000000000000006</v>
      </c>
      <c r="D34" s="45">
        <v>0.44000000000000006</v>
      </c>
    </row>
    <row r="35" spans="1:5" x14ac:dyDescent="0.2">
      <c r="A35" s="90" t="s">
        <v>1657</v>
      </c>
    </row>
    <row r="37" spans="1:5" ht="10.5" x14ac:dyDescent="0.25">
      <c r="A37" s="17" t="s">
        <v>187</v>
      </c>
      <c r="D37" s="41">
        <v>7.7238351001643801</v>
      </c>
      <c r="E37" s="15" t="s">
        <v>188</v>
      </c>
    </row>
    <row r="39" spans="1:5" ht="11.25" customHeight="1" x14ac:dyDescent="0.25">
      <c r="A39" s="71" t="s">
        <v>189</v>
      </c>
      <c r="B39" s="71"/>
      <c r="C39" s="71"/>
      <c r="D39" s="40" t="s">
        <v>186</v>
      </c>
    </row>
    <row r="40" spans="1:5" ht="10.5" x14ac:dyDescent="0.25">
      <c r="A40" s="66"/>
      <c r="B40" s="66"/>
      <c r="C40" s="66"/>
    </row>
    <row r="41" spans="1:5" ht="10.5" x14ac:dyDescent="0.25">
      <c r="A41" s="17" t="s">
        <v>1556</v>
      </c>
    </row>
  </sheetData>
  <mergeCells count="6">
    <mergeCell ref="A34:B34"/>
    <mergeCell ref="A1:F1"/>
    <mergeCell ref="C31:D31"/>
    <mergeCell ref="A31:B31"/>
    <mergeCell ref="A32:B32"/>
    <mergeCell ref="A33:B33"/>
  </mergeCells>
  <conditionalFormatting sqref="F2:F3 F5:F65536">
    <cfRule type="cellIs" dxfId="98" priority="1" stopIfTrue="1" operator="between">
      <formula>0.009</formula>
      <formula>-0.009</formula>
    </cfRule>
  </conditionalFormatting>
  <pageMargins left="0.7" right="0.7" top="0.75" bottom="0.75" header="0.3" footer="0.3"/>
  <pageSetup paperSize="9" scale="60" orientation="portrait" r:id="rId1"/>
  <headerFooter>
    <oddFooter>&amp;LPUBLIC</oddFooter>
    <evenFooter>&amp;LPUBLIC</evenFooter>
    <firstFooter>&amp;LPUBLIC</firstFooter>
  </headerFooter>
  <colBreaks count="1" manualBreakCount="1">
    <brk id="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70"/>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69.1796875" style="10" bestFit="1" customWidth="1"/>
    <col min="3" max="3" width="21.54296875" style="10" customWidth="1"/>
    <col min="4" max="4" width="22" style="11" customWidth="1"/>
    <col min="5" max="5" width="23" style="15" bestFit="1" customWidth="1"/>
    <col min="6" max="6" width="14.81640625" style="16" bestFit="1" customWidth="1"/>
    <col min="7" max="16384" width="9.1796875" style="10"/>
  </cols>
  <sheetData>
    <row r="1" spans="1:6" s="1" customFormat="1" ht="14" x14ac:dyDescent="0.25">
      <c r="A1" s="96" t="s">
        <v>11</v>
      </c>
      <c r="B1" s="97"/>
      <c r="C1" s="97"/>
      <c r="D1" s="97"/>
      <c r="E1" s="97"/>
      <c r="F1" s="97"/>
    </row>
    <row r="2" spans="1:6" s="1" customFormat="1" ht="11.5" x14ac:dyDescent="0.25">
      <c r="A2" s="42" t="s">
        <v>190</v>
      </c>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192</v>
      </c>
      <c r="B7" s="26" t="s">
        <v>191</v>
      </c>
      <c r="C7" s="26" t="s">
        <v>120</v>
      </c>
      <c r="D7" s="30">
        <v>2750</v>
      </c>
      <c r="E7" s="28">
        <v>25134.615000000002</v>
      </c>
      <c r="F7" s="29">
        <v>10.2932040718211</v>
      </c>
    </row>
    <row r="8" spans="1:6" x14ac:dyDescent="0.2">
      <c r="A8" s="26" t="s">
        <v>145</v>
      </c>
      <c r="B8" s="26" t="s">
        <v>144</v>
      </c>
      <c r="C8" s="26" t="s">
        <v>87</v>
      </c>
      <c r="D8" s="30">
        <v>1112</v>
      </c>
      <c r="E8" s="28">
        <v>10979.28752</v>
      </c>
      <c r="F8" s="29">
        <v>4.49627125804626</v>
      </c>
    </row>
    <row r="9" spans="1:6" x14ac:dyDescent="0.2">
      <c r="A9" s="26" t="s">
        <v>502</v>
      </c>
      <c r="B9" s="26" t="s">
        <v>501</v>
      </c>
      <c r="C9" s="26" t="s">
        <v>133</v>
      </c>
      <c r="D9" s="30">
        <v>1000</v>
      </c>
      <c r="E9" s="28">
        <v>9971.58</v>
      </c>
      <c r="F9" s="29">
        <v>4.0835918059015297</v>
      </c>
    </row>
    <row r="10" spans="1:6" x14ac:dyDescent="0.2">
      <c r="A10" s="26" t="s">
        <v>70</v>
      </c>
      <c r="B10" s="26" t="s">
        <v>69</v>
      </c>
      <c r="C10" s="26" t="s">
        <v>71</v>
      </c>
      <c r="D10" s="30">
        <v>1000</v>
      </c>
      <c r="E10" s="28">
        <v>9869.24</v>
      </c>
      <c r="F10" s="29">
        <v>4.0416812174676098</v>
      </c>
    </row>
    <row r="11" spans="1:6" x14ac:dyDescent="0.2">
      <c r="A11" s="26" t="s">
        <v>504</v>
      </c>
      <c r="B11" s="26" t="s">
        <v>503</v>
      </c>
      <c r="C11" s="26" t="s">
        <v>87</v>
      </c>
      <c r="D11" s="30">
        <v>4810</v>
      </c>
      <c r="E11" s="28">
        <v>9374.19938</v>
      </c>
      <c r="F11" s="29">
        <v>3.8389506753248002</v>
      </c>
    </row>
    <row r="12" spans="1:6" x14ac:dyDescent="0.2">
      <c r="A12" s="26" t="s">
        <v>506</v>
      </c>
      <c r="B12" s="26" t="s">
        <v>505</v>
      </c>
      <c r="C12" s="26" t="s">
        <v>140</v>
      </c>
      <c r="D12" s="30">
        <v>1000</v>
      </c>
      <c r="E12" s="28">
        <v>8486.4112000000005</v>
      </c>
      <c r="F12" s="29">
        <v>3.4753809564613598</v>
      </c>
    </row>
    <row r="13" spans="1:6" x14ac:dyDescent="0.2">
      <c r="A13" s="26" t="s">
        <v>444</v>
      </c>
      <c r="B13" s="26" t="s">
        <v>443</v>
      </c>
      <c r="C13" s="26" t="s">
        <v>76</v>
      </c>
      <c r="D13" s="30">
        <v>990</v>
      </c>
      <c r="E13" s="28">
        <v>8353.7189999999991</v>
      </c>
      <c r="F13" s="29">
        <v>3.42104044265843</v>
      </c>
    </row>
    <row r="14" spans="1:6" x14ac:dyDescent="0.2">
      <c r="A14" s="26" t="s">
        <v>268</v>
      </c>
      <c r="B14" s="26" t="s">
        <v>267</v>
      </c>
      <c r="C14" s="26" t="s">
        <v>165</v>
      </c>
      <c r="D14" s="30">
        <v>800</v>
      </c>
      <c r="E14" s="28">
        <v>7734.16</v>
      </c>
      <c r="F14" s="29">
        <v>3.1673167543690601</v>
      </c>
    </row>
    <row r="15" spans="1:6" x14ac:dyDescent="0.2">
      <c r="A15" s="26" t="s">
        <v>194</v>
      </c>
      <c r="B15" s="26" t="s">
        <v>193</v>
      </c>
      <c r="C15" s="26" t="s">
        <v>76</v>
      </c>
      <c r="D15" s="30">
        <v>937</v>
      </c>
      <c r="E15" s="28">
        <v>7341.5374240000001</v>
      </c>
      <c r="F15" s="29">
        <v>3.0065287614766998</v>
      </c>
    </row>
    <row r="16" spans="1:6" x14ac:dyDescent="0.2">
      <c r="A16" s="26" t="s">
        <v>126</v>
      </c>
      <c r="B16" s="26" t="s">
        <v>125</v>
      </c>
      <c r="C16" s="26" t="s">
        <v>63</v>
      </c>
      <c r="D16" s="30">
        <v>600</v>
      </c>
      <c r="E16" s="28">
        <v>6023.6459999999997</v>
      </c>
      <c r="F16" s="29">
        <v>2.46682185242976</v>
      </c>
    </row>
    <row r="17" spans="1:6" x14ac:dyDescent="0.2">
      <c r="A17" s="26" t="s">
        <v>227</v>
      </c>
      <c r="B17" s="26" t="s">
        <v>226</v>
      </c>
      <c r="C17" s="26" t="s">
        <v>140</v>
      </c>
      <c r="D17" s="30">
        <v>560</v>
      </c>
      <c r="E17" s="28">
        <v>5616.9960000000001</v>
      </c>
      <c r="F17" s="29">
        <v>2.3002893061462402</v>
      </c>
    </row>
    <row r="18" spans="1:6" x14ac:dyDescent="0.2">
      <c r="A18" s="26" t="s">
        <v>462</v>
      </c>
      <c r="B18" s="26" t="s">
        <v>1613</v>
      </c>
      <c r="C18" s="26" t="s">
        <v>237</v>
      </c>
      <c r="D18" s="30">
        <v>560</v>
      </c>
      <c r="E18" s="28">
        <v>5550.6135999999997</v>
      </c>
      <c r="F18" s="29">
        <v>2.27310418355823</v>
      </c>
    </row>
    <row r="19" spans="1:6" x14ac:dyDescent="0.2">
      <c r="A19" s="26" t="s">
        <v>200</v>
      </c>
      <c r="B19" s="26" t="s">
        <v>199</v>
      </c>
      <c r="C19" s="26" t="s">
        <v>201</v>
      </c>
      <c r="D19" s="30">
        <v>537</v>
      </c>
      <c r="E19" s="28">
        <v>5418.0614999999998</v>
      </c>
      <c r="F19" s="29">
        <v>2.2188210439339202</v>
      </c>
    </row>
    <row r="20" spans="1:6" x14ac:dyDescent="0.2">
      <c r="A20" s="26" t="s">
        <v>452</v>
      </c>
      <c r="B20" s="26" t="s">
        <v>451</v>
      </c>
      <c r="C20" s="26" t="s">
        <v>431</v>
      </c>
      <c r="D20" s="30">
        <v>385</v>
      </c>
      <c r="E20" s="28">
        <v>4813.1544999999996</v>
      </c>
      <c r="F20" s="29">
        <v>1.9710976873011199</v>
      </c>
    </row>
    <row r="21" spans="1:6" x14ac:dyDescent="0.2">
      <c r="A21" s="26" t="s">
        <v>508</v>
      </c>
      <c r="B21" s="26" t="s">
        <v>507</v>
      </c>
      <c r="C21" s="26" t="s">
        <v>63</v>
      </c>
      <c r="D21" s="30">
        <v>450</v>
      </c>
      <c r="E21" s="28">
        <v>4180.6845000000003</v>
      </c>
      <c r="F21" s="29">
        <v>1.71208664697666</v>
      </c>
    </row>
    <row r="22" spans="1:6" x14ac:dyDescent="0.2">
      <c r="A22" s="26" t="s">
        <v>433</v>
      </c>
      <c r="B22" s="26" t="s">
        <v>432</v>
      </c>
      <c r="C22" s="26" t="s">
        <v>76</v>
      </c>
      <c r="D22" s="30">
        <v>475</v>
      </c>
      <c r="E22" s="28">
        <v>3720.9371999999998</v>
      </c>
      <c r="F22" s="29">
        <v>1.5238095327113801</v>
      </c>
    </row>
    <row r="23" spans="1:6" x14ac:dyDescent="0.2">
      <c r="A23" s="26" t="s">
        <v>219</v>
      </c>
      <c r="B23" s="26" t="s">
        <v>146</v>
      </c>
      <c r="C23" s="26" t="s">
        <v>68</v>
      </c>
      <c r="D23" s="30">
        <v>450</v>
      </c>
      <c r="E23" s="28">
        <v>3702.942</v>
      </c>
      <c r="F23" s="29">
        <v>1.5164400836104801</v>
      </c>
    </row>
    <row r="24" spans="1:6" x14ac:dyDescent="0.2">
      <c r="A24" s="26" t="s">
        <v>122</v>
      </c>
      <c r="B24" s="26" t="s">
        <v>121</v>
      </c>
      <c r="C24" s="26" t="s">
        <v>71</v>
      </c>
      <c r="D24" s="30">
        <v>290</v>
      </c>
      <c r="E24" s="28">
        <v>3075.4529000000002</v>
      </c>
      <c r="F24" s="29">
        <v>1.2594688366212901</v>
      </c>
    </row>
    <row r="25" spans="1:6" x14ac:dyDescent="0.2">
      <c r="A25" s="26" t="s">
        <v>459</v>
      </c>
      <c r="B25" s="26" t="s">
        <v>458</v>
      </c>
      <c r="C25" s="26" t="s">
        <v>87</v>
      </c>
      <c r="D25" s="30">
        <v>300</v>
      </c>
      <c r="E25" s="28">
        <v>2950.9380000000001</v>
      </c>
      <c r="F25" s="29">
        <v>1.2084771156149201</v>
      </c>
    </row>
    <row r="26" spans="1:6" x14ac:dyDescent="0.2">
      <c r="A26" s="26" t="s">
        <v>510</v>
      </c>
      <c r="B26" s="26" t="s">
        <v>509</v>
      </c>
      <c r="C26" s="26" t="s">
        <v>87</v>
      </c>
      <c r="D26" s="30">
        <v>270</v>
      </c>
      <c r="E26" s="28">
        <v>2625.3611999999998</v>
      </c>
      <c r="F26" s="29">
        <v>1.07514591307013</v>
      </c>
    </row>
    <row r="27" spans="1:6" x14ac:dyDescent="0.2">
      <c r="A27" s="26" t="s">
        <v>209</v>
      </c>
      <c r="B27" s="26" t="s">
        <v>208</v>
      </c>
      <c r="C27" s="26" t="s">
        <v>140</v>
      </c>
      <c r="D27" s="30">
        <v>250</v>
      </c>
      <c r="E27" s="28">
        <v>2510.2175000000002</v>
      </c>
      <c r="F27" s="29">
        <v>1.0279919144238601</v>
      </c>
    </row>
    <row r="28" spans="1:6" x14ac:dyDescent="0.2">
      <c r="A28" s="26" t="s">
        <v>216</v>
      </c>
      <c r="B28" s="26" t="s">
        <v>215</v>
      </c>
      <c r="C28" s="26" t="s">
        <v>165</v>
      </c>
      <c r="D28" s="30">
        <v>250</v>
      </c>
      <c r="E28" s="28">
        <v>2460.6</v>
      </c>
      <c r="F28" s="29">
        <v>1.0076724047343899</v>
      </c>
    </row>
    <row r="29" spans="1:6" x14ac:dyDescent="0.2">
      <c r="A29" s="26" t="s">
        <v>147</v>
      </c>
      <c r="B29" s="26" t="s">
        <v>146</v>
      </c>
      <c r="C29" s="26" t="s">
        <v>68</v>
      </c>
      <c r="D29" s="30">
        <v>250</v>
      </c>
      <c r="E29" s="28">
        <v>2055.0974999999999</v>
      </c>
      <c r="F29" s="29">
        <v>0.84160978614509696</v>
      </c>
    </row>
    <row r="30" spans="1:6" x14ac:dyDescent="0.2">
      <c r="A30" s="26" t="s">
        <v>233</v>
      </c>
      <c r="B30" s="26" t="s">
        <v>232</v>
      </c>
      <c r="C30" s="26" t="s">
        <v>63</v>
      </c>
      <c r="D30" s="30">
        <v>200</v>
      </c>
      <c r="E30" s="28">
        <v>1984.68</v>
      </c>
      <c r="F30" s="29">
        <v>0.81277219711787396</v>
      </c>
    </row>
    <row r="31" spans="1:6" x14ac:dyDescent="0.2">
      <c r="A31" s="26" t="s">
        <v>430</v>
      </c>
      <c r="B31" s="26" t="s">
        <v>429</v>
      </c>
      <c r="C31" s="26" t="s">
        <v>431</v>
      </c>
      <c r="D31" s="30">
        <v>150</v>
      </c>
      <c r="E31" s="28">
        <v>1899.2835</v>
      </c>
      <c r="F31" s="29">
        <v>0.77780036239833406</v>
      </c>
    </row>
    <row r="32" spans="1:6" x14ac:dyDescent="0.2">
      <c r="A32" s="26" t="s">
        <v>239</v>
      </c>
      <c r="B32" s="26" t="s">
        <v>238</v>
      </c>
      <c r="C32" s="26" t="s">
        <v>240</v>
      </c>
      <c r="D32" s="30">
        <v>170</v>
      </c>
      <c r="E32" s="28">
        <v>1825.2713000000001</v>
      </c>
      <c r="F32" s="29">
        <v>0.74749066088094696</v>
      </c>
    </row>
    <row r="33" spans="1:9" x14ac:dyDescent="0.2">
      <c r="A33" s="26" t="s">
        <v>99</v>
      </c>
      <c r="B33" s="26" t="s">
        <v>98</v>
      </c>
      <c r="C33" s="26" t="s">
        <v>87</v>
      </c>
      <c r="D33" s="30">
        <v>160</v>
      </c>
      <c r="E33" s="28">
        <v>1594.1776</v>
      </c>
      <c r="F33" s="29">
        <v>0.652852465157154</v>
      </c>
    </row>
    <row r="34" spans="1:9" x14ac:dyDescent="0.2">
      <c r="A34" s="26" t="s">
        <v>245</v>
      </c>
      <c r="B34" s="26" t="s">
        <v>244</v>
      </c>
      <c r="C34" s="26" t="s">
        <v>133</v>
      </c>
      <c r="D34" s="30">
        <v>140</v>
      </c>
      <c r="E34" s="28">
        <v>1413.2986000000001</v>
      </c>
      <c r="F34" s="29">
        <v>0.57877834628535396</v>
      </c>
    </row>
    <row r="35" spans="1:9" x14ac:dyDescent="0.2">
      <c r="A35" s="26" t="s">
        <v>139</v>
      </c>
      <c r="B35" s="26" t="s">
        <v>138</v>
      </c>
      <c r="C35" s="26" t="s">
        <v>140</v>
      </c>
      <c r="D35" s="30">
        <v>2500</v>
      </c>
      <c r="E35" s="28">
        <v>1068.207858</v>
      </c>
      <c r="F35" s="29">
        <v>0.43745573479111899</v>
      </c>
    </row>
    <row r="36" spans="1:9" x14ac:dyDescent="0.2">
      <c r="A36" s="26" t="s">
        <v>260</v>
      </c>
      <c r="B36" s="26" t="s">
        <v>259</v>
      </c>
      <c r="C36" s="26" t="s">
        <v>63</v>
      </c>
      <c r="D36" s="30">
        <v>100</v>
      </c>
      <c r="E36" s="28">
        <v>1001.393</v>
      </c>
      <c r="F36" s="29">
        <v>0.41009351068608502</v>
      </c>
    </row>
    <row r="37" spans="1:9" x14ac:dyDescent="0.2">
      <c r="A37" s="26" t="s">
        <v>266</v>
      </c>
      <c r="B37" s="26" t="s">
        <v>265</v>
      </c>
      <c r="C37" s="26" t="s">
        <v>63</v>
      </c>
      <c r="D37" s="30">
        <v>50</v>
      </c>
      <c r="E37" s="28">
        <v>500</v>
      </c>
      <c r="F37" s="29">
        <v>0.204761522542141</v>
      </c>
    </row>
    <row r="38" spans="1:9" x14ac:dyDescent="0.2">
      <c r="A38" s="26" t="s">
        <v>115</v>
      </c>
      <c r="B38" s="26" t="s">
        <v>1581</v>
      </c>
      <c r="C38" s="26" t="s">
        <v>76</v>
      </c>
      <c r="D38" s="30">
        <v>20</v>
      </c>
      <c r="E38" s="28">
        <v>205.84800000000001</v>
      </c>
      <c r="F38" s="29">
        <v>8.4299499784509402E-2</v>
      </c>
    </row>
    <row r="39" spans="1:9" x14ac:dyDescent="0.2">
      <c r="A39" s="26" t="s">
        <v>512</v>
      </c>
      <c r="B39" s="26" t="s">
        <v>511</v>
      </c>
      <c r="C39" s="26" t="s">
        <v>152</v>
      </c>
      <c r="D39" s="30">
        <v>5</v>
      </c>
      <c r="E39" s="28">
        <v>54.926349999999999</v>
      </c>
      <c r="F39" s="29">
        <v>2.2493606107365099E-2</v>
      </c>
    </row>
    <row r="40" spans="1:9" ht="10.5" x14ac:dyDescent="0.25">
      <c r="A40" s="25" t="s">
        <v>153</v>
      </c>
      <c r="B40" s="25"/>
      <c r="C40" s="25"/>
      <c r="D40" s="31"/>
      <c r="E40" s="32">
        <f>SUM(E6:E39)</f>
        <v>163496.53813200002</v>
      </c>
      <c r="F40" s="33">
        <f>SUM(F6:F39)</f>
        <v>66.955600156555207</v>
      </c>
      <c r="G40" s="17"/>
      <c r="H40" s="17"/>
      <c r="I40" s="17"/>
    </row>
    <row r="41" spans="1:9" x14ac:dyDescent="0.2">
      <c r="A41" s="26"/>
      <c r="B41" s="26"/>
      <c r="C41" s="26"/>
      <c r="D41" s="27"/>
      <c r="E41" s="28"/>
      <c r="F41" s="29"/>
    </row>
    <row r="42" spans="1:9" ht="10.5" x14ac:dyDescent="0.25">
      <c r="A42" s="25" t="s">
        <v>154</v>
      </c>
      <c r="B42" s="26"/>
      <c r="C42" s="26"/>
      <c r="D42" s="27"/>
      <c r="E42" s="28"/>
      <c r="F42" s="29"/>
    </row>
    <row r="43" spans="1:9" x14ac:dyDescent="0.2">
      <c r="A43" s="26" t="s">
        <v>302</v>
      </c>
      <c r="B43" s="26" t="s">
        <v>301</v>
      </c>
      <c r="C43" s="26" t="s">
        <v>240</v>
      </c>
      <c r="D43" s="30">
        <v>550</v>
      </c>
      <c r="E43" s="28">
        <v>4936.6184999999996</v>
      </c>
      <c r="F43" s="29">
        <v>2.0216590405393999</v>
      </c>
    </row>
    <row r="44" spans="1:9" x14ac:dyDescent="0.2">
      <c r="A44" s="26" t="s">
        <v>293</v>
      </c>
      <c r="B44" s="26" t="s">
        <v>292</v>
      </c>
      <c r="C44" s="26" t="s">
        <v>240</v>
      </c>
      <c r="D44" s="30">
        <v>450</v>
      </c>
      <c r="E44" s="28">
        <v>4048.0695000000001</v>
      </c>
      <c r="F44" s="29">
        <v>1.65777774835281</v>
      </c>
    </row>
    <row r="45" spans="1:9" x14ac:dyDescent="0.2">
      <c r="A45" s="26" t="s">
        <v>304</v>
      </c>
      <c r="B45" s="26" t="s">
        <v>303</v>
      </c>
      <c r="C45" s="26" t="s">
        <v>298</v>
      </c>
      <c r="D45" s="30">
        <v>440</v>
      </c>
      <c r="E45" s="28">
        <v>3948.2751170000001</v>
      </c>
      <c r="F45" s="29">
        <v>1.61690964874434</v>
      </c>
    </row>
    <row r="46" spans="1:9" x14ac:dyDescent="0.2">
      <c r="A46" s="26" t="s">
        <v>300</v>
      </c>
      <c r="B46" s="26" t="s">
        <v>299</v>
      </c>
      <c r="C46" s="26" t="s">
        <v>298</v>
      </c>
      <c r="D46" s="30">
        <v>450</v>
      </c>
      <c r="E46" s="28">
        <v>3842.4547689999999</v>
      </c>
      <c r="F46" s="29">
        <v>1.5735737775995</v>
      </c>
    </row>
    <row r="47" spans="1:9" x14ac:dyDescent="0.2">
      <c r="A47" s="26" t="s">
        <v>514</v>
      </c>
      <c r="B47" s="26" t="s">
        <v>513</v>
      </c>
      <c r="C47" s="26" t="s">
        <v>289</v>
      </c>
      <c r="D47" s="30">
        <v>390</v>
      </c>
      <c r="E47" s="28">
        <v>3840.2871</v>
      </c>
      <c r="F47" s="29">
        <v>1.5726860671898899</v>
      </c>
    </row>
    <row r="48" spans="1:9" x14ac:dyDescent="0.2">
      <c r="A48" s="26" t="s">
        <v>291</v>
      </c>
      <c r="B48" s="26" t="s">
        <v>290</v>
      </c>
      <c r="C48" s="26" t="s">
        <v>73</v>
      </c>
      <c r="D48" s="30">
        <v>400</v>
      </c>
      <c r="E48" s="28">
        <v>3759.2080000000001</v>
      </c>
      <c r="F48" s="29">
        <v>1.5394823072652</v>
      </c>
    </row>
    <row r="49" spans="1:9" x14ac:dyDescent="0.2">
      <c r="A49" s="26" t="s">
        <v>516</v>
      </c>
      <c r="B49" s="26" t="s">
        <v>515</v>
      </c>
      <c r="C49" s="26" t="s">
        <v>517</v>
      </c>
      <c r="D49" s="30">
        <v>400</v>
      </c>
      <c r="E49" s="28">
        <v>2998.9710359999999</v>
      </c>
      <c r="F49" s="29">
        <v>1.22814775078229</v>
      </c>
    </row>
    <row r="50" spans="1:9" x14ac:dyDescent="0.2">
      <c r="A50" s="26" t="s">
        <v>310</v>
      </c>
      <c r="B50" s="26" t="s">
        <v>309</v>
      </c>
      <c r="C50" s="26" t="s">
        <v>298</v>
      </c>
      <c r="D50" s="30">
        <v>100</v>
      </c>
      <c r="E50" s="28">
        <v>1007.663</v>
      </c>
      <c r="F50" s="29">
        <v>0.412661220178764</v>
      </c>
    </row>
    <row r="51" spans="1:9" x14ac:dyDescent="0.2">
      <c r="A51" s="26" t="s">
        <v>288</v>
      </c>
      <c r="B51" s="26" t="s">
        <v>287</v>
      </c>
      <c r="C51" s="26" t="s">
        <v>289</v>
      </c>
      <c r="D51" s="30">
        <v>10</v>
      </c>
      <c r="E51" s="28">
        <v>1007.307</v>
      </c>
      <c r="F51" s="29">
        <v>0.41251542997471402</v>
      </c>
    </row>
    <row r="52" spans="1:9" x14ac:dyDescent="0.2">
      <c r="A52" s="26" t="s">
        <v>295</v>
      </c>
      <c r="B52" s="26" t="s">
        <v>294</v>
      </c>
      <c r="C52" s="26" t="s">
        <v>289</v>
      </c>
      <c r="D52" s="30">
        <v>100</v>
      </c>
      <c r="E52" s="28">
        <v>986.08600000000001</v>
      </c>
      <c r="F52" s="29">
        <v>0.40382494143497999</v>
      </c>
    </row>
    <row r="53" spans="1:9" x14ac:dyDescent="0.2">
      <c r="A53" s="26" t="s">
        <v>308</v>
      </c>
      <c r="B53" s="26" t="s">
        <v>307</v>
      </c>
      <c r="C53" s="26" t="s">
        <v>298</v>
      </c>
      <c r="D53" s="30">
        <v>50</v>
      </c>
      <c r="E53" s="28">
        <v>439.36848650000002</v>
      </c>
      <c r="F53" s="29">
        <v>0.179931520505553</v>
      </c>
    </row>
    <row r="54" spans="1:9" x14ac:dyDescent="0.2">
      <c r="A54" s="26" t="s">
        <v>464</v>
      </c>
      <c r="B54" s="26" t="s">
        <v>463</v>
      </c>
      <c r="C54" s="26" t="s">
        <v>313</v>
      </c>
      <c r="D54" s="30">
        <v>321</v>
      </c>
      <c r="E54" s="28">
        <v>52.708199999999998</v>
      </c>
      <c r="F54" s="29">
        <v>2.15852225649114E-2</v>
      </c>
    </row>
    <row r="55" spans="1:9" x14ac:dyDescent="0.2">
      <c r="A55" s="26" t="s">
        <v>323</v>
      </c>
      <c r="B55" s="26" t="s">
        <v>1603</v>
      </c>
      <c r="C55" s="26" t="s">
        <v>324</v>
      </c>
      <c r="D55" s="30">
        <v>250</v>
      </c>
      <c r="E55" s="28">
        <v>0</v>
      </c>
      <c r="F55" s="28">
        <v>0</v>
      </c>
    </row>
    <row r="56" spans="1:9" x14ac:dyDescent="0.2">
      <c r="A56" s="26" t="s">
        <v>467</v>
      </c>
      <c r="B56" s="26" t="s">
        <v>1601</v>
      </c>
      <c r="C56" s="26" t="s">
        <v>324</v>
      </c>
      <c r="D56" s="30">
        <v>250</v>
      </c>
      <c r="E56" s="28">
        <v>0</v>
      </c>
      <c r="F56" s="28">
        <v>0</v>
      </c>
    </row>
    <row r="57" spans="1:9" x14ac:dyDescent="0.2">
      <c r="A57" s="26" t="s">
        <v>334</v>
      </c>
      <c r="B57" s="26" t="s">
        <v>333</v>
      </c>
      <c r="C57" s="26" t="s">
        <v>322</v>
      </c>
      <c r="D57" s="30">
        <v>250</v>
      </c>
      <c r="E57" s="28">
        <v>0</v>
      </c>
      <c r="F57" s="28">
        <v>0</v>
      </c>
    </row>
    <row r="58" spans="1:9" x14ac:dyDescent="0.2">
      <c r="A58" s="26" t="s">
        <v>469</v>
      </c>
      <c r="B58" s="26" t="s">
        <v>468</v>
      </c>
      <c r="C58" s="26" t="s">
        <v>322</v>
      </c>
      <c r="D58" s="30">
        <v>600</v>
      </c>
      <c r="E58" s="28">
        <v>0</v>
      </c>
      <c r="F58" s="28">
        <v>0</v>
      </c>
    </row>
    <row r="59" spans="1:9" ht="10.5" x14ac:dyDescent="0.25">
      <c r="A59" s="25" t="s">
        <v>153</v>
      </c>
      <c r="B59" s="25"/>
      <c r="C59" s="25"/>
      <c r="D59" s="31"/>
      <c r="E59" s="32">
        <f>SUM(E42:E58)</f>
        <v>30867.016708499999</v>
      </c>
      <c r="F59" s="33">
        <f>SUM(F42:F58)</f>
        <v>12.640754675132353</v>
      </c>
      <c r="G59" s="17"/>
      <c r="H59" s="17"/>
      <c r="I59" s="17"/>
    </row>
    <row r="60" spans="1:9" x14ac:dyDescent="0.2">
      <c r="A60" s="26"/>
      <c r="B60" s="26"/>
      <c r="C60" s="26"/>
      <c r="D60" s="27"/>
      <c r="E60" s="28"/>
      <c r="F60" s="29"/>
    </row>
    <row r="61" spans="1:9" ht="10.5" x14ac:dyDescent="0.25">
      <c r="A61" s="25" t="s">
        <v>166</v>
      </c>
      <c r="B61" s="25"/>
      <c r="C61" s="25"/>
      <c r="D61" s="31"/>
      <c r="E61" s="32">
        <f>E40+E59</f>
        <v>194363.5548405</v>
      </c>
      <c r="F61" s="33">
        <f>F40+F59</f>
        <v>79.596354831687563</v>
      </c>
      <c r="G61" s="17"/>
      <c r="H61" s="17"/>
      <c r="I61" s="17"/>
    </row>
    <row r="62" spans="1:9" ht="10.5" x14ac:dyDescent="0.25">
      <c r="A62" s="25"/>
      <c r="B62" s="25"/>
      <c r="C62" s="25"/>
      <c r="D62" s="31"/>
      <c r="E62" s="32"/>
      <c r="F62" s="33"/>
      <c r="G62" s="17"/>
      <c r="H62" s="17"/>
      <c r="I62" s="17"/>
    </row>
    <row r="63" spans="1:9" ht="10.5" x14ac:dyDescent="0.25">
      <c r="A63" s="25" t="s">
        <v>168</v>
      </c>
      <c r="B63" s="25"/>
      <c r="C63" s="25"/>
      <c r="D63" s="31"/>
      <c r="E63" s="32">
        <f>E65-(E40+E59)</f>
        <v>49822.947482999996</v>
      </c>
      <c r="F63" s="33">
        <f>F65-(F40+F59)</f>
        <v>20.403645168312437</v>
      </c>
      <c r="G63" s="17"/>
      <c r="H63" s="17"/>
      <c r="I63" s="17"/>
    </row>
    <row r="64" spans="1:9" ht="10.5" x14ac:dyDescent="0.25">
      <c r="A64" s="25"/>
      <c r="B64" s="25"/>
      <c r="C64" s="25"/>
      <c r="D64" s="31"/>
      <c r="E64" s="32"/>
      <c r="F64" s="33"/>
      <c r="G64" s="17"/>
      <c r="H64" s="17"/>
      <c r="I64" s="17"/>
    </row>
    <row r="65" spans="1:9" ht="10.5" x14ac:dyDescent="0.25">
      <c r="A65" s="34" t="s">
        <v>167</v>
      </c>
      <c r="B65" s="34"/>
      <c r="C65" s="34"/>
      <c r="D65" s="35"/>
      <c r="E65" s="36">
        <v>244186.5023235</v>
      </c>
      <c r="F65" s="37">
        <v>100</v>
      </c>
      <c r="G65" s="17"/>
      <c r="H65" s="17"/>
      <c r="I65" s="17"/>
    </row>
    <row r="66" spans="1:9" ht="10.5" x14ac:dyDescent="0.25">
      <c r="F66" s="19"/>
    </row>
    <row r="67" spans="1:9" ht="10.5" x14ac:dyDescent="0.25">
      <c r="A67" s="17" t="s">
        <v>170</v>
      </c>
    </row>
    <row r="68" spans="1:9" ht="10.5" x14ac:dyDescent="0.25">
      <c r="A68" s="17" t="s">
        <v>1490</v>
      </c>
    </row>
    <row r="69" spans="1:9" ht="10.5" x14ac:dyDescent="0.25">
      <c r="A69" s="17" t="s">
        <v>1650</v>
      </c>
    </row>
    <row r="70" spans="1:9" ht="10.5" x14ac:dyDescent="0.25">
      <c r="A70" s="67" t="s">
        <v>1501</v>
      </c>
    </row>
    <row r="72" spans="1:9" ht="10.5" x14ac:dyDescent="0.25">
      <c r="A72" s="17" t="s">
        <v>171</v>
      </c>
    </row>
    <row r="73" spans="1:9" ht="10.5" x14ac:dyDescent="0.25">
      <c r="A73" s="17" t="s">
        <v>172</v>
      </c>
    </row>
    <row r="74" spans="1:9" ht="10.5" x14ac:dyDescent="0.25">
      <c r="A74" s="17" t="s">
        <v>173</v>
      </c>
      <c r="B74" s="17"/>
      <c r="C74" s="38" t="s">
        <v>175</v>
      </c>
      <c r="D74" s="18" t="s">
        <v>174</v>
      </c>
    </row>
    <row r="75" spans="1:9" x14ac:dyDescent="0.2">
      <c r="A75" s="10" t="s">
        <v>436</v>
      </c>
      <c r="C75" s="39">
        <v>66.9602</v>
      </c>
      <c r="D75" s="39">
        <v>65.096199999999996</v>
      </c>
    </row>
    <row r="76" spans="1:9" x14ac:dyDescent="0.2">
      <c r="A76" s="10" t="s">
        <v>470</v>
      </c>
      <c r="C76" s="39">
        <v>11.0678</v>
      </c>
      <c r="D76" s="39">
        <v>10.7597</v>
      </c>
    </row>
    <row r="77" spans="1:9" x14ac:dyDescent="0.2">
      <c r="A77" s="10" t="s">
        <v>439</v>
      </c>
      <c r="C77" s="39">
        <v>71.031599999999997</v>
      </c>
      <c r="D77" s="39">
        <v>69.338499999999996</v>
      </c>
    </row>
    <row r="78" spans="1:9" x14ac:dyDescent="0.2">
      <c r="A78" s="10" t="s">
        <v>471</v>
      </c>
      <c r="C78" s="39">
        <v>11.972099999999999</v>
      </c>
      <c r="D78" s="39">
        <v>11.6868</v>
      </c>
    </row>
    <row r="80" spans="1:9" ht="10.5" x14ac:dyDescent="0.25">
      <c r="A80" s="17" t="s">
        <v>185</v>
      </c>
      <c r="D80" s="40" t="s">
        <v>186</v>
      </c>
    </row>
    <row r="82" spans="1:5" ht="10.5" x14ac:dyDescent="0.25">
      <c r="A82" s="17" t="s">
        <v>187</v>
      </c>
      <c r="D82" s="41">
        <v>2.1685973149315099</v>
      </c>
      <c r="E82" s="15" t="s">
        <v>188</v>
      </c>
    </row>
    <row r="84" spans="1:5" ht="10.5" x14ac:dyDescent="0.25">
      <c r="A84" s="17" t="s">
        <v>189</v>
      </c>
      <c r="D84" s="40">
        <v>1</v>
      </c>
    </row>
    <row r="85" spans="1:5" x14ac:dyDescent="0.2">
      <c r="A85" s="10" t="s">
        <v>353</v>
      </c>
    </row>
    <row r="86" spans="1:5" x14ac:dyDescent="0.2">
      <c r="A86" s="87" t="s">
        <v>1546</v>
      </c>
    </row>
    <row r="88" spans="1:5" ht="10.5" x14ac:dyDescent="0.25">
      <c r="A88" s="17" t="s">
        <v>1588</v>
      </c>
    </row>
    <row r="90" spans="1:5" x14ac:dyDescent="0.2">
      <c r="A90" s="10" t="s">
        <v>1589</v>
      </c>
    </row>
    <row r="92" spans="1:5" ht="42" x14ac:dyDescent="0.2">
      <c r="A92" s="8" t="s">
        <v>2</v>
      </c>
      <c r="B92" s="85" t="s">
        <v>1583</v>
      </c>
      <c r="C92" s="85" t="s">
        <v>1655</v>
      </c>
      <c r="D92" s="85" t="s">
        <v>1584</v>
      </c>
      <c r="E92" s="85" t="s">
        <v>1618</v>
      </c>
    </row>
    <row r="93" spans="1:5" x14ac:dyDescent="0.2">
      <c r="A93" s="81" t="s">
        <v>1587</v>
      </c>
      <c r="B93" s="81" t="s">
        <v>1637</v>
      </c>
      <c r="C93" s="82">
        <v>0</v>
      </c>
      <c r="D93" s="83">
        <v>0</v>
      </c>
      <c r="E93" s="82">
        <v>2077.0863879999997</v>
      </c>
    </row>
    <row r="94" spans="1:5" x14ac:dyDescent="0.2">
      <c r="A94" s="81" t="s">
        <v>1586</v>
      </c>
      <c r="B94" s="81" t="s">
        <v>1638</v>
      </c>
      <c r="C94" s="82">
        <v>0</v>
      </c>
      <c r="D94" s="83">
        <v>0</v>
      </c>
      <c r="E94" s="82">
        <v>804.11498699394531</v>
      </c>
    </row>
    <row r="95" spans="1:5" x14ac:dyDescent="0.2">
      <c r="A95" s="81" t="s">
        <v>1585</v>
      </c>
      <c r="B95" s="81" t="s">
        <v>1640</v>
      </c>
      <c r="C95" s="82">
        <v>0</v>
      </c>
      <c r="D95" s="83">
        <v>0</v>
      </c>
      <c r="E95" s="82">
        <v>1240.3001312229508</v>
      </c>
    </row>
    <row r="96" spans="1:5" x14ac:dyDescent="0.2">
      <c r="A96" s="81" t="s">
        <v>323</v>
      </c>
      <c r="B96" s="81" t="s">
        <v>1639</v>
      </c>
      <c r="C96" s="82">
        <v>0</v>
      </c>
      <c r="D96" s="83">
        <v>0</v>
      </c>
      <c r="E96" s="82">
        <v>876.55261018566875</v>
      </c>
    </row>
    <row r="98" spans="1:6" x14ac:dyDescent="0.2">
      <c r="A98" s="58" t="s">
        <v>1629</v>
      </c>
      <c r="B98" s="58"/>
      <c r="C98" s="58"/>
      <c r="D98" s="68"/>
      <c r="E98" s="69"/>
    </row>
    <row r="99" spans="1:6" x14ac:dyDescent="0.2">
      <c r="A99" s="58" t="s">
        <v>1656</v>
      </c>
      <c r="B99" s="58"/>
      <c r="C99" s="58"/>
      <c r="D99" s="68"/>
      <c r="E99" s="69"/>
    </row>
    <row r="101" spans="1:6" ht="35.15" customHeight="1" x14ac:dyDescent="0.2">
      <c r="A101" s="103" t="s">
        <v>1654</v>
      </c>
      <c r="B101" s="103"/>
      <c r="C101" s="103"/>
      <c r="D101" s="103"/>
      <c r="E101" s="103"/>
      <c r="F101" s="103"/>
    </row>
    <row r="102" spans="1:6" x14ac:dyDescent="0.2">
      <c r="A102" s="86" t="s">
        <v>1579</v>
      </c>
    </row>
    <row r="103" spans="1:6" x14ac:dyDescent="0.2">
      <c r="A103" s="86"/>
    </row>
    <row r="104" spans="1:6" ht="48" customHeight="1" x14ac:dyDescent="0.2">
      <c r="A104" s="102" t="s">
        <v>1619</v>
      </c>
      <c r="B104" s="102"/>
      <c r="C104" s="102"/>
      <c r="D104" s="102"/>
      <c r="E104" s="102"/>
      <c r="F104" s="102"/>
    </row>
    <row r="105" spans="1:6" ht="10.5" x14ac:dyDescent="0.2">
      <c r="A105" s="88" t="s">
        <v>1547</v>
      </c>
      <c r="B105" s="84"/>
      <c r="C105" s="84"/>
      <c r="D105" s="84"/>
      <c r="E105" s="84"/>
      <c r="F105" s="84"/>
    </row>
    <row r="106" spans="1:6" ht="15" customHeight="1" x14ac:dyDescent="0.2">
      <c r="A106" s="104" t="s">
        <v>1548</v>
      </c>
      <c r="B106" s="104"/>
      <c r="C106" s="104"/>
      <c r="D106" s="104"/>
      <c r="E106" s="104"/>
      <c r="F106" s="104"/>
    </row>
    <row r="107" spans="1:6" x14ac:dyDescent="0.2">
      <c r="A107" s="86"/>
    </row>
    <row r="108" spans="1:6" ht="30" customHeight="1" x14ac:dyDescent="0.2">
      <c r="A108" s="103" t="s">
        <v>1563</v>
      </c>
      <c r="B108" s="103"/>
      <c r="C108" s="103"/>
      <c r="D108" s="103"/>
      <c r="E108" s="103"/>
      <c r="F108" s="103"/>
    </row>
    <row r="111" spans="1:6" s="1" customFormat="1" ht="14" x14ac:dyDescent="0.25">
      <c r="A111" s="96" t="s">
        <v>518</v>
      </c>
      <c r="B111" s="97"/>
      <c r="C111" s="97"/>
      <c r="D111" s="97"/>
      <c r="E111" s="97"/>
      <c r="F111" s="97"/>
    </row>
    <row r="112" spans="1:6" ht="10.5" x14ac:dyDescent="0.25">
      <c r="A112" s="17" t="s">
        <v>6</v>
      </c>
    </row>
    <row r="113" spans="1:9" s="1" customFormat="1" ht="17.5" customHeight="1" x14ac:dyDescent="0.25">
      <c r="A113" s="8" t="s">
        <v>2</v>
      </c>
      <c r="B113" s="8" t="s">
        <v>0</v>
      </c>
      <c r="C113" s="8" t="s">
        <v>169</v>
      </c>
      <c r="D113" s="13" t="s">
        <v>1</v>
      </c>
      <c r="E113" s="9" t="s">
        <v>3</v>
      </c>
      <c r="F113" s="9" t="s">
        <v>4</v>
      </c>
    </row>
    <row r="114" spans="1:9" ht="10.5" x14ac:dyDescent="0.25">
      <c r="A114" s="20" t="s">
        <v>56</v>
      </c>
      <c r="B114" s="21"/>
      <c r="C114" s="21"/>
      <c r="D114" s="22"/>
      <c r="E114" s="23"/>
      <c r="F114" s="24"/>
    </row>
    <row r="115" spans="1:9" ht="10.5" x14ac:dyDescent="0.25">
      <c r="A115" s="25" t="s">
        <v>1647</v>
      </c>
      <c r="B115" s="26"/>
      <c r="C115" s="26"/>
      <c r="D115" s="27"/>
      <c r="E115" s="28"/>
      <c r="F115" s="29"/>
    </row>
    <row r="116" spans="1:9" x14ac:dyDescent="0.2">
      <c r="A116" s="26" t="s">
        <v>356</v>
      </c>
      <c r="B116" s="26" t="s">
        <v>355</v>
      </c>
      <c r="C116" s="26" t="s">
        <v>357</v>
      </c>
      <c r="D116" s="30">
        <v>940</v>
      </c>
      <c r="E116" s="28">
        <v>0</v>
      </c>
      <c r="F116" s="53">
        <v>100</v>
      </c>
    </row>
    <row r="117" spans="1:9" ht="10.5" x14ac:dyDescent="0.25">
      <c r="A117" s="25" t="s">
        <v>153</v>
      </c>
      <c r="B117" s="25"/>
      <c r="C117" s="25"/>
      <c r="D117" s="31"/>
      <c r="E117" s="32">
        <f>SUM(E115:E116)</f>
        <v>0</v>
      </c>
      <c r="F117" s="52">
        <f>SUM(F115:F116)</f>
        <v>100</v>
      </c>
      <c r="G117" s="17"/>
      <c r="H117" s="17"/>
      <c r="I117" s="17"/>
    </row>
    <row r="118" spans="1:9" x14ac:dyDescent="0.2">
      <c r="A118" s="26"/>
      <c r="B118" s="26"/>
      <c r="C118" s="26"/>
      <c r="D118" s="27"/>
      <c r="E118" s="28"/>
      <c r="F118" s="50"/>
    </row>
    <row r="119" spans="1:9" ht="10.5" x14ac:dyDescent="0.25">
      <c r="A119" s="25" t="s">
        <v>166</v>
      </c>
      <c r="B119" s="25"/>
      <c r="C119" s="25"/>
      <c r="D119" s="31"/>
      <c r="E119" s="32">
        <f>E117</f>
        <v>0</v>
      </c>
      <c r="F119" s="52">
        <f>F117</f>
        <v>100</v>
      </c>
      <c r="G119" s="17"/>
      <c r="H119" s="17"/>
      <c r="I119" s="17"/>
    </row>
    <row r="120" spans="1:9" ht="10.5" x14ac:dyDescent="0.25">
      <c r="A120" s="25"/>
      <c r="B120" s="25"/>
      <c r="C120" s="25"/>
      <c r="D120" s="31"/>
      <c r="E120" s="32"/>
      <c r="F120" s="52"/>
      <c r="G120" s="17"/>
      <c r="H120" s="17"/>
      <c r="I120" s="17"/>
    </row>
    <row r="121" spans="1:9" ht="10.5" x14ac:dyDescent="0.25">
      <c r="A121" s="25" t="s">
        <v>168</v>
      </c>
      <c r="B121" s="25"/>
      <c r="C121" s="25"/>
      <c r="D121" s="31"/>
      <c r="E121" s="32">
        <f>E123-(E117)</f>
        <v>0</v>
      </c>
      <c r="F121" s="33">
        <v>0</v>
      </c>
      <c r="G121" s="17"/>
      <c r="H121" s="17"/>
      <c r="I121" s="17"/>
    </row>
    <row r="122" spans="1:9" ht="10.5" x14ac:dyDescent="0.25">
      <c r="A122" s="25"/>
      <c r="B122" s="25"/>
      <c r="C122" s="25"/>
      <c r="D122" s="31"/>
      <c r="E122" s="32"/>
      <c r="F122" s="52"/>
      <c r="G122" s="17"/>
      <c r="H122" s="17"/>
      <c r="I122" s="17"/>
    </row>
    <row r="123" spans="1:9" ht="10.5" x14ac:dyDescent="0.25">
      <c r="A123" s="34" t="s">
        <v>167</v>
      </c>
      <c r="B123" s="34"/>
      <c r="C123" s="34"/>
      <c r="D123" s="35"/>
      <c r="E123" s="36">
        <v>0</v>
      </c>
      <c r="F123" s="55">
        <v>100</v>
      </c>
      <c r="G123" s="17"/>
      <c r="H123" s="17"/>
      <c r="I123" s="17"/>
    </row>
    <row r="124" spans="1:9" ht="10.5" x14ac:dyDescent="0.25">
      <c r="F124" s="19"/>
    </row>
    <row r="125" spans="1:9" ht="10.5" x14ac:dyDescent="0.25">
      <c r="A125" s="17" t="s">
        <v>170</v>
      </c>
    </row>
    <row r="126" spans="1:9" ht="10.5" x14ac:dyDescent="0.25">
      <c r="A126" s="17" t="s">
        <v>1490</v>
      </c>
    </row>
    <row r="127" spans="1:9" ht="10.5" x14ac:dyDescent="0.25">
      <c r="A127" s="17" t="s">
        <v>1650</v>
      </c>
    </row>
    <row r="129" spans="1:6" ht="10.5" x14ac:dyDescent="0.25">
      <c r="A129" s="17" t="s">
        <v>171</v>
      </c>
    </row>
    <row r="130" spans="1:6" ht="10.5" x14ac:dyDescent="0.25">
      <c r="A130" s="17" t="s">
        <v>172</v>
      </c>
    </row>
    <row r="131" spans="1:6" ht="10.5" x14ac:dyDescent="0.25">
      <c r="A131" s="17" t="s">
        <v>173</v>
      </c>
      <c r="B131" s="17"/>
      <c r="C131" s="38" t="s">
        <v>175</v>
      </c>
      <c r="D131" s="18" t="s">
        <v>174</v>
      </c>
    </row>
    <row r="132" spans="1:6" x14ac:dyDescent="0.2">
      <c r="A132" s="10" t="s">
        <v>436</v>
      </c>
      <c r="C132" s="39">
        <v>0</v>
      </c>
      <c r="D132" s="39">
        <v>0</v>
      </c>
    </row>
    <row r="133" spans="1:6" x14ac:dyDescent="0.2">
      <c r="A133" s="10" t="s">
        <v>470</v>
      </c>
      <c r="C133" s="39">
        <v>0</v>
      </c>
      <c r="D133" s="39">
        <v>0</v>
      </c>
    </row>
    <row r="134" spans="1:6" x14ac:dyDescent="0.2">
      <c r="A134" s="10" t="s">
        <v>439</v>
      </c>
      <c r="C134" s="39">
        <v>0</v>
      </c>
      <c r="D134" s="39">
        <v>0</v>
      </c>
    </row>
    <row r="135" spans="1:6" x14ac:dyDescent="0.2">
      <c r="A135" s="10" t="s">
        <v>471</v>
      </c>
      <c r="C135" s="39">
        <v>0</v>
      </c>
      <c r="D135" s="39">
        <v>0</v>
      </c>
    </row>
    <row r="137" spans="1:6" ht="10.5" x14ac:dyDescent="0.25">
      <c r="A137" s="17" t="s">
        <v>1550</v>
      </c>
      <c r="D137" s="40" t="s">
        <v>186</v>
      </c>
    </row>
    <row r="138" spans="1:6" x14ac:dyDescent="0.2">
      <c r="A138" s="10" t="s">
        <v>353</v>
      </c>
    </row>
    <row r="139" spans="1:6" x14ac:dyDescent="0.2">
      <c r="A139" s="87" t="s">
        <v>1546</v>
      </c>
    </row>
    <row r="143" spans="1:6" s="1" customFormat="1" ht="14" x14ac:dyDescent="0.25">
      <c r="A143" s="96" t="s">
        <v>519</v>
      </c>
      <c r="B143" s="97"/>
      <c r="C143" s="97"/>
      <c r="D143" s="97"/>
      <c r="E143" s="97"/>
      <c r="F143" s="97"/>
    </row>
    <row r="144" spans="1:6" ht="10.5" x14ac:dyDescent="0.25">
      <c r="A144" s="17" t="s">
        <v>6</v>
      </c>
    </row>
    <row r="145" spans="1:9" s="1" customFormat="1" ht="17.5" customHeight="1" x14ac:dyDescent="0.25">
      <c r="A145" s="8" t="s">
        <v>2</v>
      </c>
      <c r="B145" s="8" t="s">
        <v>0</v>
      </c>
      <c r="C145" s="8" t="s">
        <v>169</v>
      </c>
      <c r="D145" s="48" t="s">
        <v>1</v>
      </c>
      <c r="E145" s="9" t="s">
        <v>3</v>
      </c>
      <c r="F145" s="9" t="s">
        <v>4</v>
      </c>
    </row>
    <row r="146" spans="1:9" ht="10.5" x14ac:dyDescent="0.25">
      <c r="A146" s="20" t="s">
        <v>56</v>
      </c>
      <c r="B146" s="21"/>
      <c r="C146" s="21"/>
      <c r="D146" s="22"/>
      <c r="E146" s="23"/>
      <c r="F146" s="24"/>
    </row>
    <row r="147" spans="1:9" ht="10.5" x14ac:dyDescent="0.25">
      <c r="A147" s="25" t="s">
        <v>1647</v>
      </c>
      <c r="B147" s="26"/>
      <c r="C147" s="26"/>
      <c r="D147" s="27"/>
      <c r="E147" s="28"/>
      <c r="F147" s="29"/>
    </row>
    <row r="148" spans="1:9" x14ac:dyDescent="0.2">
      <c r="A148" s="26" t="s">
        <v>360</v>
      </c>
      <c r="B148" s="26" t="s">
        <v>359</v>
      </c>
      <c r="C148" s="26" t="s">
        <v>361</v>
      </c>
      <c r="D148" s="30">
        <v>682</v>
      </c>
      <c r="E148" s="28">
        <v>0</v>
      </c>
      <c r="F148" s="53">
        <v>100</v>
      </c>
    </row>
    <row r="149" spans="1:9" ht="10.5" x14ac:dyDescent="0.25">
      <c r="A149" s="25" t="s">
        <v>153</v>
      </c>
      <c r="B149" s="25"/>
      <c r="C149" s="25"/>
      <c r="D149" s="31"/>
      <c r="E149" s="32">
        <f>SUM(E147:E148)</f>
        <v>0</v>
      </c>
      <c r="F149" s="52">
        <f>SUM(F147:F148)</f>
        <v>100</v>
      </c>
      <c r="G149" s="17"/>
      <c r="H149" s="17"/>
      <c r="I149" s="17"/>
    </row>
    <row r="150" spans="1:9" x14ac:dyDescent="0.2">
      <c r="A150" s="26"/>
      <c r="B150" s="26"/>
      <c r="C150" s="26"/>
      <c r="D150" s="27"/>
      <c r="E150" s="28"/>
      <c r="F150" s="50"/>
    </row>
    <row r="151" spans="1:9" ht="10.5" x14ac:dyDescent="0.25">
      <c r="A151" s="25" t="s">
        <v>166</v>
      </c>
      <c r="B151" s="25"/>
      <c r="C151" s="25"/>
      <c r="D151" s="31"/>
      <c r="E151" s="32">
        <f>E149</f>
        <v>0</v>
      </c>
      <c r="F151" s="52">
        <f>F149</f>
        <v>100</v>
      </c>
      <c r="G151" s="17"/>
      <c r="H151" s="17"/>
      <c r="I151" s="17"/>
    </row>
    <row r="152" spans="1:9" ht="10.5" x14ac:dyDescent="0.25">
      <c r="A152" s="25"/>
      <c r="B152" s="25"/>
      <c r="C152" s="25"/>
      <c r="D152" s="31"/>
      <c r="E152" s="32"/>
      <c r="F152" s="52"/>
      <c r="G152" s="17"/>
      <c r="H152" s="17"/>
      <c r="I152" s="17"/>
    </row>
    <row r="153" spans="1:9" ht="10.5" x14ac:dyDescent="0.25">
      <c r="A153" s="25" t="s">
        <v>168</v>
      </c>
      <c r="B153" s="25"/>
      <c r="C153" s="25"/>
      <c r="D153" s="31"/>
      <c r="E153" s="32">
        <f>E155-(E149)</f>
        <v>0</v>
      </c>
      <c r="F153" s="33">
        <v>0</v>
      </c>
      <c r="G153" s="17"/>
      <c r="H153" s="17"/>
      <c r="I153" s="17"/>
    </row>
    <row r="154" spans="1:9" ht="10.5" x14ac:dyDescent="0.25">
      <c r="A154" s="25"/>
      <c r="B154" s="25"/>
      <c r="C154" s="25"/>
      <c r="D154" s="31"/>
      <c r="E154" s="32"/>
      <c r="F154" s="52"/>
      <c r="G154" s="17"/>
      <c r="H154" s="17"/>
      <c r="I154" s="17"/>
    </row>
    <row r="155" spans="1:9" ht="10.5" x14ac:dyDescent="0.25">
      <c r="A155" s="34" t="s">
        <v>167</v>
      </c>
      <c r="B155" s="34"/>
      <c r="C155" s="34"/>
      <c r="D155" s="35"/>
      <c r="E155" s="36">
        <v>0</v>
      </c>
      <c r="F155" s="55">
        <v>100</v>
      </c>
      <c r="G155" s="17"/>
      <c r="H155" s="17"/>
      <c r="I155" s="17"/>
    </row>
    <row r="156" spans="1:9" ht="10.5" x14ac:dyDescent="0.25">
      <c r="F156" s="19"/>
    </row>
    <row r="157" spans="1:9" ht="10.5" x14ac:dyDescent="0.25">
      <c r="A157" s="17" t="s">
        <v>170</v>
      </c>
    </row>
    <row r="158" spans="1:9" ht="10.5" x14ac:dyDescent="0.25">
      <c r="A158" s="59" t="s">
        <v>1490</v>
      </c>
    </row>
    <row r="159" spans="1:9" ht="10.5" x14ac:dyDescent="0.25">
      <c r="A159" s="59"/>
    </row>
    <row r="160" spans="1:9" ht="10.5" x14ac:dyDescent="0.25">
      <c r="A160" s="17" t="s">
        <v>171</v>
      </c>
    </row>
    <row r="161" spans="1:4" ht="10.5" x14ac:dyDescent="0.25">
      <c r="A161" s="17" t="s">
        <v>172</v>
      </c>
    </row>
    <row r="162" spans="1:4" ht="10.5" x14ac:dyDescent="0.25">
      <c r="A162" s="17" t="s">
        <v>173</v>
      </c>
      <c r="B162" s="17"/>
      <c r="C162" s="38" t="s">
        <v>175</v>
      </c>
      <c r="D162" s="18" t="s">
        <v>174</v>
      </c>
    </row>
    <row r="163" spans="1:4" x14ac:dyDescent="0.2">
      <c r="A163" s="10" t="s">
        <v>436</v>
      </c>
      <c r="C163" s="39">
        <v>0</v>
      </c>
      <c r="D163" s="39">
        <v>0</v>
      </c>
    </row>
    <row r="164" spans="1:4" x14ac:dyDescent="0.2">
      <c r="A164" s="10" t="s">
        <v>470</v>
      </c>
      <c r="C164" s="39">
        <v>0</v>
      </c>
      <c r="D164" s="39">
        <v>0</v>
      </c>
    </row>
    <row r="165" spans="1:4" x14ac:dyDescent="0.2">
      <c r="A165" s="10" t="s">
        <v>439</v>
      </c>
      <c r="C165" s="39">
        <v>0</v>
      </c>
      <c r="D165" s="39">
        <v>0</v>
      </c>
    </row>
    <row r="166" spans="1:4" x14ac:dyDescent="0.2">
      <c r="A166" s="10" t="s">
        <v>471</v>
      </c>
      <c r="C166" s="39">
        <v>0</v>
      </c>
      <c r="D166" s="39">
        <v>0</v>
      </c>
    </row>
    <row r="168" spans="1:4" ht="10.5" x14ac:dyDescent="0.25">
      <c r="A168" s="17" t="s">
        <v>1550</v>
      </c>
      <c r="D168" s="40" t="s">
        <v>186</v>
      </c>
    </row>
    <row r="169" spans="1:4" x14ac:dyDescent="0.2">
      <c r="A169" s="10" t="s">
        <v>353</v>
      </c>
    </row>
    <row r="170" spans="1:4" x14ac:dyDescent="0.2">
      <c r="A170" s="87" t="s">
        <v>1546</v>
      </c>
    </row>
  </sheetData>
  <mergeCells count="7">
    <mergeCell ref="A1:F1"/>
    <mergeCell ref="A111:F111"/>
    <mergeCell ref="A143:F143"/>
    <mergeCell ref="A104:F104"/>
    <mergeCell ref="A108:F108"/>
    <mergeCell ref="A106:F106"/>
    <mergeCell ref="A101:F101"/>
  </mergeCells>
  <conditionalFormatting sqref="F2:F3 F5:F54 F114:F115 F146:F147 F59:F83 F112 F125:F136 F140:F142 F157:F167 F171:F65563 F109:F110 F144 F92:F96">
    <cfRule type="cellIs" dxfId="97" priority="10" stopIfTrue="1" operator="between">
      <formula>0.009</formula>
      <formula>-0.009</formula>
    </cfRule>
  </conditionalFormatting>
  <conditionalFormatting sqref="F107">
    <cfRule type="cellIs" dxfId="96" priority="9" stopIfTrue="1" operator="between">
      <formula>0.009</formula>
      <formula>-0.009</formula>
    </cfRule>
  </conditionalFormatting>
  <conditionalFormatting sqref="F84:F91 F102:F103 F97:F100">
    <cfRule type="cellIs" dxfId="95" priority="8" stopIfTrue="1" operator="between">
      <formula>0.009</formula>
      <formula>-0.009</formula>
    </cfRule>
  </conditionalFormatting>
  <conditionalFormatting sqref="F124">
    <cfRule type="cellIs" dxfId="94" priority="7" stopIfTrue="1" operator="between">
      <formula>0.009</formula>
      <formula>-0.009</formula>
    </cfRule>
  </conditionalFormatting>
  <conditionalFormatting sqref="F117:F120 F122:F123">
    <cfRule type="cellIs" dxfId="93" priority="6" stopIfTrue="1" operator="between">
      <formula>0.009</formula>
      <formula>-0.009</formula>
    </cfRule>
  </conditionalFormatting>
  <conditionalFormatting sqref="F137:F139">
    <cfRule type="cellIs" dxfId="92" priority="5" stopIfTrue="1" operator="between">
      <formula>0.009</formula>
      <formula>-0.009</formula>
    </cfRule>
  </conditionalFormatting>
  <conditionalFormatting sqref="F156">
    <cfRule type="cellIs" dxfId="91" priority="4" stopIfTrue="1" operator="between">
      <formula>0.009</formula>
      <formula>-0.009</formula>
    </cfRule>
  </conditionalFormatting>
  <conditionalFormatting sqref="F149:F152 F154:F155">
    <cfRule type="cellIs" dxfId="90" priority="3" stopIfTrue="1" operator="between">
      <formula>0.009</formula>
      <formula>-0.009</formula>
    </cfRule>
  </conditionalFormatting>
  <conditionalFormatting sqref="F168:F170">
    <cfRule type="cellIs" dxfId="89" priority="2" stopIfTrue="1" operator="between">
      <formula>0.009</formula>
      <formula>-0.009</formula>
    </cfRule>
  </conditionalFormatting>
  <hyperlinks>
    <hyperlink ref="A86" r:id="rId1" xr:uid="{00000000-0004-0000-0700-000000000000}"/>
    <hyperlink ref="A139" r:id="rId2" xr:uid="{00000000-0004-0000-0700-000001000000}"/>
    <hyperlink ref="A170" r:id="rId3" xr:uid="{00000000-0004-0000-0700-000002000000}"/>
    <hyperlink ref="A105" r:id="rId4" xr:uid="{00000000-0004-0000-0700-000003000000}"/>
    <hyperlink ref="A106" r:id="rId5" xr:uid="{00000000-0004-0000-0700-000004000000}"/>
    <hyperlink ref="A102" r:id="rId6" xr:uid="{00000000-0004-0000-0700-000005000000}"/>
  </hyperlinks>
  <pageMargins left="0.7" right="0.7" top="0.75" bottom="0.75" header="0.3" footer="0.3"/>
  <pageSetup paperSize="9" scale="45" orientation="portrait" r:id="rId7"/>
  <headerFooter>
    <oddFooter>&amp;LPUBLIC</oddFooter>
    <evenFooter>&amp;LPUBLIC</evenFooter>
    <firstFooter>&amp;LPUBLIC</firstFooter>
  </headerFooter>
  <rowBreaks count="2" manualBreakCount="2">
    <brk id="108" max="16383" man="1"/>
    <brk id="14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26"/>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62"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9</v>
      </c>
      <c r="B1" s="97"/>
      <c r="C1" s="97"/>
      <c r="D1" s="97"/>
      <c r="E1" s="97"/>
      <c r="F1" s="97"/>
    </row>
    <row r="2" spans="1:6" s="1" customFormat="1" ht="11.5" x14ac:dyDescent="0.25">
      <c r="A2" s="42" t="s">
        <v>190</v>
      </c>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72</v>
      </c>
      <c r="B7" s="26" t="s">
        <v>1600</v>
      </c>
      <c r="C7" s="26" t="s">
        <v>73</v>
      </c>
      <c r="D7" s="30">
        <v>2170</v>
      </c>
      <c r="E7" s="28">
        <v>21643.536599999999</v>
      </c>
      <c r="F7" s="29">
        <v>8.7692783471199398</v>
      </c>
    </row>
    <row r="8" spans="1:6" x14ac:dyDescent="0.2">
      <c r="A8" s="26" t="s">
        <v>213</v>
      </c>
      <c r="B8" s="26" t="s">
        <v>212</v>
      </c>
      <c r="C8" s="26" t="s">
        <v>214</v>
      </c>
      <c r="D8" s="30">
        <v>2000</v>
      </c>
      <c r="E8" s="28">
        <v>20927.16</v>
      </c>
      <c r="F8" s="29">
        <v>8.4790251448422893</v>
      </c>
    </row>
    <row r="9" spans="1:6" x14ac:dyDescent="0.2">
      <c r="A9" s="26" t="s">
        <v>422</v>
      </c>
      <c r="B9" s="26" t="s">
        <v>421</v>
      </c>
      <c r="C9" s="26" t="s">
        <v>133</v>
      </c>
      <c r="D9" s="30">
        <v>1500</v>
      </c>
      <c r="E9" s="28">
        <v>14768.145</v>
      </c>
      <c r="F9" s="29">
        <v>5.9835865352812796</v>
      </c>
    </row>
    <row r="10" spans="1:6" x14ac:dyDescent="0.2">
      <c r="A10" s="26" t="s">
        <v>254</v>
      </c>
      <c r="B10" s="26" t="s">
        <v>253</v>
      </c>
      <c r="C10" s="26" t="s">
        <v>133</v>
      </c>
      <c r="D10" s="30">
        <v>1300</v>
      </c>
      <c r="E10" s="28">
        <v>12781.834000000001</v>
      </c>
      <c r="F10" s="29">
        <v>5.17879597055693</v>
      </c>
    </row>
    <row r="11" spans="1:6" x14ac:dyDescent="0.2">
      <c r="A11" s="26" t="s">
        <v>200</v>
      </c>
      <c r="B11" s="26" t="s">
        <v>199</v>
      </c>
      <c r="C11" s="26" t="s">
        <v>201</v>
      </c>
      <c r="D11" s="30">
        <v>1198</v>
      </c>
      <c r="E11" s="28">
        <v>12087.221</v>
      </c>
      <c r="F11" s="29">
        <v>4.8973606925290296</v>
      </c>
    </row>
    <row r="12" spans="1:6" x14ac:dyDescent="0.2">
      <c r="A12" s="26" t="s">
        <v>67</v>
      </c>
      <c r="B12" s="26" t="s">
        <v>66</v>
      </c>
      <c r="C12" s="26" t="s">
        <v>68</v>
      </c>
      <c r="D12" s="30">
        <v>2000</v>
      </c>
      <c r="E12" s="28">
        <v>9906.58</v>
      </c>
      <c r="F12" s="29">
        <v>4.0138337413864003</v>
      </c>
    </row>
    <row r="13" spans="1:6" x14ac:dyDescent="0.2">
      <c r="A13" s="26" t="s">
        <v>113</v>
      </c>
      <c r="B13" s="26" t="s">
        <v>112</v>
      </c>
      <c r="C13" s="26" t="s">
        <v>114</v>
      </c>
      <c r="D13" s="30">
        <v>1000</v>
      </c>
      <c r="E13" s="28">
        <v>9714.35</v>
      </c>
      <c r="F13" s="29">
        <v>3.9359482087296498</v>
      </c>
    </row>
    <row r="14" spans="1:6" x14ac:dyDescent="0.2">
      <c r="A14" s="26" t="s">
        <v>122</v>
      </c>
      <c r="B14" s="26" t="s">
        <v>121</v>
      </c>
      <c r="C14" s="26" t="s">
        <v>71</v>
      </c>
      <c r="D14" s="30">
        <v>780</v>
      </c>
      <c r="E14" s="28">
        <v>8271.9078000000009</v>
      </c>
      <c r="F14" s="29">
        <v>3.3515161269860401</v>
      </c>
    </row>
    <row r="15" spans="1:6" x14ac:dyDescent="0.2">
      <c r="A15" s="26" t="s">
        <v>78</v>
      </c>
      <c r="B15" s="26" t="s">
        <v>77</v>
      </c>
      <c r="C15" s="26" t="s">
        <v>73</v>
      </c>
      <c r="D15" s="30">
        <v>650</v>
      </c>
      <c r="E15" s="28">
        <v>6480.6234999999997</v>
      </c>
      <c r="F15" s="29">
        <v>2.6257442295445701</v>
      </c>
    </row>
    <row r="16" spans="1:6" x14ac:dyDescent="0.2">
      <c r="A16" s="26" t="s">
        <v>86</v>
      </c>
      <c r="B16" s="26" t="s">
        <v>85</v>
      </c>
      <c r="C16" s="26" t="s">
        <v>87</v>
      </c>
      <c r="D16" s="30">
        <v>1102</v>
      </c>
      <c r="E16" s="28">
        <v>5510.7603799999997</v>
      </c>
      <c r="F16" s="29">
        <v>2.23278628486716</v>
      </c>
    </row>
    <row r="17" spans="1:6" x14ac:dyDescent="0.2">
      <c r="A17" s="26" t="s">
        <v>59</v>
      </c>
      <c r="B17" s="26" t="s">
        <v>58</v>
      </c>
      <c r="C17" s="26" t="s">
        <v>60</v>
      </c>
      <c r="D17" s="30">
        <v>500</v>
      </c>
      <c r="E17" s="28">
        <v>5009.87</v>
      </c>
      <c r="F17" s="29">
        <v>2.0298413020395998</v>
      </c>
    </row>
    <row r="18" spans="1:6" x14ac:dyDescent="0.2">
      <c r="A18" s="26" t="s">
        <v>424</v>
      </c>
      <c r="B18" s="26" t="s">
        <v>423</v>
      </c>
      <c r="C18" s="26" t="s">
        <v>120</v>
      </c>
      <c r="D18" s="30">
        <v>500</v>
      </c>
      <c r="E18" s="28">
        <v>4509.5550000000003</v>
      </c>
      <c r="F18" s="29">
        <v>1.8271294450393301</v>
      </c>
    </row>
    <row r="19" spans="1:6" x14ac:dyDescent="0.2">
      <c r="A19" s="26" t="s">
        <v>65</v>
      </c>
      <c r="B19" s="26" t="s">
        <v>64</v>
      </c>
      <c r="C19" s="26" t="s">
        <v>63</v>
      </c>
      <c r="D19" s="30">
        <v>350</v>
      </c>
      <c r="E19" s="28">
        <v>3501.3229999999999</v>
      </c>
      <c r="F19" s="29">
        <v>1.4186256404220501</v>
      </c>
    </row>
    <row r="20" spans="1:6" x14ac:dyDescent="0.2">
      <c r="A20" s="26" t="s">
        <v>426</v>
      </c>
      <c r="B20" s="26" t="s">
        <v>425</v>
      </c>
      <c r="C20" s="26" t="s">
        <v>120</v>
      </c>
      <c r="D20" s="30">
        <v>250</v>
      </c>
      <c r="E20" s="28">
        <v>3007.1675</v>
      </c>
      <c r="F20" s="29">
        <v>1.2184094185380401</v>
      </c>
    </row>
    <row r="21" spans="1:6" x14ac:dyDescent="0.2">
      <c r="A21" s="26" t="s">
        <v>428</v>
      </c>
      <c r="B21" s="26" t="s">
        <v>427</v>
      </c>
      <c r="C21" s="26" t="s">
        <v>252</v>
      </c>
      <c r="D21" s="30">
        <v>300</v>
      </c>
      <c r="E21" s="28">
        <v>3001.77</v>
      </c>
      <c r="F21" s="29">
        <v>1.21622252178668</v>
      </c>
    </row>
    <row r="22" spans="1:6" x14ac:dyDescent="0.2">
      <c r="A22" s="26" t="s">
        <v>247</v>
      </c>
      <c r="B22" s="26" t="s">
        <v>246</v>
      </c>
      <c r="C22" s="26" t="s">
        <v>87</v>
      </c>
      <c r="D22" s="30">
        <v>300</v>
      </c>
      <c r="E22" s="28">
        <v>2985.5010000000002</v>
      </c>
      <c r="F22" s="29">
        <v>1.2096308361455499</v>
      </c>
    </row>
    <row r="23" spans="1:6" x14ac:dyDescent="0.2">
      <c r="A23" s="26" t="s">
        <v>430</v>
      </c>
      <c r="B23" s="26" t="s">
        <v>429</v>
      </c>
      <c r="C23" s="26" t="s">
        <v>431</v>
      </c>
      <c r="D23" s="30">
        <v>232</v>
      </c>
      <c r="E23" s="28">
        <v>2937.5584800000001</v>
      </c>
      <c r="F23" s="29">
        <v>1.1902060392506499</v>
      </c>
    </row>
    <row r="24" spans="1:6" x14ac:dyDescent="0.2">
      <c r="A24" s="26" t="s">
        <v>132</v>
      </c>
      <c r="B24" s="26" t="s">
        <v>131</v>
      </c>
      <c r="C24" s="26" t="s">
        <v>133</v>
      </c>
      <c r="D24" s="30">
        <v>250</v>
      </c>
      <c r="E24" s="28">
        <v>2513.77</v>
      </c>
      <c r="F24" s="29">
        <v>1.0185003143450999</v>
      </c>
    </row>
    <row r="25" spans="1:6" x14ac:dyDescent="0.2">
      <c r="A25" s="26" t="s">
        <v>258</v>
      </c>
      <c r="B25" s="26" t="s">
        <v>257</v>
      </c>
      <c r="C25" s="26" t="s">
        <v>140</v>
      </c>
      <c r="D25" s="30">
        <v>250</v>
      </c>
      <c r="E25" s="28">
        <v>2508.1849999999999</v>
      </c>
      <c r="F25" s="29">
        <v>1.01623744850788</v>
      </c>
    </row>
    <row r="26" spans="1:6" x14ac:dyDescent="0.2">
      <c r="A26" s="26" t="s">
        <v>225</v>
      </c>
      <c r="B26" s="26" t="s">
        <v>224</v>
      </c>
      <c r="C26" s="26" t="s">
        <v>133</v>
      </c>
      <c r="D26" s="30">
        <v>240</v>
      </c>
      <c r="E26" s="28">
        <v>2411.1167999999998</v>
      </c>
      <c r="F26" s="29">
        <v>0.97690847560546601</v>
      </c>
    </row>
    <row r="27" spans="1:6" x14ac:dyDescent="0.2">
      <c r="A27" s="26" t="s">
        <v>211</v>
      </c>
      <c r="B27" s="26" t="s">
        <v>210</v>
      </c>
      <c r="C27" s="26" t="s">
        <v>120</v>
      </c>
      <c r="D27" s="30">
        <v>250</v>
      </c>
      <c r="E27" s="28">
        <v>2208.1799999999998</v>
      </c>
      <c r="F27" s="29">
        <v>0.89468488530397094</v>
      </c>
    </row>
    <row r="28" spans="1:6" x14ac:dyDescent="0.2">
      <c r="A28" s="26" t="s">
        <v>99</v>
      </c>
      <c r="B28" s="26" t="s">
        <v>98</v>
      </c>
      <c r="C28" s="26" t="s">
        <v>87</v>
      </c>
      <c r="D28" s="30">
        <v>176</v>
      </c>
      <c r="E28" s="28">
        <v>1753.59536</v>
      </c>
      <c r="F28" s="29">
        <v>0.71050152774283604</v>
      </c>
    </row>
    <row r="29" spans="1:6" x14ac:dyDescent="0.2">
      <c r="A29" s="26" t="s">
        <v>147</v>
      </c>
      <c r="B29" s="26" t="s">
        <v>146</v>
      </c>
      <c r="C29" s="26" t="s">
        <v>68</v>
      </c>
      <c r="D29" s="30">
        <v>200</v>
      </c>
      <c r="E29" s="28">
        <v>1644.078</v>
      </c>
      <c r="F29" s="29">
        <v>0.66612854788141496</v>
      </c>
    </row>
    <row r="30" spans="1:6" x14ac:dyDescent="0.2">
      <c r="A30" s="26" t="s">
        <v>251</v>
      </c>
      <c r="B30" s="26" t="s">
        <v>1609</v>
      </c>
      <c r="C30" s="26" t="s">
        <v>252</v>
      </c>
      <c r="D30" s="30">
        <v>150</v>
      </c>
      <c r="E30" s="28">
        <v>1481.8679999999999</v>
      </c>
      <c r="F30" s="29">
        <v>0.60040617232998394</v>
      </c>
    </row>
    <row r="31" spans="1:6" x14ac:dyDescent="0.2">
      <c r="A31" s="26" t="s">
        <v>433</v>
      </c>
      <c r="B31" s="26" t="s">
        <v>432</v>
      </c>
      <c r="C31" s="26" t="s">
        <v>76</v>
      </c>
      <c r="D31" s="30">
        <v>150</v>
      </c>
      <c r="E31" s="28">
        <v>1175.0328</v>
      </c>
      <c r="F31" s="29">
        <v>0.47608622752511298</v>
      </c>
    </row>
    <row r="32" spans="1:6" x14ac:dyDescent="0.2">
      <c r="A32" s="26" t="s">
        <v>128</v>
      </c>
      <c r="B32" s="26" t="s">
        <v>127</v>
      </c>
      <c r="C32" s="26" t="s">
        <v>68</v>
      </c>
      <c r="D32" s="30">
        <v>400</v>
      </c>
      <c r="E32" s="28">
        <v>1004.4640000000001</v>
      </c>
      <c r="F32" s="29">
        <v>0.40697712986802198</v>
      </c>
    </row>
    <row r="33" spans="1:9" x14ac:dyDescent="0.2">
      <c r="A33" s="26" t="s">
        <v>435</v>
      </c>
      <c r="B33" s="26" t="s">
        <v>434</v>
      </c>
      <c r="C33" s="26" t="s">
        <v>120</v>
      </c>
      <c r="D33" s="30">
        <v>115</v>
      </c>
      <c r="E33" s="28">
        <v>849.95695000000001</v>
      </c>
      <c r="F33" s="29">
        <v>0.34437574668915699</v>
      </c>
    </row>
    <row r="34" spans="1:9" x14ac:dyDescent="0.2">
      <c r="A34" s="26" t="s">
        <v>221</v>
      </c>
      <c r="B34" s="26" t="s">
        <v>220</v>
      </c>
      <c r="C34" s="26" t="s">
        <v>87</v>
      </c>
      <c r="D34" s="30">
        <v>62</v>
      </c>
      <c r="E34" s="28">
        <v>606.35131999999999</v>
      </c>
      <c r="F34" s="29">
        <v>0.24567442925310001</v>
      </c>
    </row>
    <row r="35" spans="1:9" x14ac:dyDescent="0.2">
      <c r="A35" s="26" t="s">
        <v>223</v>
      </c>
      <c r="B35" s="26" t="s">
        <v>222</v>
      </c>
      <c r="C35" s="26" t="s">
        <v>87</v>
      </c>
      <c r="D35" s="30">
        <v>62</v>
      </c>
      <c r="E35" s="28">
        <v>602.58978000000002</v>
      </c>
      <c r="F35" s="29">
        <v>0.244150371892076</v>
      </c>
    </row>
    <row r="36" spans="1:9" x14ac:dyDescent="0.2">
      <c r="A36" s="26" t="s">
        <v>145</v>
      </c>
      <c r="B36" s="26" t="s">
        <v>144</v>
      </c>
      <c r="C36" s="26" t="s">
        <v>87</v>
      </c>
      <c r="D36" s="30">
        <v>55</v>
      </c>
      <c r="E36" s="28">
        <v>543.0403</v>
      </c>
      <c r="F36" s="29">
        <v>0.22002280091339199</v>
      </c>
    </row>
    <row r="37" spans="1:9" x14ac:dyDescent="0.2">
      <c r="A37" s="26" t="s">
        <v>124</v>
      </c>
      <c r="B37" s="26" t="s">
        <v>123</v>
      </c>
      <c r="C37" s="26" t="s">
        <v>87</v>
      </c>
      <c r="D37" s="30">
        <v>174</v>
      </c>
      <c r="E37" s="28">
        <v>434.85732000000002</v>
      </c>
      <c r="F37" s="29">
        <v>0.17619046973878599</v>
      </c>
    </row>
    <row r="38" spans="1:9" ht="10.5" x14ac:dyDescent="0.25">
      <c r="A38" s="25" t="s">
        <v>153</v>
      </c>
      <c r="B38" s="25"/>
      <c r="C38" s="25"/>
      <c r="D38" s="31"/>
      <c r="E38" s="32">
        <f>SUM(E6:E37)</f>
        <v>166781.94888999997</v>
      </c>
      <c r="F38" s="33">
        <f>SUM(F6:F37)</f>
        <v>67.574785032661495</v>
      </c>
      <c r="G38" s="17"/>
      <c r="H38" s="17"/>
      <c r="I38" s="17"/>
    </row>
    <row r="39" spans="1:9" x14ac:dyDescent="0.2">
      <c r="A39" s="26"/>
      <c r="B39" s="26"/>
      <c r="C39" s="26"/>
      <c r="D39" s="27"/>
      <c r="E39" s="28"/>
      <c r="F39" s="29"/>
    </row>
    <row r="40" spans="1:9" ht="10.5" x14ac:dyDescent="0.25">
      <c r="A40" s="25" t="s">
        <v>154</v>
      </c>
      <c r="B40" s="26"/>
      <c r="C40" s="26"/>
      <c r="D40" s="27"/>
      <c r="E40" s="28"/>
      <c r="F40" s="29"/>
    </row>
    <row r="41" spans="1:9" x14ac:dyDescent="0.2">
      <c r="A41" s="26" t="s">
        <v>310</v>
      </c>
      <c r="B41" s="26" t="s">
        <v>309</v>
      </c>
      <c r="C41" s="26" t="s">
        <v>298</v>
      </c>
      <c r="D41" s="30">
        <v>1498</v>
      </c>
      <c r="E41" s="28">
        <v>15094.791740000001</v>
      </c>
      <c r="F41" s="29">
        <v>6.1159334911960199</v>
      </c>
    </row>
    <row r="42" spans="1:9" x14ac:dyDescent="0.2">
      <c r="A42" s="26" t="s">
        <v>293</v>
      </c>
      <c r="B42" s="26" t="s">
        <v>292</v>
      </c>
      <c r="C42" s="26" t="s">
        <v>240</v>
      </c>
      <c r="D42" s="30">
        <v>600</v>
      </c>
      <c r="E42" s="28">
        <v>5397.4260000000004</v>
      </c>
      <c r="F42" s="29">
        <v>2.1868667688986698</v>
      </c>
    </row>
    <row r="43" spans="1:9" x14ac:dyDescent="0.2">
      <c r="A43" s="26" t="s">
        <v>158</v>
      </c>
      <c r="B43" s="26" t="s">
        <v>157</v>
      </c>
      <c r="C43" s="26" t="s">
        <v>140</v>
      </c>
      <c r="D43" s="30">
        <v>310</v>
      </c>
      <c r="E43" s="28">
        <v>4737.8167999999996</v>
      </c>
      <c r="F43" s="29">
        <v>1.91961392653644</v>
      </c>
    </row>
    <row r="44" spans="1:9" x14ac:dyDescent="0.2">
      <c r="A44" s="26" t="s">
        <v>300</v>
      </c>
      <c r="B44" s="26" t="s">
        <v>299</v>
      </c>
      <c r="C44" s="26" t="s">
        <v>298</v>
      </c>
      <c r="D44" s="30">
        <v>180</v>
      </c>
      <c r="E44" s="28">
        <v>1536.981908</v>
      </c>
      <c r="F44" s="29">
        <v>0.622736589441648</v>
      </c>
    </row>
    <row r="45" spans="1:9" x14ac:dyDescent="0.2">
      <c r="A45" s="26" t="s">
        <v>308</v>
      </c>
      <c r="B45" s="26" t="s">
        <v>307</v>
      </c>
      <c r="C45" s="26" t="s">
        <v>298</v>
      </c>
      <c r="D45" s="30">
        <v>120</v>
      </c>
      <c r="E45" s="28">
        <v>1054.4843679999999</v>
      </c>
      <c r="F45" s="29">
        <v>0.427243805232776</v>
      </c>
    </row>
    <row r="46" spans="1:9" x14ac:dyDescent="0.2">
      <c r="A46" s="26" t="s">
        <v>297</v>
      </c>
      <c r="B46" s="26" t="s">
        <v>296</v>
      </c>
      <c r="C46" s="26" t="s">
        <v>298</v>
      </c>
      <c r="D46" s="30">
        <v>40</v>
      </c>
      <c r="E46" s="28">
        <v>333.49452550000001</v>
      </c>
      <c r="F46" s="29">
        <v>0.135121462605616</v>
      </c>
    </row>
    <row r="47" spans="1:9" x14ac:dyDescent="0.2">
      <c r="A47" s="26" t="s">
        <v>312</v>
      </c>
      <c r="B47" s="26" t="s">
        <v>311</v>
      </c>
      <c r="C47" s="26" t="s">
        <v>313</v>
      </c>
      <c r="D47" s="30">
        <v>1088</v>
      </c>
      <c r="E47" s="28">
        <v>145.13919999999999</v>
      </c>
      <c r="F47" s="29">
        <v>5.8805825840787501E-2</v>
      </c>
    </row>
    <row r="48" spans="1:9" x14ac:dyDescent="0.2">
      <c r="A48" s="26" t="s">
        <v>319</v>
      </c>
      <c r="B48" s="26" t="s">
        <v>318</v>
      </c>
      <c r="C48" s="26" t="s">
        <v>313</v>
      </c>
      <c r="D48" s="30">
        <v>327</v>
      </c>
      <c r="E48" s="28">
        <v>53.693399999999997</v>
      </c>
      <c r="F48" s="29">
        <v>2.1754872075908802E-2</v>
      </c>
    </row>
    <row r="49" spans="1:9" ht="10.5" x14ac:dyDescent="0.25">
      <c r="A49" s="25" t="s">
        <v>153</v>
      </c>
      <c r="B49" s="25"/>
      <c r="C49" s="25"/>
      <c r="D49" s="31"/>
      <c r="E49" s="32">
        <f>SUM(E40:E48)</f>
        <v>28353.827941500003</v>
      </c>
      <c r="F49" s="33">
        <f>SUM(F40:F48)</f>
        <v>11.488076741827864</v>
      </c>
      <c r="G49" s="17"/>
      <c r="H49" s="17"/>
      <c r="I49" s="17"/>
    </row>
    <row r="50" spans="1:9" x14ac:dyDescent="0.2">
      <c r="A50" s="26"/>
      <c r="B50" s="26"/>
      <c r="C50" s="26"/>
      <c r="D50" s="27"/>
      <c r="E50" s="28"/>
      <c r="F50" s="29"/>
    </row>
    <row r="51" spans="1:9" ht="10.5" x14ac:dyDescent="0.25">
      <c r="A51" s="25" t="s">
        <v>166</v>
      </c>
      <c r="B51" s="25"/>
      <c r="C51" s="25"/>
      <c r="D51" s="31"/>
      <c r="E51" s="32">
        <f>E38+E49</f>
        <v>195135.77683149997</v>
      </c>
      <c r="F51" s="33">
        <f>F38+F49</f>
        <v>79.062861774489363</v>
      </c>
      <c r="G51" s="17"/>
      <c r="H51" s="17"/>
      <c r="I51" s="17"/>
    </row>
    <row r="52" spans="1:9" ht="10.5" x14ac:dyDescent="0.25">
      <c r="A52" s="25"/>
      <c r="B52" s="25"/>
      <c r="C52" s="25"/>
      <c r="D52" s="31"/>
      <c r="E52" s="32"/>
      <c r="F52" s="33"/>
      <c r="G52" s="17"/>
      <c r="H52" s="17"/>
      <c r="I52" s="17"/>
    </row>
    <row r="53" spans="1:9" ht="10.5" x14ac:dyDescent="0.25">
      <c r="A53" s="25" t="s">
        <v>168</v>
      </c>
      <c r="B53" s="25"/>
      <c r="C53" s="25"/>
      <c r="D53" s="31"/>
      <c r="E53" s="32">
        <f>E55-(E38+E49)</f>
        <v>51675.143557500036</v>
      </c>
      <c r="F53" s="33">
        <f>F55-(F38+F49)</f>
        <v>20.937138225510637</v>
      </c>
      <c r="G53" s="17"/>
      <c r="H53" s="17"/>
      <c r="I53" s="17"/>
    </row>
    <row r="54" spans="1:9" ht="10.5" x14ac:dyDescent="0.25">
      <c r="A54" s="25"/>
      <c r="B54" s="25"/>
      <c r="C54" s="25"/>
      <c r="D54" s="31"/>
      <c r="E54" s="32"/>
      <c r="F54" s="33"/>
      <c r="G54" s="17"/>
      <c r="H54" s="17"/>
      <c r="I54" s="17"/>
    </row>
    <row r="55" spans="1:9" ht="10.5" x14ac:dyDescent="0.25">
      <c r="A55" s="34" t="s">
        <v>167</v>
      </c>
      <c r="B55" s="34"/>
      <c r="C55" s="34"/>
      <c r="D55" s="35"/>
      <c r="E55" s="36">
        <v>246810.92038900001</v>
      </c>
      <c r="F55" s="37">
        <v>100</v>
      </c>
      <c r="G55" s="17"/>
      <c r="H55" s="17"/>
      <c r="I55" s="17"/>
    </row>
    <row r="57" spans="1:9" ht="10.5" x14ac:dyDescent="0.25">
      <c r="A57" s="17" t="s">
        <v>170</v>
      </c>
    </row>
    <row r="58" spans="1:9" ht="10.5" x14ac:dyDescent="0.25">
      <c r="A58" s="17" t="s">
        <v>1490</v>
      </c>
    </row>
    <row r="59" spans="1:9" ht="10.5" x14ac:dyDescent="0.25">
      <c r="A59" s="17" t="s">
        <v>1650</v>
      </c>
    </row>
    <row r="60" spans="1:9" ht="10.5" x14ac:dyDescent="0.25">
      <c r="A60" s="17" t="s">
        <v>1501</v>
      </c>
    </row>
    <row r="62" spans="1:9" ht="10.5" x14ac:dyDescent="0.25">
      <c r="A62" s="17" t="s">
        <v>171</v>
      </c>
    </row>
    <row r="63" spans="1:9" ht="10.5" x14ac:dyDescent="0.25">
      <c r="A63" s="17" t="s">
        <v>172</v>
      </c>
    </row>
    <row r="64" spans="1:9" ht="10.5" x14ac:dyDescent="0.25">
      <c r="A64" s="17" t="s">
        <v>173</v>
      </c>
      <c r="B64" s="17"/>
      <c r="C64" s="38" t="s">
        <v>175</v>
      </c>
      <c r="D64" s="18" t="s">
        <v>174</v>
      </c>
    </row>
    <row r="65" spans="1:5" x14ac:dyDescent="0.2">
      <c r="A65" s="10" t="s">
        <v>436</v>
      </c>
      <c r="C65" s="39">
        <v>20.619299999999999</v>
      </c>
      <c r="D65" s="39">
        <v>21.695599999999999</v>
      </c>
    </row>
    <row r="66" spans="1:5" x14ac:dyDescent="0.2">
      <c r="A66" s="10" t="s">
        <v>437</v>
      </c>
      <c r="C66" s="39">
        <v>9.5076000000000001</v>
      </c>
      <c r="D66" s="39">
        <v>10.0038</v>
      </c>
    </row>
    <row r="67" spans="1:5" x14ac:dyDescent="0.2">
      <c r="A67" s="10" t="s">
        <v>438</v>
      </c>
      <c r="C67" s="39">
        <v>9.3376999999999999</v>
      </c>
      <c r="D67" s="39">
        <v>9.8251000000000008</v>
      </c>
    </row>
    <row r="68" spans="1:5" x14ac:dyDescent="0.2">
      <c r="A68" s="10" t="s">
        <v>439</v>
      </c>
      <c r="C68" s="39">
        <v>21.104399999999998</v>
      </c>
      <c r="D68" s="39">
        <v>22.246200000000002</v>
      </c>
    </row>
    <row r="69" spans="1:5" x14ac:dyDescent="0.2">
      <c r="A69" s="10" t="s">
        <v>440</v>
      </c>
      <c r="C69" s="39">
        <v>9.8081999999999994</v>
      </c>
      <c r="D69" s="39">
        <v>10.338900000000001</v>
      </c>
    </row>
    <row r="70" spans="1:5" x14ac:dyDescent="0.2">
      <c r="A70" s="10" t="s">
        <v>441</v>
      </c>
      <c r="C70" s="39">
        <v>9.6384000000000007</v>
      </c>
      <c r="D70" s="39">
        <v>10.1599</v>
      </c>
    </row>
    <row r="72" spans="1:5" ht="10.5" x14ac:dyDescent="0.25">
      <c r="A72" s="17" t="s">
        <v>185</v>
      </c>
      <c r="D72" s="40" t="s">
        <v>186</v>
      </c>
    </row>
    <row r="74" spans="1:5" ht="10.5" x14ac:dyDescent="0.25">
      <c r="A74" s="17" t="s">
        <v>187</v>
      </c>
      <c r="D74" s="41">
        <v>1.2593525958630101</v>
      </c>
      <c r="E74" s="15" t="s">
        <v>188</v>
      </c>
    </row>
    <row r="76" spans="1:5" ht="10.5" x14ac:dyDescent="0.25">
      <c r="A76" s="17" t="s">
        <v>189</v>
      </c>
      <c r="D76" s="40">
        <v>2</v>
      </c>
    </row>
    <row r="77" spans="1:5" x14ac:dyDescent="0.2">
      <c r="A77" s="10" t="s">
        <v>353</v>
      </c>
    </row>
    <row r="78" spans="1:5" x14ac:dyDescent="0.2">
      <c r="A78" s="87" t="s">
        <v>1546</v>
      </c>
    </row>
    <row r="79" spans="1:5" ht="14.5" x14ac:dyDescent="0.35">
      <c r="A79" s="46"/>
    </row>
    <row r="80" spans="1:5" ht="10.5" x14ac:dyDescent="0.25">
      <c r="A80" s="17" t="s">
        <v>1588</v>
      </c>
    </row>
    <row r="82" spans="1:6" x14ac:dyDescent="0.2">
      <c r="A82" s="10" t="s">
        <v>1589</v>
      </c>
    </row>
    <row r="84" spans="1:6" ht="63" x14ac:dyDescent="0.2">
      <c r="A84" s="8" t="s">
        <v>2</v>
      </c>
      <c r="B84" s="85" t="s">
        <v>1583</v>
      </c>
      <c r="C84" s="85" t="s">
        <v>1655</v>
      </c>
      <c r="D84" s="85" t="s">
        <v>1584</v>
      </c>
      <c r="E84" s="85" t="s">
        <v>1618</v>
      </c>
    </row>
    <row r="85" spans="1:6" x14ac:dyDescent="0.2">
      <c r="A85" s="81" t="s">
        <v>1620</v>
      </c>
      <c r="B85" s="81" t="s">
        <v>1641</v>
      </c>
      <c r="C85" s="82">
        <v>0</v>
      </c>
      <c r="D85" s="83">
        <v>0</v>
      </c>
      <c r="E85" s="82">
        <f>854385198/100000</f>
        <v>8543.8519799999995</v>
      </c>
    </row>
    <row r="86" spans="1:6" x14ac:dyDescent="0.2">
      <c r="A86" s="81" t="s">
        <v>1587</v>
      </c>
      <c r="B86" s="81" t="s">
        <v>1637</v>
      </c>
      <c r="C86" s="82">
        <v>0</v>
      </c>
      <c r="D86" s="83">
        <v>0</v>
      </c>
      <c r="E86" s="82">
        <f>1631991850.09/100000</f>
        <v>16319.918500899999</v>
      </c>
    </row>
    <row r="87" spans="1:6" ht="11" customHeight="1" x14ac:dyDescent="0.35">
      <c r="A87" s="46"/>
    </row>
    <row r="88" spans="1:6" x14ac:dyDescent="0.2">
      <c r="A88" s="58" t="s">
        <v>1656</v>
      </c>
    </row>
    <row r="89" spans="1:6" x14ac:dyDescent="0.2">
      <c r="A89" s="58"/>
    </row>
    <row r="90" spans="1:6" ht="40" customHeight="1" x14ac:dyDescent="0.2">
      <c r="A90" s="103" t="s">
        <v>1653</v>
      </c>
      <c r="B90" s="103"/>
      <c r="C90" s="103"/>
      <c r="D90" s="103"/>
      <c r="E90" s="103"/>
      <c r="F90" s="103"/>
    </row>
    <row r="91" spans="1:6" x14ac:dyDescent="0.2">
      <c r="A91" s="86" t="s">
        <v>1579</v>
      </c>
    </row>
    <row r="93" spans="1:6" ht="30" customHeight="1" x14ac:dyDescent="0.2">
      <c r="A93" s="103" t="s">
        <v>1549</v>
      </c>
      <c r="B93" s="103"/>
      <c r="C93" s="103"/>
      <c r="D93" s="103"/>
      <c r="E93" s="103"/>
      <c r="F93" s="103"/>
    </row>
    <row r="94" spans="1:6" ht="10.5" x14ac:dyDescent="0.2">
      <c r="A94" s="70"/>
      <c r="B94" s="70"/>
      <c r="C94" s="70"/>
      <c r="D94" s="70"/>
      <c r="E94" s="70"/>
      <c r="F94" s="70"/>
    </row>
    <row r="96" spans="1:6" s="1" customFormat="1" ht="14" x14ac:dyDescent="0.25">
      <c r="A96" s="96" t="s">
        <v>442</v>
      </c>
      <c r="B96" s="97"/>
      <c r="C96" s="97"/>
      <c r="D96" s="97"/>
      <c r="E96" s="97"/>
      <c r="F96" s="97"/>
    </row>
    <row r="97" spans="1:9" ht="10.5" x14ac:dyDescent="0.25">
      <c r="A97" s="17" t="s">
        <v>6</v>
      </c>
    </row>
    <row r="98" spans="1:9" s="1" customFormat="1" ht="17.5" customHeight="1" x14ac:dyDescent="0.25">
      <c r="A98" s="8" t="s">
        <v>2</v>
      </c>
      <c r="B98" s="8" t="s">
        <v>0</v>
      </c>
      <c r="C98" s="8" t="s">
        <v>169</v>
      </c>
      <c r="D98" s="48" t="s">
        <v>1</v>
      </c>
      <c r="E98" s="9" t="s">
        <v>3</v>
      </c>
      <c r="F98" s="9" t="s">
        <v>4</v>
      </c>
    </row>
    <row r="99" spans="1:9" ht="10.5" x14ac:dyDescent="0.25">
      <c r="A99" s="20" t="s">
        <v>56</v>
      </c>
      <c r="B99" s="21"/>
      <c r="C99" s="21"/>
      <c r="D99" s="22"/>
      <c r="E99" s="23"/>
      <c r="F99" s="24"/>
    </row>
    <row r="100" spans="1:9" ht="10.5" x14ac:dyDescent="0.25">
      <c r="A100" s="25" t="s">
        <v>1647</v>
      </c>
      <c r="B100" s="26"/>
      <c r="C100" s="26"/>
      <c r="D100" s="27"/>
      <c r="E100" s="28"/>
      <c r="F100" s="29"/>
    </row>
    <row r="101" spans="1:9" x14ac:dyDescent="0.2">
      <c r="A101" s="26" t="s">
        <v>356</v>
      </c>
      <c r="B101" s="26" t="s">
        <v>355</v>
      </c>
      <c r="C101" s="26" t="s">
        <v>357</v>
      </c>
      <c r="D101" s="30">
        <v>1510</v>
      </c>
      <c r="E101" s="28">
        <v>0</v>
      </c>
      <c r="F101" s="29">
        <v>100</v>
      </c>
    </row>
    <row r="102" spans="1:9" ht="10.5" x14ac:dyDescent="0.25">
      <c r="A102" s="25" t="s">
        <v>153</v>
      </c>
      <c r="B102" s="25"/>
      <c r="C102" s="25"/>
      <c r="D102" s="31"/>
      <c r="E102" s="32">
        <f>SUM(E100:E101)</f>
        <v>0</v>
      </c>
      <c r="F102" s="33">
        <f>SUM(F100:F101)</f>
        <v>100</v>
      </c>
      <c r="G102" s="17"/>
      <c r="H102" s="17"/>
      <c r="I102" s="17"/>
    </row>
    <row r="103" spans="1:9" x14ac:dyDescent="0.2">
      <c r="A103" s="26"/>
      <c r="B103" s="26"/>
      <c r="C103" s="26"/>
      <c r="D103" s="27"/>
      <c r="E103" s="28"/>
      <c r="F103" s="29"/>
    </row>
    <row r="104" spans="1:9" ht="10.5" x14ac:dyDescent="0.25">
      <c r="A104" s="25" t="s">
        <v>166</v>
      </c>
      <c r="B104" s="25"/>
      <c r="C104" s="25"/>
      <c r="D104" s="31"/>
      <c r="E104" s="32">
        <f>E102</f>
        <v>0</v>
      </c>
      <c r="F104" s="33">
        <f>F102</f>
        <v>100</v>
      </c>
      <c r="G104" s="17"/>
      <c r="H104" s="17"/>
      <c r="I104" s="17"/>
    </row>
    <row r="105" spans="1:9" ht="10.5" x14ac:dyDescent="0.25">
      <c r="A105" s="25"/>
      <c r="B105" s="25"/>
      <c r="C105" s="25"/>
      <c r="D105" s="31"/>
      <c r="E105" s="32"/>
      <c r="F105" s="33"/>
      <c r="G105" s="17"/>
      <c r="H105" s="17"/>
      <c r="I105" s="17"/>
    </row>
    <row r="106" spans="1:9" ht="10.5" x14ac:dyDescent="0.25">
      <c r="A106" s="25" t="s">
        <v>168</v>
      </c>
      <c r="B106" s="25"/>
      <c r="C106" s="25"/>
      <c r="D106" s="31"/>
      <c r="E106" s="32">
        <f>E108-(E102)</f>
        <v>0</v>
      </c>
      <c r="F106" s="33">
        <v>0</v>
      </c>
      <c r="G106" s="17"/>
      <c r="H106" s="17"/>
      <c r="I106" s="17"/>
    </row>
    <row r="107" spans="1:9" ht="10.5" x14ac:dyDescent="0.25">
      <c r="A107" s="25"/>
      <c r="B107" s="25"/>
      <c r="C107" s="25"/>
      <c r="D107" s="31"/>
      <c r="E107" s="32"/>
      <c r="F107" s="33"/>
      <c r="G107" s="17"/>
      <c r="H107" s="17"/>
      <c r="I107" s="17"/>
    </row>
    <row r="108" spans="1:9" ht="10.5" x14ac:dyDescent="0.25">
      <c r="A108" s="34" t="s">
        <v>167</v>
      </c>
      <c r="B108" s="34"/>
      <c r="C108" s="34"/>
      <c r="D108" s="35"/>
      <c r="E108" s="36">
        <v>0</v>
      </c>
      <c r="F108" s="37">
        <v>100</v>
      </c>
      <c r="G108" s="17"/>
      <c r="H108" s="17"/>
      <c r="I108" s="17"/>
    </row>
    <row r="109" spans="1:9" ht="10.5" x14ac:dyDescent="0.25">
      <c r="F109" s="19"/>
    </row>
    <row r="110" spans="1:9" ht="10.5" x14ac:dyDescent="0.25">
      <c r="A110" s="59" t="s">
        <v>170</v>
      </c>
    </row>
    <row r="111" spans="1:9" ht="10.5" x14ac:dyDescent="0.25">
      <c r="A111" s="59" t="s">
        <v>1490</v>
      </c>
    </row>
    <row r="112" spans="1:9" ht="10.5" x14ac:dyDescent="0.25">
      <c r="A112" s="17" t="s">
        <v>1650</v>
      </c>
    </row>
    <row r="114" spans="1:6" ht="10.5" x14ac:dyDescent="0.25">
      <c r="A114" s="17" t="s">
        <v>171</v>
      </c>
    </row>
    <row r="115" spans="1:6" ht="10.5" x14ac:dyDescent="0.25">
      <c r="A115" s="17" t="s">
        <v>172</v>
      </c>
    </row>
    <row r="116" spans="1:6" ht="10.5" x14ac:dyDescent="0.25">
      <c r="A116" s="17" t="s">
        <v>173</v>
      </c>
      <c r="B116" s="17"/>
      <c r="C116" s="38" t="s">
        <v>175</v>
      </c>
      <c r="D116" s="18" t="s">
        <v>174</v>
      </c>
    </row>
    <row r="117" spans="1:6" x14ac:dyDescent="0.2">
      <c r="A117" s="10" t="s">
        <v>436</v>
      </c>
      <c r="C117" s="39">
        <v>0</v>
      </c>
      <c r="D117" s="39">
        <v>0</v>
      </c>
    </row>
    <row r="118" spans="1:6" x14ac:dyDescent="0.2">
      <c r="A118" s="10" t="s">
        <v>437</v>
      </c>
      <c r="C118" s="39">
        <v>0</v>
      </c>
      <c r="D118" s="39">
        <v>0</v>
      </c>
    </row>
    <row r="119" spans="1:6" x14ac:dyDescent="0.2">
      <c r="A119" s="10" t="s">
        <v>438</v>
      </c>
      <c r="C119" s="39">
        <v>0</v>
      </c>
      <c r="D119" s="39">
        <v>0</v>
      </c>
    </row>
    <row r="120" spans="1:6" x14ac:dyDescent="0.2">
      <c r="A120" s="10" t="s">
        <v>439</v>
      </c>
      <c r="C120" s="39">
        <v>0</v>
      </c>
      <c r="D120" s="39">
        <v>0</v>
      </c>
    </row>
    <row r="121" spans="1:6" x14ac:dyDescent="0.2">
      <c r="A121" s="10" t="s">
        <v>440</v>
      </c>
      <c r="C121" s="39">
        <v>0</v>
      </c>
      <c r="D121" s="39">
        <v>0</v>
      </c>
    </row>
    <row r="122" spans="1:6" x14ac:dyDescent="0.2">
      <c r="A122" s="10" t="s">
        <v>441</v>
      </c>
      <c r="C122" s="39">
        <v>0</v>
      </c>
      <c r="D122" s="39">
        <v>0</v>
      </c>
    </row>
    <row r="124" spans="1:6" ht="10.5" x14ac:dyDescent="0.25">
      <c r="A124" s="17" t="s">
        <v>1550</v>
      </c>
      <c r="D124" s="40" t="s">
        <v>186</v>
      </c>
      <c r="E124" s="41"/>
      <c r="F124" s="14"/>
    </row>
    <row r="125" spans="1:6" x14ac:dyDescent="0.2">
      <c r="A125" s="10" t="s">
        <v>353</v>
      </c>
      <c r="E125" s="41"/>
      <c r="F125" s="14"/>
    </row>
    <row r="126" spans="1:6" x14ac:dyDescent="0.2">
      <c r="A126" s="87" t="s">
        <v>1546</v>
      </c>
      <c r="E126" s="41"/>
      <c r="F126" s="14"/>
    </row>
  </sheetData>
  <mergeCells count="4">
    <mergeCell ref="A1:F1"/>
    <mergeCell ref="A96:F96"/>
    <mergeCell ref="A93:F93"/>
    <mergeCell ref="A90:F90"/>
  </mergeCells>
  <conditionalFormatting sqref="F2:F3 F99:F100 F5:F75 F97 F111:F123 F95 F127:F65549">
    <cfRule type="cellIs" dxfId="88" priority="8" stopIfTrue="1" operator="between">
      <formula>0.009</formula>
      <formula>-0.009</formula>
    </cfRule>
  </conditionalFormatting>
  <conditionalFormatting sqref="F76:F79 F91:F92 F87:F89">
    <cfRule type="cellIs" dxfId="87" priority="7" stopIfTrue="1" operator="between">
      <formula>0.009</formula>
      <formula>-0.009</formula>
    </cfRule>
  </conditionalFormatting>
  <conditionalFormatting sqref="F110">
    <cfRule type="cellIs" dxfId="86" priority="6" stopIfTrue="1" operator="between">
      <formula>0.009</formula>
      <formula>-0.009</formula>
    </cfRule>
  </conditionalFormatting>
  <conditionalFormatting sqref="F109">
    <cfRule type="cellIs" dxfId="85" priority="5" stopIfTrue="1" operator="between">
      <formula>0.009</formula>
      <formula>-0.009</formula>
    </cfRule>
  </conditionalFormatting>
  <conditionalFormatting sqref="F101:F105 F107:F108">
    <cfRule type="cellIs" dxfId="84" priority="4" stopIfTrue="1" operator="between">
      <formula>0.009</formula>
      <formula>-0.009</formula>
    </cfRule>
  </conditionalFormatting>
  <conditionalFormatting sqref="F124:F126">
    <cfRule type="cellIs" dxfId="83" priority="3" stopIfTrue="1" operator="between">
      <formula>0.009</formula>
      <formula>-0.009</formula>
    </cfRule>
  </conditionalFormatting>
  <conditionalFormatting sqref="F80:F83">
    <cfRule type="cellIs" dxfId="82" priority="2" stopIfTrue="1" operator="between">
      <formula>0.009</formula>
      <formula>-0.009</formula>
    </cfRule>
  </conditionalFormatting>
  <conditionalFormatting sqref="F84:F86">
    <cfRule type="cellIs" dxfId="81" priority="1" stopIfTrue="1" operator="between">
      <formula>0.009</formula>
      <formula>-0.009</formula>
    </cfRule>
  </conditionalFormatting>
  <hyperlinks>
    <hyperlink ref="A78" r:id="rId1" xr:uid="{00000000-0004-0000-0800-000000000000}"/>
    <hyperlink ref="A126" r:id="rId2" xr:uid="{00000000-0004-0000-0800-000001000000}"/>
    <hyperlink ref="A91" r:id="rId3" xr:uid="{00000000-0004-0000-0800-000002000000}"/>
  </hyperlinks>
  <pageMargins left="0.7" right="0.7" top="0.75" bottom="0.75" header="0.3" footer="0.3"/>
  <pageSetup paperSize="9" scale="52" orientation="portrait" r:id="rId4"/>
  <headerFooter>
    <oddFooter>&amp;LPUBLIC</oddFooter>
    <evenFooter>&amp;LPUBLIC</evenFooter>
    <firstFooter>&amp;LPUBLIC</firstFooter>
  </headerFooter>
  <rowBreaks count="1" manualBreakCount="1">
    <brk id="93"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91"/>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69.1796875"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7</v>
      </c>
      <c r="B1" s="97"/>
      <c r="C1" s="97"/>
      <c r="D1" s="97"/>
      <c r="E1" s="97"/>
      <c r="F1" s="97"/>
    </row>
    <row r="2" spans="1:6" s="1" customFormat="1" ht="11.5" x14ac:dyDescent="0.25">
      <c r="A2" s="42" t="s">
        <v>190</v>
      </c>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59</v>
      </c>
      <c r="B7" s="26" t="s">
        <v>58</v>
      </c>
      <c r="C7" s="26" t="s">
        <v>60</v>
      </c>
      <c r="D7" s="30">
        <v>5400</v>
      </c>
      <c r="E7" s="28">
        <v>54106.595999999998</v>
      </c>
      <c r="F7" s="29">
        <v>5.4146563844179001</v>
      </c>
    </row>
    <row r="8" spans="1:6" x14ac:dyDescent="0.2">
      <c r="A8" s="26" t="s">
        <v>62</v>
      </c>
      <c r="B8" s="26" t="s">
        <v>61</v>
      </c>
      <c r="C8" s="26" t="s">
        <v>63</v>
      </c>
      <c r="D8" s="30">
        <v>4400</v>
      </c>
      <c r="E8" s="28">
        <v>43571.44</v>
      </c>
      <c r="F8" s="29">
        <v>4.3603625660405898</v>
      </c>
    </row>
    <row r="9" spans="1:6" x14ac:dyDescent="0.2">
      <c r="A9" s="26" t="s">
        <v>65</v>
      </c>
      <c r="B9" s="26" t="s">
        <v>64</v>
      </c>
      <c r="C9" s="26" t="s">
        <v>63</v>
      </c>
      <c r="D9" s="30">
        <v>3900</v>
      </c>
      <c r="E9" s="28">
        <v>39014.741999999998</v>
      </c>
      <c r="F9" s="29">
        <v>3.9043561686400898</v>
      </c>
    </row>
    <row r="10" spans="1:6" x14ac:dyDescent="0.2">
      <c r="A10" s="26" t="s">
        <v>67</v>
      </c>
      <c r="B10" s="26" t="s">
        <v>66</v>
      </c>
      <c r="C10" s="26" t="s">
        <v>68</v>
      </c>
      <c r="D10" s="30">
        <v>7500</v>
      </c>
      <c r="E10" s="28">
        <v>37149.675000000003</v>
      </c>
      <c r="F10" s="29">
        <v>3.7177116985478098</v>
      </c>
    </row>
    <row r="11" spans="1:6" x14ac:dyDescent="0.2">
      <c r="A11" s="26" t="s">
        <v>70</v>
      </c>
      <c r="B11" s="26" t="s">
        <v>69</v>
      </c>
      <c r="C11" s="26" t="s">
        <v>71</v>
      </c>
      <c r="D11" s="30">
        <v>3650</v>
      </c>
      <c r="E11" s="28">
        <v>36022.726000000002</v>
      </c>
      <c r="F11" s="29">
        <v>3.60493355227959</v>
      </c>
    </row>
    <row r="12" spans="1:6" x14ac:dyDescent="0.2">
      <c r="A12" s="26" t="s">
        <v>72</v>
      </c>
      <c r="B12" s="26" t="s">
        <v>1600</v>
      </c>
      <c r="C12" s="26" t="s">
        <v>73</v>
      </c>
      <c r="D12" s="30">
        <v>2890</v>
      </c>
      <c r="E12" s="28">
        <v>28824.802199999998</v>
      </c>
      <c r="F12" s="29">
        <v>2.88460947093794</v>
      </c>
    </row>
    <row r="13" spans="1:6" x14ac:dyDescent="0.2">
      <c r="A13" s="26" t="s">
        <v>75</v>
      </c>
      <c r="B13" s="26" t="s">
        <v>74</v>
      </c>
      <c r="C13" s="26" t="s">
        <v>76</v>
      </c>
      <c r="D13" s="30">
        <v>2550</v>
      </c>
      <c r="E13" s="28">
        <v>25509.9195</v>
      </c>
      <c r="F13" s="29">
        <v>2.5528763348310002</v>
      </c>
    </row>
    <row r="14" spans="1:6" x14ac:dyDescent="0.2">
      <c r="A14" s="26" t="s">
        <v>78</v>
      </c>
      <c r="B14" s="26" t="s">
        <v>77</v>
      </c>
      <c r="C14" s="26" t="s">
        <v>73</v>
      </c>
      <c r="D14" s="30">
        <v>2350</v>
      </c>
      <c r="E14" s="28">
        <v>23429.946499999998</v>
      </c>
      <c r="F14" s="29">
        <v>2.3447253899098501</v>
      </c>
    </row>
    <row r="15" spans="1:6" x14ac:dyDescent="0.2">
      <c r="A15" s="26" t="s">
        <v>80</v>
      </c>
      <c r="B15" s="26" t="s">
        <v>79</v>
      </c>
      <c r="C15" s="26" t="s">
        <v>60</v>
      </c>
      <c r="D15" s="30">
        <v>2000</v>
      </c>
      <c r="E15" s="28">
        <v>22830.639999999999</v>
      </c>
      <c r="F15" s="29">
        <v>2.2847504699121499</v>
      </c>
    </row>
    <row r="16" spans="1:6" x14ac:dyDescent="0.2">
      <c r="A16" s="26" t="s">
        <v>82</v>
      </c>
      <c r="B16" s="26" t="s">
        <v>81</v>
      </c>
      <c r="C16" s="26" t="s">
        <v>73</v>
      </c>
      <c r="D16" s="30">
        <v>2000</v>
      </c>
      <c r="E16" s="28">
        <v>19942.02</v>
      </c>
      <c r="F16" s="29">
        <v>1.99567509128073</v>
      </c>
    </row>
    <row r="17" spans="1:6" x14ac:dyDescent="0.2">
      <c r="A17" s="26" t="s">
        <v>84</v>
      </c>
      <c r="B17" s="26" t="s">
        <v>83</v>
      </c>
      <c r="C17" s="26" t="s">
        <v>76</v>
      </c>
      <c r="D17" s="30">
        <v>1910</v>
      </c>
      <c r="E17" s="28">
        <v>18906.478800000001</v>
      </c>
      <c r="F17" s="29">
        <v>1.8920444771887299</v>
      </c>
    </row>
    <row r="18" spans="1:6" x14ac:dyDescent="0.2">
      <c r="A18" s="26" t="s">
        <v>86</v>
      </c>
      <c r="B18" s="26" t="s">
        <v>85</v>
      </c>
      <c r="C18" s="26" t="s">
        <v>87</v>
      </c>
      <c r="D18" s="30">
        <v>2244</v>
      </c>
      <c r="E18" s="28">
        <v>11221.548360000001</v>
      </c>
      <c r="F18" s="29">
        <v>1.1229837572951</v>
      </c>
    </row>
    <row r="19" spans="1:6" x14ac:dyDescent="0.2">
      <c r="A19" s="26" t="s">
        <v>89</v>
      </c>
      <c r="B19" s="26" t="s">
        <v>88</v>
      </c>
      <c r="C19" s="26" t="s">
        <v>73</v>
      </c>
      <c r="D19" s="30">
        <v>1000</v>
      </c>
      <c r="E19" s="28">
        <v>10034.6</v>
      </c>
      <c r="F19" s="29">
        <v>1.0042012429516001</v>
      </c>
    </row>
    <row r="20" spans="1:6" x14ac:dyDescent="0.2">
      <c r="A20" s="26" t="s">
        <v>91</v>
      </c>
      <c r="B20" s="26" t="s">
        <v>90</v>
      </c>
      <c r="C20" s="26" t="s">
        <v>73</v>
      </c>
      <c r="D20" s="30">
        <v>1000</v>
      </c>
      <c r="E20" s="28">
        <v>10029.52</v>
      </c>
      <c r="F20" s="29">
        <v>1.0036928676985499</v>
      </c>
    </row>
    <row r="21" spans="1:6" x14ac:dyDescent="0.2">
      <c r="A21" s="26" t="s">
        <v>93</v>
      </c>
      <c r="B21" s="26" t="s">
        <v>92</v>
      </c>
      <c r="C21" s="26" t="s">
        <v>73</v>
      </c>
      <c r="D21" s="30">
        <v>1000</v>
      </c>
      <c r="E21" s="28">
        <v>10016.129999999999</v>
      </c>
      <c r="F21" s="29">
        <v>1.0023528785965301</v>
      </c>
    </row>
    <row r="22" spans="1:6" x14ac:dyDescent="0.2">
      <c r="A22" s="26" t="s">
        <v>95</v>
      </c>
      <c r="B22" s="26" t="s">
        <v>94</v>
      </c>
      <c r="C22" s="26" t="s">
        <v>76</v>
      </c>
      <c r="D22" s="30">
        <v>1000</v>
      </c>
      <c r="E22" s="28">
        <v>9956.2999999999993</v>
      </c>
      <c r="F22" s="29">
        <v>0.99636545903164797</v>
      </c>
    </row>
    <row r="23" spans="1:6" x14ac:dyDescent="0.2">
      <c r="A23" s="26" t="s">
        <v>97</v>
      </c>
      <c r="B23" s="26" t="s">
        <v>96</v>
      </c>
      <c r="C23" s="26" t="s">
        <v>76</v>
      </c>
      <c r="D23" s="30">
        <v>1000</v>
      </c>
      <c r="E23" s="28">
        <v>9869.11</v>
      </c>
      <c r="F23" s="29">
        <v>0.98764001841887294</v>
      </c>
    </row>
    <row r="24" spans="1:6" x14ac:dyDescent="0.2">
      <c r="A24" s="26" t="s">
        <v>99</v>
      </c>
      <c r="B24" s="26" t="s">
        <v>98</v>
      </c>
      <c r="C24" s="26" t="s">
        <v>87</v>
      </c>
      <c r="D24" s="30">
        <v>938</v>
      </c>
      <c r="E24" s="28">
        <v>9345.8661800000009</v>
      </c>
      <c r="F24" s="29">
        <v>0.93527698507317503</v>
      </c>
    </row>
    <row r="25" spans="1:6" x14ac:dyDescent="0.2">
      <c r="A25" s="26" t="s">
        <v>101</v>
      </c>
      <c r="B25" s="26" t="s">
        <v>100</v>
      </c>
      <c r="C25" s="26" t="s">
        <v>73</v>
      </c>
      <c r="D25" s="30">
        <v>900</v>
      </c>
      <c r="E25" s="28">
        <v>9040.4639999999999</v>
      </c>
      <c r="F25" s="29">
        <v>0.90471420740828301</v>
      </c>
    </row>
    <row r="26" spans="1:6" x14ac:dyDescent="0.2">
      <c r="A26" s="26" t="s">
        <v>103</v>
      </c>
      <c r="B26" s="26" t="s">
        <v>102</v>
      </c>
      <c r="C26" s="26" t="s">
        <v>68</v>
      </c>
      <c r="D26" s="30">
        <v>800</v>
      </c>
      <c r="E26" s="28">
        <v>8008.616</v>
      </c>
      <c r="F26" s="29">
        <v>0.80145318612820005</v>
      </c>
    </row>
    <row r="27" spans="1:6" x14ac:dyDescent="0.2">
      <c r="A27" s="26" t="s">
        <v>105</v>
      </c>
      <c r="B27" s="26" t="s">
        <v>104</v>
      </c>
      <c r="C27" s="26" t="s">
        <v>68</v>
      </c>
      <c r="D27" s="30">
        <v>800</v>
      </c>
      <c r="E27" s="28">
        <v>8008.616</v>
      </c>
      <c r="F27" s="29">
        <v>0.80145318612820005</v>
      </c>
    </row>
    <row r="28" spans="1:6" x14ac:dyDescent="0.2">
      <c r="A28" s="26" t="s">
        <v>107</v>
      </c>
      <c r="B28" s="26" t="s">
        <v>106</v>
      </c>
      <c r="C28" s="26" t="s">
        <v>68</v>
      </c>
      <c r="D28" s="30">
        <v>780</v>
      </c>
      <c r="E28" s="28">
        <v>7808.4005999999999</v>
      </c>
      <c r="F28" s="29">
        <v>0.78141685647499504</v>
      </c>
    </row>
    <row r="29" spans="1:6" x14ac:dyDescent="0.2">
      <c r="A29" s="26" t="s">
        <v>108</v>
      </c>
      <c r="B29" s="26" t="s">
        <v>1580</v>
      </c>
      <c r="C29" s="26" t="s">
        <v>63</v>
      </c>
      <c r="D29" s="30">
        <v>750</v>
      </c>
      <c r="E29" s="28">
        <v>7676.9925000000003</v>
      </c>
      <c r="F29" s="29">
        <v>0.76826633952823997</v>
      </c>
    </row>
    <row r="30" spans="1:6" x14ac:dyDescent="0.2">
      <c r="A30" s="26" t="s">
        <v>110</v>
      </c>
      <c r="B30" s="26" t="s">
        <v>109</v>
      </c>
      <c r="C30" s="26" t="s">
        <v>111</v>
      </c>
      <c r="D30" s="30">
        <v>750</v>
      </c>
      <c r="E30" s="28">
        <v>7670.3850000000002</v>
      </c>
      <c r="F30" s="29">
        <v>0.76760510144074301</v>
      </c>
    </row>
    <row r="31" spans="1:6" x14ac:dyDescent="0.2">
      <c r="A31" s="26" t="s">
        <v>113</v>
      </c>
      <c r="B31" s="26" t="s">
        <v>112</v>
      </c>
      <c r="C31" s="26" t="s">
        <v>114</v>
      </c>
      <c r="D31" s="30">
        <v>750</v>
      </c>
      <c r="E31" s="28">
        <v>7285.7624999999998</v>
      </c>
      <c r="F31" s="29">
        <v>0.72911443987305202</v>
      </c>
    </row>
    <row r="32" spans="1:6" x14ac:dyDescent="0.2">
      <c r="A32" s="26" t="s">
        <v>115</v>
      </c>
      <c r="B32" s="26" t="s">
        <v>1581</v>
      </c>
      <c r="C32" s="26" t="s">
        <v>76</v>
      </c>
      <c r="D32" s="30">
        <v>670</v>
      </c>
      <c r="E32" s="28">
        <v>6895.9080000000004</v>
      </c>
      <c r="F32" s="29">
        <v>0.69010019182427396</v>
      </c>
    </row>
    <row r="33" spans="1:6" x14ac:dyDescent="0.2">
      <c r="A33" s="26" t="s">
        <v>117</v>
      </c>
      <c r="B33" s="26" t="s">
        <v>116</v>
      </c>
      <c r="C33" s="26" t="s">
        <v>76</v>
      </c>
      <c r="D33" s="30">
        <v>550</v>
      </c>
      <c r="E33" s="28">
        <v>5439.2965000000004</v>
      </c>
      <c r="F33" s="29">
        <v>0.54433144381263499</v>
      </c>
    </row>
    <row r="34" spans="1:6" x14ac:dyDescent="0.2">
      <c r="A34" s="26" t="s">
        <v>119</v>
      </c>
      <c r="B34" s="26" t="s">
        <v>118</v>
      </c>
      <c r="C34" s="26" t="s">
        <v>120</v>
      </c>
      <c r="D34" s="30">
        <v>550</v>
      </c>
      <c r="E34" s="28">
        <v>5377.4380000000001</v>
      </c>
      <c r="F34" s="29">
        <v>0.53814102440507305</v>
      </c>
    </row>
    <row r="35" spans="1:6" x14ac:dyDescent="0.2">
      <c r="A35" s="26" t="s">
        <v>122</v>
      </c>
      <c r="B35" s="26" t="s">
        <v>121</v>
      </c>
      <c r="C35" s="26" t="s">
        <v>71</v>
      </c>
      <c r="D35" s="30">
        <v>500</v>
      </c>
      <c r="E35" s="28">
        <v>5302.5050000000001</v>
      </c>
      <c r="F35" s="29">
        <v>0.53064218920106998</v>
      </c>
    </row>
    <row r="36" spans="1:6" x14ac:dyDescent="0.2">
      <c r="A36" s="26" t="s">
        <v>124</v>
      </c>
      <c r="B36" s="26" t="s">
        <v>123</v>
      </c>
      <c r="C36" s="26" t="s">
        <v>87</v>
      </c>
      <c r="D36" s="30">
        <v>2030</v>
      </c>
      <c r="E36" s="28">
        <v>5073.3353999999999</v>
      </c>
      <c r="F36" s="29">
        <v>0.50770830073847795</v>
      </c>
    </row>
    <row r="37" spans="1:6" x14ac:dyDescent="0.2">
      <c r="A37" s="26" t="s">
        <v>126</v>
      </c>
      <c r="B37" s="26" t="s">
        <v>125</v>
      </c>
      <c r="C37" s="26" t="s">
        <v>63</v>
      </c>
      <c r="D37" s="30">
        <v>502</v>
      </c>
      <c r="E37" s="28">
        <v>5039.7838199999997</v>
      </c>
      <c r="F37" s="29">
        <v>0.50435066432656395</v>
      </c>
    </row>
    <row r="38" spans="1:6" x14ac:dyDescent="0.2">
      <c r="A38" s="26" t="s">
        <v>128</v>
      </c>
      <c r="B38" s="26" t="s">
        <v>127</v>
      </c>
      <c r="C38" s="26" t="s">
        <v>68</v>
      </c>
      <c r="D38" s="30">
        <v>1600</v>
      </c>
      <c r="E38" s="28">
        <v>4017.8560000000002</v>
      </c>
      <c r="F38" s="29">
        <v>0.40208239383737499</v>
      </c>
    </row>
    <row r="39" spans="1:6" x14ac:dyDescent="0.2">
      <c r="A39" s="26" t="s">
        <v>130</v>
      </c>
      <c r="B39" s="26" t="s">
        <v>129</v>
      </c>
      <c r="C39" s="26" t="s">
        <v>120</v>
      </c>
      <c r="D39" s="30">
        <v>300000</v>
      </c>
      <c r="E39" s="28">
        <v>2930.5230000000001</v>
      </c>
      <c r="F39" s="29">
        <v>0.29326877395195</v>
      </c>
    </row>
    <row r="40" spans="1:6" x14ac:dyDescent="0.2">
      <c r="A40" s="26" t="s">
        <v>132</v>
      </c>
      <c r="B40" s="26" t="s">
        <v>131</v>
      </c>
      <c r="C40" s="26" t="s">
        <v>133</v>
      </c>
      <c r="D40" s="30">
        <v>280</v>
      </c>
      <c r="E40" s="28">
        <v>2815.4223999999999</v>
      </c>
      <c r="F40" s="29">
        <v>0.28175021161917402</v>
      </c>
    </row>
    <row r="41" spans="1:6" x14ac:dyDescent="0.2">
      <c r="A41" s="26" t="s">
        <v>135</v>
      </c>
      <c r="B41" s="26" t="s">
        <v>134</v>
      </c>
      <c r="C41" s="26" t="s">
        <v>68</v>
      </c>
      <c r="D41" s="30">
        <v>500</v>
      </c>
      <c r="E41" s="28">
        <v>2502.5050000000001</v>
      </c>
      <c r="F41" s="29">
        <v>0.25043535681467999</v>
      </c>
    </row>
    <row r="42" spans="1:6" x14ac:dyDescent="0.2">
      <c r="A42" s="26" t="s">
        <v>137</v>
      </c>
      <c r="B42" s="26" t="s">
        <v>136</v>
      </c>
      <c r="C42" s="26" t="s">
        <v>120</v>
      </c>
      <c r="D42" s="30">
        <v>200</v>
      </c>
      <c r="E42" s="28">
        <v>1993.4860000000001</v>
      </c>
      <c r="F42" s="29">
        <v>0.199495856238077</v>
      </c>
    </row>
    <row r="43" spans="1:6" x14ac:dyDescent="0.2">
      <c r="A43" s="26" t="s">
        <v>139</v>
      </c>
      <c r="B43" s="26" t="s">
        <v>138</v>
      </c>
      <c r="C43" s="26" t="s">
        <v>140</v>
      </c>
      <c r="D43" s="30">
        <v>2500</v>
      </c>
      <c r="E43" s="28">
        <v>1068.207858</v>
      </c>
      <c r="F43" s="29">
        <v>0.106899692935868</v>
      </c>
    </row>
    <row r="44" spans="1:6" x14ac:dyDescent="0.2">
      <c r="A44" s="26" t="s">
        <v>142</v>
      </c>
      <c r="B44" s="26" t="s">
        <v>141</v>
      </c>
      <c r="C44" s="26" t="s">
        <v>143</v>
      </c>
      <c r="D44" s="30">
        <v>200</v>
      </c>
      <c r="E44" s="28">
        <v>1001.766</v>
      </c>
      <c r="F44" s="29">
        <v>0.10025059916156601</v>
      </c>
    </row>
    <row r="45" spans="1:6" x14ac:dyDescent="0.2">
      <c r="A45" s="26" t="s">
        <v>145</v>
      </c>
      <c r="B45" s="26" t="s">
        <v>144</v>
      </c>
      <c r="C45" s="26" t="s">
        <v>87</v>
      </c>
      <c r="D45" s="30">
        <v>61</v>
      </c>
      <c r="E45" s="28">
        <v>602.28106000000002</v>
      </c>
      <c r="F45" s="29">
        <v>6.0272595724613298E-2</v>
      </c>
    </row>
    <row r="46" spans="1:6" x14ac:dyDescent="0.2">
      <c r="A46" s="26" t="s">
        <v>147</v>
      </c>
      <c r="B46" s="26" t="s">
        <v>146</v>
      </c>
      <c r="C46" s="26" t="s">
        <v>68</v>
      </c>
      <c r="D46" s="30">
        <v>70</v>
      </c>
      <c r="E46" s="28">
        <v>575.42729999999995</v>
      </c>
      <c r="F46" s="29">
        <v>5.7585236072018903E-2</v>
      </c>
    </row>
    <row r="47" spans="1:6" x14ac:dyDescent="0.2">
      <c r="A47" s="26" t="s">
        <v>149</v>
      </c>
      <c r="B47" s="26" t="s">
        <v>148</v>
      </c>
      <c r="C47" s="26" t="s">
        <v>63</v>
      </c>
      <c r="D47" s="30">
        <v>34</v>
      </c>
      <c r="E47" s="28">
        <v>341.59289999999999</v>
      </c>
      <c r="F47" s="29">
        <v>3.4184523026671701E-2</v>
      </c>
    </row>
    <row r="48" spans="1:6" x14ac:dyDescent="0.2">
      <c r="A48" s="26" t="s">
        <v>151</v>
      </c>
      <c r="B48" s="26" t="s">
        <v>150</v>
      </c>
      <c r="C48" s="26" t="s">
        <v>152</v>
      </c>
      <c r="D48" s="30">
        <v>22</v>
      </c>
      <c r="E48" s="28">
        <v>230.77449999999999</v>
      </c>
      <c r="F48" s="29">
        <v>2.3094497014483201E-2</v>
      </c>
    </row>
    <row r="49" spans="1:9" ht="10.5" x14ac:dyDescent="0.25">
      <c r="A49" s="25" t="s">
        <v>153</v>
      </c>
      <c r="B49" s="25"/>
      <c r="C49" s="25"/>
      <c r="D49" s="31"/>
      <c r="E49" s="32">
        <f>SUM(E6:E48)</f>
        <v>526489.40587799996</v>
      </c>
      <c r="F49" s="33">
        <f>SUM(F6:F48)</f>
        <v>52.687831680738157</v>
      </c>
      <c r="G49" s="17"/>
      <c r="H49" s="17"/>
      <c r="I49" s="17"/>
    </row>
    <row r="50" spans="1:9" x14ac:dyDescent="0.2">
      <c r="A50" s="26"/>
      <c r="B50" s="26"/>
      <c r="C50" s="26"/>
      <c r="D50" s="27"/>
      <c r="E50" s="28"/>
      <c r="F50" s="29"/>
    </row>
    <row r="51" spans="1:9" ht="10.5" x14ac:dyDescent="0.25">
      <c r="A51" s="25" t="s">
        <v>154</v>
      </c>
      <c r="B51" s="26"/>
      <c r="C51" s="26"/>
      <c r="D51" s="27"/>
      <c r="E51" s="28"/>
      <c r="F51" s="29"/>
    </row>
    <row r="52" spans="1:9" x14ac:dyDescent="0.2">
      <c r="A52" s="26" t="s">
        <v>156</v>
      </c>
      <c r="B52" s="26" t="s">
        <v>155</v>
      </c>
      <c r="C52" s="26" t="s">
        <v>120</v>
      </c>
      <c r="D52" s="30">
        <v>2400</v>
      </c>
      <c r="E52" s="28">
        <v>30212.975999999999</v>
      </c>
      <c r="F52" s="29">
        <v>3.0235293935450098</v>
      </c>
    </row>
    <row r="53" spans="1:9" x14ac:dyDescent="0.2">
      <c r="A53" s="26" t="s">
        <v>158</v>
      </c>
      <c r="B53" s="26" t="s">
        <v>157</v>
      </c>
      <c r="C53" s="26" t="s">
        <v>140</v>
      </c>
      <c r="D53" s="30">
        <v>890</v>
      </c>
      <c r="E53" s="28">
        <v>13602.119199999999</v>
      </c>
      <c r="F53" s="29">
        <v>1.3612166909907499</v>
      </c>
    </row>
    <row r="54" spans="1:9" x14ac:dyDescent="0.2">
      <c r="A54" s="26" t="s">
        <v>160</v>
      </c>
      <c r="B54" s="26" t="s">
        <v>159</v>
      </c>
      <c r="C54" s="26" t="s">
        <v>73</v>
      </c>
      <c r="D54" s="30">
        <v>1000</v>
      </c>
      <c r="E54" s="28">
        <v>10054.85</v>
      </c>
      <c r="F54" s="29">
        <v>1.0062277387929599</v>
      </c>
    </row>
    <row r="55" spans="1:9" x14ac:dyDescent="0.2">
      <c r="A55" s="26" t="s">
        <v>162</v>
      </c>
      <c r="B55" s="26" t="s">
        <v>161</v>
      </c>
      <c r="C55" s="26" t="s">
        <v>73</v>
      </c>
      <c r="D55" s="30">
        <v>850</v>
      </c>
      <c r="E55" s="28">
        <v>8538.9045000000006</v>
      </c>
      <c r="F55" s="29">
        <v>0.85452120785531804</v>
      </c>
    </row>
    <row r="56" spans="1:9" x14ac:dyDescent="0.2">
      <c r="A56" s="26" t="s">
        <v>164</v>
      </c>
      <c r="B56" s="26" t="s">
        <v>163</v>
      </c>
      <c r="C56" s="26" t="s">
        <v>165</v>
      </c>
      <c r="D56" s="30">
        <v>7</v>
      </c>
      <c r="E56" s="28">
        <v>956.72850000000005</v>
      </c>
      <c r="F56" s="29">
        <v>9.5743522299565106E-2</v>
      </c>
    </row>
    <row r="57" spans="1:9" ht="10.5" x14ac:dyDescent="0.25">
      <c r="A57" s="25" t="s">
        <v>153</v>
      </c>
      <c r="B57" s="25"/>
      <c r="C57" s="25"/>
      <c r="D57" s="31"/>
      <c r="E57" s="32">
        <f>SUM(E51:E56)</f>
        <v>63365.578199999989</v>
      </c>
      <c r="F57" s="33">
        <f>SUM(F51:F56)</f>
        <v>6.3412385534836027</v>
      </c>
      <c r="G57" s="17"/>
      <c r="H57" s="17"/>
      <c r="I57" s="17"/>
    </row>
    <row r="58" spans="1:9" x14ac:dyDescent="0.2">
      <c r="A58" s="26"/>
      <c r="B58" s="26"/>
      <c r="C58" s="26"/>
      <c r="D58" s="27"/>
      <c r="E58" s="28"/>
      <c r="F58" s="29"/>
    </row>
    <row r="59" spans="1:9" ht="10.5" x14ac:dyDescent="0.25">
      <c r="A59" s="25" t="s">
        <v>166</v>
      </c>
      <c r="B59" s="25"/>
      <c r="C59" s="25"/>
      <c r="D59" s="31"/>
      <c r="E59" s="32">
        <f>E49+E57</f>
        <v>589854.98407799995</v>
      </c>
      <c r="F59" s="33">
        <f>F49+F57</f>
        <v>59.029070234221763</v>
      </c>
      <c r="G59" s="17"/>
      <c r="H59" s="17"/>
      <c r="I59" s="17"/>
    </row>
    <row r="60" spans="1:9" ht="10.5" x14ac:dyDescent="0.25">
      <c r="A60" s="25"/>
      <c r="B60" s="25"/>
      <c r="C60" s="25"/>
      <c r="D60" s="31"/>
      <c r="E60" s="32"/>
      <c r="F60" s="33"/>
      <c r="G60" s="17"/>
      <c r="H60" s="17"/>
      <c r="I60" s="17"/>
    </row>
    <row r="61" spans="1:9" ht="10.5" x14ac:dyDescent="0.25">
      <c r="A61" s="25" t="s">
        <v>168</v>
      </c>
      <c r="B61" s="25"/>
      <c r="C61" s="25"/>
      <c r="D61" s="31"/>
      <c r="E61" s="32">
        <f>E63-(E49+E57)</f>
        <v>409406.87408360001</v>
      </c>
      <c r="F61" s="33">
        <f>F63-(F49+F57)</f>
        <v>40.970929765778237</v>
      </c>
      <c r="G61" s="17"/>
      <c r="H61" s="17"/>
      <c r="I61" s="17"/>
    </row>
    <row r="62" spans="1:9" ht="10.5" x14ac:dyDescent="0.25">
      <c r="A62" s="25"/>
      <c r="B62" s="25"/>
      <c r="C62" s="25"/>
      <c r="D62" s="31"/>
      <c r="E62" s="32"/>
      <c r="F62" s="33"/>
      <c r="G62" s="17"/>
      <c r="H62" s="17"/>
      <c r="I62" s="17"/>
    </row>
    <row r="63" spans="1:9" ht="10.5" x14ac:dyDescent="0.25">
      <c r="A63" s="34" t="s">
        <v>167</v>
      </c>
      <c r="B63" s="34"/>
      <c r="C63" s="34"/>
      <c r="D63" s="35"/>
      <c r="E63" s="36">
        <v>999261.85816159996</v>
      </c>
      <c r="F63" s="37">
        <v>100</v>
      </c>
      <c r="G63" s="17"/>
      <c r="H63" s="17"/>
      <c r="I63" s="17"/>
    </row>
    <row r="65" spans="1:4" ht="10.5" x14ac:dyDescent="0.25">
      <c r="A65" s="17" t="s">
        <v>170</v>
      </c>
    </row>
    <row r="66" spans="1:4" ht="10.5" x14ac:dyDescent="0.25">
      <c r="A66" s="17" t="s">
        <v>1501</v>
      </c>
    </row>
    <row r="68" spans="1:4" ht="10.5" x14ac:dyDescent="0.25">
      <c r="A68" s="17" t="s">
        <v>171</v>
      </c>
    </row>
    <row r="69" spans="1:4" ht="10.5" x14ac:dyDescent="0.25">
      <c r="A69" s="17" t="s">
        <v>172</v>
      </c>
    </row>
    <row r="70" spans="1:4" ht="10.5" x14ac:dyDescent="0.25">
      <c r="A70" s="17" t="s">
        <v>173</v>
      </c>
      <c r="B70" s="17"/>
      <c r="C70" s="38" t="s">
        <v>175</v>
      </c>
      <c r="D70" s="18" t="s">
        <v>174</v>
      </c>
    </row>
    <row r="71" spans="1:4" x14ac:dyDescent="0.2">
      <c r="A71" s="58" t="s">
        <v>1565</v>
      </c>
      <c r="C71" s="39">
        <v>25.980899999999998</v>
      </c>
      <c r="D71" s="39">
        <v>27.068999999999999</v>
      </c>
    </row>
    <row r="72" spans="1:4" x14ac:dyDescent="0.2">
      <c r="A72" s="58" t="s">
        <v>1566</v>
      </c>
      <c r="C72" s="39">
        <v>9.7951999999999995</v>
      </c>
      <c r="D72" s="39">
        <v>10.205500000000001</v>
      </c>
    </row>
    <row r="73" spans="1:4" x14ac:dyDescent="0.2">
      <c r="A73" s="58" t="s">
        <v>1567</v>
      </c>
      <c r="C73" s="39">
        <v>9.8763000000000005</v>
      </c>
      <c r="D73" s="39">
        <v>10.289899999999999</v>
      </c>
    </row>
    <row r="74" spans="1:4" x14ac:dyDescent="0.2">
      <c r="A74" s="58" t="s">
        <v>1564</v>
      </c>
      <c r="C74" s="39">
        <v>26.626300000000001</v>
      </c>
      <c r="D74" s="39">
        <v>27.7559</v>
      </c>
    </row>
    <row r="75" spans="1:4" x14ac:dyDescent="0.2">
      <c r="A75" s="58" t="s">
        <v>1568</v>
      </c>
      <c r="C75" s="39">
        <v>9.7514000000000003</v>
      </c>
      <c r="D75" s="39">
        <v>10.165100000000001</v>
      </c>
    </row>
    <row r="76" spans="1:4" x14ac:dyDescent="0.2">
      <c r="A76" s="10" t="s">
        <v>179</v>
      </c>
      <c r="C76" s="39">
        <v>27.505700000000001</v>
      </c>
      <c r="D76" s="39">
        <v>28.682600000000001</v>
      </c>
    </row>
    <row r="77" spans="1:4" x14ac:dyDescent="0.2">
      <c r="A77" s="10" t="s">
        <v>180</v>
      </c>
      <c r="C77" s="39">
        <v>9.8312000000000008</v>
      </c>
      <c r="D77" s="39">
        <v>10.251799999999999</v>
      </c>
    </row>
    <row r="78" spans="1:4" x14ac:dyDescent="0.2">
      <c r="A78" s="10" t="s">
        <v>181</v>
      </c>
      <c r="C78" s="39">
        <v>9.8567</v>
      </c>
      <c r="D78" s="39">
        <v>10.2784</v>
      </c>
    </row>
    <row r="79" spans="1:4" x14ac:dyDescent="0.2">
      <c r="A79" s="10" t="s">
        <v>182</v>
      </c>
      <c r="C79" s="39">
        <v>27.653500000000001</v>
      </c>
      <c r="D79" s="39">
        <v>28.849900000000002</v>
      </c>
    </row>
    <row r="80" spans="1:4" x14ac:dyDescent="0.2">
      <c r="A80" s="10" t="s">
        <v>183</v>
      </c>
      <c r="C80" s="39">
        <v>9.8150999999999993</v>
      </c>
      <c r="D80" s="39">
        <v>10.239699999999999</v>
      </c>
    </row>
    <row r="81" spans="1:6" x14ac:dyDescent="0.2">
      <c r="A81" s="10" t="s">
        <v>184</v>
      </c>
      <c r="C81" s="39">
        <v>9.8513000000000002</v>
      </c>
      <c r="D81" s="39">
        <v>10.2775</v>
      </c>
    </row>
    <row r="83" spans="1:6" ht="10.5" x14ac:dyDescent="0.25">
      <c r="A83" s="59" t="s">
        <v>1499</v>
      </c>
    </row>
    <row r="85" spans="1:6" ht="10.5" x14ac:dyDescent="0.25">
      <c r="A85" s="17" t="s">
        <v>185</v>
      </c>
      <c r="D85" s="40" t="s">
        <v>186</v>
      </c>
    </row>
    <row r="87" spans="1:6" ht="10.5" x14ac:dyDescent="0.25">
      <c r="A87" s="17" t="s">
        <v>187</v>
      </c>
      <c r="D87" s="41">
        <v>0.81849918200000005</v>
      </c>
      <c r="E87" s="15" t="s">
        <v>188</v>
      </c>
    </row>
    <row r="89" spans="1:6" ht="10.5" x14ac:dyDescent="0.25">
      <c r="A89" s="17" t="s">
        <v>189</v>
      </c>
      <c r="D89" s="40" t="s">
        <v>186</v>
      </c>
    </row>
    <row r="91" spans="1:6" ht="30" customHeight="1" x14ac:dyDescent="0.2">
      <c r="A91" s="103" t="s">
        <v>1569</v>
      </c>
      <c r="B91" s="103"/>
      <c r="C91" s="103"/>
      <c r="D91" s="103"/>
      <c r="E91" s="103"/>
      <c r="F91" s="103"/>
    </row>
  </sheetData>
  <mergeCells count="2">
    <mergeCell ref="A1:F1"/>
    <mergeCell ref="A91:F91"/>
  </mergeCells>
  <conditionalFormatting sqref="F2:F3 F5:F88 F92:F65531">
    <cfRule type="cellIs" dxfId="80" priority="3" stopIfTrue="1" operator="between">
      <formula>0.009</formula>
      <formula>-0.009</formula>
    </cfRule>
  </conditionalFormatting>
  <conditionalFormatting sqref="F90">
    <cfRule type="cellIs" dxfId="79" priority="2" stopIfTrue="1" operator="between">
      <formula>0.009</formula>
      <formula>-0.009</formula>
    </cfRule>
  </conditionalFormatting>
  <conditionalFormatting sqref="F89">
    <cfRule type="cellIs" dxfId="78" priority="1" stopIfTrue="1" operator="between">
      <formula>0.009</formula>
      <formula>-0.009</formula>
    </cfRule>
  </conditionalFormatting>
  <pageMargins left="0.7" right="0.7" top="0.75" bottom="0.75" header="0.3" footer="0.3"/>
  <pageSetup paperSize="9" scale="49" orientation="portrait" r:id="rId1"/>
  <headerFooter>
    <oddFooter>&amp;LPUBLIC</oddFooter>
    <evenFooter>&amp;LPUBLIC</evenFooter>
    <firstFooter>&amp;LPUBLIC</first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46"/>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69.1796875" style="10" bestFit="1" customWidth="1"/>
    <col min="3" max="3" width="15.453125" style="10" bestFit="1" customWidth="1"/>
    <col min="4" max="4" width="15.453125" style="11" bestFit="1" customWidth="1"/>
    <col min="5" max="5" width="23" style="15" bestFit="1" customWidth="1"/>
    <col min="6" max="6" width="14.81640625" style="16" bestFit="1" customWidth="1"/>
    <col min="7" max="16384" width="9.1796875" style="10"/>
  </cols>
  <sheetData>
    <row r="1" spans="1:6" s="1" customFormat="1" ht="14" x14ac:dyDescent="0.25">
      <c r="A1" s="96" t="s">
        <v>8</v>
      </c>
      <c r="B1" s="97"/>
      <c r="C1" s="97"/>
      <c r="D1" s="97"/>
      <c r="E1" s="97"/>
      <c r="F1" s="97"/>
    </row>
    <row r="2" spans="1:6" s="1" customFormat="1" ht="11.5" x14ac:dyDescent="0.25">
      <c r="A2" s="42" t="s">
        <v>190</v>
      </c>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192</v>
      </c>
      <c r="B7" s="26" t="s">
        <v>191</v>
      </c>
      <c r="C7" s="26" t="s">
        <v>120</v>
      </c>
      <c r="D7" s="30">
        <v>7200</v>
      </c>
      <c r="E7" s="28">
        <v>65806.991999999998</v>
      </c>
      <c r="F7" s="29">
        <v>12.6242942468037</v>
      </c>
    </row>
    <row r="8" spans="1:6" x14ac:dyDescent="0.2">
      <c r="A8" s="26" t="s">
        <v>194</v>
      </c>
      <c r="B8" s="26" t="s">
        <v>193</v>
      </c>
      <c r="C8" s="26" t="s">
        <v>76</v>
      </c>
      <c r="D8" s="30">
        <v>4813</v>
      </c>
      <c r="E8" s="28">
        <v>37710.586580000003</v>
      </c>
      <c r="F8" s="29">
        <v>7.2343306803248</v>
      </c>
    </row>
    <row r="9" spans="1:6" x14ac:dyDescent="0.2">
      <c r="A9" s="26" t="s">
        <v>147</v>
      </c>
      <c r="B9" s="26" t="s">
        <v>146</v>
      </c>
      <c r="C9" s="26" t="s">
        <v>68</v>
      </c>
      <c r="D9" s="30">
        <v>3100</v>
      </c>
      <c r="E9" s="28">
        <v>25483.208999999999</v>
      </c>
      <c r="F9" s="29">
        <v>4.8886526946680302</v>
      </c>
    </row>
    <row r="10" spans="1:6" x14ac:dyDescent="0.2">
      <c r="A10" s="26" t="s">
        <v>196</v>
      </c>
      <c r="B10" s="26" t="s">
        <v>195</v>
      </c>
      <c r="C10" s="26" t="s">
        <v>87</v>
      </c>
      <c r="D10" s="30">
        <v>11135</v>
      </c>
      <c r="E10" s="28">
        <v>22340.551360000001</v>
      </c>
      <c r="F10" s="29">
        <v>4.2857709406391304</v>
      </c>
    </row>
    <row r="11" spans="1:6" x14ac:dyDescent="0.2">
      <c r="A11" s="26" t="s">
        <v>198</v>
      </c>
      <c r="B11" s="26" t="s">
        <v>197</v>
      </c>
      <c r="C11" s="26" t="s">
        <v>87</v>
      </c>
      <c r="D11" s="30">
        <v>10675</v>
      </c>
      <c r="E11" s="28">
        <v>21613.480350000002</v>
      </c>
      <c r="F11" s="29">
        <v>4.1462909539446899</v>
      </c>
    </row>
    <row r="12" spans="1:6" x14ac:dyDescent="0.2">
      <c r="A12" s="26" t="s">
        <v>70</v>
      </c>
      <c r="B12" s="26" t="s">
        <v>69</v>
      </c>
      <c r="C12" s="26" t="s">
        <v>71</v>
      </c>
      <c r="D12" s="30">
        <v>2020</v>
      </c>
      <c r="E12" s="28">
        <v>19935.864799999999</v>
      </c>
      <c r="F12" s="29">
        <v>3.82446022300635</v>
      </c>
    </row>
    <row r="13" spans="1:6" x14ac:dyDescent="0.2">
      <c r="A13" s="26" t="s">
        <v>200</v>
      </c>
      <c r="B13" s="26" t="s">
        <v>199</v>
      </c>
      <c r="C13" s="26" t="s">
        <v>201</v>
      </c>
      <c r="D13" s="30">
        <v>1735</v>
      </c>
      <c r="E13" s="28">
        <v>17505.282500000001</v>
      </c>
      <c r="F13" s="29">
        <v>3.3581817134784799</v>
      </c>
    </row>
    <row r="14" spans="1:6" x14ac:dyDescent="0.2">
      <c r="A14" s="26" t="s">
        <v>99</v>
      </c>
      <c r="B14" s="26" t="s">
        <v>98</v>
      </c>
      <c r="C14" s="26" t="s">
        <v>87</v>
      </c>
      <c r="D14" s="30">
        <v>1349</v>
      </c>
      <c r="E14" s="28">
        <v>13440.909890000001</v>
      </c>
      <c r="F14" s="29">
        <v>2.5784798277382799</v>
      </c>
    </row>
    <row r="15" spans="1:6" x14ac:dyDescent="0.2">
      <c r="A15" s="26" t="s">
        <v>203</v>
      </c>
      <c r="B15" s="26" t="s">
        <v>202</v>
      </c>
      <c r="C15" s="26" t="s">
        <v>68</v>
      </c>
      <c r="D15" s="30">
        <v>12500</v>
      </c>
      <c r="E15" s="28">
        <v>12189.85</v>
      </c>
      <c r="F15" s="29">
        <v>2.3384787626275401</v>
      </c>
    </row>
    <row r="16" spans="1:6" x14ac:dyDescent="0.2">
      <c r="A16" s="26" t="s">
        <v>205</v>
      </c>
      <c r="B16" s="26" t="s">
        <v>204</v>
      </c>
      <c r="C16" s="26" t="s">
        <v>76</v>
      </c>
      <c r="D16" s="30">
        <v>1250</v>
      </c>
      <c r="E16" s="28">
        <v>12098.65</v>
      </c>
      <c r="F16" s="29">
        <v>2.3209831196826598</v>
      </c>
    </row>
    <row r="17" spans="1:6" x14ac:dyDescent="0.2">
      <c r="A17" s="26" t="s">
        <v>207</v>
      </c>
      <c r="B17" s="26" t="s">
        <v>206</v>
      </c>
      <c r="C17" s="26" t="s">
        <v>133</v>
      </c>
      <c r="D17" s="30">
        <v>1180</v>
      </c>
      <c r="E17" s="28">
        <v>11825.2048</v>
      </c>
      <c r="F17" s="29">
        <v>2.2685258873998699</v>
      </c>
    </row>
    <row r="18" spans="1:6" x14ac:dyDescent="0.2">
      <c r="A18" s="26" t="s">
        <v>209</v>
      </c>
      <c r="B18" s="26" t="s">
        <v>208</v>
      </c>
      <c r="C18" s="26" t="s">
        <v>140</v>
      </c>
      <c r="D18" s="30">
        <v>1150</v>
      </c>
      <c r="E18" s="28">
        <v>11547.0005</v>
      </c>
      <c r="F18" s="29">
        <v>2.2151556779861599</v>
      </c>
    </row>
    <row r="19" spans="1:6" x14ac:dyDescent="0.2">
      <c r="A19" s="26" t="s">
        <v>211</v>
      </c>
      <c r="B19" s="26" t="s">
        <v>210</v>
      </c>
      <c r="C19" s="26" t="s">
        <v>120</v>
      </c>
      <c r="D19" s="30">
        <v>1300</v>
      </c>
      <c r="E19" s="28">
        <v>11482.536</v>
      </c>
      <c r="F19" s="29">
        <v>2.2027889249749801</v>
      </c>
    </row>
    <row r="20" spans="1:6" x14ac:dyDescent="0.2">
      <c r="A20" s="26" t="s">
        <v>213</v>
      </c>
      <c r="B20" s="26" t="s">
        <v>212</v>
      </c>
      <c r="C20" s="26" t="s">
        <v>214</v>
      </c>
      <c r="D20" s="30">
        <v>1000</v>
      </c>
      <c r="E20" s="28">
        <v>10463.58</v>
      </c>
      <c r="F20" s="29">
        <v>2.00731425005675</v>
      </c>
    </row>
    <row r="21" spans="1:6" x14ac:dyDescent="0.2">
      <c r="A21" s="26" t="s">
        <v>216</v>
      </c>
      <c r="B21" s="26" t="s">
        <v>215</v>
      </c>
      <c r="C21" s="26" t="s">
        <v>165</v>
      </c>
      <c r="D21" s="30">
        <v>1000</v>
      </c>
      <c r="E21" s="28">
        <v>9842.4</v>
      </c>
      <c r="F21" s="29">
        <v>1.88814820307759</v>
      </c>
    </row>
    <row r="22" spans="1:6" x14ac:dyDescent="0.2">
      <c r="A22" s="26" t="s">
        <v>145</v>
      </c>
      <c r="B22" s="26" t="s">
        <v>144</v>
      </c>
      <c r="C22" s="26" t="s">
        <v>87</v>
      </c>
      <c r="D22" s="30">
        <v>879</v>
      </c>
      <c r="E22" s="28">
        <v>8678.7713399999993</v>
      </c>
      <c r="F22" s="29">
        <v>1.6649197868957</v>
      </c>
    </row>
    <row r="23" spans="1:6" x14ac:dyDescent="0.2">
      <c r="A23" s="26" t="s">
        <v>218</v>
      </c>
      <c r="B23" s="26" t="s">
        <v>217</v>
      </c>
      <c r="C23" s="26" t="s">
        <v>68</v>
      </c>
      <c r="D23" s="30">
        <v>8500</v>
      </c>
      <c r="E23" s="28">
        <v>8294.5805</v>
      </c>
      <c r="F23" s="29">
        <v>1.5912173114644199</v>
      </c>
    </row>
    <row r="24" spans="1:6" x14ac:dyDescent="0.2">
      <c r="A24" s="26" t="s">
        <v>219</v>
      </c>
      <c r="B24" s="26" t="s">
        <v>146</v>
      </c>
      <c r="C24" s="26" t="s">
        <v>68</v>
      </c>
      <c r="D24" s="30">
        <v>1000</v>
      </c>
      <c r="E24" s="28">
        <v>8228.76</v>
      </c>
      <c r="F24" s="29">
        <v>1.57859042586734</v>
      </c>
    </row>
    <row r="25" spans="1:6" x14ac:dyDescent="0.2">
      <c r="A25" s="26" t="s">
        <v>221</v>
      </c>
      <c r="B25" s="26" t="s">
        <v>220</v>
      </c>
      <c r="C25" s="26" t="s">
        <v>87</v>
      </c>
      <c r="D25" s="30">
        <v>822</v>
      </c>
      <c r="E25" s="28">
        <v>8039.0449200000003</v>
      </c>
      <c r="F25" s="29">
        <v>1.54219582826933</v>
      </c>
    </row>
    <row r="26" spans="1:6" x14ac:dyDescent="0.2">
      <c r="A26" s="26" t="s">
        <v>223</v>
      </c>
      <c r="B26" s="26" t="s">
        <v>222</v>
      </c>
      <c r="C26" s="26" t="s">
        <v>87</v>
      </c>
      <c r="D26" s="30">
        <v>822</v>
      </c>
      <c r="E26" s="28">
        <v>7989.17418</v>
      </c>
      <c r="F26" s="29">
        <v>1.53262871576454</v>
      </c>
    </row>
    <row r="27" spans="1:6" x14ac:dyDescent="0.2">
      <c r="A27" s="26" t="s">
        <v>225</v>
      </c>
      <c r="B27" s="26" t="s">
        <v>224</v>
      </c>
      <c r="C27" s="26" t="s">
        <v>133</v>
      </c>
      <c r="D27" s="30">
        <v>760</v>
      </c>
      <c r="E27" s="28">
        <v>7635.2031999999999</v>
      </c>
      <c r="F27" s="29">
        <v>1.4647235635833</v>
      </c>
    </row>
    <row r="28" spans="1:6" x14ac:dyDescent="0.2">
      <c r="A28" s="26" t="s">
        <v>227</v>
      </c>
      <c r="B28" s="26" t="s">
        <v>226</v>
      </c>
      <c r="C28" s="26" t="s">
        <v>140</v>
      </c>
      <c r="D28" s="30">
        <v>750</v>
      </c>
      <c r="E28" s="28">
        <v>7522.7624999999998</v>
      </c>
      <c r="F28" s="29">
        <v>1.44315314319215</v>
      </c>
    </row>
    <row r="29" spans="1:6" x14ac:dyDescent="0.2">
      <c r="A29" s="26" t="s">
        <v>229</v>
      </c>
      <c r="B29" s="26" t="s">
        <v>228</v>
      </c>
      <c r="C29" s="26" t="s">
        <v>87</v>
      </c>
      <c r="D29" s="30">
        <v>754</v>
      </c>
      <c r="E29" s="28">
        <v>7255.3574600000002</v>
      </c>
      <c r="F29" s="29">
        <v>1.39185464427219</v>
      </c>
    </row>
    <row r="30" spans="1:6" x14ac:dyDescent="0.2">
      <c r="A30" s="26" t="s">
        <v>142</v>
      </c>
      <c r="B30" s="26" t="s">
        <v>141</v>
      </c>
      <c r="C30" s="26" t="s">
        <v>143</v>
      </c>
      <c r="D30" s="30">
        <v>1390</v>
      </c>
      <c r="E30" s="28">
        <v>6962.2736999999997</v>
      </c>
      <c r="F30" s="29">
        <v>1.33562998618115</v>
      </c>
    </row>
    <row r="31" spans="1:6" x14ac:dyDescent="0.2">
      <c r="A31" s="26" t="s">
        <v>231</v>
      </c>
      <c r="B31" s="26" t="s">
        <v>230</v>
      </c>
      <c r="C31" s="26" t="s">
        <v>143</v>
      </c>
      <c r="D31" s="30">
        <v>690</v>
      </c>
      <c r="E31" s="28">
        <v>6778.4219999999996</v>
      </c>
      <c r="F31" s="29">
        <v>1.3003602087907</v>
      </c>
    </row>
    <row r="32" spans="1:6" x14ac:dyDescent="0.2">
      <c r="A32" s="26" t="s">
        <v>233</v>
      </c>
      <c r="B32" s="26" t="s">
        <v>232</v>
      </c>
      <c r="C32" s="26" t="s">
        <v>63</v>
      </c>
      <c r="D32" s="30">
        <v>550</v>
      </c>
      <c r="E32" s="28">
        <v>5457.87</v>
      </c>
      <c r="F32" s="29">
        <v>1.0470279030654199</v>
      </c>
    </row>
    <row r="33" spans="1:6" x14ac:dyDescent="0.2">
      <c r="A33" s="26" t="s">
        <v>235</v>
      </c>
      <c r="B33" s="26" t="s">
        <v>234</v>
      </c>
      <c r="C33" s="26" t="s">
        <v>140</v>
      </c>
      <c r="D33" s="30">
        <v>500</v>
      </c>
      <c r="E33" s="28">
        <v>5020.4350000000004</v>
      </c>
      <c r="F33" s="29">
        <v>0.96311116434180999</v>
      </c>
    </row>
    <row r="34" spans="1:6" x14ac:dyDescent="0.2">
      <c r="A34" s="26" t="s">
        <v>236</v>
      </c>
      <c r="B34" s="26" t="s">
        <v>1614</v>
      </c>
      <c r="C34" s="26" t="s">
        <v>237</v>
      </c>
      <c r="D34" s="30">
        <v>500</v>
      </c>
      <c r="E34" s="28">
        <v>4939.4449999999997</v>
      </c>
      <c r="F34" s="29">
        <v>0.94757418931872095</v>
      </c>
    </row>
    <row r="35" spans="1:6" x14ac:dyDescent="0.2">
      <c r="A35" s="26" t="s">
        <v>239</v>
      </c>
      <c r="B35" s="26" t="s">
        <v>238</v>
      </c>
      <c r="C35" s="26" t="s">
        <v>240</v>
      </c>
      <c r="D35" s="30">
        <v>460</v>
      </c>
      <c r="E35" s="28">
        <v>4938.9694</v>
      </c>
      <c r="F35" s="29">
        <v>0.94748295107546898</v>
      </c>
    </row>
    <row r="36" spans="1:6" x14ac:dyDescent="0.2">
      <c r="A36" s="26" t="s">
        <v>241</v>
      </c>
      <c r="B36" s="26" t="s">
        <v>1615</v>
      </c>
      <c r="C36" s="26" t="s">
        <v>237</v>
      </c>
      <c r="D36" s="30">
        <v>500</v>
      </c>
      <c r="E36" s="28">
        <v>4938.55</v>
      </c>
      <c r="F36" s="29">
        <v>0.94740249413850497</v>
      </c>
    </row>
    <row r="37" spans="1:6" x14ac:dyDescent="0.2">
      <c r="A37" s="26" t="s">
        <v>97</v>
      </c>
      <c r="B37" s="26" t="s">
        <v>96</v>
      </c>
      <c r="C37" s="26" t="s">
        <v>76</v>
      </c>
      <c r="D37" s="30">
        <v>500</v>
      </c>
      <c r="E37" s="28">
        <v>4934.5550000000003</v>
      </c>
      <c r="F37" s="29">
        <v>0.94663610056871605</v>
      </c>
    </row>
    <row r="38" spans="1:6" x14ac:dyDescent="0.2">
      <c r="A38" s="26" t="s">
        <v>75</v>
      </c>
      <c r="B38" s="26" t="s">
        <v>74</v>
      </c>
      <c r="C38" s="26" t="s">
        <v>76</v>
      </c>
      <c r="D38" s="30">
        <v>450</v>
      </c>
      <c r="E38" s="28">
        <v>4501.7505000000001</v>
      </c>
      <c r="F38" s="29">
        <v>0.86360766858475901</v>
      </c>
    </row>
    <row r="39" spans="1:6" x14ac:dyDescent="0.2">
      <c r="A39" s="26" t="s">
        <v>243</v>
      </c>
      <c r="B39" s="26" t="s">
        <v>242</v>
      </c>
      <c r="C39" s="26" t="s">
        <v>87</v>
      </c>
      <c r="D39" s="30">
        <v>2125</v>
      </c>
      <c r="E39" s="28">
        <v>4165.6289999999999</v>
      </c>
      <c r="F39" s="29">
        <v>0.79912672834246601</v>
      </c>
    </row>
    <row r="40" spans="1:6" x14ac:dyDescent="0.2">
      <c r="A40" s="26" t="s">
        <v>245</v>
      </c>
      <c r="B40" s="26" t="s">
        <v>244</v>
      </c>
      <c r="C40" s="26" t="s">
        <v>133</v>
      </c>
      <c r="D40" s="30">
        <v>370</v>
      </c>
      <c r="E40" s="28">
        <v>3735.1462999999999</v>
      </c>
      <c r="F40" s="29">
        <v>0.71654370626848096</v>
      </c>
    </row>
    <row r="41" spans="1:6" x14ac:dyDescent="0.2">
      <c r="A41" s="26" t="s">
        <v>247</v>
      </c>
      <c r="B41" s="26" t="s">
        <v>246</v>
      </c>
      <c r="C41" s="26" t="s">
        <v>87</v>
      </c>
      <c r="D41" s="30">
        <v>350</v>
      </c>
      <c r="E41" s="28">
        <v>3483.0844999999999</v>
      </c>
      <c r="F41" s="29">
        <v>0.668188626741689</v>
      </c>
    </row>
    <row r="42" spans="1:6" x14ac:dyDescent="0.2">
      <c r="A42" s="26" t="s">
        <v>248</v>
      </c>
      <c r="B42" s="26" t="s">
        <v>1611</v>
      </c>
      <c r="C42" s="26" t="s">
        <v>237</v>
      </c>
      <c r="D42" s="30">
        <v>350</v>
      </c>
      <c r="E42" s="28">
        <v>3466.799</v>
      </c>
      <c r="F42" s="29">
        <v>0.66506444589543001</v>
      </c>
    </row>
    <row r="43" spans="1:6" x14ac:dyDescent="0.2">
      <c r="A43" s="26" t="s">
        <v>86</v>
      </c>
      <c r="B43" s="26" t="s">
        <v>85</v>
      </c>
      <c r="C43" s="26" t="s">
        <v>87</v>
      </c>
      <c r="D43" s="30">
        <v>650</v>
      </c>
      <c r="E43" s="28">
        <v>3250.4485</v>
      </c>
      <c r="F43" s="29">
        <v>0.62356015752979399</v>
      </c>
    </row>
    <row r="44" spans="1:6" x14ac:dyDescent="0.2">
      <c r="A44" s="26" t="s">
        <v>250</v>
      </c>
      <c r="B44" s="26" t="s">
        <v>249</v>
      </c>
      <c r="C44" s="26" t="s">
        <v>73</v>
      </c>
      <c r="D44" s="30">
        <v>272</v>
      </c>
      <c r="E44" s="28">
        <v>2700.74784</v>
      </c>
      <c r="F44" s="29">
        <v>0.51810657777185198</v>
      </c>
    </row>
    <row r="45" spans="1:6" x14ac:dyDescent="0.2">
      <c r="A45" s="26" t="s">
        <v>135</v>
      </c>
      <c r="B45" s="26" t="s">
        <v>134</v>
      </c>
      <c r="C45" s="26" t="s">
        <v>68</v>
      </c>
      <c r="D45" s="30">
        <v>500</v>
      </c>
      <c r="E45" s="28">
        <v>2502.5050000000001</v>
      </c>
      <c r="F45" s="29">
        <v>0.48007603012910299</v>
      </c>
    </row>
    <row r="46" spans="1:6" x14ac:dyDescent="0.2">
      <c r="A46" s="26" t="s">
        <v>84</v>
      </c>
      <c r="B46" s="26" t="s">
        <v>83</v>
      </c>
      <c r="C46" s="26" t="s">
        <v>76</v>
      </c>
      <c r="D46" s="30">
        <v>250</v>
      </c>
      <c r="E46" s="28">
        <v>2474.67</v>
      </c>
      <c r="F46" s="29">
        <v>0.47473621410530098</v>
      </c>
    </row>
    <row r="47" spans="1:6" x14ac:dyDescent="0.2">
      <c r="A47" s="26" t="s">
        <v>251</v>
      </c>
      <c r="B47" s="26" t="s">
        <v>1609</v>
      </c>
      <c r="C47" s="26" t="s">
        <v>252</v>
      </c>
      <c r="D47" s="30">
        <v>240</v>
      </c>
      <c r="E47" s="28">
        <v>2370.9888000000001</v>
      </c>
      <c r="F47" s="29">
        <v>0.45484620034108397</v>
      </c>
    </row>
    <row r="48" spans="1:6" x14ac:dyDescent="0.2">
      <c r="A48" s="26" t="s">
        <v>254</v>
      </c>
      <c r="B48" s="26" t="s">
        <v>253</v>
      </c>
      <c r="C48" s="26" t="s">
        <v>133</v>
      </c>
      <c r="D48" s="30">
        <v>200</v>
      </c>
      <c r="E48" s="28">
        <v>1966.4359999999999</v>
      </c>
      <c r="F48" s="29">
        <v>0.377237523354779</v>
      </c>
    </row>
    <row r="49" spans="1:6" x14ac:dyDescent="0.2">
      <c r="A49" s="26" t="s">
        <v>256</v>
      </c>
      <c r="B49" s="26" t="s">
        <v>255</v>
      </c>
      <c r="C49" s="26" t="s">
        <v>165</v>
      </c>
      <c r="D49" s="30">
        <v>200</v>
      </c>
      <c r="E49" s="28">
        <v>1961.952</v>
      </c>
      <c r="F49" s="29">
        <v>0.37637732090998899</v>
      </c>
    </row>
    <row r="50" spans="1:6" x14ac:dyDescent="0.2">
      <c r="A50" s="26" t="s">
        <v>258</v>
      </c>
      <c r="B50" s="26" t="s">
        <v>257</v>
      </c>
      <c r="C50" s="26" t="s">
        <v>140</v>
      </c>
      <c r="D50" s="30">
        <v>150</v>
      </c>
      <c r="E50" s="28">
        <v>1504.9110000000001</v>
      </c>
      <c r="F50" s="29">
        <v>0.28869940262961202</v>
      </c>
    </row>
    <row r="51" spans="1:6" x14ac:dyDescent="0.2">
      <c r="A51" s="26" t="s">
        <v>260</v>
      </c>
      <c r="B51" s="26" t="s">
        <v>259</v>
      </c>
      <c r="C51" s="26" t="s">
        <v>63</v>
      </c>
      <c r="D51" s="30">
        <v>150</v>
      </c>
      <c r="E51" s="28">
        <v>1502.0895</v>
      </c>
      <c r="F51" s="29">
        <v>0.28815813117600497</v>
      </c>
    </row>
    <row r="52" spans="1:6" x14ac:dyDescent="0.2">
      <c r="A52" s="26" t="s">
        <v>262</v>
      </c>
      <c r="B52" s="26" t="s">
        <v>261</v>
      </c>
      <c r="C52" s="26" t="s">
        <v>68</v>
      </c>
      <c r="D52" s="30">
        <v>1400</v>
      </c>
      <c r="E52" s="28">
        <v>1425.2574</v>
      </c>
      <c r="F52" s="29">
        <v>0.27341880016388598</v>
      </c>
    </row>
    <row r="53" spans="1:6" x14ac:dyDescent="0.2">
      <c r="A53" s="26" t="s">
        <v>264</v>
      </c>
      <c r="B53" s="26" t="s">
        <v>263</v>
      </c>
      <c r="C53" s="26" t="s">
        <v>111</v>
      </c>
      <c r="D53" s="30">
        <v>100</v>
      </c>
      <c r="E53" s="28">
        <v>1008.716</v>
      </c>
      <c r="F53" s="29">
        <v>0.19351025185072901</v>
      </c>
    </row>
    <row r="54" spans="1:6" x14ac:dyDescent="0.2">
      <c r="A54" s="26" t="s">
        <v>101</v>
      </c>
      <c r="B54" s="26" t="s">
        <v>100</v>
      </c>
      <c r="C54" s="26" t="s">
        <v>73</v>
      </c>
      <c r="D54" s="30">
        <v>100</v>
      </c>
      <c r="E54" s="28">
        <v>1004.496</v>
      </c>
      <c r="F54" s="29">
        <v>0.19270069468814799</v>
      </c>
    </row>
    <row r="55" spans="1:6" x14ac:dyDescent="0.2">
      <c r="A55" s="26" t="s">
        <v>266</v>
      </c>
      <c r="B55" s="26" t="s">
        <v>265</v>
      </c>
      <c r="C55" s="26" t="s">
        <v>63</v>
      </c>
      <c r="D55" s="30">
        <v>100</v>
      </c>
      <c r="E55" s="28">
        <v>1000</v>
      </c>
      <c r="F55" s="29">
        <v>0.191838190185076</v>
      </c>
    </row>
    <row r="56" spans="1:6" x14ac:dyDescent="0.2">
      <c r="A56" s="26" t="s">
        <v>268</v>
      </c>
      <c r="B56" s="26" t="s">
        <v>267</v>
      </c>
      <c r="C56" s="26" t="s">
        <v>165</v>
      </c>
      <c r="D56" s="30">
        <v>100</v>
      </c>
      <c r="E56" s="28">
        <v>966.77</v>
      </c>
      <c r="F56" s="29">
        <v>0.18546340712522599</v>
      </c>
    </row>
    <row r="57" spans="1:6" x14ac:dyDescent="0.2">
      <c r="A57" s="26" t="s">
        <v>270</v>
      </c>
      <c r="B57" s="26" t="s">
        <v>269</v>
      </c>
      <c r="C57" s="26" t="s">
        <v>87</v>
      </c>
      <c r="D57" s="30">
        <v>62</v>
      </c>
      <c r="E57" s="28">
        <v>591.38824</v>
      </c>
      <c r="F57" s="29">
        <v>0.113450849658337</v>
      </c>
    </row>
    <row r="58" spans="1:6" x14ac:dyDescent="0.2">
      <c r="A58" s="26" t="s">
        <v>272</v>
      </c>
      <c r="B58" s="26" t="s">
        <v>271</v>
      </c>
      <c r="C58" s="26" t="s">
        <v>87</v>
      </c>
      <c r="D58" s="30">
        <v>62</v>
      </c>
      <c r="E58" s="28">
        <v>586.15791999999999</v>
      </c>
      <c r="F58" s="29">
        <v>0.112447474535448</v>
      </c>
    </row>
    <row r="59" spans="1:6" x14ac:dyDescent="0.2">
      <c r="A59" s="26" t="s">
        <v>274</v>
      </c>
      <c r="B59" s="26" t="s">
        <v>273</v>
      </c>
      <c r="C59" s="26" t="s">
        <v>76</v>
      </c>
      <c r="D59" s="30">
        <v>55</v>
      </c>
      <c r="E59" s="28">
        <v>554.26634999999999</v>
      </c>
      <c r="F59" s="29">
        <v>0.10632945346448799</v>
      </c>
    </row>
    <row r="60" spans="1:6" x14ac:dyDescent="0.2">
      <c r="A60" s="26" t="s">
        <v>132</v>
      </c>
      <c r="B60" s="26" t="s">
        <v>131</v>
      </c>
      <c r="C60" s="26" t="s">
        <v>133</v>
      </c>
      <c r="D60" s="30">
        <v>50</v>
      </c>
      <c r="E60" s="28">
        <v>502.75400000000002</v>
      </c>
      <c r="F60" s="29">
        <v>9.6447417468307498E-2</v>
      </c>
    </row>
    <row r="61" spans="1:6" x14ac:dyDescent="0.2">
      <c r="A61" s="26" t="s">
        <v>275</v>
      </c>
      <c r="B61" s="26" t="s">
        <v>1610</v>
      </c>
      <c r="C61" s="26" t="s">
        <v>252</v>
      </c>
      <c r="D61" s="30">
        <v>50</v>
      </c>
      <c r="E61" s="28">
        <v>495.01549999999997</v>
      </c>
      <c r="F61" s="29">
        <v>9.4962877633560303E-2</v>
      </c>
    </row>
    <row r="62" spans="1:6" x14ac:dyDescent="0.2">
      <c r="A62" s="26" t="s">
        <v>277</v>
      </c>
      <c r="B62" s="26" t="s">
        <v>276</v>
      </c>
      <c r="C62" s="26" t="s">
        <v>68</v>
      </c>
      <c r="D62" s="30">
        <v>500</v>
      </c>
      <c r="E62" s="28">
        <v>490.59550000000002</v>
      </c>
      <c r="F62" s="29">
        <v>9.4114952832942203E-2</v>
      </c>
    </row>
    <row r="63" spans="1:6" x14ac:dyDescent="0.2">
      <c r="A63" s="26" t="s">
        <v>279</v>
      </c>
      <c r="B63" s="26" t="s">
        <v>278</v>
      </c>
      <c r="C63" s="26" t="s">
        <v>152</v>
      </c>
      <c r="D63" s="30">
        <v>28</v>
      </c>
      <c r="E63" s="28">
        <v>285.08339999999998</v>
      </c>
      <c r="F63" s="29">
        <v>5.4689883507807999E-2</v>
      </c>
    </row>
    <row r="64" spans="1:6" x14ac:dyDescent="0.2">
      <c r="A64" s="26" t="s">
        <v>281</v>
      </c>
      <c r="B64" s="26" t="s">
        <v>280</v>
      </c>
      <c r="C64" s="26" t="s">
        <v>282</v>
      </c>
      <c r="D64" s="30">
        <v>18</v>
      </c>
      <c r="E64" s="28">
        <v>223.02126000000001</v>
      </c>
      <c r="F64" s="29">
        <v>4.27839948911952E-2</v>
      </c>
    </row>
    <row r="65" spans="1:9" x14ac:dyDescent="0.2">
      <c r="A65" s="26" t="s">
        <v>124</v>
      </c>
      <c r="B65" s="26" t="s">
        <v>123</v>
      </c>
      <c r="C65" s="26" t="s">
        <v>87</v>
      </c>
      <c r="D65" s="30">
        <v>76</v>
      </c>
      <c r="E65" s="28">
        <v>189.93768</v>
      </c>
      <c r="F65" s="29">
        <v>3.6437300779151999E-2</v>
      </c>
    </row>
    <row r="66" spans="1:9" x14ac:dyDescent="0.2">
      <c r="A66" s="26" t="s">
        <v>284</v>
      </c>
      <c r="B66" s="26" t="s">
        <v>283</v>
      </c>
      <c r="C66" s="26" t="s">
        <v>152</v>
      </c>
      <c r="D66" s="30">
        <v>12</v>
      </c>
      <c r="E66" s="28">
        <v>123.8514</v>
      </c>
      <c r="F66" s="29">
        <v>2.3759428427887901E-2</v>
      </c>
    </row>
    <row r="67" spans="1:9" x14ac:dyDescent="0.2">
      <c r="A67" s="26" t="s">
        <v>286</v>
      </c>
      <c r="B67" s="26" t="s">
        <v>285</v>
      </c>
      <c r="C67" s="26" t="s">
        <v>152</v>
      </c>
      <c r="D67" s="30">
        <v>12</v>
      </c>
      <c r="E67" s="28">
        <v>123.56435999999999</v>
      </c>
      <c r="F67" s="29">
        <v>2.3704363193777101E-2</v>
      </c>
    </row>
    <row r="68" spans="1:9" x14ac:dyDescent="0.2">
      <c r="A68" s="26" t="s">
        <v>130</v>
      </c>
      <c r="B68" s="26" t="s">
        <v>129</v>
      </c>
      <c r="C68" s="26" t="s">
        <v>120</v>
      </c>
      <c r="D68" s="30">
        <v>4000</v>
      </c>
      <c r="E68" s="28">
        <v>39.073639999999997</v>
      </c>
      <c r="F68" s="28">
        <v>7.4958163815431796E-3</v>
      </c>
    </row>
    <row r="69" spans="1:9" x14ac:dyDescent="0.2">
      <c r="A69" s="26" t="s">
        <v>126</v>
      </c>
      <c r="B69" s="26" t="s">
        <v>125</v>
      </c>
      <c r="C69" s="26" t="s">
        <v>63</v>
      </c>
      <c r="D69" s="30">
        <v>3</v>
      </c>
      <c r="E69" s="28">
        <v>30.118230000000001</v>
      </c>
      <c r="F69" s="28">
        <v>5.7778267347778503E-3</v>
      </c>
    </row>
    <row r="70" spans="1:9" ht="10.5" x14ac:dyDescent="0.25">
      <c r="A70" s="25" t="s">
        <v>153</v>
      </c>
      <c r="B70" s="25"/>
      <c r="C70" s="25"/>
      <c r="D70" s="31"/>
      <c r="E70" s="32">
        <f>SUM(E6:E69)</f>
        <v>460127.49680000026</v>
      </c>
      <c r="F70" s="33">
        <f>SUM(F6:F69)</f>
        <v>88.27002624050111</v>
      </c>
      <c r="G70" s="17"/>
      <c r="H70" s="17"/>
      <c r="I70" s="17"/>
    </row>
    <row r="71" spans="1:9" x14ac:dyDescent="0.2">
      <c r="A71" s="26"/>
      <c r="B71" s="26"/>
      <c r="C71" s="26"/>
      <c r="D71" s="27"/>
      <c r="E71" s="28"/>
      <c r="F71" s="29"/>
    </row>
    <row r="72" spans="1:9" ht="10.5" x14ac:dyDescent="0.25">
      <c r="A72" s="25" t="s">
        <v>154</v>
      </c>
      <c r="B72" s="26"/>
      <c r="C72" s="26"/>
      <c r="D72" s="27"/>
      <c r="E72" s="28"/>
      <c r="F72" s="29"/>
    </row>
    <row r="73" spans="1:9" x14ac:dyDescent="0.2">
      <c r="A73" s="26" t="s">
        <v>288</v>
      </c>
      <c r="B73" s="26" t="s">
        <v>287</v>
      </c>
      <c r="C73" s="26" t="s">
        <v>289</v>
      </c>
      <c r="D73" s="30">
        <v>350</v>
      </c>
      <c r="E73" s="28">
        <v>35255.745000000003</v>
      </c>
      <c r="F73" s="29">
        <v>6.7633983144265297</v>
      </c>
    </row>
    <row r="74" spans="1:9" x14ac:dyDescent="0.2">
      <c r="A74" s="26" t="s">
        <v>291</v>
      </c>
      <c r="B74" s="26" t="s">
        <v>290</v>
      </c>
      <c r="C74" s="26" t="s">
        <v>73</v>
      </c>
      <c r="D74" s="30">
        <v>2560</v>
      </c>
      <c r="E74" s="28">
        <v>24058.931199999999</v>
      </c>
      <c r="F74" s="29">
        <v>4.6154218191952499</v>
      </c>
    </row>
    <row r="75" spans="1:9" x14ac:dyDescent="0.2">
      <c r="A75" s="26" t="s">
        <v>293</v>
      </c>
      <c r="B75" s="26" t="s">
        <v>292</v>
      </c>
      <c r="C75" s="26" t="s">
        <v>240</v>
      </c>
      <c r="D75" s="30">
        <v>2450</v>
      </c>
      <c r="E75" s="28">
        <v>22039.4895</v>
      </c>
      <c r="F75" s="29">
        <v>4.2280157782829804</v>
      </c>
    </row>
    <row r="76" spans="1:9" x14ac:dyDescent="0.2">
      <c r="A76" s="26" t="s">
        <v>295</v>
      </c>
      <c r="B76" s="26" t="s">
        <v>294</v>
      </c>
      <c r="C76" s="26" t="s">
        <v>289</v>
      </c>
      <c r="D76" s="30">
        <v>1480</v>
      </c>
      <c r="E76" s="28">
        <v>14594.0728</v>
      </c>
      <c r="F76" s="29">
        <v>2.7997005133812398</v>
      </c>
    </row>
    <row r="77" spans="1:9" x14ac:dyDescent="0.2">
      <c r="A77" s="26" t="s">
        <v>297</v>
      </c>
      <c r="B77" s="26" t="s">
        <v>296</v>
      </c>
      <c r="C77" s="26" t="s">
        <v>298</v>
      </c>
      <c r="D77" s="30">
        <v>1660</v>
      </c>
      <c r="E77" s="28">
        <v>13840.02281</v>
      </c>
      <c r="F77" s="29">
        <v>2.6550449279905601</v>
      </c>
    </row>
    <row r="78" spans="1:9" x14ac:dyDescent="0.2">
      <c r="A78" s="26" t="s">
        <v>162</v>
      </c>
      <c r="B78" s="26" t="s">
        <v>161</v>
      </c>
      <c r="C78" s="26" t="s">
        <v>73</v>
      </c>
      <c r="D78" s="30">
        <v>1150</v>
      </c>
      <c r="E78" s="28">
        <v>11552.6355</v>
      </c>
      <c r="F78" s="29">
        <v>2.2162366861878602</v>
      </c>
    </row>
    <row r="79" spans="1:9" x14ac:dyDescent="0.2">
      <c r="A79" s="26" t="s">
        <v>300</v>
      </c>
      <c r="B79" s="26" t="s">
        <v>299</v>
      </c>
      <c r="C79" s="26" t="s">
        <v>298</v>
      </c>
      <c r="D79" s="30">
        <v>1280</v>
      </c>
      <c r="E79" s="28">
        <v>10929.64912</v>
      </c>
      <c r="F79" s="29">
        <v>2.0967241065387001</v>
      </c>
    </row>
    <row r="80" spans="1:9" x14ac:dyDescent="0.2">
      <c r="A80" s="26" t="s">
        <v>302</v>
      </c>
      <c r="B80" s="26" t="s">
        <v>301</v>
      </c>
      <c r="C80" s="26" t="s">
        <v>240</v>
      </c>
      <c r="D80" s="30">
        <v>650</v>
      </c>
      <c r="E80" s="28">
        <v>5834.1854999999996</v>
      </c>
      <c r="F80" s="29">
        <v>1.1192195875240101</v>
      </c>
    </row>
    <row r="81" spans="1:6" x14ac:dyDescent="0.2">
      <c r="A81" s="26" t="s">
        <v>304</v>
      </c>
      <c r="B81" s="26" t="s">
        <v>303</v>
      </c>
      <c r="C81" s="26" t="s">
        <v>298</v>
      </c>
      <c r="D81" s="30">
        <v>385</v>
      </c>
      <c r="E81" s="28">
        <v>3454.7407269999999</v>
      </c>
      <c r="F81" s="29">
        <v>0.66275120862635195</v>
      </c>
    </row>
    <row r="82" spans="1:6" x14ac:dyDescent="0.2">
      <c r="A82" s="26" t="s">
        <v>306</v>
      </c>
      <c r="B82" s="26" t="s">
        <v>305</v>
      </c>
      <c r="C82" s="26" t="s">
        <v>143</v>
      </c>
      <c r="D82" s="30">
        <v>300</v>
      </c>
      <c r="E82" s="28">
        <v>2924.67</v>
      </c>
      <c r="F82" s="29">
        <v>0.56106339968858499</v>
      </c>
    </row>
    <row r="83" spans="1:6" x14ac:dyDescent="0.2">
      <c r="A83" s="26" t="s">
        <v>164</v>
      </c>
      <c r="B83" s="26" t="s">
        <v>163</v>
      </c>
      <c r="C83" s="26" t="s">
        <v>165</v>
      </c>
      <c r="D83" s="30">
        <v>15</v>
      </c>
      <c r="E83" s="28">
        <v>2050.1325000000002</v>
      </c>
      <c r="F83" s="29">
        <v>0.39329370843960398</v>
      </c>
    </row>
    <row r="84" spans="1:6" x14ac:dyDescent="0.2">
      <c r="A84" s="26" t="s">
        <v>308</v>
      </c>
      <c r="B84" s="26" t="s">
        <v>307</v>
      </c>
      <c r="C84" s="26" t="s">
        <v>298</v>
      </c>
      <c r="D84" s="30">
        <v>150</v>
      </c>
      <c r="E84" s="28">
        <v>1318.10546</v>
      </c>
      <c r="F84" s="29">
        <v>0.252862965919467</v>
      </c>
    </row>
    <row r="85" spans="1:6" x14ac:dyDescent="0.2">
      <c r="A85" s="26" t="s">
        <v>310</v>
      </c>
      <c r="B85" s="26" t="s">
        <v>309</v>
      </c>
      <c r="C85" s="26" t="s">
        <v>298</v>
      </c>
      <c r="D85" s="30">
        <v>102</v>
      </c>
      <c r="E85" s="28">
        <v>1027.8162600000001</v>
      </c>
      <c r="F85" s="29">
        <v>0.197174411161193</v>
      </c>
    </row>
    <row r="86" spans="1:6" x14ac:dyDescent="0.2">
      <c r="A86" s="26" t="s">
        <v>312</v>
      </c>
      <c r="B86" s="26" t="s">
        <v>311</v>
      </c>
      <c r="C86" s="26" t="s">
        <v>313</v>
      </c>
      <c r="D86" s="30">
        <v>1678</v>
      </c>
      <c r="E86" s="28">
        <v>223.84520000000001</v>
      </c>
      <c r="F86" s="29">
        <v>4.2942058049616302E-2</v>
      </c>
    </row>
    <row r="87" spans="1:6" x14ac:dyDescent="0.2">
      <c r="A87" s="26" t="s">
        <v>315</v>
      </c>
      <c r="B87" s="26" t="s">
        <v>314</v>
      </c>
      <c r="C87" s="26" t="s">
        <v>152</v>
      </c>
      <c r="D87" s="30">
        <v>13</v>
      </c>
      <c r="E87" s="28">
        <v>133.59151</v>
      </c>
      <c r="F87" s="29">
        <v>2.5627953502491401E-2</v>
      </c>
    </row>
    <row r="88" spans="1:6" x14ac:dyDescent="0.2">
      <c r="A88" s="26" t="s">
        <v>317</v>
      </c>
      <c r="B88" s="26" t="s">
        <v>316</v>
      </c>
      <c r="C88" s="26" t="s">
        <v>313</v>
      </c>
      <c r="D88" s="30">
        <v>786</v>
      </c>
      <c r="E88" s="28">
        <v>129.06120000000001</v>
      </c>
      <c r="F88" s="29">
        <v>2.4758867031114101E-2</v>
      </c>
    </row>
    <row r="89" spans="1:6" x14ac:dyDescent="0.2">
      <c r="A89" s="26" t="s">
        <v>319</v>
      </c>
      <c r="B89" s="26" t="s">
        <v>318</v>
      </c>
      <c r="C89" s="26" t="s">
        <v>313</v>
      </c>
      <c r="D89" s="30">
        <v>28</v>
      </c>
      <c r="E89" s="28">
        <v>4.5975999999999999</v>
      </c>
      <c r="F89" s="29">
        <v>8.8199526319490305E-4</v>
      </c>
    </row>
    <row r="90" spans="1:6" x14ac:dyDescent="0.2">
      <c r="A90" s="26" t="s">
        <v>321</v>
      </c>
      <c r="B90" s="26" t="s">
        <v>320</v>
      </c>
      <c r="C90" s="26" t="s">
        <v>322</v>
      </c>
      <c r="D90" s="30">
        <v>350</v>
      </c>
      <c r="E90" s="28">
        <v>0</v>
      </c>
      <c r="F90" s="28">
        <v>0</v>
      </c>
    </row>
    <row r="91" spans="1:6" x14ac:dyDescent="0.2">
      <c r="A91" s="26" t="s">
        <v>323</v>
      </c>
      <c r="B91" s="26" t="s">
        <v>1604</v>
      </c>
      <c r="C91" s="26" t="s">
        <v>324</v>
      </c>
      <c r="D91" s="30">
        <v>394</v>
      </c>
      <c r="E91" s="28">
        <v>0</v>
      </c>
      <c r="F91" s="28">
        <v>0</v>
      </c>
    </row>
    <row r="92" spans="1:6" x14ac:dyDescent="0.2">
      <c r="A92" s="26" t="s">
        <v>326</v>
      </c>
      <c r="B92" s="26" t="s">
        <v>325</v>
      </c>
      <c r="C92" s="26" t="s">
        <v>324</v>
      </c>
      <c r="D92" s="30">
        <v>200</v>
      </c>
      <c r="E92" s="28">
        <v>0</v>
      </c>
      <c r="F92" s="28">
        <v>0</v>
      </c>
    </row>
    <row r="93" spans="1:6" x14ac:dyDescent="0.2">
      <c r="A93" s="26" t="s">
        <v>328</v>
      </c>
      <c r="B93" s="26" t="s">
        <v>327</v>
      </c>
      <c r="C93" s="26" t="s">
        <v>322</v>
      </c>
      <c r="D93" s="30">
        <v>800</v>
      </c>
      <c r="E93" s="28">
        <v>0</v>
      </c>
      <c r="F93" s="28">
        <v>0</v>
      </c>
    </row>
    <row r="94" spans="1:6" x14ac:dyDescent="0.2">
      <c r="A94" s="26" t="s">
        <v>330</v>
      </c>
      <c r="B94" s="26" t="s">
        <v>329</v>
      </c>
      <c r="C94" s="26" t="s">
        <v>324</v>
      </c>
      <c r="D94" s="30">
        <v>100</v>
      </c>
      <c r="E94" s="28">
        <v>0</v>
      </c>
      <c r="F94" s="28">
        <v>0</v>
      </c>
    </row>
    <row r="95" spans="1:6" x14ac:dyDescent="0.2">
      <c r="A95" s="26" t="s">
        <v>332</v>
      </c>
      <c r="B95" s="26" t="s">
        <v>331</v>
      </c>
      <c r="C95" s="26" t="s">
        <v>322</v>
      </c>
      <c r="D95" s="30">
        <v>250</v>
      </c>
      <c r="E95" s="28">
        <v>0</v>
      </c>
      <c r="F95" s="28">
        <v>0</v>
      </c>
    </row>
    <row r="96" spans="1:6" x14ac:dyDescent="0.2">
      <c r="A96" s="26" t="s">
        <v>334</v>
      </c>
      <c r="B96" s="26" t="s">
        <v>333</v>
      </c>
      <c r="C96" s="26" t="s">
        <v>322</v>
      </c>
      <c r="D96" s="30">
        <v>1000</v>
      </c>
      <c r="E96" s="28">
        <v>0</v>
      </c>
      <c r="F96" s="28">
        <v>0</v>
      </c>
    </row>
    <row r="97" spans="1:9" x14ac:dyDescent="0.2">
      <c r="A97" s="26" t="s">
        <v>336</v>
      </c>
      <c r="B97" s="26" t="s">
        <v>335</v>
      </c>
      <c r="C97" s="26" t="s">
        <v>324</v>
      </c>
      <c r="D97" s="30">
        <v>300</v>
      </c>
      <c r="E97" s="28">
        <v>0</v>
      </c>
      <c r="F97" s="28">
        <v>0</v>
      </c>
    </row>
    <row r="98" spans="1:9" x14ac:dyDescent="0.2">
      <c r="A98" s="26" t="s">
        <v>338</v>
      </c>
      <c r="B98" s="26" t="s">
        <v>337</v>
      </c>
      <c r="C98" s="26" t="s">
        <v>322</v>
      </c>
      <c r="D98" s="30">
        <v>375</v>
      </c>
      <c r="E98" s="28">
        <v>0</v>
      </c>
      <c r="F98" s="28">
        <v>0</v>
      </c>
    </row>
    <row r="99" spans="1:9" x14ac:dyDescent="0.2">
      <c r="A99" s="26" t="s">
        <v>339</v>
      </c>
      <c r="B99" s="26" t="s">
        <v>1606</v>
      </c>
      <c r="C99" s="26" t="s">
        <v>324</v>
      </c>
      <c r="D99" s="30">
        <v>250</v>
      </c>
      <c r="E99" s="28">
        <v>0</v>
      </c>
      <c r="F99" s="28">
        <v>0</v>
      </c>
    </row>
    <row r="100" spans="1:9" x14ac:dyDescent="0.2">
      <c r="A100" s="26" t="s">
        <v>340</v>
      </c>
      <c r="B100" s="26" t="s">
        <v>1605</v>
      </c>
      <c r="C100" s="26" t="s">
        <v>324</v>
      </c>
      <c r="D100" s="30">
        <v>500</v>
      </c>
      <c r="E100" s="28">
        <v>0</v>
      </c>
      <c r="F100" s="28">
        <v>0</v>
      </c>
    </row>
    <row r="101" spans="1:9" x14ac:dyDescent="0.2">
      <c r="A101" s="26" t="s">
        <v>342</v>
      </c>
      <c r="B101" s="26" t="s">
        <v>341</v>
      </c>
      <c r="C101" s="26" t="s">
        <v>322</v>
      </c>
      <c r="D101" s="30">
        <v>600</v>
      </c>
      <c r="E101" s="28">
        <v>0</v>
      </c>
      <c r="F101" s="28">
        <v>0</v>
      </c>
    </row>
    <row r="102" spans="1:9" ht="10.5" x14ac:dyDescent="0.25">
      <c r="A102" s="25" t="s">
        <v>153</v>
      </c>
      <c r="B102" s="25"/>
      <c r="C102" s="25"/>
      <c r="D102" s="31"/>
      <c r="E102" s="32">
        <f>SUM(E72:E101)</f>
        <v>149371.291887</v>
      </c>
      <c r="F102" s="33">
        <f>SUM(F72:F101)</f>
        <v>28.655118301208748</v>
      </c>
      <c r="G102" s="17"/>
      <c r="H102" s="17"/>
      <c r="I102" s="17"/>
    </row>
    <row r="103" spans="1:9" x14ac:dyDescent="0.2">
      <c r="A103" s="26"/>
      <c r="B103" s="26"/>
      <c r="C103" s="26"/>
      <c r="D103" s="27"/>
      <c r="E103" s="28"/>
      <c r="F103" s="29"/>
    </row>
    <row r="104" spans="1:9" ht="10.5" x14ac:dyDescent="0.25">
      <c r="A104" s="25" t="s">
        <v>166</v>
      </c>
      <c r="B104" s="25"/>
      <c r="C104" s="25"/>
      <c r="D104" s="31"/>
      <c r="E104" s="32">
        <f>E70+E102</f>
        <v>609498.78868700028</v>
      </c>
      <c r="F104" s="33">
        <f>F70+F102</f>
        <v>116.92514454170986</v>
      </c>
      <c r="G104" s="17"/>
      <c r="H104" s="17"/>
      <c r="I104" s="17"/>
    </row>
    <row r="105" spans="1:9" ht="10.5" x14ac:dyDescent="0.25">
      <c r="A105" s="25"/>
      <c r="B105" s="25"/>
      <c r="C105" s="25"/>
      <c r="D105" s="31"/>
      <c r="E105" s="32"/>
      <c r="F105" s="33"/>
      <c r="G105" s="17"/>
      <c r="H105" s="17"/>
      <c r="I105" s="17"/>
    </row>
    <row r="106" spans="1:9" ht="10.5" x14ac:dyDescent="0.25">
      <c r="A106" s="25" t="s">
        <v>168</v>
      </c>
      <c r="B106" s="25"/>
      <c r="C106" s="25"/>
      <c r="D106" s="31"/>
      <c r="E106" s="32">
        <f>E108-(E70+E102)</f>
        <v>-88226.147908200277</v>
      </c>
      <c r="F106" s="33">
        <f>F108-(F70+F102)</f>
        <v>-16.925144541709855</v>
      </c>
      <c r="G106" s="17"/>
      <c r="H106" s="17"/>
      <c r="I106" s="17"/>
    </row>
    <row r="107" spans="1:9" ht="10.5" x14ac:dyDescent="0.25">
      <c r="A107" s="25"/>
      <c r="B107" s="25"/>
      <c r="C107" s="25"/>
      <c r="D107" s="31"/>
      <c r="E107" s="32"/>
      <c r="F107" s="33"/>
      <c r="G107" s="17"/>
      <c r="H107" s="17"/>
      <c r="I107" s="17"/>
    </row>
    <row r="108" spans="1:9" ht="10.5" x14ac:dyDescent="0.25">
      <c r="A108" s="34" t="s">
        <v>167</v>
      </c>
      <c r="B108" s="34"/>
      <c r="C108" s="34"/>
      <c r="D108" s="35"/>
      <c r="E108" s="36">
        <v>521272.64077880001</v>
      </c>
      <c r="F108" s="37">
        <v>100</v>
      </c>
      <c r="G108" s="17"/>
      <c r="H108" s="17"/>
      <c r="I108" s="17"/>
    </row>
    <row r="109" spans="1:9" ht="10.5" x14ac:dyDescent="0.25">
      <c r="F109" s="19" t="s">
        <v>343</v>
      </c>
    </row>
    <row r="110" spans="1:9" ht="10.5" x14ac:dyDescent="0.25">
      <c r="A110" s="17" t="s">
        <v>170</v>
      </c>
    </row>
    <row r="111" spans="1:9" ht="10.5" x14ac:dyDescent="0.25">
      <c r="A111" s="17" t="s">
        <v>1490</v>
      </c>
    </row>
    <row r="112" spans="1:9" ht="10.5" x14ac:dyDescent="0.25">
      <c r="A112" s="17" t="s">
        <v>1650</v>
      </c>
    </row>
    <row r="113" spans="1:4" ht="10.5" x14ac:dyDescent="0.25">
      <c r="A113" s="17" t="s">
        <v>1501</v>
      </c>
    </row>
    <row r="115" spans="1:4" ht="10.5" x14ac:dyDescent="0.25">
      <c r="A115" s="17" t="s">
        <v>171</v>
      </c>
    </row>
    <row r="116" spans="1:4" ht="10.5" x14ac:dyDescent="0.25">
      <c r="A116" s="17" t="s">
        <v>172</v>
      </c>
    </row>
    <row r="117" spans="1:4" ht="10.5" x14ac:dyDescent="0.25">
      <c r="A117" s="17" t="s">
        <v>173</v>
      </c>
      <c r="B117" s="17"/>
      <c r="C117" s="38" t="s">
        <v>175</v>
      </c>
      <c r="D117" s="18" t="s">
        <v>174</v>
      </c>
    </row>
    <row r="118" spans="1:4" x14ac:dyDescent="0.2">
      <c r="A118" s="10" t="s">
        <v>176</v>
      </c>
      <c r="C118" s="39">
        <v>3831.5502000000001</v>
      </c>
      <c r="D118" s="39">
        <v>3615.7476999999999</v>
      </c>
    </row>
    <row r="119" spans="1:4" x14ac:dyDescent="0.2">
      <c r="A119" s="10" t="s">
        <v>178</v>
      </c>
      <c r="C119" s="39">
        <v>968.404</v>
      </c>
      <c r="D119" s="39">
        <v>913.86059999999998</v>
      </c>
    </row>
    <row r="120" spans="1:4" x14ac:dyDescent="0.2">
      <c r="A120" s="10" t="s">
        <v>344</v>
      </c>
      <c r="C120" s="39">
        <v>1075.1237000000001</v>
      </c>
      <c r="D120" s="39">
        <v>1008.9471</v>
      </c>
    </row>
    <row r="121" spans="1:4" x14ac:dyDescent="0.2">
      <c r="A121" s="10" t="s">
        <v>345</v>
      </c>
      <c r="C121" s="39">
        <v>1112.2629999999999</v>
      </c>
      <c r="D121" s="39">
        <v>1049.6168</v>
      </c>
    </row>
    <row r="122" spans="1:4" x14ac:dyDescent="0.2">
      <c r="A122" s="58" t="s">
        <v>1564</v>
      </c>
      <c r="C122" s="39">
        <v>3173.3708999999999</v>
      </c>
      <c r="D122" s="39">
        <v>2995.5034000000001</v>
      </c>
    </row>
    <row r="123" spans="1:4" x14ac:dyDescent="0.2">
      <c r="A123" s="10" t="s">
        <v>346</v>
      </c>
      <c r="C123" s="39">
        <v>4052.2534999999998</v>
      </c>
      <c r="D123" s="39">
        <v>3838.3510999999999</v>
      </c>
    </row>
    <row r="124" spans="1:4" x14ac:dyDescent="0.2">
      <c r="A124" s="10" t="s">
        <v>347</v>
      </c>
      <c r="C124" s="39">
        <v>972.40959999999995</v>
      </c>
      <c r="D124" s="39">
        <v>921.09619999999995</v>
      </c>
    </row>
    <row r="125" spans="1:4" x14ac:dyDescent="0.2">
      <c r="A125" s="10" t="s">
        <v>348</v>
      </c>
      <c r="C125" s="39">
        <v>1155.0958000000001</v>
      </c>
      <c r="D125" s="39">
        <v>1088.4943000000001</v>
      </c>
    </row>
    <row r="126" spans="1:4" x14ac:dyDescent="0.2">
      <c r="A126" s="10" t="s">
        <v>349</v>
      </c>
      <c r="C126" s="39">
        <v>1197.0929000000001</v>
      </c>
      <c r="D126" s="39">
        <v>1133.9079999999999</v>
      </c>
    </row>
    <row r="128" spans="1:4" ht="10.5" x14ac:dyDescent="0.25">
      <c r="A128" s="59" t="s">
        <v>1499</v>
      </c>
    </row>
    <row r="130" spans="1:5" ht="10.5" x14ac:dyDescent="0.25">
      <c r="A130" s="17" t="s">
        <v>185</v>
      </c>
    </row>
    <row r="131" spans="1:5" ht="12.5" x14ac:dyDescent="0.25">
      <c r="A131" s="100" t="s">
        <v>350</v>
      </c>
      <c r="B131" s="101"/>
      <c r="C131" s="98" t="s">
        <v>1658</v>
      </c>
      <c r="D131" s="99"/>
    </row>
    <row r="132" spans="1:5" ht="10.5" x14ac:dyDescent="0.25">
      <c r="A132" s="100"/>
      <c r="B132" s="101"/>
      <c r="C132" s="43" t="s">
        <v>351</v>
      </c>
      <c r="D132" s="44" t="s">
        <v>352</v>
      </c>
    </row>
    <row r="133" spans="1:5" x14ac:dyDescent="0.2">
      <c r="A133" s="94" t="s">
        <v>344</v>
      </c>
      <c r="B133" s="95"/>
      <c r="C133" s="45">
        <v>6</v>
      </c>
      <c r="D133" s="45">
        <v>6</v>
      </c>
    </row>
    <row r="134" spans="1:5" x14ac:dyDescent="0.2">
      <c r="A134" s="94" t="s">
        <v>348</v>
      </c>
      <c r="B134" s="95"/>
      <c r="C134" s="45">
        <v>6</v>
      </c>
      <c r="D134" s="45">
        <v>6</v>
      </c>
    </row>
    <row r="135" spans="1:5" x14ac:dyDescent="0.2">
      <c r="A135" s="90" t="s">
        <v>1657</v>
      </c>
    </row>
    <row r="137" spans="1:5" ht="10.5" x14ac:dyDescent="0.25">
      <c r="A137" s="17" t="s">
        <v>187</v>
      </c>
      <c r="D137" s="41">
        <v>3.2605529827123299</v>
      </c>
      <c r="E137" s="15" t="s">
        <v>188</v>
      </c>
    </row>
    <row r="139" spans="1:5" ht="10.5" x14ac:dyDescent="0.25">
      <c r="A139" s="17" t="s">
        <v>189</v>
      </c>
      <c r="D139" s="40">
        <v>3</v>
      </c>
    </row>
    <row r="140" spans="1:5" x14ac:dyDescent="0.2">
      <c r="A140" s="10" t="s">
        <v>353</v>
      </c>
    </row>
    <row r="141" spans="1:5" x14ac:dyDescent="0.2">
      <c r="A141" s="87" t="s">
        <v>1546</v>
      </c>
    </row>
    <row r="142" spans="1:5" ht="14.5" x14ac:dyDescent="0.35">
      <c r="A142" s="46"/>
    </row>
    <row r="143" spans="1:5" ht="10.5" x14ac:dyDescent="0.25">
      <c r="A143" s="17" t="s">
        <v>1588</v>
      </c>
    </row>
    <row r="145" spans="1:6" x14ac:dyDescent="0.2">
      <c r="A145" s="10" t="s">
        <v>1589</v>
      </c>
    </row>
    <row r="147" spans="1:6" ht="63" x14ac:dyDescent="0.2">
      <c r="A147" s="8" t="s">
        <v>2</v>
      </c>
      <c r="B147" s="85" t="s">
        <v>1583</v>
      </c>
      <c r="C147" s="85" t="s">
        <v>1655</v>
      </c>
      <c r="D147" s="85" t="s">
        <v>1584</v>
      </c>
      <c r="E147" s="85" t="s">
        <v>1618</v>
      </c>
    </row>
    <row r="148" spans="1:6" x14ac:dyDescent="0.2">
      <c r="A148" s="81" t="s">
        <v>1587</v>
      </c>
      <c r="B148" s="81" t="s">
        <v>1637</v>
      </c>
      <c r="C148" s="82">
        <v>0</v>
      </c>
      <c r="D148" s="83">
        <v>0</v>
      </c>
      <c r="E148" s="82">
        <v>4599.1981894999999</v>
      </c>
    </row>
    <row r="149" spans="1:6" x14ac:dyDescent="0.2">
      <c r="A149" s="81" t="s">
        <v>1620</v>
      </c>
      <c r="B149" s="81" t="s">
        <v>1641</v>
      </c>
      <c r="C149" s="82">
        <v>0</v>
      </c>
      <c r="D149" s="83">
        <v>0</v>
      </c>
      <c r="E149" s="82">
        <v>11991.3712</v>
      </c>
    </row>
    <row r="150" spans="1:6" x14ac:dyDescent="0.2">
      <c r="A150" s="81" t="s">
        <v>1622</v>
      </c>
      <c r="B150" s="81" t="s">
        <v>1642</v>
      </c>
      <c r="C150" s="82">
        <v>1250.9639999999999</v>
      </c>
      <c r="D150" s="83">
        <v>2.399826697466829E-3</v>
      </c>
      <c r="E150" s="82">
        <v>5251.4845213999997</v>
      </c>
    </row>
    <row r="151" spans="1:6" x14ac:dyDescent="0.2">
      <c r="A151" s="81" t="s">
        <v>1586</v>
      </c>
      <c r="B151" s="81" t="s">
        <v>1643</v>
      </c>
      <c r="C151" s="82">
        <v>0</v>
      </c>
      <c r="D151" s="83">
        <v>0</v>
      </c>
      <c r="E151" s="82">
        <v>699.23042375125692</v>
      </c>
    </row>
    <row r="152" spans="1:6" x14ac:dyDescent="0.2">
      <c r="A152" s="81" t="s">
        <v>330</v>
      </c>
      <c r="B152" s="81" t="s">
        <v>1644</v>
      </c>
      <c r="C152" s="82">
        <v>0</v>
      </c>
      <c r="D152" s="83">
        <v>0</v>
      </c>
      <c r="E152" s="82">
        <v>274.87704920000004</v>
      </c>
    </row>
    <row r="153" spans="1:6" x14ac:dyDescent="0.2">
      <c r="A153" s="81" t="s">
        <v>339</v>
      </c>
      <c r="B153" s="81" t="s">
        <v>1645</v>
      </c>
      <c r="C153" s="82">
        <v>0</v>
      </c>
      <c r="D153" s="83">
        <v>0</v>
      </c>
      <c r="E153" s="82">
        <v>666.38035387978141</v>
      </c>
    </row>
    <row r="154" spans="1:6" x14ac:dyDescent="0.2">
      <c r="A154" s="81" t="s">
        <v>323</v>
      </c>
      <c r="B154" s="81" t="s">
        <v>1646</v>
      </c>
      <c r="C154" s="82">
        <v>0</v>
      </c>
      <c r="D154" s="83">
        <v>0</v>
      </c>
      <c r="E154" s="82">
        <v>1381.446905812614</v>
      </c>
    </row>
    <row r="155" spans="1:6" ht="10" customHeight="1" x14ac:dyDescent="0.35">
      <c r="A155" s="46"/>
    </row>
    <row r="156" spans="1:6" x14ac:dyDescent="0.2">
      <c r="A156" s="58" t="s">
        <v>1629</v>
      </c>
    </row>
    <row r="157" spans="1:6" ht="10" customHeight="1" x14ac:dyDescent="0.2">
      <c r="A157" s="58" t="s">
        <v>1656</v>
      </c>
    </row>
    <row r="158" spans="1:6" ht="10" customHeight="1" x14ac:dyDescent="0.2">
      <c r="A158" s="58"/>
    </row>
    <row r="159" spans="1:6" ht="38.15" customHeight="1" x14ac:dyDescent="0.2">
      <c r="A159" s="103" t="s">
        <v>1652</v>
      </c>
      <c r="B159" s="103"/>
      <c r="C159" s="103"/>
      <c r="D159" s="103"/>
      <c r="E159" s="103"/>
      <c r="F159" s="103"/>
    </row>
    <row r="160" spans="1:6" x14ac:dyDescent="0.2">
      <c r="A160" s="86" t="s">
        <v>1579</v>
      </c>
    </row>
    <row r="161" spans="1:6" x14ac:dyDescent="0.2">
      <c r="A161" s="86"/>
    </row>
    <row r="162" spans="1:6" ht="10.5" x14ac:dyDescent="0.25">
      <c r="A162" s="17" t="s">
        <v>1624</v>
      </c>
    </row>
    <row r="163" spans="1:6" ht="11.25" customHeight="1" x14ac:dyDescent="0.2">
      <c r="A163" s="88" t="s">
        <v>1545</v>
      </c>
    </row>
    <row r="165" spans="1:6" ht="50.15" customHeight="1" x14ac:dyDescent="0.2">
      <c r="A165" s="102" t="s">
        <v>1625</v>
      </c>
      <c r="B165" s="102"/>
      <c r="C165" s="102"/>
      <c r="D165" s="102"/>
      <c r="E165" s="102"/>
      <c r="F165" s="102"/>
    </row>
    <row r="166" spans="1:6" ht="16" customHeight="1" x14ac:dyDescent="0.2">
      <c r="A166" s="88" t="s">
        <v>1547</v>
      </c>
      <c r="B166" s="84"/>
      <c r="C166" s="84"/>
      <c r="D166" s="84"/>
      <c r="E166" s="84"/>
      <c r="F166" s="84"/>
    </row>
    <row r="167" spans="1:6" s="58" customFormat="1" ht="15" customHeight="1" x14ac:dyDescent="0.2">
      <c r="A167" s="104" t="s">
        <v>1548</v>
      </c>
      <c r="B167" s="104"/>
      <c r="C167" s="104"/>
      <c r="D167" s="104"/>
      <c r="E167" s="104"/>
      <c r="F167" s="104"/>
    </row>
    <row r="168" spans="1:6" ht="10.5" x14ac:dyDescent="0.2">
      <c r="A168" s="84"/>
      <c r="B168" s="84"/>
      <c r="C168" s="84"/>
      <c r="D168" s="84"/>
      <c r="E168" s="84"/>
      <c r="F168" s="84"/>
    </row>
    <row r="169" spans="1:6" ht="30" customHeight="1" x14ac:dyDescent="0.2">
      <c r="A169" s="103" t="s">
        <v>1626</v>
      </c>
      <c r="B169" s="103"/>
      <c r="C169" s="103"/>
      <c r="D169" s="103"/>
      <c r="E169" s="103"/>
      <c r="F169" s="103"/>
    </row>
    <row r="170" spans="1:6" ht="10.5" x14ac:dyDescent="0.2">
      <c r="A170" s="76"/>
      <c r="B170" s="76"/>
      <c r="C170" s="76"/>
      <c r="D170" s="76"/>
      <c r="E170" s="76"/>
      <c r="F170" s="76"/>
    </row>
    <row r="173" spans="1:6" s="1" customFormat="1" ht="14" x14ac:dyDescent="0.25">
      <c r="A173" s="96" t="s">
        <v>354</v>
      </c>
      <c r="B173" s="97"/>
      <c r="C173" s="97"/>
      <c r="D173" s="97"/>
      <c r="E173" s="97"/>
      <c r="F173" s="97"/>
    </row>
    <row r="174" spans="1:6" ht="10.5" x14ac:dyDescent="0.25">
      <c r="A174" s="17" t="s">
        <v>6</v>
      </c>
    </row>
    <row r="175" spans="1:6" s="1" customFormat="1" ht="17.5" customHeight="1" x14ac:dyDescent="0.25">
      <c r="A175" s="8" t="s">
        <v>2</v>
      </c>
      <c r="B175" s="8" t="s">
        <v>0</v>
      </c>
      <c r="C175" s="8" t="s">
        <v>169</v>
      </c>
      <c r="D175" s="48" t="s">
        <v>1</v>
      </c>
      <c r="E175" s="9" t="s">
        <v>3</v>
      </c>
      <c r="F175" s="9" t="s">
        <v>4</v>
      </c>
    </row>
    <row r="176" spans="1:6" ht="10.5" x14ac:dyDescent="0.25">
      <c r="A176" s="20" t="s">
        <v>56</v>
      </c>
      <c r="B176" s="21"/>
      <c r="C176" s="21"/>
      <c r="D176" s="22"/>
      <c r="E176" s="23"/>
      <c r="F176" s="24"/>
    </row>
    <row r="177" spans="1:9" ht="10.5" x14ac:dyDescent="0.25">
      <c r="A177" s="25" t="s">
        <v>1647</v>
      </c>
      <c r="B177" s="26"/>
      <c r="C177" s="26"/>
      <c r="D177" s="27"/>
      <c r="E177" s="28"/>
      <c r="F177" s="29"/>
    </row>
    <row r="178" spans="1:9" x14ac:dyDescent="0.2">
      <c r="A178" s="26" t="s">
        <v>356</v>
      </c>
      <c r="B178" s="26" t="s">
        <v>355</v>
      </c>
      <c r="C178" s="26" t="s">
        <v>357</v>
      </c>
      <c r="D178" s="30">
        <v>5230</v>
      </c>
      <c r="E178" s="28">
        <v>0</v>
      </c>
      <c r="F178" s="29">
        <v>100</v>
      </c>
    </row>
    <row r="179" spans="1:9" ht="10.5" x14ac:dyDescent="0.25">
      <c r="A179" s="25" t="s">
        <v>153</v>
      </c>
      <c r="B179" s="25"/>
      <c r="C179" s="25"/>
      <c r="D179" s="31"/>
      <c r="E179" s="32">
        <f>SUM(E177:E178)</f>
        <v>0</v>
      </c>
      <c r="F179" s="33">
        <f>SUM(F177:F178)</f>
        <v>100</v>
      </c>
      <c r="G179" s="17"/>
      <c r="H179" s="17"/>
      <c r="I179" s="17"/>
    </row>
    <row r="180" spans="1:9" x14ac:dyDescent="0.2">
      <c r="A180" s="26"/>
      <c r="B180" s="26"/>
      <c r="C180" s="26"/>
      <c r="D180" s="27"/>
      <c r="E180" s="28"/>
      <c r="F180" s="29"/>
    </row>
    <row r="181" spans="1:9" ht="10.5" x14ac:dyDescent="0.25">
      <c r="A181" s="25" t="s">
        <v>166</v>
      </c>
      <c r="B181" s="25"/>
      <c r="C181" s="25"/>
      <c r="D181" s="31"/>
      <c r="E181" s="32">
        <f>E179</f>
        <v>0</v>
      </c>
      <c r="F181" s="33">
        <f>F179</f>
        <v>100</v>
      </c>
      <c r="G181" s="17"/>
      <c r="H181" s="17"/>
      <c r="I181" s="17"/>
    </row>
    <row r="182" spans="1:9" ht="10.5" x14ac:dyDescent="0.25">
      <c r="A182" s="25"/>
      <c r="B182" s="25"/>
      <c r="C182" s="25"/>
      <c r="D182" s="31"/>
      <c r="E182" s="32"/>
      <c r="F182" s="33"/>
      <c r="G182" s="17"/>
      <c r="H182" s="17"/>
      <c r="I182" s="17"/>
    </row>
    <row r="183" spans="1:9" ht="10.5" x14ac:dyDescent="0.25">
      <c r="A183" s="25" t="s">
        <v>168</v>
      </c>
      <c r="B183" s="25"/>
      <c r="C183" s="25"/>
      <c r="D183" s="31"/>
      <c r="E183" s="32">
        <f>E185-(E179)</f>
        <v>0</v>
      </c>
      <c r="F183" s="33">
        <v>0</v>
      </c>
      <c r="G183" s="17"/>
      <c r="H183" s="17"/>
      <c r="I183" s="17"/>
    </row>
    <row r="184" spans="1:9" ht="10.5" x14ac:dyDescent="0.25">
      <c r="A184" s="25"/>
      <c r="B184" s="25"/>
      <c r="C184" s="25"/>
      <c r="D184" s="31"/>
      <c r="E184" s="32"/>
      <c r="F184" s="33"/>
      <c r="G184" s="17"/>
      <c r="H184" s="17"/>
      <c r="I184" s="17"/>
    </row>
    <row r="185" spans="1:9" ht="10.5" x14ac:dyDescent="0.25">
      <c r="A185" s="34" t="s">
        <v>167</v>
      </c>
      <c r="B185" s="34"/>
      <c r="C185" s="34"/>
      <c r="D185" s="35"/>
      <c r="E185" s="36">
        <v>0</v>
      </c>
      <c r="F185" s="37">
        <v>100</v>
      </c>
      <c r="G185" s="17"/>
      <c r="H185" s="17"/>
      <c r="I185" s="17"/>
    </row>
    <row r="186" spans="1:9" ht="10.5" x14ac:dyDescent="0.25">
      <c r="F186" s="19"/>
    </row>
    <row r="187" spans="1:9" ht="10.5" x14ac:dyDescent="0.25">
      <c r="A187" s="59" t="s">
        <v>170</v>
      </c>
    </row>
    <row r="188" spans="1:9" ht="10.5" x14ac:dyDescent="0.25">
      <c r="A188" s="59" t="s">
        <v>1490</v>
      </c>
    </row>
    <row r="189" spans="1:9" ht="10.5" x14ac:dyDescent="0.25">
      <c r="A189" s="17" t="s">
        <v>1650</v>
      </c>
    </row>
    <row r="191" spans="1:9" ht="10.5" x14ac:dyDescent="0.25">
      <c r="A191" s="17" t="s">
        <v>171</v>
      </c>
    </row>
    <row r="192" spans="1:9" ht="10.5" x14ac:dyDescent="0.25">
      <c r="A192" s="17" t="s">
        <v>172</v>
      </c>
    </row>
    <row r="193" spans="1:4" ht="10.5" x14ac:dyDescent="0.25">
      <c r="A193" s="17" t="s">
        <v>173</v>
      </c>
      <c r="B193" s="17"/>
      <c r="C193" s="38" t="s">
        <v>175</v>
      </c>
      <c r="D193" s="18" t="s">
        <v>174</v>
      </c>
    </row>
    <row r="194" spans="1:4" x14ac:dyDescent="0.2">
      <c r="A194" s="10" t="s">
        <v>176</v>
      </c>
      <c r="C194" s="39">
        <v>0</v>
      </c>
      <c r="D194" s="39">
        <v>0</v>
      </c>
    </row>
    <row r="195" spans="1:4" x14ac:dyDescent="0.2">
      <c r="A195" s="10" t="s">
        <v>178</v>
      </c>
      <c r="C195" s="39">
        <v>0</v>
      </c>
      <c r="D195" s="39">
        <v>0</v>
      </c>
    </row>
    <row r="196" spans="1:4" x14ac:dyDescent="0.2">
      <c r="A196" s="10" t="s">
        <v>344</v>
      </c>
      <c r="C196" s="39">
        <v>0</v>
      </c>
      <c r="D196" s="39">
        <v>0</v>
      </c>
    </row>
    <row r="197" spans="1:4" x14ac:dyDescent="0.2">
      <c r="A197" s="10" t="s">
        <v>345</v>
      </c>
      <c r="C197" s="39">
        <v>0</v>
      </c>
      <c r="D197" s="39">
        <v>0</v>
      </c>
    </row>
    <row r="198" spans="1:4" x14ac:dyDescent="0.2">
      <c r="A198" s="58" t="s">
        <v>1496</v>
      </c>
      <c r="C198" s="39">
        <v>0</v>
      </c>
      <c r="D198" s="39">
        <v>0</v>
      </c>
    </row>
    <row r="199" spans="1:4" x14ac:dyDescent="0.2">
      <c r="A199" s="10" t="s">
        <v>346</v>
      </c>
      <c r="C199" s="39">
        <v>0</v>
      </c>
      <c r="D199" s="39">
        <v>0</v>
      </c>
    </row>
    <row r="200" spans="1:4" x14ac:dyDescent="0.2">
      <c r="A200" s="10" t="s">
        <v>347</v>
      </c>
      <c r="C200" s="39">
        <v>0</v>
      </c>
      <c r="D200" s="39">
        <v>0</v>
      </c>
    </row>
    <row r="201" spans="1:4" x14ac:dyDescent="0.2">
      <c r="A201" s="10" t="s">
        <v>348</v>
      </c>
      <c r="C201" s="39">
        <v>0</v>
      </c>
      <c r="D201" s="39">
        <v>0</v>
      </c>
    </row>
    <row r="202" spans="1:4" x14ac:dyDescent="0.2">
      <c r="A202" s="10" t="s">
        <v>349</v>
      </c>
      <c r="C202" s="39">
        <v>0</v>
      </c>
      <c r="D202" s="39">
        <v>0</v>
      </c>
    </row>
    <row r="204" spans="1:4" ht="10.5" x14ac:dyDescent="0.25">
      <c r="A204" s="59" t="s">
        <v>1649</v>
      </c>
    </row>
    <row r="206" spans="1:4" ht="10.5" x14ac:dyDescent="0.25">
      <c r="A206" s="17" t="s">
        <v>1550</v>
      </c>
      <c r="D206" s="40" t="s">
        <v>186</v>
      </c>
    </row>
    <row r="207" spans="1:4" x14ac:dyDescent="0.2">
      <c r="A207" s="10" t="s">
        <v>353</v>
      </c>
    </row>
    <row r="208" spans="1:4" x14ac:dyDescent="0.2">
      <c r="A208" s="87" t="s">
        <v>1546</v>
      </c>
    </row>
    <row r="212" spans="1:9" s="1" customFormat="1" ht="14" x14ac:dyDescent="0.25">
      <c r="A212" s="96" t="s">
        <v>358</v>
      </c>
      <c r="B212" s="97"/>
      <c r="C212" s="97"/>
      <c r="D212" s="97"/>
      <c r="E212" s="97"/>
      <c r="F212" s="97"/>
    </row>
    <row r="213" spans="1:9" ht="10.5" x14ac:dyDescent="0.25">
      <c r="A213" s="17" t="s">
        <v>6</v>
      </c>
    </row>
    <row r="214" spans="1:9" s="1" customFormat="1" ht="17.5" customHeight="1" x14ac:dyDescent="0.25">
      <c r="A214" s="8" t="s">
        <v>2</v>
      </c>
      <c r="B214" s="8" t="s">
        <v>0</v>
      </c>
      <c r="C214" s="8" t="s">
        <v>169</v>
      </c>
      <c r="D214" s="48" t="s">
        <v>1</v>
      </c>
      <c r="E214" s="9" t="s">
        <v>3</v>
      </c>
      <c r="F214" s="9" t="s">
        <v>4</v>
      </c>
    </row>
    <row r="215" spans="1:9" ht="10.5" x14ac:dyDescent="0.25">
      <c r="A215" s="20" t="s">
        <v>56</v>
      </c>
      <c r="B215" s="21"/>
      <c r="C215" s="21"/>
      <c r="D215" s="22"/>
      <c r="E215" s="23"/>
      <c r="F215" s="24"/>
    </row>
    <row r="216" spans="1:9" ht="10.5" x14ac:dyDescent="0.25">
      <c r="A216" s="25" t="s">
        <v>1647</v>
      </c>
      <c r="B216" s="26"/>
      <c r="C216" s="26"/>
      <c r="D216" s="27"/>
      <c r="E216" s="28"/>
      <c r="F216" s="29"/>
    </row>
    <row r="217" spans="1:9" x14ac:dyDescent="0.2">
      <c r="A217" s="26" t="s">
        <v>360</v>
      </c>
      <c r="B217" s="26" t="s">
        <v>359</v>
      </c>
      <c r="C217" s="26" t="s">
        <v>361</v>
      </c>
      <c r="D217" s="30">
        <v>3523</v>
      </c>
      <c r="E217" s="28">
        <v>0</v>
      </c>
      <c r="F217" s="29">
        <v>100</v>
      </c>
    </row>
    <row r="218" spans="1:9" ht="10.5" x14ac:dyDescent="0.25">
      <c r="A218" s="25" t="s">
        <v>153</v>
      </c>
      <c r="B218" s="25"/>
      <c r="C218" s="25"/>
      <c r="D218" s="31"/>
      <c r="E218" s="32">
        <f>SUM(E216:E217)</f>
        <v>0</v>
      </c>
      <c r="F218" s="33">
        <f>SUM(F216:F217)</f>
        <v>100</v>
      </c>
      <c r="G218" s="17"/>
      <c r="H218" s="17"/>
      <c r="I218" s="17"/>
    </row>
    <row r="219" spans="1:9" x14ac:dyDescent="0.2">
      <c r="A219" s="26"/>
      <c r="B219" s="26"/>
      <c r="C219" s="26"/>
      <c r="D219" s="27"/>
      <c r="E219" s="28"/>
      <c r="F219" s="29"/>
    </row>
    <row r="220" spans="1:9" ht="10.5" x14ac:dyDescent="0.25">
      <c r="A220" s="25" t="s">
        <v>166</v>
      </c>
      <c r="B220" s="25"/>
      <c r="C220" s="25"/>
      <c r="D220" s="31"/>
      <c r="E220" s="32">
        <f>E218</f>
        <v>0</v>
      </c>
      <c r="F220" s="33">
        <f>F218</f>
        <v>100</v>
      </c>
      <c r="G220" s="17"/>
      <c r="H220" s="17"/>
      <c r="I220" s="17"/>
    </row>
    <row r="221" spans="1:9" ht="10.5" x14ac:dyDescent="0.25">
      <c r="A221" s="25"/>
      <c r="B221" s="25"/>
      <c r="C221" s="25"/>
      <c r="D221" s="31"/>
      <c r="E221" s="32"/>
      <c r="F221" s="33"/>
      <c r="G221" s="17"/>
      <c r="H221" s="17"/>
      <c r="I221" s="17"/>
    </row>
    <row r="222" spans="1:9" ht="10.5" x14ac:dyDescent="0.25">
      <c r="A222" s="25" t="s">
        <v>168</v>
      </c>
      <c r="B222" s="25"/>
      <c r="C222" s="25"/>
      <c r="D222" s="31"/>
      <c r="E222" s="32">
        <f>E224-(E218)</f>
        <v>0</v>
      </c>
      <c r="F222" s="33">
        <v>0</v>
      </c>
      <c r="G222" s="17"/>
      <c r="H222" s="17"/>
      <c r="I222" s="17"/>
    </row>
    <row r="223" spans="1:9" ht="10.5" x14ac:dyDescent="0.25">
      <c r="A223" s="25"/>
      <c r="B223" s="25"/>
      <c r="C223" s="25"/>
      <c r="D223" s="31"/>
      <c r="E223" s="32"/>
      <c r="F223" s="33"/>
      <c r="G223" s="17"/>
      <c r="H223" s="17"/>
      <c r="I223" s="17"/>
    </row>
    <row r="224" spans="1:9" ht="10.5" x14ac:dyDescent="0.25">
      <c r="A224" s="34" t="s">
        <v>167</v>
      </c>
      <c r="B224" s="34"/>
      <c r="C224" s="34"/>
      <c r="D224" s="35"/>
      <c r="E224" s="36">
        <v>0</v>
      </c>
      <c r="F224" s="37">
        <v>100</v>
      </c>
      <c r="G224" s="17"/>
      <c r="H224" s="17"/>
      <c r="I224" s="17"/>
    </row>
    <row r="225" spans="1:6" ht="10.5" x14ac:dyDescent="0.25">
      <c r="F225" s="19"/>
    </row>
    <row r="226" spans="1:6" ht="10.5" x14ac:dyDescent="0.25">
      <c r="A226" s="17" t="s">
        <v>170</v>
      </c>
    </row>
    <row r="227" spans="1:6" ht="10.5" x14ac:dyDescent="0.25">
      <c r="A227" s="59" t="s">
        <v>1490</v>
      </c>
    </row>
    <row r="229" spans="1:6" ht="10.5" x14ac:dyDescent="0.25">
      <c r="A229" s="17" t="s">
        <v>171</v>
      </c>
    </row>
    <row r="230" spans="1:6" ht="10.5" x14ac:dyDescent="0.25">
      <c r="A230" s="17" t="s">
        <v>172</v>
      </c>
    </row>
    <row r="231" spans="1:6" ht="10.5" x14ac:dyDescent="0.25">
      <c r="A231" s="17" t="s">
        <v>173</v>
      </c>
      <c r="B231" s="17"/>
      <c r="C231" s="38" t="s">
        <v>175</v>
      </c>
      <c r="D231" s="18" t="s">
        <v>174</v>
      </c>
    </row>
    <row r="232" spans="1:6" x14ac:dyDescent="0.2">
      <c r="A232" s="10" t="s">
        <v>176</v>
      </c>
      <c r="C232" s="39">
        <v>0</v>
      </c>
      <c r="D232" s="39">
        <v>0</v>
      </c>
    </row>
    <row r="233" spans="1:6" x14ac:dyDescent="0.2">
      <c r="A233" s="10" t="s">
        <v>178</v>
      </c>
      <c r="C233" s="39">
        <v>0</v>
      </c>
      <c r="D233" s="39">
        <v>0</v>
      </c>
    </row>
    <row r="234" spans="1:6" x14ac:dyDescent="0.2">
      <c r="A234" s="10" t="s">
        <v>344</v>
      </c>
      <c r="C234" s="39">
        <v>0</v>
      </c>
      <c r="D234" s="39">
        <v>0</v>
      </c>
    </row>
    <row r="235" spans="1:6" x14ac:dyDescent="0.2">
      <c r="A235" s="10" t="s">
        <v>345</v>
      </c>
      <c r="C235" s="39">
        <v>0</v>
      </c>
      <c r="D235" s="39">
        <v>0</v>
      </c>
    </row>
    <row r="236" spans="1:6" x14ac:dyDescent="0.2">
      <c r="A236" s="58" t="s">
        <v>1496</v>
      </c>
      <c r="C236" s="39">
        <v>0</v>
      </c>
      <c r="D236" s="39">
        <v>0</v>
      </c>
    </row>
    <row r="237" spans="1:6" x14ac:dyDescent="0.2">
      <c r="A237" s="10" t="s">
        <v>346</v>
      </c>
      <c r="C237" s="39">
        <v>0</v>
      </c>
      <c r="D237" s="39">
        <v>0</v>
      </c>
    </row>
    <row r="238" spans="1:6" x14ac:dyDescent="0.2">
      <c r="A238" s="10" t="s">
        <v>347</v>
      </c>
      <c r="C238" s="39">
        <v>0</v>
      </c>
      <c r="D238" s="39">
        <v>0</v>
      </c>
    </row>
    <row r="239" spans="1:6" x14ac:dyDescent="0.2">
      <c r="A239" s="10" t="s">
        <v>348</v>
      </c>
      <c r="C239" s="39">
        <v>0</v>
      </c>
      <c r="D239" s="39">
        <v>0</v>
      </c>
    </row>
    <row r="240" spans="1:6" x14ac:dyDescent="0.2">
      <c r="A240" s="10" t="s">
        <v>349</v>
      </c>
      <c r="C240" s="39">
        <v>0</v>
      </c>
      <c r="D240" s="39">
        <v>0</v>
      </c>
    </row>
    <row r="241" spans="1:6" x14ac:dyDescent="0.2">
      <c r="C241" s="39"/>
      <c r="D241" s="39"/>
    </row>
    <row r="242" spans="1:6" ht="10.5" x14ac:dyDescent="0.25">
      <c r="A242" s="59" t="s">
        <v>1649</v>
      </c>
      <c r="C242" s="39"/>
      <c r="D242" s="39"/>
    </row>
    <row r="243" spans="1:6" x14ac:dyDescent="0.2">
      <c r="C243" s="39"/>
      <c r="D243" s="39"/>
    </row>
    <row r="244" spans="1:6" ht="10.5" x14ac:dyDescent="0.25">
      <c r="A244" s="17" t="s">
        <v>1550</v>
      </c>
      <c r="D244" s="40" t="s">
        <v>186</v>
      </c>
      <c r="E244" s="41"/>
      <c r="F244" s="14"/>
    </row>
    <row r="245" spans="1:6" x14ac:dyDescent="0.2">
      <c r="A245" s="10" t="s">
        <v>353</v>
      </c>
      <c r="E245" s="41"/>
      <c r="F245" s="14"/>
    </row>
    <row r="246" spans="1:6" x14ac:dyDescent="0.2">
      <c r="A246" s="87" t="s">
        <v>1546</v>
      </c>
      <c r="E246" s="41"/>
      <c r="F246" s="14"/>
    </row>
  </sheetData>
  <mergeCells count="12">
    <mergeCell ref="A173:F173"/>
    <mergeCell ref="A212:F212"/>
    <mergeCell ref="A1:F1"/>
    <mergeCell ref="C131:D131"/>
    <mergeCell ref="A131:B131"/>
    <mergeCell ref="A132:B132"/>
    <mergeCell ref="A133:B133"/>
    <mergeCell ref="A134:B134"/>
    <mergeCell ref="A165:F165"/>
    <mergeCell ref="A167:F167"/>
    <mergeCell ref="A169:F169"/>
    <mergeCell ref="A159:F159"/>
  </mergeCells>
  <conditionalFormatting sqref="F2:F3 F5:F67 F176:F177 F215:F216 F70:F89 F102:F138 F174 F187:F205 F213 F226:F243 F247:F65577 F171:F172 F209:F211 F147:F158">
    <cfRule type="cellIs" dxfId="77" priority="10" stopIfTrue="1" operator="between">
      <formula>0.009</formula>
      <formula>-0.009</formula>
    </cfRule>
  </conditionalFormatting>
  <conditionalFormatting sqref="F162:F164">
    <cfRule type="cellIs" dxfId="76" priority="9" stopIfTrue="1" operator="between">
      <formula>0.009</formula>
      <formula>-0.009</formula>
    </cfRule>
  </conditionalFormatting>
  <conditionalFormatting sqref="F139:F142 F160:F161">
    <cfRule type="cellIs" dxfId="75" priority="8" stopIfTrue="1" operator="between">
      <formula>0.009</formula>
      <formula>-0.009</formula>
    </cfRule>
  </conditionalFormatting>
  <conditionalFormatting sqref="F178:F182 F184:F186">
    <cfRule type="cellIs" dxfId="74" priority="7" stopIfTrue="1" operator="between">
      <formula>0.009</formula>
      <formula>-0.009</formula>
    </cfRule>
  </conditionalFormatting>
  <conditionalFormatting sqref="F206:F208">
    <cfRule type="cellIs" dxfId="73" priority="6" stopIfTrue="1" operator="between">
      <formula>0.009</formula>
      <formula>-0.009</formula>
    </cfRule>
  </conditionalFormatting>
  <conditionalFormatting sqref="F217:F221 F223:F225">
    <cfRule type="cellIs" dxfId="72" priority="5" stopIfTrue="1" operator="between">
      <formula>0.009</formula>
      <formula>-0.009</formula>
    </cfRule>
  </conditionalFormatting>
  <conditionalFormatting sqref="F244:F246">
    <cfRule type="cellIs" dxfId="71" priority="4" stopIfTrue="1" operator="between">
      <formula>0.009</formula>
      <formula>-0.009</formula>
    </cfRule>
  </conditionalFormatting>
  <conditionalFormatting sqref="F143:F146">
    <cfRule type="cellIs" dxfId="70" priority="2" stopIfTrue="1" operator="between">
      <formula>0.009</formula>
      <formula>-0.009</formula>
    </cfRule>
  </conditionalFormatting>
  <hyperlinks>
    <hyperlink ref="A141" r:id="rId1" xr:uid="{00000000-0004-0000-0A00-000000000000}"/>
    <hyperlink ref="A160" r:id="rId2" xr:uid="{00000000-0004-0000-0A00-000001000000}"/>
    <hyperlink ref="A163" r:id="rId3" xr:uid="{00000000-0004-0000-0A00-000002000000}"/>
    <hyperlink ref="A208" r:id="rId4" xr:uid="{00000000-0004-0000-0A00-000003000000}"/>
    <hyperlink ref="A246" r:id="rId5" xr:uid="{00000000-0004-0000-0A00-000004000000}"/>
    <hyperlink ref="A166" r:id="rId6" xr:uid="{00000000-0004-0000-0A00-000005000000}"/>
    <hyperlink ref="A167" r:id="rId7" xr:uid="{00000000-0004-0000-0A00-000006000000}"/>
  </hyperlinks>
  <pageMargins left="0.7" right="0.7" top="0.75" bottom="0.75" header="0.3" footer="0.3"/>
  <pageSetup paperSize="9" scale="36" orientation="portrait" r:id="rId8"/>
  <headerFooter>
    <oddFooter>&amp;LPUBLIC</oddFooter>
    <evenFooter>&amp;LPUBLIC</evenFooter>
    <firstFooter>&amp;LPUBLIC</firstFooter>
  </headerFooter>
  <rowBreaks count="2" manualBreakCount="2">
    <brk id="170" max="5" man="1"/>
    <brk id="209"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17"/>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69.1796875" style="10" bestFit="1" customWidth="1"/>
    <col min="3" max="3" width="15.453125" style="10" bestFit="1" customWidth="1"/>
    <col min="4" max="4" width="15.453125" style="11" bestFit="1" customWidth="1"/>
    <col min="5" max="5" width="23" style="15" bestFit="1" customWidth="1"/>
    <col min="6" max="6" width="14.81640625" style="16" bestFit="1" customWidth="1"/>
    <col min="7" max="16384" width="9.1796875" style="10"/>
  </cols>
  <sheetData>
    <row r="1" spans="1:6" s="1" customFormat="1" ht="14" x14ac:dyDescent="0.25">
      <c r="A1" s="96" t="s">
        <v>10</v>
      </c>
      <c r="B1" s="97"/>
      <c r="C1" s="97"/>
      <c r="D1" s="97"/>
      <c r="E1" s="97"/>
      <c r="F1" s="97"/>
    </row>
    <row r="2" spans="1:6" s="1" customFormat="1" ht="11.5" x14ac:dyDescent="0.25">
      <c r="A2" s="42" t="s">
        <v>190</v>
      </c>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444</v>
      </c>
      <c r="B7" s="26" t="s">
        <v>443</v>
      </c>
      <c r="C7" s="26" t="s">
        <v>76</v>
      </c>
      <c r="D7" s="30">
        <v>2797</v>
      </c>
      <c r="E7" s="28">
        <v>23601.365699999998</v>
      </c>
      <c r="F7" s="29">
        <v>14.7927829261337</v>
      </c>
    </row>
    <row r="8" spans="1:6" x14ac:dyDescent="0.2">
      <c r="A8" s="26" t="s">
        <v>239</v>
      </c>
      <c r="B8" s="26" t="s">
        <v>238</v>
      </c>
      <c r="C8" s="26" t="s">
        <v>240</v>
      </c>
      <c r="D8" s="30">
        <v>1910</v>
      </c>
      <c r="E8" s="28">
        <v>20507.459900000002</v>
      </c>
      <c r="F8" s="29">
        <v>12.8535952759332</v>
      </c>
    </row>
    <row r="9" spans="1:6" x14ac:dyDescent="0.2">
      <c r="A9" s="26" t="s">
        <v>211</v>
      </c>
      <c r="B9" s="26" t="s">
        <v>210</v>
      </c>
      <c r="C9" s="26" t="s">
        <v>120</v>
      </c>
      <c r="D9" s="30">
        <v>1550</v>
      </c>
      <c r="E9" s="28">
        <v>13690.716</v>
      </c>
      <c r="F9" s="29">
        <v>8.5810199488305692</v>
      </c>
    </row>
    <row r="10" spans="1:6" x14ac:dyDescent="0.2">
      <c r="A10" s="26" t="s">
        <v>446</v>
      </c>
      <c r="B10" s="26" t="s">
        <v>445</v>
      </c>
      <c r="C10" s="26" t="s">
        <v>71</v>
      </c>
      <c r="D10" s="30">
        <v>12100</v>
      </c>
      <c r="E10" s="28">
        <v>12364.6149</v>
      </c>
      <c r="F10" s="29">
        <v>7.7498508563400001</v>
      </c>
    </row>
    <row r="11" spans="1:6" x14ac:dyDescent="0.2">
      <c r="A11" s="26" t="s">
        <v>448</v>
      </c>
      <c r="B11" s="26" t="s">
        <v>447</v>
      </c>
      <c r="C11" s="26" t="s">
        <v>87</v>
      </c>
      <c r="D11" s="30">
        <v>5858</v>
      </c>
      <c r="E11" s="28">
        <v>11265.625239999999</v>
      </c>
      <c r="F11" s="29">
        <v>7.0610298921173396</v>
      </c>
    </row>
    <row r="12" spans="1:6" x14ac:dyDescent="0.2">
      <c r="A12" s="26" t="s">
        <v>450</v>
      </c>
      <c r="B12" s="26" t="s">
        <v>449</v>
      </c>
      <c r="C12" s="26" t="s">
        <v>63</v>
      </c>
      <c r="D12" s="30">
        <v>1000</v>
      </c>
      <c r="E12" s="28">
        <v>9382.09</v>
      </c>
      <c r="F12" s="29">
        <v>5.8804741440640402</v>
      </c>
    </row>
    <row r="13" spans="1:6" x14ac:dyDescent="0.2">
      <c r="A13" s="26" t="s">
        <v>452</v>
      </c>
      <c r="B13" s="26" t="s">
        <v>451</v>
      </c>
      <c r="C13" s="26" t="s">
        <v>431</v>
      </c>
      <c r="D13" s="30">
        <v>723</v>
      </c>
      <c r="E13" s="28">
        <v>9038.7291000000005</v>
      </c>
      <c r="F13" s="29">
        <v>5.6652635785575702</v>
      </c>
    </row>
    <row r="14" spans="1:6" x14ac:dyDescent="0.2">
      <c r="A14" s="26" t="s">
        <v>70</v>
      </c>
      <c r="B14" s="26" t="s">
        <v>69</v>
      </c>
      <c r="C14" s="26" t="s">
        <v>71</v>
      </c>
      <c r="D14" s="30">
        <v>780</v>
      </c>
      <c r="E14" s="28">
        <v>7698.0072</v>
      </c>
      <c r="F14" s="29">
        <v>4.82493051126335</v>
      </c>
    </row>
    <row r="15" spans="1:6" x14ac:dyDescent="0.2">
      <c r="A15" s="26" t="s">
        <v>207</v>
      </c>
      <c r="B15" s="26" t="s">
        <v>206</v>
      </c>
      <c r="C15" s="26" t="s">
        <v>133</v>
      </c>
      <c r="D15" s="30">
        <v>700</v>
      </c>
      <c r="E15" s="28">
        <v>7014.9520000000002</v>
      </c>
      <c r="F15" s="29">
        <v>4.39680751920418</v>
      </c>
    </row>
    <row r="16" spans="1:6" x14ac:dyDescent="0.2">
      <c r="A16" s="26" t="s">
        <v>268</v>
      </c>
      <c r="B16" s="26" t="s">
        <v>267</v>
      </c>
      <c r="C16" s="26" t="s">
        <v>165</v>
      </c>
      <c r="D16" s="30">
        <v>650</v>
      </c>
      <c r="E16" s="28">
        <v>6284.0050000000001</v>
      </c>
      <c r="F16" s="29">
        <v>3.9386670692424799</v>
      </c>
    </row>
    <row r="17" spans="1:6" x14ac:dyDescent="0.2">
      <c r="A17" s="26" t="s">
        <v>272</v>
      </c>
      <c r="B17" s="26" t="s">
        <v>271</v>
      </c>
      <c r="C17" s="26" t="s">
        <v>87</v>
      </c>
      <c r="D17" s="30">
        <v>646</v>
      </c>
      <c r="E17" s="28">
        <v>6107.3873599999997</v>
      </c>
      <c r="F17" s="29">
        <v>3.8279672714995798</v>
      </c>
    </row>
    <row r="18" spans="1:6" x14ac:dyDescent="0.2">
      <c r="A18" s="26" t="s">
        <v>192</v>
      </c>
      <c r="B18" s="26" t="s">
        <v>191</v>
      </c>
      <c r="C18" s="26" t="s">
        <v>120</v>
      </c>
      <c r="D18" s="30">
        <v>620</v>
      </c>
      <c r="E18" s="28">
        <v>5666.7132000000001</v>
      </c>
      <c r="F18" s="29">
        <v>3.5517630351474301</v>
      </c>
    </row>
    <row r="19" spans="1:6" x14ac:dyDescent="0.2">
      <c r="A19" s="26" t="s">
        <v>258</v>
      </c>
      <c r="B19" s="26" t="s">
        <v>257</v>
      </c>
      <c r="C19" s="26" t="s">
        <v>140</v>
      </c>
      <c r="D19" s="30">
        <v>500</v>
      </c>
      <c r="E19" s="28">
        <v>5016.37</v>
      </c>
      <c r="F19" s="29">
        <v>3.1441431580872199</v>
      </c>
    </row>
    <row r="20" spans="1:6" x14ac:dyDescent="0.2">
      <c r="A20" s="26" t="s">
        <v>145</v>
      </c>
      <c r="B20" s="26" t="s">
        <v>144</v>
      </c>
      <c r="C20" s="26" t="s">
        <v>87</v>
      </c>
      <c r="D20" s="30">
        <v>501</v>
      </c>
      <c r="E20" s="28">
        <v>4946.6034600000003</v>
      </c>
      <c r="F20" s="29">
        <v>3.1004151257840999</v>
      </c>
    </row>
    <row r="21" spans="1:6" x14ac:dyDescent="0.2">
      <c r="A21" s="26" t="s">
        <v>200</v>
      </c>
      <c r="B21" s="26" t="s">
        <v>199</v>
      </c>
      <c r="C21" s="26" t="s">
        <v>201</v>
      </c>
      <c r="D21" s="30">
        <v>454</v>
      </c>
      <c r="E21" s="28">
        <v>4580.6329999999998</v>
      </c>
      <c r="F21" s="29">
        <v>2.8710334179214301</v>
      </c>
    </row>
    <row r="22" spans="1:6" x14ac:dyDescent="0.2">
      <c r="A22" s="26" t="s">
        <v>453</v>
      </c>
      <c r="B22" s="26" t="s">
        <v>1612</v>
      </c>
      <c r="C22" s="26" t="s">
        <v>237</v>
      </c>
      <c r="D22" s="30">
        <v>400</v>
      </c>
      <c r="E22" s="28">
        <v>3963.116</v>
      </c>
      <c r="F22" s="29">
        <v>2.4839882337439199</v>
      </c>
    </row>
    <row r="23" spans="1:6" x14ac:dyDescent="0.2">
      <c r="A23" s="26" t="s">
        <v>218</v>
      </c>
      <c r="B23" s="26" t="s">
        <v>217</v>
      </c>
      <c r="C23" s="26" t="s">
        <v>68</v>
      </c>
      <c r="D23" s="30">
        <v>4000</v>
      </c>
      <c r="E23" s="28">
        <v>3903.3319999999999</v>
      </c>
      <c r="F23" s="29">
        <v>2.4465170235734002</v>
      </c>
    </row>
    <row r="24" spans="1:6" x14ac:dyDescent="0.2">
      <c r="A24" s="26" t="s">
        <v>270</v>
      </c>
      <c r="B24" s="26" t="s">
        <v>269</v>
      </c>
      <c r="C24" s="26" t="s">
        <v>87</v>
      </c>
      <c r="D24" s="30">
        <v>350</v>
      </c>
      <c r="E24" s="28">
        <v>3338.482</v>
      </c>
      <c r="F24" s="29">
        <v>2.09248228075228</v>
      </c>
    </row>
    <row r="25" spans="1:6" x14ac:dyDescent="0.2">
      <c r="A25" s="26" t="s">
        <v>99</v>
      </c>
      <c r="B25" s="26" t="s">
        <v>98</v>
      </c>
      <c r="C25" s="26" t="s">
        <v>87</v>
      </c>
      <c r="D25" s="30">
        <v>240</v>
      </c>
      <c r="E25" s="28">
        <v>2391.2664</v>
      </c>
      <c r="F25" s="29">
        <v>1.4987897405342601</v>
      </c>
    </row>
    <row r="26" spans="1:6" x14ac:dyDescent="0.2">
      <c r="A26" s="26" t="s">
        <v>122</v>
      </c>
      <c r="B26" s="26" t="s">
        <v>121</v>
      </c>
      <c r="C26" s="26" t="s">
        <v>71</v>
      </c>
      <c r="D26" s="30">
        <v>204</v>
      </c>
      <c r="E26" s="28">
        <v>2163.4220399999999</v>
      </c>
      <c r="F26" s="29">
        <v>1.3559822351862201</v>
      </c>
    </row>
    <row r="27" spans="1:6" x14ac:dyDescent="0.2">
      <c r="A27" s="26" t="s">
        <v>260</v>
      </c>
      <c r="B27" s="26" t="s">
        <v>259</v>
      </c>
      <c r="C27" s="26" t="s">
        <v>63</v>
      </c>
      <c r="D27" s="30">
        <v>200</v>
      </c>
      <c r="E27" s="28">
        <v>2002.7860000000001</v>
      </c>
      <c r="F27" s="29">
        <v>1.25529932979682</v>
      </c>
    </row>
    <row r="28" spans="1:6" x14ac:dyDescent="0.2">
      <c r="A28" s="26" t="s">
        <v>455</v>
      </c>
      <c r="B28" s="26" t="s">
        <v>454</v>
      </c>
      <c r="C28" s="26" t="s">
        <v>68</v>
      </c>
      <c r="D28" s="30">
        <v>2000</v>
      </c>
      <c r="E28" s="28">
        <v>1961.13</v>
      </c>
      <c r="F28" s="29">
        <v>1.22919032519922</v>
      </c>
    </row>
    <row r="29" spans="1:6" x14ac:dyDescent="0.2">
      <c r="A29" s="26" t="s">
        <v>194</v>
      </c>
      <c r="B29" s="26" t="s">
        <v>193</v>
      </c>
      <c r="C29" s="26" t="s">
        <v>76</v>
      </c>
      <c r="D29" s="30">
        <v>250</v>
      </c>
      <c r="E29" s="28">
        <v>1958.788</v>
      </c>
      <c r="F29" s="29">
        <v>1.22772241448365</v>
      </c>
    </row>
    <row r="30" spans="1:6" x14ac:dyDescent="0.2">
      <c r="A30" s="26" t="s">
        <v>457</v>
      </c>
      <c r="B30" s="26" t="s">
        <v>456</v>
      </c>
      <c r="C30" s="26" t="s">
        <v>140</v>
      </c>
      <c r="D30" s="30">
        <v>150</v>
      </c>
      <c r="E30" s="28">
        <v>1833.0509999999999</v>
      </c>
      <c r="F30" s="29">
        <v>1.14891340951224</v>
      </c>
    </row>
    <row r="31" spans="1:6" x14ac:dyDescent="0.2">
      <c r="A31" s="26" t="s">
        <v>248</v>
      </c>
      <c r="B31" s="26" t="s">
        <v>1611</v>
      </c>
      <c r="C31" s="26" t="s">
        <v>237</v>
      </c>
      <c r="D31" s="30">
        <v>150</v>
      </c>
      <c r="E31" s="28">
        <v>1485.771</v>
      </c>
      <c r="F31" s="29">
        <v>0.93124644396932599</v>
      </c>
    </row>
    <row r="32" spans="1:6" x14ac:dyDescent="0.2">
      <c r="A32" s="26" t="s">
        <v>459</v>
      </c>
      <c r="B32" s="26" t="s">
        <v>458</v>
      </c>
      <c r="C32" s="26" t="s">
        <v>87</v>
      </c>
      <c r="D32" s="30">
        <v>150</v>
      </c>
      <c r="E32" s="28">
        <v>1475.4690000000001</v>
      </c>
      <c r="F32" s="29">
        <v>0.92478939179522102</v>
      </c>
    </row>
    <row r="33" spans="1:9" x14ac:dyDescent="0.2">
      <c r="A33" s="26" t="s">
        <v>461</v>
      </c>
      <c r="B33" s="26" t="s">
        <v>460</v>
      </c>
      <c r="C33" s="26" t="s">
        <v>63</v>
      </c>
      <c r="D33" s="30">
        <v>150</v>
      </c>
      <c r="E33" s="28">
        <v>1380.7215000000001</v>
      </c>
      <c r="F33" s="29">
        <v>0.86540387918931905</v>
      </c>
    </row>
    <row r="34" spans="1:9" x14ac:dyDescent="0.2">
      <c r="A34" s="26" t="s">
        <v>462</v>
      </c>
      <c r="B34" s="26" t="s">
        <v>1613</v>
      </c>
      <c r="C34" s="26" t="s">
        <v>237</v>
      </c>
      <c r="D34" s="30">
        <v>40</v>
      </c>
      <c r="E34" s="28">
        <v>396.47239999999999</v>
      </c>
      <c r="F34" s="29">
        <v>0.24849960904606699</v>
      </c>
    </row>
    <row r="35" spans="1:9" x14ac:dyDescent="0.2">
      <c r="A35" s="26" t="s">
        <v>115</v>
      </c>
      <c r="B35" s="26" t="s">
        <v>1581</v>
      </c>
      <c r="C35" s="26" t="s">
        <v>76</v>
      </c>
      <c r="D35" s="30">
        <v>30</v>
      </c>
      <c r="E35" s="28">
        <v>308.77199999999999</v>
      </c>
      <c r="F35" s="29">
        <v>0.19353105357238501</v>
      </c>
    </row>
    <row r="36" spans="1:9" ht="10.5" x14ac:dyDescent="0.25">
      <c r="A36" s="25" t="s">
        <v>153</v>
      </c>
      <c r="B36" s="25"/>
      <c r="C36" s="25"/>
      <c r="D36" s="31"/>
      <c r="E36" s="32">
        <f>SUM(E6:E35)</f>
        <v>175727.85140000004</v>
      </c>
      <c r="F36" s="33">
        <f>SUM(F6:F35)</f>
        <v>110.14209910048051</v>
      </c>
      <c r="G36" s="17"/>
      <c r="H36" s="17"/>
      <c r="I36" s="17"/>
    </row>
    <row r="37" spans="1:9" x14ac:dyDescent="0.2">
      <c r="A37" s="26"/>
      <c r="B37" s="26"/>
      <c r="C37" s="26"/>
      <c r="D37" s="27"/>
      <c r="E37" s="28"/>
      <c r="F37" s="29"/>
    </row>
    <row r="38" spans="1:9" ht="10.5" x14ac:dyDescent="0.25">
      <c r="A38" s="25" t="s">
        <v>154</v>
      </c>
      <c r="B38" s="26"/>
      <c r="C38" s="26"/>
      <c r="D38" s="27"/>
      <c r="E38" s="28"/>
      <c r="F38" s="29"/>
    </row>
    <row r="39" spans="1:9" x14ac:dyDescent="0.2">
      <c r="A39" s="26" t="s">
        <v>302</v>
      </c>
      <c r="B39" s="26" t="s">
        <v>301</v>
      </c>
      <c r="C39" s="26" t="s">
        <v>240</v>
      </c>
      <c r="D39" s="30">
        <v>1000</v>
      </c>
      <c r="E39" s="28">
        <v>8975.67</v>
      </c>
      <c r="F39" s="29">
        <v>5.6257396124585499</v>
      </c>
    </row>
    <row r="40" spans="1:9" x14ac:dyDescent="0.2">
      <c r="A40" s="26" t="s">
        <v>300</v>
      </c>
      <c r="B40" s="26" t="s">
        <v>299</v>
      </c>
      <c r="C40" s="26" t="s">
        <v>298</v>
      </c>
      <c r="D40" s="30">
        <v>770</v>
      </c>
      <c r="E40" s="28">
        <v>6574.8670490000004</v>
      </c>
      <c r="F40" s="29">
        <v>4.1209725852451999</v>
      </c>
    </row>
    <row r="41" spans="1:9" x14ac:dyDescent="0.2">
      <c r="A41" s="26" t="s">
        <v>295</v>
      </c>
      <c r="B41" s="26" t="s">
        <v>294</v>
      </c>
      <c r="C41" s="26" t="s">
        <v>289</v>
      </c>
      <c r="D41" s="30">
        <v>370</v>
      </c>
      <c r="E41" s="28">
        <v>3648.5182</v>
      </c>
      <c r="F41" s="29">
        <v>2.2868057052583199</v>
      </c>
    </row>
    <row r="42" spans="1:9" x14ac:dyDescent="0.2">
      <c r="A42" s="26" t="s">
        <v>306</v>
      </c>
      <c r="B42" s="26" t="s">
        <v>305</v>
      </c>
      <c r="C42" s="26" t="s">
        <v>143</v>
      </c>
      <c r="D42" s="30">
        <v>300</v>
      </c>
      <c r="E42" s="28">
        <v>2924.67</v>
      </c>
      <c r="F42" s="29">
        <v>1.8331146167772601</v>
      </c>
    </row>
    <row r="43" spans="1:9" x14ac:dyDescent="0.2">
      <c r="A43" s="26" t="s">
        <v>308</v>
      </c>
      <c r="B43" s="26" t="s">
        <v>307</v>
      </c>
      <c r="C43" s="26" t="s">
        <v>298</v>
      </c>
      <c r="D43" s="30">
        <v>250</v>
      </c>
      <c r="E43" s="28">
        <v>2196.8424329999998</v>
      </c>
      <c r="F43" s="29">
        <v>1.37692935431649</v>
      </c>
    </row>
    <row r="44" spans="1:9" x14ac:dyDescent="0.2">
      <c r="A44" s="26" t="s">
        <v>310</v>
      </c>
      <c r="B44" s="26" t="s">
        <v>309</v>
      </c>
      <c r="C44" s="26" t="s">
        <v>298</v>
      </c>
      <c r="D44" s="30">
        <v>100</v>
      </c>
      <c r="E44" s="28">
        <v>1007.663</v>
      </c>
      <c r="F44" s="29">
        <v>0.63157955396185705</v>
      </c>
    </row>
    <row r="45" spans="1:9" x14ac:dyDescent="0.2">
      <c r="A45" s="26" t="s">
        <v>288</v>
      </c>
      <c r="B45" s="26" t="s">
        <v>287</v>
      </c>
      <c r="C45" s="26" t="s">
        <v>289</v>
      </c>
      <c r="D45" s="30">
        <v>10</v>
      </c>
      <c r="E45" s="28">
        <v>1007.307</v>
      </c>
      <c r="F45" s="29">
        <v>0.63135642150466598</v>
      </c>
    </row>
    <row r="46" spans="1:9" x14ac:dyDescent="0.2">
      <c r="A46" s="26" t="s">
        <v>304</v>
      </c>
      <c r="B46" s="26" t="s">
        <v>303</v>
      </c>
      <c r="C46" s="26" t="s">
        <v>298</v>
      </c>
      <c r="D46" s="30">
        <v>110</v>
      </c>
      <c r="E46" s="28">
        <v>987.06877910000003</v>
      </c>
      <c r="F46" s="29">
        <v>0.61867157892435598</v>
      </c>
    </row>
    <row r="47" spans="1:9" x14ac:dyDescent="0.2">
      <c r="A47" s="26" t="s">
        <v>291</v>
      </c>
      <c r="B47" s="26" t="s">
        <v>290</v>
      </c>
      <c r="C47" s="26" t="s">
        <v>73</v>
      </c>
      <c r="D47" s="30">
        <v>50</v>
      </c>
      <c r="E47" s="28">
        <v>469.90100000000001</v>
      </c>
      <c r="F47" s="29">
        <v>0.29452293473733798</v>
      </c>
    </row>
    <row r="48" spans="1:9" x14ac:dyDescent="0.2">
      <c r="A48" s="26" t="s">
        <v>464</v>
      </c>
      <c r="B48" s="26" t="s">
        <v>463</v>
      </c>
      <c r="C48" s="26" t="s">
        <v>313</v>
      </c>
      <c r="D48" s="30">
        <v>607</v>
      </c>
      <c r="E48" s="28">
        <v>99.669399999999996</v>
      </c>
      <c r="F48" s="29">
        <v>6.2470444181880198E-2</v>
      </c>
    </row>
    <row r="49" spans="1:9" x14ac:dyDescent="0.2">
      <c r="A49" s="26" t="s">
        <v>466</v>
      </c>
      <c r="B49" s="26" t="s">
        <v>465</v>
      </c>
      <c r="C49" s="26" t="s">
        <v>324</v>
      </c>
      <c r="D49" s="30">
        <v>400</v>
      </c>
      <c r="E49" s="28">
        <v>0</v>
      </c>
      <c r="F49" s="28">
        <v>0</v>
      </c>
    </row>
    <row r="50" spans="1:9" x14ac:dyDescent="0.2">
      <c r="A50" s="26" t="s">
        <v>467</v>
      </c>
      <c r="B50" s="26" t="s">
        <v>1601</v>
      </c>
      <c r="C50" s="26" t="s">
        <v>324</v>
      </c>
      <c r="D50" s="30">
        <v>688</v>
      </c>
      <c r="E50" s="28">
        <v>0</v>
      </c>
      <c r="F50" s="28">
        <v>0</v>
      </c>
    </row>
    <row r="51" spans="1:9" x14ac:dyDescent="0.2">
      <c r="A51" s="26" t="s">
        <v>469</v>
      </c>
      <c r="B51" s="26" t="s">
        <v>468</v>
      </c>
      <c r="C51" s="26" t="s">
        <v>322</v>
      </c>
      <c r="D51" s="30">
        <v>1400</v>
      </c>
      <c r="E51" s="28">
        <v>0</v>
      </c>
      <c r="F51" s="28">
        <v>0</v>
      </c>
    </row>
    <row r="52" spans="1:9" ht="10.5" x14ac:dyDescent="0.25">
      <c r="A52" s="25" t="s">
        <v>153</v>
      </c>
      <c r="B52" s="25"/>
      <c r="C52" s="25"/>
      <c r="D52" s="31"/>
      <c r="E52" s="32">
        <f>SUM(E38:E51)</f>
        <v>27892.176861100004</v>
      </c>
      <c r="F52" s="33">
        <f>SUM(F38:F51)</f>
        <v>17.482162807365917</v>
      </c>
      <c r="G52" s="17"/>
      <c r="H52" s="17"/>
      <c r="I52" s="17"/>
    </row>
    <row r="53" spans="1:9" x14ac:dyDescent="0.2">
      <c r="A53" s="26"/>
      <c r="B53" s="26"/>
      <c r="C53" s="26"/>
      <c r="D53" s="27"/>
      <c r="E53" s="28"/>
      <c r="F53" s="29"/>
    </row>
    <row r="54" spans="1:9" ht="10.5" x14ac:dyDescent="0.25">
      <c r="A54" s="25" t="s">
        <v>166</v>
      </c>
      <c r="B54" s="25"/>
      <c r="C54" s="25"/>
      <c r="D54" s="31"/>
      <c r="E54" s="32">
        <f>E36+E52</f>
        <v>203620.02826110006</v>
      </c>
      <c r="F54" s="33">
        <f>F36+F52</f>
        <v>127.62426190784643</v>
      </c>
      <c r="G54" s="17"/>
      <c r="H54" s="17"/>
      <c r="I54" s="17"/>
    </row>
    <row r="55" spans="1:9" ht="10.5" x14ac:dyDescent="0.25">
      <c r="A55" s="25"/>
      <c r="B55" s="25"/>
      <c r="C55" s="25"/>
      <c r="D55" s="31"/>
      <c r="E55" s="32"/>
      <c r="F55" s="33"/>
      <c r="G55" s="17"/>
      <c r="H55" s="17"/>
      <c r="I55" s="17"/>
    </row>
    <row r="56" spans="1:9" ht="10.5" x14ac:dyDescent="0.25">
      <c r="A56" s="25" t="s">
        <v>168</v>
      </c>
      <c r="B56" s="25"/>
      <c r="C56" s="25"/>
      <c r="D56" s="31"/>
      <c r="E56" s="32">
        <f>E58-(E36+E52)</f>
        <v>-44073.539829200046</v>
      </c>
      <c r="F56" s="33">
        <f>F58-(F36+F52)</f>
        <v>-27.624261907846432</v>
      </c>
      <c r="G56" s="17"/>
      <c r="H56" s="17"/>
      <c r="I56" s="17"/>
    </row>
    <row r="57" spans="1:9" ht="10.5" x14ac:dyDescent="0.25">
      <c r="A57" s="25"/>
      <c r="B57" s="25"/>
      <c r="C57" s="25"/>
      <c r="D57" s="31"/>
      <c r="E57" s="32"/>
      <c r="F57" s="33"/>
      <c r="G57" s="17"/>
      <c r="H57" s="17"/>
      <c r="I57" s="17"/>
    </row>
    <row r="58" spans="1:9" ht="10.5" x14ac:dyDescent="0.25">
      <c r="A58" s="34" t="s">
        <v>167</v>
      </c>
      <c r="B58" s="34"/>
      <c r="C58" s="34"/>
      <c r="D58" s="35"/>
      <c r="E58" s="36">
        <v>159546.48843190001</v>
      </c>
      <c r="F58" s="37">
        <v>100</v>
      </c>
      <c r="G58" s="17"/>
      <c r="H58" s="17"/>
      <c r="I58" s="17"/>
    </row>
    <row r="59" spans="1:9" ht="10.5" x14ac:dyDescent="0.25">
      <c r="F59" s="19"/>
    </row>
    <row r="60" spans="1:9" ht="10.5" x14ac:dyDescent="0.25">
      <c r="A60" s="59" t="s">
        <v>170</v>
      </c>
    </row>
    <row r="61" spans="1:9" ht="10.5" x14ac:dyDescent="0.25">
      <c r="A61" s="59" t="s">
        <v>1490</v>
      </c>
    </row>
    <row r="62" spans="1:9" ht="10.5" x14ac:dyDescent="0.25">
      <c r="A62" s="17" t="s">
        <v>1650</v>
      </c>
    </row>
    <row r="63" spans="1:9" ht="10.5" x14ac:dyDescent="0.25">
      <c r="A63" s="67" t="s">
        <v>1501</v>
      </c>
    </row>
    <row r="65" spans="1:5" ht="10.5" x14ac:dyDescent="0.25">
      <c r="A65" s="17" t="s">
        <v>171</v>
      </c>
    </row>
    <row r="66" spans="1:5" ht="10.5" x14ac:dyDescent="0.25">
      <c r="A66" s="17" t="s">
        <v>172</v>
      </c>
    </row>
    <row r="67" spans="1:5" ht="10.5" x14ac:dyDescent="0.25">
      <c r="A67" s="17" t="s">
        <v>173</v>
      </c>
      <c r="B67" s="17"/>
      <c r="C67" s="38" t="s">
        <v>175</v>
      </c>
      <c r="D67" s="18" t="s">
        <v>174</v>
      </c>
    </row>
    <row r="68" spans="1:5" x14ac:dyDescent="0.2">
      <c r="A68" s="10" t="s">
        <v>436</v>
      </c>
      <c r="C68" s="39">
        <v>22.407399999999999</v>
      </c>
      <c r="D68" s="39">
        <v>20.3203</v>
      </c>
    </row>
    <row r="69" spans="1:5" x14ac:dyDescent="0.2">
      <c r="A69" s="10" t="s">
        <v>470</v>
      </c>
      <c r="C69" s="39">
        <v>10.388199999999999</v>
      </c>
      <c r="D69" s="39">
        <v>9.4205000000000005</v>
      </c>
    </row>
    <row r="70" spans="1:5" x14ac:dyDescent="0.2">
      <c r="A70" s="10" t="s">
        <v>439</v>
      </c>
      <c r="C70" s="39">
        <v>23.724699999999999</v>
      </c>
      <c r="D70" s="39">
        <v>21.590900000000001</v>
      </c>
    </row>
    <row r="71" spans="1:5" x14ac:dyDescent="0.2">
      <c r="A71" s="10" t="s">
        <v>471</v>
      </c>
      <c r="C71" s="39">
        <v>11.1416</v>
      </c>
      <c r="D71" s="39">
        <v>10.1396</v>
      </c>
    </row>
    <row r="73" spans="1:5" ht="10.5" x14ac:dyDescent="0.25">
      <c r="A73" s="17" t="s">
        <v>185</v>
      </c>
      <c r="D73" s="40" t="s">
        <v>186</v>
      </c>
    </row>
    <row r="75" spans="1:5" ht="10.5" x14ac:dyDescent="0.25">
      <c r="A75" s="17" t="s">
        <v>187</v>
      </c>
      <c r="D75" s="41">
        <v>4.8785623960821898</v>
      </c>
      <c r="E75" s="15" t="s">
        <v>188</v>
      </c>
    </row>
    <row r="77" spans="1:5" ht="10.5" x14ac:dyDescent="0.25">
      <c r="A77" s="17" t="s">
        <v>189</v>
      </c>
      <c r="D77" s="40">
        <v>1</v>
      </c>
    </row>
    <row r="78" spans="1:5" x14ac:dyDescent="0.2">
      <c r="A78" s="10" t="s">
        <v>353</v>
      </c>
    </row>
    <row r="79" spans="1:5" x14ac:dyDescent="0.2">
      <c r="A79" s="87" t="s">
        <v>1546</v>
      </c>
    </row>
    <row r="81" spans="1:9" ht="40" customHeight="1" x14ac:dyDescent="0.2">
      <c r="A81" s="102" t="s">
        <v>1557</v>
      </c>
      <c r="B81" s="102"/>
      <c r="C81" s="102"/>
      <c r="D81" s="102"/>
      <c r="E81" s="102"/>
      <c r="F81" s="102"/>
    </row>
    <row r="82" spans="1:9" ht="10.5" x14ac:dyDescent="0.2">
      <c r="A82" s="88" t="s">
        <v>1547</v>
      </c>
      <c r="B82" s="84"/>
      <c r="C82" s="84"/>
      <c r="D82" s="84"/>
      <c r="E82" s="84"/>
      <c r="F82" s="84"/>
    </row>
    <row r="83" spans="1:9" ht="15" customHeight="1" x14ac:dyDescent="0.2">
      <c r="A83" s="104" t="s">
        <v>1548</v>
      </c>
      <c r="B83" s="104"/>
      <c r="C83" s="104"/>
      <c r="D83" s="104"/>
      <c r="E83" s="104"/>
      <c r="F83" s="104"/>
    </row>
    <row r="85" spans="1:9" ht="30" customHeight="1" x14ac:dyDescent="0.2">
      <c r="A85" s="105" t="s">
        <v>1558</v>
      </c>
      <c r="B85" s="105"/>
      <c r="C85" s="105"/>
      <c r="D85" s="105"/>
      <c r="E85" s="105"/>
      <c r="F85" s="105"/>
    </row>
    <row r="86" spans="1:9" ht="10.5" x14ac:dyDescent="0.2">
      <c r="A86" s="77"/>
      <c r="B86" s="77"/>
      <c r="C86" s="77"/>
      <c r="D86" s="77"/>
      <c r="E86" s="77"/>
      <c r="F86" s="77"/>
    </row>
    <row r="89" spans="1:9" s="1" customFormat="1" ht="14" x14ac:dyDescent="0.25">
      <c r="A89" s="96" t="s">
        <v>472</v>
      </c>
      <c r="B89" s="97"/>
      <c r="C89" s="97"/>
      <c r="D89" s="97"/>
      <c r="E89" s="97"/>
      <c r="F89" s="97"/>
    </row>
    <row r="90" spans="1:9" ht="10.5" x14ac:dyDescent="0.25">
      <c r="A90" s="17" t="s">
        <v>6</v>
      </c>
    </row>
    <row r="91" spans="1:9" s="1" customFormat="1" ht="17.5" customHeight="1" x14ac:dyDescent="0.25">
      <c r="A91" s="8" t="s">
        <v>2</v>
      </c>
      <c r="B91" s="8" t="s">
        <v>0</v>
      </c>
      <c r="C91" s="8" t="s">
        <v>169</v>
      </c>
      <c r="D91" s="48" t="s">
        <v>1</v>
      </c>
      <c r="E91" s="9" t="s">
        <v>3</v>
      </c>
      <c r="F91" s="9" t="s">
        <v>4</v>
      </c>
    </row>
    <row r="92" spans="1:9" ht="10.5" x14ac:dyDescent="0.25">
      <c r="A92" s="20" t="s">
        <v>56</v>
      </c>
      <c r="B92" s="21"/>
      <c r="C92" s="21"/>
      <c r="D92" s="22"/>
      <c r="E92" s="23"/>
      <c r="F92" s="24"/>
    </row>
    <row r="93" spans="1:9" ht="10.5" x14ac:dyDescent="0.25">
      <c r="A93" s="25" t="s">
        <v>1647</v>
      </c>
      <c r="B93" s="26"/>
      <c r="C93" s="26"/>
      <c r="D93" s="27"/>
      <c r="E93" s="28"/>
      <c r="F93" s="29"/>
    </row>
    <row r="94" spans="1:9" x14ac:dyDescent="0.2">
      <c r="A94" s="26" t="s">
        <v>356</v>
      </c>
      <c r="B94" s="26" t="s">
        <v>355</v>
      </c>
      <c r="C94" s="26" t="s">
        <v>357</v>
      </c>
      <c r="D94" s="30">
        <v>1450</v>
      </c>
      <c r="E94" s="28">
        <v>0</v>
      </c>
      <c r="F94" s="29">
        <v>100</v>
      </c>
    </row>
    <row r="95" spans="1:9" ht="10.5" x14ac:dyDescent="0.25">
      <c r="A95" s="25" t="s">
        <v>153</v>
      </c>
      <c r="B95" s="25"/>
      <c r="C95" s="25"/>
      <c r="D95" s="31"/>
      <c r="E95" s="32">
        <f>SUM(E93:E94)</f>
        <v>0</v>
      </c>
      <c r="F95" s="33">
        <f>SUM(F93:F94)</f>
        <v>100</v>
      </c>
      <c r="G95" s="17"/>
      <c r="H95" s="17"/>
      <c r="I95" s="17"/>
    </row>
    <row r="96" spans="1:9" x14ac:dyDescent="0.2">
      <c r="A96" s="26"/>
      <c r="B96" s="26"/>
      <c r="C96" s="26"/>
      <c r="D96" s="27"/>
      <c r="E96" s="28"/>
      <c r="F96" s="29"/>
    </row>
    <row r="97" spans="1:9" ht="10.5" x14ac:dyDescent="0.25">
      <c r="A97" s="25" t="s">
        <v>166</v>
      </c>
      <c r="B97" s="25"/>
      <c r="C97" s="25"/>
      <c r="D97" s="31"/>
      <c r="E97" s="32">
        <f>E95</f>
        <v>0</v>
      </c>
      <c r="F97" s="33">
        <f>F95</f>
        <v>100</v>
      </c>
      <c r="G97" s="17"/>
      <c r="H97" s="17"/>
      <c r="I97" s="17"/>
    </row>
    <row r="98" spans="1:9" ht="10.5" x14ac:dyDescent="0.25">
      <c r="A98" s="25"/>
      <c r="B98" s="25"/>
      <c r="C98" s="25"/>
      <c r="D98" s="31"/>
      <c r="E98" s="32"/>
      <c r="F98" s="33"/>
      <c r="G98" s="17"/>
      <c r="H98" s="17"/>
      <c r="I98" s="17"/>
    </row>
    <row r="99" spans="1:9" ht="10.5" x14ac:dyDescent="0.25">
      <c r="A99" s="25" t="s">
        <v>168</v>
      </c>
      <c r="B99" s="25"/>
      <c r="C99" s="25"/>
      <c r="D99" s="31"/>
      <c r="E99" s="32">
        <f>E101-(E95)</f>
        <v>0</v>
      </c>
      <c r="F99" s="33">
        <v>0</v>
      </c>
      <c r="G99" s="17"/>
      <c r="H99" s="17"/>
      <c r="I99" s="17"/>
    </row>
    <row r="100" spans="1:9" ht="10.5" x14ac:dyDescent="0.25">
      <c r="A100" s="25"/>
      <c r="B100" s="25"/>
      <c r="C100" s="25"/>
      <c r="D100" s="31"/>
      <c r="E100" s="32"/>
      <c r="F100" s="33"/>
      <c r="G100" s="17"/>
      <c r="H100" s="17"/>
      <c r="I100" s="17"/>
    </row>
    <row r="101" spans="1:9" ht="10.5" x14ac:dyDescent="0.25">
      <c r="A101" s="34" t="s">
        <v>167</v>
      </c>
      <c r="B101" s="34"/>
      <c r="C101" s="34"/>
      <c r="D101" s="35"/>
      <c r="E101" s="36">
        <v>0</v>
      </c>
      <c r="F101" s="37">
        <v>100</v>
      </c>
      <c r="G101" s="17"/>
      <c r="H101" s="17"/>
      <c r="I101" s="17"/>
    </row>
    <row r="102" spans="1:9" ht="10.5" x14ac:dyDescent="0.25">
      <c r="F102" s="19"/>
    </row>
    <row r="103" spans="1:9" ht="10.5" x14ac:dyDescent="0.25">
      <c r="A103" s="59" t="s">
        <v>170</v>
      </c>
    </row>
    <row r="104" spans="1:9" ht="10.5" x14ac:dyDescent="0.25">
      <c r="A104" s="59" t="s">
        <v>1490</v>
      </c>
    </row>
    <row r="105" spans="1:9" ht="10.5" x14ac:dyDescent="0.25">
      <c r="A105" s="17" t="s">
        <v>1650</v>
      </c>
    </row>
    <row r="107" spans="1:9" ht="10.5" x14ac:dyDescent="0.25">
      <c r="A107" s="17" t="s">
        <v>171</v>
      </c>
    </row>
    <row r="108" spans="1:9" ht="10.5" x14ac:dyDescent="0.25">
      <c r="A108" s="17" t="s">
        <v>172</v>
      </c>
    </row>
    <row r="109" spans="1:9" ht="10.5" x14ac:dyDescent="0.25">
      <c r="A109" s="17" t="s">
        <v>173</v>
      </c>
      <c r="B109" s="17"/>
      <c r="C109" s="38" t="s">
        <v>175</v>
      </c>
      <c r="D109" s="18" t="s">
        <v>174</v>
      </c>
    </row>
    <row r="110" spans="1:9" x14ac:dyDescent="0.2">
      <c r="A110" s="10" t="s">
        <v>436</v>
      </c>
      <c r="C110" s="39">
        <v>0</v>
      </c>
      <c r="D110" s="39">
        <v>0</v>
      </c>
    </row>
    <row r="111" spans="1:9" x14ac:dyDescent="0.2">
      <c r="A111" s="10" t="s">
        <v>470</v>
      </c>
      <c r="C111" s="39">
        <v>0</v>
      </c>
      <c r="D111" s="39">
        <v>0</v>
      </c>
    </row>
    <row r="112" spans="1:9" x14ac:dyDescent="0.2">
      <c r="A112" s="10" t="s">
        <v>439</v>
      </c>
      <c r="C112" s="39">
        <v>0</v>
      </c>
      <c r="D112" s="39">
        <v>0</v>
      </c>
    </row>
    <row r="113" spans="1:4" x14ac:dyDescent="0.2">
      <c r="A113" s="10" t="s">
        <v>471</v>
      </c>
      <c r="C113" s="39">
        <v>0</v>
      </c>
      <c r="D113" s="39">
        <v>0</v>
      </c>
    </row>
    <row r="114" spans="1:4" ht="10.5" x14ac:dyDescent="0.25">
      <c r="A114" s="17"/>
      <c r="D114" s="40"/>
    </row>
    <row r="115" spans="1:4" ht="10.5" x14ac:dyDescent="0.25">
      <c r="A115" s="17" t="s">
        <v>1550</v>
      </c>
      <c r="D115" s="40" t="s">
        <v>186</v>
      </c>
    </row>
    <row r="116" spans="1:4" x14ac:dyDescent="0.2">
      <c r="A116" s="10" t="s">
        <v>353</v>
      </c>
    </row>
    <row r="117" spans="1:4" x14ac:dyDescent="0.2">
      <c r="A117" s="87" t="s">
        <v>1546</v>
      </c>
    </row>
  </sheetData>
  <mergeCells count="5">
    <mergeCell ref="A1:F1"/>
    <mergeCell ref="A89:F89"/>
    <mergeCell ref="A81:F81"/>
    <mergeCell ref="A85:F85"/>
    <mergeCell ref="A83:F83"/>
  </mergeCells>
  <conditionalFormatting sqref="F2:F3 F5:F48 F92:F93 F52:F76 F90 F87:F88 F118:F65545 F103:F114">
    <cfRule type="cellIs" dxfId="69" priority="5" stopIfTrue="1" operator="between">
      <formula>0.009</formula>
      <formula>-0.009</formula>
    </cfRule>
  </conditionalFormatting>
  <conditionalFormatting sqref="F77:F80 F84">
    <cfRule type="cellIs" dxfId="68" priority="4" stopIfTrue="1" operator="between">
      <formula>0.009</formula>
      <formula>-0.009</formula>
    </cfRule>
  </conditionalFormatting>
  <conditionalFormatting sqref="F102">
    <cfRule type="cellIs" dxfId="67" priority="3" stopIfTrue="1" operator="between">
      <formula>0.009</formula>
      <formula>-0.009</formula>
    </cfRule>
  </conditionalFormatting>
  <conditionalFormatting sqref="F94:F98 F100:F101">
    <cfRule type="cellIs" dxfId="66" priority="2" stopIfTrue="1" operator="between">
      <formula>0.009</formula>
      <formula>-0.009</formula>
    </cfRule>
  </conditionalFormatting>
  <conditionalFormatting sqref="F115:F117">
    <cfRule type="cellIs" dxfId="65" priority="1" stopIfTrue="1" operator="between">
      <formula>0.009</formula>
      <formula>-0.009</formula>
    </cfRule>
  </conditionalFormatting>
  <hyperlinks>
    <hyperlink ref="A79" r:id="rId1" xr:uid="{00000000-0004-0000-0B00-000000000000}"/>
    <hyperlink ref="A117" r:id="rId2" xr:uid="{00000000-0004-0000-0B00-000001000000}"/>
    <hyperlink ref="A82" r:id="rId3" xr:uid="{00000000-0004-0000-0B00-000002000000}"/>
    <hyperlink ref="A83" r:id="rId4" xr:uid="{00000000-0004-0000-0B00-000003000000}"/>
  </hyperlinks>
  <pageMargins left="0.7" right="0.7" top="0.75" bottom="0.75" header="0.3" footer="0.3"/>
  <pageSetup paperSize="9" scale="49" orientation="portrait" r:id="rId5"/>
  <headerFooter>
    <oddFooter>&amp;LPUBLIC</oddFooter>
    <evenFooter>&amp;LPUBLIC</evenFooter>
    <firstFooter>&amp;LPUBLIC</firstFooter>
  </headerFooter>
  <rowBreaks count="1" manualBreakCount="1">
    <brk id="86" max="16383" man="1"/>
  </rowBreaks>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87"/>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69.1796875" style="10" bestFit="1" customWidth="1"/>
    <col min="3" max="3" width="15.453125" style="10" bestFit="1" customWidth="1"/>
    <col min="4" max="4" width="15.453125" style="11" bestFit="1" customWidth="1"/>
    <col min="5" max="5" width="23" style="15" bestFit="1" customWidth="1"/>
    <col min="6" max="6" width="14.81640625" style="16" bestFit="1" customWidth="1"/>
    <col min="7" max="16384" width="9.1796875" style="10"/>
  </cols>
  <sheetData>
    <row r="1" spans="1:6" s="1" customFormat="1" ht="14" x14ac:dyDescent="0.25">
      <c r="A1" s="96" t="s">
        <v>12</v>
      </c>
      <c r="B1" s="97"/>
      <c r="C1" s="97"/>
      <c r="D1" s="97"/>
      <c r="E1" s="97"/>
      <c r="F1" s="97"/>
    </row>
    <row r="2" spans="1:6" s="1" customFormat="1" ht="11.5" x14ac:dyDescent="0.25">
      <c r="A2" s="42" t="s">
        <v>190</v>
      </c>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192</v>
      </c>
      <c r="B7" s="26" t="s">
        <v>191</v>
      </c>
      <c r="C7" s="26" t="s">
        <v>120</v>
      </c>
      <c r="D7" s="30">
        <v>3930</v>
      </c>
      <c r="E7" s="28">
        <v>35919.649799999999</v>
      </c>
      <c r="F7" s="29">
        <v>10.494608387582399</v>
      </c>
    </row>
    <row r="8" spans="1:6" x14ac:dyDescent="0.2">
      <c r="A8" s="26" t="s">
        <v>243</v>
      </c>
      <c r="B8" s="26" t="s">
        <v>242</v>
      </c>
      <c r="C8" s="26" t="s">
        <v>87</v>
      </c>
      <c r="D8" s="30">
        <v>10140</v>
      </c>
      <c r="E8" s="28">
        <v>19877.401440000001</v>
      </c>
      <c r="F8" s="29">
        <v>5.8075606259269899</v>
      </c>
    </row>
    <row r="9" spans="1:6" x14ac:dyDescent="0.2">
      <c r="A9" s="26" t="s">
        <v>194</v>
      </c>
      <c r="B9" s="26" t="s">
        <v>193</v>
      </c>
      <c r="C9" s="26" t="s">
        <v>76</v>
      </c>
      <c r="D9" s="30">
        <v>2125</v>
      </c>
      <c r="E9" s="28">
        <v>16649.698</v>
      </c>
      <c r="F9" s="29">
        <v>4.8645257193324198</v>
      </c>
    </row>
    <row r="10" spans="1:6" x14ac:dyDescent="0.2">
      <c r="A10" s="26" t="s">
        <v>239</v>
      </c>
      <c r="B10" s="26" t="s">
        <v>238</v>
      </c>
      <c r="C10" s="26" t="s">
        <v>240</v>
      </c>
      <c r="D10" s="30">
        <v>1150</v>
      </c>
      <c r="E10" s="28">
        <v>12347.423500000001</v>
      </c>
      <c r="F10" s="29">
        <v>3.6075344539726499</v>
      </c>
    </row>
    <row r="11" spans="1:6" x14ac:dyDescent="0.2">
      <c r="A11" s="26" t="s">
        <v>504</v>
      </c>
      <c r="B11" s="26" t="s">
        <v>503</v>
      </c>
      <c r="C11" s="26" t="s">
        <v>87</v>
      </c>
      <c r="D11" s="30">
        <v>5580</v>
      </c>
      <c r="E11" s="28">
        <v>10874.850839999999</v>
      </c>
      <c r="F11" s="29">
        <v>3.17729436324213</v>
      </c>
    </row>
    <row r="12" spans="1:6" x14ac:dyDescent="0.2">
      <c r="A12" s="26" t="s">
        <v>211</v>
      </c>
      <c r="B12" s="26" t="s">
        <v>210</v>
      </c>
      <c r="C12" s="26" t="s">
        <v>120</v>
      </c>
      <c r="D12" s="30">
        <v>1000</v>
      </c>
      <c r="E12" s="28">
        <v>8832.7199999999993</v>
      </c>
      <c r="F12" s="29">
        <v>2.58064702504885</v>
      </c>
    </row>
    <row r="13" spans="1:6" x14ac:dyDescent="0.2">
      <c r="A13" s="26" t="s">
        <v>461</v>
      </c>
      <c r="B13" s="26" t="s">
        <v>460</v>
      </c>
      <c r="C13" s="26" t="s">
        <v>63</v>
      </c>
      <c r="D13" s="30">
        <v>850</v>
      </c>
      <c r="E13" s="28">
        <v>7824.0884999999998</v>
      </c>
      <c r="F13" s="29">
        <v>2.2859561620026398</v>
      </c>
    </row>
    <row r="14" spans="1:6" x14ac:dyDescent="0.2">
      <c r="A14" s="26" t="s">
        <v>521</v>
      </c>
      <c r="B14" s="26" t="s">
        <v>520</v>
      </c>
      <c r="C14" s="26" t="s">
        <v>143</v>
      </c>
      <c r="D14" s="30">
        <v>650</v>
      </c>
      <c r="E14" s="28">
        <v>6529.107</v>
      </c>
      <c r="F14" s="29">
        <v>1.9076027040114101</v>
      </c>
    </row>
    <row r="15" spans="1:6" x14ac:dyDescent="0.2">
      <c r="A15" s="26" t="s">
        <v>523</v>
      </c>
      <c r="B15" s="26" t="s">
        <v>522</v>
      </c>
      <c r="C15" s="26" t="s">
        <v>143</v>
      </c>
      <c r="D15" s="30">
        <v>650</v>
      </c>
      <c r="E15" s="28">
        <v>6478.134</v>
      </c>
      <c r="F15" s="29">
        <v>1.89270997325488</v>
      </c>
    </row>
    <row r="16" spans="1:6" x14ac:dyDescent="0.2">
      <c r="A16" s="26" t="s">
        <v>430</v>
      </c>
      <c r="B16" s="26" t="s">
        <v>429</v>
      </c>
      <c r="C16" s="26" t="s">
        <v>431</v>
      </c>
      <c r="D16" s="30">
        <v>510</v>
      </c>
      <c r="E16" s="28">
        <v>6457.5639000000001</v>
      </c>
      <c r="F16" s="29">
        <v>1.88670002757903</v>
      </c>
    </row>
    <row r="17" spans="1:6" x14ac:dyDescent="0.2">
      <c r="A17" s="26" t="s">
        <v>524</v>
      </c>
      <c r="B17" s="26" t="s">
        <v>1607</v>
      </c>
      <c r="C17" s="26" t="s">
        <v>252</v>
      </c>
      <c r="D17" s="30">
        <v>650</v>
      </c>
      <c r="E17" s="28">
        <v>6436.1310000000003</v>
      </c>
      <c r="F17" s="29">
        <v>1.88043799848458</v>
      </c>
    </row>
    <row r="18" spans="1:6" x14ac:dyDescent="0.2">
      <c r="A18" s="26" t="s">
        <v>525</v>
      </c>
      <c r="B18" s="26" t="s">
        <v>1608</v>
      </c>
      <c r="C18" s="26" t="s">
        <v>252</v>
      </c>
      <c r="D18" s="30">
        <v>650</v>
      </c>
      <c r="E18" s="28">
        <v>6382.9674999999997</v>
      </c>
      <c r="F18" s="29">
        <v>1.86490527151982</v>
      </c>
    </row>
    <row r="19" spans="1:6" x14ac:dyDescent="0.2">
      <c r="A19" s="26" t="s">
        <v>200</v>
      </c>
      <c r="B19" s="26" t="s">
        <v>199</v>
      </c>
      <c r="C19" s="26" t="s">
        <v>201</v>
      </c>
      <c r="D19" s="30">
        <v>620</v>
      </c>
      <c r="E19" s="28">
        <v>6255.49</v>
      </c>
      <c r="F19" s="29">
        <v>1.8276602970232101</v>
      </c>
    </row>
    <row r="20" spans="1:6" x14ac:dyDescent="0.2">
      <c r="A20" s="26" t="s">
        <v>207</v>
      </c>
      <c r="B20" s="26" t="s">
        <v>206</v>
      </c>
      <c r="C20" s="26" t="s">
        <v>133</v>
      </c>
      <c r="D20" s="30">
        <v>620</v>
      </c>
      <c r="E20" s="28">
        <v>6213.2431999999999</v>
      </c>
      <c r="F20" s="29">
        <v>1.8153170914491801</v>
      </c>
    </row>
    <row r="21" spans="1:6" x14ac:dyDescent="0.2">
      <c r="A21" s="26" t="s">
        <v>270</v>
      </c>
      <c r="B21" s="26" t="s">
        <v>269</v>
      </c>
      <c r="C21" s="26" t="s">
        <v>87</v>
      </c>
      <c r="D21" s="30">
        <v>648</v>
      </c>
      <c r="E21" s="28">
        <v>6180.9609600000003</v>
      </c>
      <c r="F21" s="29">
        <v>1.8058852214682599</v>
      </c>
    </row>
    <row r="22" spans="1:6" x14ac:dyDescent="0.2">
      <c r="A22" s="26" t="s">
        <v>258</v>
      </c>
      <c r="B22" s="26" t="s">
        <v>257</v>
      </c>
      <c r="C22" s="26" t="s">
        <v>140</v>
      </c>
      <c r="D22" s="30">
        <v>600</v>
      </c>
      <c r="E22" s="28">
        <v>6019.6440000000002</v>
      </c>
      <c r="F22" s="29">
        <v>1.7587534055707801</v>
      </c>
    </row>
    <row r="23" spans="1:6" x14ac:dyDescent="0.2">
      <c r="A23" s="26" t="s">
        <v>145</v>
      </c>
      <c r="B23" s="26" t="s">
        <v>144</v>
      </c>
      <c r="C23" s="26" t="s">
        <v>87</v>
      </c>
      <c r="D23" s="30">
        <v>606</v>
      </c>
      <c r="E23" s="28">
        <v>5983.3167599999997</v>
      </c>
      <c r="F23" s="29">
        <v>1.7481397119594999</v>
      </c>
    </row>
    <row r="24" spans="1:6" x14ac:dyDescent="0.2">
      <c r="A24" s="26" t="s">
        <v>70</v>
      </c>
      <c r="B24" s="26" t="s">
        <v>69</v>
      </c>
      <c r="C24" s="26" t="s">
        <v>71</v>
      </c>
      <c r="D24" s="30">
        <v>550</v>
      </c>
      <c r="E24" s="28">
        <v>5428.0820000000003</v>
      </c>
      <c r="F24" s="29">
        <v>1.5859173238845199</v>
      </c>
    </row>
    <row r="25" spans="1:6" x14ac:dyDescent="0.2">
      <c r="A25" s="26" t="s">
        <v>527</v>
      </c>
      <c r="B25" s="26" t="s">
        <v>526</v>
      </c>
      <c r="C25" s="26" t="s">
        <v>68</v>
      </c>
      <c r="D25" s="30">
        <v>5500</v>
      </c>
      <c r="E25" s="28">
        <v>5421.2179999999998</v>
      </c>
      <c r="F25" s="29">
        <v>1.58391187582549</v>
      </c>
    </row>
    <row r="26" spans="1:6" x14ac:dyDescent="0.2">
      <c r="A26" s="26" t="s">
        <v>459</v>
      </c>
      <c r="B26" s="26" t="s">
        <v>458</v>
      </c>
      <c r="C26" s="26" t="s">
        <v>87</v>
      </c>
      <c r="D26" s="30">
        <v>550</v>
      </c>
      <c r="E26" s="28">
        <v>5410.0529999999999</v>
      </c>
      <c r="F26" s="29">
        <v>1.5806498088705001</v>
      </c>
    </row>
    <row r="27" spans="1:6" x14ac:dyDescent="0.2">
      <c r="A27" s="26" t="s">
        <v>508</v>
      </c>
      <c r="B27" s="26" t="s">
        <v>507</v>
      </c>
      <c r="C27" s="26" t="s">
        <v>63</v>
      </c>
      <c r="D27" s="30">
        <v>550</v>
      </c>
      <c r="E27" s="28">
        <v>5109.7254999999996</v>
      </c>
      <c r="F27" s="29">
        <v>1.4929034216403601</v>
      </c>
    </row>
    <row r="28" spans="1:6" x14ac:dyDescent="0.2">
      <c r="A28" s="26" t="s">
        <v>502</v>
      </c>
      <c r="B28" s="26" t="s">
        <v>501</v>
      </c>
      <c r="C28" s="26" t="s">
        <v>133</v>
      </c>
      <c r="D28" s="30">
        <v>500</v>
      </c>
      <c r="E28" s="28">
        <v>4985.79</v>
      </c>
      <c r="F28" s="29">
        <v>1.4566933097639601</v>
      </c>
    </row>
    <row r="29" spans="1:6" x14ac:dyDescent="0.2">
      <c r="A29" s="26" t="s">
        <v>529</v>
      </c>
      <c r="B29" s="26" t="s">
        <v>528</v>
      </c>
      <c r="C29" s="26" t="s">
        <v>68</v>
      </c>
      <c r="D29" s="30">
        <v>5000</v>
      </c>
      <c r="E29" s="28">
        <v>4882.32</v>
      </c>
      <c r="F29" s="29">
        <v>1.4264625826853501</v>
      </c>
    </row>
    <row r="30" spans="1:6" x14ac:dyDescent="0.2">
      <c r="A30" s="26" t="s">
        <v>219</v>
      </c>
      <c r="B30" s="26" t="s">
        <v>146</v>
      </c>
      <c r="C30" s="26" t="s">
        <v>68</v>
      </c>
      <c r="D30" s="30">
        <v>550</v>
      </c>
      <c r="E30" s="28">
        <v>4525.8180000000002</v>
      </c>
      <c r="F30" s="29">
        <v>1.3223037476125801</v>
      </c>
    </row>
    <row r="31" spans="1:6" x14ac:dyDescent="0.2">
      <c r="A31" s="26" t="s">
        <v>428</v>
      </c>
      <c r="B31" s="26" t="s">
        <v>427</v>
      </c>
      <c r="C31" s="26" t="s">
        <v>252</v>
      </c>
      <c r="D31" s="30">
        <v>450</v>
      </c>
      <c r="E31" s="28">
        <v>4502.6549999999997</v>
      </c>
      <c r="F31" s="29">
        <v>1.31553623692038</v>
      </c>
    </row>
    <row r="32" spans="1:6" x14ac:dyDescent="0.2">
      <c r="A32" s="26" t="s">
        <v>457</v>
      </c>
      <c r="B32" s="26" t="s">
        <v>456</v>
      </c>
      <c r="C32" s="26" t="s">
        <v>140</v>
      </c>
      <c r="D32" s="30">
        <v>350</v>
      </c>
      <c r="E32" s="28">
        <v>4277.1189999999997</v>
      </c>
      <c r="F32" s="29">
        <v>1.2496416079225801</v>
      </c>
    </row>
    <row r="33" spans="1:6" x14ac:dyDescent="0.2">
      <c r="A33" s="26" t="s">
        <v>99</v>
      </c>
      <c r="B33" s="26" t="s">
        <v>98</v>
      </c>
      <c r="C33" s="26" t="s">
        <v>87</v>
      </c>
      <c r="D33" s="30">
        <v>351</v>
      </c>
      <c r="E33" s="28">
        <v>3497.2271099999998</v>
      </c>
      <c r="F33" s="29">
        <v>1.0217813694243301</v>
      </c>
    </row>
    <row r="34" spans="1:6" x14ac:dyDescent="0.2">
      <c r="A34" s="26" t="s">
        <v>247</v>
      </c>
      <c r="B34" s="26" t="s">
        <v>246</v>
      </c>
      <c r="C34" s="26" t="s">
        <v>87</v>
      </c>
      <c r="D34" s="30">
        <v>350</v>
      </c>
      <c r="E34" s="28">
        <v>3483.0844999999999</v>
      </c>
      <c r="F34" s="29">
        <v>1.01764933711459</v>
      </c>
    </row>
    <row r="35" spans="1:6" x14ac:dyDescent="0.2">
      <c r="A35" s="26" t="s">
        <v>272</v>
      </c>
      <c r="B35" s="26" t="s">
        <v>271</v>
      </c>
      <c r="C35" s="26" t="s">
        <v>87</v>
      </c>
      <c r="D35" s="30">
        <v>352</v>
      </c>
      <c r="E35" s="28">
        <v>3327.8643200000001</v>
      </c>
      <c r="F35" s="29">
        <v>0.97229881137115504</v>
      </c>
    </row>
    <row r="36" spans="1:6" x14ac:dyDescent="0.2">
      <c r="A36" s="26" t="s">
        <v>122</v>
      </c>
      <c r="B36" s="26" t="s">
        <v>121</v>
      </c>
      <c r="C36" s="26" t="s">
        <v>71</v>
      </c>
      <c r="D36" s="30">
        <v>310</v>
      </c>
      <c r="E36" s="28">
        <v>3287.5531000000001</v>
      </c>
      <c r="F36" s="29">
        <v>0.96052112228228004</v>
      </c>
    </row>
    <row r="37" spans="1:6" x14ac:dyDescent="0.2">
      <c r="A37" s="26" t="s">
        <v>147</v>
      </c>
      <c r="B37" s="26" t="s">
        <v>146</v>
      </c>
      <c r="C37" s="26" t="s">
        <v>68</v>
      </c>
      <c r="D37" s="30">
        <v>380</v>
      </c>
      <c r="E37" s="28">
        <v>3123.7482</v>
      </c>
      <c r="F37" s="29">
        <v>0.91266240742735105</v>
      </c>
    </row>
    <row r="38" spans="1:6" x14ac:dyDescent="0.2">
      <c r="A38" s="26" t="s">
        <v>216</v>
      </c>
      <c r="B38" s="26" t="s">
        <v>215</v>
      </c>
      <c r="C38" s="26" t="s">
        <v>165</v>
      </c>
      <c r="D38" s="30">
        <v>300</v>
      </c>
      <c r="E38" s="28">
        <v>2952.72</v>
      </c>
      <c r="F38" s="29">
        <v>0.86269326818944203</v>
      </c>
    </row>
    <row r="39" spans="1:6" x14ac:dyDescent="0.2">
      <c r="A39" s="26" t="s">
        <v>229</v>
      </c>
      <c r="B39" s="26" t="s">
        <v>228</v>
      </c>
      <c r="C39" s="26" t="s">
        <v>87</v>
      </c>
      <c r="D39" s="30">
        <v>306</v>
      </c>
      <c r="E39" s="28">
        <v>2944.4819400000001</v>
      </c>
      <c r="F39" s="29">
        <v>0.86028636238566103</v>
      </c>
    </row>
    <row r="40" spans="1:6" x14ac:dyDescent="0.2">
      <c r="A40" s="26" t="s">
        <v>132</v>
      </c>
      <c r="B40" s="26" t="s">
        <v>131</v>
      </c>
      <c r="C40" s="26" t="s">
        <v>133</v>
      </c>
      <c r="D40" s="30">
        <v>270</v>
      </c>
      <c r="E40" s="28">
        <v>2714.8715999999999</v>
      </c>
      <c r="F40" s="29">
        <v>0.79320133751886401</v>
      </c>
    </row>
    <row r="41" spans="1:6" x14ac:dyDescent="0.2">
      <c r="A41" s="26" t="s">
        <v>251</v>
      </c>
      <c r="B41" s="26" t="s">
        <v>1609</v>
      </c>
      <c r="C41" s="26" t="s">
        <v>252</v>
      </c>
      <c r="D41" s="30">
        <v>260</v>
      </c>
      <c r="E41" s="28">
        <v>2568.5711999999999</v>
      </c>
      <c r="F41" s="29">
        <v>0.75045689503416402</v>
      </c>
    </row>
    <row r="42" spans="1:6" x14ac:dyDescent="0.2">
      <c r="A42" s="26" t="s">
        <v>233</v>
      </c>
      <c r="B42" s="26" t="s">
        <v>232</v>
      </c>
      <c r="C42" s="26" t="s">
        <v>63</v>
      </c>
      <c r="D42" s="30">
        <v>250</v>
      </c>
      <c r="E42" s="28">
        <v>2480.85</v>
      </c>
      <c r="F42" s="29">
        <v>0.72482747920147494</v>
      </c>
    </row>
    <row r="43" spans="1:6" x14ac:dyDescent="0.2">
      <c r="A43" s="26" t="s">
        <v>142</v>
      </c>
      <c r="B43" s="26" t="s">
        <v>141</v>
      </c>
      <c r="C43" s="26" t="s">
        <v>143</v>
      </c>
      <c r="D43" s="30">
        <v>400</v>
      </c>
      <c r="E43" s="28">
        <v>2003.5319999999999</v>
      </c>
      <c r="F43" s="29">
        <v>0.58536995346735599</v>
      </c>
    </row>
    <row r="44" spans="1:6" x14ac:dyDescent="0.2">
      <c r="A44" s="26" t="s">
        <v>277</v>
      </c>
      <c r="B44" s="26" t="s">
        <v>276</v>
      </c>
      <c r="C44" s="26" t="s">
        <v>68</v>
      </c>
      <c r="D44" s="30">
        <v>2000</v>
      </c>
      <c r="E44" s="28">
        <v>1962.3820000000001</v>
      </c>
      <c r="F44" s="29">
        <v>0.573347198859402</v>
      </c>
    </row>
    <row r="45" spans="1:6" x14ac:dyDescent="0.2">
      <c r="A45" s="26" t="s">
        <v>227</v>
      </c>
      <c r="B45" s="26" t="s">
        <v>226</v>
      </c>
      <c r="C45" s="26" t="s">
        <v>140</v>
      </c>
      <c r="D45" s="30">
        <v>190</v>
      </c>
      <c r="E45" s="28">
        <v>1905.7665</v>
      </c>
      <c r="F45" s="29">
        <v>0.556805904485002</v>
      </c>
    </row>
    <row r="46" spans="1:6" x14ac:dyDescent="0.2">
      <c r="A46" s="26" t="s">
        <v>221</v>
      </c>
      <c r="B46" s="26" t="s">
        <v>220</v>
      </c>
      <c r="C46" s="26" t="s">
        <v>87</v>
      </c>
      <c r="D46" s="30">
        <v>176</v>
      </c>
      <c r="E46" s="28">
        <v>1721.2553600000001</v>
      </c>
      <c r="F46" s="29">
        <v>0.502897468065714</v>
      </c>
    </row>
    <row r="47" spans="1:6" x14ac:dyDescent="0.2">
      <c r="A47" s="26" t="s">
        <v>223</v>
      </c>
      <c r="B47" s="26" t="s">
        <v>222</v>
      </c>
      <c r="C47" s="26" t="s">
        <v>87</v>
      </c>
      <c r="D47" s="30">
        <v>176</v>
      </c>
      <c r="E47" s="28">
        <v>1710.57744</v>
      </c>
      <c r="F47" s="29">
        <v>0.49977771079029798</v>
      </c>
    </row>
    <row r="48" spans="1:6" x14ac:dyDescent="0.2">
      <c r="A48" s="26" t="s">
        <v>260</v>
      </c>
      <c r="B48" s="26" t="s">
        <v>259</v>
      </c>
      <c r="C48" s="26" t="s">
        <v>63</v>
      </c>
      <c r="D48" s="30">
        <v>150</v>
      </c>
      <c r="E48" s="28">
        <v>1502.0895</v>
      </c>
      <c r="F48" s="29">
        <v>0.43886399654150898</v>
      </c>
    </row>
    <row r="49" spans="1:9" x14ac:dyDescent="0.2">
      <c r="A49" s="26" t="s">
        <v>209</v>
      </c>
      <c r="B49" s="26" t="s">
        <v>208</v>
      </c>
      <c r="C49" s="26" t="s">
        <v>140</v>
      </c>
      <c r="D49" s="30">
        <v>100</v>
      </c>
      <c r="E49" s="28">
        <v>1004.087</v>
      </c>
      <c r="F49" s="29">
        <v>0.29336310099722701</v>
      </c>
    </row>
    <row r="50" spans="1:9" x14ac:dyDescent="0.2">
      <c r="A50" s="26" t="s">
        <v>245</v>
      </c>
      <c r="B50" s="26" t="s">
        <v>244</v>
      </c>
      <c r="C50" s="26" t="s">
        <v>133</v>
      </c>
      <c r="D50" s="30">
        <v>90</v>
      </c>
      <c r="E50" s="28">
        <v>908.54909999999995</v>
      </c>
      <c r="F50" s="29">
        <v>0.26544988769323802</v>
      </c>
    </row>
    <row r="51" spans="1:9" x14ac:dyDescent="0.2">
      <c r="A51" s="26" t="s">
        <v>444</v>
      </c>
      <c r="B51" s="26" t="s">
        <v>443</v>
      </c>
      <c r="C51" s="26" t="s">
        <v>76</v>
      </c>
      <c r="D51" s="30">
        <v>95</v>
      </c>
      <c r="E51" s="28">
        <v>801.61950000000002</v>
      </c>
      <c r="F51" s="29">
        <v>0.23420837272053799</v>
      </c>
    </row>
    <row r="52" spans="1:9" x14ac:dyDescent="0.2">
      <c r="A52" s="26" t="s">
        <v>531</v>
      </c>
      <c r="B52" s="26" t="s">
        <v>530</v>
      </c>
      <c r="C52" s="26" t="s">
        <v>532</v>
      </c>
      <c r="D52" s="30">
        <v>74</v>
      </c>
      <c r="E52" s="28">
        <v>759.99405999999999</v>
      </c>
      <c r="F52" s="29">
        <v>0.222046709280244</v>
      </c>
    </row>
    <row r="53" spans="1:9" x14ac:dyDescent="0.2">
      <c r="A53" s="26" t="s">
        <v>266</v>
      </c>
      <c r="B53" s="26" t="s">
        <v>265</v>
      </c>
      <c r="C53" s="26" t="s">
        <v>63</v>
      </c>
      <c r="D53" s="30">
        <v>50</v>
      </c>
      <c r="E53" s="28">
        <v>500</v>
      </c>
      <c r="F53" s="29">
        <v>0.14608450313430399</v>
      </c>
    </row>
    <row r="54" spans="1:9" x14ac:dyDescent="0.2">
      <c r="A54" s="26" t="s">
        <v>115</v>
      </c>
      <c r="B54" s="26" t="s">
        <v>1581</v>
      </c>
      <c r="C54" s="26" t="s">
        <v>76</v>
      </c>
      <c r="D54" s="30">
        <v>40</v>
      </c>
      <c r="E54" s="28">
        <v>411.69600000000003</v>
      </c>
      <c r="F54" s="29">
        <v>0.12028481120476101</v>
      </c>
    </row>
    <row r="55" spans="1:9" x14ac:dyDescent="0.2">
      <c r="A55" s="26" t="s">
        <v>446</v>
      </c>
      <c r="B55" s="26" t="s">
        <v>445</v>
      </c>
      <c r="C55" s="26" t="s">
        <v>71</v>
      </c>
      <c r="D55" s="30">
        <v>400</v>
      </c>
      <c r="E55" s="28">
        <v>408.74759999999998</v>
      </c>
      <c r="F55" s="29">
        <v>0.119423380106678</v>
      </c>
    </row>
    <row r="56" spans="1:9" x14ac:dyDescent="0.2">
      <c r="A56" s="26" t="s">
        <v>534</v>
      </c>
      <c r="B56" s="26" t="s">
        <v>533</v>
      </c>
      <c r="C56" s="26" t="s">
        <v>152</v>
      </c>
      <c r="D56" s="30">
        <v>3</v>
      </c>
      <c r="E56" s="28">
        <v>305.72730000000001</v>
      </c>
      <c r="F56" s="29">
        <v>8.9324041430184395E-2</v>
      </c>
    </row>
    <row r="57" spans="1:9" ht="10.5" x14ac:dyDescent="0.25">
      <c r="A57" s="25" t="s">
        <v>153</v>
      </c>
      <c r="B57" s="25"/>
      <c r="C57" s="25"/>
      <c r="D57" s="31"/>
      <c r="E57" s="32">
        <f>SUM(E6:E56)</f>
        <v>266092.16623000003</v>
      </c>
      <c r="F57" s="33">
        <f>SUM(F6:F56)</f>
        <v>77.743883783280253</v>
      </c>
      <c r="G57" s="17"/>
      <c r="H57" s="17"/>
      <c r="I57" s="17"/>
    </row>
    <row r="58" spans="1:9" x14ac:dyDescent="0.2">
      <c r="A58" s="26"/>
      <c r="B58" s="26"/>
      <c r="C58" s="26"/>
      <c r="D58" s="27"/>
      <c r="E58" s="28"/>
      <c r="F58" s="29"/>
    </row>
    <row r="59" spans="1:9" ht="10.5" x14ac:dyDescent="0.25">
      <c r="A59" s="25" t="s">
        <v>154</v>
      </c>
      <c r="B59" s="26"/>
      <c r="C59" s="26"/>
      <c r="D59" s="27"/>
      <c r="E59" s="28"/>
      <c r="F59" s="29"/>
    </row>
    <row r="60" spans="1:9" x14ac:dyDescent="0.2">
      <c r="A60" s="26" t="s">
        <v>288</v>
      </c>
      <c r="B60" s="26" t="s">
        <v>287</v>
      </c>
      <c r="C60" s="26" t="s">
        <v>289</v>
      </c>
      <c r="D60" s="30">
        <v>230</v>
      </c>
      <c r="E60" s="28">
        <v>23168.061000000002</v>
      </c>
      <c r="F60" s="29">
        <v>6.7689893595404804</v>
      </c>
    </row>
    <row r="61" spans="1:9" x14ac:dyDescent="0.2">
      <c r="A61" s="26" t="s">
        <v>535</v>
      </c>
      <c r="B61" s="26" t="s">
        <v>292</v>
      </c>
      <c r="C61" s="26" t="s">
        <v>240</v>
      </c>
      <c r="D61" s="30">
        <v>1250</v>
      </c>
      <c r="E61" s="28">
        <v>11242.3375</v>
      </c>
      <c r="F61" s="29">
        <v>3.2846625755112999</v>
      </c>
    </row>
    <row r="62" spans="1:9" x14ac:dyDescent="0.2">
      <c r="A62" s="26" t="s">
        <v>516</v>
      </c>
      <c r="B62" s="26" t="s">
        <v>515</v>
      </c>
      <c r="C62" s="26" t="s">
        <v>517</v>
      </c>
      <c r="D62" s="30">
        <v>1000</v>
      </c>
      <c r="E62" s="28">
        <v>7497.4275900000002</v>
      </c>
      <c r="F62" s="29">
        <v>2.1905159685411402</v>
      </c>
    </row>
    <row r="63" spans="1:9" x14ac:dyDescent="0.2">
      <c r="A63" s="26" t="s">
        <v>304</v>
      </c>
      <c r="B63" s="26" t="s">
        <v>303</v>
      </c>
      <c r="C63" s="26" t="s">
        <v>298</v>
      </c>
      <c r="D63" s="30">
        <v>580</v>
      </c>
      <c r="E63" s="28">
        <v>5204.5444719999996</v>
      </c>
      <c r="F63" s="29">
        <v>1.52060658646501</v>
      </c>
    </row>
    <row r="64" spans="1:9" x14ac:dyDescent="0.2">
      <c r="A64" s="26" t="s">
        <v>302</v>
      </c>
      <c r="B64" s="26" t="s">
        <v>301</v>
      </c>
      <c r="C64" s="26" t="s">
        <v>240</v>
      </c>
      <c r="D64" s="30">
        <v>550</v>
      </c>
      <c r="E64" s="28">
        <v>4936.6184999999996</v>
      </c>
      <c r="F64" s="29">
        <v>1.4423269214722201</v>
      </c>
    </row>
    <row r="65" spans="1:9" x14ac:dyDescent="0.2">
      <c r="A65" s="26" t="s">
        <v>310</v>
      </c>
      <c r="B65" s="26" t="s">
        <v>309</v>
      </c>
      <c r="C65" s="26" t="s">
        <v>298</v>
      </c>
      <c r="D65" s="30">
        <v>200</v>
      </c>
      <c r="E65" s="28">
        <v>2015.326</v>
      </c>
      <c r="F65" s="29">
        <v>0.58881579472728796</v>
      </c>
    </row>
    <row r="66" spans="1:9" x14ac:dyDescent="0.2">
      <c r="A66" s="26" t="s">
        <v>291</v>
      </c>
      <c r="B66" s="26" t="s">
        <v>290</v>
      </c>
      <c r="C66" s="26" t="s">
        <v>73</v>
      </c>
      <c r="D66" s="30">
        <v>200</v>
      </c>
      <c r="E66" s="28">
        <v>1879.604</v>
      </c>
      <c r="F66" s="29">
        <v>0.54916203285849996</v>
      </c>
    </row>
    <row r="67" spans="1:9" x14ac:dyDescent="0.2">
      <c r="A67" s="26" t="s">
        <v>308</v>
      </c>
      <c r="B67" s="26" t="s">
        <v>307</v>
      </c>
      <c r="C67" s="26" t="s">
        <v>298</v>
      </c>
      <c r="D67" s="30">
        <v>130</v>
      </c>
      <c r="E67" s="28">
        <v>1142.3580649999999</v>
      </c>
      <c r="F67" s="29">
        <v>0.33376162065397902</v>
      </c>
    </row>
    <row r="68" spans="1:9" x14ac:dyDescent="0.2">
      <c r="A68" s="26" t="s">
        <v>514</v>
      </c>
      <c r="B68" s="26" t="s">
        <v>513</v>
      </c>
      <c r="C68" s="26" t="s">
        <v>289</v>
      </c>
      <c r="D68" s="30">
        <v>110</v>
      </c>
      <c r="E68" s="28">
        <v>1083.1578999999999</v>
      </c>
      <c r="F68" s="29">
        <v>0.31646516727499202</v>
      </c>
    </row>
    <row r="69" spans="1:9" x14ac:dyDescent="0.2">
      <c r="A69" s="26" t="s">
        <v>295</v>
      </c>
      <c r="B69" s="26" t="s">
        <v>294</v>
      </c>
      <c r="C69" s="26" t="s">
        <v>289</v>
      </c>
      <c r="D69" s="30">
        <v>50</v>
      </c>
      <c r="E69" s="28">
        <v>493.04300000000001</v>
      </c>
      <c r="F69" s="29">
        <v>0.14405188335769301</v>
      </c>
    </row>
    <row r="70" spans="1:9" x14ac:dyDescent="0.2">
      <c r="A70" s="26" t="s">
        <v>464</v>
      </c>
      <c r="B70" s="26" t="s">
        <v>463</v>
      </c>
      <c r="C70" s="26" t="s">
        <v>313</v>
      </c>
      <c r="D70" s="30">
        <v>855</v>
      </c>
      <c r="E70" s="28">
        <v>140.39099999999999</v>
      </c>
      <c r="F70" s="29">
        <v>4.1017898959056102E-2</v>
      </c>
    </row>
    <row r="71" spans="1:9" x14ac:dyDescent="0.2">
      <c r="A71" s="26" t="s">
        <v>312</v>
      </c>
      <c r="B71" s="26" t="s">
        <v>311</v>
      </c>
      <c r="C71" s="26" t="s">
        <v>313</v>
      </c>
      <c r="D71" s="30">
        <v>979</v>
      </c>
      <c r="E71" s="28">
        <v>130.5986</v>
      </c>
      <c r="F71" s="29">
        <v>3.8156863182071399E-2</v>
      </c>
    </row>
    <row r="72" spans="1:9" x14ac:dyDescent="0.2">
      <c r="A72" s="26" t="s">
        <v>317</v>
      </c>
      <c r="B72" s="26" t="s">
        <v>316</v>
      </c>
      <c r="C72" s="26" t="s">
        <v>313</v>
      </c>
      <c r="D72" s="30">
        <v>641</v>
      </c>
      <c r="E72" s="28">
        <v>105.2522</v>
      </c>
      <c r="F72" s="29">
        <v>3.0751430681584702E-2</v>
      </c>
    </row>
    <row r="73" spans="1:9" x14ac:dyDescent="0.2">
      <c r="A73" s="26" t="s">
        <v>536</v>
      </c>
      <c r="B73" s="26" t="s">
        <v>1602</v>
      </c>
      <c r="C73" s="26" t="s">
        <v>324</v>
      </c>
      <c r="D73" s="30">
        <v>750</v>
      </c>
      <c r="E73" s="28">
        <v>0</v>
      </c>
      <c r="F73" s="28">
        <v>0</v>
      </c>
    </row>
    <row r="74" spans="1:9" x14ac:dyDescent="0.2">
      <c r="A74" s="26" t="s">
        <v>321</v>
      </c>
      <c r="B74" s="26" t="s">
        <v>320</v>
      </c>
      <c r="C74" s="26" t="s">
        <v>322</v>
      </c>
      <c r="D74" s="30">
        <v>150</v>
      </c>
      <c r="E74" s="28">
        <v>0</v>
      </c>
      <c r="F74" s="28">
        <v>0</v>
      </c>
    </row>
    <row r="75" spans="1:9" ht="10.5" x14ac:dyDescent="0.25">
      <c r="A75" s="25" t="s">
        <v>153</v>
      </c>
      <c r="B75" s="25"/>
      <c r="C75" s="25"/>
      <c r="D75" s="31"/>
      <c r="E75" s="32">
        <f>SUM(E59:E74)</f>
        <v>59038.719827000001</v>
      </c>
      <c r="F75" s="33">
        <f>SUM(F59:F74)</f>
        <v>17.249284103225314</v>
      </c>
      <c r="G75" s="17"/>
      <c r="H75" s="17"/>
      <c r="I75" s="17"/>
    </row>
    <row r="76" spans="1:9" x14ac:dyDescent="0.2">
      <c r="A76" s="26"/>
      <c r="B76" s="26"/>
      <c r="C76" s="26"/>
      <c r="D76" s="27"/>
      <c r="E76" s="28"/>
      <c r="F76" s="29"/>
    </row>
    <row r="77" spans="1:9" ht="10.5" x14ac:dyDescent="0.25">
      <c r="A77" s="25" t="s">
        <v>166</v>
      </c>
      <c r="B77" s="25"/>
      <c r="C77" s="25"/>
      <c r="D77" s="31"/>
      <c r="E77" s="32">
        <f>E57+E75</f>
        <v>325130.88605700003</v>
      </c>
      <c r="F77" s="33">
        <f>F57+F75</f>
        <v>94.993167886505574</v>
      </c>
      <c r="G77" s="17"/>
      <c r="H77" s="17"/>
      <c r="I77" s="17"/>
    </row>
    <row r="78" spans="1:9" ht="10.5" x14ac:dyDescent="0.25">
      <c r="A78" s="25"/>
      <c r="B78" s="25"/>
      <c r="C78" s="25"/>
      <c r="D78" s="31"/>
      <c r="E78" s="32"/>
      <c r="F78" s="33"/>
      <c r="G78" s="17"/>
      <c r="H78" s="17"/>
      <c r="I78" s="17"/>
    </row>
    <row r="79" spans="1:9" ht="10.5" x14ac:dyDescent="0.25">
      <c r="A79" s="25" t="s">
        <v>168</v>
      </c>
      <c r="B79" s="25"/>
      <c r="C79" s="25"/>
      <c r="D79" s="31"/>
      <c r="E79" s="32">
        <f>E81-(E57+E75)</f>
        <v>17136.76675509999</v>
      </c>
      <c r="F79" s="33">
        <f>F81-(F57+F75)</f>
        <v>5.0068321134944256</v>
      </c>
      <c r="G79" s="17"/>
      <c r="H79" s="17"/>
      <c r="I79" s="17"/>
    </row>
    <row r="80" spans="1:9" ht="10.5" x14ac:dyDescent="0.25">
      <c r="A80" s="25"/>
      <c r="B80" s="25"/>
      <c r="C80" s="25"/>
      <c r="D80" s="31"/>
      <c r="E80" s="32"/>
      <c r="F80" s="33"/>
      <c r="G80" s="17"/>
      <c r="H80" s="17"/>
      <c r="I80" s="17"/>
    </row>
    <row r="81" spans="1:9" ht="10.5" x14ac:dyDescent="0.25">
      <c r="A81" s="34" t="s">
        <v>167</v>
      </c>
      <c r="B81" s="34"/>
      <c r="C81" s="34"/>
      <c r="D81" s="35"/>
      <c r="E81" s="36">
        <v>342267.65281210002</v>
      </c>
      <c r="F81" s="37">
        <v>100</v>
      </c>
      <c r="G81" s="17"/>
      <c r="H81" s="17"/>
      <c r="I81" s="17"/>
    </row>
    <row r="82" spans="1:9" ht="10.5" x14ac:dyDescent="0.25">
      <c r="F82" s="19"/>
    </row>
    <row r="83" spans="1:9" ht="10.5" x14ac:dyDescent="0.25">
      <c r="A83" s="17" t="s">
        <v>170</v>
      </c>
    </row>
    <row r="84" spans="1:9" ht="10.5" x14ac:dyDescent="0.25">
      <c r="A84" s="59" t="s">
        <v>1490</v>
      </c>
    </row>
    <row r="85" spans="1:9" ht="10.5" x14ac:dyDescent="0.25">
      <c r="A85" s="17" t="s">
        <v>1650</v>
      </c>
    </row>
    <row r="86" spans="1:9" ht="10.5" x14ac:dyDescent="0.25">
      <c r="A86" s="67" t="s">
        <v>1501</v>
      </c>
    </row>
    <row r="88" spans="1:9" ht="10.5" x14ac:dyDescent="0.25">
      <c r="A88" s="17" t="s">
        <v>171</v>
      </c>
    </row>
    <row r="89" spans="1:9" ht="10.5" x14ac:dyDescent="0.25">
      <c r="A89" s="17" t="s">
        <v>172</v>
      </c>
    </row>
    <row r="90" spans="1:9" ht="10.5" x14ac:dyDescent="0.25">
      <c r="A90" s="17" t="s">
        <v>173</v>
      </c>
      <c r="B90" s="17"/>
      <c r="C90" s="38" t="s">
        <v>175</v>
      </c>
      <c r="D90" s="18" t="s">
        <v>174</v>
      </c>
    </row>
    <row r="91" spans="1:9" x14ac:dyDescent="0.2">
      <c r="A91" s="10" t="s">
        <v>436</v>
      </c>
      <c r="C91" s="39">
        <v>18.697099999999999</v>
      </c>
      <c r="D91" s="39">
        <v>18.729800000000001</v>
      </c>
    </row>
    <row r="92" spans="1:9" x14ac:dyDescent="0.2">
      <c r="A92" s="10" t="s">
        <v>470</v>
      </c>
      <c r="C92" s="39">
        <v>10.026400000000001</v>
      </c>
      <c r="D92" s="39">
        <v>10.043900000000001</v>
      </c>
    </row>
    <row r="93" spans="1:9" x14ac:dyDescent="0.2">
      <c r="A93" s="10" t="s">
        <v>439</v>
      </c>
      <c r="C93" s="39">
        <v>19.804300000000001</v>
      </c>
      <c r="D93" s="39">
        <v>19.8979</v>
      </c>
    </row>
    <row r="94" spans="1:9" x14ac:dyDescent="0.2">
      <c r="A94" s="10" t="s">
        <v>471</v>
      </c>
      <c r="C94" s="39">
        <v>10.853300000000001</v>
      </c>
      <c r="D94" s="39">
        <v>10.9047</v>
      </c>
    </row>
    <row r="96" spans="1:9" ht="10.5" x14ac:dyDescent="0.25">
      <c r="A96" s="17" t="s">
        <v>185</v>
      </c>
      <c r="D96" s="40" t="s">
        <v>186</v>
      </c>
    </row>
    <row r="98" spans="1:5" ht="10.5" x14ac:dyDescent="0.25">
      <c r="A98" s="17" t="s">
        <v>187</v>
      </c>
      <c r="D98" s="41">
        <v>3.00614000027397</v>
      </c>
      <c r="E98" s="15" t="s">
        <v>188</v>
      </c>
    </row>
    <row r="100" spans="1:5" ht="10.5" x14ac:dyDescent="0.25">
      <c r="A100" s="17" t="s">
        <v>189</v>
      </c>
      <c r="D100" s="40">
        <v>3</v>
      </c>
    </row>
    <row r="101" spans="1:5" x14ac:dyDescent="0.2">
      <c r="A101" s="10" t="s">
        <v>353</v>
      </c>
    </row>
    <row r="102" spans="1:5" x14ac:dyDescent="0.2">
      <c r="A102" s="87" t="s">
        <v>1546</v>
      </c>
    </row>
    <row r="103" spans="1:5" ht="14.5" x14ac:dyDescent="0.35">
      <c r="A103" s="46"/>
    </row>
    <row r="104" spans="1:5" ht="10.5" x14ac:dyDescent="0.25">
      <c r="A104" s="17" t="s">
        <v>1588</v>
      </c>
    </row>
    <row r="106" spans="1:5" x14ac:dyDescent="0.2">
      <c r="A106" s="10" t="s">
        <v>1589</v>
      </c>
    </row>
    <row r="108" spans="1:5" ht="63" x14ac:dyDescent="0.2">
      <c r="A108" s="8" t="s">
        <v>2</v>
      </c>
      <c r="B108" s="85" t="s">
        <v>1583</v>
      </c>
      <c r="C108" s="85" t="s">
        <v>1655</v>
      </c>
      <c r="D108" s="85" t="s">
        <v>1584</v>
      </c>
      <c r="E108" s="85" t="s">
        <v>1618</v>
      </c>
    </row>
    <row r="109" spans="1:5" x14ac:dyDescent="0.2">
      <c r="A109" s="81" t="s">
        <v>1620</v>
      </c>
      <c r="B109" s="81" t="s">
        <v>1641</v>
      </c>
      <c r="C109" s="82">
        <v>0</v>
      </c>
      <c r="D109" s="83">
        <v>0</v>
      </c>
      <c r="E109" s="82">
        <v>4196.9799199999998</v>
      </c>
    </row>
    <row r="110" spans="1:5" x14ac:dyDescent="0.2">
      <c r="A110" s="81" t="s">
        <v>1587</v>
      </c>
      <c r="B110" s="81" t="s">
        <v>1637</v>
      </c>
      <c r="C110" s="82">
        <v>0</v>
      </c>
      <c r="D110" s="83">
        <v>0</v>
      </c>
      <c r="E110" s="82">
        <v>4599.2877200000003</v>
      </c>
    </row>
    <row r="111" spans="1:5" x14ac:dyDescent="0.2">
      <c r="A111" s="81" t="s">
        <v>1586</v>
      </c>
      <c r="B111" s="81" t="s">
        <v>1638</v>
      </c>
      <c r="C111" s="82">
        <v>0</v>
      </c>
      <c r="D111" s="83">
        <v>0</v>
      </c>
      <c r="E111" s="82">
        <v>1118.7686609220111</v>
      </c>
    </row>
    <row r="112" spans="1:5" x14ac:dyDescent="0.2">
      <c r="A112" s="81" t="s">
        <v>1585</v>
      </c>
      <c r="B112" s="81" t="s">
        <v>1640</v>
      </c>
      <c r="C112" s="82">
        <v>0</v>
      </c>
      <c r="D112" s="83">
        <v>0</v>
      </c>
      <c r="E112" s="82">
        <v>1995.2654285934427</v>
      </c>
    </row>
    <row r="114" spans="1:6" x14ac:dyDescent="0.2">
      <c r="A114" s="58" t="s">
        <v>1656</v>
      </c>
    </row>
    <row r="115" spans="1:6" x14ac:dyDescent="0.2">
      <c r="A115" s="58"/>
    </row>
    <row r="116" spans="1:6" ht="35.15" customHeight="1" x14ac:dyDescent="0.25">
      <c r="A116" s="106" t="s">
        <v>1651</v>
      </c>
      <c r="B116" s="106"/>
      <c r="C116" s="106"/>
      <c r="D116" s="106"/>
      <c r="E116" s="106"/>
      <c r="F116" s="106"/>
    </row>
    <row r="117" spans="1:6" x14ac:dyDescent="0.2">
      <c r="A117" s="86" t="s">
        <v>1579</v>
      </c>
    </row>
    <row r="118" spans="1:6" x14ac:dyDescent="0.2">
      <c r="A118" s="87"/>
    </row>
    <row r="119" spans="1:6" ht="50.15" customHeight="1" x14ac:dyDescent="0.2">
      <c r="A119" s="102" t="s">
        <v>1621</v>
      </c>
      <c r="B119" s="102"/>
      <c r="C119" s="102"/>
      <c r="D119" s="102"/>
      <c r="E119" s="102"/>
      <c r="F119" s="102"/>
    </row>
    <row r="120" spans="1:6" ht="10.5" x14ac:dyDescent="0.2">
      <c r="A120" s="88" t="s">
        <v>1547</v>
      </c>
      <c r="B120" s="84"/>
      <c r="C120" s="84"/>
      <c r="D120" s="84"/>
      <c r="E120" s="84"/>
      <c r="F120" s="84"/>
    </row>
    <row r="121" spans="1:6" ht="15" customHeight="1" x14ac:dyDescent="0.2">
      <c r="A121" s="104" t="s">
        <v>1548</v>
      </c>
      <c r="B121" s="104"/>
      <c r="C121" s="104"/>
      <c r="D121" s="104"/>
      <c r="E121" s="104"/>
      <c r="F121" s="104"/>
    </row>
    <row r="122" spans="1:6" ht="11.15" customHeight="1" x14ac:dyDescent="0.35">
      <c r="A122" s="46"/>
    </row>
    <row r="123" spans="1:6" ht="30" customHeight="1" x14ac:dyDescent="0.2">
      <c r="A123" s="103" t="s">
        <v>1563</v>
      </c>
      <c r="B123" s="103"/>
      <c r="C123" s="103"/>
      <c r="D123" s="103"/>
      <c r="E123" s="103"/>
      <c r="F123" s="103"/>
    </row>
    <row r="124" spans="1:6" ht="10.5" x14ac:dyDescent="0.25">
      <c r="A124" s="17" t="s">
        <v>1551</v>
      </c>
      <c r="B124" s="70"/>
      <c r="C124" s="70"/>
      <c r="D124" s="70"/>
      <c r="E124" s="70"/>
      <c r="F124" s="70"/>
    </row>
    <row r="125" spans="1:6" ht="10.5" x14ac:dyDescent="0.2">
      <c r="A125" s="70"/>
      <c r="B125" s="70"/>
      <c r="C125" s="70"/>
      <c r="D125" s="70"/>
      <c r="E125" s="70"/>
      <c r="F125" s="70"/>
    </row>
    <row r="128" spans="1:6" s="1" customFormat="1" ht="14" x14ac:dyDescent="0.25">
      <c r="A128" s="96" t="s">
        <v>537</v>
      </c>
      <c r="B128" s="97"/>
      <c r="C128" s="97"/>
      <c r="D128" s="97"/>
      <c r="E128" s="97"/>
      <c r="F128" s="97"/>
    </row>
    <row r="129" spans="1:9" ht="10.5" x14ac:dyDescent="0.25">
      <c r="A129" s="17" t="s">
        <v>6</v>
      </c>
    </row>
    <row r="130" spans="1:9" s="1" customFormat="1" ht="17.5" customHeight="1" x14ac:dyDescent="0.25">
      <c r="A130" s="8" t="s">
        <v>2</v>
      </c>
      <c r="B130" s="8" t="s">
        <v>0</v>
      </c>
      <c r="C130" s="8" t="s">
        <v>169</v>
      </c>
      <c r="D130" s="48" t="s">
        <v>1</v>
      </c>
      <c r="E130" s="9" t="s">
        <v>3</v>
      </c>
      <c r="F130" s="9" t="s">
        <v>4</v>
      </c>
    </row>
    <row r="131" spans="1:9" ht="10.5" x14ac:dyDescent="0.25">
      <c r="A131" s="20" t="s">
        <v>56</v>
      </c>
      <c r="B131" s="21"/>
      <c r="C131" s="21"/>
      <c r="D131" s="22"/>
      <c r="E131" s="23"/>
      <c r="F131" s="24"/>
    </row>
    <row r="132" spans="1:9" ht="10.5" x14ac:dyDescent="0.25">
      <c r="A132" s="25" t="s">
        <v>57</v>
      </c>
      <c r="B132" s="26"/>
      <c r="C132" s="26"/>
      <c r="D132" s="27"/>
      <c r="E132" s="28"/>
      <c r="F132" s="29"/>
    </row>
    <row r="133" spans="1:9" x14ac:dyDescent="0.2">
      <c r="A133" s="26" t="s">
        <v>356</v>
      </c>
      <c r="B133" s="26" t="s">
        <v>355</v>
      </c>
      <c r="C133" s="26" t="s">
        <v>357</v>
      </c>
      <c r="D133" s="30">
        <v>3370</v>
      </c>
      <c r="E133" s="28">
        <v>0</v>
      </c>
      <c r="F133" s="53">
        <v>100</v>
      </c>
    </row>
    <row r="134" spans="1:9" ht="10.5" x14ac:dyDescent="0.25">
      <c r="A134" s="25" t="s">
        <v>153</v>
      </c>
      <c r="B134" s="25"/>
      <c r="C134" s="25"/>
      <c r="D134" s="31"/>
      <c r="E134" s="32">
        <f>SUM(E132:E133)</f>
        <v>0</v>
      </c>
      <c r="F134" s="52">
        <f>SUM(F132:F133)</f>
        <v>100</v>
      </c>
      <c r="G134" s="17"/>
      <c r="H134" s="17"/>
      <c r="I134" s="17"/>
    </row>
    <row r="135" spans="1:9" x14ac:dyDescent="0.2">
      <c r="A135" s="26"/>
      <c r="B135" s="26"/>
      <c r="C135" s="26"/>
      <c r="D135" s="27"/>
      <c r="E135" s="28"/>
      <c r="F135" s="50"/>
    </row>
    <row r="136" spans="1:9" ht="10.5" x14ac:dyDescent="0.25">
      <c r="A136" s="25" t="s">
        <v>166</v>
      </c>
      <c r="B136" s="25"/>
      <c r="C136" s="25"/>
      <c r="D136" s="31"/>
      <c r="E136" s="32">
        <f>E134</f>
        <v>0</v>
      </c>
      <c r="F136" s="52">
        <f>F134</f>
        <v>100</v>
      </c>
      <c r="G136" s="17"/>
      <c r="H136" s="17"/>
      <c r="I136" s="17"/>
    </row>
    <row r="137" spans="1:9" ht="10.5" x14ac:dyDescent="0.25">
      <c r="A137" s="25"/>
      <c r="B137" s="25"/>
      <c r="C137" s="25"/>
      <c r="D137" s="31"/>
      <c r="E137" s="32"/>
      <c r="F137" s="52"/>
      <c r="G137" s="17"/>
      <c r="H137" s="17"/>
      <c r="I137" s="17"/>
    </row>
    <row r="138" spans="1:9" ht="10.5" x14ac:dyDescent="0.25">
      <c r="A138" s="25" t="s">
        <v>168</v>
      </c>
      <c r="B138" s="25"/>
      <c r="C138" s="25"/>
      <c r="D138" s="31"/>
      <c r="E138" s="32">
        <f>E140-(E134)</f>
        <v>0</v>
      </c>
      <c r="F138" s="33">
        <v>0</v>
      </c>
      <c r="G138" s="17"/>
      <c r="H138" s="17"/>
      <c r="I138" s="17"/>
    </row>
    <row r="139" spans="1:9" ht="10.5" x14ac:dyDescent="0.25">
      <c r="A139" s="25"/>
      <c r="B139" s="25"/>
      <c r="C139" s="25"/>
      <c r="D139" s="31"/>
      <c r="E139" s="32"/>
      <c r="F139" s="52"/>
      <c r="G139" s="17"/>
      <c r="H139" s="17"/>
      <c r="I139" s="17"/>
    </row>
    <row r="140" spans="1:9" ht="10.5" x14ac:dyDescent="0.25">
      <c r="A140" s="34" t="s">
        <v>167</v>
      </c>
      <c r="B140" s="34"/>
      <c r="C140" s="34"/>
      <c r="D140" s="35"/>
      <c r="E140" s="36">
        <v>0</v>
      </c>
      <c r="F140" s="55">
        <v>100</v>
      </c>
      <c r="G140" s="17"/>
      <c r="H140" s="17"/>
      <c r="I140" s="17"/>
    </row>
    <row r="141" spans="1:9" ht="10.5" x14ac:dyDescent="0.25">
      <c r="F141" s="19"/>
    </row>
    <row r="142" spans="1:9" ht="10.5" x14ac:dyDescent="0.25">
      <c r="A142" s="59" t="s">
        <v>170</v>
      </c>
    </row>
    <row r="143" spans="1:9" ht="10.5" x14ac:dyDescent="0.25">
      <c r="A143" s="59" t="s">
        <v>1490</v>
      </c>
    </row>
    <row r="144" spans="1:9" ht="10.5" x14ac:dyDescent="0.25">
      <c r="A144" s="17" t="s">
        <v>1650</v>
      </c>
    </row>
    <row r="146" spans="1:6" ht="10.5" x14ac:dyDescent="0.25">
      <c r="A146" s="17" t="s">
        <v>171</v>
      </c>
    </row>
    <row r="147" spans="1:6" ht="10.5" x14ac:dyDescent="0.25">
      <c r="A147" s="17" t="s">
        <v>172</v>
      </c>
    </row>
    <row r="148" spans="1:6" ht="10.5" x14ac:dyDescent="0.25">
      <c r="A148" s="17" t="s">
        <v>173</v>
      </c>
      <c r="B148" s="17"/>
      <c r="C148" s="38" t="s">
        <v>175</v>
      </c>
      <c r="D148" s="18" t="s">
        <v>174</v>
      </c>
    </row>
    <row r="149" spans="1:6" x14ac:dyDescent="0.2">
      <c r="A149" s="10" t="s">
        <v>436</v>
      </c>
      <c r="C149" s="39">
        <v>0</v>
      </c>
      <c r="D149" s="39">
        <v>0</v>
      </c>
    </row>
    <row r="150" spans="1:6" x14ac:dyDescent="0.2">
      <c r="A150" s="10" t="s">
        <v>470</v>
      </c>
      <c r="C150" s="39">
        <v>0</v>
      </c>
      <c r="D150" s="39">
        <v>0</v>
      </c>
    </row>
    <row r="151" spans="1:6" x14ac:dyDescent="0.2">
      <c r="A151" s="10" t="s">
        <v>439</v>
      </c>
      <c r="C151" s="39">
        <v>0</v>
      </c>
      <c r="D151" s="39">
        <v>0</v>
      </c>
    </row>
    <row r="152" spans="1:6" x14ac:dyDescent="0.2">
      <c r="A152" s="10" t="s">
        <v>471</v>
      </c>
      <c r="C152" s="39">
        <v>0</v>
      </c>
      <c r="D152" s="39">
        <v>0</v>
      </c>
    </row>
    <row r="154" spans="1:6" ht="10.5" x14ac:dyDescent="0.25">
      <c r="A154" s="17" t="s">
        <v>1550</v>
      </c>
      <c r="D154" s="40" t="s">
        <v>186</v>
      </c>
    </row>
    <row r="155" spans="1:6" x14ac:dyDescent="0.2">
      <c r="A155" s="10" t="s">
        <v>353</v>
      </c>
    </row>
    <row r="156" spans="1:6" x14ac:dyDescent="0.2">
      <c r="A156" s="87" t="s">
        <v>1546</v>
      </c>
    </row>
    <row r="160" spans="1:6" s="1" customFormat="1" ht="14" x14ac:dyDescent="0.25">
      <c r="A160" s="96" t="s">
        <v>538</v>
      </c>
      <c r="B160" s="97"/>
      <c r="C160" s="97"/>
      <c r="D160" s="97"/>
      <c r="E160" s="97"/>
      <c r="F160" s="97"/>
    </row>
    <row r="161" spans="1:9" ht="10.5" x14ac:dyDescent="0.25">
      <c r="A161" s="17" t="s">
        <v>6</v>
      </c>
    </row>
    <row r="162" spans="1:9" s="1" customFormat="1" ht="17.5" customHeight="1" x14ac:dyDescent="0.25">
      <c r="A162" s="8" t="s">
        <v>2</v>
      </c>
      <c r="B162" s="8" t="s">
        <v>0</v>
      </c>
      <c r="C162" s="8" t="s">
        <v>169</v>
      </c>
      <c r="D162" s="48" t="s">
        <v>1</v>
      </c>
      <c r="E162" s="9" t="s">
        <v>3</v>
      </c>
      <c r="F162" s="9" t="s">
        <v>4</v>
      </c>
    </row>
    <row r="163" spans="1:9" ht="10.5" x14ac:dyDescent="0.25">
      <c r="A163" s="20" t="s">
        <v>56</v>
      </c>
      <c r="B163" s="21"/>
      <c r="C163" s="21"/>
      <c r="D163" s="22"/>
      <c r="E163" s="23"/>
      <c r="F163" s="24"/>
    </row>
    <row r="164" spans="1:9" ht="10.5" x14ac:dyDescent="0.25">
      <c r="A164" s="25" t="s">
        <v>57</v>
      </c>
      <c r="B164" s="26"/>
      <c r="C164" s="26"/>
      <c r="D164" s="27"/>
      <c r="E164" s="28"/>
      <c r="F164" s="29"/>
    </row>
    <row r="165" spans="1:9" x14ac:dyDescent="0.2">
      <c r="A165" s="26" t="s">
        <v>360</v>
      </c>
      <c r="B165" s="26" t="s">
        <v>359</v>
      </c>
      <c r="C165" s="26" t="s">
        <v>361</v>
      </c>
      <c r="D165" s="30">
        <v>1695</v>
      </c>
      <c r="E165" s="28">
        <v>0</v>
      </c>
      <c r="F165" s="53">
        <v>100</v>
      </c>
    </row>
    <row r="166" spans="1:9" ht="10.5" x14ac:dyDescent="0.25">
      <c r="A166" s="25" t="s">
        <v>153</v>
      </c>
      <c r="B166" s="25"/>
      <c r="C166" s="25"/>
      <c r="D166" s="31"/>
      <c r="E166" s="32">
        <f>SUM(E164:E165)</f>
        <v>0</v>
      </c>
      <c r="F166" s="52">
        <f>SUM(F164:F165)</f>
        <v>100</v>
      </c>
      <c r="G166" s="17"/>
      <c r="H166" s="17"/>
      <c r="I166" s="17"/>
    </row>
    <row r="167" spans="1:9" x14ac:dyDescent="0.2">
      <c r="A167" s="26"/>
      <c r="B167" s="26"/>
      <c r="C167" s="26"/>
      <c r="D167" s="27"/>
      <c r="E167" s="28"/>
      <c r="F167" s="50"/>
    </row>
    <row r="168" spans="1:9" ht="10.5" x14ac:dyDescent="0.25">
      <c r="A168" s="25" t="s">
        <v>166</v>
      </c>
      <c r="B168" s="25"/>
      <c r="C168" s="25"/>
      <c r="D168" s="31"/>
      <c r="E168" s="32">
        <f>E166</f>
        <v>0</v>
      </c>
      <c r="F168" s="52">
        <f>F166</f>
        <v>100</v>
      </c>
      <c r="G168" s="17"/>
      <c r="H168" s="17"/>
      <c r="I168" s="17"/>
    </row>
    <row r="169" spans="1:9" ht="10.5" x14ac:dyDescent="0.25">
      <c r="A169" s="25"/>
      <c r="B169" s="25"/>
      <c r="C169" s="25"/>
      <c r="D169" s="31"/>
      <c r="E169" s="32"/>
      <c r="F169" s="52"/>
      <c r="G169" s="17"/>
      <c r="H169" s="17"/>
      <c r="I169" s="17"/>
    </row>
    <row r="170" spans="1:9" ht="10.5" x14ac:dyDescent="0.25">
      <c r="A170" s="25" t="s">
        <v>168</v>
      </c>
      <c r="B170" s="25"/>
      <c r="C170" s="25"/>
      <c r="D170" s="31"/>
      <c r="E170" s="32">
        <f>E172-(E166)</f>
        <v>0</v>
      </c>
      <c r="F170" s="33">
        <v>0</v>
      </c>
      <c r="G170" s="17"/>
      <c r="H170" s="17"/>
      <c r="I170" s="17"/>
    </row>
    <row r="171" spans="1:9" ht="10.5" x14ac:dyDescent="0.25">
      <c r="A171" s="25"/>
      <c r="B171" s="25"/>
      <c r="C171" s="25"/>
      <c r="D171" s="31"/>
      <c r="E171" s="32"/>
      <c r="F171" s="52"/>
      <c r="G171" s="17"/>
      <c r="H171" s="17"/>
      <c r="I171" s="17"/>
    </row>
    <row r="172" spans="1:9" ht="10.5" x14ac:dyDescent="0.25">
      <c r="A172" s="34" t="s">
        <v>167</v>
      </c>
      <c r="B172" s="34"/>
      <c r="C172" s="34"/>
      <c r="D172" s="35"/>
      <c r="E172" s="36">
        <v>0</v>
      </c>
      <c r="F172" s="55">
        <v>100</v>
      </c>
      <c r="G172" s="17"/>
      <c r="H172" s="17"/>
      <c r="I172" s="17"/>
    </row>
    <row r="173" spans="1:9" ht="10.5" x14ac:dyDescent="0.25">
      <c r="F173" s="19"/>
    </row>
    <row r="174" spans="1:9" ht="10.5" x14ac:dyDescent="0.25">
      <c r="A174" s="17" t="s">
        <v>170</v>
      </c>
    </row>
    <row r="175" spans="1:9" ht="10.5" x14ac:dyDescent="0.25">
      <c r="A175" s="59" t="s">
        <v>1490</v>
      </c>
    </row>
    <row r="177" spans="1:6" ht="10.5" x14ac:dyDescent="0.25">
      <c r="A177" s="17" t="s">
        <v>171</v>
      </c>
    </row>
    <row r="178" spans="1:6" ht="10.5" x14ac:dyDescent="0.25">
      <c r="A178" s="17" t="s">
        <v>172</v>
      </c>
    </row>
    <row r="179" spans="1:6" ht="10.5" x14ac:dyDescent="0.25">
      <c r="A179" s="17" t="s">
        <v>173</v>
      </c>
      <c r="B179" s="17"/>
      <c r="C179" s="38" t="s">
        <v>175</v>
      </c>
      <c r="D179" s="18" t="s">
        <v>174</v>
      </c>
    </row>
    <row r="180" spans="1:6" x14ac:dyDescent="0.2">
      <c r="A180" s="10" t="s">
        <v>436</v>
      </c>
      <c r="C180" s="39">
        <v>0</v>
      </c>
      <c r="D180" s="39">
        <v>0</v>
      </c>
    </row>
    <row r="181" spans="1:6" x14ac:dyDescent="0.2">
      <c r="A181" s="10" t="s">
        <v>470</v>
      </c>
      <c r="C181" s="39">
        <v>0</v>
      </c>
      <c r="D181" s="39">
        <v>0</v>
      </c>
    </row>
    <row r="182" spans="1:6" x14ac:dyDescent="0.2">
      <c r="A182" s="10" t="s">
        <v>439</v>
      </c>
      <c r="C182" s="39">
        <v>0</v>
      </c>
      <c r="D182" s="39">
        <v>0</v>
      </c>
    </row>
    <row r="183" spans="1:6" x14ac:dyDescent="0.2">
      <c r="A183" s="10" t="s">
        <v>471</v>
      </c>
      <c r="C183" s="39">
        <v>0</v>
      </c>
      <c r="D183" s="39">
        <v>0</v>
      </c>
    </row>
    <row r="185" spans="1:6" ht="10.5" x14ac:dyDescent="0.25">
      <c r="A185" s="17" t="s">
        <v>1550</v>
      </c>
      <c r="D185" s="40" t="s">
        <v>186</v>
      </c>
    </row>
    <row r="186" spans="1:6" s="58" customFormat="1" x14ac:dyDescent="0.2">
      <c r="A186" s="58" t="s">
        <v>353</v>
      </c>
      <c r="D186" s="68"/>
      <c r="E186" s="69"/>
      <c r="F186" s="16"/>
    </row>
    <row r="187" spans="1:6" s="58" customFormat="1" x14ac:dyDescent="0.2">
      <c r="A187" s="89" t="s">
        <v>1546</v>
      </c>
      <c r="D187" s="68"/>
      <c r="E187" s="69"/>
      <c r="F187" s="16"/>
    </row>
  </sheetData>
  <mergeCells count="7">
    <mergeCell ref="A1:F1"/>
    <mergeCell ref="A128:F128"/>
    <mergeCell ref="A160:F160"/>
    <mergeCell ref="A119:F119"/>
    <mergeCell ref="A123:F123"/>
    <mergeCell ref="A121:F121"/>
    <mergeCell ref="A116:F116"/>
  </mergeCells>
  <conditionalFormatting sqref="F2:F3 F5:F72 F131:F132 F163:F164 F122 F126:F127 F129 F142:F153 F161 F174:F184 F188:F65564 F157:F159 F75:F103 F117:F118 F108:F112 F114:F115">
    <cfRule type="cellIs" dxfId="64" priority="10" stopIfTrue="1" operator="between">
      <formula>0.009</formula>
      <formula>-0.009</formula>
    </cfRule>
  </conditionalFormatting>
  <conditionalFormatting sqref="F141">
    <cfRule type="cellIs" dxfId="63" priority="8" stopIfTrue="1" operator="between">
      <formula>0.009</formula>
      <formula>-0.009</formula>
    </cfRule>
  </conditionalFormatting>
  <conditionalFormatting sqref="F134:F137 F139:F140">
    <cfRule type="cellIs" dxfId="62" priority="7" stopIfTrue="1" operator="between">
      <formula>0.009</formula>
      <formula>-0.009</formula>
    </cfRule>
  </conditionalFormatting>
  <conditionalFormatting sqref="F154:F156">
    <cfRule type="cellIs" dxfId="61" priority="6" stopIfTrue="1" operator="between">
      <formula>0.009</formula>
      <formula>-0.009</formula>
    </cfRule>
  </conditionalFormatting>
  <conditionalFormatting sqref="F173">
    <cfRule type="cellIs" dxfId="60" priority="5" stopIfTrue="1" operator="between">
      <formula>0.009</formula>
      <formula>-0.009</formula>
    </cfRule>
  </conditionalFormatting>
  <conditionalFormatting sqref="F166:F169 F171:F172">
    <cfRule type="cellIs" dxfId="59" priority="4" stopIfTrue="1" operator="between">
      <formula>0.009</formula>
      <formula>-0.009</formula>
    </cfRule>
  </conditionalFormatting>
  <conditionalFormatting sqref="F185:F187">
    <cfRule type="cellIs" dxfId="58" priority="3" stopIfTrue="1" operator="between">
      <formula>0.009</formula>
      <formula>-0.009</formula>
    </cfRule>
  </conditionalFormatting>
  <conditionalFormatting sqref="F104:F107 F113">
    <cfRule type="cellIs" dxfId="57" priority="2" stopIfTrue="1" operator="between">
      <formula>0.009</formula>
      <formula>-0.009</formula>
    </cfRule>
  </conditionalFormatting>
  <hyperlinks>
    <hyperlink ref="A102" r:id="rId1" xr:uid="{00000000-0004-0000-0C00-000000000000}"/>
    <hyperlink ref="A156" r:id="rId2" xr:uid="{00000000-0004-0000-0C00-000001000000}"/>
    <hyperlink ref="A187" r:id="rId3" xr:uid="{00000000-0004-0000-0C00-000002000000}"/>
    <hyperlink ref="A120" r:id="rId4" xr:uid="{00000000-0004-0000-0C00-000003000000}"/>
    <hyperlink ref="A121" r:id="rId5" xr:uid="{00000000-0004-0000-0C00-000004000000}"/>
    <hyperlink ref="A117" r:id="rId6" xr:uid="{00000000-0004-0000-0C00-000005000000}"/>
  </hyperlinks>
  <pageMargins left="0.7" right="0.7" top="0.75" bottom="0.75" header="0.3" footer="0.3"/>
  <pageSetup paperSize="9" scale="46" orientation="portrait" r:id="rId7"/>
  <headerFooter>
    <oddFooter>&amp;LPUBLIC</oddFooter>
    <evenFooter>&amp;LPUBLIC</evenFooter>
    <firstFooter>&amp;LPUBLIC</firstFooter>
  </headerFooter>
  <rowBreaks count="2" manualBreakCount="2">
    <brk id="125" max="5" man="1"/>
    <brk id="157" max="5" man="1"/>
  </rowBreaks>
  <colBreaks count="1" manualBreakCount="1">
    <brk id="6"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48"/>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15</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1647</v>
      </c>
      <c r="B6" s="26"/>
      <c r="C6" s="26"/>
      <c r="D6" s="27"/>
      <c r="E6" s="28"/>
      <c r="F6" s="29"/>
    </row>
    <row r="7" spans="1:6" x14ac:dyDescent="0.2">
      <c r="A7" s="26" t="s">
        <v>723</v>
      </c>
      <c r="B7" s="26" t="s">
        <v>722</v>
      </c>
      <c r="C7" s="26" t="s">
        <v>282</v>
      </c>
      <c r="D7" s="30">
        <v>40</v>
      </c>
      <c r="E7" s="28">
        <v>505.4248</v>
      </c>
      <c r="F7" s="29">
        <v>10.050211561059699</v>
      </c>
    </row>
    <row r="8" spans="1:6" x14ac:dyDescent="0.2">
      <c r="A8" s="26" t="s">
        <v>725</v>
      </c>
      <c r="B8" s="26" t="s">
        <v>724</v>
      </c>
      <c r="C8" s="26" t="s">
        <v>152</v>
      </c>
      <c r="D8" s="30">
        <v>40</v>
      </c>
      <c r="E8" s="28">
        <v>503.51960000000003</v>
      </c>
      <c r="F8" s="29">
        <v>10.012327264392599</v>
      </c>
    </row>
    <row r="9" spans="1:6" x14ac:dyDescent="0.2">
      <c r="A9" s="26" t="s">
        <v>669</v>
      </c>
      <c r="B9" s="26" t="s">
        <v>668</v>
      </c>
      <c r="C9" s="26" t="s">
        <v>532</v>
      </c>
      <c r="D9" s="30">
        <v>42</v>
      </c>
      <c r="E9" s="28">
        <v>441.11340000000001</v>
      </c>
      <c r="F9" s="29">
        <v>8.7713998055069204</v>
      </c>
    </row>
    <row r="10" spans="1:6" x14ac:dyDescent="0.2">
      <c r="A10" s="26" t="s">
        <v>151</v>
      </c>
      <c r="B10" s="26" t="s">
        <v>150</v>
      </c>
      <c r="C10" s="26" t="s">
        <v>152</v>
      </c>
      <c r="D10" s="30">
        <v>41</v>
      </c>
      <c r="E10" s="28">
        <v>430.07974999999999</v>
      </c>
      <c r="F10" s="29">
        <v>8.5519991809418201</v>
      </c>
    </row>
    <row r="11" spans="1:6" x14ac:dyDescent="0.2">
      <c r="A11" s="26" t="s">
        <v>582</v>
      </c>
      <c r="B11" s="26" t="s">
        <v>581</v>
      </c>
      <c r="C11" s="26" t="s">
        <v>492</v>
      </c>
      <c r="D11" s="30">
        <v>41</v>
      </c>
      <c r="E11" s="28">
        <v>430.07195999999999</v>
      </c>
      <c r="F11" s="29">
        <v>8.5518442792669092</v>
      </c>
    </row>
    <row r="12" spans="1:6" x14ac:dyDescent="0.2">
      <c r="A12" s="26" t="s">
        <v>550</v>
      </c>
      <c r="B12" s="26" t="s">
        <v>549</v>
      </c>
      <c r="C12" s="26" t="s">
        <v>541</v>
      </c>
      <c r="D12" s="30">
        <v>40</v>
      </c>
      <c r="E12" s="28">
        <v>414.12720000000002</v>
      </c>
      <c r="F12" s="29">
        <v>8.2347877927424609</v>
      </c>
    </row>
    <row r="13" spans="1:6" x14ac:dyDescent="0.2">
      <c r="A13" s="26" t="s">
        <v>666</v>
      </c>
      <c r="B13" s="26" t="s">
        <v>665</v>
      </c>
      <c r="C13" s="26" t="s">
        <v>667</v>
      </c>
      <c r="D13" s="30">
        <v>37</v>
      </c>
      <c r="E13" s="28">
        <v>397.35631999999998</v>
      </c>
      <c r="F13" s="29">
        <v>7.9013041724983699</v>
      </c>
    </row>
    <row r="14" spans="1:6" x14ac:dyDescent="0.2">
      <c r="A14" s="26" t="s">
        <v>594</v>
      </c>
      <c r="B14" s="26" t="s">
        <v>593</v>
      </c>
      <c r="C14" s="26" t="s">
        <v>152</v>
      </c>
      <c r="D14" s="30">
        <v>30</v>
      </c>
      <c r="E14" s="28">
        <v>362.37180000000001</v>
      </c>
      <c r="F14" s="29">
        <v>7.2056481078135297</v>
      </c>
    </row>
    <row r="15" spans="1:6" x14ac:dyDescent="0.2">
      <c r="A15" s="26" t="s">
        <v>580</v>
      </c>
      <c r="B15" s="26" t="s">
        <v>579</v>
      </c>
      <c r="C15" s="26" t="s">
        <v>152</v>
      </c>
      <c r="D15" s="30">
        <v>30</v>
      </c>
      <c r="E15" s="28">
        <v>315.69389999999999</v>
      </c>
      <c r="F15" s="29">
        <v>6.2774728971274101</v>
      </c>
    </row>
    <row r="16" spans="1:6" x14ac:dyDescent="0.2">
      <c r="A16" s="26" t="s">
        <v>727</v>
      </c>
      <c r="B16" s="26" t="s">
        <v>726</v>
      </c>
      <c r="C16" s="26" t="s">
        <v>282</v>
      </c>
      <c r="D16" s="30">
        <v>21</v>
      </c>
      <c r="E16" s="28">
        <v>260.31914999999998</v>
      </c>
      <c r="F16" s="29">
        <v>5.1763635874125002</v>
      </c>
    </row>
    <row r="17" spans="1:9" x14ac:dyDescent="0.2">
      <c r="A17" s="26" t="s">
        <v>729</v>
      </c>
      <c r="B17" s="26" t="s">
        <v>728</v>
      </c>
      <c r="C17" s="26" t="s">
        <v>152</v>
      </c>
      <c r="D17" s="30">
        <v>19</v>
      </c>
      <c r="E17" s="28">
        <v>236.14245</v>
      </c>
      <c r="F17" s="29">
        <v>4.6956175894949599</v>
      </c>
    </row>
    <row r="18" spans="1:9" x14ac:dyDescent="0.2">
      <c r="A18" s="26" t="s">
        <v>731</v>
      </c>
      <c r="B18" s="26" t="s">
        <v>730</v>
      </c>
      <c r="C18" s="26" t="s">
        <v>492</v>
      </c>
      <c r="D18" s="30">
        <v>18</v>
      </c>
      <c r="E18" s="28">
        <v>189.36395999999999</v>
      </c>
      <c r="F18" s="29">
        <v>3.76544217861897</v>
      </c>
    </row>
    <row r="19" spans="1:9" x14ac:dyDescent="0.2">
      <c r="A19" s="26" t="s">
        <v>733</v>
      </c>
      <c r="B19" s="26" t="s">
        <v>732</v>
      </c>
      <c r="C19" s="26" t="s">
        <v>152</v>
      </c>
      <c r="D19" s="30">
        <v>12</v>
      </c>
      <c r="E19" s="28">
        <v>147.56700000000001</v>
      </c>
      <c r="F19" s="29">
        <v>2.9343229090280198</v>
      </c>
    </row>
    <row r="20" spans="1:9" x14ac:dyDescent="0.2">
      <c r="A20" s="26" t="s">
        <v>552</v>
      </c>
      <c r="B20" s="26" t="s">
        <v>551</v>
      </c>
      <c r="C20" s="26" t="s">
        <v>152</v>
      </c>
      <c r="D20" s="30">
        <v>10</v>
      </c>
      <c r="E20" s="28">
        <v>104.8485</v>
      </c>
      <c r="F20" s="29">
        <v>2.0848791093349099</v>
      </c>
    </row>
    <row r="21" spans="1:9" x14ac:dyDescent="0.2">
      <c r="A21" s="26" t="s">
        <v>547</v>
      </c>
      <c r="B21" s="26" t="s">
        <v>546</v>
      </c>
      <c r="C21" s="26" t="s">
        <v>548</v>
      </c>
      <c r="D21" s="30">
        <v>5</v>
      </c>
      <c r="E21" s="28">
        <v>51.581299999999999</v>
      </c>
      <c r="F21" s="29">
        <v>1.02567776174515</v>
      </c>
    </row>
    <row r="22" spans="1:9" ht="10.5" x14ac:dyDescent="0.25">
      <c r="A22" s="25" t="s">
        <v>153</v>
      </c>
      <c r="B22" s="25"/>
      <c r="C22" s="25"/>
      <c r="D22" s="31"/>
      <c r="E22" s="32">
        <f>SUM(E6:E21)</f>
        <v>4789.5810899999988</v>
      </c>
      <c r="F22" s="33">
        <f>SUM(F6:F21)</f>
        <v>95.239298196984222</v>
      </c>
      <c r="G22" s="17"/>
      <c r="H22" s="17"/>
      <c r="I22" s="17"/>
    </row>
    <row r="23" spans="1:9" x14ac:dyDescent="0.2">
      <c r="A23" s="26"/>
      <c r="B23" s="26"/>
      <c r="C23" s="26"/>
      <c r="D23" s="27"/>
      <c r="E23" s="28"/>
      <c r="F23" s="29"/>
    </row>
    <row r="24" spans="1:9" ht="10.5" x14ac:dyDescent="0.25">
      <c r="A24" s="25" t="s">
        <v>166</v>
      </c>
      <c r="B24" s="25"/>
      <c r="C24" s="25"/>
      <c r="D24" s="31"/>
      <c r="E24" s="32">
        <f>E22</f>
        <v>4789.5810899999988</v>
      </c>
      <c r="F24" s="33">
        <f>F22</f>
        <v>95.239298196984222</v>
      </c>
      <c r="G24" s="17"/>
      <c r="H24" s="17"/>
      <c r="I24" s="17"/>
    </row>
    <row r="25" spans="1:9" ht="10.5" x14ac:dyDescent="0.25">
      <c r="A25" s="25"/>
      <c r="B25" s="25"/>
      <c r="C25" s="25"/>
      <c r="D25" s="31"/>
      <c r="E25" s="32"/>
      <c r="F25" s="33"/>
      <c r="G25" s="17"/>
      <c r="H25" s="17"/>
      <c r="I25" s="17"/>
    </row>
    <row r="26" spans="1:9" ht="10.5" x14ac:dyDescent="0.25">
      <c r="A26" s="25" t="s">
        <v>168</v>
      </c>
      <c r="B26" s="25"/>
      <c r="C26" s="25"/>
      <c r="D26" s="31"/>
      <c r="E26" s="32">
        <f>E28-(E22)</f>
        <v>239.41553290000138</v>
      </c>
      <c r="F26" s="33">
        <f>F28-(F22)</f>
        <v>4.7607018030157775</v>
      </c>
      <c r="G26" s="17"/>
      <c r="H26" s="17"/>
      <c r="I26" s="17"/>
    </row>
    <row r="27" spans="1:9" ht="10.5" x14ac:dyDescent="0.25">
      <c r="A27" s="25"/>
      <c r="B27" s="25"/>
      <c r="C27" s="25"/>
      <c r="D27" s="31"/>
      <c r="E27" s="32"/>
      <c r="F27" s="33"/>
      <c r="G27" s="17"/>
      <c r="H27" s="17"/>
      <c r="I27" s="17"/>
    </row>
    <row r="28" spans="1:9" ht="10.5" x14ac:dyDescent="0.25">
      <c r="A28" s="34" t="s">
        <v>167</v>
      </c>
      <c r="B28" s="34"/>
      <c r="C28" s="34"/>
      <c r="D28" s="35"/>
      <c r="E28" s="36">
        <v>5028.9966229000001</v>
      </c>
      <c r="F28" s="37">
        <v>100</v>
      </c>
      <c r="G28" s="17"/>
      <c r="H28" s="17"/>
      <c r="I28" s="17"/>
    </row>
    <row r="30" spans="1:9" ht="10.5" x14ac:dyDescent="0.25">
      <c r="A30" s="17" t="s">
        <v>170</v>
      </c>
    </row>
    <row r="32" spans="1:9" ht="10.5" x14ac:dyDescent="0.25">
      <c r="A32" s="17" t="s">
        <v>171</v>
      </c>
    </row>
    <row r="33" spans="1:5" ht="10.5" x14ac:dyDescent="0.25">
      <c r="A33" s="17" t="s">
        <v>172</v>
      </c>
    </row>
    <row r="34" spans="1:5" ht="10.5" x14ac:dyDescent="0.25">
      <c r="A34" s="17" t="s">
        <v>173</v>
      </c>
      <c r="B34" s="17"/>
      <c r="C34" s="38" t="s">
        <v>175</v>
      </c>
      <c r="D34" s="18" t="s">
        <v>174</v>
      </c>
    </row>
    <row r="35" spans="1:5" x14ac:dyDescent="0.2">
      <c r="A35" s="10" t="s">
        <v>436</v>
      </c>
      <c r="C35" s="39">
        <v>11.0458</v>
      </c>
      <c r="D35" s="39">
        <v>11.719799999999999</v>
      </c>
    </row>
    <row r="36" spans="1:5" x14ac:dyDescent="0.2">
      <c r="A36" s="10" t="s">
        <v>734</v>
      </c>
      <c r="C36" s="39">
        <v>10.2697</v>
      </c>
      <c r="D36" s="39">
        <v>10.8963</v>
      </c>
    </row>
    <row r="37" spans="1:5" x14ac:dyDescent="0.2">
      <c r="A37" s="10" t="s">
        <v>438</v>
      </c>
      <c r="C37" s="39">
        <v>10.2654</v>
      </c>
      <c r="D37" s="39">
        <v>10.507099999999999</v>
      </c>
    </row>
    <row r="38" spans="1:5" x14ac:dyDescent="0.2">
      <c r="A38" s="10" t="s">
        <v>439</v>
      </c>
      <c r="C38" s="39">
        <v>11.0687</v>
      </c>
      <c r="D38" s="39">
        <v>11.755800000000001</v>
      </c>
    </row>
    <row r="40" spans="1:5" ht="10.5" x14ac:dyDescent="0.25">
      <c r="A40" s="17" t="s">
        <v>185</v>
      </c>
    </row>
    <row r="41" spans="1:5" ht="12.5" x14ac:dyDescent="0.25">
      <c r="A41" s="100" t="s">
        <v>350</v>
      </c>
      <c r="B41" s="101"/>
      <c r="C41" s="98" t="s">
        <v>1658</v>
      </c>
      <c r="D41" s="99"/>
    </row>
    <row r="42" spans="1:5" ht="10.5" x14ac:dyDescent="0.25">
      <c r="A42" s="100"/>
      <c r="B42" s="101"/>
      <c r="C42" s="43" t="s">
        <v>351</v>
      </c>
      <c r="D42" s="44" t="s">
        <v>352</v>
      </c>
    </row>
    <row r="43" spans="1:5" x14ac:dyDescent="0.2">
      <c r="A43" s="94" t="s">
        <v>438</v>
      </c>
      <c r="B43" s="95"/>
      <c r="C43" s="45">
        <v>0.38</v>
      </c>
      <c r="D43" s="45">
        <v>0.38</v>
      </c>
    </row>
    <row r="44" spans="1:5" x14ac:dyDescent="0.2">
      <c r="A44" s="90" t="s">
        <v>1657</v>
      </c>
    </row>
    <row r="46" spans="1:5" ht="10.5" x14ac:dyDescent="0.25">
      <c r="A46" s="17" t="s">
        <v>187</v>
      </c>
      <c r="D46" s="41">
        <v>1.37356407021918</v>
      </c>
      <c r="E46" s="15" t="s">
        <v>188</v>
      </c>
    </row>
    <row r="48" spans="1:5" ht="10.5" x14ac:dyDescent="0.25">
      <c r="A48" s="17" t="s">
        <v>189</v>
      </c>
      <c r="D48" s="40" t="s">
        <v>186</v>
      </c>
    </row>
  </sheetData>
  <mergeCells count="5">
    <mergeCell ref="A1:F1"/>
    <mergeCell ref="C41:D41"/>
    <mergeCell ref="A41:B41"/>
    <mergeCell ref="A42:B42"/>
    <mergeCell ref="A43:B43"/>
  </mergeCells>
  <conditionalFormatting sqref="F2:F3 F5:F65537">
    <cfRule type="cellIs" dxfId="56"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0"/>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16</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1647</v>
      </c>
      <c r="B6" s="26"/>
      <c r="C6" s="26"/>
      <c r="D6" s="27"/>
      <c r="E6" s="28"/>
      <c r="F6" s="29"/>
    </row>
    <row r="7" spans="1:6" x14ac:dyDescent="0.2">
      <c r="A7" s="26" t="s">
        <v>594</v>
      </c>
      <c r="B7" s="26" t="s">
        <v>593</v>
      </c>
      <c r="C7" s="26" t="s">
        <v>152</v>
      </c>
      <c r="D7" s="30">
        <v>39</v>
      </c>
      <c r="E7" s="28">
        <v>471.08334000000002</v>
      </c>
      <c r="F7" s="29">
        <v>11.9795253250646</v>
      </c>
    </row>
    <row r="8" spans="1:6" x14ac:dyDescent="0.2">
      <c r="A8" s="26" t="s">
        <v>736</v>
      </c>
      <c r="B8" s="26" t="s">
        <v>735</v>
      </c>
      <c r="C8" s="26" t="s">
        <v>152</v>
      </c>
      <c r="D8" s="30">
        <v>39</v>
      </c>
      <c r="E8" s="28">
        <v>411.07871999999998</v>
      </c>
      <c r="F8" s="29">
        <v>10.4536236344829</v>
      </c>
    </row>
    <row r="9" spans="1:6" x14ac:dyDescent="0.2">
      <c r="A9" s="26" t="s">
        <v>738</v>
      </c>
      <c r="B9" s="26" t="s">
        <v>737</v>
      </c>
      <c r="C9" s="26" t="s">
        <v>152</v>
      </c>
      <c r="D9" s="30">
        <v>39</v>
      </c>
      <c r="E9" s="28">
        <v>407.59289999999999</v>
      </c>
      <c r="F9" s="29">
        <v>10.364980149513499</v>
      </c>
    </row>
    <row r="10" spans="1:6" x14ac:dyDescent="0.2">
      <c r="A10" s="26" t="s">
        <v>151</v>
      </c>
      <c r="B10" s="26" t="s">
        <v>150</v>
      </c>
      <c r="C10" s="26" t="s">
        <v>152</v>
      </c>
      <c r="D10" s="30">
        <v>38</v>
      </c>
      <c r="E10" s="28">
        <v>398.6105</v>
      </c>
      <c r="F10" s="29">
        <v>10.136560082100701</v>
      </c>
    </row>
    <row r="11" spans="1:6" x14ac:dyDescent="0.2">
      <c r="A11" s="26" t="s">
        <v>731</v>
      </c>
      <c r="B11" s="26" t="s">
        <v>730</v>
      </c>
      <c r="C11" s="26" t="s">
        <v>492</v>
      </c>
      <c r="D11" s="30">
        <v>37</v>
      </c>
      <c r="E11" s="28">
        <v>389.24813999999998</v>
      </c>
      <c r="F11" s="29">
        <v>9.8984777319111004</v>
      </c>
    </row>
    <row r="12" spans="1:6" x14ac:dyDescent="0.2">
      <c r="A12" s="26" t="s">
        <v>727</v>
      </c>
      <c r="B12" s="26" t="s">
        <v>726</v>
      </c>
      <c r="C12" s="26" t="s">
        <v>282</v>
      </c>
      <c r="D12" s="30">
        <v>29</v>
      </c>
      <c r="E12" s="28">
        <v>359.48835000000003</v>
      </c>
      <c r="F12" s="29">
        <v>9.1416941063776491</v>
      </c>
    </row>
    <row r="13" spans="1:6" x14ac:dyDescent="0.2">
      <c r="A13" s="26" t="s">
        <v>547</v>
      </c>
      <c r="B13" s="26" t="s">
        <v>546</v>
      </c>
      <c r="C13" s="26" t="s">
        <v>548</v>
      </c>
      <c r="D13" s="30">
        <v>34</v>
      </c>
      <c r="E13" s="28">
        <v>350.75283999999999</v>
      </c>
      <c r="F13" s="29">
        <v>8.9195523866718407</v>
      </c>
    </row>
    <row r="14" spans="1:6" x14ac:dyDescent="0.2">
      <c r="A14" s="26" t="s">
        <v>606</v>
      </c>
      <c r="B14" s="26" t="s">
        <v>605</v>
      </c>
      <c r="C14" s="26" t="s">
        <v>152</v>
      </c>
      <c r="D14" s="30">
        <v>27</v>
      </c>
      <c r="E14" s="28">
        <v>337.09365000000003</v>
      </c>
      <c r="F14" s="29">
        <v>8.5722027807085599</v>
      </c>
    </row>
    <row r="15" spans="1:6" x14ac:dyDescent="0.2">
      <c r="A15" s="26" t="s">
        <v>733</v>
      </c>
      <c r="B15" s="26" t="s">
        <v>732</v>
      </c>
      <c r="C15" s="26" t="s">
        <v>152</v>
      </c>
      <c r="D15" s="30">
        <v>24</v>
      </c>
      <c r="E15" s="28">
        <v>295.13400000000001</v>
      </c>
      <c r="F15" s="29">
        <v>7.5051799269480099</v>
      </c>
    </row>
    <row r="16" spans="1:6" x14ac:dyDescent="0.2">
      <c r="A16" s="26" t="s">
        <v>580</v>
      </c>
      <c r="B16" s="26" t="s">
        <v>579</v>
      </c>
      <c r="C16" s="26" t="s">
        <v>152</v>
      </c>
      <c r="D16" s="30">
        <v>13</v>
      </c>
      <c r="E16" s="28">
        <v>136.80069</v>
      </c>
      <c r="F16" s="29">
        <v>3.4788055343696</v>
      </c>
    </row>
    <row r="17" spans="1:9" x14ac:dyDescent="0.2">
      <c r="A17" s="26" t="s">
        <v>552</v>
      </c>
      <c r="B17" s="26" t="s">
        <v>551</v>
      </c>
      <c r="C17" s="26" t="s">
        <v>152</v>
      </c>
      <c r="D17" s="30">
        <v>12</v>
      </c>
      <c r="E17" s="28">
        <v>125.8182</v>
      </c>
      <c r="F17" s="29">
        <v>3.19952370477387</v>
      </c>
    </row>
    <row r="18" spans="1:9" x14ac:dyDescent="0.2">
      <c r="A18" s="26" t="s">
        <v>725</v>
      </c>
      <c r="B18" s="26" t="s">
        <v>724</v>
      </c>
      <c r="C18" s="26" t="s">
        <v>152</v>
      </c>
      <c r="D18" s="30">
        <v>4</v>
      </c>
      <c r="E18" s="28">
        <v>50.351959999999998</v>
      </c>
      <c r="F18" s="29">
        <v>1.2804370878126199</v>
      </c>
    </row>
    <row r="19" spans="1:9" x14ac:dyDescent="0.2">
      <c r="A19" s="26" t="s">
        <v>740</v>
      </c>
      <c r="B19" s="26" t="s">
        <v>739</v>
      </c>
      <c r="C19" s="26" t="s">
        <v>282</v>
      </c>
      <c r="D19" s="30">
        <v>1</v>
      </c>
      <c r="E19" s="28">
        <v>12.27623</v>
      </c>
      <c r="F19" s="29">
        <v>0.31218129722294602</v>
      </c>
    </row>
    <row r="20" spans="1:9" x14ac:dyDescent="0.2">
      <c r="A20" s="26" t="s">
        <v>550</v>
      </c>
      <c r="B20" s="26" t="s">
        <v>549</v>
      </c>
      <c r="C20" s="26" t="s">
        <v>541</v>
      </c>
      <c r="D20" s="30">
        <v>1</v>
      </c>
      <c r="E20" s="28">
        <v>10.35318</v>
      </c>
      <c r="F20" s="29">
        <v>0.263278641959515</v>
      </c>
    </row>
    <row r="21" spans="1:9" ht="10.5" x14ac:dyDescent="0.25">
      <c r="A21" s="25" t="s">
        <v>153</v>
      </c>
      <c r="B21" s="25"/>
      <c r="C21" s="25"/>
      <c r="D21" s="31"/>
      <c r="E21" s="32">
        <f>SUM(E6:E20)</f>
        <v>3755.6827000000003</v>
      </c>
      <c r="F21" s="33">
        <f>SUM(F6:F20)</f>
        <v>95.506022389917405</v>
      </c>
      <c r="G21" s="17"/>
      <c r="H21" s="17"/>
      <c r="I21" s="17"/>
    </row>
    <row r="22" spans="1:9" x14ac:dyDescent="0.2">
      <c r="A22" s="26"/>
      <c r="B22" s="26"/>
      <c r="C22" s="26"/>
      <c r="D22" s="27"/>
      <c r="E22" s="28"/>
      <c r="F22" s="29"/>
    </row>
    <row r="23" spans="1:9" ht="10.5" x14ac:dyDescent="0.25">
      <c r="A23" s="25" t="s">
        <v>166</v>
      </c>
      <c r="B23" s="25"/>
      <c r="C23" s="25"/>
      <c r="D23" s="31"/>
      <c r="E23" s="32">
        <f>E21</f>
        <v>3755.6827000000003</v>
      </c>
      <c r="F23" s="33">
        <f>F21</f>
        <v>95.506022389917405</v>
      </c>
      <c r="G23" s="17"/>
      <c r="H23" s="17"/>
      <c r="I23" s="17"/>
    </row>
    <row r="24" spans="1:9" ht="10.5" x14ac:dyDescent="0.25">
      <c r="A24" s="25"/>
      <c r="B24" s="25"/>
      <c r="C24" s="25"/>
      <c r="D24" s="31"/>
      <c r="E24" s="32"/>
      <c r="F24" s="33"/>
      <c r="G24" s="17"/>
      <c r="H24" s="17"/>
      <c r="I24" s="17"/>
    </row>
    <row r="25" spans="1:9" ht="10.5" x14ac:dyDescent="0.25">
      <c r="A25" s="25" t="s">
        <v>168</v>
      </c>
      <c r="B25" s="25"/>
      <c r="C25" s="25"/>
      <c r="D25" s="31"/>
      <c r="E25" s="32">
        <f>E27-(E21)</f>
        <v>176.72135789999993</v>
      </c>
      <c r="F25" s="33">
        <f>F27-(F21)</f>
        <v>4.4939776100825952</v>
      </c>
      <c r="G25" s="17"/>
      <c r="H25" s="17"/>
      <c r="I25" s="17"/>
    </row>
    <row r="26" spans="1:9" ht="10.5" x14ac:dyDescent="0.25">
      <c r="A26" s="25"/>
      <c r="B26" s="25"/>
      <c r="C26" s="25"/>
      <c r="D26" s="31"/>
      <c r="E26" s="32"/>
      <c r="F26" s="33"/>
      <c r="G26" s="17"/>
      <c r="H26" s="17"/>
      <c r="I26" s="17"/>
    </row>
    <row r="27" spans="1:9" ht="10.5" x14ac:dyDescent="0.25">
      <c r="A27" s="34" t="s">
        <v>167</v>
      </c>
      <c r="B27" s="34"/>
      <c r="C27" s="34"/>
      <c r="D27" s="35"/>
      <c r="E27" s="36">
        <v>3932.4040579000002</v>
      </c>
      <c r="F27" s="37">
        <v>100</v>
      </c>
      <c r="G27" s="17"/>
      <c r="H27" s="17"/>
      <c r="I27" s="17"/>
    </row>
    <row r="29" spans="1:9" ht="10.5" x14ac:dyDescent="0.25">
      <c r="A29" s="17" t="s">
        <v>170</v>
      </c>
    </row>
    <row r="31" spans="1:9" ht="10.5" x14ac:dyDescent="0.25">
      <c r="A31" s="17" t="s">
        <v>171</v>
      </c>
    </row>
    <row r="32" spans="1:9" ht="10.5" x14ac:dyDescent="0.25">
      <c r="A32" s="17" t="s">
        <v>172</v>
      </c>
    </row>
    <row r="33" spans="1:5" ht="10.5" x14ac:dyDescent="0.25">
      <c r="A33" s="17" t="s">
        <v>173</v>
      </c>
      <c r="B33" s="17"/>
      <c r="C33" s="38" t="s">
        <v>175</v>
      </c>
      <c r="D33" s="18" t="s">
        <v>174</v>
      </c>
    </row>
    <row r="34" spans="1:5" x14ac:dyDescent="0.2">
      <c r="A34" s="10" t="s">
        <v>436</v>
      </c>
      <c r="C34" s="39">
        <v>11.172499999999999</v>
      </c>
      <c r="D34" s="39">
        <v>11.8629</v>
      </c>
    </row>
    <row r="35" spans="1:5" x14ac:dyDescent="0.2">
      <c r="A35" s="10" t="s">
        <v>734</v>
      </c>
      <c r="C35" s="39">
        <v>10.3712</v>
      </c>
      <c r="D35" s="39">
        <v>11.012700000000001</v>
      </c>
    </row>
    <row r="36" spans="1:5" x14ac:dyDescent="0.2">
      <c r="A36" s="10" t="s">
        <v>438</v>
      </c>
      <c r="C36" s="39">
        <v>10.3628</v>
      </c>
      <c r="D36" s="39">
        <v>10.5839</v>
      </c>
    </row>
    <row r="37" spans="1:5" x14ac:dyDescent="0.2">
      <c r="A37" s="10" t="s">
        <v>439</v>
      </c>
      <c r="C37" s="39">
        <v>11.197699999999999</v>
      </c>
      <c r="D37" s="39">
        <v>11.9016</v>
      </c>
    </row>
    <row r="38" spans="1:5" x14ac:dyDescent="0.2">
      <c r="A38" s="10" t="s">
        <v>471</v>
      </c>
      <c r="C38" s="39">
        <v>10.396000000000001</v>
      </c>
      <c r="D38" s="39">
        <v>11.0496</v>
      </c>
    </row>
    <row r="39" spans="1:5" x14ac:dyDescent="0.2">
      <c r="A39" s="10" t="s">
        <v>441</v>
      </c>
      <c r="C39" s="39">
        <v>10.3871</v>
      </c>
      <c r="D39" s="39">
        <v>10.6206</v>
      </c>
    </row>
    <row r="41" spans="1:5" ht="10.5" x14ac:dyDescent="0.25">
      <c r="A41" s="17" t="s">
        <v>185</v>
      </c>
    </row>
    <row r="42" spans="1:5" ht="12.5" x14ac:dyDescent="0.25">
      <c r="A42" s="100" t="s">
        <v>350</v>
      </c>
      <c r="B42" s="101"/>
      <c r="C42" s="98" t="s">
        <v>1658</v>
      </c>
      <c r="D42" s="99"/>
    </row>
    <row r="43" spans="1:5" ht="10.5" x14ac:dyDescent="0.25">
      <c r="A43" s="100"/>
      <c r="B43" s="101"/>
      <c r="C43" s="43" t="s">
        <v>351</v>
      </c>
      <c r="D43" s="44" t="s">
        <v>352</v>
      </c>
    </row>
    <row r="44" spans="1:5" x14ac:dyDescent="0.2">
      <c r="A44" s="94" t="s">
        <v>438</v>
      </c>
      <c r="B44" s="95"/>
      <c r="C44" s="45">
        <v>0.41000000000000003</v>
      </c>
      <c r="D44" s="45">
        <v>0.41000000000000003</v>
      </c>
    </row>
    <row r="45" spans="1:5" x14ac:dyDescent="0.2">
      <c r="A45" s="94" t="s">
        <v>441</v>
      </c>
      <c r="B45" s="95"/>
      <c r="C45" s="45">
        <v>0.41000000000000003</v>
      </c>
      <c r="D45" s="45">
        <v>0.41000000000000003</v>
      </c>
    </row>
    <row r="46" spans="1:5" x14ac:dyDescent="0.2">
      <c r="A46" s="90" t="s">
        <v>1657</v>
      </c>
    </row>
    <row r="48" spans="1:5" ht="10.5" x14ac:dyDescent="0.25">
      <c r="A48" s="17" t="s">
        <v>187</v>
      </c>
      <c r="D48" s="41">
        <v>1.3084818091780801</v>
      </c>
      <c r="E48" s="15" t="s">
        <v>188</v>
      </c>
    </row>
    <row r="50" spans="1:4" ht="10.5" x14ac:dyDescent="0.25">
      <c r="A50" s="17" t="s">
        <v>189</v>
      </c>
      <c r="D50" s="40" t="s">
        <v>186</v>
      </c>
    </row>
  </sheetData>
  <mergeCells count="6">
    <mergeCell ref="A45:B45"/>
    <mergeCell ref="A1:F1"/>
    <mergeCell ref="C42:D42"/>
    <mergeCell ref="A42:B42"/>
    <mergeCell ref="A43:B43"/>
    <mergeCell ref="A44:B44"/>
  </mergeCells>
  <conditionalFormatting sqref="F2:F3 F5:F65537">
    <cfRule type="cellIs" dxfId="55"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49"/>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17</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1647</v>
      </c>
      <c r="B6" s="26"/>
      <c r="C6" s="26"/>
      <c r="D6" s="27"/>
      <c r="E6" s="28"/>
      <c r="F6" s="29"/>
    </row>
    <row r="7" spans="1:6" x14ac:dyDescent="0.2">
      <c r="A7" s="26" t="s">
        <v>742</v>
      </c>
      <c r="B7" s="26" t="s">
        <v>741</v>
      </c>
      <c r="C7" s="26" t="s">
        <v>152</v>
      </c>
      <c r="D7" s="30">
        <v>23</v>
      </c>
      <c r="E7" s="28">
        <v>286.89463999999998</v>
      </c>
      <c r="F7" s="29">
        <v>11.9207167528069</v>
      </c>
    </row>
    <row r="8" spans="1:6" x14ac:dyDescent="0.2">
      <c r="A8" s="26" t="s">
        <v>744</v>
      </c>
      <c r="B8" s="26" t="s">
        <v>743</v>
      </c>
      <c r="C8" s="26" t="s">
        <v>152</v>
      </c>
      <c r="D8" s="30">
        <v>23</v>
      </c>
      <c r="E8" s="28">
        <v>285.81916000000001</v>
      </c>
      <c r="F8" s="29">
        <v>11.876029642398301</v>
      </c>
    </row>
    <row r="9" spans="1:6" x14ac:dyDescent="0.2">
      <c r="A9" s="26" t="s">
        <v>731</v>
      </c>
      <c r="B9" s="26" t="s">
        <v>730</v>
      </c>
      <c r="C9" s="26" t="s">
        <v>492</v>
      </c>
      <c r="D9" s="30">
        <v>24</v>
      </c>
      <c r="E9" s="28">
        <v>252.48527999999999</v>
      </c>
      <c r="F9" s="29">
        <v>10.490978524845</v>
      </c>
    </row>
    <row r="10" spans="1:6" x14ac:dyDescent="0.2">
      <c r="A10" s="26" t="s">
        <v>738</v>
      </c>
      <c r="B10" s="26" t="s">
        <v>737</v>
      </c>
      <c r="C10" s="26" t="s">
        <v>152</v>
      </c>
      <c r="D10" s="30">
        <v>24</v>
      </c>
      <c r="E10" s="28">
        <v>250.82640000000001</v>
      </c>
      <c r="F10" s="29">
        <v>10.4220506473256</v>
      </c>
    </row>
    <row r="11" spans="1:6" x14ac:dyDescent="0.2">
      <c r="A11" s="26" t="s">
        <v>736</v>
      </c>
      <c r="B11" s="26" t="s">
        <v>735</v>
      </c>
      <c r="C11" s="26" t="s">
        <v>152</v>
      </c>
      <c r="D11" s="30">
        <v>23</v>
      </c>
      <c r="E11" s="28">
        <v>242.43104</v>
      </c>
      <c r="F11" s="29">
        <v>10.073216285701299</v>
      </c>
    </row>
    <row r="12" spans="1:6" x14ac:dyDescent="0.2">
      <c r="A12" s="26" t="s">
        <v>151</v>
      </c>
      <c r="B12" s="26" t="s">
        <v>150</v>
      </c>
      <c r="C12" s="26" t="s">
        <v>152</v>
      </c>
      <c r="D12" s="30">
        <v>23</v>
      </c>
      <c r="E12" s="28">
        <v>241.26425</v>
      </c>
      <c r="F12" s="29">
        <v>10.0247351669881</v>
      </c>
    </row>
    <row r="13" spans="1:6" x14ac:dyDescent="0.2">
      <c r="A13" s="26" t="s">
        <v>740</v>
      </c>
      <c r="B13" s="26" t="s">
        <v>739</v>
      </c>
      <c r="C13" s="26" t="s">
        <v>282</v>
      </c>
      <c r="D13" s="30">
        <v>18</v>
      </c>
      <c r="E13" s="28">
        <v>220.97214</v>
      </c>
      <c r="F13" s="29">
        <v>9.1815807057308305</v>
      </c>
    </row>
    <row r="14" spans="1:6" x14ac:dyDescent="0.2">
      <c r="A14" s="26" t="s">
        <v>547</v>
      </c>
      <c r="B14" s="26" t="s">
        <v>546</v>
      </c>
      <c r="C14" s="26" t="s">
        <v>548</v>
      </c>
      <c r="D14" s="30">
        <v>21</v>
      </c>
      <c r="E14" s="28">
        <v>216.64146</v>
      </c>
      <c r="F14" s="29">
        <v>9.0016372615903393</v>
      </c>
    </row>
    <row r="15" spans="1:6" x14ac:dyDescent="0.2">
      <c r="A15" s="26" t="s">
        <v>733</v>
      </c>
      <c r="B15" s="26" t="s">
        <v>732</v>
      </c>
      <c r="C15" s="26" t="s">
        <v>152</v>
      </c>
      <c r="D15" s="30">
        <v>14</v>
      </c>
      <c r="E15" s="28">
        <v>172.16149999999999</v>
      </c>
      <c r="F15" s="29">
        <v>7.15345702254446</v>
      </c>
    </row>
    <row r="16" spans="1:6" x14ac:dyDescent="0.2">
      <c r="A16" s="26" t="s">
        <v>552</v>
      </c>
      <c r="B16" s="26" t="s">
        <v>551</v>
      </c>
      <c r="C16" s="26" t="s">
        <v>152</v>
      </c>
      <c r="D16" s="30">
        <v>6</v>
      </c>
      <c r="E16" s="28">
        <v>62.909100000000002</v>
      </c>
      <c r="F16" s="29">
        <v>2.6139267093801601</v>
      </c>
    </row>
    <row r="17" spans="1:9" x14ac:dyDescent="0.2">
      <c r="A17" s="26" t="s">
        <v>580</v>
      </c>
      <c r="B17" s="26" t="s">
        <v>579</v>
      </c>
      <c r="C17" s="26" t="s">
        <v>152</v>
      </c>
      <c r="D17" s="30">
        <v>3</v>
      </c>
      <c r="E17" s="28">
        <v>31.569389999999999</v>
      </c>
      <c r="F17" s="29">
        <v>1.3117350545444</v>
      </c>
    </row>
    <row r="18" spans="1:9" x14ac:dyDescent="0.2">
      <c r="A18" s="26" t="s">
        <v>554</v>
      </c>
      <c r="B18" s="26" t="s">
        <v>553</v>
      </c>
      <c r="C18" s="26" t="s">
        <v>152</v>
      </c>
      <c r="D18" s="30">
        <v>2</v>
      </c>
      <c r="E18" s="28">
        <v>20.89292</v>
      </c>
      <c r="F18" s="29">
        <v>0.86811862870304701</v>
      </c>
    </row>
    <row r="19" spans="1:9" x14ac:dyDescent="0.2">
      <c r="A19" s="26" t="s">
        <v>746</v>
      </c>
      <c r="B19" s="26" t="s">
        <v>745</v>
      </c>
      <c r="C19" s="26" t="s">
        <v>492</v>
      </c>
      <c r="D19" s="30">
        <v>1</v>
      </c>
      <c r="E19" s="28">
        <v>10.68695</v>
      </c>
      <c r="F19" s="29">
        <v>0.444051878771279</v>
      </c>
    </row>
    <row r="20" spans="1:9" ht="10.5" x14ac:dyDescent="0.25">
      <c r="A20" s="25" t="s">
        <v>153</v>
      </c>
      <c r="B20" s="25"/>
      <c r="C20" s="25"/>
      <c r="D20" s="31"/>
      <c r="E20" s="32">
        <f>SUM(E6:E19)</f>
        <v>2295.5542299999997</v>
      </c>
      <c r="F20" s="33">
        <f>SUM(F6:F19)</f>
        <v>95.382234281329715</v>
      </c>
      <c r="G20" s="17"/>
      <c r="H20" s="17"/>
      <c r="I20" s="17"/>
    </row>
    <row r="21" spans="1:9" x14ac:dyDescent="0.2">
      <c r="A21" s="26"/>
      <c r="B21" s="26"/>
      <c r="C21" s="26"/>
      <c r="D21" s="27"/>
      <c r="E21" s="28"/>
      <c r="F21" s="29"/>
    </row>
    <row r="22" spans="1:9" ht="10.5" x14ac:dyDescent="0.25">
      <c r="A22" s="25" t="s">
        <v>166</v>
      </c>
      <c r="B22" s="25"/>
      <c r="C22" s="25"/>
      <c r="D22" s="31"/>
      <c r="E22" s="32">
        <f>E20</f>
        <v>2295.5542299999997</v>
      </c>
      <c r="F22" s="33">
        <f>F20</f>
        <v>95.382234281329715</v>
      </c>
      <c r="G22" s="17"/>
      <c r="H22" s="17"/>
      <c r="I22" s="17"/>
    </row>
    <row r="23" spans="1:9" ht="10.5" x14ac:dyDescent="0.25">
      <c r="A23" s="25"/>
      <c r="B23" s="25"/>
      <c r="C23" s="25"/>
      <c r="D23" s="31"/>
      <c r="E23" s="32"/>
      <c r="F23" s="33"/>
      <c r="G23" s="17"/>
      <c r="H23" s="17"/>
      <c r="I23" s="17"/>
    </row>
    <row r="24" spans="1:9" ht="10.5" x14ac:dyDescent="0.25">
      <c r="A24" s="25" t="s">
        <v>168</v>
      </c>
      <c r="B24" s="25"/>
      <c r="C24" s="25"/>
      <c r="D24" s="31"/>
      <c r="E24" s="32">
        <f>E26-(E20)</f>
        <v>111.13528330000008</v>
      </c>
      <c r="F24" s="33">
        <f>F26-(F20)</f>
        <v>4.6177657186702845</v>
      </c>
      <c r="G24" s="17"/>
      <c r="H24" s="17"/>
      <c r="I24" s="17"/>
    </row>
    <row r="25" spans="1:9" ht="10.5" x14ac:dyDescent="0.25">
      <c r="A25" s="25"/>
      <c r="B25" s="25"/>
      <c r="C25" s="25"/>
      <c r="D25" s="31"/>
      <c r="E25" s="32"/>
      <c r="F25" s="33"/>
      <c r="G25" s="17"/>
      <c r="H25" s="17"/>
      <c r="I25" s="17"/>
    </row>
    <row r="26" spans="1:9" ht="10.5" x14ac:dyDescent="0.25">
      <c r="A26" s="34" t="s">
        <v>167</v>
      </c>
      <c r="B26" s="34"/>
      <c r="C26" s="34"/>
      <c r="D26" s="35"/>
      <c r="E26" s="36">
        <v>2406.6895132999998</v>
      </c>
      <c r="F26" s="37">
        <v>100</v>
      </c>
      <c r="G26" s="17"/>
      <c r="H26" s="17"/>
      <c r="I26" s="17"/>
    </row>
    <row r="28" spans="1:9" ht="10.5" x14ac:dyDescent="0.25">
      <c r="A28" s="17" t="s">
        <v>170</v>
      </c>
    </row>
    <row r="30" spans="1:9" ht="10.5" x14ac:dyDescent="0.25">
      <c r="A30" s="17" t="s">
        <v>171</v>
      </c>
    </row>
    <row r="31" spans="1:9" ht="10.5" x14ac:dyDescent="0.25">
      <c r="A31" s="17" t="s">
        <v>172</v>
      </c>
    </row>
    <row r="32" spans="1:9" ht="10.5" x14ac:dyDescent="0.25">
      <c r="A32" s="17" t="s">
        <v>173</v>
      </c>
      <c r="B32" s="17"/>
      <c r="C32" s="38" t="s">
        <v>175</v>
      </c>
      <c r="D32" s="18" t="s">
        <v>174</v>
      </c>
    </row>
    <row r="33" spans="1:5" x14ac:dyDescent="0.2">
      <c r="A33" s="10" t="s">
        <v>436</v>
      </c>
      <c r="C33" s="39">
        <v>11.2194</v>
      </c>
      <c r="D33" s="39">
        <v>11.9231</v>
      </c>
    </row>
    <row r="34" spans="1:5" x14ac:dyDescent="0.2">
      <c r="A34" s="10" t="s">
        <v>734</v>
      </c>
      <c r="C34" s="39">
        <v>10.466100000000001</v>
      </c>
      <c r="D34" s="39">
        <v>11.1226</v>
      </c>
    </row>
    <row r="35" spans="1:5" x14ac:dyDescent="0.2">
      <c r="A35" s="10" t="s">
        <v>438</v>
      </c>
      <c r="C35" s="39">
        <v>10.4572</v>
      </c>
      <c r="D35" s="39">
        <v>10.652100000000001</v>
      </c>
    </row>
    <row r="36" spans="1:5" x14ac:dyDescent="0.2">
      <c r="A36" s="10" t="s">
        <v>439</v>
      </c>
      <c r="C36" s="39">
        <v>11.252599999999999</v>
      </c>
      <c r="D36" s="39">
        <v>11.9734</v>
      </c>
    </row>
    <row r="37" spans="1:5" x14ac:dyDescent="0.2">
      <c r="A37" s="10" t="s">
        <v>471</v>
      </c>
      <c r="C37" s="39">
        <v>10.499000000000001</v>
      </c>
      <c r="D37" s="39">
        <v>11.1717</v>
      </c>
    </row>
    <row r="38" spans="1:5" x14ac:dyDescent="0.2">
      <c r="A38" s="10" t="s">
        <v>441</v>
      </c>
      <c r="C38" s="39">
        <v>10.4894</v>
      </c>
      <c r="D38" s="39">
        <v>10.6999</v>
      </c>
    </row>
    <row r="40" spans="1:5" ht="10.5" x14ac:dyDescent="0.25">
      <c r="A40" s="17" t="s">
        <v>185</v>
      </c>
    </row>
    <row r="41" spans="1:5" ht="12.5" x14ac:dyDescent="0.25">
      <c r="A41" s="100" t="s">
        <v>350</v>
      </c>
      <c r="B41" s="101"/>
      <c r="C41" s="98" t="s">
        <v>1658</v>
      </c>
      <c r="D41" s="99"/>
    </row>
    <row r="42" spans="1:5" ht="10.5" x14ac:dyDescent="0.25">
      <c r="A42" s="100"/>
      <c r="B42" s="101"/>
      <c r="C42" s="43" t="s">
        <v>351</v>
      </c>
      <c r="D42" s="44" t="s">
        <v>352</v>
      </c>
    </row>
    <row r="43" spans="1:5" x14ac:dyDescent="0.2">
      <c r="A43" s="94" t="s">
        <v>438</v>
      </c>
      <c r="B43" s="95"/>
      <c r="C43" s="45">
        <v>0.44500000000000001</v>
      </c>
      <c r="D43" s="45">
        <v>0.44500000000000001</v>
      </c>
    </row>
    <row r="44" spans="1:5" x14ac:dyDescent="0.2">
      <c r="A44" s="94" t="s">
        <v>441</v>
      </c>
      <c r="B44" s="95"/>
      <c r="C44" s="45">
        <v>0.44500000000000001</v>
      </c>
      <c r="D44" s="45">
        <v>0.44500000000000001</v>
      </c>
    </row>
    <row r="45" spans="1:5" x14ac:dyDescent="0.2">
      <c r="A45" s="90" t="s">
        <v>1657</v>
      </c>
    </row>
    <row r="47" spans="1:5" ht="10.5" x14ac:dyDescent="0.25">
      <c r="A47" s="17" t="s">
        <v>187</v>
      </c>
      <c r="D47" s="41">
        <v>1.3514768732876701</v>
      </c>
      <c r="E47" s="15" t="s">
        <v>188</v>
      </c>
    </row>
    <row r="49" spans="1:4" ht="10.5" x14ac:dyDescent="0.25">
      <c r="A49" s="17" t="s">
        <v>189</v>
      </c>
      <c r="D49" s="40" t="s">
        <v>186</v>
      </c>
    </row>
  </sheetData>
  <mergeCells count="6">
    <mergeCell ref="A44:B44"/>
    <mergeCell ref="A1:F1"/>
    <mergeCell ref="C41:D41"/>
    <mergeCell ref="A41:B41"/>
    <mergeCell ref="A42:B42"/>
    <mergeCell ref="A43:B43"/>
  </mergeCells>
  <conditionalFormatting sqref="F2:F3 F5:F65534">
    <cfRule type="cellIs" dxfId="54"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2" manualBreakCount="2">
    <brk id="6" max="1048575" man="1"/>
    <brk id="7"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48"/>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18</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1647</v>
      </c>
      <c r="B6" s="26"/>
      <c r="C6" s="26"/>
      <c r="D6" s="27"/>
      <c r="E6" s="28"/>
      <c r="F6" s="29"/>
    </row>
    <row r="7" spans="1:6" x14ac:dyDescent="0.2">
      <c r="A7" s="26" t="s">
        <v>742</v>
      </c>
      <c r="B7" s="26" t="s">
        <v>741</v>
      </c>
      <c r="C7" s="26" t="s">
        <v>152</v>
      </c>
      <c r="D7" s="30">
        <v>68</v>
      </c>
      <c r="E7" s="28">
        <v>848.21024</v>
      </c>
      <c r="F7" s="29">
        <v>11.838312870672</v>
      </c>
    </row>
    <row r="8" spans="1:6" x14ac:dyDescent="0.2">
      <c r="A8" s="26" t="s">
        <v>731</v>
      </c>
      <c r="B8" s="26" t="s">
        <v>730</v>
      </c>
      <c r="C8" s="26" t="s">
        <v>492</v>
      </c>
      <c r="D8" s="30">
        <v>71</v>
      </c>
      <c r="E8" s="28">
        <v>746.93561999999997</v>
      </c>
      <c r="F8" s="29">
        <v>10.424841798431199</v>
      </c>
    </row>
    <row r="9" spans="1:6" x14ac:dyDescent="0.2">
      <c r="A9" s="26" t="s">
        <v>738</v>
      </c>
      <c r="B9" s="26" t="s">
        <v>737</v>
      </c>
      <c r="C9" s="26" t="s">
        <v>152</v>
      </c>
      <c r="D9" s="30">
        <v>71</v>
      </c>
      <c r="E9" s="28">
        <v>742.02809999999999</v>
      </c>
      <c r="F9" s="29">
        <v>10.356348452749501</v>
      </c>
    </row>
    <row r="10" spans="1:6" x14ac:dyDescent="0.2">
      <c r="A10" s="26" t="s">
        <v>736</v>
      </c>
      <c r="B10" s="26" t="s">
        <v>735</v>
      </c>
      <c r="C10" s="26" t="s">
        <v>152</v>
      </c>
      <c r="D10" s="30">
        <v>70</v>
      </c>
      <c r="E10" s="28">
        <v>737.83360000000005</v>
      </c>
      <c r="F10" s="29">
        <v>10.297806594853499</v>
      </c>
    </row>
    <row r="11" spans="1:6" x14ac:dyDescent="0.2">
      <c r="A11" s="26" t="s">
        <v>748</v>
      </c>
      <c r="B11" s="26" t="s">
        <v>747</v>
      </c>
      <c r="C11" s="26" t="s">
        <v>532</v>
      </c>
      <c r="D11" s="30">
        <v>70000</v>
      </c>
      <c r="E11" s="28">
        <v>734.46100000000001</v>
      </c>
      <c r="F11" s="29">
        <v>10.250735842692301</v>
      </c>
    </row>
    <row r="12" spans="1:6" x14ac:dyDescent="0.2">
      <c r="A12" s="26" t="s">
        <v>151</v>
      </c>
      <c r="B12" s="26" t="s">
        <v>150</v>
      </c>
      <c r="C12" s="26" t="s">
        <v>152</v>
      </c>
      <c r="D12" s="30">
        <v>69</v>
      </c>
      <c r="E12" s="28">
        <v>723.79274999999996</v>
      </c>
      <c r="F12" s="29">
        <v>10.101841057735999</v>
      </c>
    </row>
    <row r="13" spans="1:6" x14ac:dyDescent="0.2">
      <c r="A13" s="26" t="s">
        <v>547</v>
      </c>
      <c r="B13" s="26" t="s">
        <v>546</v>
      </c>
      <c r="C13" s="26" t="s">
        <v>548</v>
      </c>
      <c r="D13" s="30">
        <v>70</v>
      </c>
      <c r="E13" s="28">
        <v>722.13819999999998</v>
      </c>
      <c r="F13" s="29">
        <v>10.078748810511801</v>
      </c>
    </row>
    <row r="14" spans="1:6" x14ac:dyDescent="0.2">
      <c r="A14" s="26" t="s">
        <v>610</v>
      </c>
      <c r="B14" s="26" t="s">
        <v>609</v>
      </c>
      <c r="C14" s="26" t="s">
        <v>492</v>
      </c>
      <c r="D14" s="30">
        <v>47</v>
      </c>
      <c r="E14" s="28">
        <v>584.52255000000002</v>
      </c>
      <c r="F14" s="29">
        <v>8.1580727283639494</v>
      </c>
    </row>
    <row r="15" spans="1:6" x14ac:dyDescent="0.2">
      <c r="A15" s="26" t="s">
        <v>746</v>
      </c>
      <c r="B15" s="26" t="s">
        <v>745</v>
      </c>
      <c r="C15" s="26" t="s">
        <v>492</v>
      </c>
      <c r="D15" s="30">
        <v>31</v>
      </c>
      <c r="E15" s="28">
        <v>331.29545000000002</v>
      </c>
      <c r="F15" s="29">
        <v>4.6238290989390602</v>
      </c>
    </row>
    <row r="16" spans="1:6" x14ac:dyDescent="0.2">
      <c r="A16" s="26" t="s">
        <v>740</v>
      </c>
      <c r="B16" s="26" t="s">
        <v>739</v>
      </c>
      <c r="C16" s="26" t="s">
        <v>282</v>
      </c>
      <c r="D16" s="30">
        <v>20</v>
      </c>
      <c r="E16" s="28">
        <v>245.52459999999999</v>
      </c>
      <c r="F16" s="29">
        <v>3.4267412667012902</v>
      </c>
    </row>
    <row r="17" spans="1:9" x14ac:dyDescent="0.2">
      <c r="A17" s="26" t="s">
        <v>552</v>
      </c>
      <c r="B17" s="26" t="s">
        <v>551</v>
      </c>
      <c r="C17" s="26" t="s">
        <v>152</v>
      </c>
      <c r="D17" s="30">
        <v>22</v>
      </c>
      <c r="E17" s="28">
        <v>230.66669999999999</v>
      </c>
      <c r="F17" s="29">
        <v>3.2193723143986599</v>
      </c>
    </row>
    <row r="18" spans="1:9" x14ac:dyDescent="0.2">
      <c r="A18" s="26" t="s">
        <v>666</v>
      </c>
      <c r="B18" s="26" t="s">
        <v>665</v>
      </c>
      <c r="C18" s="26" t="s">
        <v>667</v>
      </c>
      <c r="D18" s="30">
        <v>11</v>
      </c>
      <c r="E18" s="28">
        <v>118.13296</v>
      </c>
      <c r="F18" s="29">
        <v>1.64875979429178</v>
      </c>
    </row>
    <row r="19" spans="1:9" x14ac:dyDescent="0.2">
      <c r="A19" s="26" t="s">
        <v>729</v>
      </c>
      <c r="B19" s="26" t="s">
        <v>728</v>
      </c>
      <c r="C19" s="26" t="s">
        <v>152</v>
      </c>
      <c r="D19" s="30">
        <v>2</v>
      </c>
      <c r="E19" s="28">
        <v>24.857099999999999</v>
      </c>
      <c r="F19" s="29">
        <v>0.34692593060133498</v>
      </c>
    </row>
    <row r="20" spans="1:9" x14ac:dyDescent="0.2">
      <c r="A20" s="26" t="s">
        <v>580</v>
      </c>
      <c r="B20" s="26" t="s">
        <v>579</v>
      </c>
      <c r="C20" s="26" t="s">
        <v>152</v>
      </c>
      <c r="D20" s="30">
        <v>1</v>
      </c>
      <c r="E20" s="28">
        <v>10.52313</v>
      </c>
      <c r="F20" s="29">
        <v>0.14686937205421499</v>
      </c>
    </row>
    <row r="21" spans="1:9" ht="10.5" x14ac:dyDescent="0.25">
      <c r="A21" s="25" t="s">
        <v>153</v>
      </c>
      <c r="B21" s="25"/>
      <c r="C21" s="25"/>
      <c r="D21" s="31"/>
      <c r="E21" s="32">
        <f>SUM(E6:E20)</f>
        <v>6800.9219999999987</v>
      </c>
      <c r="F21" s="33">
        <f>SUM(F6:F20)</f>
        <v>94.919205932996562</v>
      </c>
      <c r="G21" s="17"/>
      <c r="H21" s="17"/>
      <c r="I21" s="17"/>
    </row>
    <row r="22" spans="1:9" x14ac:dyDescent="0.2">
      <c r="A22" s="26"/>
      <c r="B22" s="26"/>
      <c r="C22" s="26"/>
      <c r="D22" s="27"/>
      <c r="E22" s="28"/>
      <c r="F22" s="29"/>
    </row>
    <row r="23" spans="1:9" ht="10.5" x14ac:dyDescent="0.25">
      <c r="A23" s="25" t="s">
        <v>166</v>
      </c>
      <c r="B23" s="25"/>
      <c r="C23" s="25"/>
      <c r="D23" s="31"/>
      <c r="E23" s="32">
        <f>E21</f>
        <v>6800.9219999999987</v>
      </c>
      <c r="F23" s="33">
        <f>F21</f>
        <v>94.919205932996562</v>
      </c>
      <c r="G23" s="17"/>
      <c r="H23" s="17"/>
      <c r="I23" s="17"/>
    </row>
    <row r="24" spans="1:9" ht="10.5" x14ac:dyDescent="0.25">
      <c r="A24" s="25"/>
      <c r="B24" s="25"/>
      <c r="C24" s="25"/>
      <c r="D24" s="31"/>
      <c r="E24" s="32"/>
      <c r="F24" s="33"/>
      <c r="G24" s="17"/>
      <c r="H24" s="17"/>
      <c r="I24" s="17"/>
    </row>
    <row r="25" spans="1:9" ht="10.5" x14ac:dyDescent="0.25">
      <c r="A25" s="25" t="s">
        <v>168</v>
      </c>
      <c r="B25" s="25"/>
      <c r="C25" s="25"/>
      <c r="D25" s="31"/>
      <c r="E25" s="32">
        <f>E27-(E21)</f>
        <v>364.03680170000098</v>
      </c>
      <c r="F25" s="33">
        <f>F27-(F21)</f>
        <v>5.0807940670034384</v>
      </c>
      <c r="G25" s="17"/>
      <c r="H25" s="17"/>
      <c r="I25" s="17"/>
    </row>
    <row r="26" spans="1:9" ht="10.5" x14ac:dyDescent="0.25">
      <c r="A26" s="25"/>
      <c r="B26" s="25"/>
      <c r="C26" s="25"/>
      <c r="D26" s="31"/>
      <c r="E26" s="32"/>
      <c r="F26" s="33"/>
      <c r="G26" s="17"/>
      <c r="H26" s="17"/>
      <c r="I26" s="17"/>
    </row>
    <row r="27" spans="1:9" ht="10.5" x14ac:dyDescent="0.25">
      <c r="A27" s="34" t="s">
        <v>167</v>
      </c>
      <c r="B27" s="34"/>
      <c r="C27" s="34"/>
      <c r="D27" s="35"/>
      <c r="E27" s="36">
        <v>7164.9588016999996</v>
      </c>
      <c r="F27" s="37">
        <v>100</v>
      </c>
      <c r="G27" s="17"/>
      <c r="H27" s="17"/>
      <c r="I27" s="17"/>
    </row>
    <row r="29" spans="1:9" ht="10.5" x14ac:dyDescent="0.25">
      <c r="A29" s="17" t="s">
        <v>170</v>
      </c>
    </row>
    <row r="31" spans="1:9" ht="10.5" x14ac:dyDescent="0.25">
      <c r="A31" s="17" t="s">
        <v>171</v>
      </c>
    </row>
    <row r="32" spans="1:9" ht="10.5" x14ac:dyDescent="0.25">
      <c r="A32" s="17" t="s">
        <v>172</v>
      </c>
    </row>
    <row r="33" spans="1:5" ht="10.5" x14ac:dyDescent="0.25">
      <c r="A33" s="17" t="s">
        <v>173</v>
      </c>
      <c r="B33" s="17"/>
      <c r="C33" s="38" t="s">
        <v>175</v>
      </c>
      <c r="D33" s="18" t="s">
        <v>174</v>
      </c>
    </row>
    <row r="34" spans="1:5" x14ac:dyDescent="0.2">
      <c r="A34" s="10" t="s">
        <v>436</v>
      </c>
      <c r="C34" s="39">
        <v>11.2446</v>
      </c>
      <c r="D34" s="39">
        <v>11.9375</v>
      </c>
    </row>
    <row r="35" spans="1:5" x14ac:dyDescent="0.2">
      <c r="A35" s="10" t="s">
        <v>734</v>
      </c>
      <c r="C35" s="39">
        <v>10.4619</v>
      </c>
      <c r="D35" s="39">
        <v>11.1066</v>
      </c>
    </row>
    <row r="36" spans="1:5" x14ac:dyDescent="0.2">
      <c r="A36" s="10" t="s">
        <v>438</v>
      </c>
      <c r="C36" s="39">
        <v>10.4513</v>
      </c>
      <c r="D36" s="39">
        <v>10.645200000000001</v>
      </c>
    </row>
    <row r="37" spans="1:5" x14ac:dyDescent="0.2">
      <c r="A37" s="10" t="s">
        <v>439</v>
      </c>
      <c r="C37" s="39">
        <v>11.279</v>
      </c>
      <c r="D37" s="39">
        <v>11.989000000000001</v>
      </c>
    </row>
    <row r="38" spans="1:5" x14ac:dyDescent="0.2">
      <c r="A38" s="10" t="s">
        <v>471</v>
      </c>
      <c r="C38" s="39">
        <v>10.495900000000001</v>
      </c>
      <c r="D38" s="39">
        <v>11.1568</v>
      </c>
    </row>
    <row r="40" spans="1:5" ht="10.5" x14ac:dyDescent="0.25">
      <c r="A40" s="17" t="s">
        <v>185</v>
      </c>
    </row>
    <row r="41" spans="1:5" ht="12.5" x14ac:dyDescent="0.25">
      <c r="A41" s="100" t="s">
        <v>350</v>
      </c>
      <c r="B41" s="101"/>
      <c r="C41" s="98" t="s">
        <v>1658</v>
      </c>
      <c r="D41" s="99"/>
    </row>
    <row r="42" spans="1:5" ht="10.5" x14ac:dyDescent="0.25">
      <c r="A42" s="100"/>
      <c r="B42" s="101"/>
      <c r="C42" s="43" t="s">
        <v>351</v>
      </c>
      <c r="D42" s="44" t="s">
        <v>352</v>
      </c>
    </row>
    <row r="43" spans="1:5" x14ac:dyDescent="0.2">
      <c r="A43" s="94" t="s">
        <v>438</v>
      </c>
      <c r="B43" s="95"/>
      <c r="C43" s="45">
        <v>0.43499999999999994</v>
      </c>
      <c r="D43" s="45">
        <v>0.43499999999999994</v>
      </c>
    </row>
    <row r="44" spans="1:5" x14ac:dyDescent="0.2">
      <c r="A44" s="90" t="s">
        <v>1657</v>
      </c>
    </row>
    <row r="46" spans="1:5" ht="10.5" x14ac:dyDescent="0.25">
      <c r="A46" s="17" t="s">
        <v>187</v>
      </c>
      <c r="D46" s="41">
        <v>1.3465098657260299</v>
      </c>
      <c r="E46" s="15" t="s">
        <v>188</v>
      </c>
    </row>
    <row r="48" spans="1:5" ht="10.5" x14ac:dyDescent="0.25">
      <c r="A48" s="17" t="s">
        <v>189</v>
      </c>
      <c r="D48" s="40" t="s">
        <v>186</v>
      </c>
    </row>
  </sheetData>
  <mergeCells count="5">
    <mergeCell ref="A1:F1"/>
    <mergeCell ref="C41:D41"/>
    <mergeCell ref="A41:B41"/>
    <mergeCell ref="A42:B42"/>
    <mergeCell ref="A43:B43"/>
  </mergeCells>
  <conditionalFormatting sqref="F2:F3 F5:F65537">
    <cfRule type="cellIs" dxfId="53"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3"/>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19</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1647</v>
      </c>
      <c r="B6" s="26"/>
      <c r="C6" s="26"/>
      <c r="D6" s="27"/>
      <c r="E6" s="28"/>
      <c r="F6" s="29"/>
    </row>
    <row r="7" spans="1:6" x14ac:dyDescent="0.2">
      <c r="A7" s="26" t="s">
        <v>568</v>
      </c>
      <c r="B7" s="26" t="s">
        <v>567</v>
      </c>
      <c r="C7" s="26" t="s">
        <v>152</v>
      </c>
      <c r="D7" s="30">
        <v>37</v>
      </c>
      <c r="E7" s="28">
        <v>459.54037</v>
      </c>
      <c r="F7" s="29">
        <v>12.012699022909899</v>
      </c>
    </row>
    <row r="8" spans="1:6" x14ac:dyDescent="0.2">
      <c r="A8" s="26" t="s">
        <v>669</v>
      </c>
      <c r="B8" s="26" t="s">
        <v>668</v>
      </c>
      <c r="C8" s="26" t="s">
        <v>532</v>
      </c>
      <c r="D8" s="30">
        <v>37</v>
      </c>
      <c r="E8" s="28">
        <v>388.59989999999999</v>
      </c>
      <c r="F8" s="29">
        <v>10.158266702516</v>
      </c>
    </row>
    <row r="9" spans="1:6" x14ac:dyDescent="0.2">
      <c r="A9" s="26" t="s">
        <v>746</v>
      </c>
      <c r="B9" s="26" t="s">
        <v>745</v>
      </c>
      <c r="C9" s="26" t="s">
        <v>492</v>
      </c>
      <c r="D9" s="30">
        <v>36</v>
      </c>
      <c r="E9" s="28">
        <v>384.73020000000002</v>
      </c>
      <c r="F9" s="29">
        <v>10.057110102478999</v>
      </c>
    </row>
    <row r="10" spans="1:6" x14ac:dyDescent="0.2">
      <c r="A10" s="26" t="s">
        <v>612</v>
      </c>
      <c r="B10" s="26" t="s">
        <v>611</v>
      </c>
      <c r="C10" s="26" t="s">
        <v>152</v>
      </c>
      <c r="D10" s="30">
        <v>37</v>
      </c>
      <c r="E10" s="28">
        <v>383.11687000000001</v>
      </c>
      <c r="F10" s="29">
        <v>10.014936554778201</v>
      </c>
    </row>
    <row r="11" spans="1:6" x14ac:dyDescent="0.2">
      <c r="A11" s="26" t="s">
        <v>151</v>
      </c>
      <c r="B11" s="26" t="s">
        <v>150</v>
      </c>
      <c r="C11" s="26" t="s">
        <v>152</v>
      </c>
      <c r="D11" s="30">
        <v>36</v>
      </c>
      <c r="E11" s="28">
        <v>377.63099999999997</v>
      </c>
      <c r="F11" s="29">
        <v>9.8715321675013996</v>
      </c>
    </row>
    <row r="12" spans="1:6" x14ac:dyDescent="0.2">
      <c r="A12" s="26" t="s">
        <v>547</v>
      </c>
      <c r="B12" s="26" t="s">
        <v>546</v>
      </c>
      <c r="C12" s="26" t="s">
        <v>548</v>
      </c>
      <c r="D12" s="30">
        <v>33</v>
      </c>
      <c r="E12" s="28">
        <v>340.43657999999999</v>
      </c>
      <c r="F12" s="29">
        <v>8.8992446342174301</v>
      </c>
    </row>
    <row r="13" spans="1:6" x14ac:dyDescent="0.2">
      <c r="A13" s="26" t="s">
        <v>580</v>
      </c>
      <c r="B13" s="26" t="s">
        <v>579</v>
      </c>
      <c r="C13" s="26" t="s">
        <v>152</v>
      </c>
      <c r="D13" s="30">
        <v>27</v>
      </c>
      <c r="E13" s="28">
        <v>284.12450999999999</v>
      </c>
      <c r="F13" s="29">
        <v>7.4272086773611603</v>
      </c>
    </row>
    <row r="14" spans="1:6" x14ac:dyDescent="0.2">
      <c r="A14" s="26" t="s">
        <v>750</v>
      </c>
      <c r="B14" s="26" t="s">
        <v>749</v>
      </c>
      <c r="C14" s="26" t="s">
        <v>152</v>
      </c>
      <c r="D14" s="30">
        <v>21</v>
      </c>
      <c r="E14" s="28">
        <v>261.80426999999997</v>
      </c>
      <c r="F14" s="29">
        <v>6.84374236462107</v>
      </c>
    </row>
    <row r="15" spans="1:6" x14ac:dyDescent="0.2">
      <c r="A15" s="26" t="s">
        <v>596</v>
      </c>
      <c r="B15" s="26" t="s">
        <v>595</v>
      </c>
      <c r="C15" s="26" t="s">
        <v>532</v>
      </c>
      <c r="D15" s="30">
        <v>20</v>
      </c>
      <c r="E15" s="28">
        <v>211.03479999999999</v>
      </c>
      <c r="F15" s="29">
        <v>5.5165937559740197</v>
      </c>
    </row>
    <row r="16" spans="1:6" x14ac:dyDescent="0.2">
      <c r="A16" s="26" t="s">
        <v>610</v>
      </c>
      <c r="B16" s="26" t="s">
        <v>609</v>
      </c>
      <c r="C16" s="26" t="s">
        <v>492</v>
      </c>
      <c r="D16" s="30">
        <v>12</v>
      </c>
      <c r="E16" s="28">
        <v>149.2398</v>
      </c>
      <c r="F16" s="29">
        <v>3.9012302654482101</v>
      </c>
    </row>
    <row r="17" spans="1:9" x14ac:dyDescent="0.2">
      <c r="A17" s="26" t="s">
        <v>552</v>
      </c>
      <c r="B17" s="26" t="s">
        <v>551</v>
      </c>
      <c r="C17" s="26" t="s">
        <v>152</v>
      </c>
      <c r="D17" s="30">
        <v>10</v>
      </c>
      <c r="E17" s="28">
        <v>104.8485</v>
      </c>
      <c r="F17" s="29">
        <v>2.74081137529565</v>
      </c>
    </row>
    <row r="18" spans="1:9" x14ac:dyDescent="0.2">
      <c r="A18" s="26" t="s">
        <v>606</v>
      </c>
      <c r="B18" s="26" t="s">
        <v>605</v>
      </c>
      <c r="C18" s="26" t="s">
        <v>152</v>
      </c>
      <c r="D18" s="30">
        <v>8</v>
      </c>
      <c r="E18" s="28">
        <v>99.879599999999996</v>
      </c>
      <c r="F18" s="29">
        <v>2.6109209367800101</v>
      </c>
    </row>
    <row r="19" spans="1:9" x14ac:dyDescent="0.2">
      <c r="A19" s="26" t="s">
        <v>725</v>
      </c>
      <c r="B19" s="26" t="s">
        <v>724</v>
      </c>
      <c r="C19" s="26" t="s">
        <v>152</v>
      </c>
      <c r="D19" s="30">
        <v>3</v>
      </c>
      <c r="E19" s="28">
        <v>37.76397</v>
      </c>
      <c r="F19" s="29">
        <v>0.98717595914413203</v>
      </c>
    </row>
    <row r="20" spans="1:9" x14ac:dyDescent="0.2">
      <c r="A20" s="26" t="s">
        <v>740</v>
      </c>
      <c r="B20" s="26" t="s">
        <v>739</v>
      </c>
      <c r="C20" s="26" t="s">
        <v>282</v>
      </c>
      <c r="D20" s="30">
        <v>3</v>
      </c>
      <c r="E20" s="28">
        <v>36.828690000000002</v>
      </c>
      <c r="F20" s="29">
        <v>0.96272710138187001</v>
      </c>
    </row>
    <row r="21" spans="1:9" x14ac:dyDescent="0.2">
      <c r="A21" s="26" t="s">
        <v>554</v>
      </c>
      <c r="B21" s="26" t="s">
        <v>553</v>
      </c>
      <c r="C21" s="26" t="s">
        <v>152</v>
      </c>
      <c r="D21" s="30">
        <v>3</v>
      </c>
      <c r="E21" s="28">
        <v>31.339379999999998</v>
      </c>
      <c r="F21" s="29">
        <v>0.81923279015639605</v>
      </c>
    </row>
    <row r="22" spans="1:9" x14ac:dyDescent="0.2">
      <c r="A22" s="26" t="s">
        <v>752</v>
      </c>
      <c r="B22" s="26" t="s">
        <v>751</v>
      </c>
      <c r="C22" s="26" t="s">
        <v>492</v>
      </c>
      <c r="D22" s="30">
        <v>3</v>
      </c>
      <c r="E22" s="28">
        <v>31.282769999999999</v>
      </c>
      <c r="F22" s="29">
        <v>0.81775296610592796</v>
      </c>
    </row>
    <row r="23" spans="1:9" x14ac:dyDescent="0.2">
      <c r="A23" s="26" t="s">
        <v>729</v>
      </c>
      <c r="B23" s="26" t="s">
        <v>728</v>
      </c>
      <c r="C23" s="26" t="s">
        <v>152</v>
      </c>
      <c r="D23" s="30">
        <v>2</v>
      </c>
      <c r="E23" s="28">
        <v>24.857099999999999</v>
      </c>
      <c r="F23" s="29">
        <v>0.64978156518082197</v>
      </c>
    </row>
    <row r="24" spans="1:9" ht="10.5" x14ac:dyDescent="0.25">
      <c r="A24" s="25" t="s">
        <v>153</v>
      </c>
      <c r="B24" s="25"/>
      <c r="C24" s="25"/>
      <c r="D24" s="31"/>
      <c r="E24" s="32">
        <f>SUM(E6:E23)</f>
        <v>3607.0583099999999</v>
      </c>
      <c r="F24" s="33">
        <f>SUM(F6:F23)</f>
        <v>94.290966941851181</v>
      </c>
      <c r="G24" s="17"/>
      <c r="H24" s="17"/>
      <c r="I24" s="17"/>
    </row>
    <row r="25" spans="1:9" x14ac:dyDescent="0.2">
      <c r="A25" s="26"/>
      <c r="B25" s="26"/>
      <c r="C25" s="26"/>
      <c r="D25" s="27"/>
      <c r="E25" s="28"/>
      <c r="F25" s="29"/>
    </row>
    <row r="26" spans="1:9" ht="10.5" x14ac:dyDescent="0.25">
      <c r="A26" s="25" t="s">
        <v>166</v>
      </c>
      <c r="B26" s="25"/>
      <c r="C26" s="25"/>
      <c r="D26" s="31"/>
      <c r="E26" s="32">
        <f>E24</f>
        <v>3607.0583099999999</v>
      </c>
      <c r="F26" s="33">
        <f>F24</f>
        <v>94.290966941851181</v>
      </c>
      <c r="G26" s="17"/>
      <c r="H26" s="17"/>
      <c r="I26" s="17"/>
    </row>
    <row r="27" spans="1:9" ht="10.5" x14ac:dyDescent="0.25">
      <c r="A27" s="25"/>
      <c r="B27" s="25"/>
      <c r="C27" s="25"/>
      <c r="D27" s="31"/>
      <c r="E27" s="32"/>
      <c r="F27" s="33"/>
      <c r="G27" s="17"/>
      <c r="H27" s="17"/>
      <c r="I27" s="17"/>
    </row>
    <row r="28" spans="1:9" ht="10.5" x14ac:dyDescent="0.25">
      <c r="A28" s="25" t="s">
        <v>168</v>
      </c>
      <c r="B28" s="25"/>
      <c r="C28" s="25"/>
      <c r="D28" s="31"/>
      <c r="E28" s="32">
        <f>E30-(E24)</f>
        <v>218.39647850000028</v>
      </c>
      <c r="F28" s="33">
        <f>F30-(F24)</f>
        <v>5.7090330581488189</v>
      </c>
      <c r="G28" s="17"/>
      <c r="H28" s="17"/>
      <c r="I28" s="17"/>
    </row>
    <row r="29" spans="1:9" ht="10.5" x14ac:dyDescent="0.25">
      <c r="A29" s="25"/>
      <c r="B29" s="25"/>
      <c r="C29" s="25"/>
      <c r="D29" s="31"/>
      <c r="E29" s="32"/>
      <c r="F29" s="33"/>
      <c r="G29" s="17"/>
      <c r="H29" s="17"/>
      <c r="I29" s="17"/>
    </row>
    <row r="30" spans="1:9" ht="10.5" x14ac:dyDescent="0.25">
      <c r="A30" s="34" t="s">
        <v>167</v>
      </c>
      <c r="B30" s="34"/>
      <c r="C30" s="34"/>
      <c r="D30" s="35"/>
      <c r="E30" s="36">
        <v>3825.4547885000002</v>
      </c>
      <c r="F30" s="37">
        <v>100</v>
      </c>
      <c r="G30" s="17"/>
      <c r="H30" s="17"/>
      <c r="I30" s="17"/>
    </row>
    <row r="32" spans="1:9" ht="10.5" x14ac:dyDescent="0.25">
      <c r="A32" s="17" t="s">
        <v>170</v>
      </c>
    </row>
    <row r="34" spans="1:4" ht="10.5" x14ac:dyDescent="0.25">
      <c r="A34" s="17" t="s">
        <v>171</v>
      </c>
    </row>
    <row r="35" spans="1:4" ht="10.5" x14ac:dyDescent="0.25">
      <c r="A35" s="17" t="s">
        <v>172</v>
      </c>
    </row>
    <row r="36" spans="1:4" ht="10.5" x14ac:dyDescent="0.25">
      <c r="A36" s="17" t="s">
        <v>173</v>
      </c>
      <c r="B36" s="17"/>
      <c r="C36" s="38" t="s">
        <v>175</v>
      </c>
      <c r="D36" s="18" t="s">
        <v>174</v>
      </c>
    </row>
    <row r="37" spans="1:4" x14ac:dyDescent="0.2">
      <c r="A37" s="10" t="s">
        <v>436</v>
      </c>
      <c r="C37" s="39">
        <v>11.329499999999999</v>
      </c>
      <c r="D37" s="39">
        <v>12.038</v>
      </c>
    </row>
    <row r="38" spans="1:4" x14ac:dyDescent="0.2">
      <c r="A38" s="10" t="s">
        <v>734</v>
      </c>
      <c r="C38" s="39">
        <v>10.512</v>
      </c>
      <c r="D38" s="39">
        <v>11.1693</v>
      </c>
    </row>
    <row r="39" spans="1:4" x14ac:dyDescent="0.2">
      <c r="A39" s="10" t="s">
        <v>438</v>
      </c>
      <c r="C39" s="39">
        <v>10.2895</v>
      </c>
      <c r="D39" s="39">
        <v>10.543799999999999</v>
      </c>
    </row>
    <row r="40" spans="1:4" x14ac:dyDescent="0.2">
      <c r="A40" s="10" t="s">
        <v>439</v>
      </c>
      <c r="C40" s="39">
        <v>11.3658</v>
      </c>
      <c r="D40" s="39">
        <v>12.091699999999999</v>
      </c>
    </row>
    <row r="41" spans="1:4" x14ac:dyDescent="0.2">
      <c r="A41" s="10" t="s">
        <v>471</v>
      </c>
      <c r="C41" s="39">
        <v>10.5479</v>
      </c>
      <c r="D41" s="39">
        <v>11.2217</v>
      </c>
    </row>
    <row r="42" spans="1:4" x14ac:dyDescent="0.2">
      <c r="A42" s="10" t="s">
        <v>441</v>
      </c>
      <c r="C42" s="39">
        <v>10.3254</v>
      </c>
      <c r="D42" s="39">
        <v>10.5976</v>
      </c>
    </row>
    <row r="44" spans="1:4" ht="10.5" x14ac:dyDescent="0.25">
      <c r="A44" s="17" t="s">
        <v>185</v>
      </c>
    </row>
    <row r="45" spans="1:4" ht="12.5" x14ac:dyDescent="0.25">
      <c r="A45" s="100" t="s">
        <v>350</v>
      </c>
      <c r="B45" s="101"/>
      <c r="C45" s="98" t="s">
        <v>1658</v>
      </c>
      <c r="D45" s="99"/>
    </row>
    <row r="46" spans="1:4" ht="10.5" x14ac:dyDescent="0.25">
      <c r="A46" s="100"/>
      <c r="B46" s="101"/>
      <c r="C46" s="43" t="s">
        <v>351</v>
      </c>
      <c r="D46" s="44" t="s">
        <v>352</v>
      </c>
    </row>
    <row r="47" spans="1:4" x14ac:dyDescent="0.2">
      <c r="A47" s="94" t="s">
        <v>438</v>
      </c>
      <c r="B47" s="95"/>
      <c r="C47" s="45">
        <v>0.38500000000000001</v>
      </c>
      <c r="D47" s="45">
        <v>0.38500000000000001</v>
      </c>
    </row>
    <row r="48" spans="1:4" x14ac:dyDescent="0.2">
      <c r="A48" s="94" t="s">
        <v>441</v>
      </c>
      <c r="B48" s="95"/>
      <c r="C48" s="45">
        <v>0.38500000000000001</v>
      </c>
      <c r="D48" s="45">
        <v>0.38500000000000001</v>
      </c>
    </row>
    <row r="49" spans="1:5" x14ac:dyDescent="0.2">
      <c r="A49" s="90" t="s">
        <v>1657</v>
      </c>
    </row>
    <row r="51" spans="1:5" ht="10.5" x14ac:dyDescent="0.25">
      <c r="A51" s="17" t="s">
        <v>187</v>
      </c>
      <c r="D51" s="41">
        <v>1.3009350124657499</v>
      </c>
      <c r="E51" s="15" t="s">
        <v>188</v>
      </c>
    </row>
    <row r="53" spans="1:5" ht="10.5" x14ac:dyDescent="0.25">
      <c r="A53" s="17" t="s">
        <v>189</v>
      </c>
      <c r="D53" s="40" t="s">
        <v>186</v>
      </c>
    </row>
  </sheetData>
  <mergeCells count="6">
    <mergeCell ref="A48:B48"/>
    <mergeCell ref="A1:F1"/>
    <mergeCell ref="C45:D45"/>
    <mergeCell ref="A45:B45"/>
    <mergeCell ref="A46:B46"/>
    <mergeCell ref="A47:B47"/>
  </mergeCells>
  <conditionalFormatting sqref="F2:F3 F5:F65537">
    <cfRule type="cellIs" dxfId="52"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50"/>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20</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1647</v>
      </c>
      <c r="B6" s="26"/>
      <c r="C6" s="26"/>
      <c r="D6" s="27"/>
      <c r="E6" s="28"/>
      <c r="F6" s="29"/>
    </row>
    <row r="7" spans="1:6" x14ac:dyDescent="0.2">
      <c r="A7" s="26" t="s">
        <v>568</v>
      </c>
      <c r="B7" s="26" t="s">
        <v>567</v>
      </c>
      <c r="C7" s="26" t="s">
        <v>152</v>
      </c>
      <c r="D7" s="30">
        <v>47</v>
      </c>
      <c r="E7" s="28">
        <v>583.74046999999996</v>
      </c>
      <c r="F7" s="29">
        <v>12.035232403480199</v>
      </c>
    </row>
    <row r="8" spans="1:6" x14ac:dyDescent="0.2">
      <c r="A8" s="26" t="s">
        <v>669</v>
      </c>
      <c r="B8" s="26" t="s">
        <v>668</v>
      </c>
      <c r="C8" s="26" t="s">
        <v>532</v>
      </c>
      <c r="D8" s="30">
        <v>47</v>
      </c>
      <c r="E8" s="28">
        <v>493.62689999999998</v>
      </c>
      <c r="F8" s="29">
        <v>10.1773215451543</v>
      </c>
    </row>
    <row r="9" spans="1:6" x14ac:dyDescent="0.2">
      <c r="A9" s="26" t="s">
        <v>618</v>
      </c>
      <c r="B9" s="26" t="s">
        <v>617</v>
      </c>
      <c r="C9" s="26" t="s">
        <v>152</v>
      </c>
      <c r="D9" s="30">
        <v>47</v>
      </c>
      <c r="E9" s="28">
        <v>482.67637000000002</v>
      </c>
      <c r="F9" s="29">
        <v>9.9515496820328408</v>
      </c>
    </row>
    <row r="10" spans="1:6" x14ac:dyDescent="0.2">
      <c r="A10" s="26" t="s">
        <v>151</v>
      </c>
      <c r="B10" s="26" t="s">
        <v>150</v>
      </c>
      <c r="C10" s="26" t="s">
        <v>152</v>
      </c>
      <c r="D10" s="30">
        <v>46</v>
      </c>
      <c r="E10" s="28">
        <v>482.52850000000001</v>
      </c>
      <c r="F10" s="29">
        <v>9.9485009816137993</v>
      </c>
    </row>
    <row r="11" spans="1:6" x14ac:dyDescent="0.2">
      <c r="A11" s="26" t="s">
        <v>610</v>
      </c>
      <c r="B11" s="26" t="s">
        <v>609</v>
      </c>
      <c r="C11" s="26" t="s">
        <v>492</v>
      </c>
      <c r="D11" s="30">
        <v>38</v>
      </c>
      <c r="E11" s="28">
        <v>472.59269999999998</v>
      </c>
      <c r="F11" s="29">
        <v>9.7436502504070006</v>
      </c>
    </row>
    <row r="12" spans="1:6" x14ac:dyDescent="0.2">
      <c r="A12" s="26" t="s">
        <v>554</v>
      </c>
      <c r="B12" s="26" t="s">
        <v>553</v>
      </c>
      <c r="C12" s="26" t="s">
        <v>152</v>
      </c>
      <c r="D12" s="30">
        <v>45</v>
      </c>
      <c r="E12" s="28">
        <v>470.09070000000003</v>
      </c>
      <c r="F12" s="29">
        <v>9.6920654228662499</v>
      </c>
    </row>
    <row r="13" spans="1:6" x14ac:dyDescent="0.2">
      <c r="A13" s="26" t="s">
        <v>754</v>
      </c>
      <c r="B13" s="26" t="s">
        <v>753</v>
      </c>
      <c r="C13" s="26" t="s">
        <v>152</v>
      </c>
      <c r="D13" s="30">
        <v>35</v>
      </c>
      <c r="E13" s="28">
        <v>371.44065000000001</v>
      </c>
      <c r="F13" s="29">
        <v>7.6581542253696204</v>
      </c>
    </row>
    <row r="14" spans="1:6" x14ac:dyDescent="0.2">
      <c r="A14" s="26" t="s">
        <v>750</v>
      </c>
      <c r="B14" s="26" t="s">
        <v>749</v>
      </c>
      <c r="C14" s="26" t="s">
        <v>152</v>
      </c>
      <c r="D14" s="30">
        <v>29</v>
      </c>
      <c r="E14" s="28">
        <v>361.53922999999998</v>
      </c>
      <c r="F14" s="29">
        <v>7.4540123216491798</v>
      </c>
    </row>
    <row r="15" spans="1:6" x14ac:dyDescent="0.2">
      <c r="A15" s="26" t="s">
        <v>580</v>
      </c>
      <c r="B15" s="26" t="s">
        <v>579</v>
      </c>
      <c r="C15" s="26" t="s">
        <v>152</v>
      </c>
      <c r="D15" s="30">
        <v>24</v>
      </c>
      <c r="E15" s="28">
        <v>252.55511999999999</v>
      </c>
      <c r="F15" s="29">
        <v>5.2070392924595996</v>
      </c>
    </row>
    <row r="16" spans="1:6" x14ac:dyDescent="0.2">
      <c r="A16" s="26" t="s">
        <v>666</v>
      </c>
      <c r="B16" s="26" t="s">
        <v>665</v>
      </c>
      <c r="C16" s="26" t="s">
        <v>667</v>
      </c>
      <c r="D16" s="30">
        <v>22</v>
      </c>
      <c r="E16" s="28">
        <v>236.26591999999999</v>
      </c>
      <c r="F16" s="29">
        <v>4.8711977365935599</v>
      </c>
    </row>
    <row r="17" spans="1:9" x14ac:dyDescent="0.2">
      <c r="A17" s="26" t="s">
        <v>612</v>
      </c>
      <c r="B17" s="26" t="s">
        <v>611</v>
      </c>
      <c r="C17" s="26" t="s">
        <v>152</v>
      </c>
      <c r="D17" s="30">
        <v>10</v>
      </c>
      <c r="E17" s="28">
        <v>103.54510000000001</v>
      </c>
      <c r="F17" s="29">
        <v>2.1348345828097202</v>
      </c>
    </row>
    <row r="18" spans="1:9" x14ac:dyDescent="0.2">
      <c r="A18" s="26" t="s">
        <v>552</v>
      </c>
      <c r="B18" s="26" t="s">
        <v>551</v>
      </c>
      <c r="C18" s="26" t="s">
        <v>152</v>
      </c>
      <c r="D18" s="30">
        <v>8</v>
      </c>
      <c r="E18" s="28">
        <v>83.878799999999998</v>
      </c>
      <c r="F18" s="29">
        <v>1.72936588022591</v>
      </c>
    </row>
    <row r="19" spans="1:9" x14ac:dyDescent="0.2">
      <c r="A19" s="26" t="s">
        <v>547</v>
      </c>
      <c r="B19" s="26" t="s">
        <v>546</v>
      </c>
      <c r="C19" s="26" t="s">
        <v>548</v>
      </c>
      <c r="D19" s="30">
        <v>6</v>
      </c>
      <c r="E19" s="28">
        <v>61.897559999999999</v>
      </c>
      <c r="F19" s="29">
        <v>1.27616904787903</v>
      </c>
    </row>
    <row r="20" spans="1:9" x14ac:dyDescent="0.2">
      <c r="A20" s="26" t="s">
        <v>740</v>
      </c>
      <c r="B20" s="26" t="s">
        <v>739</v>
      </c>
      <c r="C20" s="26" t="s">
        <v>282</v>
      </c>
      <c r="D20" s="30">
        <v>5</v>
      </c>
      <c r="E20" s="28">
        <v>61.381149999999998</v>
      </c>
      <c r="F20" s="29">
        <v>1.2655219972034499</v>
      </c>
    </row>
    <row r="21" spans="1:9" x14ac:dyDescent="0.2">
      <c r="A21" s="26" t="s">
        <v>746</v>
      </c>
      <c r="B21" s="26" t="s">
        <v>745</v>
      </c>
      <c r="C21" s="26" t="s">
        <v>492</v>
      </c>
      <c r="D21" s="30">
        <v>4</v>
      </c>
      <c r="E21" s="28">
        <v>42.747799999999998</v>
      </c>
      <c r="F21" s="29">
        <v>0.88135007623763195</v>
      </c>
    </row>
    <row r="22" spans="1:9" x14ac:dyDescent="0.2">
      <c r="A22" s="26" t="s">
        <v>729</v>
      </c>
      <c r="B22" s="26" t="s">
        <v>728</v>
      </c>
      <c r="C22" s="26" t="s">
        <v>152</v>
      </c>
      <c r="D22" s="30">
        <v>1</v>
      </c>
      <c r="E22" s="28">
        <v>12.42855</v>
      </c>
      <c r="F22" s="29">
        <v>0.25624484745468101</v>
      </c>
    </row>
    <row r="23" spans="1:9" x14ac:dyDescent="0.2">
      <c r="A23" s="26" t="s">
        <v>550</v>
      </c>
      <c r="B23" s="26" t="s">
        <v>549</v>
      </c>
      <c r="C23" s="26" t="s">
        <v>541</v>
      </c>
      <c r="D23" s="30">
        <v>1</v>
      </c>
      <c r="E23" s="28">
        <v>10.35318</v>
      </c>
      <c r="F23" s="29">
        <v>0.21345603708967301</v>
      </c>
    </row>
    <row r="24" spans="1:9" ht="10.5" x14ac:dyDescent="0.25">
      <c r="A24" s="25" t="s">
        <v>153</v>
      </c>
      <c r="B24" s="25"/>
      <c r="C24" s="25"/>
      <c r="D24" s="31"/>
      <c r="E24" s="32">
        <f>SUM(E6:E23)</f>
        <v>4583.288700000001</v>
      </c>
      <c r="F24" s="33">
        <f>SUM(F6:F23)</f>
        <v>94.495666330526447</v>
      </c>
      <c r="G24" s="17"/>
      <c r="H24" s="17"/>
      <c r="I24" s="17"/>
    </row>
    <row r="25" spans="1:9" x14ac:dyDescent="0.2">
      <c r="A25" s="26"/>
      <c r="B25" s="26"/>
      <c r="C25" s="26"/>
      <c r="D25" s="27"/>
      <c r="E25" s="28"/>
      <c r="F25" s="29"/>
    </row>
    <row r="26" spans="1:9" ht="10.5" x14ac:dyDescent="0.25">
      <c r="A26" s="25" t="s">
        <v>166</v>
      </c>
      <c r="B26" s="25"/>
      <c r="C26" s="25"/>
      <c r="D26" s="31"/>
      <c r="E26" s="32">
        <f>E24</f>
        <v>4583.288700000001</v>
      </c>
      <c r="F26" s="33">
        <f>F24</f>
        <v>94.495666330526447</v>
      </c>
      <c r="G26" s="17"/>
      <c r="H26" s="17"/>
      <c r="I26" s="17"/>
    </row>
    <row r="27" spans="1:9" ht="10.5" x14ac:dyDescent="0.25">
      <c r="A27" s="25"/>
      <c r="B27" s="25"/>
      <c r="C27" s="25"/>
      <c r="D27" s="31"/>
      <c r="E27" s="32"/>
      <c r="F27" s="33"/>
      <c r="G27" s="17"/>
      <c r="H27" s="17"/>
      <c r="I27" s="17"/>
    </row>
    <row r="28" spans="1:9" ht="10.5" x14ac:dyDescent="0.25">
      <c r="A28" s="25" t="s">
        <v>168</v>
      </c>
      <c r="B28" s="25"/>
      <c r="C28" s="25"/>
      <c r="D28" s="31"/>
      <c r="E28" s="32">
        <f>E30-(E24)</f>
        <v>266.97468029999891</v>
      </c>
      <c r="F28" s="33">
        <f>F30-(F24)</f>
        <v>5.504333669473553</v>
      </c>
      <c r="G28" s="17"/>
      <c r="H28" s="17"/>
      <c r="I28" s="17"/>
    </row>
    <row r="29" spans="1:9" ht="10.5" x14ac:dyDescent="0.25">
      <c r="A29" s="25"/>
      <c r="B29" s="25"/>
      <c r="C29" s="25"/>
      <c r="D29" s="31"/>
      <c r="E29" s="32"/>
      <c r="F29" s="33"/>
      <c r="G29" s="17"/>
      <c r="H29" s="17"/>
      <c r="I29" s="17"/>
    </row>
    <row r="30" spans="1:9" ht="10.5" x14ac:dyDescent="0.25">
      <c r="A30" s="34" t="s">
        <v>167</v>
      </c>
      <c r="B30" s="34"/>
      <c r="C30" s="34"/>
      <c r="D30" s="35"/>
      <c r="E30" s="36">
        <v>4850.2633802999999</v>
      </c>
      <c r="F30" s="37">
        <v>100</v>
      </c>
      <c r="G30" s="17"/>
      <c r="H30" s="17"/>
      <c r="I30" s="17"/>
    </row>
    <row r="32" spans="1:9" ht="10.5" x14ac:dyDescent="0.25">
      <c r="A32" s="17" t="s">
        <v>170</v>
      </c>
    </row>
    <row r="34" spans="1:5" ht="10.5" x14ac:dyDescent="0.25">
      <c r="A34" s="17" t="s">
        <v>171</v>
      </c>
    </row>
    <row r="35" spans="1:5" ht="10.5" x14ac:dyDescent="0.25">
      <c r="A35" s="17" t="s">
        <v>172</v>
      </c>
    </row>
    <row r="36" spans="1:5" ht="10.5" x14ac:dyDescent="0.25">
      <c r="A36" s="17" t="s">
        <v>173</v>
      </c>
      <c r="B36" s="17"/>
      <c r="C36" s="38" t="s">
        <v>175</v>
      </c>
      <c r="D36" s="18" t="s">
        <v>174</v>
      </c>
    </row>
    <row r="37" spans="1:5" x14ac:dyDescent="0.2">
      <c r="A37" s="10" t="s">
        <v>436</v>
      </c>
      <c r="C37" s="39">
        <v>11.432</v>
      </c>
      <c r="D37" s="39">
        <v>12.126099999999999</v>
      </c>
    </row>
    <row r="38" spans="1:5" x14ac:dyDescent="0.2">
      <c r="A38" s="10" t="s">
        <v>734</v>
      </c>
      <c r="C38" s="39">
        <v>10.636699999999999</v>
      </c>
      <c r="D38" s="39">
        <v>11.2822</v>
      </c>
    </row>
    <row r="39" spans="1:5" x14ac:dyDescent="0.2">
      <c r="A39" s="10" t="s">
        <v>438</v>
      </c>
      <c r="C39" s="39">
        <v>10.419600000000001</v>
      </c>
      <c r="D39" s="39">
        <v>10.6281</v>
      </c>
    </row>
    <row r="40" spans="1:5" x14ac:dyDescent="0.2">
      <c r="A40" s="10" t="s">
        <v>439</v>
      </c>
      <c r="C40" s="39">
        <v>11.477600000000001</v>
      </c>
      <c r="D40" s="39">
        <v>12.1928</v>
      </c>
    </row>
    <row r="42" spans="1:5" ht="10.5" x14ac:dyDescent="0.25">
      <c r="A42" s="17" t="s">
        <v>185</v>
      </c>
    </row>
    <row r="43" spans="1:5" ht="12.5" x14ac:dyDescent="0.25">
      <c r="A43" s="100" t="s">
        <v>350</v>
      </c>
      <c r="B43" s="101"/>
      <c r="C43" s="98" t="s">
        <v>1658</v>
      </c>
      <c r="D43" s="99"/>
    </row>
    <row r="44" spans="1:5" ht="10.5" x14ac:dyDescent="0.25">
      <c r="A44" s="100"/>
      <c r="B44" s="101"/>
      <c r="C44" s="43" t="s">
        <v>351</v>
      </c>
      <c r="D44" s="44" t="s">
        <v>352</v>
      </c>
    </row>
    <row r="45" spans="1:5" x14ac:dyDescent="0.2">
      <c r="A45" s="94" t="s">
        <v>438</v>
      </c>
      <c r="B45" s="95"/>
      <c r="C45" s="45">
        <v>0.41500000000000004</v>
      </c>
      <c r="D45" s="45">
        <v>0.41500000000000004</v>
      </c>
    </row>
    <row r="46" spans="1:5" x14ac:dyDescent="0.2">
      <c r="A46" s="90" t="s">
        <v>1657</v>
      </c>
    </row>
    <row r="48" spans="1:5" ht="10.5" x14ac:dyDescent="0.25">
      <c r="A48" s="17" t="s">
        <v>187</v>
      </c>
      <c r="D48" s="41">
        <v>1.2978778926849299</v>
      </c>
      <c r="E48" s="15" t="s">
        <v>188</v>
      </c>
    </row>
    <row r="50" spans="1:4" ht="10.5" x14ac:dyDescent="0.25">
      <c r="A50" s="17" t="s">
        <v>189</v>
      </c>
      <c r="D50" s="40" t="s">
        <v>186</v>
      </c>
    </row>
  </sheetData>
  <mergeCells count="5">
    <mergeCell ref="A1:F1"/>
    <mergeCell ref="C43:D43"/>
    <mergeCell ref="A43:B43"/>
    <mergeCell ref="A44:B44"/>
    <mergeCell ref="A45:B45"/>
  </mergeCells>
  <conditionalFormatting sqref="F2:F3 F5:F65537">
    <cfRule type="cellIs" dxfId="51"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48"/>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3.81640625"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21</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1647</v>
      </c>
      <c r="B6" s="26"/>
      <c r="C6" s="26"/>
      <c r="D6" s="27"/>
      <c r="E6" s="28"/>
      <c r="F6" s="29"/>
    </row>
    <row r="7" spans="1:6" x14ac:dyDescent="0.2">
      <c r="A7" s="26" t="s">
        <v>610</v>
      </c>
      <c r="B7" s="26" t="s">
        <v>609</v>
      </c>
      <c r="C7" s="26" t="s">
        <v>492</v>
      </c>
      <c r="D7" s="30">
        <v>26</v>
      </c>
      <c r="E7" s="28">
        <v>323.35289999999998</v>
      </c>
      <c r="F7" s="29">
        <v>11.8297032220511</v>
      </c>
    </row>
    <row r="8" spans="1:6" x14ac:dyDescent="0.2">
      <c r="A8" s="26" t="s">
        <v>618</v>
      </c>
      <c r="B8" s="26" t="s">
        <v>617</v>
      </c>
      <c r="C8" s="26" t="s">
        <v>152</v>
      </c>
      <c r="D8" s="30">
        <v>28</v>
      </c>
      <c r="E8" s="28">
        <v>287.55187999999998</v>
      </c>
      <c r="F8" s="29">
        <v>10.5199409108218</v>
      </c>
    </row>
    <row r="9" spans="1:6" x14ac:dyDescent="0.2">
      <c r="A9" s="26" t="s">
        <v>669</v>
      </c>
      <c r="B9" s="26" t="s">
        <v>668</v>
      </c>
      <c r="C9" s="26" t="s">
        <v>532</v>
      </c>
      <c r="D9" s="30">
        <v>27</v>
      </c>
      <c r="E9" s="28">
        <v>283.5729</v>
      </c>
      <c r="F9" s="29">
        <v>10.374371928677199</v>
      </c>
    </row>
    <row r="10" spans="1:6" x14ac:dyDescent="0.2">
      <c r="A10" s="26" t="s">
        <v>596</v>
      </c>
      <c r="B10" s="26" t="s">
        <v>595</v>
      </c>
      <c r="C10" s="26" t="s">
        <v>532</v>
      </c>
      <c r="D10" s="30">
        <v>26</v>
      </c>
      <c r="E10" s="28">
        <v>274.34523999999999</v>
      </c>
      <c r="F10" s="29">
        <v>10.036782628460699</v>
      </c>
    </row>
    <row r="11" spans="1:6" x14ac:dyDescent="0.2">
      <c r="A11" s="26" t="s">
        <v>580</v>
      </c>
      <c r="B11" s="26" t="s">
        <v>579</v>
      </c>
      <c r="C11" s="26" t="s">
        <v>152</v>
      </c>
      <c r="D11" s="30">
        <v>26</v>
      </c>
      <c r="E11" s="28">
        <v>273.60138000000001</v>
      </c>
      <c r="F11" s="29">
        <v>10.0095688844715</v>
      </c>
    </row>
    <row r="12" spans="1:6" x14ac:dyDescent="0.2">
      <c r="A12" s="26" t="s">
        <v>151</v>
      </c>
      <c r="B12" s="26" t="s">
        <v>150</v>
      </c>
      <c r="C12" s="26" t="s">
        <v>152</v>
      </c>
      <c r="D12" s="30">
        <v>26</v>
      </c>
      <c r="E12" s="28">
        <v>272.73349999999999</v>
      </c>
      <c r="F12" s="29">
        <v>9.9778179311559505</v>
      </c>
    </row>
    <row r="13" spans="1:6" x14ac:dyDescent="0.2">
      <c r="A13" s="26" t="s">
        <v>752</v>
      </c>
      <c r="B13" s="26" t="s">
        <v>751</v>
      </c>
      <c r="C13" s="26" t="s">
        <v>492</v>
      </c>
      <c r="D13" s="30">
        <v>26</v>
      </c>
      <c r="E13" s="28">
        <v>271.11734000000001</v>
      </c>
      <c r="F13" s="29">
        <v>9.9186915303741703</v>
      </c>
    </row>
    <row r="14" spans="1:6" x14ac:dyDescent="0.2">
      <c r="A14" s="26" t="s">
        <v>550</v>
      </c>
      <c r="B14" s="26" t="s">
        <v>549</v>
      </c>
      <c r="C14" s="26" t="s">
        <v>541</v>
      </c>
      <c r="D14" s="30">
        <v>24</v>
      </c>
      <c r="E14" s="28">
        <v>248.47631999999999</v>
      </c>
      <c r="F14" s="29">
        <v>9.0903812005626108</v>
      </c>
    </row>
    <row r="15" spans="1:6" x14ac:dyDescent="0.2">
      <c r="A15" s="26" t="s">
        <v>738</v>
      </c>
      <c r="B15" s="26" t="s">
        <v>737</v>
      </c>
      <c r="C15" s="26" t="s">
        <v>152</v>
      </c>
      <c r="D15" s="30">
        <v>12</v>
      </c>
      <c r="E15" s="28">
        <v>125.4132</v>
      </c>
      <c r="F15" s="29">
        <v>4.5881788477163497</v>
      </c>
    </row>
    <row r="16" spans="1:6" x14ac:dyDescent="0.2">
      <c r="A16" s="26" t="s">
        <v>750</v>
      </c>
      <c r="B16" s="26" t="s">
        <v>749</v>
      </c>
      <c r="C16" s="26" t="s">
        <v>152</v>
      </c>
      <c r="D16" s="30">
        <v>10</v>
      </c>
      <c r="E16" s="28">
        <v>124.6687</v>
      </c>
      <c r="F16" s="29">
        <v>4.5609416896490602</v>
      </c>
    </row>
    <row r="17" spans="1:9" x14ac:dyDescent="0.2">
      <c r="A17" s="26" t="s">
        <v>729</v>
      </c>
      <c r="B17" s="26" t="s">
        <v>728</v>
      </c>
      <c r="C17" s="26" t="s">
        <v>152</v>
      </c>
      <c r="D17" s="30">
        <v>2</v>
      </c>
      <c r="E17" s="28">
        <v>24.857099999999999</v>
      </c>
      <c r="F17" s="29">
        <v>0.90938450207450305</v>
      </c>
    </row>
    <row r="18" spans="1:9" x14ac:dyDescent="0.2">
      <c r="A18" s="26" t="s">
        <v>746</v>
      </c>
      <c r="B18" s="26" t="s">
        <v>745</v>
      </c>
      <c r="C18" s="26" t="s">
        <v>492</v>
      </c>
      <c r="D18" s="30">
        <v>2</v>
      </c>
      <c r="E18" s="28">
        <v>21.373899999999999</v>
      </c>
      <c r="F18" s="29">
        <v>0.78195338188647201</v>
      </c>
    </row>
    <row r="19" spans="1:9" ht="10.5" x14ac:dyDescent="0.25">
      <c r="A19" s="25" t="s">
        <v>153</v>
      </c>
      <c r="B19" s="25"/>
      <c r="C19" s="25"/>
      <c r="D19" s="31"/>
      <c r="E19" s="32">
        <f>SUM(E6:E18)</f>
        <v>2531.0643600000008</v>
      </c>
      <c r="F19" s="33">
        <f>SUM(F6:F18)</f>
        <v>92.597716657901415</v>
      </c>
      <c r="G19" s="17"/>
      <c r="H19" s="17"/>
      <c r="I19" s="17"/>
    </row>
    <row r="20" spans="1:9" x14ac:dyDescent="0.2">
      <c r="A20" s="26"/>
      <c r="B20" s="26"/>
      <c r="C20" s="26"/>
      <c r="D20" s="27"/>
      <c r="E20" s="28"/>
      <c r="F20" s="29"/>
    </row>
    <row r="21" spans="1:9" ht="10.5" x14ac:dyDescent="0.25">
      <c r="A21" s="25" t="s">
        <v>166</v>
      </c>
      <c r="B21" s="25"/>
      <c r="C21" s="25"/>
      <c r="D21" s="31"/>
      <c r="E21" s="32">
        <f>E19</f>
        <v>2531.0643600000008</v>
      </c>
      <c r="F21" s="33">
        <f>F19</f>
        <v>92.597716657901415</v>
      </c>
      <c r="G21" s="17"/>
      <c r="H21" s="17"/>
      <c r="I21" s="17"/>
    </row>
    <row r="22" spans="1:9" ht="10.5" x14ac:dyDescent="0.25">
      <c r="A22" s="25"/>
      <c r="B22" s="25"/>
      <c r="C22" s="25"/>
      <c r="D22" s="31"/>
      <c r="E22" s="32"/>
      <c r="F22" s="33"/>
      <c r="G22" s="17"/>
      <c r="H22" s="17"/>
      <c r="I22" s="17"/>
    </row>
    <row r="23" spans="1:9" ht="10.5" x14ac:dyDescent="0.25">
      <c r="A23" s="25" t="s">
        <v>168</v>
      </c>
      <c r="B23" s="25"/>
      <c r="C23" s="25"/>
      <c r="D23" s="31"/>
      <c r="E23" s="32">
        <f>E25-(E19)</f>
        <v>202.33388279999917</v>
      </c>
      <c r="F23" s="33">
        <f>F25-(F19)</f>
        <v>7.4022833420985847</v>
      </c>
      <c r="G23" s="17"/>
      <c r="H23" s="17"/>
      <c r="I23" s="17"/>
    </row>
    <row r="24" spans="1:9" ht="10.5" x14ac:dyDescent="0.25">
      <c r="A24" s="25"/>
      <c r="B24" s="25"/>
      <c r="C24" s="25"/>
      <c r="D24" s="31"/>
      <c r="E24" s="32"/>
      <c r="F24" s="33"/>
      <c r="G24" s="17"/>
      <c r="H24" s="17"/>
      <c r="I24" s="17"/>
    </row>
    <row r="25" spans="1:9" ht="10.5" x14ac:dyDescent="0.25">
      <c r="A25" s="34" t="s">
        <v>167</v>
      </c>
      <c r="B25" s="34"/>
      <c r="C25" s="34"/>
      <c r="D25" s="35"/>
      <c r="E25" s="36">
        <v>2733.3982427999999</v>
      </c>
      <c r="F25" s="37">
        <v>100</v>
      </c>
      <c r="G25" s="17"/>
      <c r="H25" s="17"/>
      <c r="I25" s="17"/>
    </row>
    <row r="27" spans="1:9" ht="10.5" x14ac:dyDescent="0.25">
      <c r="A27" s="17" t="s">
        <v>170</v>
      </c>
    </row>
    <row r="29" spans="1:9" ht="10.5" x14ac:dyDescent="0.25">
      <c r="A29" s="17" t="s">
        <v>171</v>
      </c>
    </row>
    <row r="30" spans="1:9" ht="10.5" x14ac:dyDescent="0.25">
      <c r="A30" s="17" t="s">
        <v>172</v>
      </c>
    </row>
    <row r="31" spans="1:9" ht="10.5" x14ac:dyDescent="0.25">
      <c r="A31" s="17" t="s">
        <v>173</v>
      </c>
      <c r="B31" s="17"/>
      <c r="C31" s="38" t="s">
        <v>175</v>
      </c>
      <c r="D31" s="18" t="s">
        <v>174</v>
      </c>
    </row>
    <row r="32" spans="1:9" x14ac:dyDescent="0.2">
      <c r="A32" s="10" t="s">
        <v>436</v>
      </c>
      <c r="C32" s="39">
        <v>11.597899999999999</v>
      </c>
      <c r="D32" s="39">
        <v>12.251899999999999</v>
      </c>
    </row>
    <row r="33" spans="1:5" x14ac:dyDescent="0.2">
      <c r="A33" s="10" t="s">
        <v>734</v>
      </c>
      <c r="C33" s="39">
        <v>10.7775</v>
      </c>
      <c r="D33" s="39">
        <v>11.386900000000001</v>
      </c>
    </row>
    <row r="34" spans="1:5" x14ac:dyDescent="0.2">
      <c r="A34" s="10" t="s">
        <v>438</v>
      </c>
      <c r="C34" s="39">
        <v>10.5177</v>
      </c>
      <c r="D34" s="39">
        <v>10.6511</v>
      </c>
    </row>
    <row r="35" spans="1:5" x14ac:dyDescent="0.2">
      <c r="A35" s="10" t="s">
        <v>439</v>
      </c>
      <c r="C35" s="39">
        <v>11.6473</v>
      </c>
      <c r="D35" s="39">
        <v>12.3226</v>
      </c>
    </row>
    <row r="36" spans="1:5" x14ac:dyDescent="0.2">
      <c r="A36" s="10" t="s">
        <v>471</v>
      </c>
      <c r="C36" s="39">
        <v>10.8245</v>
      </c>
      <c r="D36" s="39">
        <v>11.4518</v>
      </c>
    </row>
    <row r="37" spans="1:5" x14ac:dyDescent="0.2">
      <c r="A37" s="10" t="s">
        <v>441</v>
      </c>
      <c r="C37" s="39">
        <v>10.565</v>
      </c>
      <c r="D37" s="39">
        <v>10.717599999999999</v>
      </c>
    </row>
    <row r="39" spans="1:5" ht="10.5" x14ac:dyDescent="0.25">
      <c r="A39" s="17" t="s">
        <v>185</v>
      </c>
    </row>
    <row r="40" spans="1:5" ht="12.5" x14ac:dyDescent="0.25">
      <c r="A40" s="100" t="s">
        <v>350</v>
      </c>
      <c r="B40" s="101"/>
      <c r="C40" s="98" t="s">
        <v>1658</v>
      </c>
      <c r="D40" s="99"/>
    </row>
    <row r="41" spans="1:5" ht="10.5" x14ac:dyDescent="0.25">
      <c r="A41" s="100"/>
      <c r="B41" s="101"/>
      <c r="C41" s="43" t="s">
        <v>351</v>
      </c>
      <c r="D41" s="44" t="s">
        <v>352</v>
      </c>
    </row>
    <row r="42" spans="1:5" x14ac:dyDescent="0.2">
      <c r="A42" s="94" t="s">
        <v>438</v>
      </c>
      <c r="B42" s="95"/>
      <c r="C42" s="45">
        <v>0.44500000000000001</v>
      </c>
      <c r="D42" s="45">
        <v>0.44500000000000001</v>
      </c>
    </row>
    <row r="43" spans="1:5" x14ac:dyDescent="0.2">
      <c r="A43" s="94" t="s">
        <v>441</v>
      </c>
      <c r="B43" s="95"/>
      <c r="C43" s="45">
        <v>0.44500000000000001</v>
      </c>
      <c r="D43" s="45">
        <v>0.44500000000000001</v>
      </c>
    </row>
    <row r="44" spans="1:5" x14ac:dyDescent="0.2">
      <c r="A44" s="90" t="s">
        <v>1657</v>
      </c>
    </row>
    <row r="46" spans="1:5" ht="10.5" x14ac:dyDescent="0.25">
      <c r="A46" s="17" t="s">
        <v>187</v>
      </c>
      <c r="D46" s="41">
        <v>1.2414231226575301</v>
      </c>
      <c r="E46" s="15" t="s">
        <v>188</v>
      </c>
    </row>
    <row r="48" spans="1:5" ht="10.5" x14ac:dyDescent="0.25">
      <c r="A48" s="17" t="s">
        <v>189</v>
      </c>
      <c r="D48" s="40" t="s">
        <v>186</v>
      </c>
    </row>
  </sheetData>
  <mergeCells count="6">
    <mergeCell ref="A43:B43"/>
    <mergeCell ref="A1:F1"/>
    <mergeCell ref="C40:D40"/>
    <mergeCell ref="A40:B40"/>
    <mergeCell ref="A41:B41"/>
    <mergeCell ref="A42:B42"/>
  </mergeCells>
  <conditionalFormatting sqref="F2:F3 F5:F65537">
    <cfRule type="cellIs" dxfId="50"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56"/>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3.81640625"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22</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610</v>
      </c>
      <c r="B7" s="26" t="s">
        <v>609</v>
      </c>
      <c r="C7" s="26" t="s">
        <v>492</v>
      </c>
      <c r="D7" s="30">
        <v>50</v>
      </c>
      <c r="E7" s="28">
        <v>621.83249999999998</v>
      </c>
      <c r="F7" s="29">
        <v>11.883278406477899</v>
      </c>
    </row>
    <row r="8" spans="1:6" x14ac:dyDescent="0.2">
      <c r="A8" s="26" t="s">
        <v>580</v>
      </c>
      <c r="B8" s="26" t="s">
        <v>579</v>
      </c>
      <c r="C8" s="26" t="s">
        <v>152</v>
      </c>
      <c r="D8" s="30">
        <v>50</v>
      </c>
      <c r="E8" s="28">
        <v>526.15650000000005</v>
      </c>
      <c r="F8" s="29">
        <v>10.0549009176555</v>
      </c>
    </row>
    <row r="9" spans="1:6" x14ac:dyDescent="0.2">
      <c r="A9" s="26" t="s">
        <v>669</v>
      </c>
      <c r="B9" s="26" t="s">
        <v>668</v>
      </c>
      <c r="C9" s="26" t="s">
        <v>532</v>
      </c>
      <c r="D9" s="30">
        <v>50</v>
      </c>
      <c r="E9" s="28">
        <v>525.13499999999999</v>
      </c>
      <c r="F9" s="29">
        <v>10.0353799551902</v>
      </c>
    </row>
    <row r="10" spans="1:6" x14ac:dyDescent="0.2">
      <c r="A10" s="26" t="s">
        <v>756</v>
      </c>
      <c r="B10" s="26" t="s">
        <v>755</v>
      </c>
      <c r="C10" s="26" t="s">
        <v>152</v>
      </c>
      <c r="D10" s="30">
        <v>50</v>
      </c>
      <c r="E10" s="28">
        <v>521.42550000000006</v>
      </c>
      <c r="F10" s="29">
        <v>9.9644910562522195</v>
      </c>
    </row>
    <row r="11" spans="1:6" x14ac:dyDescent="0.2">
      <c r="A11" s="26" t="s">
        <v>758</v>
      </c>
      <c r="B11" s="26" t="s">
        <v>757</v>
      </c>
      <c r="C11" s="26" t="s">
        <v>152</v>
      </c>
      <c r="D11" s="30">
        <v>50</v>
      </c>
      <c r="E11" s="28">
        <v>515.7645</v>
      </c>
      <c r="F11" s="29">
        <v>9.8563088061140007</v>
      </c>
    </row>
    <row r="12" spans="1:6" x14ac:dyDescent="0.2">
      <c r="A12" s="26" t="s">
        <v>666</v>
      </c>
      <c r="B12" s="26" t="s">
        <v>665</v>
      </c>
      <c r="C12" s="26" t="s">
        <v>667</v>
      </c>
      <c r="D12" s="30">
        <v>48</v>
      </c>
      <c r="E12" s="28">
        <v>515.48928000000001</v>
      </c>
      <c r="F12" s="29">
        <v>9.8510493256541807</v>
      </c>
    </row>
    <row r="13" spans="1:6" x14ac:dyDescent="0.2">
      <c r="A13" s="26" t="s">
        <v>151</v>
      </c>
      <c r="B13" s="26" t="s">
        <v>150</v>
      </c>
      <c r="C13" s="26" t="s">
        <v>152</v>
      </c>
      <c r="D13" s="30">
        <v>49</v>
      </c>
      <c r="E13" s="28">
        <v>513.99775</v>
      </c>
      <c r="F13" s="29">
        <v>9.8225460450414506</v>
      </c>
    </row>
    <row r="14" spans="1:6" x14ac:dyDescent="0.2">
      <c r="A14" s="26" t="s">
        <v>596</v>
      </c>
      <c r="B14" s="26" t="s">
        <v>595</v>
      </c>
      <c r="C14" s="26" t="s">
        <v>532</v>
      </c>
      <c r="D14" s="30">
        <v>20</v>
      </c>
      <c r="E14" s="28">
        <v>211.03479999999999</v>
      </c>
      <c r="F14" s="29">
        <v>4.0328951636580399</v>
      </c>
    </row>
    <row r="15" spans="1:6" x14ac:dyDescent="0.2">
      <c r="A15" s="26" t="s">
        <v>752</v>
      </c>
      <c r="B15" s="26" t="s">
        <v>751</v>
      </c>
      <c r="C15" s="26" t="s">
        <v>492</v>
      </c>
      <c r="D15" s="30">
        <v>15</v>
      </c>
      <c r="E15" s="28">
        <v>156.41385</v>
      </c>
      <c r="F15" s="29">
        <v>2.9890835975589498</v>
      </c>
    </row>
    <row r="16" spans="1:6" x14ac:dyDescent="0.2">
      <c r="A16" s="26" t="s">
        <v>746</v>
      </c>
      <c r="B16" s="26" t="s">
        <v>745</v>
      </c>
      <c r="C16" s="26" t="s">
        <v>492</v>
      </c>
      <c r="D16" s="30">
        <v>6</v>
      </c>
      <c r="E16" s="28">
        <v>64.121700000000004</v>
      </c>
      <c r="F16" s="29">
        <v>1.2253718051029101</v>
      </c>
    </row>
    <row r="17" spans="1:9" x14ac:dyDescent="0.2">
      <c r="A17" s="26" t="s">
        <v>738</v>
      </c>
      <c r="B17" s="26" t="s">
        <v>737</v>
      </c>
      <c r="C17" s="26" t="s">
        <v>152</v>
      </c>
      <c r="D17" s="30">
        <v>4</v>
      </c>
      <c r="E17" s="28">
        <v>41.804400000000001</v>
      </c>
      <c r="F17" s="29">
        <v>0.79888607272177903</v>
      </c>
    </row>
    <row r="18" spans="1:9" x14ac:dyDescent="0.2">
      <c r="A18" s="26" t="s">
        <v>725</v>
      </c>
      <c r="B18" s="26" t="s">
        <v>724</v>
      </c>
      <c r="C18" s="26" t="s">
        <v>152</v>
      </c>
      <c r="D18" s="30">
        <v>3</v>
      </c>
      <c r="E18" s="28">
        <v>37.76397</v>
      </c>
      <c r="F18" s="29">
        <v>0.72167306990850499</v>
      </c>
    </row>
    <row r="19" spans="1:9" x14ac:dyDescent="0.2">
      <c r="A19" s="26" t="s">
        <v>729</v>
      </c>
      <c r="B19" s="26" t="s">
        <v>728</v>
      </c>
      <c r="C19" s="26" t="s">
        <v>152</v>
      </c>
      <c r="D19" s="30">
        <v>3</v>
      </c>
      <c r="E19" s="28">
        <v>37.285649999999997</v>
      </c>
      <c r="F19" s="29">
        <v>0.71253232907011699</v>
      </c>
    </row>
    <row r="20" spans="1:9" x14ac:dyDescent="0.2">
      <c r="A20" s="26" t="s">
        <v>740</v>
      </c>
      <c r="B20" s="26" t="s">
        <v>739</v>
      </c>
      <c r="C20" s="26" t="s">
        <v>282</v>
      </c>
      <c r="D20" s="30">
        <v>3</v>
      </c>
      <c r="E20" s="28">
        <v>36.828690000000002</v>
      </c>
      <c r="F20" s="29">
        <v>0.70379977986977105</v>
      </c>
    </row>
    <row r="21" spans="1:9" x14ac:dyDescent="0.2">
      <c r="A21" s="26" t="s">
        <v>584</v>
      </c>
      <c r="B21" s="26" t="s">
        <v>583</v>
      </c>
      <c r="C21" s="26" t="s">
        <v>532</v>
      </c>
      <c r="D21" s="30">
        <v>2</v>
      </c>
      <c r="E21" s="28">
        <v>20.90842</v>
      </c>
      <c r="F21" s="29">
        <v>0.39956190115436402</v>
      </c>
    </row>
    <row r="22" spans="1:9" x14ac:dyDescent="0.2">
      <c r="A22" s="26" t="s">
        <v>547</v>
      </c>
      <c r="B22" s="26" t="s">
        <v>546</v>
      </c>
      <c r="C22" s="26" t="s">
        <v>548</v>
      </c>
      <c r="D22" s="30">
        <v>1</v>
      </c>
      <c r="E22" s="28">
        <v>10.31626</v>
      </c>
      <c r="F22" s="29">
        <v>0.19714471291483199</v>
      </c>
    </row>
    <row r="23" spans="1:9" ht="10.5" x14ac:dyDescent="0.25">
      <c r="A23" s="25" t="s">
        <v>153</v>
      </c>
      <c r="B23" s="25"/>
      <c r="C23" s="25"/>
      <c r="D23" s="31"/>
      <c r="E23" s="32">
        <f>SUM(E6:E22)</f>
        <v>4356.278769999999</v>
      </c>
      <c r="F23" s="33">
        <f>SUM(F6:F22)</f>
        <v>83.248902944344735</v>
      </c>
      <c r="G23" s="17"/>
      <c r="H23" s="17"/>
      <c r="I23" s="17"/>
    </row>
    <row r="24" spans="1:9" x14ac:dyDescent="0.2">
      <c r="A24" s="26"/>
      <c r="B24" s="26"/>
      <c r="C24" s="26"/>
      <c r="D24" s="27"/>
      <c r="E24" s="28"/>
      <c r="F24" s="29"/>
    </row>
    <row r="25" spans="1:9" ht="10.5" x14ac:dyDescent="0.25">
      <c r="A25" s="25" t="s">
        <v>154</v>
      </c>
      <c r="B25" s="26"/>
      <c r="C25" s="26"/>
      <c r="D25" s="27"/>
      <c r="E25" s="28"/>
      <c r="F25" s="29"/>
    </row>
    <row r="26" spans="1:9" x14ac:dyDescent="0.2">
      <c r="A26" s="26" t="s">
        <v>760</v>
      </c>
      <c r="B26" s="26" t="s">
        <v>759</v>
      </c>
      <c r="C26" s="26" t="s">
        <v>152</v>
      </c>
      <c r="D26" s="30">
        <v>50</v>
      </c>
      <c r="E26" s="28">
        <v>520.44749999999999</v>
      </c>
      <c r="F26" s="29">
        <v>9.9458013829374003</v>
      </c>
    </row>
    <row r="27" spans="1:9" ht="10.5" x14ac:dyDescent="0.25">
      <c r="A27" s="25" t="s">
        <v>153</v>
      </c>
      <c r="B27" s="25"/>
      <c r="C27" s="25"/>
      <c r="D27" s="31"/>
      <c r="E27" s="32">
        <f>SUM(E25:E26)</f>
        <v>520.44749999999999</v>
      </c>
      <c r="F27" s="33">
        <f>SUM(F25:F26)</f>
        <v>9.9458013829374003</v>
      </c>
      <c r="G27" s="17"/>
      <c r="H27" s="17"/>
      <c r="I27" s="17"/>
    </row>
    <row r="28" spans="1:9" x14ac:dyDescent="0.2">
      <c r="A28" s="26"/>
      <c r="B28" s="26"/>
      <c r="C28" s="26"/>
      <c r="D28" s="27"/>
      <c r="E28" s="28"/>
      <c r="F28" s="29"/>
    </row>
    <row r="29" spans="1:9" ht="10.5" x14ac:dyDescent="0.25">
      <c r="A29" s="25" t="s">
        <v>166</v>
      </c>
      <c r="B29" s="25"/>
      <c r="C29" s="25"/>
      <c r="D29" s="31"/>
      <c r="E29" s="32">
        <f>E23+E27</f>
        <v>4876.7262699999992</v>
      </c>
      <c r="F29" s="33">
        <f>F23+F27</f>
        <v>93.194704327282139</v>
      </c>
      <c r="G29" s="17"/>
      <c r="H29" s="17"/>
      <c r="I29" s="17"/>
    </row>
    <row r="30" spans="1:9" ht="10.5" x14ac:dyDescent="0.25">
      <c r="A30" s="25"/>
      <c r="B30" s="25"/>
      <c r="C30" s="25"/>
      <c r="D30" s="31"/>
      <c r="E30" s="32"/>
      <c r="F30" s="33"/>
      <c r="G30" s="17"/>
      <c r="H30" s="17"/>
      <c r="I30" s="17"/>
    </row>
    <row r="31" spans="1:9" ht="10.5" x14ac:dyDescent="0.25">
      <c r="A31" s="25" t="s">
        <v>168</v>
      </c>
      <c r="B31" s="25"/>
      <c r="C31" s="25"/>
      <c r="D31" s="31"/>
      <c r="E31" s="32">
        <f>E33-(E23+E27)</f>
        <v>356.10997880000104</v>
      </c>
      <c r="F31" s="33">
        <f>F33-(F23+F27)</f>
        <v>6.8052956727178611</v>
      </c>
      <c r="G31" s="17"/>
      <c r="H31" s="17"/>
      <c r="I31" s="17"/>
    </row>
    <row r="32" spans="1:9" ht="10.5" x14ac:dyDescent="0.25">
      <c r="A32" s="25"/>
      <c r="B32" s="25"/>
      <c r="C32" s="25"/>
      <c r="D32" s="31"/>
      <c r="E32" s="32"/>
      <c r="F32" s="33"/>
      <c r="G32" s="17"/>
      <c r="H32" s="17"/>
      <c r="I32" s="17"/>
    </row>
    <row r="33" spans="1:9" ht="10.5" x14ac:dyDescent="0.25">
      <c r="A33" s="34" t="s">
        <v>167</v>
      </c>
      <c r="B33" s="34"/>
      <c r="C33" s="34"/>
      <c r="D33" s="35"/>
      <c r="E33" s="36">
        <v>5232.8362488000002</v>
      </c>
      <c r="F33" s="37">
        <v>100</v>
      </c>
      <c r="G33" s="17"/>
      <c r="H33" s="17"/>
      <c r="I33" s="17"/>
    </row>
    <row r="35" spans="1:9" ht="10.5" x14ac:dyDescent="0.25">
      <c r="A35" s="17" t="s">
        <v>170</v>
      </c>
    </row>
    <row r="37" spans="1:9" ht="10.5" x14ac:dyDescent="0.25">
      <c r="A37" s="17" t="s">
        <v>171</v>
      </c>
    </row>
    <row r="38" spans="1:9" ht="10.5" x14ac:dyDescent="0.25">
      <c r="A38" s="17" t="s">
        <v>172</v>
      </c>
    </row>
    <row r="39" spans="1:9" ht="10.5" x14ac:dyDescent="0.25">
      <c r="A39" s="17" t="s">
        <v>173</v>
      </c>
      <c r="B39" s="17"/>
      <c r="C39" s="38" t="s">
        <v>175</v>
      </c>
      <c r="D39" s="18" t="s">
        <v>174</v>
      </c>
    </row>
    <row r="40" spans="1:9" x14ac:dyDescent="0.2">
      <c r="A40" s="10" t="s">
        <v>436</v>
      </c>
      <c r="C40" s="39">
        <v>11.5306</v>
      </c>
      <c r="D40" s="39">
        <v>12.2461</v>
      </c>
    </row>
    <row r="41" spans="1:9" x14ac:dyDescent="0.2">
      <c r="A41" s="10" t="s">
        <v>734</v>
      </c>
      <c r="C41" s="39">
        <v>10.744400000000001</v>
      </c>
      <c r="D41" s="39">
        <v>11.4125</v>
      </c>
    </row>
    <row r="42" spans="1:9" x14ac:dyDescent="0.2">
      <c r="A42" s="10" t="s">
        <v>438</v>
      </c>
      <c r="C42" s="39">
        <v>10.5426</v>
      </c>
      <c r="D42" s="39">
        <v>10.7171</v>
      </c>
    </row>
    <row r="43" spans="1:9" x14ac:dyDescent="0.2">
      <c r="A43" s="10" t="s">
        <v>439</v>
      </c>
      <c r="C43" s="39">
        <v>11.6525</v>
      </c>
      <c r="D43" s="39">
        <v>12.375500000000001</v>
      </c>
    </row>
    <row r="44" spans="1:9" x14ac:dyDescent="0.2">
      <c r="A44" s="10" t="s">
        <v>471</v>
      </c>
      <c r="C44" s="39">
        <v>10.7607</v>
      </c>
      <c r="D44" s="39">
        <v>11.4284</v>
      </c>
    </row>
    <row r="45" spans="1:9" x14ac:dyDescent="0.2">
      <c r="A45" s="10" t="s">
        <v>441</v>
      </c>
      <c r="C45" s="39">
        <v>10.5684</v>
      </c>
      <c r="D45" s="39">
        <v>10.744</v>
      </c>
    </row>
    <row r="47" spans="1:9" ht="10.5" x14ac:dyDescent="0.25">
      <c r="A47" s="17" t="s">
        <v>185</v>
      </c>
    </row>
    <row r="48" spans="1:9" ht="12.5" x14ac:dyDescent="0.25">
      <c r="A48" s="100" t="s">
        <v>350</v>
      </c>
      <c r="B48" s="101"/>
      <c r="C48" s="98" t="s">
        <v>1658</v>
      </c>
      <c r="D48" s="99"/>
    </row>
    <row r="49" spans="1:5" ht="10.5" x14ac:dyDescent="0.25">
      <c r="A49" s="100"/>
      <c r="B49" s="101"/>
      <c r="C49" s="43" t="s">
        <v>351</v>
      </c>
      <c r="D49" s="44" t="s">
        <v>352</v>
      </c>
    </row>
    <row r="50" spans="1:5" x14ac:dyDescent="0.2">
      <c r="A50" s="94" t="s">
        <v>438</v>
      </c>
      <c r="B50" s="95"/>
      <c r="C50" s="45">
        <v>0.46500000000000002</v>
      </c>
      <c r="D50" s="45">
        <v>0.46500000000000002</v>
      </c>
    </row>
    <row r="51" spans="1:5" x14ac:dyDescent="0.2">
      <c r="A51" s="94" t="s">
        <v>441</v>
      </c>
      <c r="B51" s="95"/>
      <c r="C51" s="45">
        <v>0.46500000000000002</v>
      </c>
      <c r="D51" s="45">
        <v>0.46500000000000002</v>
      </c>
    </row>
    <row r="52" spans="1:5" x14ac:dyDescent="0.2">
      <c r="A52" s="90" t="s">
        <v>1657</v>
      </c>
    </row>
    <row r="54" spans="1:5" ht="10.5" x14ac:dyDescent="0.25">
      <c r="A54" s="17" t="s">
        <v>187</v>
      </c>
      <c r="D54" s="41">
        <v>1.2672553374520501</v>
      </c>
      <c r="E54" s="15" t="s">
        <v>188</v>
      </c>
    </row>
    <row r="56" spans="1:5" ht="10.5" x14ac:dyDescent="0.25">
      <c r="A56" s="17" t="s">
        <v>189</v>
      </c>
      <c r="D56" s="40" t="s">
        <v>186</v>
      </c>
    </row>
  </sheetData>
  <mergeCells count="6">
    <mergeCell ref="A51:B51"/>
    <mergeCell ref="A1:F1"/>
    <mergeCell ref="C48:D48"/>
    <mergeCell ref="A48:B48"/>
    <mergeCell ref="A49:B49"/>
    <mergeCell ref="A50:B50"/>
  </mergeCells>
  <conditionalFormatting sqref="F2:F3 F5:F65537">
    <cfRule type="cellIs" dxfId="49"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58"/>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1796875"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23</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604</v>
      </c>
      <c r="B7" s="26" t="s">
        <v>603</v>
      </c>
      <c r="C7" s="26" t="s">
        <v>532</v>
      </c>
      <c r="D7" s="30">
        <v>31</v>
      </c>
      <c r="E7" s="28">
        <v>322.34885000000003</v>
      </c>
      <c r="F7" s="29">
        <v>10.0559390368945</v>
      </c>
    </row>
    <row r="8" spans="1:6" x14ac:dyDescent="0.2">
      <c r="A8" s="26" t="s">
        <v>762</v>
      </c>
      <c r="B8" s="26" t="s">
        <v>761</v>
      </c>
      <c r="C8" s="26" t="s">
        <v>152</v>
      </c>
      <c r="D8" s="30">
        <v>31</v>
      </c>
      <c r="E8" s="28">
        <v>318.68216999999999</v>
      </c>
      <c r="F8" s="29">
        <v>9.9415539210555899</v>
      </c>
    </row>
    <row r="9" spans="1:6" x14ac:dyDescent="0.2">
      <c r="A9" s="26" t="s">
        <v>598</v>
      </c>
      <c r="B9" s="26" t="s">
        <v>597</v>
      </c>
      <c r="C9" s="26" t="s">
        <v>152</v>
      </c>
      <c r="D9" s="30">
        <v>31</v>
      </c>
      <c r="E9" s="28">
        <v>318.38736</v>
      </c>
      <c r="F9" s="29">
        <v>9.93235707922579</v>
      </c>
    </row>
    <row r="10" spans="1:6" x14ac:dyDescent="0.2">
      <c r="A10" s="26" t="s">
        <v>151</v>
      </c>
      <c r="B10" s="26" t="s">
        <v>150</v>
      </c>
      <c r="C10" s="26" t="s">
        <v>152</v>
      </c>
      <c r="D10" s="30">
        <v>30</v>
      </c>
      <c r="E10" s="28">
        <v>314.6925</v>
      </c>
      <c r="F10" s="29">
        <v>9.8170928649751108</v>
      </c>
    </row>
    <row r="11" spans="1:6" x14ac:dyDescent="0.2">
      <c r="A11" s="26" t="s">
        <v>531</v>
      </c>
      <c r="B11" s="26" t="s">
        <v>530</v>
      </c>
      <c r="C11" s="26" t="s">
        <v>532</v>
      </c>
      <c r="D11" s="30">
        <v>26</v>
      </c>
      <c r="E11" s="28">
        <v>267.02494000000002</v>
      </c>
      <c r="F11" s="29">
        <v>8.3300638980732202</v>
      </c>
    </row>
    <row r="12" spans="1:6" x14ac:dyDescent="0.2">
      <c r="A12" s="26" t="s">
        <v>286</v>
      </c>
      <c r="B12" s="26" t="s">
        <v>285</v>
      </c>
      <c r="C12" s="26" t="s">
        <v>152</v>
      </c>
      <c r="D12" s="30">
        <v>22</v>
      </c>
      <c r="E12" s="28">
        <v>226.53466</v>
      </c>
      <c r="F12" s="29">
        <v>7.0669361181329799</v>
      </c>
    </row>
    <row r="13" spans="1:6" x14ac:dyDescent="0.2">
      <c r="A13" s="26" t="s">
        <v>588</v>
      </c>
      <c r="B13" s="26" t="s">
        <v>587</v>
      </c>
      <c r="C13" s="26" t="s">
        <v>532</v>
      </c>
      <c r="D13" s="30">
        <v>16</v>
      </c>
      <c r="E13" s="28">
        <v>199.27216000000001</v>
      </c>
      <c r="F13" s="29">
        <v>6.2164598778940698</v>
      </c>
    </row>
    <row r="14" spans="1:6" x14ac:dyDescent="0.2">
      <c r="A14" s="26" t="s">
        <v>764</v>
      </c>
      <c r="B14" s="26" t="s">
        <v>763</v>
      </c>
      <c r="C14" s="26" t="s">
        <v>532</v>
      </c>
      <c r="D14" s="30">
        <v>19</v>
      </c>
      <c r="E14" s="28">
        <v>196.79801</v>
      </c>
      <c r="F14" s="29">
        <v>6.1392767219183799</v>
      </c>
    </row>
    <row r="15" spans="1:6" x14ac:dyDescent="0.2">
      <c r="A15" s="26" t="s">
        <v>766</v>
      </c>
      <c r="B15" s="26" t="s">
        <v>765</v>
      </c>
      <c r="C15" s="26" t="s">
        <v>152</v>
      </c>
      <c r="D15" s="30">
        <v>19</v>
      </c>
      <c r="E15" s="28">
        <v>196.39331000000001</v>
      </c>
      <c r="F15" s="29">
        <v>6.1266517706327503</v>
      </c>
    </row>
    <row r="16" spans="1:6" x14ac:dyDescent="0.2">
      <c r="A16" s="26" t="s">
        <v>768</v>
      </c>
      <c r="B16" s="26" t="s">
        <v>767</v>
      </c>
      <c r="C16" s="26" t="s">
        <v>152</v>
      </c>
      <c r="D16" s="30">
        <v>20</v>
      </c>
      <c r="E16" s="28">
        <v>192.05340000000001</v>
      </c>
      <c r="F16" s="29">
        <v>5.9912646880183402</v>
      </c>
    </row>
    <row r="17" spans="1:9" x14ac:dyDescent="0.2">
      <c r="A17" s="26" t="s">
        <v>770</v>
      </c>
      <c r="B17" s="26" t="s">
        <v>769</v>
      </c>
      <c r="C17" s="26" t="s">
        <v>152</v>
      </c>
      <c r="D17" s="30">
        <v>16</v>
      </c>
      <c r="E17" s="28">
        <v>162.93104</v>
      </c>
      <c r="F17" s="29">
        <v>5.0827685765214499</v>
      </c>
    </row>
    <row r="18" spans="1:9" x14ac:dyDescent="0.2">
      <c r="A18" s="26" t="s">
        <v>534</v>
      </c>
      <c r="B18" s="26" t="s">
        <v>533</v>
      </c>
      <c r="C18" s="26" t="s">
        <v>152</v>
      </c>
      <c r="D18" s="30">
        <v>1</v>
      </c>
      <c r="E18" s="28">
        <v>101.9091</v>
      </c>
      <c r="F18" s="29">
        <v>3.17913867818914</v>
      </c>
    </row>
    <row r="19" spans="1:9" x14ac:dyDescent="0.2">
      <c r="A19" s="26" t="s">
        <v>772</v>
      </c>
      <c r="B19" s="26" t="s">
        <v>771</v>
      </c>
      <c r="C19" s="26" t="s">
        <v>282</v>
      </c>
      <c r="D19" s="30">
        <v>7</v>
      </c>
      <c r="E19" s="28">
        <v>85.743489999999994</v>
      </c>
      <c r="F19" s="29">
        <v>2.6748391013356398</v>
      </c>
    </row>
    <row r="20" spans="1:9" ht="10.5" x14ac:dyDescent="0.25">
      <c r="A20" s="25" t="s">
        <v>153</v>
      </c>
      <c r="B20" s="25"/>
      <c r="C20" s="25"/>
      <c r="D20" s="31"/>
      <c r="E20" s="32">
        <f>SUM(E6:E19)</f>
        <v>2902.7709899999995</v>
      </c>
      <c r="F20" s="33">
        <f>SUM(F6:F19)</f>
        <v>90.554342332866938</v>
      </c>
      <c r="G20" s="17"/>
      <c r="H20" s="17"/>
      <c r="I20" s="17"/>
    </row>
    <row r="21" spans="1:9" x14ac:dyDescent="0.2">
      <c r="A21" s="26"/>
      <c r="B21" s="26"/>
      <c r="C21" s="26"/>
      <c r="D21" s="27"/>
      <c r="E21" s="28"/>
      <c r="F21" s="29"/>
    </row>
    <row r="22" spans="1:9" ht="10.5" x14ac:dyDescent="0.25">
      <c r="A22" s="25" t="s">
        <v>154</v>
      </c>
      <c r="B22" s="26"/>
      <c r="C22" s="26"/>
      <c r="D22" s="27"/>
      <c r="E22" s="28"/>
      <c r="F22" s="29"/>
    </row>
    <row r="23" spans="1:9" x14ac:dyDescent="0.2">
      <c r="A23" s="26" t="s">
        <v>315</v>
      </c>
      <c r="B23" s="26" t="s">
        <v>314</v>
      </c>
      <c r="C23" s="26" t="s">
        <v>152</v>
      </c>
      <c r="D23" s="30">
        <v>3</v>
      </c>
      <c r="E23" s="28">
        <v>30.828810000000001</v>
      </c>
      <c r="F23" s="29">
        <v>0.96173023089737897</v>
      </c>
    </row>
    <row r="24" spans="1:9" ht="10.5" x14ac:dyDescent="0.25">
      <c r="A24" s="25" t="s">
        <v>153</v>
      </c>
      <c r="B24" s="25"/>
      <c r="C24" s="25"/>
      <c r="D24" s="31"/>
      <c r="E24" s="32">
        <f>SUM(E22:E23)</f>
        <v>30.828810000000001</v>
      </c>
      <c r="F24" s="33">
        <f>SUM(F22:F23)</f>
        <v>0.96173023089737897</v>
      </c>
      <c r="G24" s="17"/>
      <c r="H24" s="17"/>
      <c r="I24" s="17"/>
    </row>
    <row r="25" spans="1:9" x14ac:dyDescent="0.2">
      <c r="A25" s="26"/>
      <c r="B25" s="26"/>
      <c r="C25" s="26"/>
      <c r="D25" s="27"/>
      <c r="E25" s="28"/>
      <c r="F25" s="29"/>
    </row>
    <row r="26" spans="1:9" ht="10.5" x14ac:dyDescent="0.25">
      <c r="A26" s="25" t="s">
        <v>362</v>
      </c>
      <c r="B26" s="26"/>
      <c r="C26" s="26"/>
      <c r="D26" s="27"/>
      <c r="E26" s="28"/>
      <c r="F26" s="29"/>
    </row>
    <row r="27" spans="1:9" ht="10.5" x14ac:dyDescent="0.25">
      <c r="A27" s="25" t="s">
        <v>363</v>
      </c>
      <c r="B27" s="26"/>
      <c r="C27" s="26"/>
      <c r="D27" s="27"/>
      <c r="E27" s="28"/>
      <c r="F27" s="29"/>
    </row>
    <row r="28" spans="1:9" x14ac:dyDescent="0.2">
      <c r="A28" s="26" t="s">
        <v>375</v>
      </c>
      <c r="B28" s="26" t="s">
        <v>374</v>
      </c>
      <c r="C28" s="26" t="s">
        <v>369</v>
      </c>
      <c r="D28" s="30">
        <v>16</v>
      </c>
      <c r="E28" s="28">
        <v>15.761072</v>
      </c>
      <c r="F28" s="29">
        <v>0.491679679291877</v>
      </c>
    </row>
    <row r="29" spans="1:9" ht="10.5" x14ac:dyDescent="0.25">
      <c r="A29" s="25" t="s">
        <v>153</v>
      </c>
      <c r="B29" s="25"/>
      <c r="C29" s="25"/>
      <c r="D29" s="31"/>
      <c r="E29" s="32">
        <f>SUM(E27:E28)</f>
        <v>15.761072</v>
      </c>
      <c r="F29" s="33">
        <f>SUM(F27:F28)</f>
        <v>0.491679679291877</v>
      </c>
      <c r="G29" s="17"/>
      <c r="H29" s="17"/>
      <c r="I29" s="17"/>
    </row>
    <row r="30" spans="1:9" x14ac:dyDescent="0.2">
      <c r="A30" s="26"/>
      <c r="B30" s="26"/>
      <c r="C30" s="26"/>
      <c r="D30" s="27"/>
      <c r="E30" s="28"/>
      <c r="F30" s="29"/>
    </row>
    <row r="31" spans="1:9" ht="10.5" x14ac:dyDescent="0.25">
      <c r="A31" s="25" t="s">
        <v>166</v>
      </c>
      <c r="B31" s="25"/>
      <c r="C31" s="25"/>
      <c r="D31" s="31"/>
      <c r="E31" s="32">
        <f>E20+E24+E29</f>
        <v>2949.3608719999993</v>
      </c>
      <c r="F31" s="33">
        <f>F20+F24+F29</f>
        <v>92.007752243056188</v>
      </c>
      <c r="G31" s="17"/>
      <c r="H31" s="17"/>
      <c r="I31" s="17"/>
    </row>
    <row r="32" spans="1:9" ht="10.5" x14ac:dyDescent="0.25">
      <c r="A32" s="25"/>
      <c r="B32" s="25"/>
      <c r="C32" s="25"/>
      <c r="D32" s="31"/>
      <c r="E32" s="32"/>
      <c r="F32" s="33"/>
      <c r="G32" s="17"/>
      <c r="H32" s="17"/>
      <c r="I32" s="17"/>
    </row>
    <row r="33" spans="1:9" ht="10.5" x14ac:dyDescent="0.25">
      <c r="A33" s="25" t="s">
        <v>168</v>
      </c>
      <c r="B33" s="25"/>
      <c r="C33" s="25"/>
      <c r="D33" s="31"/>
      <c r="E33" s="32">
        <f>E35-(E20+E24+E29)</f>
        <v>256.19605130000082</v>
      </c>
      <c r="F33" s="33">
        <f>F35-(F20+F24+F29)</f>
        <v>7.9922477569438115</v>
      </c>
      <c r="G33" s="17"/>
      <c r="H33" s="17"/>
      <c r="I33" s="17"/>
    </row>
    <row r="34" spans="1:9" ht="10.5" x14ac:dyDescent="0.25">
      <c r="A34" s="25"/>
      <c r="B34" s="25"/>
      <c r="C34" s="25"/>
      <c r="D34" s="31"/>
      <c r="E34" s="32"/>
      <c r="F34" s="33"/>
      <c r="G34" s="17"/>
      <c r="H34" s="17"/>
      <c r="I34" s="17"/>
    </row>
    <row r="35" spans="1:9" ht="10.5" x14ac:dyDescent="0.25">
      <c r="A35" s="34" t="s">
        <v>167</v>
      </c>
      <c r="B35" s="34"/>
      <c r="C35" s="34"/>
      <c r="D35" s="35"/>
      <c r="E35" s="36">
        <v>3205.5569233000001</v>
      </c>
      <c r="F35" s="37">
        <v>100</v>
      </c>
      <c r="G35" s="17"/>
      <c r="H35" s="17"/>
      <c r="I35" s="17"/>
    </row>
    <row r="37" spans="1:9" ht="10.5" x14ac:dyDescent="0.25">
      <c r="A37" s="17" t="s">
        <v>170</v>
      </c>
    </row>
    <row r="39" spans="1:9" ht="10.5" x14ac:dyDescent="0.25">
      <c r="A39" s="17" t="s">
        <v>171</v>
      </c>
    </row>
    <row r="40" spans="1:9" ht="10.5" x14ac:dyDescent="0.25">
      <c r="A40" s="17" t="s">
        <v>172</v>
      </c>
    </row>
    <row r="41" spans="1:9" ht="10.5" x14ac:dyDescent="0.25">
      <c r="A41" s="17" t="s">
        <v>173</v>
      </c>
      <c r="B41" s="17"/>
      <c r="C41" s="38" t="s">
        <v>175</v>
      </c>
      <c r="D41" s="18" t="s">
        <v>174</v>
      </c>
    </row>
    <row r="42" spans="1:9" x14ac:dyDescent="0.2">
      <c r="A42" s="10" t="s">
        <v>436</v>
      </c>
      <c r="C42" s="39">
        <v>11.5566</v>
      </c>
      <c r="D42" s="39">
        <v>12.1553</v>
      </c>
    </row>
    <row r="43" spans="1:9" x14ac:dyDescent="0.2">
      <c r="A43" s="10" t="s">
        <v>734</v>
      </c>
      <c r="C43" s="39">
        <v>10.7973</v>
      </c>
      <c r="D43" s="39">
        <v>10.460800000000001</v>
      </c>
    </row>
    <row r="44" spans="1:9" x14ac:dyDescent="0.2">
      <c r="A44" s="10" t="s">
        <v>438</v>
      </c>
      <c r="C44" s="39">
        <v>10.330500000000001</v>
      </c>
      <c r="D44" s="39">
        <v>10.452</v>
      </c>
    </row>
    <row r="45" spans="1:9" x14ac:dyDescent="0.2">
      <c r="A45" s="10" t="s">
        <v>439</v>
      </c>
      <c r="C45" s="39">
        <v>11.6724</v>
      </c>
      <c r="D45" s="39">
        <v>12.277100000000001</v>
      </c>
    </row>
    <row r="46" spans="1:9" x14ac:dyDescent="0.2">
      <c r="A46" s="10" t="s">
        <v>441</v>
      </c>
      <c r="C46" s="39">
        <v>10.4435</v>
      </c>
      <c r="D46" s="39">
        <v>10.5707</v>
      </c>
    </row>
    <row r="48" spans="1:9" ht="10.5" x14ac:dyDescent="0.25">
      <c r="A48" s="17" t="s">
        <v>185</v>
      </c>
    </row>
    <row r="49" spans="1:5" ht="12.5" x14ac:dyDescent="0.25">
      <c r="A49" s="100" t="s">
        <v>350</v>
      </c>
      <c r="B49" s="101"/>
      <c r="C49" s="98" t="s">
        <v>1658</v>
      </c>
      <c r="D49" s="99"/>
    </row>
    <row r="50" spans="1:5" ht="10.5" x14ac:dyDescent="0.25">
      <c r="A50" s="100"/>
      <c r="B50" s="101"/>
      <c r="C50" s="43" t="s">
        <v>351</v>
      </c>
      <c r="D50" s="44" t="s">
        <v>352</v>
      </c>
    </row>
    <row r="51" spans="1:5" x14ac:dyDescent="0.2">
      <c r="A51" s="94" t="s">
        <v>734</v>
      </c>
      <c r="B51" s="95"/>
      <c r="C51" s="45">
        <v>0.89500000000000002</v>
      </c>
      <c r="D51" s="45">
        <v>0.89500000000000002</v>
      </c>
    </row>
    <row r="52" spans="1:5" x14ac:dyDescent="0.2">
      <c r="A52" s="94" t="s">
        <v>438</v>
      </c>
      <c r="B52" s="95"/>
      <c r="C52" s="45">
        <v>0.41</v>
      </c>
      <c r="D52" s="45">
        <v>0.41</v>
      </c>
    </row>
    <row r="53" spans="1:5" x14ac:dyDescent="0.2">
      <c r="A53" s="94" t="s">
        <v>441</v>
      </c>
      <c r="B53" s="95"/>
      <c r="C53" s="45">
        <v>0.41</v>
      </c>
      <c r="D53" s="45">
        <v>0.41</v>
      </c>
    </row>
    <row r="54" spans="1:5" x14ac:dyDescent="0.2">
      <c r="A54" s="90" t="s">
        <v>1657</v>
      </c>
    </row>
    <row r="56" spans="1:5" ht="10.5" x14ac:dyDescent="0.25">
      <c r="A56" s="17" t="s">
        <v>187</v>
      </c>
      <c r="D56" s="41">
        <v>0.73697307547945201</v>
      </c>
      <c r="E56" s="15" t="s">
        <v>188</v>
      </c>
    </row>
    <row r="58" spans="1:5" ht="10.5" x14ac:dyDescent="0.25">
      <c r="A58" s="17" t="s">
        <v>189</v>
      </c>
      <c r="D58" s="40" t="s">
        <v>186</v>
      </c>
    </row>
  </sheetData>
  <mergeCells count="7">
    <mergeCell ref="A53:B53"/>
    <mergeCell ref="A1:F1"/>
    <mergeCell ref="C49:D49"/>
    <mergeCell ref="A49:B49"/>
    <mergeCell ref="A50:B50"/>
    <mergeCell ref="A51:B51"/>
    <mergeCell ref="A52:B52"/>
  </mergeCells>
  <conditionalFormatting sqref="F2:F3 F5:F65537">
    <cfRule type="cellIs" dxfId="48"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54"/>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1796875"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24</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598</v>
      </c>
      <c r="B7" s="26" t="s">
        <v>597</v>
      </c>
      <c r="C7" s="26" t="s">
        <v>152</v>
      </c>
      <c r="D7" s="30">
        <v>44</v>
      </c>
      <c r="E7" s="28">
        <v>451.90463999999997</v>
      </c>
      <c r="F7" s="29">
        <v>11.3217030957091</v>
      </c>
    </row>
    <row r="8" spans="1:6" x14ac:dyDescent="0.2">
      <c r="A8" s="26" t="s">
        <v>764</v>
      </c>
      <c r="B8" s="26" t="s">
        <v>763</v>
      </c>
      <c r="C8" s="26" t="s">
        <v>532</v>
      </c>
      <c r="D8" s="30">
        <v>41</v>
      </c>
      <c r="E8" s="28">
        <v>424.66939000000002</v>
      </c>
      <c r="F8" s="29">
        <v>10.6393701720254</v>
      </c>
    </row>
    <row r="9" spans="1:6" x14ac:dyDescent="0.2">
      <c r="A9" s="26" t="s">
        <v>766</v>
      </c>
      <c r="B9" s="26" t="s">
        <v>765</v>
      </c>
      <c r="C9" s="26" t="s">
        <v>152</v>
      </c>
      <c r="D9" s="30">
        <v>41</v>
      </c>
      <c r="E9" s="28">
        <v>423.79608999999999</v>
      </c>
      <c r="F9" s="29">
        <v>10.617491124017601</v>
      </c>
    </row>
    <row r="10" spans="1:6" x14ac:dyDescent="0.2">
      <c r="A10" s="26" t="s">
        <v>151</v>
      </c>
      <c r="B10" s="26" t="s">
        <v>150</v>
      </c>
      <c r="C10" s="26" t="s">
        <v>152</v>
      </c>
      <c r="D10" s="30">
        <v>40</v>
      </c>
      <c r="E10" s="28">
        <v>419.59</v>
      </c>
      <c r="F10" s="29">
        <v>10.512114684037201</v>
      </c>
    </row>
    <row r="11" spans="1:6" x14ac:dyDescent="0.2">
      <c r="A11" s="26" t="s">
        <v>768</v>
      </c>
      <c r="B11" s="26" t="s">
        <v>767</v>
      </c>
      <c r="C11" s="26" t="s">
        <v>152</v>
      </c>
      <c r="D11" s="30">
        <v>33</v>
      </c>
      <c r="E11" s="28">
        <v>316.88810999999998</v>
      </c>
      <c r="F11" s="29">
        <v>7.9390932918511101</v>
      </c>
    </row>
    <row r="12" spans="1:6" x14ac:dyDescent="0.2">
      <c r="A12" s="26" t="s">
        <v>286</v>
      </c>
      <c r="B12" s="26" t="s">
        <v>285</v>
      </c>
      <c r="C12" s="26" t="s">
        <v>152</v>
      </c>
      <c r="D12" s="30">
        <v>30</v>
      </c>
      <c r="E12" s="28">
        <v>308.91090000000003</v>
      </c>
      <c r="F12" s="29">
        <v>7.7392378463479998</v>
      </c>
    </row>
    <row r="13" spans="1:6" x14ac:dyDescent="0.2">
      <c r="A13" s="26" t="s">
        <v>774</v>
      </c>
      <c r="B13" s="26" t="s">
        <v>773</v>
      </c>
      <c r="C13" s="26" t="s">
        <v>152</v>
      </c>
      <c r="D13" s="30">
        <v>26</v>
      </c>
      <c r="E13" s="28">
        <v>265.72546</v>
      </c>
      <c r="F13" s="29">
        <v>6.6573000071225401</v>
      </c>
    </row>
    <row r="14" spans="1:6" x14ac:dyDescent="0.2">
      <c r="A14" s="26" t="s">
        <v>130</v>
      </c>
      <c r="B14" s="26" t="s">
        <v>129</v>
      </c>
      <c r="C14" s="26" t="s">
        <v>120</v>
      </c>
      <c r="D14" s="30">
        <v>26000</v>
      </c>
      <c r="E14" s="28">
        <v>253.97865999999999</v>
      </c>
      <c r="F14" s="29">
        <v>6.3630038876477002</v>
      </c>
    </row>
    <row r="15" spans="1:6" x14ac:dyDescent="0.2">
      <c r="A15" s="26" t="s">
        <v>534</v>
      </c>
      <c r="B15" s="26" t="s">
        <v>533</v>
      </c>
      <c r="C15" s="26" t="s">
        <v>152</v>
      </c>
      <c r="D15" s="30">
        <v>2</v>
      </c>
      <c r="E15" s="28">
        <v>203.81819999999999</v>
      </c>
      <c r="F15" s="29">
        <v>5.1063187709288496</v>
      </c>
    </row>
    <row r="16" spans="1:6" x14ac:dyDescent="0.2">
      <c r="A16" s="26" t="s">
        <v>608</v>
      </c>
      <c r="B16" s="26" t="s">
        <v>607</v>
      </c>
      <c r="C16" s="26" t="s">
        <v>532</v>
      </c>
      <c r="D16" s="30">
        <v>150</v>
      </c>
      <c r="E16" s="28">
        <v>155.0445</v>
      </c>
      <c r="F16" s="29">
        <v>3.8843765702929298</v>
      </c>
    </row>
    <row r="17" spans="1:9" ht="10.5" x14ac:dyDescent="0.25">
      <c r="A17" s="25" t="s">
        <v>153</v>
      </c>
      <c r="B17" s="25"/>
      <c r="C17" s="25"/>
      <c r="D17" s="31"/>
      <c r="E17" s="32">
        <f>SUM(E6:E16)</f>
        <v>3224.3259499999999</v>
      </c>
      <c r="F17" s="33">
        <f>SUM(F6:F16)</f>
        <v>80.780009449980426</v>
      </c>
      <c r="G17" s="17"/>
      <c r="H17" s="17"/>
      <c r="I17" s="17"/>
    </row>
    <row r="18" spans="1:9" x14ac:dyDescent="0.2">
      <c r="A18" s="26"/>
      <c r="B18" s="26"/>
      <c r="C18" s="26"/>
      <c r="D18" s="27"/>
      <c r="E18" s="28"/>
      <c r="F18" s="29"/>
    </row>
    <row r="19" spans="1:9" ht="10.5" x14ac:dyDescent="0.25">
      <c r="A19" s="25" t="s">
        <v>154</v>
      </c>
      <c r="B19" s="26"/>
      <c r="C19" s="26"/>
      <c r="D19" s="27"/>
      <c r="E19" s="28"/>
      <c r="F19" s="29"/>
    </row>
    <row r="20" spans="1:9" x14ac:dyDescent="0.2">
      <c r="A20" s="26" t="s">
        <v>315</v>
      </c>
      <c r="B20" s="26" t="s">
        <v>314</v>
      </c>
      <c r="C20" s="26" t="s">
        <v>152</v>
      </c>
      <c r="D20" s="30">
        <v>34</v>
      </c>
      <c r="E20" s="28">
        <v>349.39317999999997</v>
      </c>
      <c r="F20" s="29">
        <v>8.7534526036856608</v>
      </c>
    </row>
    <row r="21" spans="1:9" x14ac:dyDescent="0.2">
      <c r="A21" s="26" t="s">
        <v>620</v>
      </c>
      <c r="B21" s="26" t="s">
        <v>619</v>
      </c>
      <c r="C21" s="26" t="s">
        <v>152</v>
      </c>
      <c r="D21" s="30">
        <v>7</v>
      </c>
      <c r="E21" s="28">
        <v>71.253209999999996</v>
      </c>
      <c r="F21" s="29">
        <v>1.78512813729066</v>
      </c>
    </row>
    <row r="22" spans="1:9" ht="10.5" x14ac:dyDescent="0.25">
      <c r="A22" s="25" t="s">
        <v>153</v>
      </c>
      <c r="B22" s="25"/>
      <c r="C22" s="25"/>
      <c r="D22" s="31"/>
      <c r="E22" s="32">
        <f>SUM(E19:E21)</f>
        <v>420.64639</v>
      </c>
      <c r="F22" s="33">
        <f>SUM(F19:F21)</f>
        <v>10.538580740976322</v>
      </c>
      <c r="G22" s="17"/>
      <c r="H22" s="17"/>
      <c r="I22" s="17"/>
    </row>
    <row r="23" spans="1:9" x14ac:dyDescent="0.2">
      <c r="A23" s="26"/>
      <c r="B23" s="26"/>
      <c r="C23" s="26"/>
      <c r="D23" s="27"/>
      <c r="E23" s="28"/>
      <c r="F23" s="29"/>
    </row>
    <row r="24" spans="1:9" ht="10.5" x14ac:dyDescent="0.25">
      <c r="A24" s="25" t="s">
        <v>362</v>
      </c>
      <c r="B24" s="26"/>
      <c r="C24" s="26"/>
      <c r="D24" s="27"/>
      <c r="E24" s="28"/>
      <c r="F24" s="29"/>
    </row>
    <row r="25" spans="1:9" ht="10.5" x14ac:dyDescent="0.25">
      <c r="A25" s="25" t="s">
        <v>363</v>
      </c>
      <c r="B25" s="26"/>
      <c r="C25" s="26"/>
      <c r="D25" s="27"/>
      <c r="E25" s="28"/>
      <c r="F25" s="29"/>
    </row>
    <row r="26" spans="1:9" x14ac:dyDescent="0.2">
      <c r="A26" s="26" t="s">
        <v>375</v>
      </c>
      <c r="B26" s="26" t="s">
        <v>374</v>
      </c>
      <c r="C26" s="26" t="s">
        <v>369</v>
      </c>
      <c r="D26" s="30">
        <v>33</v>
      </c>
      <c r="E26" s="28">
        <v>32.507210999999998</v>
      </c>
      <c r="F26" s="29">
        <v>0.81441295095258903</v>
      </c>
    </row>
    <row r="27" spans="1:9" ht="10.5" x14ac:dyDescent="0.25">
      <c r="A27" s="25" t="s">
        <v>153</v>
      </c>
      <c r="B27" s="25"/>
      <c r="C27" s="25"/>
      <c r="D27" s="31"/>
      <c r="E27" s="32">
        <f>SUM(E25:E26)</f>
        <v>32.507210999999998</v>
      </c>
      <c r="F27" s="33">
        <f>SUM(F25:F26)</f>
        <v>0.81441295095258903</v>
      </c>
      <c r="G27" s="17"/>
      <c r="H27" s="17"/>
      <c r="I27" s="17"/>
    </row>
    <row r="28" spans="1:9" x14ac:dyDescent="0.2">
      <c r="A28" s="26"/>
      <c r="B28" s="26"/>
      <c r="C28" s="26"/>
      <c r="D28" s="27"/>
      <c r="E28" s="28"/>
      <c r="F28" s="29"/>
    </row>
    <row r="29" spans="1:9" ht="10.5" x14ac:dyDescent="0.25">
      <c r="A29" s="25" t="s">
        <v>166</v>
      </c>
      <c r="B29" s="25"/>
      <c r="C29" s="25"/>
      <c r="D29" s="31"/>
      <c r="E29" s="32">
        <f>E17+E22+E27</f>
        <v>3677.4795509999999</v>
      </c>
      <c r="F29" s="33">
        <f>F17+F22+F27</f>
        <v>92.133003141909327</v>
      </c>
      <c r="G29" s="17"/>
      <c r="H29" s="17"/>
      <c r="I29" s="17"/>
    </row>
    <row r="30" spans="1:9" ht="10.5" x14ac:dyDescent="0.25">
      <c r="A30" s="25"/>
      <c r="B30" s="25"/>
      <c r="C30" s="25"/>
      <c r="D30" s="31"/>
      <c r="E30" s="32"/>
      <c r="F30" s="33"/>
      <c r="G30" s="17"/>
      <c r="H30" s="17"/>
      <c r="I30" s="17"/>
    </row>
    <row r="31" spans="1:9" ht="10.5" x14ac:dyDescent="0.25">
      <c r="A31" s="25" t="s">
        <v>168</v>
      </c>
      <c r="B31" s="25"/>
      <c r="C31" s="25"/>
      <c r="D31" s="31"/>
      <c r="E31" s="32">
        <f>E33-(E17+E22+E27)</f>
        <v>314.0103881</v>
      </c>
      <c r="F31" s="33">
        <f>F33-(F17+F22+F27)</f>
        <v>7.8669968580906726</v>
      </c>
      <c r="G31" s="17"/>
      <c r="H31" s="17"/>
      <c r="I31" s="17"/>
    </row>
    <row r="32" spans="1:9" ht="10.5" x14ac:dyDescent="0.25">
      <c r="A32" s="25"/>
      <c r="B32" s="25"/>
      <c r="C32" s="25"/>
      <c r="D32" s="31"/>
      <c r="E32" s="32"/>
      <c r="F32" s="33"/>
      <c r="G32" s="17"/>
      <c r="H32" s="17"/>
      <c r="I32" s="17"/>
    </row>
    <row r="33" spans="1:9" ht="10.5" x14ac:dyDescent="0.25">
      <c r="A33" s="34" t="s">
        <v>167</v>
      </c>
      <c r="B33" s="34"/>
      <c r="C33" s="34"/>
      <c r="D33" s="35"/>
      <c r="E33" s="36">
        <v>3991.4899390999999</v>
      </c>
      <c r="F33" s="37">
        <v>100</v>
      </c>
      <c r="G33" s="17"/>
      <c r="H33" s="17"/>
      <c r="I33" s="17"/>
    </row>
    <row r="35" spans="1:9" ht="10.5" x14ac:dyDescent="0.25">
      <c r="A35" s="17" t="s">
        <v>170</v>
      </c>
    </row>
    <row r="37" spans="1:9" ht="10.5" x14ac:dyDescent="0.25">
      <c r="A37" s="17" t="s">
        <v>171</v>
      </c>
    </row>
    <row r="38" spans="1:9" ht="10.5" x14ac:dyDescent="0.25">
      <c r="A38" s="17" t="s">
        <v>172</v>
      </c>
    </row>
    <row r="39" spans="1:9" ht="10.5" x14ac:dyDescent="0.25">
      <c r="A39" s="17" t="s">
        <v>173</v>
      </c>
      <c r="B39" s="17"/>
      <c r="C39" s="38" t="s">
        <v>175</v>
      </c>
      <c r="D39" s="18" t="s">
        <v>174</v>
      </c>
    </row>
    <row r="40" spans="1:9" x14ac:dyDescent="0.2">
      <c r="A40" s="10" t="s">
        <v>436</v>
      </c>
      <c r="C40" s="39">
        <v>10.9748</v>
      </c>
      <c r="D40" s="39">
        <v>11.5373</v>
      </c>
    </row>
    <row r="41" spans="1:9" x14ac:dyDescent="0.2">
      <c r="A41" s="10" t="s">
        <v>734</v>
      </c>
      <c r="C41" s="39">
        <v>10.7288</v>
      </c>
      <c r="D41" s="39">
        <v>10.412699999999999</v>
      </c>
    </row>
    <row r="42" spans="1:9" x14ac:dyDescent="0.2">
      <c r="A42" s="10" t="s">
        <v>438</v>
      </c>
      <c r="C42" s="39">
        <v>10.271000000000001</v>
      </c>
      <c r="D42" s="39">
        <v>10.3931</v>
      </c>
    </row>
    <row r="43" spans="1:9" x14ac:dyDescent="0.2">
      <c r="A43" s="10" t="s">
        <v>439</v>
      </c>
      <c r="C43" s="39">
        <v>11.0844</v>
      </c>
      <c r="D43" s="39">
        <v>11.6525</v>
      </c>
    </row>
    <row r="45" spans="1:9" ht="10.5" x14ac:dyDescent="0.25">
      <c r="A45" s="17" t="s">
        <v>185</v>
      </c>
    </row>
    <row r="46" spans="1:9" ht="12.5" x14ac:dyDescent="0.25">
      <c r="A46" s="100" t="s">
        <v>350</v>
      </c>
      <c r="B46" s="101"/>
      <c r="C46" s="98" t="s">
        <v>1658</v>
      </c>
      <c r="D46" s="99"/>
    </row>
    <row r="47" spans="1:9" ht="10.5" x14ac:dyDescent="0.25">
      <c r="A47" s="100"/>
      <c r="B47" s="101"/>
      <c r="C47" s="43" t="s">
        <v>351</v>
      </c>
      <c r="D47" s="44" t="s">
        <v>352</v>
      </c>
    </row>
    <row r="48" spans="1:9" x14ac:dyDescent="0.2">
      <c r="A48" s="94" t="s">
        <v>734</v>
      </c>
      <c r="B48" s="95"/>
      <c r="C48" s="45">
        <v>0.8650000000000001</v>
      </c>
      <c r="D48" s="45">
        <v>0.8650000000000001</v>
      </c>
    </row>
    <row r="49" spans="1:5" x14ac:dyDescent="0.2">
      <c r="A49" s="94" t="s">
        <v>438</v>
      </c>
      <c r="B49" s="95"/>
      <c r="C49" s="45">
        <v>0.39999999999999997</v>
      </c>
      <c r="D49" s="45">
        <v>0.39999999999999997</v>
      </c>
    </row>
    <row r="50" spans="1:5" x14ac:dyDescent="0.2">
      <c r="A50" s="10" t="s">
        <v>1659</v>
      </c>
    </row>
    <row r="52" spans="1:5" ht="10.5" x14ac:dyDescent="0.25">
      <c r="A52" s="17" t="s">
        <v>187</v>
      </c>
      <c r="D52" s="41">
        <v>0.74786087663013701</v>
      </c>
      <c r="E52" s="15" t="s">
        <v>188</v>
      </c>
    </row>
    <row r="54" spans="1:5" ht="10.5" x14ac:dyDescent="0.25">
      <c r="A54" s="17" t="s">
        <v>189</v>
      </c>
      <c r="D54" s="40" t="s">
        <v>186</v>
      </c>
    </row>
  </sheetData>
  <mergeCells count="6">
    <mergeCell ref="A49:B49"/>
    <mergeCell ref="A1:F1"/>
    <mergeCell ref="C46:D46"/>
    <mergeCell ref="A46:B46"/>
    <mergeCell ref="A47:B47"/>
    <mergeCell ref="A48:B48"/>
  </mergeCells>
  <conditionalFormatting sqref="F2:F3 F5:F65537">
    <cfRule type="cellIs" dxfId="47"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57"/>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1796875"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25</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1647</v>
      </c>
      <c r="B6" s="26"/>
      <c r="C6" s="26"/>
      <c r="D6" s="27"/>
      <c r="E6" s="28"/>
      <c r="F6" s="29"/>
    </row>
    <row r="7" spans="1:6" x14ac:dyDescent="0.2">
      <c r="A7" s="26" t="s">
        <v>776</v>
      </c>
      <c r="B7" s="26" t="s">
        <v>775</v>
      </c>
      <c r="C7" s="26" t="s">
        <v>152</v>
      </c>
      <c r="D7" s="30">
        <v>90</v>
      </c>
      <c r="E7" s="28">
        <v>1121.8535999999999</v>
      </c>
      <c r="F7" s="29">
        <v>11.8955671200168</v>
      </c>
    </row>
    <row r="8" spans="1:6" x14ac:dyDescent="0.2">
      <c r="A8" s="26" t="s">
        <v>151</v>
      </c>
      <c r="B8" s="26" t="s">
        <v>150</v>
      </c>
      <c r="C8" s="26" t="s">
        <v>152</v>
      </c>
      <c r="D8" s="30">
        <v>98</v>
      </c>
      <c r="E8" s="28">
        <v>1027.9955</v>
      </c>
      <c r="F8" s="29">
        <v>10.9003433864501</v>
      </c>
    </row>
    <row r="9" spans="1:6" x14ac:dyDescent="0.2">
      <c r="A9" s="26" t="s">
        <v>598</v>
      </c>
      <c r="B9" s="26" t="s">
        <v>597</v>
      </c>
      <c r="C9" s="26" t="s">
        <v>152</v>
      </c>
      <c r="D9" s="30">
        <v>92</v>
      </c>
      <c r="E9" s="28">
        <v>944.89152000000001</v>
      </c>
      <c r="F9" s="29">
        <v>10.0191508921438</v>
      </c>
    </row>
    <row r="10" spans="1:6" x14ac:dyDescent="0.2">
      <c r="A10" s="26" t="s">
        <v>764</v>
      </c>
      <c r="B10" s="26" t="s">
        <v>763</v>
      </c>
      <c r="C10" s="26" t="s">
        <v>532</v>
      </c>
      <c r="D10" s="30">
        <v>90</v>
      </c>
      <c r="E10" s="28">
        <v>932.2011</v>
      </c>
      <c r="F10" s="29">
        <v>9.8845881088258594</v>
      </c>
    </row>
    <row r="11" spans="1:6" x14ac:dyDescent="0.2">
      <c r="A11" s="26" t="s">
        <v>766</v>
      </c>
      <c r="B11" s="26" t="s">
        <v>765</v>
      </c>
      <c r="C11" s="26" t="s">
        <v>152</v>
      </c>
      <c r="D11" s="30">
        <v>90</v>
      </c>
      <c r="E11" s="28">
        <v>930.28409999999997</v>
      </c>
      <c r="F11" s="29">
        <v>9.8642612121888398</v>
      </c>
    </row>
    <row r="12" spans="1:6" x14ac:dyDescent="0.2">
      <c r="A12" s="26" t="s">
        <v>778</v>
      </c>
      <c r="B12" s="26" t="s">
        <v>777</v>
      </c>
      <c r="C12" s="26" t="s">
        <v>152</v>
      </c>
      <c r="D12" s="30">
        <v>60</v>
      </c>
      <c r="E12" s="28">
        <v>735.08640000000003</v>
      </c>
      <c r="F12" s="29">
        <v>7.7944837100059301</v>
      </c>
    </row>
    <row r="13" spans="1:6" x14ac:dyDescent="0.2">
      <c r="A13" s="26" t="s">
        <v>286</v>
      </c>
      <c r="B13" s="26" t="s">
        <v>285</v>
      </c>
      <c r="C13" s="26" t="s">
        <v>152</v>
      </c>
      <c r="D13" s="30">
        <v>71</v>
      </c>
      <c r="E13" s="28">
        <v>731.08912999999995</v>
      </c>
      <c r="F13" s="29">
        <v>7.7520986843824202</v>
      </c>
    </row>
    <row r="14" spans="1:6" x14ac:dyDescent="0.2">
      <c r="A14" s="26" t="s">
        <v>768</v>
      </c>
      <c r="B14" s="26" t="s">
        <v>767</v>
      </c>
      <c r="C14" s="26" t="s">
        <v>152</v>
      </c>
      <c r="D14" s="30">
        <v>75</v>
      </c>
      <c r="E14" s="28">
        <v>720.20024999999998</v>
      </c>
      <c r="F14" s="29">
        <v>7.6366385183662802</v>
      </c>
    </row>
    <row r="15" spans="1:6" x14ac:dyDescent="0.2">
      <c r="A15" s="26" t="s">
        <v>772</v>
      </c>
      <c r="B15" s="26" t="s">
        <v>771</v>
      </c>
      <c r="C15" s="26" t="s">
        <v>282</v>
      </c>
      <c r="D15" s="30">
        <v>58</v>
      </c>
      <c r="E15" s="28">
        <v>710.44605999999999</v>
      </c>
      <c r="F15" s="29">
        <v>7.5332100301514204</v>
      </c>
    </row>
    <row r="16" spans="1:6" x14ac:dyDescent="0.2">
      <c r="A16" s="26" t="s">
        <v>608</v>
      </c>
      <c r="B16" s="26" t="s">
        <v>607</v>
      </c>
      <c r="C16" s="26" t="s">
        <v>532</v>
      </c>
      <c r="D16" s="30">
        <v>470</v>
      </c>
      <c r="E16" s="28">
        <v>485.80610000000001</v>
      </c>
      <c r="F16" s="29">
        <v>5.1512417216146504</v>
      </c>
    </row>
    <row r="17" spans="1:9" x14ac:dyDescent="0.2">
      <c r="A17" s="26" t="s">
        <v>534</v>
      </c>
      <c r="B17" s="26" t="s">
        <v>533</v>
      </c>
      <c r="C17" s="26" t="s">
        <v>152</v>
      </c>
      <c r="D17" s="30">
        <v>2</v>
      </c>
      <c r="E17" s="28">
        <v>203.81819999999999</v>
      </c>
      <c r="F17" s="29">
        <v>2.1611849160897698</v>
      </c>
    </row>
    <row r="18" spans="1:9" x14ac:dyDescent="0.2">
      <c r="A18" s="26" t="s">
        <v>780</v>
      </c>
      <c r="B18" s="26" t="s">
        <v>779</v>
      </c>
      <c r="C18" s="26" t="s">
        <v>282</v>
      </c>
      <c r="D18" s="30">
        <v>10</v>
      </c>
      <c r="E18" s="28">
        <v>123.07</v>
      </c>
      <c r="F18" s="29">
        <v>1.3049719192062701</v>
      </c>
    </row>
    <row r="19" spans="1:9" x14ac:dyDescent="0.2">
      <c r="A19" s="26" t="s">
        <v>284</v>
      </c>
      <c r="B19" s="26" t="s">
        <v>283</v>
      </c>
      <c r="C19" s="26" t="s">
        <v>152</v>
      </c>
      <c r="D19" s="30">
        <v>8</v>
      </c>
      <c r="E19" s="28">
        <v>82.567599999999999</v>
      </c>
      <c r="F19" s="29">
        <v>0.87550499257541103</v>
      </c>
    </row>
    <row r="20" spans="1:9" x14ac:dyDescent="0.2">
      <c r="A20" s="26" t="s">
        <v>588</v>
      </c>
      <c r="B20" s="26" t="s">
        <v>587</v>
      </c>
      <c r="C20" s="26" t="s">
        <v>532</v>
      </c>
      <c r="D20" s="30">
        <v>6</v>
      </c>
      <c r="E20" s="28">
        <v>74.727059999999994</v>
      </c>
      <c r="F20" s="29">
        <v>0.79236787929505403</v>
      </c>
    </row>
    <row r="21" spans="1:9" x14ac:dyDescent="0.2">
      <c r="A21" s="26" t="s">
        <v>774</v>
      </c>
      <c r="B21" s="26" t="s">
        <v>773</v>
      </c>
      <c r="C21" s="26" t="s">
        <v>152</v>
      </c>
      <c r="D21" s="30">
        <v>4</v>
      </c>
      <c r="E21" s="28">
        <v>40.880839999999999</v>
      </c>
      <c r="F21" s="29">
        <v>0.433479712631548</v>
      </c>
    </row>
    <row r="22" spans="1:9" x14ac:dyDescent="0.2">
      <c r="A22" s="26" t="s">
        <v>279</v>
      </c>
      <c r="B22" s="26" t="s">
        <v>278</v>
      </c>
      <c r="C22" s="26" t="s">
        <v>152</v>
      </c>
      <c r="D22" s="30">
        <v>1</v>
      </c>
      <c r="E22" s="28">
        <v>10.18155</v>
      </c>
      <c r="F22" s="29">
        <v>0.107959997107294</v>
      </c>
    </row>
    <row r="23" spans="1:9" ht="10.5" x14ac:dyDescent="0.25">
      <c r="A23" s="25" t="s">
        <v>153</v>
      </c>
      <c r="B23" s="25"/>
      <c r="C23" s="25"/>
      <c r="D23" s="31"/>
      <c r="E23" s="32">
        <f>SUM(E6:E22)</f>
        <v>8875.0990099999981</v>
      </c>
      <c r="F23" s="33">
        <f>SUM(F6:F22)</f>
        <v>94.107052801051466</v>
      </c>
      <c r="G23" s="17"/>
      <c r="H23" s="17"/>
      <c r="I23" s="17"/>
    </row>
    <row r="24" spans="1:9" x14ac:dyDescent="0.2">
      <c r="A24" s="26"/>
      <c r="B24" s="26"/>
      <c r="C24" s="26"/>
      <c r="D24" s="27"/>
      <c r="E24" s="28"/>
      <c r="F24" s="29"/>
    </row>
    <row r="25" spans="1:9" ht="10.5" x14ac:dyDescent="0.25">
      <c r="A25" s="25" t="s">
        <v>362</v>
      </c>
      <c r="B25" s="26"/>
      <c r="C25" s="26"/>
      <c r="D25" s="27"/>
      <c r="E25" s="28"/>
      <c r="F25" s="29"/>
    </row>
    <row r="26" spans="1:9" ht="10.5" x14ac:dyDescent="0.25">
      <c r="A26" s="25" t="s">
        <v>363</v>
      </c>
      <c r="B26" s="26"/>
      <c r="C26" s="26"/>
      <c r="D26" s="27"/>
      <c r="E26" s="28"/>
      <c r="F26" s="29"/>
    </row>
    <row r="27" spans="1:9" x14ac:dyDescent="0.2">
      <c r="A27" s="26" t="s">
        <v>375</v>
      </c>
      <c r="B27" s="26" t="s">
        <v>374</v>
      </c>
      <c r="C27" s="26" t="s">
        <v>369</v>
      </c>
      <c r="D27" s="30">
        <v>48</v>
      </c>
      <c r="E27" s="28">
        <v>47.283216000000003</v>
      </c>
      <c r="F27" s="29">
        <v>0.50136726358791495</v>
      </c>
    </row>
    <row r="28" spans="1:9" ht="10.5" x14ac:dyDescent="0.25">
      <c r="A28" s="25" t="s">
        <v>153</v>
      </c>
      <c r="B28" s="25"/>
      <c r="C28" s="25"/>
      <c r="D28" s="31"/>
      <c r="E28" s="32">
        <f>SUM(E26:E27)</f>
        <v>47.283216000000003</v>
      </c>
      <c r="F28" s="33">
        <f>SUM(F26:F27)</f>
        <v>0.50136726358791495</v>
      </c>
      <c r="G28" s="17"/>
      <c r="H28" s="17"/>
      <c r="I28" s="17"/>
    </row>
    <row r="29" spans="1:9" x14ac:dyDescent="0.2">
      <c r="A29" s="26"/>
      <c r="B29" s="26"/>
      <c r="C29" s="26"/>
      <c r="D29" s="27"/>
      <c r="E29" s="28"/>
      <c r="F29" s="29"/>
    </row>
    <row r="30" spans="1:9" ht="10.5" x14ac:dyDescent="0.25">
      <c r="A30" s="25" t="s">
        <v>166</v>
      </c>
      <c r="B30" s="25"/>
      <c r="C30" s="25"/>
      <c r="D30" s="31"/>
      <c r="E30" s="32">
        <f>E23+E28</f>
        <v>8922.3822259999979</v>
      </c>
      <c r="F30" s="33">
        <f>F23+F28</f>
        <v>94.608420064639375</v>
      </c>
      <c r="G30" s="17"/>
      <c r="H30" s="17"/>
      <c r="I30" s="17"/>
    </row>
    <row r="31" spans="1:9" ht="10.5" x14ac:dyDescent="0.25">
      <c r="A31" s="25"/>
      <c r="B31" s="25"/>
      <c r="C31" s="25"/>
      <c r="D31" s="31"/>
      <c r="E31" s="32"/>
      <c r="F31" s="33"/>
      <c r="G31" s="17"/>
      <c r="H31" s="17"/>
      <c r="I31" s="17"/>
    </row>
    <row r="32" spans="1:9" ht="10.5" x14ac:dyDescent="0.25">
      <c r="A32" s="25" t="s">
        <v>168</v>
      </c>
      <c r="B32" s="25"/>
      <c r="C32" s="25"/>
      <c r="D32" s="31"/>
      <c r="E32" s="32">
        <f>E34-(E23+E28)</f>
        <v>508.47204670000247</v>
      </c>
      <c r="F32" s="33">
        <f>F34-(F23+F28)</f>
        <v>5.3915799353606246</v>
      </c>
      <c r="G32" s="17"/>
      <c r="H32" s="17"/>
      <c r="I32" s="17"/>
    </row>
    <row r="33" spans="1:9" ht="10.5" x14ac:dyDescent="0.25">
      <c r="A33" s="25"/>
      <c r="B33" s="25"/>
      <c r="C33" s="25"/>
      <c r="D33" s="31"/>
      <c r="E33" s="32"/>
      <c r="F33" s="33"/>
      <c r="G33" s="17"/>
      <c r="H33" s="17"/>
      <c r="I33" s="17"/>
    </row>
    <row r="34" spans="1:9" ht="10.5" x14ac:dyDescent="0.25">
      <c r="A34" s="34" t="s">
        <v>167</v>
      </c>
      <c r="B34" s="34"/>
      <c r="C34" s="34"/>
      <c r="D34" s="35"/>
      <c r="E34" s="36">
        <v>9430.8542727000004</v>
      </c>
      <c r="F34" s="37">
        <v>100</v>
      </c>
      <c r="G34" s="17"/>
      <c r="H34" s="17"/>
      <c r="I34" s="17"/>
    </row>
    <row r="36" spans="1:9" ht="10.5" x14ac:dyDescent="0.25">
      <c r="A36" s="17" t="s">
        <v>170</v>
      </c>
    </row>
    <row r="38" spans="1:9" ht="10.5" x14ac:dyDescent="0.25">
      <c r="A38" s="17" t="s">
        <v>171</v>
      </c>
    </row>
    <row r="39" spans="1:9" ht="10.5" x14ac:dyDescent="0.25">
      <c r="A39" s="17" t="s">
        <v>172</v>
      </c>
    </row>
    <row r="40" spans="1:9" ht="10.5" x14ac:dyDescent="0.25">
      <c r="A40" s="17" t="s">
        <v>173</v>
      </c>
      <c r="B40" s="17"/>
      <c r="C40" s="38" t="s">
        <v>175</v>
      </c>
      <c r="D40" s="18" t="s">
        <v>174</v>
      </c>
    </row>
    <row r="41" spans="1:9" x14ac:dyDescent="0.2">
      <c r="A41" s="10" t="s">
        <v>436</v>
      </c>
      <c r="C41" s="39">
        <v>11.511699999999999</v>
      </c>
      <c r="D41" s="39">
        <v>12.114699999999999</v>
      </c>
    </row>
    <row r="42" spans="1:9" x14ac:dyDescent="0.2">
      <c r="A42" s="10" t="s">
        <v>734</v>
      </c>
      <c r="C42" s="39">
        <v>10.787699999999999</v>
      </c>
      <c r="D42" s="39">
        <v>10.474500000000001</v>
      </c>
    </row>
    <row r="43" spans="1:9" x14ac:dyDescent="0.2">
      <c r="A43" s="10" t="s">
        <v>438</v>
      </c>
      <c r="C43" s="39">
        <v>10.3439</v>
      </c>
      <c r="D43" s="39">
        <v>10.458</v>
      </c>
    </row>
    <row r="44" spans="1:9" x14ac:dyDescent="0.2">
      <c r="A44" s="10" t="s">
        <v>439</v>
      </c>
      <c r="C44" s="39">
        <v>11.615600000000001</v>
      </c>
      <c r="D44" s="39">
        <v>12.2241</v>
      </c>
    </row>
    <row r="45" spans="1:9" x14ac:dyDescent="0.2">
      <c r="A45" s="10" t="s">
        <v>441</v>
      </c>
      <c r="C45" s="39">
        <v>10.3527</v>
      </c>
      <c r="D45" s="39">
        <v>10.466200000000001</v>
      </c>
    </row>
    <row r="47" spans="1:9" ht="10.5" x14ac:dyDescent="0.25">
      <c r="A47" s="17" t="s">
        <v>185</v>
      </c>
    </row>
    <row r="48" spans="1:9" ht="12.5" x14ac:dyDescent="0.25">
      <c r="A48" s="100" t="s">
        <v>350</v>
      </c>
      <c r="B48" s="101"/>
      <c r="C48" s="98" t="s">
        <v>1658</v>
      </c>
      <c r="D48" s="99"/>
    </row>
    <row r="49" spans="1:5" ht="10.5" x14ac:dyDescent="0.25">
      <c r="A49" s="100"/>
      <c r="B49" s="101"/>
      <c r="C49" s="43" t="s">
        <v>351</v>
      </c>
      <c r="D49" s="44" t="s">
        <v>352</v>
      </c>
    </row>
    <row r="50" spans="1:5" x14ac:dyDescent="0.2">
      <c r="A50" s="94" t="s">
        <v>734</v>
      </c>
      <c r="B50" s="95"/>
      <c r="C50" s="45">
        <v>0.875</v>
      </c>
      <c r="D50" s="45">
        <v>0.875</v>
      </c>
    </row>
    <row r="51" spans="1:5" x14ac:dyDescent="0.2">
      <c r="A51" s="94" t="s">
        <v>438</v>
      </c>
      <c r="B51" s="95"/>
      <c r="C51" s="45">
        <v>0.42000000000000004</v>
      </c>
      <c r="D51" s="45">
        <v>0.42000000000000004</v>
      </c>
    </row>
    <row r="52" spans="1:5" x14ac:dyDescent="0.2">
      <c r="A52" s="94" t="s">
        <v>441</v>
      </c>
      <c r="B52" s="95"/>
      <c r="C52" s="45">
        <v>0.42000000000000004</v>
      </c>
      <c r="D52" s="45">
        <v>0.42000000000000004</v>
      </c>
    </row>
    <row r="53" spans="1:5" x14ac:dyDescent="0.2">
      <c r="A53" s="90" t="s">
        <v>1657</v>
      </c>
    </row>
    <row r="55" spans="1:5" ht="10.5" x14ac:dyDescent="0.25">
      <c r="A55" s="17" t="s">
        <v>187</v>
      </c>
      <c r="D55" s="41">
        <v>0.75064446060274004</v>
      </c>
      <c r="E55" s="15" t="s">
        <v>188</v>
      </c>
    </row>
    <row r="57" spans="1:5" ht="10.5" x14ac:dyDescent="0.25">
      <c r="A57" s="17" t="s">
        <v>189</v>
      </c>
      <c r="D57" s="40" t="s">
        <v>186</v>
      </c>
    </row>
  </sheetData>
  <mergeCells count="7">
    <mergeCell ref="A52:B52"/>
    <mergeCell ref="A1:F1"/>
    <mergeCell ref="C48:D48"/>
    <mergeCell ref="A48:B48"/>
    <mergeCell ref="A49:B49"/>
    <mergeCell ref="A50:B50"/>
    <mergeCell ref="A51:B51"/>
  </mergeCells>
  <conditionalFormatting sqref="F2:F3 F5:F65537">
    <cfRule type="cellIs" dxfId="46"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64"/>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3.1796875"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26</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780</v>
      </c>
      <c r="B7" s="26" t="s">
        <v>779</v>
      </c>
      <c r="C7" s="26" t="s">
        <v>282</v>
      </c>
      <c r="D7" s="30">
        <v>103</v>
      </c>
      <c r="E7" s="28">
        <v>1267.6210000000001</v>
      </c>
      <c r="F7" s="29">
        <v>11.031221491102</v>
      </c>
    </row>
    <row r="8" spans="1:6" x14ac:dyDescent="0.2">
      <c r="A8" s="26" t="s">
        <v>286</v>
      </c>
      <c r="B8" s="26" t="s">
        <v>285</v>
      </c>
      <c r="C8" s="26" t="s">
        <v>152</v>
      </c>
      <c r="D8" s="30">
        <v>115</v>
      </c>
      <c r="E8" s="28">
        <v>1184.1584499999999</v>
      </c>
      <c r="F8" s="29">
        <v>10.304905127408</v>
      </c>
    </row>
    <row r="9" spans="1:6" x14ac:dyDescent="0.2">
      <c r="A9" s="26" t="s">
        <v>284</v>
      </c>
      <c r="B9" s="26" t="s">
        <v>283</v>
      </c>
      <c r="C9" s="26" t="s">
        <v>152</v>
      </c>
      <c r="D9" s="30">
        <v>112</v>
      </c>
      <c r="E9" s="28">
        <v>1155.9464</v>
      </c>
      <c r="F9" s="29">
        <v>10.0593953320764</v>
      </c>
    </row>
    <row r="10" spans="1:6" x14ac:dyDescent="0.2">
      <c r="A10" s="26" t="s">
        <v>772</v>
      </c>
      <c r="B10" s="26" t="s">
        <v>771</v>
      </c>
      <c r="C10" s="26" t="s">
        <v>282</v>
      </c>
      <c r="D10" s="30">
        <v>85</v>
      </c>
      <c r="E10" s="28">
        <v>1041.1709499999999</v>
      </c>
      <c r="F10" s="29">
        <v>9.0605846381143191</v>
      </c>
    </row>
    <row r="11" spans="1:6" x14ac:dyDescent="0.2">
      <c r="A11" s="26" t="s">
        <v>782</v>
      </c>
      <c r="B11" s="26" t="s">
        <v>781</v>
      </c>
      <c r="C11" s="26" t="s">
        <v>152</v>
      </c>
      <c r="D11" s="30">
        <v>100</v>
      </c>
      <c r="E11" s="28">
        <v>1038.367</v>
      </c>
      <c r="F11" s="29">
        <v>9.0361838168120805</v>
      </c>
    </row>
    <row r="12" spans="1:6" x14ac:dyDescent="0.2">
      <c r="A12" s="26" t="s">
        <v>784</v>
      </c>
      <c r="B12" s="26" t="s">
        <v>783</v>
      </c>
      <c r="C12" s="26" t="s">
        <v>152</v>
      </c>
      <c r="D12" s="30">
        <v>70</v>
      </c>
      <c r="E12" s="28">
        <v>869.89350000000002</v>
      </c>
      <c r="F12" s="29">
        <v>7.57007644411852</v>
      </c>
    </row>
    <row r="13" spans="1:6" x14ac:dyDescent="0.2">
      <c r="A13" s="26" t="s">
        <v>786</v>
      </c>
      <c r="B13" s="26" t="s">
        <v>785</v>
      </c>
      <c r="C13" s="26" t="s">
        <v>152</v>
      </c>
      <c r="D13" s="30">
        <v>77</v>
      </c>
      <c r="E13" s="28">
        <v>797.92481999999995</v>
      </c>
      <c r="F13" s="29">
        <v>6.9437832149102299</v>
      </c>
    </row>
    <row r="14" spans="1:6" x14ac:dyDescent="0.2">
      <c r="A14" s="26" t="s">
        <v>584</v>
      </c>
      <c r="B14" s="26" t="s">
        <v>583</v>
      </c>
      <c r="C14" s="26" t="s">
        <v>532</v>
      </c>
      <c r="D14" s="30">
        <v>75</v>
      </c>
      <c r="E14" s="28">
        <v>784.06574999999998</v>
      </c>
      <c r="F14" s="29">
        <v>6.8231773943765797</v>
      </c>
    </row>
    <row r="15" spans="1:6" x14ac:dyDescent="0.2">
      <c r="A15" s="26" t="s">
        <v>788</v>
      </c>
      <c r="B15" s="26" t="s">
        <v>787</v>
      </c>
      <c r="C15" s="26" t="s">
        <v>532</v>
      </c>
      <c r="D15" s="30">
        <v>21</v>
      </c>
      <c r="E15" s="28">
        <v>534.12030000000004</v>
      </c>
      <c r="F15" s="29">
        <v>4.6480764614927201</v>
      </c>
    </row>
    <row r="16" spans="1:6" x14ac:dyDescent="0.2">
      <c r="A16" s="26" t="s">
        <v>790</v>
      </c>
      <c r="B16" s="26" t="s">
        <v>789</v>
      </c>
      <c r="C16" s="26" t="s">
        <v>152</v>
      </c>
      <c r="D16" s="30">
        <v>33</v>
      </c>
      <c r="E16" s="28">
        <v>336.96861000000001</v>
      </c>
      <c r="F16" s="29">
        <v>2.93240280214573</v>
      </c>
    </row>
    <row r="17" spans="1:9" x14ac:dyDescent="0.2">
      <c r="A17" s="26" t="s">
        <v>792</v>
      </c>
      <c r="B17" s="26" t="s">
        <v>791</v>
      </c>
      <c r="C17" s="26" t="s">
        <v>152</v>
      </c>
      <c r="D17" s="30">
        <v>32</v>
      </c>
      <c r="E17" s="28">
        <v>328.87103999999999</v>
      </c>
      <c r="F17" s="29">
        <v>2.8619352978919399</v>
      </c>
    </row>
    <row r="18" spans="1:9" x14ac:dyDescent="0.2">
      <c r="A18" s="26" t="s">
        <v>608</v>
      </c>
      <c r="B18" s="26" t="s">
        <v>607</v>
      </c>
      <c r="C18" s="26" t="s">
        <v>532</v>
      </c>
      <c r="D18" s="30">
        <v>310</v>
      </c>
      <c r="E18" s="28">
        <v>320.42529999999999</v>
      </c>
      <c r="F18" s="29">
        <v>2.78843791295097</v>
      </c>
    </row>
    <row r="19" spans="1:9" x14ac:dyDescent="0.2">
      <c r="A19" s="26" t="s">
        <v>794</v>
      </c>
      <c r="B19" s="26" t="s">
        <v>793</v>
      </c>
      <c r="C19" s="26" t="s">
        <v>492</v>
      </c>
      <c r="D19" s="30">
        <v>32</v>
      </c>
      <c r="E19" s="28">
        <v>310.54367999999999</v>
      </c>
      <c r="F19" s="29">
        <v>2.7024450657901</v>
      </c>
    </row>
    <row r="20" spans="1:9" x14ac:dyDescent="0.2">
      <c r="A20" s="26" t="s">
        <v>534</v>
      </c>
      <c r="B20" s="26" t="s">
        <v>533</v>
      </c>
      <c r="C20" s="26" t="s">
        <v>152</v>
      </c>
      <c r="D20" s="30">
        <v>2</v>
      </c>
      <c r="E20" s="28">
        <v>203.81819999999999</v>
      </c>
      <c r="F20" s="29">
        <v>1.7736876464793001</v>
      </c>
    </row>
    <row r="21" spans="1:9" x14ac:dyDescent="0.2">
      <c r="A21" s="26" t="s">
        <v>796</v>
      </c>
      <c r="B21" s="26" t="s">
        <v>795</v>
      </c>
      <c r="C21" s="26" t="s">
        <v>492</v>
      </c>
      <c r="D21" s="30">
        <v>26</v>
      </c>
      <c r="E21" s="28">
        <v>132.85181</v>
      </c>
      <c r="F21" s="29">
        <v>1.15611664811786</v>
      </c>
    </row>
    <row r="22" spans="1:9" x14ac:dyDescent="0.2">
      <c r="A22" s="26" t="s">
        <v>279</v>
      </c>
      <c r="B22" s="26" t="s">
        <v>278</v>
      </c>
      <c r="C22" s="26" t="s">
        <v>152</v>
      </c>
      <c r="D22" s="30">
        <v>4</v>
      </c>
      <c r="E22" s="28">
        <v>40.726199999999999</v>
      </c>
      <c r="F22" s="29">
        <v>0.35441171508748998</v>
      </c>
    </row>
    <row r="23" spans="1:9" x14ac:dyDescent="0.2">
      <c r="A23" s="26" t="s">
        <v>798</v>
      </c>
      <c r="B23" s="26" t="s">
        <v>797</v>
      </c>
      <c r="C23" s="26" t="s">
        <v>152</v>
      </c>
      <c r="D23" s="30">
        <v>2</v>
      </c>
      <c r="E23" s="28">
        <v>25.032800000000002</v>
      </c>
      <c r="F23" s="29">
        <v>0.21784299987335201</v>
      </c>
    </row>
    <row r="24" spans="1:9" x14ac:dyDescent="0.2">
      <c r="A24" s="26" t="s">
        <v>281</v>
      </c>
      <c r="B24" s="26" t="s">
        <v>280</v>
      </c>
      <c r="C24" s="26" t="s">
        <v>282</v>
      </c>
      <c r="D24" s="30">
        <v>2</v>
      </c>
      <c r="E24" s="28">
        <v>24.780139999999999</v>
      </c>
      <c r="F24" s="29">
        <v>0.21564427610501599</v>
      </c>
    </row>
    <row r="25" spans="1:9" x14ac:dyDescent="0.2">
      <c r="A25" s="26" t="s">
        <v>800</v>
      </c>
      <c r="B25" s="26" t="s">
        <v>799</v>
      </c>
      <c r="C25" s="26" t="s">
        <v>152</v>
      </c>
      <c r="D25" s="30">
        <v>1</v>
      </c>
      <c r="E25" s="28">
        <v>10.12294</v>
      </c>
      <c r="F25" s="29">
        <v>8.8092886818012903E-2</v>
      </c>
    </row>
    <row r="26" spans="1:9" ht="10.5" x14ac:dyDescent="0.25">
      <c r="A26" s="25" t="s">
        <v>153</v>
      </c>
      <c r="B26" s="25"/>
      <c r="C26" s="25"/>
      <c r="D26" s="31"/>
      <c r="E26" s="32">
        <f>SUM(E6:E25)</f>
        <v>10407.408890000001</v>
      </c>
      <c r="F26" s="33">
        <f>SUM(F6:F25)</f>
        <v>90.56842117167065</v>
      </c>
      <c r="G26" s="17"/>
      <c r="H26" s="17"/>
      <c r="I26" s="17"/>
    </row>
    <row r="27" spans="1:9" x14ac:dyDescent="0.2">
      <c r="A27" s="26"/>
      <c r="B27" s="26"/>
      <c r="C27" s="26"/>
      <c r="D27" s="27"/>
      <c r="E27" s="28"/>
      <c r="F27" s="29"/>
    </row>
    <row r="28" spans="1:9" ht="10.5" x14ac:dyDescent="0.25">
      <c r="A28" s="25" t="s">
        <v>154</v>
      </c>
      <c r="B28" s="26"/>
      <c r="C28" s="26"/>
      <c r="D28" s="27"/>
      <c r="E28" s="28"/>
      <c r="F28" s="29"/>
    </row>
    <row r="29" spans="1:9" x14ac:dyDescent="0.2">
      <c r="A29" s="26" t="s">
        <v>620</v>
      </c>
      <c r="B29" s="26" t="s">
        <v>619</v>
      </c>
      <c r="C29" s="26" t="s">
        <v>152</v>
      </c>
      <c r="D29" s="30">
        <v>29</v>
      </c>
      <c r="E29" s="28">
        <v>295.19186999999999</v>
      </c>
      <c r="F29" s="29">
        <v>2.5688489701121999</v>
      </c>
    </row>
    <row r="30" spans="1:9" ht="10.5" x14ac:dyDescent="0.25">
      <c r="A30" s="25" t="s">
        <v>153</v>
      </c>
      <c r="B30" s="25"/>
      <c r="C30" s="25"/>
      <c r="D30" s="31"/>
      <c r="E30" s="32">
        <f>SUM(E28:E29)</f>
        <v>295.19186999999999</v>
      </c>
      <c r="F30" s="33">
        <f>SUM(F28:F29)</f>
        <v>2.5688489701121999</v>
      </c>
      <c r="G30" s="17"/>
      <c r="H30" s="17"/>
      <c r="I30" s="17"/>
    </row>
    <row r="31" spans="1:9" x14ac:dyDescent="0.2">
      <c r="A31" s="26"/>
      <c r="B31" s="26"/>
      <c r="C31" s="26"/>
      <c r="D31" s="27"/>
      <c r="E31" s="28"/>
      <c r="F31" s="29"/>
    </row>
    <row r="32" spans="1:9" ht="10.5" x14ac:dyDescent="0.25">
      <c r="A32" s="25" t="s">
        <v>362</v>
      </c>
      <c r="B32" s="26"/>
      <c r="C32" s="26"/>
      <c r="D32" s="27"/>
      <c r="E32" s="28"/>
      <c r="F32" s="29"/>
    </row>
    <row r="33" spans="1:9" ht="10.5" x14ac:dyDescent="0.25">
      <c r="A33" s="25" t="s">
        <v>363</v>
      </c>
      <c r="B33" s="26"/>
      <c r="C33" s="26"/>
      <c r="D33" s="27"/>
      <c r="E33" s="28"/>
      <c r="F33" s="29"/>
    </row>
    <row r="34" spans="1:9" x14ac:dyDescent="0.2">
      <c r="A34" s="26" t="s">
        <v>375</v>
      </c>
      <c r="B34" s="26" t="s">
        <v>374</v>
      </c>
      <c r="C34" s="26" t="s">
        <v>369</v>
      </c>
      <c r="D34" s="30">
        <v>16</v>
      </c>
      <c r="E34" s="28">
        <v>15.761072</v>
      </c>
      <c r="F34" s="29">
        <v>0.13715761743392299</v>
      </c>
    </row>
    <row r="35" spans="1:9" ht="10.5" x14ac:dyDescent="0.25">
      <c r="A35" s="25" t="s">
        <v>153</v>
      </c>
      <c r="B35" s="25"/>
      <c r="C35" s="25"/>
      <c r="D35" s="31"/>
      <c r="E35" s="32">
        <f>SUM(E33:E34)</f>
        <v>15.761072</v>
      </c>
      <c r="F35" s="33">
        <f>SUM(F33:F34)</f>
        <v>0.13715761743392299</v>
      </c>
      <c r="G35" s="17"/>
      <c r="H35" s="17"/>
      <c r="I35" s="17"/>
    </row>
    <row r="36" spans="1:9" x14ac:dyDescent="0.2">
      <c r="A36" s="26"/>
      <c r="B36" s="26"/>
      <c r="C36" s="26"/>
      <c r="D36" s="27"/>
      <c r="E36" s="28"/>
      <c r="F36" s="29"/>
    </row>
    <row r="37" spans="1:9" ht="10.5" x14ac:dyDescent="0.25">
      <c r="A37" s="25" t="s">
        <v>166</v>
      </c>
      <c r="B37" s="25"/>
      <c r="C37" s="25"/>
      <c r="D37" s="31"/>
      <c r="E37" s="32">
        <f>E26+E30+E35</f>
        <v>10718.361832000001</v>
      </c>
      <c r="F37" s="33">
        <f>F26+F30+F35</f>
        <v>93.274427759216778</v>
      </c>
      <c r="G37" s="17"/>
      <c r="H37" s="17"/>
      <c r="I37" s="17"/>
    </row>
    <row r="38" spans="1:9" ht="10.5" x14ac:dyDescent="0.25">
      <c r="A38" s="25"/>
      <c r="B38" s="25"/>
      <c r="C38" s="25"/>
      <c r="D38" s="31"/>
      <c r="E38" s="32"/>
      <c r="F38" s="33"/>
      <c r="G38" s="17"/>
      <c r="H38" s="17"/>
      <c r="I38" s="17"/>
    </row>
    <row r="39" spans="1:9" ht="10.5" x14ac:dyDescent="0.25">
      <c r="A39" s="25" t="s">
        <v>168</v>
      </c>
      <c r="B39" s="25"/>
      <c r="C39" s="25"/>
      <c r="D39" s="31"/>
      <c r="E39" s="32">
        <f>E41-(E26+E30+E35)</f>
        <v>772.84973530000025</v>
      </c>
      <c r="F39" s="33">
        <f>F41-(F26+F30+F35)</f>
        <v>6.7255722407832224</v>
      </c>
      <c r="G39" s="17"/>
      <c r="H39" s="17"/>
      <c r="I39" s="17"/>
    </row>
    <row r="40" spans="1:9" ht="10.5" x14ac:dyDescent="0.25">
      <c r="A40" s="25"/>
      <c r="B40" s="25"/>
      <c r="C40" s="25"/>
      <c r="D40" s="31"/>
      <c r="E40" s="32"/>
      <c r="F40" s="33"/>
      <c r="G40" s="17"/>
      <c r="H40" s="17"/>
      <c r="I40" s="17"/>
    </row>
    <row r="41" spans="1:9" ht="10.5" x14ac:dyDescent="0.25">
      <c r="A41" s="34" t="s">
        <v>167</v>
      </c>
      <c r="B41" s="34"/>
      <c r="C41" s="34"/>
      <c r="D41" s="35"/>
      <c r="E41" s="36">
        <v>11491.211567300001</v>
      </c>
      <c r="F41" s="37">
        <v>100</v>
      </c>
      <c r="G41" s="17"/>
      <c r="H41" s="17"/>
      <c r="I41" s="17"/>
    </row>
    <row r="43" spans="1:9" ht="10.5" x14ac:dyDescent="0.25">
      <c r="A43" s="17" t="s">
        <v>170</v>
      </c>
    </row>
    <row r="45" spans="1:9" ht="10.5" x14ac:dyDescent="0.25">
      <c r="A45" s="17" t="s">
        <v>171</v>
      </c>
    </row>
    <row r="46" spans="1:9" ht="10.5" x14ac:dyDescent="0.25">
      <c r="A46" s="17" t="s">
        <v>172</v>
      </c>
    </row>
    <row r="47" spans="1:9" ht="10.5" x14ac:dyDescent="0.25">
      <c r="A47" s="17" t="s">
        <v>173</v>
      </c>
      <c r="B47" s="17"/>
      <c r="C47" s="38" t="s">
        <v>175</v>
      </c>
      <c r="D47" s="18" t="s">
        <v>174</v>
      </c>
    </row>
    <row r="48" spans="1:9" x14ac:dyDescent="0.2">
      <c r="A48" s="10" t="s">
        <v>436</v>
      </c>
      <c r="C48" s="39">
        <v>11.5198</v>
      </c>
      <c r="D48" s="39">
        <v>12.1235</v>
      </c>
    </row>
    <row r="49" spans="1:5" x14ac:dyDescent="0.2">
      <c r="A49" s="10" t="s">
        <v>734</v>
      </c>
      <c r="C49" s="39">
        <v>10.7765</v>
      </c>
      <c r="D49" s="39">
        <v>10.4734</v>
      </c>
    </row>
    <row r="50" spans="1:5" x14ac:dyDescent="0.2">
      <c r="A50" s="10" t="s">
        <v>438</v>
      </c>
      <c r="C50" s="39">
        <v>10.360900000000001</v>
      </c>
      <c r="D50" s="39">
        <v>10.4564</v>
      </c>
    </row>
    <row r="51" spans="1:5" x14ac:dyDescent="0.2">
      <c r="A51" s="10" t="s">
        <v>439</v>
      </c>
      <c r="C51" s="39">
        <v>11.6356</v>
      </c>
      <c r="D51" s="39">
        <v>12.2454</v>
      </c>
    </row>
    <row r="52" spans="1:5" x14ac:dyDescent="0.2">
      <c r="A52" s="10" t="s">
        <v>471</v>
      </c>
      <c r="C52" s="39">
        <v>10.892799999999999</v>
      </c>
      <c r="D52" s="39">
        <v>10.597300000000001</v>
      </c>
    </row>
    <row r="54" spans="1:5" ht="10.5" x14ac:dyDescent="0.25">
      <c r="A54" s="17" t="s">
        <v>185</v>
      </c>
    </row>
    <row r="55" spans="1:5" ht="12.5" x14ac:dyDescent="0.25">
      <c r="A55" s="100" t="s">
        <v>350</v>
      </c>
      <c r="B55" s="101"/>
      <c r="C55" s="98" t="s">
        <v>1658</v>
      </c>
      <c r="D55" s="99"/>
    </row>
    <row r="56" spans="1:5" ht="10.5" x14ac:dyDescent="0.25">
      <c r="A56" s="100"/>
      <c r="B56" s="101"/>
      <c r="C56" s="43" t="s">
        <v>351</v>
      </c>
      <c r="D56" s="44" t="s">
        <v>352</v>
      </c>
    </row>
    <row r="57" spans="1:5" x14ac:dyDescent="0.2">
      <c r="A57" s="94" t="s">
        <v>734</v>
      </c>
      <c r="B57" s="95"/>
      <c r="C57" s="45">
        <v>0.85999999999999988</v>
      </c>
      <c r="D57" s="45">
        <v>0.85999999999999988</v>
      </c>
    </row>
    <row r="58" spans="1:5" x14ac:dyDescent="0.2">
      <c r="A58" s="94" t="s">
        <v>438</v>
      </c>
      <c r="B58" s="95"/>
      <c r="C58" s="45">
        <v>0.43499999999999994</v>
      </c>
      <c r="D58" s="45">
        <v>0.43499999999999994</v>
      </c>
    </row>
    <row r="59" spans="1:5" x14ac:dyDescent="0.2">
      <c r="A59" s="94" t="s">
        <v>471</v>
      </c>
      <c r="B59" s="95"/>
      <c r="C59" s="45">
        <v>0.85999999999999988</v>
      </c>
      <c r="D59" s="45">
        <v>0.85999999999999988</v>
      </c>
    </row>
    <row r="60" spans="1:5" x14ac:dyDescent="0.2">
      <c r="A60" s="90" t="s">
        <v>1657</v>
      </c>
    </row>
    <row r="62" spans="1:5" ht="10.5" x14ac:dyDescent="0.25">
      <c r="A62" s="17" t="s">
        <v>187</v>
      </c>
      <c r="D62" s="41">
        <v>0.70290601580821899</v>
      </c>
      <c r="E62" s="15" t="s">
        <v>188</v>
      </c>
    </row>
    <row r="64" spans="1:5" ht="10.5" x14ac:dyDescent="0.25">
      <c r="A64" s="17" t="s">
        <v>189</v>
      </c>
      <c r="D64" s="40" t="s">
        <v>186</v>
      </c>
    </row>
  </sheetData>
  <mergeCells count="7">
    <mergeCell ref="A59:B59"/>
    <mergeCell ref="A1:F1"/>
    <mergeCell ref="C55:D55"/>
    <mergeCell ref="A55:B55"/>
    <mergeCell ref="A56:B56"/>
    <mergeCell ref="A57:B57"/>
    <mergeCell ref="A58:B58"/>
  </mergeCells>
  <conditionalFormatting sqref="F2:F3 F5:F65537">
    <cfRule type="cellIs" dxfId="45" priority="1" stopIfTrue="1" operator="between">
      <formula>0.009</formula>
      <formula>-0.009</formula>
    </cfRule>
  </conditionalFormatting>
  <pageMargins left="0.7" right="0.7" top="0.75" bottom="0.75" header="0.3" footer="0.3"/>
  <pageSetup paperSize="9" scale="51" orientation="portrait" r:id="rId1"/>
  <headerFooter>
    <oddFooter>&amp;LPUBLIC</oddFooter>
    <evenFooter>&amp;LPUBLIC</evenFooter>
    <firstFooter>&amp;LPUBLIC</firstFooter>
  </headerFooter>
  <colBreaks count="1" manualBreakCount="1">
    <brk id="7"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64"/>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1"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27</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802</v>
      </c>
      <c r="B7" s="26" t="s">
        <v>801</v>
      </c>
      <c r="C7" s="26" t="s">
        <v>152</v>
      </c>
      <c r="D7" s="30">
        <v>99</v>
      </c>
      <c r="E7" s="28">
        <v>1232.13024</v>
      </c>
      <c r="F7" s="29">
        <v>10.041374237171199</v>
      </c>
    </row>
    <row r="8" spans="1:6" x14ac:dyDescent="0.2">
      <c r="A8" s="26" t="s">
        <v>804</v>
      </c>
      <c r="B8" s="26" t="s">
        <v>803</v>
      </c>
      <c r="C8" s="26" t="s">
        <v>152</v>
      </c>
      <c r="D8" s="30">
        <v>119</v>
      </c>
      <c r="E8" s="28">
        <v>1226.3009500000001</v>
      </c>
      <c r="F8" s="29">
        <v>9.9938678287358798</v>
      </c>
    </row>
    <row r="9" spans="1:6" x14ac:dyDescent="0.2">
      <c r="A9" s="26" t="s">
        <v>762</v>
      </c>
      <c r="B9" s="26" t="s">
        <v>761</v>
      </c>
      <c r="C9" s="26" t="s">
        <v>152</v>
      </c>
      <c r="D9" s="30">
        <v>119</v>
      </c>
      <c r="E9" s="28">
        <v>1223.3283300000001</v>
      </c>
      <c r="F9" s="29">
        <v>9.9696421511931401</v>
      </c>
    </row>
    <row r="10" spans="1:6" x14ac:dyDescent="0.2">
      <c r="A10" s="26" t="s">
        <v>806</v>
      </c>
      <c r="B10" s="26" t="s">
        <v>805</v>
      </c>
      <c r="C10" s="26" t="s">
        <v>532</v>
      </c>
      <c r="D10" s="30">
        <v>100</v>
      </c>
      <c r="E10" s="28">
        <v>1031.153</v>
      </c>
      <c r="F10" s="29">
        <v>8.4034892032045594</v>
      </c>
    </row>
    <row r="11" spans="1:6" x14ac:dyDescent="0.2">
      <c r="A11" s="26" t="s">
        <v>808</v>
      </c>
      <c r="B11" s="26" t="s">
        <v>807</v>
      </c>
      <c r="C11" s="26" t="s">
        <v>152</v>
      </c>
      <c r="D11" s="30">
        <v>100</v>
      </c>
      <c r="E11" s="28">
        <v>1023.842</v>
      </c>
      <c r="F11" s="29">
        <v>8.3439074441788605</v>
      </c>
    </row>
    <row r="12" spans="1:6" x14ac:dyDescent="0.2">
      <c r="A12" s="26" t="s">
        <v>810</v>
      </c>
      <c r="B12" s="26" t="s">
        <v>809</v>
      </c>
      <c r="C12" s="26" t="s">
        <v>532</v>
      </c>
      <c r="D12" s="30">
        <v>100</v>
      </c>
      <c r="E12" s="28">
        <v>1019.547</v>
      </c>
      <c r="F12" s="29">
        <v>8.3089048925422304</v>
      </c>
    </row>
    <row r="13" spans="1:6" x14ac:dyDescent="0.2">
      <c r="A13" s="26" t="s">
        <v>794</v>
      </c>
      <c r="B13" s="26" t="s">
        <v>793</v>
      </c>
      <c r="C13" s="26" t="s">
        <v>492</v>
      </c>
      <c r="D13" s="30">
        <v>96</v>
      </c>
      <c r="E13" s="28">
        <v>931.63103999999998</v>
      </c>
      <c r="F13" s="29">
        <v>7.5924245829767596</v>
      </c>
    </row>
    <row r="14" spans="1:6" x14ac:dyDescent="0.2">
      <c r="A14" s="26" t="s">
        <v>588</v>
      </c>
      <c r="B14" s="26" t="s">
        <v>587</v>
      </c>
      <c r="C14" s="26" t="s">
        <v>532</v>
      </c>
      <c r="D14" s="30">
        <v>74</v>
      </c>
      <c r="E14" s="28">
        <v>921.63373999999999</v>
      </c>
      <c r="F14" s="29">
        <v>7.5109505411893602</v>
      </c>
    </row>
    <row r="15" spans="1:6" x14ac:dyDescent="0.2">
      <c r="A15" s="26" t="s">
        <v>792</v>
      </c>
      <c r="B15" s="26" t="s">
        <v>791</v>
      </c>
      <c r="C15" s="26" t="s">
        <v>152</v>
      </c>
      <c r="D15" s="30">
        <v>67</v>
      </c>
      <c r="E15" s="28">
        <v>688.57374000000004</v>
      </c>
      <c r="F15" s="29">
        <v>5.6116036996451397</v>
      </c>
    </row>
    <row r="16" spans="1:6" x14ac:dyDescent="0.2">
      <c r="A16" s="26" t="s">
        <v>534</v>
      </c>
      <c r="B16" s="26" t="s">
        <v>533</v>
      </c>
      <c r="C16" s="26" t="s">
        <v>152</v>
      </c>
      <c r="D16" s="30">
        <v>5</v>
      </c>
      <c r="E16" s="28">
        <v>509.5455</v>
      </c>
      <c r="F16" s="29">
        <v>4.1525943364286997</v>
      </c>
    </row>
    <row r="17" spans="1:9" x14ac:dyDescent="0.2">
      <c r="A17" s="26" t="s">
        <v>616</v>
      </c>
      <c r="B17" s="26" t="s">
        <v>615</v>
      </c>
      <c r="C17" s="26" t="s">
        <v>152</v>
      </c>
      <c r="D17" s="30">
        <v>46</v>
      </c>
      <c r="E17" s="28">
        <v>476.99883999999997</v>
      </c>
      <c r="F17" s="29">
        <v>3.8873519272902302</v>
      </c>
    </row>
    <row r="18" spans="1:9" x14ac:dyDescent="0.2">
      <c r="A18" s="26" t="s">
        <v>786</v>
      </c>
      <c r="B18" s="26" t="s">
        <v>785</v>
      </c>
      <c r="C18" s="26" t="s">
        <v>152</v>
      </c>
      <c r="D18" s="30">
        <v>23</v>
      </c>
      <c r="E18" s="28">
        <v>238.34118000000001</v>
      </c>
      <c r="F18" s="29">
        <v>1.94238637021764</v>
      </c>
    </row>
    <row r="19" spans="1:9" x14ac:dyDescent="0.2">
      <c r="A19" s="26" t="s">
        <v>770</v>
      </c>
      <c r="B19" s="26" t="s">
        <v>769</v>
      </c>
      <c r="C19" s="26" t="s">
        <v>152</v>
      </c>
      <c r="D19" s="30">
        <v>20</v>
      </c>
      <c r="E19" s="28">
        <v>203.66380000000001</v>
      </c>
      <c r="F19" s="29">
        <v>1.65977943562557</v>
      </c>
    </row>
    <row r="20" spans="1:9" x14ac:dyDescent="0.2">
      <c r="A20" s="26" t="s">
        <v>790</v>
      </c>
      <c r="B20" s="26" t="s">
        <v>789</v>
      </c>
      <c r="C20" s="26" t="s">
        <v>152</v>
      </c>
      <c r="D20" s="30">
        <v>17</v>
      </c>
      <c r="E20" s="28">
        <v>173.58989</v>
      </c>
      <c r="F20" s="29">
        <v>1.41468896119244</v>
      </c>
    </row>
    <row r="21" spans="1:9" x14ac:dyDescent="0.2">
      <c r="A21" s="26" t="s">
        <v>281</v>
      </c>
      <c r="B21" s="26" t="s">
        <v>280</v>
      </c>
      <c r="C21" s="26" t="s">
        <v>282</v>
      </c>
      <c r="D21" s="30">
        <v>2</v>
      </c>
      <c r="E21" s="28">
        <v>24.780139999999999</v>
      </c>
      <c r="F21" s="29">
        <v>0.201948342238152</v>
      </c>
    </row>
    <row r="22" spans="1:9" x14ac:dyDescent="0.2">
      <c r="A22" s="26" t="s">
        <v>796</v>
      </c>
      <c r="B22" s="26" t="s">
        <v>795</v>
      </c>
      <c r="C22" s="26" t="s">
        <v>492</v>
      </c>
      <c r="D22" s="30">
        <v>4</v>
      </c>
      <c r="E22" s="28">
        <v>20.438739999999999</v>
      </c>
      <c r="F22" s="29">
        <v>0.166567648949385</v>
      </c>
    </row>
    <row r="23" spans="1:9" x14ac:dyDescent="0.2">
      <c r="A23" s="26" t="s">
        <v>798</v>
      </c>
      <c r="B23" s="26" t="s">
        <v>797</v>
      </c>
      <c r="C23" s="26" t="s">
        <v>152</v>
      </c>
      <c r="D23" s="30">
        <v>1</v>
      </c>
      <c r="E23" s="28">
        <v>12.516400000000001</v>
      </c>
      <c r="F23" s="29">
        <v>0.102003710664654</v>
      </c>
    </row>
    <row r="24" spans="1:9" ht="10.5" x14ac:dyDescent="0.25">
      <c r="A24" s="25" t="s">
        <v>153</v>
      </c>
      <c r="B24" s="25"/>
      <c r="C24" s="25"/>
      <c r="D24" s="31"/>
      <c r="E24" s="32">
        <f>SUM(E6:E23)</f>
        <v>10958.01453</v>
      </c>
      <c r="F24" s="33">
        <f>SUM(F6:F23)</f>
        <v>89.303485313443886</v>
      </c>
      <c r="G24" s="17"/>
      <c r="H24" s="17"/>
      <c r="I24" s="17"/>
    </row>
    <row r="25" spans="1:9" x14ac:dyDescent="0.2">
      <c r="A25" s="26"/>
      <c r="B25" s="26"/>
      <c r="C25" s="26"/>
      <c r="D25" s="27"/>
      <c r="E25" s="28"/>
      <c r="F25" s="29"/>
    </row>
    <row r="26" spans="1:9" ht="10.5" x14ac:dyDescent="0.25">
      <c r="A26" s="25" t="s">
        <v>154</v>
      </c>
      <c r="B26" s="26"/>
      <c r="C26" s="26"/>
      <c r="D26" s="27"/>
      <c r="E26" s="28"/>
      <c r="F26" s="29"/>
    </row>
    <row r="27" spans="1:9" x14ac:dyDescent="0.2">
      <c r="A27" s="26" t="s">
        <v>620</v>
      </c>
      <c r="B27" s="26" t="s">
        <v>619</v>
      </c>
      <c r="C27" s="26" t="s">
        <v>152</v>
      </c>
      <c r="D27" s="30">
        <v>37</v>
      </c>
      <c r="E27" s="28">
        <v>376.62410999999997</v>
      </c>
      <c r="F27" s="29">
        <v>3.06933756877158</v>
      </c>
    </row>
    <row r="28" spans="1:9" ht="10.5" x14ac:dyDescent="0.25">
      <c r="A28" s="25" t="s">
        <v>153</v>
      </c>
      <c r="B28" s="25"/>
      <c r="C28" s="25"/>
      <c r="D28" s="31"/>
      <c r="E28" s="32">
        <f>SUM(E26:E27)</f>
        <v>376.62410999999997</v>
      </c>
      <c r="F28" s="33">
        <f>SUM(F26:F27)</f>
        <v>3.06933756877158</v>
      </c>
      <c r="G28" s="17"/>
      <c r="H28" s="17"/>
      <c r="I28" s="17"/>
    </row>
    <row r="29" spans="1:9" x14ac:dyDescent="0.2">
      <c r="A29" s="26"/>
      <c r="B29" s="26"/>
      <c r="C29" s="26"/>
      <c r="D29" s="27"/>
      <c r="E29" s="28"/>
      <c r="F29" s="29"/>
    </row>
    <row r="30" spans="1:9" ht="10.5" x14ac:dyDescent="0.25">
      <c r="A30" s="25" t="s">
        <v>362</v>
      </c>
      <c r="B30" s="26"/>
      <c r="C30" s="26"/>
      <c r="D30" s="27"/>
      <c r="E30" s="28"/>
      <c r="F30" s="29"/>
    </row>
    <row r="31" spans="1:9" ht="10.5" x14ac:dyDescent="0.25">
      <c r="A31" s="25" t="s">
        <v>363</v>
      </c>
      <c r="B31" s="26"/>
      <c r="C31" s="26"/>
      <c r="D31" s="27"/>
      <c r="E31" s="28"/>
      <c r="F31" s="29"/>
    </row>
    <row r="32" spans="1:9" x14ac:dyDescent="0.2">
      <c r="A32" s="26" t="s">
        <v>375</v>
      </c>
      <c r="B32" s="26" t="s">
        <v>374</v>
      </c>
      <c r="C32" s="26" t="s">
        <v>369</v>
      </c>
      <c r="D32" s="30">
        <v>112</v>
      </c>
      <c r="E32" s="28">
        <v>110.327504</v>
      </c>
      <c r="F32" s="29">
        <v>0.89912553101286397</v>
      </c>
    </row>
    <row r="33" spans="1:9" ht="10.5" x14ac:dyDescent="0.25">
      <c r="A33" s="25" t="s">
        <v>153</v>
      </c>
      <c r="B33" s="25"/>
      <c r="C33" s="25"/>
      <c r="D33" s="31"/>
      <c r="E33" s="32">
        <f>SUM(E31:E32)</f>
        <v>110.327504</v>
      </c>
      <c r="F33" s="33">
        <f>SUM(F31:F32)</f>
        <v>0.89912553101286397</v>
      </c>
      <c r="G33" s="17"/>
      <c r="H33" s="17"/>
      <c r="I33" s="17"/>
    </row>
    <row r="34" spans="1:9" x14ac:dyDescent="0.2">
      <c r="A34" s="26"/>
      <c r="B34" s="26"/>
      <c r="C34" s="26"/>
      <c r="D34" s="27"/>
      <c r="E34" s="28"/>
      <c r="F34" s="29"/>
    </row>
    <row r="35" spans="1:9" ht="10.5" x14ac:dyDescent="0.25">
      <c r="A35" s="25" t="s">
        <v>166</v>
      </c>
      <c r="B35" s="25"/>
      <c r="C35" s="25"/>
      <c r="D35" s="31"/>
      <c r="E35" s="32">
        <f>E24+E28+E33</f>
        <v>11444.966144000002</v>
      </c>
      <c r="F35" s="33">
        <f>F24+F28+F33</f>
        <v>93.271948413228344</v>
      </c>
      <c r="G35" s="17"/>
      <c r="H35" s="17"/>
      <c r="I35" s="17"/>
    </row>
    <row r="36" spans="1:9" ht="10.5" x14ac:dyDescent="0.25">
      <c r="A36" s="25"/>
      <c r="B36" s="25"/>
      <c r="C36" s="25"/>
      <c r="D36" s="31"/>
      <c r="E36" s="32"/>
      <c r="F36" s="33"/>
      <c r="G36" s="17"/>
      <c r="H36" s="17"/>
      <c r="I36" s="17"/>
    </row>
    <row r="37" spans="1:9" ht="10.5" x14ac:dyDescent="0.25">
      <c r="A37" s="25" t="s">
        <v>168</v>
      </c>
      <c r="B37" s="25"/>
      <c r="C37" s="25"/>
      <c r="D37" s="31"/>
      <c r="E37" s="32">
        <f>E39-(E24+E28+E33)</f>
        <v>825.5678575999973</v>
      </c>
      <c r="F37" s="33">
        <f>F39-(F24+F28+F33)</f>
        <v>6.7280515867716559</v>
      </c>
      <c r="G37" s="17"/>
      <c r="H37" s="17"/>
      <c r="I37" s="17"/>
    </row>
    <row r="38" spans="1:9" ht="10.5" x14ac:dyDescent="0.25">
      <c r="A38" s="25"/>
      <c r="B38" s="25"/>
      <c r="C38" s="25"/>
      <c r="D38" s="31"/>
      <c r="E38" s="32"/>
      <c r="F38" s="33"/>
      <c r="G38" s="17"/>
      <c r="H38" s="17"/>
      <c r="I38" s="17"/>
    </row>
    <row r="39" spans="1:9" ht="10.5" x14ac:dyDescent="0.25">
      <c r="A39" s="34" t="s">
        <v>167</v>
      </c>
      <c r="B39" s="34"/>
      <c r="C39" s="34"/>
      <c r="D39" s="35"/>
      <c r="E39" s="36">
        <v>12270.534001599999</v>
      </c>
      <c r="F39" s="37">
        <v>100</v>
      </c>
      <c r="G39" s="17"/>
      <c r="H39" s="17"/>
      <c r="I39" s="17"/>
    </row>
    <row r="41" spans="1:9" ht="10.5" x14ac:dyDescent="0.25">
      <c r="A41" s="17" t="s">
        <v>170</v>
      </c>
    </row>
    <row r="43" spans="1:9" ht="10.5" x14ac:dyDescent="0.25">
      <c r="A43" s="17" t="s">
        <v>171</v>
      </c>
    </row>
    <row r="44" spans="1:9" ht="10.5" x14ac:dyDescent="0.25">
      <c r="A44" s="17" t="s">
        <v>172</v>
      </c>
    </row>
    <row r="45" spans="1:9" ht="10.5" x14ac:dyDescent="0.25">
      <c r="A45" s="17" t="s">
        <v>173</v>
      </c>
      <c r="B45" s="17"/>
      <c r="C45" s="38" t="s">
        <v>175</v>
      </c>
      <c r="D45" s="18" t="s">
        <v>174</v>
      </c>
    </row>
    <row r="46" spans="1:9" x14ac:dyDescent="0.2">
      <c r="A46" s="10" t="s">
        <v>436</v>
      </c>
      <c r="C46" s="39">
        <v>11.6122</v>
      </c>
      <c r="D46" s="39">
        <v>12.169499999999999</v>
      </c>
    </row>
    <row r="47" spans="1:9" x14ac:dyDescent="0.2">
      <c r="A47" s="10" t="s">
        <v>734</v>
      </c>
      <c r="C47" s="39">
        <v>10.9207</v>
      </c>
      <c r="D47" s="39">
        <v>10.546799999999999</v>
      </c>
    </row>
    <row r="48" spans="1:9" x14ac:dyDescent="0.2">
      <c r="A48" s="10" t="s">
        <v>438</v>
      </c>
      <c r="C48" s="39">
        <v>10.235200000000001</v>
      </c>
      <c r="D48" s="39">
        <v>10.343299999999999</v>
      </c>
    </row>
    <row r="49" spans="1:5" x14ac:dyDescent="0.2">
      <c r="A49" s="10" t="s">
        <v>439</v>
      </c>
      <c r="C49" s="39">
        <v>11.7286</v>
      </c>
      <c r="D49" s="39">
        <v>12.291499999999999</v>
      </c>
    </row>
    <row r="50" spans="1:5" x14ac:dyDescent="0.2">
      <c r="A50" s="10" t="s">
        <v>471</v>
      </c>
      <c r="C50" s="39">
        <v>11.0372</v>
      </c>
      <c r="D50" s="39">
        <v>10.669600000000001</v>
      </c>
    </row>
    <row r="51" spans="1:5" x14ac:dyDescent="0.2">
      <c r="A51" s="10" t="s">
        <v>441</v>
      </c>
      <c r="C51" s="39">
        <v>10.303699999999999</v>
      </c>
      <c r="D51" s="39">
        <v>10.414099999999999</v>
      </c>
    </row>
    <row r="53" spans="1:5" ht="10.5" x14ac:dyDescent="0.25">
      <c r="A53" s="17" t="s">
        <v>185</v>
      </c>
    </row>
    <row r="54" spans="1:5" ht="12.5" x14ac:dyDescent="0.25">
      <c r="A54" s="100" t="s">
        <v>350</v>
      </c>
      <c r="B54" s="101"/>
      <c r="C54" s="98" t="s">
        <v>1658</v>
      </c>
      <c r="D54" s="99"/>
    </row>
    <row r="55" spans="1:5" ht="10.5" x14ac:dyDescent="0.25">
      <c r="A55" s="100"/>
      <c r="B55" s="101"/>
      <c r="C55" s="43" t="s">
        <v>351</v>
      </c>
      <c r="D55" s="44" t="s">
        <v>352</v>
      </c>
    </row>
    <row r="56" spans="1:5" x14ac:dyDescent="0.2">
      <c r="A56" s="94" t="s">
        <v>734</v>
      </c>
      <c r="B56" s="95"/>
      <c r="C56" s="45">
        <v>0.88500000000000001</v>
      </c>
      <c r="D56" s="45">
        <v>0.88500000000000001</v>
      </c>
    </row>
    <row r="57" spans="1:5" x14ac:dyDescent="0.2">
      <c r="A57" s="94" t="s">
        <v>438</v>
      </c>
      <c r="B57" s="95"/>
      <c r="C57" s="45">
        <v>0.38</v>
      </c>
      <c r="D57" s="45">
        <v>0.38</v>
      </c>
    </row>
    <row r="58" spans="1:5" x14ac:dyDescent="0.2">
      <c r="A58" s="94" t="s">
        <v>471</v>
      </c>
      <c r="B58" s="95"/>
      <c r="C58" s="45">
        <v>0.88500000000000001</v>
      </c>
      <c r="D58" s="45">
        <v>0.88500000000000001</v>
      </c>
    </row>
    <row r="59" spans="1:5" x14ac:dyDescent="0.2">
      <c r="A59" s="94" t="s">
        <v>441</v>
      </c>
      <c r="B59" s="95"/>
      <c r="C59" s="45">
        <v>0.38</v>
      </c>
      <c r="D59" s="45">
        <v>0.38</v>
      </c>
    </row>
    <row r="60" spans="1:5" x14ac:dyDescent="0.2">
      <c r="A60" s="90" t="s">
        <v>1657</v>
      </c>
    </row>
    <row r="62" spans="1:5" ht="10.5" x14ac:dyDescent="0.25">
      <c r="A62" s="17" t="s">
        <v>187</v>
      </c>
      <c r="D62" s="41">
        <v>0.61906789347945201</v>
      </c>
      <c r="E62" s="15" t="s">
        <v>188</v>
      </c>
    </row>
    <row r="64" spans="1:5" ht="10.5" x14ac:dyDescent="0.25">
      <c r="A64" s="17" t="s">
        <v>189</v>
      </c>
      <c r="D64" s="40" t="s">
        <v>186</v>
      </c>
    </row>
  </sheetData>
  <mergeCells count="8">
    <mergeCell ref="A58:B58"/>
    <mergeCell ref="A59:B59"/>
    <mergeCell ref="A1:F1"/>
    <mergeCell ref="C54:D54"/>
    <mergeCell ref="A54:B54"/>
    <mergeCell ref="A55:B55"/>
    <mergeCell ref="A56:B56"/>
    <mergeCell ref="A57:B57"/>
  </mergeCells>
  <conditionalFormatting sqref="F2:F3 F5:F65537">
    <cfRule type="cellIs" dxfId="44" priority="1" stopIfTrue="1" operator="between">
      <formula>0.009</formula>
      <formula>-0.009</formula>
    </cfRule>
  </conditionalFormatting>
  <pageMargins left="0.7" right="0.7" top="0.75" bottom="0.75" header="0.3" footer="0.3"/>
  <pageSetup paperSize="9" scale="55" orientation="portrait" r:id="rId1"/>
  <headerFooter>
    <oddFooter>&amp;LPUBLIC</oddFooter>
    <evenFooter>&amp;LPUBLIC</evenFooter>
    <firstFooter>&amp;LPUBLIC</first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61"/>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1.1796875"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28</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770</v>
      </c>
      <c r="B7" s="26" t="s">
        <v>769</v>
      </c>
      <c r="C7" s="26" t="s">
        <v>152</v>
      </c>
      <c r="D7" s="30">
        <v>105</v>
      </c>
      <c r="E7" s="28">
        <v>1069.23495</v>
      </c>
      <c r="F7" s="29">
        <v>10.1909511994768</v>
      </c>
    </row>
    <row r="8" spans="1:6" x14ac:dyDescent="0.2">
      <c r="A8" s="26" t="s">
        <v>812</v>
      </c>
      <c r="B8" s="26" t="s">
        <v>811</v>
      </c>
      <c r="C8" s="26" t="s">
        <v>532</v>
      </c>
      <c r="D8" s="30">
        <v>100</v>
      </c>
      <c r="E8" s="28">
        <v>1022.364</v>
      </c>
      <c r="F8" s="29">
        <v>9.7442209797780404</v>
      </c>
    </row>
    <row r="9" spans="1:6" x14ac:dyDescent="0.2">
      <c r="A9" s="26" t="s">
        <v>796</v>
      </c>
      <c r="B9" s="26" t="s">
        <v>795</v>
      </c>
      <c r="C9" s="26" t="s">
        <v>492</v>
      </c>
      <c r="D9" s="30">
        <v>170</v>
      </c>
      <c r="E9" s="28">
        <v>868.64644999999996</v>
      </c>
      <c r="F9" s="29">
        <v>8.2791285316185892</v>
      </c>
    </row>
    <row r="10" spans="1:6" x14ac:dyDescent="0.2">
      <c r="A10" s="26" t="s">
        <v>814</v>
      </c>
      <c r="B10" s="26" t="s">
        <v>813</v>
      </c>
      <c r="C10" s="26" t="s">
        <v>492</v>
      </c>
      <c r="D10" s="30">
        <v>78</v>
      </c>
      <c r="E10" s="28">
        <v>793.23036000000002</v>
      </c>
      <c r="F10" s="29">
        <v>7.56033263662344</v>
      </c>
    </row>
    <row r="11" spans="1:6" x14ac:dyDescent="0.2">
      <c r="A11" s="26" t="s">
        <v>588</v>
      </c>
      <c r="B11" s="26" t="s">
        <v>587</v>
      </c>
      <c r="C11" s="26" t="s">
        <v>532</v>
      </c>
      <c r="D11" s="30">
        <v>63</v>
      </c>
      <c r="E11" s="28">
        <v>784.63413000000003</v>
      </c>
      <c r="F11" s="29">
        <v>7.4784013824781503</v>
      </c>
    </row>
    <row r="12" spans="1:6" x14ac:dyDescent="0.2">
      <c r="A12" s="26" t="s">
        <v>802</v>
      </c>
      <c r="B12" s="26" t="s">
        <v>801</v>
      </c>
      <c r="C12" s="26" t="s">
        <v>152</v>
      </c>
      <c r="D12" s="30">
        <v>50</v>
      </c>
      <c r="E12" s="28">
        <v>622.28800000000001</v>
      </c>
      <c r="F12" s="29">
        <v>5.9310693501180696</v>
      </c>
    </row>
    <row r="13" spans="1:6" x14ac:dyDescent="0.2">
      <c r="A13" s="26" t="s">
        <v>816</v>
      </c>
      <c r="B13" s="26" t="s">
        <v>815</v>
      </c>
      <c r="C13" s="26" t="s">
        <v>532</v>
      </c>
      <c r="D13" s="30">
        <v>52</v>
      </c>
      <c r="E13" s="28">
        <v>529.70839999999998</v>
      </c>
      <c r="F13" s="29">
        <v>5.0486868712558897</v>
      </c>
    </row>
    <row r="14" spans="1:6" x14ac:dyDescent="0.2">
      <c r="A14" s="26" t="s">
        <v>818</v>
      </c>
      <c r="B14" s="26" t="s">
        <v>817</v>
      </c>
      <c r="C14" s="26" t="s">
        <v>532</v>
      </c>
      <c r="D14" s="30">
        <v>50</v>
      </c>
      <c r="E14" s="28">
        <v>517.18799999999999</v>
      </c>
      <c r="F14" s="29">
        <v>4.9293540853252296</v>
      </c>
    </row>
    <row r="15" spans="1:6" x14ac:dyDescent="0.2">
      <c r="A15" s="26" t="s">
        <v>790</v>
      </c>
      <c r="B15" s="26" t="s">
        <v>789</v>
      </c>
      <c r="C15" s="26" t="s">
        <v>152</v>
      </c>
      <c r="D15" s="30">
        <v>50</v>
      </c>
      <c r="E15" s="28">
        <v>510.55849999999998</v>
      </c>
      <c r="F15" s="29">
        <v>4.86616786888428</v>
      </c>
    </row>
    <row r="16" spans="1:6" x14ac:dyDescent="0.2">
      <c r="A16" s="26" t="s">
        <v>798</v>
      </c>
      <c r="B16" s="26" t="s">
        <v>797</v>
      </c>
      <c r="C16" s="26" t="s">
        <v>152</v>
      </c>
      <c r="D16" s="30">
        <v>39</v>
      </c>
      <c r="E16" s="28">
        <v>488.13959999999997</v>
      </c>
      <c r="F16" s="29">
        <v>4.65249180466102</v>
      </c>
    </row>
    <row r="17" spans="1:9" x14ac:dyDescent="0.2">
      <c r="A17" s="26" t="s">
        <v>804</v>
      </c>
      <c r="B17" s="26" t="s">
        <v>803</v>
      </c>
      <c r="C17" s="26" t="s">
        <v>152</v>
      </c>
      <c r="D17" s="30">
        <v>31</v>
      </c>
      <c r="E17" s="28">
        <v>319.45654999999999</v>
      </c>
      <c r="F17" s="29">
        <v>3.04476215578552</v>
      </c>
    </row>
    <row r="18" spans="1:9" x14ac:dyDescent="0.2">
      <c r="A18" s="26" t="s">
        <v>614</v>
      </c>
      <c r="B18" s="26" t="s">
        <v>613</v>
      </c>
      <c r="C18" s="26" t="s">
        <v>152</v>
      </c>
      <c r="D18" s="30">
        <v>28</v>
      </c>
      <c r="E18" s="28">
        <v>284.88432</v>
      </c>
      <c r="F18" s="29">
        <v>2.7152518748252099</v>
      </c>
    </row>
    <row r="19" spans="1:9" x14ac:dyDescent="0.2">
      <c r="A19" s="26" t="s">
        <v>820</v>
      </c>
      <c r="B19" s="26" t="s">
        <v>819</v>
      </c>
      <c r="C19" s="26" t="s">
        <v>152</v>
      </c>
      <c r="D19" s="30">
        <v>26</v>
      </c>
      <c r="E19" s="28">
        <v>266.67991999999998</v>
      </c>
      <c r="F19" s="29">
        <v>2.5417444974094598</v>
      </c>
    </row>
    <row r="20" spans="1:9" x14ac:dyDescent="0.2">
      <c r="A20" s="26" t="s">
        <v>822</v>
      </c>
      <c r="B20" s="26" t="s">
        <v>821</v>
      </c>
      <c r="C20" s="26" t="s">
        <v>152</v>
      </c>
      <c r="D20" s="30">
        <v>21</v>
      </c>
      <c r="E20" s="28">
        <v>261.41073</v>
      </c>
      <c r="F20" s="29">
        <v>2.4915234883124699</v>
      </c>
    </row>
    <row r="21" spans="1:9" x14ac:dyDescent="0.2">
      <c r="A21" s="26" t="s">
        <v>534</v>
      </c>
      <c r="B21" s="26" t="s">
        <v>533</v>
      </c>
      <c r="C21" s="26" t="s">
        <v>152</v>
      </c>
      <c r="D21" s="30">
        <v>1</v>
      </c>
      <c r="E21" s="28">
        <v>101.9091</v>
      </c>
      <c r="F21" s="29">
        <v>0.97130257936537101</v>
      </c>
    </row>
    <row r="22" spans="1:9" x14ac:dyDescent="0.2">
      <c r="A22" s="26" t="s">
        <v>281</v>
      </c>
      <c r="B22" s="26" t="s">
        <v>280</v>
      </c>
      <c r="C22" s="26" t="s">
        <v>282</v>
      </c>
      <c r="D22" s="30">
        <v>6</v>
      </c>
      <c r="E22" s="28">
        <v>74.340419999999995</v>
      </c>
      <c r="F22" s="29">
        <v>0.70854361089544504</v>
      </c>
    </row>
    <row r="23" spans="1:9" x14ac:dyDescent="0.2">
      <c r="A23" s="26" t="s">
        <v>616</v>
      </c>
      <c r="B23" s="26" t="s">
        <v>615</v>
      </c>
      <c r="C23" s="26" t="s">
        <v>152</v>
      </c>
      <c r="D23" s="30">
        <v>2</v>
      </c>
      <c r="E23" s="28">
        <v>20.739080000000001</v>
      </c>
      <c r="F23" s="29">
        <v>0.197665585287916</v>
      </c>
    </row>
    <row r="24" spans="1:9" x14ac:dyDescent="0.2">
      <c r="A24" s="26" t="s">
        <v>279</v>
      </c>
      <c r="B24" s="26" t="s">
        <v>278</v>
      </c>
      <c r="C24" s="26" t="s">
        <v>152</v>
      </c>
      <c r="D24" s="30">
        <v>1</v>
      </c>
      <c r="E24" s="28">
        <v>10.18155</v>
      </c>
      <c r="F24" s="29">
        <v>9.7041047138454697E-2</v>
      </c>
    </row>
    <row r="25" spans="1:9" x14ac:dyDescent="0.2">
      <c r="A25" s="26" t="s">
        <v>824</v>
      </c>
      <c r="B25" s="26" t="s">
        <v>823</v>
      </c>
      <c r="C25" s="26" t="s">
        <v>152</v>
      </c>
      <c r="D25" s="30">
        <v>1</v>
      </c>
      <c r="E25" s="28">
        <v>10.112410000000001</v>
      </c>
      <c r="F25" s="29">
        <v>9.6382069085098096E-2</v>
      </c>
    </row>
    <row r="26" spans="1:9" ht="10.5" x14ac:dyDescent="0.25">
      <c r="A26" s="25" t="s">
        <v>153</v>
      </c>
      <c r="B26" s="25"/>
      <c r="C26" s="25"/>
      <c r="D26" s="31"/>
      <c r="E26" s="32">
        <f>SUM(E6:E25)</f>
        <v>8555.7064699999992</v>
      </c>
      <c r="F26" s="33">
        <f>SUM(F6:F25)</f>
        <v>81.545021618324469</v>
      </c>
      <c r="G26" s="17"/>
      <c r="H26" s="17"/>
      <c r="I26" s="17"/>
    </row>
    <row r="27" spans="1:9" x14ac:dyDescent="0.2">
      <c r="A27" s="26"/>
      <c r="B27" s="26"/>
      <c r="C27" s="26"/>
      <c r="D27" s="27"/>
      <c r="E27" s="28"/>
      <c r="F27" s="29"/>
    </row>
    <row r="28" spans="1:9" ht="10.5" x14ac:dyDescent="0.25">
      <c r="A28" s="25" t="s">
        <v>154</v>
      </c>
      <c r="B28" s="26"/>
      <c r="C28" s="26"/>
      <c r="D28" s="27"/>
      <c r="E28" s="28"/>
      <c r="F28" s="29"/>
    </row>
    <row r="29" spans="1:9" x14ac:dyDescent="0.2">
      <c r="A29" s="26" t="s">
        <v>826</v>
      </c>
      <c r="B29" s="26" t="s">
        <v>825</v>
      </c>
      <c r="C29" s="26" t="s">
        <v>492</v>
      </c>
      <c r="D29" s="30">
        <v>95</v>
      </c>
      <c r="E29" s="28">
        <v>962.74710000000005</v>
      </c>
      <c r="F29" s="29">
        <v>9.1760082417225792</v>
      </c>
    </row>
    <row r="30" spans="1:9" x14ac:dyDescent="0.2">
      <c r="A30" s="26" t="s">
        <v>620</v>
      </c>
      <c r="B30" s="26" t="s">
        <v>619</v>
      </c>
      <c r="C30" s="26" t="s">
        <v>152</v>
      </c>
      <c r="D30" s="30">
        <v>3</v>
      </c>
      <c r="E30" s="28">
        <v>30.537089999999999</v>
      </c>
      <c r="F30" s="29">
        <v>0.29105108653999001</v>
      </c>
    </row>
    <row r="31" spans="1:9" ht="10.5" x14ac:dyDescent="0.25">
      <c r="A31" s="25" t="s">
        <v>153</v>
      </c>
      <c r="B31" s="25"/>
      <c r="C31" s="25"/>
      <c r="D31" s="31"/>
      <c r="E31" s="32">
        <f>SUM(E28:E30)</f>
        <v>993.28419000000008</v>
      </c>
      <c r="F31" s="33">
        <f>SUM(F28:F30)</f>
        <v>9.4670593282625699</v>
      </c>
      <c r="G31" s="17"/>
      <c r="H31" s="17"/>
      <c r="I31" s="17"/>
    </row>
    <row r="32" spans="1:9" x14ac:dyDescent="0.2">
      <c r="A32" s="26"/>
      <c r="B32" s="26"/>
      <c r="C32" s="26"/>
      <c r="D32" s="27"/>
      <c r="E32" s="28"/>
      <c r="F32" s="29"/>
    </row>
    <row r="33" spans="1:9" ht="10.5" x14ac:dyDescent="0.25">
      <c r="A33" s="25" t="s">
        <v>362</v>
      </c>
      <c r="B33" s="26"/>
      <c r="C33" s="26"/>
      <c r="D33" s="27"/>
      <c r="E33" s="28"/>
      <c r="F33" s="29"/>
    </row>
    <row r="34" spans="1:9" ht="10.5" x14ac:dyDescent="0.25">
      <c r="A34" s="25" t="s">
        <v>363</v>
      </c>
      <c r="B34" s="26"/>
      <c r="C34" s="26"/>
      <c r="D34" s="27"/>
      <c r="E34" s="28"/>
      <c r="F34" s="29"/>
    </row>
    <row r="35" spans="1:9" x14ac:dyDescent="0.2">
      <c r="A35" s="26" t="s">
        <v>375</v>
      </c>
      <c r="B35" s="26" t="s">
        <v>374</v>
      </c>
      <c r="C35" s="26" t="s">
        <v>369</v>
      </c>
      <c r="D35" s="30">
        <v>91</v>
      </c>
      <c r="E35" s="28">
        <v>89.641097000000002</v>
      </c>
      <c r="F35" s="29">
        <v>0.85437540644791699</v>
      </c>
    </row>
    <row r="36" spans="1:9" ht="10.5" x14ac:dyDescent="0.25">
      <c r="A36" s="25" t="s">
        <v>153</v>
      </c>
      <c r="B36" s="25"/>
      <c r="C36" s="25"/>
      <c r="D36" s="31"/>
      <c r="E36" s="32">
        <f>SUM(E34:E35)</f>
        <v>89.641097000000002</v>
      </c>
      <c r="F36" s="33">
        <f>SUM(F34:F35)</f>
        <v>0.85437540644791699</v>
      </c>
      <c r="G36" s="17"/>
      <c r="H36" s="17"/>
      <c r="I36" s="17"/>
    </row>
    <row r="37" spans="1:9" x14ac:dyDescent="0.2">
      <c r="A37" s="26"/>
      <c r="B37" s="26"/>
      <c r="C37" s="26"/>
      <c r="D37" s="27"/>
      <c r="E37" s="28"/>
      <c r="F37" s="29"/>
    </row>
    <row r="38" spans="1:9" ht="10.5" x14ac:dyDescent="0.25">
      <c r="A38" s="25" t="s">
        <v>166</v>
      </c>
      <c r="B38" s="25"/>
      <c r="C38" s="25"/>
      <c r="D38" s="31"/>
      <c r="E38" s="32">
        <f>E26+E31+E36</f>
        <v>9638.6317569999992</v>
      </c>
      <c r="F38" s="33">
        <f>F26+F31+F36</f>
        <v>91.866456353034948</v>
      </c>
      <c r="G38" s="17"/>
      <c r="H38" s="17"/>
      <c r="I38" s="17"/>
    </row>
    <row r="39" spans="1:9" ht="10.5" x14ac:dyDescent="0.25">
      <c r="A39" s="25"/>
      <c r="B39" s="25"/>
      <c r="C39" s="25"/>
      <c r="D39" s="31"/>
      <c r="E39" s="32"/>
      <c r="F39" s="33"/>
      <c r="G39" s="17"/>
      <c r="H39" s="17"/>
      <c r="I39" s="17"/>
    </row>
    <row r="40" spans="1:9" ht="10.5" x14ac:dyDescent="0.25">
      <c r="A40" s="25" t="s">
        <v>168</v>
      </c>
      <c r="B40" s="25"/>
      <c r="C40" s="25"/>
      <c r="D40" s="31"/>
      <c r="E40" s="32">
        <f>E42-(E26+E31+E36)</f>
        <v>853.37167890000092</v>
      </c>
      <c r="F40" s="33">
        <f>F42-(F26+F31+F36)</f>
        <v>8.1335436469650517</v>
      </c>
      <c r="G40" s="17"/>
      <c r="H40" s="17"/>
      <c r="I40" s="17"/>
    </row>
    <row r="41" spans="1:9" ht="10.5" x14ac:dyDescent="0.25">
      <c r="A41" s="25"/>
      <c r="B41" s="25"/>
      <c r="C41" s="25"/>
      <c r="D41" s="31"/>
      <c r="E41" s="32"/>
      <c r="F41" s="33"/>
      <c r="G41" s="17"/>
      <c r="H41" s="17"/>
      <c r="I41" s="17"/>
    </row>
    <row r="42" spans="1:9" ht="10.5" x14ac:dyDescent="0.25">
      <c r="A42" s="34" t="s">
        <v>167</v>
      </c>
      <c r="B42" s="34"/>
      <c r="C42" s="34"/>
      <c r="D42" s="35"/>
      <c r="E42" s="36">
        <v>10492.0034359</v>
      </c>
      <c r="F42" s="37">
        <v>100</v>
      </c>
      <c r="G42" s="17"/>
      <c r="H42" s="17"/>
      <c r="I42" s="17"/>
    </row>
    <row r="44" spans="1:9" ht="10.5" x14ac:dyDescent="0.25">
      <c r="A44" s="17" t="s">
        <v>170</v>
      </c>
    </row>
    <row r="46" spans="1:9" ht="10.5" x14ac:dyDescent="0.25">
      <c r="A46" s="17" t="s">
        <v>171</v>
      </c>
    </row>
    <row r="47" spans="1:9" ht="10.5" x14ac:dyDescent="0.25">
      <c r="A47" s="17" t="s">
        <v>172</v>
      </c>
    </row>
    <row r="48" spans="1:9" ht="10.5" x14ac:dyDescent="0.25">
      <c r="A48" s="17" t="s">
        <v>173</v>
      </c>
      <c r="B48" s="17"/>
      <c r="C48" s="38" t="s">
        <v>175</v>
      </c>
      <c r="D48" s="18" t="s">
        <v>174</v>
      </c>
    </row>
    <row r="49" spans="1:5" x14ac:dyDescent="0.2">
      <c r="A49" s="10" t="s">
        <v>436</v>
      </c>
      <c r="C49" s="39">
        <v>11.6998</v>
      </c>
      <c r="D49" s="39">
        <v>12.248900000000001</v>
      </c>
    </row>
    <row r="50" spans="1:5" x14ac:dyDescent="0.2">
      <c r="A50" s="10" t="s">
        <v>734</v>
      </c>
      <c r="C50" s="39">
        <v>11.002599999999999</v>
      </c>
      <c r="D50" s="39">
        <v>10.523899999999999</v>
      </c>
    </row>
    <row r="51" spans="1:5" x14ac:dyDescent="0.2">
      <c r="A51" s="10" t="s">
        <v>439</v>
      </c>
      <c r="C51" s="39">
        <v>11.7879</v>
      </c>
      <c r="D51" s="39">
        <v>12.341100000000001</v>
      </c>
    </row>
    <row r="53" spans="1:5" ht="10.5" x14ac:dyDescent="0.25">
      <c r="A53" s="17" t="s">
        <v>185</v>
      </c>
    </row>
    <row r="54" spans="1:5" ht="12.5" x14ac:dyDescent="0.25">
      <c r="A54" s="100" t="s">
        <v>350</v>
      </c>
      <c r="B54" s="101"/>
      <c r="C54" s="98" t="s">
        <v>1658</v>
      </c>
      <c r="D54" s="99"/>
    </row>
    <row r="55" spans="1:5" ht="10.5" x14ac:dyDescent="0.25">
      <c r="A55" s="100"/>
      <c r="B55" s="101"/>
      <c r="C55" s="43" t="s">
        <v>351</v>
      </c>
      <c r="D55" s="44" t="s">
        <v>352</v>
      </c>
    </row>
    <row r="56" spans="1:5" x14ac:dyDescent="0.2">
      <c r="A56" s="94" t="s">
        <v>734</v>
      </c>
      <c r="B56" s="95"/>
      <c r="C56" s="45">
        <v>0.98</v>
      </c>
      <c r="D56" s="45">
        <v>0.98</v>
      </c>
    </row>
    <row r="57" spans="1:5" x14ac:dyDescent="0.2">
      <c r="A57" s="90" t="s">
        <v>1657</v>
      </c>
    </row>
    <row r="59" spans="1:5" ht="10.5" x14ac:dyDescent="0.25">
      <c r="A59" s="17" t="s">
        <v>187</v>
      </c>
      <c r="D59" s="41">
        <v>0.51777845027397296</v>
      </c>
      <c r="E59" s="15" t="s">
        <v>188</v>
      </c>
    </row>
    <row r="61" spans="1:5" ht="10.5" x14ac:dyDescent="0.25">
      <c r="A61" s="17" t="s">
        <v>189</v>
      </c>
      <c r="D61" s="40" t="s">
        <v>186</v>
      </c>
    </row>
  </sheetData>
  <mergeCells count="5">
    <mergeCell ref="A1:F1"/>
    <mergeCell ref="C54:D54"/>
    <mergeCell ref="A54:B54"/>
    <mergeCell ref="A55:B55"/>
    <mergeCell ref="A56:B56"/>
  </mergeCells>
  <conditionalFormatting sqref="F2:F3 F5:F65537">
    <cfRule type="cellIs" dxfId="43" priority="1" stopIfTrue="1" operator="between">
      <formula>0.009</formula>
      <formula>-0.009</formula>
    </cfRule>
  </conditionalFormatting>
  <pageMargins left="0.7" right="0.7" top="0.75" bottom="0.75" header="0.3" footer="0.3"/>
  <pageSetup paperSize="9" scale="55" orientation="portrait" r:id="rId1"/>
  <headerFooter>
    <oddFooter>&amp;LPUBLIC</oddFooter>
    <evenFooter>&amp;LPUBLIC</evenFooter>
    <firstFooter>&amp;LPUBLIC</firstFooter>
  </headerFooter>
  <colBreaks count="1" manualBreakCount="1">
    <brk id="6"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69"/>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29</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828</v>
      </c>
      <c r="B7" s="26" t="s">
        <v>827</v>
      </c>
      <c r="C7" s="26" t="s">
        <v>152</v>
      </c>
      <c r="D7" s="30">
        <v>173</v>
      </c>
      <c r="E7" s="28">
        <v>1762.27142</v>
      </c>
      <c r="F7" s="29">
        <v>9.4533191457776606</v>
      </c>
    </row>
    <row r="8" spans="1:6" x14ac:dyDescent="0.2">
      <c r="A8" s="26" t="s">
        <v>830</v>
      </c>
      <c r="B8" s="26" t="s">
        <v>829</v>
      </c>
      <c r="C8" s="26" t="s">
        <v>152</v>
      </c>
      <c r="D8" s="30">
        <v>161</v>
      </c>
      <c r="E8" s="28">
        <v>1636.49416</v>
      </c>
      <c r="F8" s="29">
        <v>8.7786145761141192</v>
      </c>
    </row>
    <row r="9" spans="1:6" x14ac:dyDescent="0.2">
      <c r="A9" s="26" t="s">
        <v>796</v>
      </c>
      <c r="B9" s="26" t="s">
        <v>795</v>
      </c>
      <c r="C9" s="26" t="s">
        <v>492</v>
      </c>
      <c r="D9" s="30">
        <v>300</v>
      </c>
      <c r="E9" s="28">
        <v>1532.9055000000001</v>
      </c>
      <c r="F9" s="29">
        <v>8.2229358924846405</v>
      </c>
    </row>
    <row r="10" spans="1:6" x14ac:dyDescent="0.2">
      <c r="A10" s="26" t="s">
        <v>816</v>
      </c>
      <c r="B10" s="26" t="s">
        <v>815</v>
      </c>
      <c r="C10" s="26" t="s">
        <v>532</v>
      </c>
      <c r="D10" s="30">
        <v>150</v>
      </c>
      <c r="E10" s="28">
        <v>1528.0050000000001</v>
      </c>
      <c r="F10" s="29">
        <v>8.1966482333033497</v>
      </c>
    </row>
    <row r="11" spans="1:6" x14ac:dyDescent="0.2">
      <c r="A11" s="26" t="s">
        <v>832</v>
      </c>
      <c r="B11" s="26" t="s">
        <v>831</v>
      </c>
      <c r="C11" s="26" t="s">
        <v>492</v>
      </c>
      <c r="D11" s="30">
        <v>149</v>
      </c>
      <c r="E11" s="28">
        <v>1516.42515</v>
      </c>
      <c r="F11" s="29">
        <v>8.1345306636328196</v>
      </c>
    </row>
    <row r="12" spans="1:6" x14ac:dyDescent="0.2">
      <c r="A12" s="26" t="s">
        <v>834</v>
      </c>
      <c r="B12" s="26" t="s">
        <v>833</v>
      </c>
      <c r="C12" s="26" t="s">
        <v>152</v>
      </c>
      <c r="D12" s="30">
        <v>128</v>
      </c>
      <c r="E12" s="28">
        <v>1244.89472</v>
      </c>
      <c r="F12" s="29">
        <v>6.6779651292611399</v>
      </c>
    </row>
    <row r="13" spans="1:6" x14ac:dyDescent="0.2">
      <c r="A13" s="26" t="s">
        <v>822</v>
      </c>
      <c r="B13" s="26" t="s">
        <v>821</v>
      </c>
      <c r="C13" s="26" t="s">
        <v>152</v>
      </c>
      <c r="D13" s="30">
        <v>89</v>
      </c>
      <c r="E13" s="28">
        <v>1107.88357</v>
      </c>
      <c r="F13" s="29">
        <v>5.9429988165917704</v>
      </c>
    </row>
    <row r="14" spans="1:6" x14ac:dyDescent="0.2">
      <c r="A14" s="26" t="s">
        <v>798</v>
      </c>
      <c r="B14" s="26" t="s">
        <v>797</v>
      </c>
      <c r="C14" s="26" t="s">
        <v>152</v>
      </c>
      <c r="D14" s="30">
        <v>84</v>
      </c>
      <c r="E14" s="28">
        <v>1051.3776</v>
      </c>
      <c r="F14" s="29">
        <v>5.63988491371083</v>
      </c>
    </row>
    <row r="15" spans="1:6" x14ac:dyDescent="0.2">
      <c r="A15" s="26" t="s">
        <v>792</v>
      </c>
      <c r="B15" s="26" t="s">
        <v>791</v>
      </c>
      <c r="C15" s="26" t="s">
        <v>152</v>
      </c>
      <c r="D15" s="30">
        <v>101</v>
      </c>
      <c r="E15" s="28">
        <v>1037.9992199999999</v>
      </c>
      <c r="F15" s="29">
        <v>5.5681195236817</v>
      </c>
    </row>
    <row r="16" spans="1:6" x14ac:dyDescent="0.2">
      <c r="A16" s="26" t="s">
        <v>836</v>
      </c>
      <c r="B16" s="26" t="s">
        <v>835</v>
      </c>
      <c r="C16" s="26" t="s">
        <v>152</v>
      </c>
      <c r="D16" s="30">
        <v>50</v>
      </c>
      <c r="E16" s="28">
        <v>506.04250000000002</v>
      </c>
      <c r="F16" s="29">
        <v>2.7145541824806898</v>
      </c>
    </row>
    <row r="17" spans="1:9" x14ac:dyDescent="0.2">
      <c r="A17" s="26" t="s">
        <v>614</v>
      </c>
      <c r="B17" s="26" t="s">
        <v>613</v>
      </c>
      <c r="C17" s="26" t="s">
        <v>152</v>
      </c>
      <c r="D17" s="30">
        <v>29</v>
      </c>
      <c r="E17" s="28">
        <v>295.05876000000001</v>
      </c>
      <c r="F17" s="29">
        <v>1.5827781086283601</v>
      </c>
    </row>
    <row r="18" spans="1:9" x14ac:dyDescent="0.2">
      <c r="A18" s="26" t="s">
        <v>279</v>
      </c>
      <c r="B18" s="26" t="s">
        <v>278</v>
      </c>
      <c r="C18" s="26" t="s">
        <v>152</v>
      </c>
      <c r="D18" s="30">
        <v>24</v>
      </c>
      <c r="E18" s="28">
        <v>244.35720000000001</v>
      </c>
      <c r="F18" s="29">
        <v>1.3108006921933899</v>
      </c>
    </row>
    <row r="19" spans="1:9" x14ac:dyDescent="0.2">
      <c r="A19" s="26" t="s">
        <v>814</v>
      </c>
      <c r="B19" s="26" t="s">
        <v>813</v>
      </c>
      <c r="C19" s="26" t="s">
        <v>492</v>
      </c>
      <c r="D19" s="30">
        <v>22</v>
      </c>
      <c r="E19" s="28">
        <v>223.73164</v>
      </c>
      <c r="F19" s="29">
        <v>1.2001593919784701</v>
      </c>
    </row>
    <row r="20" spans="1:9" x14ac:dyDescent="0.2">
      <c r="A20" s="26" t="s">
        <v>776</v>
      </c>
      <c r="B20" s="26" t="s">
        <v>775</v>
      </c>
      <c r="C20" s="26" t="s">
        <v>152</v>
      </c>
      <c r="D20" s="30">
        <v>15</v>
      </c>
      <c r="E20" s="28">
        <v>186.97559999999999</v>
      </c>
      <c r="F20" s="29">
        <v>1.00298966391526</v>
      </c>
    </row>
    <row r="21" spans="1:9" x14ac:dyDescent="0.2">
      <c r="A21" s="26" t="s">
        <v>770</v>
      </c>
      <c r="B21" s="26" t="s">
        <v>769</v>
      </c>
      <c r="C21" s="26" t="s">
        <v>152</v>
      </c>
      <c r="D21" s="30">
        <v>9</v>
      </c>
      <c r="E21" s="28">
        <v>91.648709999999994</v>
      </c>
      <c r="F21" s="29">
        <v>0.49162943636050399</v>
      </c>
    </row>
    <row r="22" spans="1:9" ht="10.5" x14ac:dyDescent="0.25">
      <c r="A22" s="25" t="s">
        <v>153</v>
      </c>
      <c r="B22" s="25"/>
      <c r="C22" s="25"/>
      <c r="D22" s="31"/>
      <c r="E22" s="32">
        <f>SUM(E6:E21)</f>
        <v>13966.070749999999</v>
      </c>
      <c r="F22" s="33">
        <f>SUM(F6:F21)</f>
        <v>74.917928370114694</v>
      </c>
      <c r="G22" s="17"/>
      <c r="H22" s="17"/>
      <c r="I22" s="17"/>
    </row>
    <row r="23" spans="1:9" x14ac:dyDescent="0.2">
      <c r="A23" s="26"/>
      <c r="B23" s="26"/>
      <c r="C23" s="26"/>
      <c r="D23" s="27"/>
      <c r="E23" s="28"/>
      <c r="F23" s="29"/>
    </row>
    <row r="24" spans="1:9" ht="10.5" x14ac:dyDescent="0.25">
      <c r="A24" s="25" t="s">
        <v>154</v>
      </c>
      <c r="B24" s="26"/>
      <c r="C24" s="26"/>
      <c r="D24" s="27"/>
      <c r="E24" s="28"/>
      <c r="F24" s="29"/>
    </row>
    <row r="25" spans="1:9" x14ac:dyDescent="0.2">
      <c r="A25" s="26" t="s">
        <v>838</v>
      </c>
      <c r="B25" s="26" t="s">
        <v>837</v>
      </c>
      <c r="C25" s="26" t="s">
        <v>152</v>
      </c>
      <c r="D25" s="30">
        <v>150</v>
      </c>
      <c r="E25" s="28">
        <v>1525.4549999999999</v>
      </c>
      <c r="F25" s="29">
        <v>8.1829693166800901</v>
      </c>
    </row>
    <row r="26" spans="1:9" x14ac:dyDescent="0.2">
      <c r="A26" s="26" t="s">
        <v>826</v>
      </c>
      <c r="B26" s="26" t="s">
        <v>825</v>
      </c>
      <c r="C26" s="26" t="s">
        <v>492</v>
      </c>
      <c r="D26" s="30">
        <v>150</v>
      </c>
      <c r="E26" s="28">
        <v>1520.127</v>
      </c>
      <c r="F26" s="29">
        <v>8.1543884273590201</v>
      </c>
    </row>
    <row r="27" spans="1:9" x14ac:dyDescent="0.2">
      <c r="A27" s="26" t="s">
        <v>620</v>
      </c>
      <c r="B27" s="26" t="s">
        <v>619</v>
      </c>
      <c r="C27" s="26" t="s">
        <v>152</v>
      </c>
      <c r="D27" s="30">
        <v>2</v>
      </c>
      <c r="E27" s="28">
        <v>20.358059999999998</v>
      </c>
      <c r="F27" s="29">
        <v>0.109206355039731</v>
      </c>
    </row>
    <row r="28" spans="1:9" ht="10.5" x14ac:dyDescent="0.25">
      <c r="A28" s="25" t="s">
        <v>153</v>
      </c>
      <c r="B28" s="25"/>
      <c r="C28" s="25"/>
      <c r="D28" s="31"/>
      <c r="E28" s="32">
        <f>SUM(E24:E27)</f>
        <v>3065.9400599999999</v>
      </c>
      <c r="F28" s="33">
        <f>SUM(F24:F27)</f>
        <v>16.446564099078842</v>
      </c>
      <c r="G28" s="17"/>
      <c r="H28" s="17"/>
      <c r="I28" s="17"/>
    </row>
    <row r="29" spans="1:9" x14ac:dyDescent="0.2">
      <c r="A29" s="26"/>
      <c r="B29" s="26"/>
      <c r="C29" s="26"/>
      <c r="D29" s="27"/>
      <c r="E29" s="28"/>
      <c r="F29" s="29"/>
    </row>
    <row r="30" spans="1:9" ht="10.5" x14ac:dyDescent="0.25">
      <c r="A30" s="25" t="s">
        <v>362</v>
      </c>
      <c r="B30" s="26"/>
      <c r="C30" s="26"/>
      <c r="D30" s="27"/>
      <c r="E30" s="28"/>
      <c r="F30" s="29"/>
    </row>
    <row r="31" spans="1:9" ht="10.5" x14ac:dyDescent="0.25">
      <c r="A31" s="25" t="s">
        <v>363</v>
      </c>
      <c r="B31" s="26"/>
      <c r="C31" s="26"/>
      <c r="D31" s="27"/>
      <c r="E31" s="28"/>
      <c r="F31" s="29"/>
    </row>
    <row r="32" spans="1:9" x14ac:dyDescent="0.2">
      <c r="A32" s="26" t="s">
        <v>375</v>
      </c>
      <c r="B32" s="26" t="s">
        <v>374</v>
      </c>
      <c r="C32" s="26" t="s">
        <v>369</v>
      </c>
      <c r="D32" s="30">
        <v>292</v>
      </c>
      <c r="E32" s="28">
        <v>287.63956400000001</v>
      </c>
      <c r="F32" s="29">
        <v>1.5429794562771399</v>
      </c>
    </row>
    <row r="33" spans="1:9" ht="10.5" x14ac:dyDescent="0.25">
      <c r="A33" s="25" t="s">
        <v>153</v>
      </c>
      <c r="B33" s="25"/>
      <c r="C33" s="25"/>
      <c r="D33" s="31"/>
      <c r="E33" s="32">
        <f>SUM(E31:E32)</f>
        <v>287.63956400000001</v>
      </c>
      <c r="F33" s="33">
        <f>SUM(F31:F32)</f>
        <v>1.5429794562771399</v>
      </c>
      <c r="G33" s="17"/>
      <c r="H33" s="17"/>
      <c r="I33" s="17"/>
    </row>
    <row r="34" spans="1:9" x14ac:dyDescent="0.2">
      <c r="A34" s="26"/>
      <c r="B34" s="26"/>
      <c r="C34" s="26"/>
      <c r="D34" s="27"/>
      <c r="E34" s="28"/>
      <c r="F34" s="29"/>
    </row>
    <row r="35" spans="1:9" ht="10.5" x14ac:dyDescent="0.25">
      <c r="A35" s="25" t="s">
        <v>378</v>
      </c>
      <c r="B35" s="26"/>
      <c r="C35" s="26"/>
      <c r="D35" s="27"/>
      <c r="E35" s="28"/>
      <c r="F35" s="29"/>
    </row>
    <row r="36" spans="1:9" x14ac:dyDescent="0.2">
      <c r="A36" s="26" t="s">
        <v>840</v>
      </c>
      <c r="B36" s="26" t="s">
        <v>839</v>
      </c>
      <c r="C36" s="26" t="s">
        <v>388</v>
      </c>
      <c r="D36" s="30">
        <v>33</v>
      </c>
      <c r="E36" s="28">
        <v>162.54958500000001</v>
      </c>
      <c r="F36" s="29">
        <v>0.87196165504330403</v>
      </c>
    </row>
    <row r="37" spans="1:9" ht="10.5" x14ac:dyDescent="0.25">
      <c r="A37" s="25" t="s">
        <v>153</v>
      </c>
      <c r="B37" s="25"/>
      <c r="C37" s="25"/>
      <c r="D37" s="31"/>
      <c r="E37" s="32">
        <f>SUM(E35:E36)</f>
        <v>162.54958500000001</v>
      </c>
      <c r="F37" s="33">
        <f>SUM(F35:F36)</f>
        <v>0.87196165504330403</v>
      </c>
      <c r="G37" s="17"/>
      <c r="H37" s="17"/>
      <c r="I37" s="17"/>
    </row>
    <row r="38" spans="1:9" x14ac:dyDescent="0.2">
      <c r="A38" s="26"/>
      <c r="B38" s="26"/>
      <c r="C38" s="26"/>
      <c r="D38" s="27"/>
      <c r="E38" s="28"/>
      <c r="F38" s="29"/>
    </row>
    <row r="39" spans="1:9" ht="10.5" x14ac:dyDescent="0.25">
      <c r="A39" s="25" t="s">
        <v>166</v>
      </c>
      <c r="B39" s="25"/>
      <c r="C39" s="25"/>
      <c r="D39" s="31"/>
      <c r="E39" s="32">
        <f>E22+E28+E33+E37</f>
        <v>17482.199959000001</v>
      </c>
      <c r="F39" s="33">
        <f>F22+F28+F33+F37</f>
        <v>93.779433580513981</v>
      </c>
      <c r="G39" s="17"/>
      <c r="H39" s="17"/>
      <c r="I39" s="17"/>
    </row>
    <row r="40" spans="1:9" ht="10.5" x14ac:dyDescent="0.25">
      <c r="A40" s="25"/>
      <c r="B40" s="25"/>
      <c r="C40" s="25"/>
      <c r="D40" s="31"/>
      <c r="E40" s="32"/>
      <c r="F40" s="33"/>
      <c r="G40" s="17"/>
      <c r="H40" s="17"/>
      <c r="I40" s="17"/>
    </row>
    <row r="41" spans="1:9" ht="10.5" x14ac:dyDescent="0.25">
      <c r="A41" s="25" t="s">
        <v>168</v>
      </c>
      <c r="B41" s="25"/>
      <c r="C41" s="25"/>
      <c r="D41" s="31"/>
      <c r="E41" s="32">
        <f>E43-(E22+E28+E33+E37)</f>
        <v>1159.6272428999982</v>
      </c>
      <c r="F41" s="33">
        <f>F43-(F22+F28+F33+F37)</f>
        <v>6.2205664194860191</v>
      </c>
      <c r="G41" s="17"/>
      <c r="H41" s="17"/>
      <c r="I41" s="17"/>
    </row>
    <row r="42" spans="1:9" ht="10.5" x14ac:dyDescent="0.25">
      <c r="A42" s="25"/>
      <c r="B42" s="25"/>
      <c r="C42" s="25"/>
      <c r="D42" s="31"/>
      <c r="E42" s="32"/>
      <c r="F42" s="33"/>
      <c r="G42" s="17"/>
      <c r="H42" s="17"/>
      <c r="I42" s="17"/>
    </row>
    <row r="43" spans="1:9" ht="10.5" x14ac:dyDescent="0.25">
      <c r="A43" s="34" t="s">
        <v>167</v>
      </c>
      <c r="B43" s="34"/>
      <c r="C43" s="34"/>
      <c r="D43" s="35"/>
      <c r="E43" s="36">
        <v>18641.8272019</v>
      </c>
      <c r="F43" s="37">
        <v>100</v>
      </c>
      <c r="G43" s="17"/>
      <c r="H43" s="17"/>
      <c r="I43" s="17"/>
    </row>
    <row r="45" spans="1:9" ht="10.5" x14ac:dyDescent="0.25">
      <c r="A45" s="17" t="s">
        <v>419</v>
      </c>
    </row>
    <row r="46" spans="1:9" ht="10.5" x14ac:dyDescent="0.25">
      <c r="A46" s="17" t="s">
        <v>170</v>
      </c>
    </row>
    <row r="48" spans="1:9" ht="10.5" x14ac:dyDescent="0.25">
      <c r="A48" s="17" t="s">
        <v>171</v>
      </c>
    </row>
    <row r="49" spans="1:4" ht="10.5" x14ac:dyDescent="0.25">
      <c r="A49" s="17" t="s">
        <v>172</v>
      </c>
    </row>
    <row r="50" spans="1:4" ht="10.5" x14ac:dyDescent="0.25">
      <c r="A50" s="17" t="s">
        <v>173</v>
      </c>
      <c r="B50" s="17"/>
      <c r="C50" s="38" t="s">
        <v>175</v>
      </c>
      <c r="D50" s="18" t="s">
        <v>174</v>
      </c>
    </row>
    <row r="51" spans="1:4" x14ac:dyDescent="0.2">
      <c r="A51" s="10" t="s">
        <v>436</v>
      </c>
      <c r="C51" s="39">
        <v>11.7522</v>
      </c>
      <c r="D51" s="39">
        <v>12.2834</v>
      </c>
    </row>
    <row r="52" spans="1:4" x14ac:dyDescent="0.2">
      <c r="A52" s="10" t="s">
        <v>734</v>
      </c>
      <c r="C52" s="39">
        <v>11.002000000000001</v>
      </c>
      <c r="D52" s="39">
        <v>10.5153</v>
      </c>
    </row>
    <row r="53" spans="1:4" x14ac:dyDescent="0.2">
      <c r="A53" s="10" t="s">
        <v>438</v>
      </c>
      <c r="C53" s="39">
        <v>10.238300000000001</v>
      </c>
      <c r="D53" s="39">
        <v>10.308</v>
      </c>
    </row>
    <row r="54" spans="1:4" x14ac:dyDescent="0.2">
      <c r="A54" s="10" t="s">
        <v>439</v>
      </c>
      <c r="C54" s="39">
        <v>11.822900000000001</v>
      </c>
      <c r="D54" s="39">
        <v>12.357200000000001</v>
      </c>
    </row>
    <row r="55" spans="1:4" x14ac:dyDescent="0.2">
      <c r="A55" s="10" t="s">
        <v>471</v>
      </c>
      <c r="C55" s="39">
        <v>11.073700000000001</v>
      </c>
      <c r="D55" s="39">
        <v>10.5916</v>
      </c>
    </row>
    <row r="56" spans="1:4" x14ac:dyDescent="0.2">
      <c r="A56" s="10" t="s">
        <v>441</v>
      </c>
      <c r="C56" s="39">
        <v>10.2973</v>
      </c>
      <c r="D56" s="39">
        <v>10.371</v>
      </c>
    </row>
    <row r="58" spans="1:4" ht="10.5" x14ac:dyDescent="0.25">
      <c r="A58" s="17" t="s">
        <v>185</v>
      </c>
    </row>
    <row r="59" spans="1:4" ht="12.5" x14ac:dyDescent="0.25">
      <c r="A59" s="100" t="s">
        <v>350</v>
      </c>
      <c r="B59" s="101"/>
      <c r="C59" s="98" t="s">
        <v>1658</v>
      </c>
      <c r="D59" s="99"/>
    </row>
    <row r="60" spans="1:4" ht="10.5" x14ac:dyDescent="0.25">
      <c r="A60" s="100"/>
      <c r="B60" s="101"/>
      <c r="C60" s="43" t="s">
        <v>351</v>
      </c>
      <c r="D60" s="44" t="s">
        <v>352</v>
      </c>
    </row>
    <row r="61" spans="1:4" x14ac:dyDescent="0.2">
      <c r="A61" s="94" t="s">
        <v>734</v>
      </c>
      <c r="B61" s="95"/>
      <c r="C61" s="45">
        <v>0.96999999999999986</v>
      </c>
      <c r="D61" s="45">
        <v>0.96999999999999986</v>
      </c>
    </row>
    <row r="62" spans="1:4" x14ac:dyDescent="0.2">
      <c r="A62" s="94" t="s">
        <v>438</v>
      </c>
      <c r="B62" s="95"/>
      <c r="C62" s="45">
        <v>0.39</v>
      </c>
      <c r="D62" s="45">
        <v>0.39</v>
      </c>
    </row>
    <row r="63" spans="1:4" x14ac:dyDescent="0.2">
      <c r="A63" s="94" t="s">
        <v>471</v>
      </c>
      <c r="B63" s="95"/>
      <c r="C63" s="45">
        <v>0.96999999999999986</v>
      </c>
      <c r="D63" s="45">
        <v>0.96999999999999986</v>
      </c>
    </row>
    <row r="64" spans="1:4" x14ac:dyDescent="0.2">
      <c r="A64" s="94" t="s">
        <v>441</v>
      </c>
      <c r="B64" s="95"/>
      <c r="C64" s="45">
        <v>0.39</v>
      </c>
      <c r="D64" s="45">
        <v>0.39</v>
      </c>
    </row>
    <row r="65" spans="1:5" x14ac:dyDescent="0.2">
      <c r="A65" s="90" t="s">
        <v>1657</v>
      </c>
    </row>
    <row r="67" spans="1:5" ht="10.5" x14ac:dyDescent="0.25">
      <c r="A67" s="17" t="s">
        <v>187</v>
      </c>
      <c r="D67" s="41">
        <v>0.49024015463013698</v>
      </c>
      <c r="E67" s="15" t="s">
        <v>188</v>
      </c>
    </row>
    <row r="69" spans="1:5" ht="10.5" x14ac:dyDescent="0.25">
      <c r="A69" s="17" t="s">
        <v>189</v>
      </c>
      <c r="D69" s="40" t="s">
        <v>186</v>
      </c>
    </row>
  </sheetData>
  <mergeCells count="8">
    <mergeCell ref="A63:B63"/>
    <mergeCell ref="A64:B64"/>
    <mergeCell ref="A1:F1"/>
    <mergeCell ref="C59:D59"/>
    <mergeCell ref="A59:B59"/>
    <mergeCell ref="A60:B60"/>
    <mergeCell ref="A61:B61"/>
    <mergeCell ref="A62:B62"/>
  </mergeCells>
  <conditionalFormatting sqref="F2:F3 F5:F65537">
    <cfRule type="cellIs" dxfId="42"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62"/>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30</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830</v>
      </c>
      <c r="B7" s="26" t="s">
        <v>829</v>
      </c>
      <c r="C7" s="26" t="s">
        <v>152</v>
      </c>
      <c r="D7" s="30">
        <v>61</v>
      </c>
      <c r="E7" s="28">
        <v>620.03815999999995</v>
      </c>
      <c r="F7" s="29">
        <v>10.776323019463501</v>
      </c>
    </row>
    <row r="8" spans="1:6" x14ac:dyDescent="0.2">
      <c r="A8" s="26" t="s">
        <v>798</v>
      </c>
      <c r="B8" s="26" t="s">
        <v>797</v>
      </c>
      <c r="C8" s="26" t="s">
        <v>152</v>
      </c>
      <c r="D8" s="30">
        <v>45</v>
      </c>
      <c r="E8" s="28">
        <v>563.23800000000006</v>
      </c>
      <c r="F8" s="29">
        <v>9.7891307606560201</v>
      </c>
    </row>
    <row r="9" spans="1:6" x14ac:dyDescent="0.2">
      <c r="A9" s="26" t="s">
        <v>822</v>
      </c>
      <c r="B9" s="26" t="s">
        <v>821</v>
      </c>
      <c r="C9" s="26" t="s">
        <v>152</v>
      </c>
      <c r="D9" s="30">
        <v>45</v>
      </c>
      <c r="E9" s="28">
        <v>560.16584999999998</v>
      </c>
      <c r="F9" s="29">
        <v>9.7357364973670499</v>
      </c>
    </row>
    <row r="10" spans="1:6" x14ac:dyDescent="0.2">
      <c r="A10" s="26" t="s">
        <v>816</v>
      </c>
      <c r="B10" s="26" t="s">
        <v>815</v>
      </c>
      <c r="C10" s="26" t="s">
        <v>532</v>
      </c>
      <c r="D10" s="30">
        <v>46</v>
      </c>
      <c r="E10" s="28">
        <v>468.58819999999997</v>
      </c>
      <c r="F10" s="29">
        <v>8.1441081082960203</v>
      </c>
    </row>
    <row r="11" spans="1:6" x14ac:dyDescent="0.2">
      <c r="A11" s="26" t="s">
        <v>836</v>
      </c>
      <c r="B11" s="26" t="s">
        <v>835</v>
      </c>
      <c r="C11" s="26" t="s">
        <v>152</v>
      </c>
      <c r="D11" s="30">
        <v>46</v>
      </c>
      <c r="E11" s="28">
        <v>465.5591</v>
      </c>
      <c r="F11" s="29">
        <v>8.0914620581589496</v>
      </c>
    </row>
    <row r="12" spans="1:6" x14ac:dyDescent="0.2">
      <c r="A12" s="26" t="s">
        <v>828</v>
      </c>
      <c r="B12" s="26" t="s">
        <v>827</v>
      </c>
      <c r="C12" s="26" t="s">
        <v>152</v>
      </c>
      <c r="D12" s="30">
        <v>45</v>
      </c>
      <c r="E12" s="28">
        <v>458.39429999999999</v>
      </c>
      <c r="F12" s="29">
        <v>7.9669371431604104</v>
      </c>
    </row>
    <row r="13" spans="1:6" x14ac:dyDescent="0.2">
      <c r="A13" s="26" t="s">
        <v>588</v>
      </c>
      <c r="B13" s="26" t="s">
        <v>587</v>
      </c>
      <c r="C13" s="26" t="s">
        <v>532</v>
      </c>
      <c r="D13" s="30">
        <v>34</v>
      </c>
      <c r="E13" s="28">
        <v>423.45334000000003</v>
      </c>
      <c r="F13" s="29">
        <v>7.3596598885311897</v>
      </c>
    </row>
    <row r="14" spans="1:6" x14ac:dyDescent="0.2">
      <c r="A14" s="26" t="s">
        <v>614</v>
      </c>
      <c r="B14" s="26" t="s">
        <v>613</v>
      </c>
      <c r="C14" s="26" t="s">
        <v>152</v>
      </c>
      <c r="D14" s="30">
        <v>38</v>
      </c>
      <c r="E14" s="28">
        <v>386.62871999999999</v>
      </c>
      <c r="F14" s="29">
        <v>6.7196444414351699</v>
      </c>
    </row>
    <row r="15" spans="1:6" x14ac:dyDescent="0.2">
      <c r="A15" s="26" t="s">
        <v>776</v>
      </c>
      <c r="B15" s="26" t="s">
        <v>775</v>
      </c>
      <c r="C15" s="26" t="s">
        <v>152</v>
      </c>
      <c r="D15" s="30">
        <v>28</v>
      </c>
      <c r="E15" s="28">
        <v>349.02112</v>
      </c>
      <c r="F15" s="29">
        <v>6.0660207264258004</v>
      </c>
    </row>
    <row r="16" spans="1:6" x14ac:dyDescent="0.2">
      <c r="A16" s="26" t="s">
        <v>281</v>
      </c>
      <c r="B16" s="26" t="s">
        <v>280</v>
      </c>
      <c r="C16" s="26" t="s">
        <v>282</v>
      </c>
      <c r="D16" s="30">
        <v>20</v>
      </c>
      <c r="E16" s="28">
        <v>247.8014</v>
      </c>
      <c r="F16" s="29">
        <v>4.3068122308395802</v>
      </c>
    </row>
    <row r="17" spans="1:9" x14ac:dyDescent="0.2">
      <c r="A17" s="26" t="s">
        <v>812</v>
      </c>
      <c r="B17" s="26" t="s">
        <v>811</v>
      </c>
      <c r="C17" s="26" t="s">
        <v>532</v>
      </c>
      <c r="D17" s="30">
        <v>20</v>
      </c>
      <c r="E17" s="28">
        <v>204.47280000000001</v>
      </c>
      <c r="F17" s="29">
        <v>3.5537569840768302</v>
      </c>
    </row>
    <row r="18" spans="1:9" x14ac:dyDescent="0.2">
      <c r="A18" s="26" t="s">
        <v>842</v>
      </c>
      <c r="B18" s="26" t="s">
        <v>841</v>
      </c>
      <c r="C18" s="26" t="s">
        <v>152</v>
      </c>
      <c r="D18" s="30">
        <v>17</v>
      </c>
      <c r="E18" s="28">
        <v>165.93037000000001</v>
      </c>
      <c r="F18" s="29">
        <v>2.8838858335091602</v>
      </c>
    </row>
    <row r="19" spans="1:9" x14ac:dyDescent="0.2">
      <c r="A19" s="26" t="s">
        <v>279</v>
      </c>
      <c r="B19" s="26" t="s">
        <v>278</v>
      </c>
      <c r="C19" s="26" t="s">
        <v>152</v>
      </c>
      <c r="D19" s="30">
        <v>1</v>
      </c>
      <c r="E19" s="28">
        <v>10.18155</v>
      </c>
      <c r="F19" s="29">
        <v>0.17695632094453401</v>
      </c>
    </row>
    <row r="20" spans="1:9" ht="10.5" x14ac:dyDescent="0.25">
      <c r="A20" s="25" t="s">
        <v>153</v>
      </c>
      <c r="B20" s="25"/>
      <c r="C20" s="25"/>
      <c r="D20" s="31"/>
      <c r="E20" s="32">
        <f>SUM(E6:E19)</f>
        <v>4923.4729100000013</v>
      </c>
      <c r="F20" s="33">
        <f>SUM(F6:F19)</f>
        <v>85.570434012864226</v>
      </c>
      <c r="G20" s="17"/>
      <c r="H20" s="17"/>
      <c r="I20" s="17"/>
    </row>
    <row r="21" spans="1:9" x14ac:dyDescent="0.2">
      <c r="A21" s="26"/>
      <c r="B21" s="26"/>
      <c r="C21" s="26"/>
      <c r="D21" s="27"/>
      <c r="E21" s="28"/>
      <c r="F21" s="29"/>
    </row>
    <row r="22" spans="1:9" ht="10.5" x14ac:dyDescent="0.25">
      <c r="A22" s="25" t="s">
        <v>154</v>
      </c>
      <c r="B22" s="26"/>
      <c r="C22" s="26"/>
      <c r="D22" s="27"/>
      <c r="E22" s="28"/>
      <c r="F22" s="29"/>
    </row>
    <row r="23" spans="1:9" x14ac:dyDescent="0.2">
      <c r="A23" s="26" t="s">
        <v>826</v>
      </c>
      <c r="B23" s="26" t="s">
        <v>825</v>
      </c>
      <c r="C23" s="26" t="s">
        <v>492</v>
      </c>
      <c r="D23" s="30">
        <v>45</v>
      </c>
      <c r="E23" s="28">
        <v>456.03809999999999</v>
      </c>
      <c r="F23" s="29">
        <v>7.9259861599201802</v>
      </c>
    </row>
    <row r="24" spans="1:9" x14ac:dyDescent="0.2">
      <c r="A24" s="26" t="s">
        <v>620</v>
      </c>
      <c r="B24" s="26" t="s">
        <v>619</v>
      </c>
      <c r="C24" s="26" t="s">
        <v>152</v>
      </c>
      <c r="D24" s="30">
        <v>6</v>
      </c>
      <c r="E24" s="28">
        <v>61.074179999999998</v>
      </c>
      <c r="F24" s="29">
        <v>1.06147513860898</v>
      </c>
    </row>
    <row r="25" spans="1:9" ht="10.5" x14ac:dyDescent="0.25">
      <c r="A25" s="25" t="s">
        <v>153</v>
      </c>
      <c r="B25" s="25"/>
      <c r="C25" s="25"/>
      <c r="D25" s="31"/>
      <c r="E25" s="32">
        <f>SUM(E22:E24)</f>
        <v>517.11227999999994</v>
      </c>
      <c r="F25" s="33">
        <f>SUM(F22:F24)</f>
        <v>8.9874612985291602</v>
      </c>
      <c r="G25" s="17"/>
      <c r="H25" s="17"/>
      <c r="I25" s="17"/>
    </row>
    <row r="26" spans="1:9" x14ac:dyDescent="0.2">
      <c r="A26" s="26"/>
      <c r="B26" s="26"/>
      <c r="C26" s="26"/>
      <c r="D26" s="27"/>
      <c r="E26" s="28"/>
      <c r="F26" s="29"/>
    </row>
    <row r="27" spans="1:9" ht="10.5" x14ac:dyDescent="0.25">
      <c r="A27" s="25" t="s">
        <v>362</v>
      </c>
      <c r="B27" s="26"/>
      <c r="C27" s="26"/>
      <c r="D27" s="27"/>
      <c r="E27" s="28"/>
      <c r="F27" s="29"/>
    </row>
    <row r="28" spans="1:9" ht="10.5" x14ac:dyDescent="0.25">
      <c r="A28" s="25" t="s">
        <v>363</v>
      </c>
      <c r="B28" s="26"/>
      <c r="C28" s="26"/>
      <c r="D28" s="27"/>
      <c r="E28" s="28"/>
      <c r="F28" s="29"/>
    </row>
    <row r="29" spans="1:9" x14ac:dyDescent="0.2">
      <c r="A29" s="26" t="s">
        <v>375</v>
      </c>
      <c r="B29" s="26" t="s">
        <v>374</v>
      </c>
      <c r="C29" s="26" t="s">
        <v>369</v>
      </c>
      <c r="D29" s="30">
        <v>87</v>
      </c>
      <c r="E29" s="28">
        <v>85.700828999999999</v>
      </c>
      <c r="F29" s="29">
        <v>1.4894886733097199</v>
      </c>
    </row>
    <row r="30" spans="1:9" ht="10.5" x14ac:dyDescent="0.25">
      <c r="A30" s="25" t="s">
        <v>153</v>
      </c>
      <c r="B30" s="25"/>
      <c r="C30" s="25"/>
      <c r="D30" s="31"/>
      <c r="E30" s="32">
        <f>SUM(E28:E29)</f>
        <v>85.700828999999999</v>
      </c>
      <c r="F30" s="33">
        <f>SUM(F28:F29)</f>
        <v>1.4894886733097199</v>
      </c>
      <c r="G30" s="17"/>
      <c r="H30" s="17"/>
      <c r="I30" s="17"/>
    </row>
    <row r="31" spans="1:9" x14ac:dyDescent="0.2">
      <c r="A31" s="26"/>
      <c r="B31" s="26"/>
      <c r="C31" s="26"/>
      <c r="D31" s="27"/>
      <c r="E31" s="28"/>
      <c r="F31" s="29"/>
    </row>
    <row r="32" spans="1:9" ht="10.5" x14ac:dyDescent="0.25">
      <c r="A32" s="25" t="s">
        <v>409</v>
      </c>
      <c r="B32" s="26"/>
      <c r="C32" s="26"/>
      <c r="D32" s="27"/>
      <c r="E32" s="28"/>
      <c r="F32" s="29"/>
    </row>
    <row r="33" spans="1:9" x14ac:dyDescent="0.2">
      <c r="A33" s="26" t="s">
        <v>411</v>
      </c>
      <c r="B33" s="26" t="s">
        <v>410</v>
      </c>
      <c r="C33" s="26" t="s">
        <v>412</v>
      </c>
      <c r="D33" s="30">
        <v>40000</v>
      </c>
      <c r="E33" s="28">
        <v>39.349119999999999</v>
      </c>
      <c r="F33" s="29">
        <v>0.68389150056769099</v>
      </c>
    </row>
    <row r="34" spans="1:9" ht="10.5" x14ac:dyDescent="0.25">
      <c r="A34" s="25" t="s">
        <v>153</v>
      </c>
      <c r="B34" s="25"/>
      <c r="C34" s="25"/>
      <c r="D34" s="31"/>
      <c r="E34" s="32">
        <f>SUM(E32:E33)</f>
        <v>39.349119999999999</v>
      </c>
      <c r="F34" s="33">
        <f>SUM(F32:F33)</f>
        <v>0.68389150056769099</v>
      </c>
      <c r="G34" s="17"/>
      <c r="H34" s="17"/>
      <c r="I34" s="17"/>
    </row>
    <row r="35" spans="1:9" x14ac:dyDescent="0.2">
      <c r="A35" s="26"/>
      <c r="B35" s="26"/>
      <c r="C35" s="26"/>
      <c r="D35" s="27"/>
      <c r="E35" s="28"/>
      <c r="F35" s="29"/>
    </row>
    <row r="36" spans="1:9" ht="10.5" x14ac:dyDescent="0.25">
      <c r="A36" s="25" t="s">
        <v>166</v>
      </c>
      <c r="B36" s="25"/>
      <c r="C36" s="25"/>
      <c r="D36" s="31"/>
      <c r="E36" s="32">
        <f>E20+E25+E30+E34</f>
        <v>5565.6351390000018</v>
      </c>
      <c r="F36" s="33">
        <f>F20+F25+F30+F34</f>
        <v>96.7312754852708</v>
      </c>
      <c r="G36" s="17"/>
      <c r="H36" s="17"/>
      <c r="I36" s="17"/>
    </row>
    <row r="37" spans="1:9" ht="10.5" x14ac:dyDescent="0.25">
      <c r="A37" s="25"/>
      <c r="B37" s="25"/>
      <c r="C37" s="25"/>
      <c r="D37" s="31"/>
      <c r="E37" s="32"/>
      <c r="F37" s="33"/>
      <c r="G37" s="17"/>
      <c r="H37" s="17"/>
      <c r="I37" s="17"/>
    </row>
    <row r="38" spans="1:9" ht="10.5" x14ac:dyDescent="0.25">
      <c r="A38" s="25" t="s">
        <v>168</v>
      </c>
      <c r="B38" s="25"/>
      <c r="C38" s="25"/>
      <c r="D38" s="31"/>
      <c r="E38" s="32">
        <f>E40-(E20+E25+E30+E34)</f>
        <v>188.07286399999794</v>
      </c>
      <c r="F38" s="33">
        <f>F40-(F20+F25+F30+F34)</f>
        <v>3.2687245147292003</v>
      </c>
      <c r="G38" s="17"/>
      <c r="H38" s="17"/>
      <c r="I38" s="17"/>
    </row>
    <row r="39" spans="1:9" ht="10.5" x14ac:dyDescent="0.25">
      <c r="A39" s="25"/>
      <c r="B39" s="25"/>
      <c r="C39" s="25"/>
      <c r="D39" s="31"/>
      <c r="E39" s="32"/>
      <c r="F39" s="33"/>
      <c r="G39" s="17"/>
      <c r="H39" s="17"/>
      <c r="I39" s="17"/>
    </row>
    <row r="40" spans="1:9" ht="10.5" x14ac:dyDescent="0.25">
      <c r="A40" s="34" t="s">
        <v>167</v>
      </c>
      <c r="B40" s="34"/>
      <c r="C40" s="34"/>
      <c r="D40" s="35"/>
      <c r="E40" s="36">
        <v>5753.7080029999997</v>
      </c>
      <c r="F40" s="37">
        <v>100</v>
      </c>
      <c r="G40" s="17"/>
      <c r="H40" s="17"/>
      <c r="I40" s="17"/>
    </row>
    <row r="42" spans="1:9" ht="10.5" x14ac:dyDescent="0.25">
      <c r="A42" s="17" t="s">
        <v>170</v>
      </c>
    </row>
    <row r="44" spans="1:9" ht="10.5" x14ac:dyDescent="0.25">
      <c r="A44" s="17" t="s">
        <v>171</v>
      </c>
    </row>
    <row r="45" spans="1:9" ht="10.5" x14ac:dyDescent="0.25">
      <c r="A45" s="17" t="s">
        <v>172</v>
      </c>
    </row>
    <row r="46" spans="1:9" ht="10.5" x14ac:dyDescent="0.25">
      <c r="A46" s="17" t="s">
        <v>173</v>
      </c>
      <c r="B46" s="17"/>
      <c r="C46" s="38" t="s">
        <v>175</v>
      </c>
      <c r="D46" s="18" t="s">
        <v>174</v>
      </c>
    </row>
    <row r="47" spans="1:9" x14ac:dyDescent="0.2">
      <c r="A47" s="10" t="s">
        <v>436</v>
      </c>
      <c r="C47" s="39">
        <v>11.6854</v>
      </c>
      <c r="D47" s="39">
        <v>12.212</v>
      </c>
    </row>
    <row r="48" spans="1:9" x14ac:dyDescent="0.2">
      <c r="A48" s="10" t="s">
        <v>734</v>
      </c>
      <c r="C48" s="39">
        <v>10.1601</v>
      </c>
      <c r="D48" s="39">
        <v>10.617800000000001</v>
      </c>
    </row>
    <row r="49" spans="1:5" x14ac:dyDescent="0.2">
      <c r="A49" s="10" t="s">
        <v>438</v>
      </c>
      <c r="C49" s="39">
        <v>10.147399999999999</v>
      </c>
      <c r="D49" s="39">
        <v>10.236599999999999</v>
      </c>
    </row>
    <row r="50" spans="1:5" x14ac:dyDescent="0.2">
      <c r="A50" s="10" t="s">
        <v>439</v>
      </c>
      <c r="C50" s="39">
        <v>11.755800000000001</v>
      </c>
      <c r="D50" s="39">
        <v>12.285500000000001</v>
      </c>
    </row>
    <row r="51" spans="1:5" x14ac:dyDescent="0.2">
      <c r="A51" s="10" t="s">
        <v>441</v>
      </c>
      <c r="C51" s="39">
        <v>10.2059</v>
      </c>
      <c r="D51" s="39">
        <v>10.297800000000001</v>
      </c>
    </row>
    <row r="53" spans="1:5" ht="10.5" x14ac:dyDescent="0.25">
      <c r="A53" s="17" t="s">
        <v>185</v>
      </c>
    </row>
    <row r="54" spans="1:5" ht="12.5" x14ac:dyDescent="0.25">
      <c r="A54" s="100" t="s">
        <v>350</v>
      </c>
      <c r="B54" s="101"/>
      <c r="C54" s="98" t="s">
        <v>1658</v>
      </c>
      <c r="D54" s="99"/>
    </row>
    <row r="55" spans="1:5" ht="10.5" x14ac:dyDescent="0.25">
      <c r="A55" s="100"/>
      <c r="B55" s="101"/>
      <c r="C55" s="43" t="s">
        <v>351</v>
      </c>
      <c r="D55" s="44" t="s">
        <v>352</v>
      </c>
    </row>
    <row r="56" spans="1:5" x14ac:dyDescent="0.2">
      <c r="A56" s="94" t="s">
        <v>438</v>
      </c>
      <c r="B56" s="95"/>
      <c r="C56" s="45">
        <v>0.36499999999999999</v>
      </c>
      <c r="D56" s="45">
        <v>0.36499999999999999</v>
      </c>
    </row>
    <row r="57" spans="1:5" x14ac:dyDescent="0.2">
      <c r="A57" s="94" t="s">
        <v>441</v>
      </c>
      <c r="B57" s="95"/>
      <c r="C57" s="45">
        <v>0.36499999999999999</v>
      </c>
      <c r="D57" s="45">
        <v>0.36499999999999999</v>
      </c>
    </row>
    <row r="58" spans="1:5" x14ac:dyDescent="0.2">
      <c r="A58" s="90" t="s">
        <v>1657</v>
      </c>
    </row>
    <row r="60" spans="1:5" ht="10.5" x14ac:dyDescent="0.25">
      <c r="A60" s="17" t="s">
        <v>187</v>
      </c>
      <c r="D60" s="41">
        <v>0.46827902410958899</v>
      </c>
      <c r="E60" s="15" t="s">
        <v>188</v>
      </c>
    </row>
    <row r="62" spans="1:5" ht="10.5" x14ac:dyDescent="0.25">
      <c r="A62" s="17" t="s">
        <v>189</v>
      </c>
      <c r="D62" s="40" t="s">
        <v>186</v>
      </c>
    </row>
  </sheetData>
  <mergeCells count="6">
    <mergeCell ref="A57:B57"/>
    <mergeCell ref="A1:F1"/>
    <mergeCell ref="C54:D54"/>
    <mergeCell ref="A54:B54"/>
    <mergeCell ref="A55:B55"/>
    <mergeCell ref="A56:B56"/>
  </mergeCells>
  <conditionalFormatting sqref="F2:F3 F5:F65537">
    <cfRule type="cellIs" dxfId="41"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68"/>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31</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830</v>
      </c>
      <c r="B7" s="26" t="s">
        <v>829</v>
      </c>
      <c r="C7" s="26" t="s">
        <v>152</v>
      </c>
      <c r="D7" s="30">
        <v>132</v>
      </c>
      <c r="E7" s="28">
        <v>1341.72192</v>
      </c>
      <c r="F7" s="29">
        <v>10.666620008737601</v>
      </c>
    </row>
    <row r="8" spans="1:6" x14ac:dyDescent="0.2">
      <c r="A8" s="26" t="s">
        <v>798</v>
      </c>
      <c r="B8" s="26" t="s">
        <v>797</v>
      </c>
      <c r="C8" s="26" t="s">
        <v>152</v>
      </c>
      <c r="D8" s="30">
        <v>100</v>
      </c>
      <c r="E8" s="28">
        <v>1251.6400000000001</v>
      </c>
      <c r="F8" s="29">
        <v>9.9504733944693502</v>
      </c>
    </row>
    <row r="9" spans="1:6" x14ac:dyDescent="0.2">
      <c r="A9" s="26" t="s">
        <v>614</v>
      </c>
      <c r="B9" s="26" t="s">
        <v>613</v>
      </c>
      <c r="C9" s="26" t="s">
        <v>152</v>
      </c>
      <c r="D9" s="30">
        <v>110</v>
      </c>
      <c r="E9" s="28">
        <v>1119.1884</v>
      </c>
      <c r="F9" s="29">
        <v>8.8974900111842992</v>
      </c>
    </row>
    <row r="10" spans="1:6" x14ac:dyDescent="0.2">
      <c r="A10" s="26" t="s">
        <v>822</v>
      </c>
      <c r="B10" s="26" t="s">
        <v>821</v>
      </c>
      <c r="C10" s="26" t="s">
        <v>152</v>
      </c>
      <c r="D10" s="30">
        <v>84</v>
      </c>
      <c r="E10" s="28">
        <v>1045.64292</v>
      </c>
      <c r="F10" s="29">
        <v>8.3128072413595309</v>
      </c>
    </row>
    <row r="11" spans="1:6" x14ac:dyDescent="0.2">
      <c r="A11" s="26" t="s">
        <v>812</v>
      </c>
      <c r="B11" s="26" t="s">
        <v>811</v>
      </c>
      <c r="C11" s="26" t="s">
        <v>532</v>
      </c>
      <c r="D11" s="30">
        <v>101</v>
      </c>
      <c r="E11" s="28">
        <v>1032.58764</v>
      </c>
      <c r="F11" s="29">
        <v>8.2090184392300394</v>
      </c>
    </row>
    <row r="12" spans="1:6" x14ac:dyDescent="0.2">
      <c r="A12" s="26" t="s">
        <v>776</v>
      </c>
      <c r="B12" s="26" t="s">
        <v>775</v>
      </c>
      <c r="C12" s="26" t="s">
        <v>152</v>
      </c>
      <c r="D12" s="30">
        <v>77</v>
      </c>
      <c r="E12" s="28">
        <v>959.80808000000002</v>
      </c>
      <c r="F12" s="29">
        <v>7.6304246938710101</v>
      </c>
    </row>
    <row r="13" spans="1:6" x14ac:dyDescent="0.2">
      <c r="A13" s="26" t="s">
        <v>588</v>
      </c>
      <c r="B13" s="26" t="s">
        <v>587</v>
      </c>
      <c r="C13" s="26" t="s">
        <v>532</v>
      </c>
      <c r="D13" s="30">
        <v>70</v>
      </c>
      <c r="E13" s="28">
        <v>871.81569999999999</v>
      </c>
      <c r="F13" s="29">
        <v>6.9308898147475899</v>
      </c>
    </row>
    <row r="14" spans="1:6" x14ac:dyDescent="0.2">
      <c r="A14" s="26" t="s">
        <v>844</v>
      </c>
      <c r="B14" s="26" t="s">
        <v>843</v>
      </c>
      <c r="C14" s="26" t="s">
        <v>152</v>
      </c>
      <c r="D14" s="30">
        <v>75</v>
      </c>
      <c r="E14" s="28">
        <v>763.24275</v>
      </c>
      <c r="F14" s="29">
        <v>6.0677404664253496</v>
      </c>
    </row>
    <row r="15" spans="1:6" x14ac:dyDescent="0.2">
      <c r="A15" s="26" t="s">
        <v>846</v>
      </c>
      <c r="B15" s="26" t="s">
        <v>845</v>
      </c>
      <c r="C15" s="26" t="s">
        <v>532</v>
      </c>
      <c r="D15" s="30">
        <v>56</v>
      </c>
      <c r="E15" s="28">
        <v>567.51855999999998</v>
      </c>
      <c r="F15" s="29">
        <v>4.5117432585628103</v>
      </c>
    </row>
    <row r="16" spans="1:6" x14ac:dyDescent="0.2">
      <c r="A16" s="26" t="s">
        <v>600</v>
      </c>
      <c r="B16" s="26" t="s">
        <v>599</v>
      </c>
      <c r="C16" s="26" t="s">
        <v>152</v>
      </c>
      <c r="D16" s="30">
        <v>45</v>
      </c>
      <c r="E16" s="28">
        <v>453.45150000000001</v>
      </c>
      <c r="F16" s="29">
        <v>3.60491601932842</v>
      </c>
    </row>
    <row r="17" spans="1:9" x14ac:dyDescent="0.2">
      <c r="A17" s="26" t="s">
        <v>828</v>
      </c>
      <c r="B17" s="26" t="s">
        <v>827</v>
      </c>
      <c r="C17" s="26" t="s">
        <v>152</v>
      </c>
      <c r="D17" s="30">
        <v>27</v>
      </c>
      <c r="E17" s="28">
        <v>275.03658000000001</v>
      </c>
      <c r="F17" s="29">
        <v>2.1865266145184199</v>
      </c>
    </row>
    <row r="18" spans="1:9" x14ac:dyDescent="0.2">
      <c r="A18" s="26" t="s">
        <v>820</v>
      </c>
      <c r="B18" s="26" t="s">
        <v>819</v>
      </c>
      <c r="C18" s="26" t="s">
        <v>152</v>
      </c>
      <c r="D18" s="30">
        <v>11</v>
      </c>
      <c r="E18" s="28">
        <v>112.82612</v>
      </c>
      <c r="F18" s="29">
        <v>0.89696183028762699</v>
      </c>
    </row>
    <row r="19" spans="1:9" x14ac:dyDescent="0.2">
      <c r="A19" s="26" t="s">
        <v>281</v>
      </c>
      <c r="B19" s="26" t="s">
        <v>280</v>
      </c>
      <c r="C19" s="26" t="s">
        <v>282</v>
      </c>
      <c r="D19" s="30">
        <v>9</v>
      </c>
      <c r="E19" s="28">
        <v>111.51063000000001</v>
      </c>
      <c r="F19" s="29">
        <v>0.88650375268888504</v>
      </c>
    </row>
    <row r="20" spans="1:9" x14ac:dyDescent="0.2">
      <c r="A20" s="26" t="s">
        <v>848</v>
      </c>
      <c r="B20" s="26" t="s">
        <v>847</v>
      </c>
      <c r="C20" s="26" t="s">
        <v>152</v>
      </c>
      <c r="D20" s="30">
        <v>8</v>
      </c>
      <c r="E20" s="28">
        <v>81.418639999999996</v>
      </c>
      <c r="F20" s="29">
        <v>0.64727398543820702</v>
      </c>
    </row>
    <row r="21" spans="1:9" x14ac:dyDescent="0.2">
      <c r="A21" s="26" t="s">
        <v>836</v>
      </c>
      <c r="B21" s="26" t="s">
        <v>835</v>
      </c>
      <c r="C21" s="26" t="s">
        <v>152</v>
      </c>
      <c r="D21" s="30">
        <v>4</v>
      </c>
      <c r="E21" s="28">
        <v>40.483400000000003</v>
      </c>
      <c r="F21" s="29">
        <v>0.32184094038034899</v>
      </c>
    </row>
    <row r="22" spans="1:9" x14ac:dyDescent="0.2">
      <c r="A22" s="26" t="s">
        <v>850</v>
      </c>
      <c r="B22" s="26" t="s">
        <v>849</v>
      </c>
      <c r="C22" s="26" t="s">
        <v>152</v>
      </c>
      <c r="D22" s="30">
        <v>3</v>
      </c>
      <c r="E22" s="28">
        <v>38.408962500000001</v>
      </c>
      <c r="F22" s="29">
        <v>0.305349269330975</v>
      </c>
    </row>
    <row r="23" spans="1:9" x14ac:dyDescent="0.2">
      <c r="A23" s="26" t="s">
        <v>816</v>
      </c>
      <c r="B23" s="26" t="s">
        <v>815</v>
      </c>
      <c r="C23" s="26" t="s">
        <v>532</v>
      </c>
      <c r="D23" s="30">
        <v>1</v>
      </c>
      <c r="E23" s="28">
        <v>10.1867</v>
      </c>
      <c r="F23" s="29">
        <v>8.0983739196127405E-2</v>
      </c>
    </row>
    <row r="24" spans="1:9" x14ac:dyDescent="0.2">
      <c r="A24" s="26" t="s">
        <v>279</v>
      </c>
      <c r="B24" s="26" t="s">
        <v>278</v>
      </c>
      <c r="C24" s="26" t="s">
        <v>152</v>
      </c>
      <c r="D24" s="30">
        <v>1</v>
      </c>
      <c r="E24" s="28">
        <v>10.18155</v>
      </c>
      <c r="F24" s="29">
        <v>8.0942796961953403E-2</v>
      </c>
    </row>
    <row r="25" spans="1:9" ht="10.5" x14ac:dyDescent="0.25">
      <c r="A25" s="25" t="s">
        <v>153</v>
      </c>
      <c r="B25" s="25"/>
      <c r="C25" s="25"/>
      <c r="D25" s="31"/>
      <c r="E25" s="32">
        <f>SUM(E6:E24)</f>
        <v>10086.670052499998</v>
      </c>
      <c r="F25" s="33">
        <f>SUM(F6:F24)</f>
        <v>80.188506276718527</v>
      </c>
      <c r="G25" s="17"/>
      <c r="H25" s="17"/>
      <c r="I25" s="17"/>
    </row>
    <row r="26" spans="1:9" x14ac:dyDescent="0.2">
      <c r="A26" s="26"/>
      <c r="B26" s="26"/>
      <c r="C26" s="26"/>
      <c r="D26" s="27"/>
      <c r="E26" s="28"/>
      <c r="F26" s="29"/>
    </row>
    <row r="27" spans="1:9" ht="10.5" x14ac:dyDescent="0.25">
      <c r="A27" s="25" t="s">
        <v>154</v>
      </c>
      <c r="B27" s="26"/>
      <c r="C27" s="26"/>
      <c r="D27" s="27"/>
      <c r="E27" s="28"/>
      <c r="F27" s="29"/>
    </row>
    <row r="28" spans="1:9" x14ac:dyDescent="0.2">
      <c r="A28" s="26" t="s">
        <v>826</v>
      </c>
      <c r="B28" s="26" t="s">
        <v>825</v>
      </c>
      <c r="C28" s="26" t="s">
        <v>492</v>
      </c>
      <c r="D28" s="30">
        <v>100</v>
      </c>
      <c r="E28" s="28">
        <v>1013.418</v>
      </c>
      <c r="F28" s="29">
        <v>8.0566207907036702</v>
      </c>
    </row>
    <row r="29" spans="1:9" x14ac:dyDescent="0.2">
      <c r="A29" s="26" t="s">
        <v>852</v>
      </c>
      <c r="B29" s="26" t="s">
        <v>851</v>
      </c>
      <c r="C29" s="26" t="s">
        <v>152</v>
      </c>
      <c r="D29" s="30">
        <v>72</v>
      </c>
      <c r="E29" s="28">
        <v>732.14639999999997</v>
      </c>
      <c r="F29" s="29">
        <v>5.8205260890164201</v>
      </c>
    </row>
    <row r="30" spans="1:9" ht="10.5" x14ac:dyDescent="0.25">
      <c r="A30" s="25" t="s">
        <v>153</v>
      </c>
      <c r="B30" s="25"/>
      <c r="C30" s="25"/>
      <c r="D30" s="31"/>
      <c r="E30" s="32">
        <f>SUM(E27:E29)</f>
        <v>1745.5644</v>
      </c>
      <c r="F30" s="33">
        <f>SUM(F27:F29)</f>
        <v>13.87714687972009</v>
      </c>
      <c r="G30" s="17"/>
      <c r="H30" s="17"/>
      <c r="I30" s="17"/>
    </row>
    <row r="31" spans="1:9" x14ac:dyDescent="0.2">
      <c r="A31" s="26"/>
      <c r="B31" s="26"/>
      <c r="C31" s="26"/>
      <c r="D31" s="27"/>
      <c r="E31" s="28"/>
      <c r="F31" s="29"/>
    </row>
    <row r="32" spans="1:9" ht="10.5" x14ac:dyDescent="0.25">
      <c r="A32" s="25" t="s">
        <v>362</v>
      </c>
      <c r="B32" s="26"/>
      <c r="C32" s="26"/>
      <c r="D32" s="27"/>
      <c r="E32" s="28"/>
      <c r="F32" s="29"/>
    </row>
    <row r="33" spans="1:9" ht="10.5" x14ac:dyDescent="0.25">
      <c r="A33" s="25" t="s">
        <v>363</v>
      </c>
      <c r="B33" s="26"/>
      <c r="C33" s="26"/>
      <c r="D33" s="27"/>
      <c r="E33" s="28"/>
      <c r="F33" s="29"/>
    </row>
    <row r="34" spans="1:9" x14ac:dyDescent="0.2">
      <c r="A34" s="26" t="s">
        <v>375</v>
      </c>
      <c r="B34" s="26" t="s">
        <v>374</v>
      </c>
      <c r="C34" s="26" t="s">
        <v>369</v>
      </c>
      <c r="D34" s="30">
        <v>117</v>
      </c>
      <c r="E34" s="28">
        <v>115.25283899999999</v>
      </c>
      <c r="F34" s="29">
        <v>0.91625412107839299</v>
      </c>
    </row>
    <row r="35" spans="1:9" ht="10.5" x14ac:dyDescent="0.25">
      <c r="A35" s="25" t="s">
        <v>153</v>
      </c>
      <c r="B35" s="25"/>
      <c r="C35" s="25"/>
      <c r="D35" s="31"/>
      <c r="E35" s="32">
        <f>SUM(E33:E34)</f>
        <v>115.25283899999999</v>
      </c>
      <c r="F35" s="33">
        <f>SUM(F33:F34)</f>
        <v>0.91625412107839299</v>
      </c>
      <c r="G35" s="17"/>
      <c r="H35" s="17"/>
      <c r="I35" s="17"/>
    </row>
    <row r="36" spans="1:9" x14ac:dyDescent="0.2">
      <c r="A36" s="26"/>
      <c r="B36" s="26"/>
      <c r="C36" s="26"/>
      <c r="D36" s="27"/>
      <c r="E36" s="28"/>
      <c r="F36" s="29"/>
    </row>
    <row r="37" spans="1:9" ht="10.5" x14ac:dyDescent="0.25">
      <c r="A37" s="25" t="s">
        <v>409</v>
      </c>
      <c r="B37" s="26"/>
      <c r="C37" s="26"/>
      <c r="D37" s="27"/>
      <c r="E37" s="28"/>
      <c r="F37" s="29"/>
    </row>
    <row r="38" spans="1:9" x14ac:dyDescent="0.2">
      <c r="A38" s="26" t="s">
        <v>411</v>
      </c>
      <c r="B38" s="26" t="s">
        <v>410</v>
      </c>
      <c r="C38" s="26" t="s">
        <v>412</v>
      </c>
      <c r="D38" s="30">
        <v>77000</v>
      </c>
      <c r="E38" s="28">
        <v>75.747056000000001</v>
      </c>
      <c r="F38" s="29">
        <v>0.60218518538667698</v>
      </c>
    </row>
    <row r="39" spans="1:9" ht="10.5" x14ac:dyDescent="0.25">
      <c r="A39" s="25" t="s">
        <v>153</v>
      </c>
      <c r="B39" s="25"/>
      <c r="C39" s="25"/>
      <c r="D39" s="31"/>
      <c r="E39" s="32">
        <f>SUM(E37:E38)</f>
        <v>75.747056000000001</v>
      </c>
      <c r="F39" s="33">
        <f>SUM(F37:F38)</f>
        <v>0.60218518538667698</v>
      </c>
      <c r="G39" s="17"/>
      <c r="H39" s="17"/>
      <c r="I39" s="17"/>
    </row>
    <row r="40" spans="1:9" x14ac:dyDescent="0.2">
      <c r="A40" s="26"/>
      <c r="B40" s="26"/>
      <c r="C40" s="26"/>
      <c r="D40" s="27"/>
      <c r="E40" s="28"/>
      <c r="F40" s="29"/>
    </row>
    <row r="41" spans="1:9" ht="10.5" x14ac:dyDescent="0.25">
      <c r="A41" s="25" t="s">
        <v>166</v>
      </c>
      <c r="B41" s="25"/>
      <c r="C41" s="25"/>
      <c r="D41" s="31"/>
      <c r="E41" s="32">
        <f>E25+E30+E35+E39</f>
        <v>12023.234347499998</v>
      </c>
      <c r="F41" s="33">
        <f>F25+F30+F35+F39</f>
        <v>95.584092462903683</v>
      </c>
      <c r="G41" s="17"/>
      <c r="H41" s="17"/>
      <c r="I41" s="17"/>
    </row>
    <row r="42" spans="1:9" ht="10.5" x14ac:dyDescent="0.25">
      <c r="A42" s="25"/>
      <c r="B42" s="25"/>
      <c r="C42" s="25"/>
      <c r="D42" s="31"/>
      <c r="E42" s="32"/>
      <c r="F42" s="33"/>
      <c r="G42" s="17"/>
      <c r="H42" s="17"/>
      <c r="I42" s="17"/>
    </row>
    <row r="43" spans="1:9" ht="10.5" x14ac:dyDescent="0.25">
      <c r="A43" s="25" t="s">
        <v>168</v>
      </c>
      <c r="B43" s="25"/>
      <c r="C43" s="25"/>
      <c r="D43" s="31"/>
      <c r="E43" s="32">
        <f>E45-(E25+E30+E35+E39)</f>
        <v>555.46367400000236</v>
      </c>
      <c r="F43" s="33">
        <f>F45-(F25+F30+F35+F39)</f>
        <v>4.4159075370963166</v>
      </c>
      <c r="G43" s="17"/>
      <c r="H43" s="17"/>
      <c r="I43" s="17"/>
    </row>
    <row r="44" spans="1:9" ht="10.5" x14ac:dyDescent="0.25">
      <c r="A44" s="25"/>
      <c r="B44" s="25"/>
      <c r="C44" s="25"/>
      <c r="D44" s="31"/>
      <c r="E44" s="32"/>
      <c r="F44" s="33"/>
      <c r="G44" s="17"/>
      <c r="H44" s="17"/>
      <c r="I44" s="17"/>
    </row>
    <row r="45" spans="1:9" ht="10.5" x14ac:dyDescent="0.25">
      <c r="A45" s="34" t="s">
        <v>167</v>
      </c>
      <c r="B45" s="34"/>
      <c r="C45" s="34"/>
      <c r="D45" s="35"/>
      <c r="E45" s="36">
        <v>12578.6980215</v>
      </c>
      <c r="F45" s="37">
        <v>100</v>
      </c>
      <c r="G45" s="17"/>
      <c r="H45" s="17"/>
      <c r="I45" s="17"/>
    </row>
    <row r="47" spans="1:9" ht="10.5" x14ac:dyDescent="0.25">
      <c r="A47" s="17" t="s">
        <v>170</v>
      </c>
    </row>
    <row r="49" spans="1:4" ht="10.5" x14ac:dyDescent="0.25">
      <c r="A49" s="17" t="s">
        <v>171</v>
      </c>
    </row>
    <row r="50" spans="1:4" ht="10.5" x14ac:dyDescent="0.25">
      <c r="A50" s="17" t="s">
        <v>172</v>
      </c>
    </row>
    <row r="51" spans="1:4" ht="10.5" x14ac:dyDescent="0.25">
      <c r="A51" s="17" t="s">
        <v>173</v>
      </c>
      <c r="B51" s="17"/>
      <c r="C51" s="38" t="s">
        <v>175</v>
      </c>
      <c r="D51" s="18" t="s">
        <v>174</v>
      </c>
    </row>
    <row r="52" spans="1:4" x14ac:dyDescent="0.2">
      <c r="A52" s="10" t="s">
        <v>436</v>
      </c>
      <c r="C52" s="39">
        <v>11.7096</v>
      </c>
      <c r="D52" s="39">
        <v>12.2339</v>
      </c>
    </row>
    <row r="53" spans="1:4" x14ac:dyDescent="0.2">
      <c r="A53" s="10" t="s">
        <v>734</v>
      </c>
      <c r="C53" s="39">
        <v>10.158799999999999</v>
      </c>
      <c r="D53" s="39">
        <v>10.6136</v>
      </c>
    </row>
    <row r="54" spans="1:4" x14ac:dyDescent="0.2">
      <c r="A54" s="10" t="s">
        <v>438</v>
      </c>
      <c r="C54" s="39">
        <v>10.1486</v>
      </c>
      <c r="D54" s="39">
        <v>10.235099999999999</v>
      </c>
    </row>
    <row r="55" spans="1:4" x14ac:dyDescent="0.2">
      <c r="A55" s="10" t="s">
        <v>439</v>
      </c>
      <c r="C55" s="39">
        <v>11.780099999999999</v>
      </c>
      <c r="D55" s="39">
        <v>12.307499999999999</v>
      </c>
    </row>
    <row r="56" spans="1:4" x14ac:dyDescent="0.2">
      <c r="A56" s="10" t="s">
        <v>471</v>
      </c>
      <c r="C56" s="39">
        <v>10.2293</v>
      </c>
      <c r="D56" s="39">
        <v>10.687799999999999</v>
      </c>
    </row>
    <row r="57" spans="1:4" x14ac:dyDescent="0.2">
      <c r="A57" s="10" t="s">
        <v>441</v>
      </c>
      <c r="C57" s="39">
        <v>10.184100000000001</v>
      </c>
      <c r="D57" s="39">
        <v>10.2721</v>
      </c>
    </row>
    <row r="59" spans="1:4" ht="10.5" x14ac:dyDescent="0.25">
      <c r="A59" s="17" t="s">
        <v>185</v>
      </c>
    </row>
    <row r="60" spans="1:4" ht="12.5" x14ac:dyDescent="0.25">
      <c r="A60" s="100" t="s">
        <v>350</v>
      </c>
      <c r="B60" s="101"/>
      <c r="C60" s="98" t="s">
        <v>1658</v>
      </c>
      <c r="D60" s="99"/>
    </row>
    <row r="61" spans="1:4" ht="10.5" x14ac:dyDescent="0.25">
      <c r="A61" s="100"/>
      <c r="B61" s="101"/>
      <c r="C61" s="43" t="s">
        <v>351</v>
      </c>
      <c r="D61" s="44" t="s">
        <v>352</v>
      </c>
    </row>
    <row r="62" spans="1:4" x14ac:dyDescent="0.2">
      <c r="A62" s="94" t="s">
        <v>438</v>
      </c>
      <c r="B62" s="95"/>
      <c r="C62" s="45">
        <v>0.36499999999999999</v>
      </c>
      <c r="D62" s="45">
        <v>0.36499999999999999</v>
      </c>
    </row>
    <row r="63" spans="1:4" x14ac:dyDescent="0.2">
      <c r="A63" s="94" t="s">
        <v>441</v>
      </c>
      <c r="B63" s="95"/>
      <c r="C63" s="45">
        <v>0.36499999999999999</v>
      </c>
      <c r="D63" s="45">
        <v>0.36499999999999999</v>
      </c>
    </row>
    <row r="64" spans="1:4" x14ac:dyDescent="0.2">
      <c r="A64" s="90" t="s">
        <v>1657</v>
      </c>
    </row>
    <row r="66" spans="1:5" ht="10.5" x14ac:dyDescent="0.25">
      <c r="A66" s="17" t="s">
        <v>187</v>
      </c>
      <c r="D66" s="41">
        <v>0.451104394082192</v>
      </c>
      <c r="E66" s="15" t="s">
        <v>188</v>
      </c>
    </row>
    <row r="68" spans="1:5" ht="10.5" x14ac:dyDescent="0.25">
      <c r="A68" s="17" t="s">
        <v>189</v>
      </c>
      <c r="D68" s="40" t="s">
        <v>186</v>
      </c>
    </row>
  </sheetData>
  <mergeCells count="6">
    <mergeCell ref="A63:B63"/>
    <mergeCell ref="A1:F1"/>
    <mergeCell ref="C60:D60"/>
    <mergeCell ref="A60:B60"/>
    <mergeCell ref="A61:B61"/>
    <mergeCell ref="A62:B62"/>
  </mergeCells>
  <conditionalFormatting sqref="F2:F3 F5:F65537">
    <cfRule type="cellIs" dxfId="40"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63"/>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1.1796875"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32</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798</v>
      </c>
      <c r="B7" s="26" t="s">
        <v>797</v>
      </c>
      <c r="C7" s="26" t="s">
        <v>152</v>
      </c>
      <c r="D7" s="30">
        <v>61</v>
      </c>
      <c r="E7" s="28">
        <v>763.50040000000001</v>
      </c>
      <c r="F7" s="29">
        <v>9.9967756931140492</v>
      </c>
    </row>
    <row r="8" spans="1:6" x14ac:dyDescent="0.2">
      <c r="A8" s="26" t="s">
        <v>812</v>
      </c>
      <c r="B8" s="26" t="s">
        <v>811</v>
      </c>
      <c r="C8" s="26" t="s">
        <v>532</v>
      </c>
      <c r="D8" s="30">
        <v>61</v>
      </c>
      <c r="E8" s="28">
        <v>623.64203999999995</v>
      </c>
      <c r="F8" s="29">
        <v>8.1655616508859197</v>
      </c>
    </row>
    <row r="9" spans="1:6" x14ac:dyDescent="0.2">
      <c r="A9" s="26" t="s">
        <v>848</v>
      </c>
      <c r="B9" s="26" t="s">
        <v>847</v>
      </c>
      <c r="C9" s="26" t="s">
        <v>152</v>
      </c>
      <c r="D9" s="30">
        <v>61</v>
      </c>
      <c r="E9" s="28">
        <v>620.81713000000002</v>
      </c>
      <c r="F9" s="29">
        <v>8.1285741239334293</v>
      </c>
    </row>
    <row r="10" spans="1:6" x14ac:dyDescent="0.2">
      <c r="A10" s="26" t="s">
        <v>844</v>
      </c>
      <c r="B10" s="26" t="s">
        <v>843</v>
      </c>
      <c r="C10" s="26" t="s">
        <v>152</v>
      </c>
      <c r="D10" s="30">
        <v>61</v>
      </c>
      <c r="E10" s="28">
        <v>620.77076999999997</v>
      </c>
      <c r="F10" s="29">
        <v>8.1279671163652196</v>
      </c>
    </row>
    <row r="11" spans="1:6" x14ac:dyDescent="0.2">
      <c r="A11" s="26" t="s">
        <v>846</v>
      </c>
      <c r="B11" s="26" t="s">
        <v>845</v>
      </c>
      <c r="C11" s="26" t="s">
        <v>532</v>
      </c>
      <c r="D11" s="30">
        <v>61</v>
      </c>
      <c r="E11" s="28">
        <v>618.18985999999995</v>
      </c>
      <c r="F11" s="29">
        <v>8.0941743660875307</v>
      </c>
    </row>
    <row r="12" spans="1:6" x14ac:dyDescent="0.2">
      <c r="A12" s="26" t="s">
        <v>534</v>
      </c>
      <c r="B12" s="26" t="s">
        <v>533</v>
      </c>
      <c r="C12" s="26" t="s">
        <v>152</v>
      </c>
      <c r="D12" s="30">
        <v>5</v>
      </c>
      <c r="E12" s="28">
        <v>509.5455</v>
      </c>
      <c r="F12" s="29">
        <v>6.6716560579871897</v>
      </c>
    </row>
    <row r="13" spans="1:6" x14ac:dyDescent="0.2">
      <c r="A13" s="26" t="s">
        <v>588</v>
      </c>
      <c r="B13" s="26" t="s">
        <v>587</v>
      </c>
      <c r="C13" s="26" t="s">
        <v>532</v>
      </c>
      <c r="D13" s="30">
        <v>40</v>
      </c>
      <c r="E13" s="28">
        <v>498.18040000000002</v>
      </c>
      <c r="F13" s="29">
        <v>6.5228488596808001</v>
      </c>
    </row>
    <row r="14" spans="1:6" x14ac:dyDescent="0.2">
      <c r="A14" s="26" t="s">
        <v>614</v>
      </c>
      <c r="B14" s="26" t="s">
        <v>613</v>
      </c>
      <c r="C14" s="26" t="s">
        <v>152</v>
      </c>
      <c r="D14" s="30">
        <v>38</v>
      </c>
      <c r="E14" s="28">
        <v>386.62871999999999</v>
      </c>
      <c r="F14" s="29">
        <v>5.0622640018994103</v>
      </c>
    </row>
    <row r="15" spans="1:6" x14ac:dyDescent="0.2">
      <c r="A15" s="26" t="s">
        <v>776</v>
      </c>
      <c r="B15" s="26" t="s">
        <v>775</v>
      </c>
      <c r="C15" s="26" t="s">
        <v>152</v>
      </c>
      <c r="D15" s="30">
        <v>30</v>
      </c>
      <c r="E15" s="28">
        <v>373.95119999999997</v>
      </c>
      <c r="F15" s="29">
        <v>4.8962728330866998</v>
      </c>
    </row>
    <row r="16" spans="1:6" x14ac:dyDescent="0.2">
      <c r="A16" s="26" t="s">
        <v>600</v>
      </c>
      <c r="B16" s="26" t="s">
        <v>599</v>
      </c>
      <c r="C16" s="26" t="s">
        <v>152</v>
      </c>
      <c r="D16" s="30">
        <v>36</v>
      </c>
      <c r="E16" s="28">
        <v>362.76119999999997</v>
      </c>
      <c r="F16" s="29">
        <v>4.7497582798448903</v>
      </c>
    </row>
    <row r="17" spans="1:9" x14ac:dyDescent="0.2">
      <c r="A17" s="26" t="s">
        <v>830</v>
      </c>
      <c r="B17" s="26" t="s">
        <v>829</v>
      </c>
      <c r="C17" s="26" t="s">
        <v>152</v>
      </c>
      <c r="D17" s="30">
        <v>21</v>
      </c>
      <c r="E17" s="28">
        <v>213.45576</v>
      </c>
      <c r="F17" s="29">
        <v>2.7948503407767502</v>
      </c>
    </row>
    <row r="18" spans="1:9" x14ac:dyDescent="0.2">
      <c r="A18" s="26" t="s">
        <v>281</v>
      </c>
      <c r="B18" s="26" t="s">
        <v>280</v>
      </c>
      <c r="C18" s="26" t="s">
        <v>282</v>
      </c>
      <c r="D18" s="30">
        <v>10</v>
      </c>
      <c r="E18" s="28">
        <v>123.9007</v>
      </c>
      <c r="F18" s="29">
        <v>1.6222748620954399</v>
      </c>
    </row>
    <row r="19" spans="1:9" x14ac:dyDescent="0.2">
      <c r="A19" s="26" t="s">
        <v>820</v>
      </c>
      <c r="B19" s="26" t="s">
        <v>819</v>
      </c>
      <c r="C19" s="26" t="s">
        <v>152</v>
      </c>
      <c r="D19" s="30">
        <v>10</v>
      </c>
      <c r="E19" s="28">
        <v>102.5692</v>
      </c>
      <c r="F19" s="29">
        <v>1.34297412997053</v>
      </c>
    </row>
    <row r="20" spans="1:9" x14ac:dyDescent="0.2">
      <c r="A20" s="26" t="s">
        <v>279</v>
      </c>
      <c r="B20" s="26" t="s">
        <v>278</v>
      </c>
      <c r="C20" s="26" t="s">
        <v>152</v>
      </c>
      <c r="D20" s="30">
        <v>2</v>
      </c>
      <c r="E20" s="28">
        <v>20.363099999999999</v>
      </c>
      <c r="F20" s="29">
        <v>0.266621134863126</v>
      </c>
    </row>
    <row r="21" spans="1:9" x14ac:dyDescent="0.2">
      <c r="A21" s="26" t="s">
        <v>822</v>
      </c>
      <c r="B21" s="26" t="s">
        <v>821</v>
      </c>
      <c r="C21" s="26" t="s">
        <v>152</v>
      </c>
      <c r="D21" s="30">
        <v>1</v>
      </c>
      <c r="E21" s="28">
        <v>12.448130000000001</v>
      </c>
      <c r="F21" s="29">
        <v>0.16298768593798199</v>
      </c>
    </row>
    <row r="22" spans="1:9" x14ac:dyDescent="0.2">
      <c r="A22" s="26" t="s">
        <v>816</v>
      </c>
      <c r="B22" s="26" t="s">
        <v>815</v>
      </c>
      <c r="C22" s="26" t="s">
        <v>532</v>
      </c>
      <c r="D22" s="30">
        <v>1</v>
      </c>
      <c r="E22" s="28">
        <v>10.1867</v>
      </c>
      <c r="F22" s="29">
        <v>0.13337799816875701</v>
      </c>
    </row>
    <row r="23" spans="1:9" ht="10.5" x14ac:dyDescent="0.25">
      <c r="A23" s="25" t="s">
        <v>153</v>
      </c>
      <c r="B23" s="25"/>
      <c r="C23" s="25"/>
      <c r="D23" s="31"/>
      <c r="E23" s="32">
        <f>SUM(E6:E22)</f>
        <v>5860.9108099999994</v>
      </c>
      <c r="F23" s="33">
        <f>SUM(F6:F22)</f>
        <v>76.738939134697702</v>
      </c>
      <c r="G23" s="17"/>
      <c r="H23" s="17"/>
      <c r="I23" s="17"/>
    </row>
    <row r="24" spans="1:9" x14ac:dyDescent="0.2">
      <c r="A24" s="26"/>
      <c r="B24" s="26"/>
      <c r="C24" s="26"/>
      <c r="D24" s="27"/>
      <c r="E24" s="28"/>
      <c r="F24" s="29"/>
    </row>
    <row r="25" spans="1:9" ht="10.5" x14ac:dyDescent="0.25">
      <c r="A25" s="25" t="s">
        <v>154</v>
      </c>
      <c r="B25" s="26"/>
      <c r="C25" s="26"/>
      <c r="D25" s="27"/>
      <c r="E25" s="28"/>
      <c r="F25" s="29"/>
    </row>
    <row r="26" spans="1:9" x14ac:dyDescent="0.2">
      <c r="A26" s="26" t="s">
        <v>852</v>
      </c>
      <c r="B26" s="26" t="s">
        <v>851</v>
      </c>
      <c r="C26" s="26" t="s">
        <v>152</v>
      </c>
      <c r="D26" s="30">
        <v>61</v>
      </c>
      <c r="E26" s="28">
        <v>620.29070000000002</v>
      </c>
      <c r="F26" s="29">
        <v>8.1216813932575498</v>
      </c>
    </row>
    <row r="27" spans="1:9" x14ac:dyDescent="0.2">
      <c r="A27" s="26" t="s">
        <v>826</v>
      </c>
      <c r="B27" s="26" t="s">
        <v>825</v>
      </c>
      <c r="C27" s="26" t="s">
        <v>492</v>
      </c>
      <c r="D27" s="30">
        <v>61</v>
      </c>
      <c r="E27" s="28">
        <v>618.18498</v>
      </c>
      <c r="F27" s="29">
        <v>8.0941104705540408</v>
      </c>
    </row>
    <row r="28" spans="1:9" ht="10.5" x14ac:dyDescent="0.25">
      <c r="A28" s="25" t="s">
        <v>153</v>
      </c>
      <c r="B28" s="25"/>
      <c r="C28" s="25"/>
      <c r="D28" s="31"/>
      <c r="E28" s="32">
        <f>SUM(E25:E27)</f>
        <v>1238.47568</v>
      </c>
      <c r="F28" s="33">
        <f>SUM(F25:F27)</f>
        <v>16.215791863811589</v>
      </c>
      <c r="G28" s="17"/>
      <c r="H28" s="17"/>
      <c r="I28" s="17"/>
    </row>
    <row r="29" spans="1:9" x14ac:dyDescent="0.2">
      <c r="A29" s="26"/>
      <c r="B29" s="26"/>
      <c r="C29" s="26"/>
      <c r="D29" s="27"/>
      <c r="E29" s="28"/>
      <c r="F29" s="29"/>
    </row>
    <row r="30" spans="1:9" ht="10.5" x14ac:dyDescent="0.25">
      <c r="A30" s="25" t="s">
        <v>362</v>
      </c>
      <c r="B30" s="26"/>
      <c r="C30" s="26"/>
      <c r="D30" s="27"/>
      <c r="E30" s="28"/>
      <c r="F30" s="29"/>
    </row>
    <row r="31" spans="1:9" ht="10.5" x14ac:dyDescent="0.25">
      <c r="A31" s="25" t="s">
        <v>363</v>
      </c>
      <c r="B31" s="26"/>
      <c r="C31" s="26"/>
      <c r="D31" s="27"/>
      <c r="E31" s="28"/>
      <c r="F31" s="29"/>
    </row>
    <row r="32" spans="1:9" x14ac:dyDescent="0.2">
      <c r="A32" s="26" t="s">
        <v>375</v>
      </c>
      <c r="B32" s="26" t="s">
        <v>374</v>
      </c>
      <c r="C32" s="26" t="s">
        <v>369</v>
      </c>
      <c r="D32" s="30">
        <v>56</v>
      </c>
      <c r="E32" s="28">
        <v>55.163752000000002</v>
      </c>
      <c r="F32" s="29">
        <v>0.72227814829510395</v>
      </c>
    </row>
    <row r="33" spans="1:9" ht="10.5" x14ac:dyDescent="0.25">
      <c r="A33" s="25" t="s">
        <v>153</v>
      </c>
      <c r="B33" s="25"/>
      <c r="C33" s="25"/>
      <c r="D33" s="31"/>
      <c r="E33" s="32">
        <f>SUM(E31:E32)</f>
        <v>55.163752000000002</v>
      </c>
      <c r="F33" s="33">
        <f>SUM(F31:F32)</f>
        <v>0.72227814829510395</v>
      </c>
      <c r="G33" s="17"/>
      <c r="H33" s="17"/>
      <c r="I33" s="17"/>
    </row>
    <row r="34" spans="1:9" x14ac:dyDescent="0.2">
      <c r="A34" s="26"/>
      <c r="B34" s="26"/>
      <c r="C34" s="26"/>
      <c r="D34" s="27"/>
      <c r="E34" s="28"/>
      <c r="F34" s="29"/>
    </row>
    <row r="35" spans="1:9" ht="10.5" x14ac:dyDescent="0.25">
      <c r="A35" s="25" t="s">
        <v>409</v>
      </c>
      <c r="B35" s="26"/>
      <c r="C35" s="26"/>
      <c r="D35" s="27"/>
      <c r="E35" s="28"/>
      <c r="F35" s="29"/>
    </row>
    <row r="36" spans="1:9" x14ac:dyDescent="0.2">
      <c r="A36" s="26" t="s">
        <v>411</v>
      </c>
      <c r="B36" s="26" t="s">
        <v>410</v>
      </c>
      <c r="C36" s="26" t="s">
        <v>412</v>
      </c>
      <c r="D36" s="30">
        <v>120000</v>
      </c>
      <c r="E36" s="28">
        <v>118.04736</v>
      </c>
      <c r="F36" s="29">
        <v>1.54563505020336</v>
      </c>
    </row>
    <row r="37" spans="1:9" ht="10.5" x14ac:dyDescent="0.25">
      <c r="A37" s="25" t="s">
        <v>153</v>
      </c>
      <c r="B37" s="25"/>
      <c r="C37" s="25"/>
      <c r="D37" s="31"/>
      <c r="E37" s="32">
        <f>SUM(E35:E36)</f>
        <v>118.04736</v>
      </c>
      <c r="F37" s="33">
        <f>SUM(F35:F36)</f>
        <v>1.54563505020336</v>
      </c>
      <c r="G37" s="17"/>
      <c r="H37" s="17"/>
      <c r="I37" s="17"/>
    </row>
    <row r="38" spans="1:9" x14ac:dyDescent="0.2">
      <c r="A38" s="26"/>
      <c r="B38" s="26"/>
      <c r="C38" s="26"/>
      <c r="D38" s="27"/>
      <c r="E38" s="28"/>
      <c r="F38" s="29"/>
    </row>
    <row r="39" spans="1:9" ht="10.5" x14ac:dyDescent="0.25">
      <c r="A39" s="25" t="s">
        <v>166</v>
      </c>
      <c r="B39" s="25"/>
      <c r="C39" s="25"/>
      <c r="D39" s="31"/>
      <c r="E39" s="32">
        <f>E23+E28+E33+E37</f>
        <v>7272.5976019999989</v>
      </c>
      <c r="F39" s="33">
        <f>F23+F28+F33+F37</f>
        <v>95.222644197007753</v>
      </c>
      <c r="G39" s="17"/>
      <c r="H39" s="17"/>
      <c r="I39" s="17"/>
    </row>
    <row r="40" spans="1:9" ht="10.5" x14ac:dyDescent="0.25">
      <c r="A40" s="25"/>
      <c r="B40" s="25"/>
      <c r="C40" s="25"/>
      <c r="D40" s="31"/>
      <c r="E40" s="32"/>
      <c r="F40" s="33"/>
      <c r="G40" s="17"/>
      <c r="H40" s="17"/>
      <c r="I40" s="17"/>
    </row>
    <row r="41" spans="1:9" ht="10.5" x14ac:dyDescent="0.25">
      <c r="A41" s="25" t="s">
        <v>168</v>
      </c>
      <c r="B41" s="25"/>
      <c r="C41" s="25"/>
      <c r="D41" s="31"/>
      <c r="E41" s="32">
        <f>E43-(E23+E28+E33+E37)</f>
        <v>364.86895160000131</v>
      </c>
      <c r="F41" s="33">
        <f>F43-(F23+F28+F33+F37)</f>
        <v>4.7773558029922469</v>
      </c>
      <c r="G41" s="17"/>
      <c r="H41" s="17"/>
      <c r="I41" s="17"/>
    </row>
    <row r="42" spans="1:9" ht="10.5" x14ac:dyDescent="0.25">
      <c r="A42" s="25"/>
      <c r="B42" s="25"/>
      <c r="C42" s="25"/>
      <c r="D42" s="31"/>
      <c r="E42" s="32"/>
      <c r="F42" s="33"/>
      <c r="G42" s="17"/>
      <c r="H42" s="17"/>
      <c r="I42" s="17"/>
    </row>
    <row r="43" spans="1:9" ht="10.5" x14ac:dyDescent="0.25">
      <c r="A43" s="34" t="s">
        <v>167</v>
      </c>
      <c r="B43" s="34"/>
      <c r="C43" s="34"/>
      <c r="D43" s="35"/>
      <c r="E43" s="36">
        <v>7637.4665536000002</v>
      </c>
      <c r="F43" s="37">
        <v>100</v>
      </c>
      <c r="G43" s="17"/>
      <c r="H43" s="17"/>
      <c r="I43" s="17"/>
    </row>
    <row r="45" spans="1:9" ht="10.5" x14ac:dyDescent="0.25">
      <c r="A45" s="17" t="s">
        <v>170</v>
      </c>
    </row>
    <row r="47" spans="1:9" ht="10.5" x14ac:dyDescent="0.25">
      <c r="A47" s="17" t="s">
        <v>171</v>
      </c>
    </row>
    <row r="48" spans="1:9" ht="10.5" x14ac:dyDescent="0.25">
      <c r="A48" s="17" t="s">
        <v>172</v>
      </c>
    </row>
    <row r="49" spans="1:5" ht="10.5" x14ac:dyDescent="0.25">
      <c r="A49" s="17" t="s">
        <v>173</v>
      </c>
      <c r="B49" s="17"/>
      <c r="C49" s="38" t="s">
        <v>175</v>
      </c>
      <c r="D49" s="18" t="s">
        <v>174</v>
      </c>
    </row>
    <row r="50" spans="1:5" x14ac:dyDescent="0.2">
      <c r="A50" s="10" t="s">
        <v>436</v>
      </c>
      <c r="C50" s="39">
        <v>11.7814</v>
      </c>
      <c r="D50" s="39">
        <v>12.306800000000001</v>
      </c>
    </row>
    <row r="51" spans="1:5" x14ac:dyDescent="0.2">
      <c r="A51" s="10" t="s">
        <v>734</v>
      </c>
      <c r="C51" s="39">
        <v>10.169499999999999</v>
      </c>
      <c r="D51" s="39">
        <v>10.6234</v>
      </c>
    </row>
    <row r="52" spans="1:5" x14ac:dyDescent="0.2">
      <c r="A52" s="10" t="s">
        <v>438</v>
      </c>
      <c r="C52" s="39">
        <v>10.1572</v>
      </c>
      <c r="D52" s="39">
        <v>10.2378</v>
      </c>
    </row>
    <row r="53" spans="1:5" x14ac:dyDescent="0.2">
      <c r="A53" s="10" t="s">
        <v>439</v>
      </c>
      <c r="C53" s="39">
        <v>11.8405</v>
      </c>
      <c r="D53" s="39">
        <v>12.368499999999999</v>
      </c>
    </row>
    <row r="55" spans="1:5" ht="10.5" x14ac:dyDescent="0.25">
      <c r="A55" s="17" t="s">
        <v>185</v>
      </c>
    </row>
    <row r="56" spans="1:5" ht="12.5" x14ac:dyDescent="0.25">
      <c r="A56" s="100" t="s">
        <v>350</v>
      </c>
      <c r="B56" s="101"/>
      <c r="C56" s="98" t="s">
        <v>1658</v>
      </c>
      <c r="D56" s="99"/>
    </row>
    <row r="57" spans="1:5" ht="10.5" x14ac:dyDescent="0.25">
      <c r="A57" s="100"/>
      <c r="B57" s="101"/>
      <c r="C57" s="43" t="s">
        <v>351</v>
      </c>
      <c r="D57" s="44" t="s">
        <v>352</v>
      </c>
    </row>
    <row r="58" spans="1:5" x14ac:dyDescent="0.2">
      <c r="A58" s="94" t="s">
        <v>438</v>
      </c>
      <c r="B58" s="95"/>
      <c r="C58" s="45">
        <v>0.37</v>
      </c>
      <c r="D58" s="45">
        <v>0.37</v>
      </c>
    </row>
    <row r="59" spans="1:5" x14ac:dyDescent="0.2">
      <c r="A59" s="90" t="s">
        <v>1657</v>
      </c>
    </row>
    <row r="61" spans="1:5" ht="10.5" x14ac:dyDescent="0.25">
      <c r="A61" s="17" t="s">
        <v>187</v>
      </c>
      <c r="D61" s="41">
        <v>0.44375958964383599</v>
      </c>
      <c r="E61" s="15" t="s">
        <v>188</v>
      </c>
    </row>
    <row r="63" spans="1:5" ht="10.5" x14ac:dyDescent="0.25">
      <c r="A63" s="17" t="s">
        <v>189</v>
      </c>
      <c r="D63" s="40" t="s">
        <v>186</v>
      </c>
    </row>
  </sheetData>
  <mergeCells count="5">
    <mergeCell ref="A1:F1"/>
    <mergeCell ref="C56:D56"/>
    <mergeCell ref="A56:B56"/>
    <mergeCell ref="A57:B57"/>
    <mergeCell ref="A58:B58"/>
  </mergeCells>
  <conditionalFormatting sqref="F2:F3 F5:F65537">
    <cfRule type="cellIs" dxfId="39" priority="1" stopIfTrue="1" operator="between">
      <formula>0.009</formula>
      <formula>-0.009</formula>
    </cfRule>
  </conditionalFormatting>
  <pageMargins left="0.7" right="0.7" top="0.75" bottom="0.75" header="0.3" footer="0.3"/>
  <pageSetup paperSize="9" scale="55" orientation="portrait" r:id="rId1"/>
  <headerFooter>
    <oddFooter>&amp;LPUBLIC</oddFooter>
    <evenFooter>&amp;LPUBLIC</evenFooter>
    <firstFooter>&amp;LPUBLIC</firstFooter>
  </headerFooter>
  <colBreaks count="1" manualBreakCount="1">
    <brk id="6" max="104857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63"/>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1.1796875"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33</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842</v>
      </c>
      <c r="B7" s="26" t="s">
        <v>841</v>
      </c>
      <c r="C7" s="26" t="s">
        <v>152</v>
      </c>
      <c r="D7" s="30">
        <v>86</v>
      </c>
      <c r="E7" s="28">
        <v>839.41246000000001</v>
      </c>
      <c r="F7" s="29">
        <v>9.9598002343729597</v>
      </c>
    </row>
    <row r="8" spans="1:6" x14ac:dyDescent="0.2">
      <c r="A8" s="26" t="s">
        <v>798</v>
      </c>
      <c r="B8" s="26" t="s">
        <v>797</v>
      </c>
      <c r="C8" s="26" t="s">
        <v>152</v>
      </c>
      <c r="D8" s="30">
        <v>67</v>
      </c>
      <c r="E8" s="28">
        <v>838.59879999999998</v>
      </c>
      <c r="F8" s="29">
        <v>9.9501459923347895</v>
      </c>
    </row>
    <row r="9" spans="1:6" x14ac:dyDescent="0.2">
      <c r="A9" s="26" t="s">
        <v>614</v>
      </c>
      <c r="B9" s="26" t="s">
        <v>613</v>
      </c>
      <c r="C9" s="26" t="s">
        <v>152</v>
      </c>
      <c r="D9" s="30">
        <v>72</v>
      </c>
      <c r="E9" s="28">
        <v>732.55967999999996</v>
      </c>
      <c r="F9" s="29">
        <v>8.6919701818057096</v>
      </c>
    </row>
    <row r="10" spans="1:6" x14ac:dyDescent="0.2">
      <c r="A10" s="26" t="s">
        <v>812</v>
      </c>
      <c r="B10" s="26" t="s">
        <v>811</v>
      </c>
      <c r="C10" s="26" t="s">
        <v>532</v>
      </c>
      <c r="D10" s="30">
        <v>68</v>
      </c>
      <c r="E10" s="28">
        <v>695.20752000000005</v>
      </c>
      <c r="F10" s="29">
        <v>8.2487791766086591</v>
      </c>
    </row>
    <row r="11" spans="1:6" x14ac:dyDescent="0.2">
      <c r="A11" s="26" t="s">
        <v>848</v>
      </c>
      <c r="B11" s="26" t="s">
        <v>847</v>
      </c>
      <c r="C11" s="26" t="s">
        <v>152</v>
      </c>
      <c r="D11" s="30">
        <v>68</v>
      </c>
      <c r="E11" s="28">
        <v>692.05844000000002</v>
      </c>
      <c r="F11" s="29">
        <v>8.2114146994098594</v>
      </c>
    </row>
    <row r="12" spans="1:6" x14ac:dyDescent="0.2">
      <c r="A12" s="26" t="s">
        <v>844</v>
      </c>
      <c r="B12" s="26" t="s">
        <v>843</v>
      </c>
      <c r="C12" s="26" t="s">
        <v>152</v>
      </c>
      <c r="D12" s="30">
        <v>68</v>
      </c>
      <c r="E12" s="28">
        <v>692.00675999999999</v>
      </c>
      <c r="F12" s="29">
        <v>8.2108015056575105</v>
      </c>
    </row>
    <row r="13" spans="1:6" x14ac:dyDescent="0.2">
      <c r="A13" s="26" t="s">
        <v>846</v>
      </c>
      <c r="B13" s="26" t="s">
        <v>845</v>
      </c>
      <c r="C13" s="26" t="s">
        <v>532</v>
      </c>
      <c r="D13" s="30">
        <v>68</v>
      </c>
      <c r="E13" s="28">
        <v>689.12968000000001</v>
      </c>
      <c r="F13" s="29">
        <v>8.1766643639973697</v>
      </c>
    </row>
    <row r="14" spans="1:6" x14ac:dyDescent="0.2">
      <c r="A14" s="26" t="s">
        <v>854</v>
      </c>
      <c r="B14" s="26" t="s">
        <v>853</v>
      </c>
      <c r="C14" s="26" t="s">
        <v>152</v>
      </c>
      <c r="D14" s="30">
        <v>50</v>
      </c>
      <c r="E14" s="28">
        <v>511.45749999999998</v>
      </c>
      <c r="F14" s="29">
        <v>6.0685476700832002</v>
      </c>
    </row>
    <row r="15" spans="1:6" x14ac:dyDescent="0.2">
      <c r="A15" s="26" t="s">
        <v>800</v>
      </c>
      <c r="B15" s="26" t="s">
        <v>799</v>
      </c>
      <c r="C15" s="26" t="s">
        <v>152</v>
      </c>
      <c r="D15" s="30">
        <v>16</v>
      </c>
      <c r="E15" s="28">
        <v>161.96704</v>
      </c>
      <c r="F15" s="29">
        <v>1.9217720010407</v>
      </c>
    </row>
    <row r="16" spans="1:6" x14ac:dyDescent="0.2">
      <c r="A16" s="26" t="s">
        <v>279</v>
      </c>
      <c r="B16" s="26" t="s">
        <v>278</v>
      </c>
      <c r="C16" s="26" t="s">
        <v>152</v>
      </c>
      <c r="D16" s="30">
        <v>7</v>
      </c>
      <c r="E16" s="28">
        <v>71.270849999999996</v>
      </c>
      <c r="F16" s="29">
        <v>0.84564318777679404</v>
      </c>
    </row>
    <row r="17" spans="1:9" x14ac:dyDescent="0.2">
      <c r="A17" s="26" t="s">
        <v>830</v>
      </c>
      <c r="B17" s="26" t="s">
        <v>829</v>
      </c>
      <c r="C17" s="26" t="s">
        <v>152</v>
      </c>
      <c r="D17" s="30">
        <v>6</v>
      </c>
      <c r="E17" s="28">
        <v>60.987360000000002</v>
      </c>
      <c r="F17" s="29">
        <v>0.72362747917964898</v>
      </c>
    </row>
    <row r="18" spans="1:9" x14ac:dyDescent="0.2">
      <c r="A18" s="26" t="s">
        <v>822</v>
      </c>
      <c r="B18" s="26" t="s">
        <v>821</v>
      </c>
      <c r="C18" s="26" t="s">
        <v>152</v>
      </c>
      <c r="D18" s="30">
        <v>4</v>
      </c>
      <c r="E18" s="28">
        <v>49.792520000000003</v>
      </c>
      <c r="F18" s="29">
        <v>0.59079841674737599</v>
      </c>
    </row>
    <row r="19" spans="1:9" x14ac:dyDescent="0.2">
      <c r="A19" s="26" t="s">
        <v>281</v>
      </c>
      <c r="B19" s="26" t="s">
        <v>280</v>
      </c>
      <c r="C19" s="26" t="s">
        <v>282</v>
      </c>
      <c r="D19" s="30">
        <v>3</v>
      </c>
      <c r="E19" s="28">
        <v>37.170209999999997</v>
      </c>
      <c r="F19" s="29">
        <v>0.441032131295373</v>
      </c>
    </row>
    <row r="20" spans="1:9" x14ac:dyDescent="0.2">
      <c r="A20" s="26" t="s">
        <v>820</v>
      </c>
      <c r="B20" s="26" t="s">
        <v>819</v>
      </c>
      <c r="C20" s="26" t="s">
        <v>152</v>
      </c>
      <c r="D20" s="30">
        <v>3</v>
      </c>
      <c r="E20" s="28">
        <v>30.770759999999999</v>
      </c>
      <c r="F20" s="29">
        <v>0.36510135036574798</v>
      </c>
    </row>
    <row r="21" spans="1:9" x14ac:dyDescent="0.2">
      <c r="A21" s="26" t="s">
        <v>856</v>
      </c>
      <c r="B21" s="26" t="s">
        <v>855</v>
      </c>
      <c r="C21" s="26" t="s">
        <v>532</v>
      </c>
      <c r="D21" s="30">
        <v>1</v>
      </c>
      <c r="E21" s="28">
        <v>10.080360000000001</v>
      </c>
      <c r="F21" s="29">
        <v>0.11960552967079401</v>
      </c>
    </row>
    <row r="22" spans="1:9" ht="10.5" x14ac:dyDescent="0.25">
      <c r="A22" s="25" t="s">
        <v>153</v>
      </c>
      <c r="B22" s="25"/>
      <c r="C22" s="25"/>
      <c r="D22" s="31"/>
      <c r="E22" s="32">
        <f>SUM(E6:E21)</f>
        <v>6112.4699400000009</v>
      </c>
      <c r="F22" s="33">
        <f>SUM(F6:F21)</f>
        <v>72.525703920346487</v>
      </c>
      <c r="G22" s="17"/>
      <c r="H22" s="17"/>
      <c r="I22" s="17"/>
    </row>
    <row r="23" spans="1:9" x14ac:dyDescent="0.2">
      <c r="A23" s="26"/>
      <c r="B23" s="26"/>
      <c r="C23" s="26"/>
      <c r="D23" s="27"/>
      <c r="E23" s="28"/>
      <c r="F23" s="29"/>
    </row>
    <row r="24" spans="1:9" ht="10.5" x14ac:dyDescent="0.25">
      <c r="A24" s="25" t="s">
        <v>154</v>
      </c>
      <c r="B24" s="26"/>
      <c r="C24" s="26"/>
      <c r="D24" s="27"/>
      <c r="E24" s="28"/>
      <c r="F24" s="29"/>
    </row>
    <row r="25" spans="1:9" x14ac:dyDescent="0.2">
      <c r="A25" s="26" t="s">
        <v>852</v>
      </c>
      <c r="B25" s="26" t="s">
        <v>851</v>
      </c>
      <c r="C25" s="26" t="s">
        <v>152</v>
      </c>
      <c r="D25" s="30">
        <v>68</v>
      </c>
      <c r="E25" s="28">
        <v>691.47159999999997</v>
      </c>
      <c r="F25" s="29">
        <v>8.2044517229851994</v>
      </c>
    </row>
    <row r="26" spans="1:9" x14ac:dyDescent="0.2">
      <c r="A26" s="26" t="s">
        <v>826</v>
      </c>
      <c r="B26" s="26" t="s">
        <v>825</v>
      </c>
      <c r="C26" s="26" t="s">
        <v>492</v>
      </c>
      <c r="D26" s="30">
        <v>67</v>
      </c>
      <c r="E26" s="28">
        <v>678.99005999999997</v>
      </c>
      <c r="F26" s="29">
        <v>8.0563557023264991</v>
      </c>
    </row>
    <row r="27" spans="1:9" x14ac:dyDescent="0.2">
      <c r="A27" s="26" t="s">
        <v>620</v>
      </c>
      <c r="B27" s="26" t="s">
        <v>619</v>
      </c>
      <c r="C27" s="26" t="s">
        <v>152</v>
      </c>
      <c r="D27" s="30">
        <v>12</v>
      </c>
      <c r="E27" s="28">
        <v>122.14836</v>
      </c>
      <c r="F27" s="29">
        <v>1.4493152324142</v>
      </c>
    </row>
    <row r="28" spans="1:9" ht="10.5" x14ac:dyDescent="0.25">
      <c r="A28" s="25" t="s">
        <v>153</v>
      </c>
      <c r="B28" s="25"/>
      <c r="C28" s="25"/>
      <c r="D28" s="31"/>
      <c r="E28" s="32">
        <f>SUM(E24:E27)</f>
        <v>1492.6100199999998</v>
      </c>
      <c r="F28" s="33">
        <f>SUM(F24:F27)</f>
        <v>17.710122657725897</v>
      </c>
      <c r="G28" s="17"/>
      <c r="H28" s="17"/>
      <c r="I28" s="17"/>
    </row>
    <row r="29" spans="1:9" x14ac:dyDescent="0.2">
      <c r="A29" s="26"/>
      <c r="B29" s="26"/>
      <c r="C29" s="26"/>
      <c r="D29" s="27"/>
      <c r="E29" s="28"/>
      <c r="F29" s="29"/>
    </row>
    <row r="30" spans="1:9" ht="10.5" x14ac:dyDescent="0.25">
      <c r="A30" s="25" t="s">
        <v>362</v>
      </c>
      <c r="B30" s="26"/>
      <c r="C30" s="26"/>
      <c r="D30" s="27"/>
      <c r="E30" s="28"/>
      <c r="F30" s="29"/>
    </row>
    <row r="31" spans="1:9" ht="10.5" x14ac:dyDescent="0.25">
      <c r="A31" s="25" t="s">
        <v>363</v>
      </c>
      <c r="B31" s="26"/>
      <c r="C31" s="26"/>
      <c r="D31" s="27"/>
      <c r="E31" s="28"/>
      <c r="F31" s="29"/>
    </row>
    <row r="32" spans="1:9" x14ac:dyDescent="0.2">
      <c r="A32" s="26" t="s">
        <v>375</v>
      </c>
      <c r="B32" s="26" t="s">
        <v>374</v>
      </c>
      <c r="C32" s="26" t="s">
        <v>369</v>
      </c>
      <c r="D32" s="30">
        <v>36</v>
      </c>
      <c r="E32" s="28">
        <v>35.462412</v>
      </c>
      <c r="F32" s="29">
        <v>0.42076875931652302</v>
      </c>
    </row>
    <row r="33" spans="1:9" ht="10.5" x14ac:dyDescent="0.25">
      <c r="A33" s="25" t="s">
        <v>153</v>
      </c>
      <c r="B33" s="25"/>
      <c r="C33" s="25"/>
      <c r="D33" s="31"/>
      <c r="E33" s="32">
        <f>SUM(E31:E32)</f>
        <v>35.462412</v>
      </c>
      <c r="F33" s="33">
        <f>SUM(F31:F32)</f>
        <v>0.42076875931652302</v>
      </c>
      <c r="G33" s="17"/>
      <c r="H33" s="17"/>
      <c r="I33" s="17"/>
    </row>
    <row r="34" spans="1:9" x14ac:dyDescent="0.2">
      <c r="A34" s="26"/>
      <c r="B34" s="26"/>
      <c r="C34" s="26"/>
      <c r="D34" s="27"/>
      <c r="E34" s="28"/>
      <c r="F34" s="29"/>
    </row>
    <row r="35" spans="1:9" ht="10.5" x14ac:dyDescent="0.25">
      <c r="A35" s="25" t="s">
        <v>378</v>
      </c>
      <c r="B35" s="26"/>
      <c r="C35" s="26"/>
      <c r="D35" s="27"/>
      <c r="E35" s="28"/>
      <c r="F35" s="29"/>
    </row>
    <row r="36" spans="1:9" x14ac:dyDescent="0.2">
      <c r="A36" s="26" t="s">
        <v>840</v>
      </c>
      <c r="B36" s="26" t="s">
        <v>839</v>
      </c>
      <c r="C36" s="26" t="s">
        <v>388</v>
      </c>
      <c r="D36" s="30">
        <v>53</v>
      </c>
      <c r="E36" s="28">
        <v>261.06448499999999</v>
      </c>
      <c r="F36" s="29">
        <v>3.0975834203002601</v>
      </c>
    </row>
    <row r="37" spans="1:9" ht="10.5" x14ac:dyDescent="0.25">
      <c r="A37" s="25" t="s">
        <v>153</v>
      </c>
      <c r="B37" s="25"/>
      <c r="C37" s="25"/>
      <c r="D37" s="31"/>
      <c r="E37" s="32">
        <f>SUM(E35:E36)</f>
        <v>261.06448499999999</v>
      </c>
      <c r="F37" s="33">
        <f>SUM(F35:F36)</f>
        <v>3.0975834203002601</v>
      </c>
      <c r="G37" s="17"/>
      <c r="H37" s="17"/>
      <c r="I37" s="17"/>
    </row>
    <row r="38" spans="1:9" x14ac:dyDescent="0.2">
      <c r="A38" s="26"/>
      <c r="B38" s="26"/>
      <c r="C38" s="26"/>
      <c r="D38" s="27"/>
      <c r="E38" s="28"/>
      <c r="F38" s="29"/>
    </row>
    <row r="39" spans="1:9" ht="10.5" x14ac:dyDescent="0.25">
      <c r="A39" s="25" t="s">
        <v>409</v>
      </c>
      <c r="B39" s="26"/>
      <c r="C39" s="26"/>
      <c r="D39" s="27"/>
      <c r="E39" s="28"/>
      <c r="F39" s="29"/>
    </row>
    <row r="40" spans="1:9" x14ac:dyDescent="0.2">
      <c r="A40" s="26" t="s">
        <v>411</v>
      </c>
      <c r="B40" s="26" t="s">
        <v>410</v>
      </c>
      <c r="C40" s="26" t="s">
        <v>412</v>
      </c>
      <c r="D40" s="30">
        <v>118000</v>
      </c>
      <c r="E40" s="28">
        <v>116.079904</v>
      </c>
      <c r="F40" s="29">
        <v>1.3773117628789899</v>
      </c>
    </row>
    <row r="41" spans="1:9" ht="10.5" x14ac:dyDescent="0.25">
      <c r="A41" s="25" t="s">
        <v>153</v>
      </c>
      <c r="B41" s="25"/>
      <c r="C41" s="25"/>
      <c r="D41" s="31"/>
      <c r="E41" s="32">
        <f>SUM(E39:E40)</f>
        <v>116.079904</v>
      </c>
      <c r="F41" s="33">
        <f>SUM(F39:F40)</f>
        <v>1.3773117628789899</v>
      </c>
      <c r="G41" s="17"/>
      <c r="H41" s="17"/>
      <c r="I41" s="17"/>
    </row>
    <row r="42" spans="1:9" x14ac:dyDescent="0.2">
      <c r="A42" s="26"/>
      <c r="B42" s="26"/>
      <c r="C42" s="26"/>
      <c r="D42" s="27"/>
      <c r="E42" s="28"/>
      <c r="F42" s="29"/>
    </row>
    <row r="43" spans="1:9" ht="10.5" x14ac:dyDescent="0.25">
      <c r="A43" s="25" t="s">
        <v>166</v>
      </c>
      <c r="B43" s="25"/>
      <c r="C43" s="25"/>
      <c r="D43" s="31"/>
      <c r="E43" s="32">
        <f>E22+E28+E33+E37+E41</f>
        <v>8017.6867610000008</v>
      </c>
      <c r="F43" s="33">
        <f>F22+F28+F33+F37+F41</f>
        <v>95.13149052056815</v>
      </c>
      <c r="G43" s="17"/>
      <c r="H43" s="17"/>
      <c r="I43" s="17"/>
    </row>
    <row r="44" spans="1:9" ht="10.5" x14ac:dyDescent="0.25">
      <c r="A44" s="25"/>
      <c r="B44" s="25"/>
      <c r="C44" s="25"/>
      <c r="D44" s="31"/>
      <c r="E44" s="32"/>
      <c r="F44" s="33"/>
      <c r="G44" s="17"/>
      <c r="H44" s="17"/>
      <c r="I44" s="17"/>
    </row>
    <row r="45" spans="1:9" ht="10.5" x14ac:dyDescent="0.25">
      <c r="A45" s="25" t="s">
        <v>168</v>
      </c>
      <c r="B45" s="25"/>
      <c r="C45" s="25"/>
      <c r="D45" s="31"/>
      <c r="E45" s="32">
        <f>E47-(E22+E28+E33+E37+E41)</f>
        <v>410.31822149999971</v>
      </c>
      <c r="F45" s="33">
        <f>F47-(F22+F28+F33+F37+F41)</f>
        <v>4.8685094794318502</v>
      </c>
      <c r="G45" s="17"/>
      <c r="H45" s="17"/>
      <c r="I45" s="17"/>
    </row>
    <row r="46" spans="1:9" ht="10.5" x14ac:dyDescent="0.25">
      <c r="A46" s="25"/>
      <c r="B46" s="25"/>
      <c r="C46" s="25"/>
      <c r="D46" s="31"/>
      <c r="E46" s="32"/>
      <c r="F46" s="33"/>
      <c r="G46" s="17"/>
      <c r="H46" s="17"/>
      <c r="I46" s="17"/>
    </row>
    <row r="47" spans="1:9" ht="10.5" x14ac:dyDescent="0.25">
      <c r="A47" s="34" t="s">
        <v>167</v>
      </c>
      <c r="B47" s="34"/>
      <c r="C47" s="34"/>
      <c r="D47" s="35"/>
      <c r="E47" s="36">
        <v>8428.0049825000006</v>
      </c>
      <c r="F47" s="37">
        <v>100</v>
      </c>
      <c r="G47" s="17"/>
      <c r="H47" s="17"/>
      <c r="I47" s="17"/>
    </row>
    <row r="49" spans="1:5" ht="10.5" x14ac:dyDescent="0.25">
      <c r="A49" s="17" t="s">
        <v>419</v>
      </c>
    </row>
    <row r="50" spans="1:5" ht="10.5" x14ac:dyDescent="0.25">
      <c r="A50" s="17" t="s">
        <v>170</v>
      </c>
    </row>
    <row r="52" spans="1:5" ht="10.5" x14ac:dyDescent="0.25">
      <c r="A52" s="17" t="s">
        <v>171</v>
      </c>
    </row>
    <row r="53" spans="1:5" ht="10.5" x14ac:dyDescent="0.25">
      <c r="A53" s="17" t="s">
        <v>172</v>
      </c>
    </row>
    <row r="54" spans="1:5" ht="10.5" x14ac:dyDescent="0.25">
      <c r="A54" s="17" t="s">
        <v>173</v>
      </c>
      <c r="B54" s="17"/>
      <c r="C54" s="38" t="s">
        <v>175</v>
      </c>
      <c r="D54" s="18" t="s">
        <v>174</v>
      </c>
    </row>
    <row r="55" spans="1:5" x14ac:dyDescent="0.2">
      <c r="A55" s="10" t="s">
        <v>436</v>
      </c>
      <c r="C55" s="39">
        <v>11.7949</v>
      </c>
      <c r="D55" s="39">
        <v>12.3215</v>
      </c>
    </row>
    <row r="56" spans="1:5" x14ac:dyDescent="0.2">
      <c r="A56" s="10" t="s">
        <v>734</v>
      </c>
      <c r="C56" s="39">
        <v>10.2506</v>
      </c>
      <c r="D56" s="39">
        <v>10.708600000000001</v>
      </c>
    </row>
    <row r="57" spans="1:5" x14ac:dyDescent="0.2">
      <c r="A57" s="10" t="s">
        <v>439</v>
      </c>
      <c r="C57" s="39">
        <v>11.8576</v>
      </c>
      <c r="D57" s="39">
        <v>12.387</v>
      </c>
    </row>
    <row r="59" spans="1:5" ht="10.5" x14ac:dyDescent="0.25">
      <c r="A59" s="17" t="s">
        <v>185</v>
      </c>
      <c r="D59" s="40" t="s">
        <v>186</v>
      </c>
    </row>
    <row r="61" spans="1:5" ht="10.5" x14ac:dyDescent="0.25">
      <c r="A61" s="17" t="s">
        <v>187</v>
      </c>
      <c r="D61" s="41">
        <v>0.457002376219178</v>
      </c>
      <c r="E61" s="15" t="s">
        <v>188</v>
      </c>
    </row>
    <row r="63" spans="1:5" ht="10.5" x14ac:dyDescent="0.25">
      <c r="A63" s="17" t="s">
        <v>189</v>
      </c>
      <c r="D63" s="40" t="s">
        <v>186</v>
      </c>
    </row>
  </sheetData>
  <mergeCells count="1">
    <mergeCell ref="A1:F1"/>
  </mergeCells>
  <conditionalFormatting sqref="F2:F3 F5:F65536">
    <cfRule type="cellIs" dxfId="38" priority="1" stopIfTrue="1" operator="between">
      <formula>0.009</formula>
      <formula>-0.009</formula>
    </cfRule>
  </conditionalFormatting>
  <pageMargins left="0.7" right="0.7" top="0.75" bottom="0.75" header="0.3" footer="0.3"/>
  <pageSetup paperSize="9" scale="55" orientation="portrait" r:id="rId1"/>
  <headerFooter>
    <oddFooter>&amp;LPUBLIC</oddFooter>
    <evenFooter>&amp;LPUBLIC</evenFooter>
    <firstFooter>&amp;LPUBLIC</first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2"/>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34</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842</v>
      </c>
      <c r="B7" s="26" t="s">
        <v>841</v>
      </c>
      <c r="C7" s="26" t="s">
        <v>152</v>
      </c>
      <c r="D7" s="30">
        <v>107</v>
      </c>
      <c r="E7" s="28">
        <v>1044.38527</v>
      </c>
      <c r="F7" s="29">
        <v>9.9629659203210998</v>
      </c>
    </row>
    <row r="8" spans="1:6" x14ac:dyDescent="0.2">
      <c r="A8" s="26" t="s">
        <v>856</v>
      </c>
      <c r="B8" s="26" t="s">
        <v>855</v>
      </c>
      <c r="C8" s="26" t="s">
        <v>532</v>
      </c>
      <c r="D8" s="30">
        <v>87</v>
      </c>
      <c r="E8" s="28">
        <v>876.99131999999997</v>
      </c>
      <c r="F8" s="29">
        <v>8.3661028976188305</v>
      </c>
    </row>
    <row r="9" spans="1:6" x14ac:dyDescent="0.2">
      <c r="A9" s="26" t="s">
        <v>600</v>
      </c>
      <c r="B9" s="26" t="s">
        <v>599</v>
      </c>
      <c r="C9" s="26" t="s">
        <v>152</v>
      </c>
      <c r="D9" s="30">
        <v>84</v>
      </c>
      <c r="E9" s="28">
        <v>846.44280000000003</v>
      </c>
      <c r="F9" s="29">
        <v>8.0746837514293706</v>
      </c>
    </row>
    <row r="10" spans="1:6" x14ac:dyDescent="0.2">
      <c r="A10" s="26" t="s">
        <v>800</v>
      </c>
      <c r="B10" s="26" t="s">
        <v>799</v>
      </c>
      <c r="C10" s="26" t="s">
        <v>152</v>
      </c>
      <c r="D10" s="30">
        <v>83</v>
      </c>
      <c r="E10" s="28">
        <v>840.20402000000001</v>
      </c>
      <c r="F10" s="29">
        <v>8.0151685951840292</v>
      </c>
    </row>
    <row r="11" spans="1:6" x14ac:dyDescent="0.2">
      <c r="A11" s="26" t="s">
        <v>836</v>
      </c>
      <c r="B11" s="26" t="s">
        <v>835</v>
      </c>
      <c r="C11" s="26" t="s">
        <v>152</v>
      </c>
      <c r="D11" s="30">
        <v>83</v>
      </c>
      <c r="E11" s="28">
        <v>840.03054999999995</v>
      </c>
      <c r="F11" s="29">
        <v>8.0135137693761198</v>
      </c>
    </row>
    <row r="12" spans="1:6" x14ac:dyDescent="0.2">
      <c r="A12" s="26" t="s">
        <v>858</v>
      </c>
      <c r="B12" s="26" t="s">
        <v>857</v>
      </c>
      <c r="C12" s="26" t="s">
        <v>152</v>
      </c>
      <c r="D12" s="30">
        <v>80</v>
      </c>
      <c r="E12" s="28">
        <v>814.98</v>
      </c>
      <c r="F12" s="29">
        <v>7.7745427851000697</v>
      </c>
    </row>
    <row r="13" spans="1:6" x14ac:dyDescent="0.2">
      <c r="A13" s="26" t="s">
        <v>850</v>
      </c>
      <c r="B13" s="26" t="s">
        <v>849</v>
      </c>
      <c r="C13" s="26" t="s">
        <v>152</v>
      </c>
      <c r="D13" s="30">
        <v>62</v>
      </c>
      <c r="E13" s="28">
        <v>793.78522499999997</v>
      </c>
      <c r="F13" s="29">
        <v>7.5723541607681</v>
      </c>
    </row>
    <row r="14" spans="1:6" x14ac:dyDescent="0.2">
      <c r="A14" s="26" t="s">
        <v>846</v>
      </c>
      <c r="B14" s="26" t="s">
        <v>845</v>
      </c>
      <c r="C14" s="26" t="s">
        <v>532</v>
      </c>
      <c r="D14" s="30">
        <v>65</v>
      </c>
      <c r="E14" s="28">
        <v>658.7269</v>
      </c>
      <c r="F14" s="29">
        <v>6.2839584624731097</v>
      </c>
    </row>
    <row r="15" spans="1:6" x14ac:dyDescent="0.2">
      <c r="A15" s="26" t="s">
        <v>534</v>
      </c>
      <c r="B15" s="26" t="s">
        <v>533</v>
      </c>
      <c r="C15" s="26" t="s">
        <v>152</v>
      </c>
      <c r="D15" s="30">
        <v>5</v>
      </c>
      <c r="E15" s="28">
        <v>509.5455</v>
      </c>
      <c r="F15" s="29">
        <v>4.8608349784107698</v>
      </c>
    </row>
    <row r="16" spans="1:6" x14ac:dyDescent="0.2">
      <c r="A16" s="26" t="s">
        <v>830</v>
      </c>
      <c r="B16" s="26" t="s">
        <v>829</v>
      </c>
      <c r="C16" s="26" t="s">
        <v>152</v>
      </c>
      <c r="D16" s="30">
        <v>40</v>
      </c>
      <c r="E16" s="28">
        <v>406.58240000000001</v>
      </c>
      <c r="F16" s="29">
        <v>3.87861329660688</v>
      </c>
    </row>
    <row r="17" spans="1:9" x14ac:dyDescent="0.2">
      <c r="A17" s="26" t="s">
        <v>848</v>
      </c>
      <c r="B17" s="26" t="s">
        <v>847</v>
      </c>
      <c r="C17" s="26" t="s">
        <v>152</v>
      </c>
      <c r="D17" s="30">
        <v>13</v>
      </c>
      <c r="E17" s="28">
        <v>132.30529000000001</v>
      </c>
      <c r="F17" s="29">
        <v>1.26213298215916</v>
      </c>
    </row>
    <row r="18" spans="1:9" x14ac:dyDescent="0.2">
      <c r="A18" s="26" t="s">
        <v>844</v>
      </c>
      <c r="B18" s="26" t="s">
        <v>843</v>
      </c>
      <c r="C18" s="26" t="s">
        <v>152</v>
      </c>
      <c r="D18" s="30">
        <v>8</v>
      </c>
      <c r="E18" s="28">
        <v>81.412559999999999</v>
      </c>
      <c r="F18" s="29">
        <v>0.77663921932381996</v>
      </c>
    </row>
    <row r="19" spans="1:9" x14ac:dyDescent="0.2">
      <c r="A19" s="26" t="s">
        <v>281</v>
      </c>
      <c r="B19" s="26" t="s">
        <v>280</v>
      </c>
      <c r="C19" s="26" t="s">
        <v>282</v>
      </c>
      <c r="D19" s="30">
        <v>6</v>
      </c>
      <c r="E19" s="28">
        <v>74.340419999999995</v>
      </c>
      <c r="F19" s="29">
        <v>0.70917418335702598</v>
      </c>
    </row>
    <row r="20" spans="1:9" x14ac:dyDescent="0.2">
      <c r="A20" s="26" t="s">
        <v>828</v>
      </c>
      <c r="B20" s="26" t="s">
        <v>827</v>
      </c>
      <c r="C20" s="26" t="s">
        <v>152</v>
      </c>
      <c r="D20" s="30">
        <v>5</v>
      </c>
      <c r="E20" s="28">
        <v>50.932699999999997</v>
      </c>
      <c r="F20" s="29">
        <v>0.48587505866483399</v>
      </c>
    </row>
    <row r="21" spans="1:9" x14ac:dyDescent="0.2">
      <c r="A21" s="26" t="s">
        <v>820</v>
      </c>
      <c r="B21" s="26" t="s">
        <v>819</v>
      </c>
      <c r="C21" s="26" t="s">
        <v>152</v>
      </c>
      <c r="D21" s="30">
        <v>3</v>
      </c>
      <c r="E21" s="28">
        <v>30.770759999999999</v>
      </c>
      <c r="F21" s="29">
        <v>0.29353921587038501</v>
      </c>
    </row>
    <row r="22" spans="1:9" x14ac:dyDescent="0.2">
      <c r="A22" s="26" t="s">
        <v>279</v>
      </c>
      <c r="B22" s="26" t="s">
        <v>278</v>
      </c>
      <c r="C22" s="26" t="s">
        <v>152</v>
      </c>
      <c r="D22" s="30">
        <v>3</v>
      </c>
      <c r="E22" s="28">
        <v>30.544650000000001</v>
      </c>
      <c r="F22" s="29">
        <v>0.291382228129411</v>
      </c>
    </row>
    <row r="23" spans="1:9" x14ac:dyDescent="0.2">
      <c r="A23" s="26" t="s">
        <v>798</v>
      </c>
      <c r="B23" s="26" t="s">
        <v>797</v>
      </c>
      <c r="C23" s="26" t="s">
        <v>152</v>
      </c>
      <c r="D23" s="30">
        <v>1</v>
      </c>
      <c r="E23" s="28">
        <v>12.516400000000001</v>
      </c>
      <c r="F23" s="29">
        <v>0.11940082862822</v>
      </c>
    </row>
    <row r="24" spans="1:9" x14ac:dyDescent="0.2">
      <c r="A24" s="26" t="s">
        <v>614</v>
      </c>
      <c r="B24" s="26" t="s">
        <v>613</v>
      </c>
      <c r="C24" s="26" t="s">
        <v>152</v>
      </c>
      <c r="D24" s="30">
        <v>1</v>
      </c>
      <c r="E24" s="28">
        <v>10.174440000000001</v>
      </c>
      <c r="F24" s="29">
        <v>9.70595831731252E-2</v>
      </c>
    </row>
    <row r="25" spans="1:9" ht="10.5" x14ac:dyDescent="0.25">
      <c r="A25" s="25" t="s">
        <v>153</v>
      </c>
      <c r="B25" s="25"/>
      <c r="C25" s="25"/>
      <c r="D25" s="31"/>
      <c r="E25" s="32">
        <f>SUM(E6:E24)</f>
        <v>8054.6712049999996</v>
      </c>
      <c r="F25" s="33">
        <f>SUM(F6:F24)</f>
        <v>76.837941916594346</v>
      </c>
      <c r="G25" s="17"/>
      <c r="H25" s="17"/>
      <c r="I25" s="17"/>
    </row>
    <row r="26" spans="1:9" x14ac:dyDescent="0.2">
      <c r="A26" s="26"/>
      <c r="B26" s="26"/>
      <c r="C26" s="26"/>
      <c r="D26" s="27"/>
      <c r="E26" s="28"/>
      <c r="F26" s="29"/>
    </row>
    <row r="27" spans="1:9" ht="10.5" x14ac:dyDescent="0.25">
      <c r="A27" s="25" t="s">
        <v>154</v>
      </c>
      <c r="B27" s="26"/>
      <c r="C27" s="26"/>
      <c r="D27" s="27"/>
      <c r="E27" s="28"/>
      <c r="F27" s="29"/>
    </row>
    <row r="28" spans="1:9" x14ac:dyDescent="0.2">
      <c r="A28" s="26" t="s">
        <v>826</v>
      </c>
      <c r="B28" s="26" t="s">
        <v>825</v>
      </c>
      <c r="C28" s="26" t="s">
        <v>492</v>
      </c>
      <c r="D28" s="30">
        <v>82</v>
      </c>
      <c r="E28" s="28">
        <v>831.00275999999997</v>
      </c>
      <c r="F28" s="29">
        <v>7.9273927116692997</v>
      </c>
    </row>
    <row r="29" spans="1:9" x14ac:dyDescent="0.2">
      <c r="A29" s="26" t="s">
        <v>852</v>
      </c>
      <c r="B29" s="26" t="s">
        <v>851</v>
      </c>
      <c r="C29" s="26" t="s">
        <v>152</v>
      </c>
      <c r="D29" s="30">
        <v>49</v>
      </c>
      <c r="E29" s="28">
        <v>498.2663</v>
      </c>
      <c r="F29" s="29">
        <v>4.7532364815375896</v>
      </c>
    </row>
    <row r="30" spans="1:9" x14ac:dyDescent="0.2">
      <c r="A30" s="26" t="s">
        <v>620</v>
      </c>
      <c r="B30" s="26" t="s">
        <v>619</v>
      </c>
      <c r="C30" s="26" t="s">
        <v>152</v>
      </c>
      <c r="D30" s="30">
        <v>27</v>
      </c>
      <c r="E30" s="28">
        <v>274.83381000000003</v>
      </c>
      <c r="F30" s="29">
        <v>2.6217909821554701</v>
      </c>
    </row>
    <row r="31" spans="1:9" ht="10.5" x14ac:dyDescent="0.25">
      <c r="A31" s="25" t="s">
        <v>153</v>
      </c>
      <c r="B31" s="25"/>
      <c r="C31" s="25"/>
      <c r="D31" s="31"/>
      <c r="E31" s="32">
        <f>SUM(E27:E30)</f>
        <v>1604.1028700000002</v>
      </c>
      <c r="F31" s="33">
        <f>SUM(F27:F30)</f>
        <v>15.302420175362361</v>
      </c>
      <c r="G31" s="17"/>
      <c r="H31" s="17"/>
      <c r="I31" s="17"/>
    </row>
    <row r="32" spans="1:9" x14ac:dyDescent="0.2">
      <c r="A32" s="26"/>
      <c r="B32" s="26"/>
      <c r="C32" s="26"/>
      <c r="D32" s="27"/>
      <c r="E32" s="28"/>
      <c r="F32" s="29"/>
    </row>
    <row r="33" spans="1:9" ht="10.5" x14ac:dyDescent="0.25">
      <c r="A33" s="25" t="s">
        <v>362</v>
      </c>
      <c r="B33" s="26"/>
      <c r="C33" s="26"/>
      <c r="D33" s="27"/>
      <c r="E33" s="28"/>
      <c r="F33" s="29"/>
    </row>
    <row r="34" spans="1:9" ht="10.5" x14ac:dyDescent="0.25">
      <c r="A34" s="25" t="s">
        <v>363</v>
      </c>
      <c r="B34" s="26"/>
      <c r="C34" s="26"/>
      <c r="D34" s="27"/>
      <c r="E34" s="28"/>
      <c r="F34" s="29"/>
    </row>
    <row r="35" spans="1:9" x14ac:dyDescent="0.2">
      <c r="A35" s="26" t="s">
        <v>375</v>
      </c>
      <c r="B35" s="26" t="s">
        <v>374</v>
      </c>
      <c r="C35" s="26" t="s">
        <v>369</v>
      </c>
      <c r="D35" s="30">
        <v>30</v>
      </c>
      <c r="E35" s="28">
        <v>29.552009999999999</v>
      </c>
      <c r="F35" s="29">
        <v>0.28191288882022297</v>
      </c>
    </row>
    <row r="36" spans="1:9" ht="10.5" x14ac:dyDescent="0.25">
      <c r="A36" s="25" t="s">
        <v>153</v>
      </c>
      <c r="B36" s="25"/>
      <c r="C36" s="25"/>
      <c r="D36" s="31"/>
      <c r="E36" s="32">
        <f>SUM(E34:E35)</f>
        <v>29.552009999999999</v>
      </c>
      <c r="F36" s="33">
        <f>SUM(F34:F35)</f>
        <v>0.28191288882022297</v>
      </c>
      <c r="G36" s="17"/>
      <c r="H36" s="17"/>
      <c r="I36" s="17"/>
    </row>
    <row r="37" spans="1:9" x14ac:dyDescent="0.2">
      <c r="A37" s="26"/>
      <c r="B37" s="26"/>
      <c r="C37" s="26"/>
      <c r="D37" s="27"/>
      <c r="E37" s="28"/>
      <c r="F37" s="29"/>
    </row>
    <row r="38" spans="1:9" ht="10.5" x14ac:dyDescent="0.25">
      <c r="A38" s="25" t="s">
        <v>378</v>
      </c>
      <c r="B38" s="26"/>
      <c r="C38" s="26"/>
      <c r="D38" s="27"/>
      <c r="E38" s="28"/>
      <c r="F38" s="29"/>
    </row>
    <row r="39" spans="1:9" x14ac:dyDescent="0.2">
      <c r="A39" s="26" t="s">
        <v>840</v>
      </c>
      <c r="B39" s="26" t="s">
        <v>839</v>
      </c>
      <c r="C39" s="26" t="s">
        <v>388</v>
      </c>
      <c r="D39" s="30">
        <v>37</v>
      </c>
      <c r="E39" s="28">
        <v>182.252565</v>
      </c>
      <c r="F39" s="29">
        <v>1.73860752937094</v>
      </c>
    </row>
    <row r="40" spans="1:9" ht="10.5" x14ac:dyDescent="0.25">
      <c r="A40" s="25" t="s">
        <v>153</v>
      </c>
      <c r="B40" s="25"/>
      <c r="C40" s="25"/>
      <c r="D40" s="31"/>
      <c r="E40" s="32">
        <f>SUM(E38:E39)</f>
        <v>182.252565</v>
      </c>
      <c r="F40" s="33">
        <f>SUM(F38:F39)</f>
        <v>1.73860752937094</v>
      </c>
      <c r="G40" s="17"/>
      <c r="H40" s="17"/>
      <c r="I40" s="17"/>
    </row>
    <row r="41" spans="1:9" x14ac:dyDescent="0.2">
      <c r="A41" s="26"/>
      <c r="B41" s="26"/>
      <c r="C41" s="26"/>
      <c r="D41" s="27"/>
      <c r="E41" s="28"/>
      <c r="F41" s="29"/>
    </row>
    <row r="42" spans="1:9" ht="10.5" x14ac:dyDescent="0.25">
      <c r="A42" s="25" t="s">
        <v>409</v>
      </c>
      <c r="B42" s="26"/>
      <c r="C42" s="26"/>
      <c r="D42" s="27"/>
      <c r="E42" s="28"/>
      <c r="F42" s="29"/>
    </row>
    <row r="43" spans="1:9" x14ac:dyDescent="0.2">
      <c r="A43" s="26" t="s">
        <v>411</v>
      </c>
      <c r="B43" s="26" t="s">
        <v>410</v>
      </c>
      <c r="C43" s="26" t="s">
        <v>412</v>
      </c>
      <c r="D43" s="30">
        <v>170000</v>
      </c>
      <c r="E43" s="28">
        <v>167.23375999999999</v>
      </c>
      <c r="F43" s="29">
        <v>1.5953348821236799</v>
      </c>
    </row>
    <row r="44" spans="1:9" ht="10.5" x14ac:dyDescent="0.25">
      <c r="A44" s="25" t="s">
        <v>153</v>
      </c>
      <c r="B44" s="25"/>
      <c r="C44" s="25"/>
      <c r="D44" s="31"/>
      <c r="E44" s="32">
        <f>SUM(E42:E43)</f>
        <v>167.23375999999999</v>
      </c>
      <c r="F44" s="33">
        <f>SUM(F42:F43)</f>
        <v>1.5953348821236799</v>
      </c>
      <c r="G44" s="17"/>
      <c r="H44" s="17"/>
      <c r="I44" s="17"/>
    </row>
    <row r="45" spans="1:9" x14ac:dyDescent="0.2">
      <c r="A45" s="26"/>
      <c r="B45" s="26"/>
      <c r="C45" s="26"/>
      <c r="D45" s="27"/>
      <c r="E45" s="28"/>
      <c r="F45" s="29"/>
    </row>
    <row r="46" spans="1:9" ht="10.5" x14ac:dyDescent="0.25">
      <c r="A46" s="25" t="s">
        <v>166</v>
      </c>
      <c r="B46" s="25"/>
      <c r="C46" s="25"/>
      <c r="D46" s="31"/>
      <c r="E46" s="32">
        <f>E25+E31+E36+E40+E44</f>
        <v>10037.812409999999</v>
      </c>
      <c r="F46" s="33">
        <f>F25+F31+F36+F40+F44</f>
        <v>95.756217392271552</v>
      </c>
      <c r="G46" s="17"/>
      <c r="H46" s="17"/>
      <c r="I46" s="17"/>
    </row>
    <row r="47" spans="1:9" ht="10.5" x14ac:dyDescent="0.25">
      <c r="A47" s="25"/>
      <c r="B47" s="25"/>
      <c r="C47" s="25"/>
      <c r="D47" s="31"/>
      <c r="E47" s="32"/>
      <c r="F47" s="33"/>
      <c r="G47" s="17"/>
      <c r="H47" s="17"/>
      <c r="I47" s="17"/>
    </row>
    <row r="48" spans="1:9" ht="10.5" x14ac:dyDescent="0.25">
      <c r="A48" s="25" t="s">
        <v>168</v>
      </c>
      <c r="B48" s="25"/>
      <c r="C48" s="25"/>
      <c r="D48" s="31"/>
      <c r="E48" s="32">
        <f>E50-(E25+E31+E36+E40+E44)</f>
        <v>444.86190960000204</v>
      </c>
      <c r="F48" s="33">
        <f>F50-(F25+F31+F36+F40+F44)</f>
        <v>4.2437826077284484</v>
      </c>
      <c r="G48" s="17"/>
      <c r="H48" s="17"/>
      <c r="I48" s="17"/>
    </row>
    <row r="49" spans="1:9" ht="10.5" x14ac:dyDescent="0.25">
      <c r="A49" s="25"/>
      <c r="B49" s="25"/>
      <c r="C49" s="25"/>
      <c r="D49" s="31"/>
      <c r="E49" s="32"/>
      <c r="F49" s="33"/>
      <c r="G49" s="17"/>
      <c r="H49" s="17"/>
      <c r="I49" s="17"/>
    </row>
    <row r="50" spans="1:9" ht="10.5" x14ac:dyDescent="0.25">
      <c r="A50" s="34" t="s">
        <v>167</v>
      </c>
      <c r="B50" s="34"/>
      <c r="C50" s="34"/>
      <c r="D50" s="35"/>
      <c r="E50" s="36">
        <v>10482.674319600001</v>
      </c>
      <c r="F50" s="37">
        <v>100</v>
      </c>
      <c r="G50" s="17"/>
      <c r="H50" s="17"/>
      <c r="I50" s="17"/>
    </row>
    <row r="52" spans="1:9" ht="10.5" x14ac:dyDescent="0.25">
      <c r="A52" s="17" t="s">
        <v>419</v>
      </c>
    </row>
    <row r="53" spans="1:9" ht="10.5" x14ac:dyDescent="0.25">
      <c r="A53" s="17" t="s">
        <v>170</v>
      </c>
    </row>
    <row r="55" spans="1:9" ht="10.5" x14ac:dyDescent="0.25">
      <c r="A55" s="17" t="s">
        <v>171</v>
      </c>
    </row>
    <row r="56" spans="1:9" ht="10.5" x14ac:dyDescent="0.25">
      <c r="A56" s="17" t="s">
        <v>172</v>
      </c>
    </row>
    <row r="57" spans="1:9" ht="10.5" x14ac:dyDescent="0.25">
      <c r="A57" s="17" t="s">
        <v>173</v>
      </c>
      <c r="B57" s="17"/>
      <c r="C57" s="38" t="s">
        <v>175</v>
      </c>
      <c r="D57" s="18" t="s">
        <v>174</v>
      </c>
    </row>
    <row r="58" spans="1:9" x14ac:dyDescent="0.2">
      <c r="A58" s="10" t="s">
        <v>436</v>
      </c>
      <c r="C58" s="39">
        <v>11.837</v>
      </c>
      <c r="D58" s="39">
        <v>12.34</v>
      </c>
    </row>
    <row r="59" spans="1:9" x14ac:dyDescent="0.2">
      <c r="A59" s="10" t="s">
        <v>734</v>
      </c>
      <c r="C59" s="39">
        <v>10.311199999999999</v>
      </c>
      <c r="D59" s="39">
        <v>10.7493</v>
      </c>
    </row>
    <row r="60" spans="1:9" x14ac:dyDescent="0.2">
      <c r="A60" s="10" t="s">
        <v>438</v>
      </c>
      <c r="C60" s="39">
        <v>10.303100000000001</v>
      </c>
      <c r="D60" s="39">
        <v>10.327</v>
      </c>
    </row>
    <row r="61" spans="1:9" x14ac:dyDescent="0.2">
      <c r="A61" s="10" t="s">
        <v>439</v>
      </c>
      <c r="C61" s="39">
        <v>11.8963</v>
      </c>
      <c r="D61" s="39">
        <v>12.4018</v>
      </c>
    </row>
    <row r="62" spans="1:9" x14ac:dyDescent="0.2">
      <c r="A62" s="10" t="s">
        <v>471</v>
      </c>
      <c r="C62" s="39">
        <v>10.3706</v>
      </c>
      <c r="D62" s="39">
        <v>10.811400000000001</v>
      </c>
    </row>
    <row r="64" spans="1:9" ht="10.5" x14ac:dyDescent="0.25">
      <c r="A64" s="17" t="s">
        <v>185</v>
      </c>
    </row>
    <row r="65" spans="1:5" ht="12.5" x14ac:dyDescent="0.25">
      <c r="A65" s="100" t="s">
        <v>350</v>
      </c>
      <c r="B65" s="101"/>
      <c r="C65" s="98" t="s">
        <v>1658</v>
      </c>
      <c r="D65" s="99"/>
    </row>
    <row r="66" spans="1:5" ht="10.5" x14ac:dyDescent="0.25">
      <c r="A66" s="100"/>
      <c r="B66" s="101"/>
      <c r="C66" s="43" t="s">
        <v>351</v>
      </c>
      <c r="D66" s="44" t="s">
        <v>352</v>
      </c>
    </row>
    <row r="67" spans="1:5" x14ac:dyDescent="0.2">
      <c r="A67" s="94" t="s">
        <v>438</v>
      </c>
      <c r="B67" s="95"/>
      <c r="C67" s="45">
        <v>0.40499999999999997</v>
      </c>
      <c r="D67" s="45">
        <v>0.40499999999999997</v>
      </c>
    </row>
    <row r="68" spans="1:5" x14ac:dyDescent="0.2">
      <c r="A68" s="90" t="s">
        <v>1657</v>
      </c>
    </row>
    <row r="70" spans="1:5" ht="10.5" x14ac:dyDescent="0.25">
      <c r="A70" s="17" t="s">
        <v>187</v>
      </c>
      <c r="D70" s="41">
        <v>0.39527793060274002</v>
      </c>
      <c r="E70" s="15" t="s">
        <v>188</v>
      </c>
    </row>
    <row r="72" spans="1:5" ht="10.5" x14ac:dyDescent="0.25">
      <c r="A72" s="17" t="s">
        <v>189</v>
      </c>
      <c r="D72" s="40" t="s">
        <v>186</v>
      </c>
    </row>
  </sheetData>
  <mergeCells count="5">
    <mergeCell ref="A1:F1"/>
    <mergeCell ref="C65:D65"/>
    <mergeCell ref="A65:B65"/>
    <mergeCell ref="A66:B66"/>
    <mergeCell ref="A67:B67"/>
  </mergeCells>
  <conditionalFormatting sqref="F2:F3 F5:F65537">
    <cfRule type="cellIs" dxfId="37"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8"/>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35</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830</v>
      </c>
      <c r="B7" s="26" t="s">
        <v>829</v>
      </c>
      <c r="C7" s="26" t="s">
        <v>152</v>
      </c>
      <c r="D7" s="30">
        <v>113</v>
      </c>
      <c r="E7" s="28">
        <v>1148.59528</v>
      </c>
      <c r="F7" s="29">
        <v>9.1096923304940205</v>
      </c>
    </row>
    <row r="8" spans="1:6" x14ac:dyDescent="0.2">
      <c r="A8" s="26" t="s">
        <v>856</v>
      </c>
      <c r="B8" s="26" t="s">
        <v>855</v>
      </c>
      <c r="C8" s="26" t="s">
        <v>532</v>
      </c>
      <c r="D8" s="30">
        <v>106</v>
      </c>
      <c r="E8" s="28">
        <v>1068.5181600000001</v>
      </c>
      <c r="F8" s="29">
        <v>8.4745879219924891</v>
      </c>
    </row>
    <row r="9" spans="1:6" x14ac:dyDescent="0.2">
      <c r="A9" s="26" t="s">
        <v>860</v>
      </c>
      <c r="B9" s="26" t="s">
        <v>859</v>
      </c>
      <c r="C9" s="26" t="s">
        <v>532</v>
      </c>
      <c r="D9" s="30">
        <v>100</v>
      </c>
      <c r="E9" s="28">
        <v>1012.899</v>
      </c>
      <c r="F9" s="29">
        <v>8.0334634945261705</v>
      </c>
    </row>
    <row r="10" spans="1:6" x14ac:dyDescent="0.2">
      <c r="A10" s="26" t="s">
        <v>671</v>
      </c>
      <c r="B10" s="26" t="s">
        <v>670</v>
      </c>
      <c r="C10" s="26" t="s">
        <v>152</v>
      </c>
      <c r="D10" s="30">
        <v>99</v>
      </c>
      <c r="E10" s="28">
        <v>1012.02453</v>
      </c>
      <c r="F10" s="29">
        <v>8.0265279335057098</v>
      </c>
    </row>
    <row r="11" spans="1:6" x14ac:dyDescent="0.2">
      <c r="A11" s="26" t="s">
        <v>600</v>
      </c>
      <c r="B11" s="26" t="s">
        <v>599</v>
      </c>
      <c r="C11" s="26" t="s">
        <v>152</v>
      </c>
      <c r="D11" s="30">
        <v>100</v>
      </c>
      <c r="E11" s="28">
        <v>1007.67</v>
      </c>
      <c r="F11" s="29">
        <v>7.9919914616651599</v>
      </c>
    </row>
    <row r="12" spans="1:6" x14ac:dyDescent="0.2">
      <c r="A12" s="26" t="s">
        <v>820</v>
      </c>
      <c r="B12" s="26" t="s">
        <v>819</v>
      </c>
      <c r="C12" s="26" t="s">
        <v>152</v>
      </c>
      <c r="D12" s="30">
        <v>97</v>
      </c>
      <c r="E12" s="28">
        <v>994.92124000000001</v>
      </c>
      <c r="F12" s="29">
        <v>7.8908790130790001</v>
      </c>
    </row>
    <row r="13" spans="1:6" x14ac:dyDescent="0.2">
      <c r="A13" s="26" t="s">
        <v>836</v>
      </c>
      <c r="B13" s="26" t="s">
        <v>835</v>
      </c>
      <c r="C13" s="26" t="s">
        <v>152</v>
      </c>
      <c r="D13" s="30">
        <v>73</v>
      </c>
      <c r="E13" s="28">
        <v>738.82204999999999</v>
      </c>
      <c r="F13" s="29">
        <v>5.8597154974247001</v>
      </c>
    </row>
    <row r="14" spans="1:6" x14ac:dyDescent="0.2">
      <c r="A14" s="26" t="s">
        <v>534</v>
      </c>
      <c r="B14" s="26" t="s">
        <v>533</v>
      </c>
      <c r="C14" s="26" t="s">
        <v>152</v>
      </c>
      <c r="D14" s="30">
        <v>5</v>
      </c>
      <c r="E14" s="28">
        <v>509.5455</v>
      </c>
      <c r="F14" s="29">
        <v>4.0412866169776898</v>
      </c>
    </row>
    <row r="15" spans="1:6" x14ac:dyDescent="0.2">
      <c r="A15" s="26" t="s">
        <v>862</v>
      </c>
      <c r="B15" s="26" t="s">
        <v>861</v>
      </c>
      <c r="C15" s="26" t="s">
        <v>532</v>
      </c>
      <c r="D15" s="30">
        <v>50</v>
      </c>
      <c r="E15" s="28">
        <v>508.31549999999999</v>
      </c>
      <c r="F15" s="29">
        <v>4.0315312908313796</v>
      </c>
    </row>
    <row r="16" spans="1:6" x14ac:dyDescent="0.2">
      <c r="A16" s="26" t="s">
        <v>824</v>
      </c>
      <c r="B16" s="26" t="s">
        <v>823</v>
      </c>
      <c r="C16" s="26" t="s">
        <v>152</v>
      </c>
      <c r="D16" s="30">
        <v>49</v>
      </c>
      <c r="E16" s="28">
        <v>495.50808999999998</v>
      </c>
      <c r="F16" s="29">
        <v>3.9299536797423902</v>
      </c>
    </row>
    <row r="17" spans="1:9" x14ac:dyDescent="0.2">
      <c r="A17" s="26" t="s">
        <v>281</v>
      </c>
      <c r="B17" s="26" t="s">
        <v>280</v>
      </c>
      <c r="C17" s="26" t="s">
        <v>282</v>
      </c>
      <c r="D17" s="30">
        <v>24</v>
      </c>
      <c r="E17" s="28">
        <v>297.36167999999998</v>
      </c>
      <c r="F17" s="29">
        <v>2.3584229039133899</v>
      </c>
    </row>
    <row r="18" spans="1:9" x14ac:dyDescent="0.2">
      <c r="A18" s="26" t="s">
        <v>842</v>
      </c>
      <c r="B18" s="26" t="s">
        <v>841</v>
      </c>
      <c r="C18" s="26" t="s">
        <v>152</v>
      </c>
      <c r="D18" s="30">
        <v>18</v>
      </c>
      <c r="E18" s="28">
        <v>175.69098</v>
      </c>
      <c r="F18" s="29">
        <v>1.39343317956433</v>
      </c>
    </row>
    <row r="19" spans="1:9" x14ac:dyDescent="0.2">
      <c r="A19" s="26" t="s">
        <v>614</v>
      </c>
      <c r="B19" s="26" t="s">
        <v>613</v>
      </c>
      <c r="C19" s="26" t="s">
        <v>152</v>
      </c>
      <c r="D19" s="30">
        <v>9</v>
      </c>
      <c r="E19" s="28">
        <v>91.569959999999995</v>
      </c>
      <c r="F19" s="29">
        <v>0.72625595528796205</v>
      </c>
    </row>
    <row r="20" spans="1:9" x14ac:dyDescent="0.2">
      <c r="A20" s="26" t="s">
        <v>822</v>
      </c>
      <c r="B20" s="26" t="s">
        <v>821</v>
      </c>
      <c r="C20" s="26" t="s">
        <v>152</v>
      </c>
      <c r="D20" s="30">
        <v>6</v>
      </c>
      <c r="E20" s="28">
        <v>74.688779999999994</v>
      </c>
      <c r="F20" s="29">
        <v>0.59236862469080898</v>
      </c>
    </row>
    <row r="21" spans="1:9" x14ac:dyDescent="0.2">
      <c r="A21" s="26" t="s">
        <v>588</v>
      </c>
      <c r="B21" s="26" t="s">
        <v>587</v>
      </c>
      <c r="C21" s="26" t="s">
        <v>532</v>
      </c>
      <c r="D21" s="30">
        <v>3</v>
      </c>
      <c r="E21" s="28">
        <v>37.363529999999997</v>
      </c>
      <c r="F21" s="29">
        <v>0.29633611473763199</v>
      </c>
    </row>
    <row r="22" spans="1:9" x14ac:dyDescent="0.2">
      <c r="A22" s="26" t="s">
        <v>279</v>
      </c>
      <c r="B22" s="26" t="s">
        <v>278</v>
      </c>
      <c r="C22" s="26" t="s">
        <v>152</v>
      </c>
      <c r="D22" s="30">
        <v>3</v>
      </c>
      <c r="E22" s="28">
        <v>30.544650000000001</v>
      </c>
      <c r="F22" s="29">
        <v>0.242254490060785</v>
      </c>
    </row>
    <row r="23" spans="1:9" ht="10.5" x14ac:dyDescent="0.25">
      <c r="A23" s="25" t="s">
        <v>153</v>
      </c>
      <c r="B23" s="25"/>
      <c r="C23" s="25"/>
      <c r="D23" s="31"/>
      <c r="E23" s="32">
        <f>SUM(E6:E22)</f>
        <v>9204.0389300000006</v>
      </c>
      <c r="F23" s="33">
        <f>SUM(F6:F22)</f>
        <v>72.998700508493627</v>
      </c>
      <c r="G23" s="17"/>
      <c r="H23" s="17"/>
      <c r="I23" s="17"/>
    </row>
    <row r="24" spans="1:9" x14ac:dyDescent="0.2">
      <c r="A24" s="26"/>
      <c r="B24" s="26"/>
      <c r="C24" s="26"/>
      <c r="D24" s="27"/>
      <c r="E24" s="28"/>
      <c r="F24" s="29"/>
    </row>
    <row r="25" spans="1:9" ht="10.5" x14ac:dyDescent="0.25">
      <c r="A25" s="25" t="s">
        <v>154</v>
      </c>
      <c r="B25" s="26"/>
      <c r="C25" s="26"/>
      <c r="D25" s="27"/>
      <c r="E25" s="28"/>
      <c r="F25" s="29"/>
    </row>
    <row r="26" spans="1:9" x14ac:dyDescent="0.2">
      <c r="A26" s="26" t="s">
        <v>864</v>
      </c>
      <c r="B26" s="26" t="s">
        <v>863</v>
      </c>
      <c r="C26" s="26" t="s">
        <v>152</v>
      </c>
      <c r="D26" s="30">
        <v>100</v>
      </c>
      <c r="E26" s="28">
        <v>1011.064</v>
      </c>
      <c r="F26" s="29">
        <v>8.0189098169013899</v>
      </c>
    </row>
    <row r="27" spans="1:9" x14ac:dyDescent="0.2">
      <c r="A27" s="26" t="s">
        <v>620</v>
      </c>
      <c r="B27" s="26" t="s">
        <v>619</v>
      </c>
      <c r="C27" s="26" t="s">
        <v>152</v>
      </c>
      <c r="D27" s="30">
        <v>56</v>
      </c>
      <c r="E27" s="28">
        <v>570.02567999999997</v>
      </c>
      <c r="F27" s="29">
        <v>4.5209645692437803</v>
      </c>
    </row>
    <row r="28" spans="1:9" ht="10.5" x14ac:dyDescent="0.25">
      <c r="A28" s="25" t="s">
        <v>153</v>
      </c>
      <c r="B28" s="25"/>
      <c r="C28" s="25"/>
      <c r="D28" s="31"/>
      <c r="E28" s="32">
        <f>SUM(E25:E27)</f>
        <v>1581.08968</v>
      </c>
      <c r="F28" s="33">
        <f>SUM(F25:F27)</f>
        <v>12.53987438614517</v>
      </c>
      <c r="G28" s="17"/>
      <c r="H28" s="17"/>
      <c r="I28" s="17"/>
    </row>
    <row r="29" spans="1:9" x14ac:dyDescent="0.2">
      <c r="A29" s="26"/>
      <c r="B29" s="26"/>
      <c r="C29" s="26"/>
      <c r="D29" s="27"/>
      <c r="E29" s="28"/>
      <c r="F29" s="29"/>
    </row>
    <row r="30" spans="1:9" ht="10.5" x14ac:dyDescent="0.25">
      <c r="A30" s="25" t="s">
        <v>362</v>
      </c>
      <c r="B30" s="26"/>
      <c r="C30" s="26"/>
      <c r="D30" s="27"/>
      <c r="E30" s="28"/>
      <c r="F30" s="29"/>
    </row>
    <row r="31" spans="1:9" ht="10.5" x14ac:dyDescent="0.25">
      <c r="A31" s="25" t="s">
        <v>363</v>
      </c>
      <c r="B31" s="26"/>
      <c r="C31" s="26"/>
      <c r="D31" s="27"/>
      <c r="E31" s="28"/>
      <c r="F31" s="29"/>
    </row>
    <row r="32" spans="1:9" x14ac:dyDescent="0.2">
      <c r="A32" s="26" t="s">
        <v>375</v>
      </c>
      <c r="B32" s="26" t="s">
        <v>374</v>
      </c>
      <c r="C32" s="26" t="s">
        <v>369</v>
      </c>
      <c r="D32" s="30">
        <v>222</v>
      </c>
      <c r="E32" s="28">
        <v>218.68487400000001</v>
      </c>
      <c r="F32" s="29">
        <v>1.73442460905189</v>
      </c>
    </row>
    <row r="33" spans="1:9" ht="10.5" x14ac:dyDescent="0.25">
      <c r="A33" s="25" t="s">
        <v>153</v>
      </c>
      <c r="B33" s="25"/>
      <c r="C33" s="25"/>
      <c r="D33" s="31"/>
      <c r="E33" s="32">
        <f>SUM(E31:E32)</f>
        <v>218.68487400000001</v>
      </c>
      <c r="F33" s="33">
        <f>SUM(F31:F32)</f>
        <v>1.73442460905189</v>
      </c>
      <c r="G33" s="17"/>
      <c r="H33" s="17"/>
      <c r="I33" s="17"/>
    </row>
    <row r="34" spans="1:9" x14ac:dyDescent="0.2">
      <c r="A34" s="26"/>
      <c r="B34" s="26"/>
      <c r="C34" s="26"/>
      <c r="D34" s="27"/>
      <c r="E34" s="28"/>
      <c r="F34" s="29"/>
    </row>
    <row r="35" spans="1:9" ht="10.5" x14ac:dyDescent="0.25">
      <c r="A35" s="25" t="s">
        <v>378</v>
      </c>
      <c r="B35" s="26"/>
      <c r="C35" s="26"/>
      <c r="D35" s="27"/>
      <c r="E35" s="28"/>
      <c r="F35" s="29"/>
    </row>
    <row r="36" spans="1:9" x14ac:dyDescent="0.2">
      <c r="A36" s="26" t="s">
        <v>840</v>
      </c>
      <c r="B36" s="26" t="s">
        <v>839</v>
      </c>
      <c r="C36" s="26" t="s">
        <v>388</v>
      </c>
      <c r="D36" s="30">
        <v>77</v>
      </c>
      <c r="E36" s="28">
        <v>379.28236500000003</v>
      </c>
      <c r="F36" s="29">
        <v>3.0081489204205401</v>
      </c>
    </row>
    <row r="37" spans="1:9" ht="10.5" x14ac:dyDescent="0.25">
      <c r="A37" s="25" t="s">
        <v>153</v>
      </c>
      <c r="B37" s="25"/>
      <c r="C37" s="25"/>
      <c r="D37" s="31"/>
      <c r="E37" s="32">
        <f>SUM(E35:E36)</f>
        <v>379.28236500000003</v>
      </c>
      <c r="F37" s="33">
        <f>SUM(F35:F36)</f>
        <v>3.0081489204205401</v>
      </c>
      <c r="G37" s="17"/>
      <c r="H37" s="17"/>
      <c r="I37" s="17"/>
    </row>
    <row r="38" spans="1:9" x14ac:dyDescent="0.2">
      <c r="A38" s="26"/>
      <c r="B38" s="26"/>
      <c r="C38" s="26"/>
      <c r="D38" s="27"/>
      <c r="E38" s="28"/>
      <c r="F38" s="29"/>
    </row>
    <row r="39" spans="1:9" ht="10.5" x14ac:dyDescent="0.25">
      <c r="A39" s="25" t="s">
        <v>409</v>
      </c>
      <c r="B39" s="26"/>
      <c r="C39" s="26"/>
      <c r="D39" s="27"/>
      <c r="E39" s="28"/>
      <c r="F39" s="29"/>
    </row>
    <row r="40" spans="1:9" x14ac:dyDescent="0.2">
      <c r="A40" s="26" t="s">
        <v>411</v>
      </c>
      <c r="B40" s="26" t="s">
        <v>410</v>
      </c>
      <c r="C40" s="26" t="s">
        <v>412</v>
      </c>
      <c r="D40" s="30">
        <v>710000</v>
      </c>
      <c r="E40" s="28">
        <v>698.44687999999996</v>
      </c>
      <c r="F40" s="29">
        <v>5.5394935855852303</v>
      </c>
    </row>
    <row r="41" spans="1:9" ht="10.5" x14ac:dyDescent="0.25">
      <c r="A41" s="25" t="s">
        <v>153</v>
      </c>
      <c r="B41" s="25"/>
      <c r="C41" s="25"/>
      <c r="D41" s="31"/>
      <c r="E41" s="32">
        <f>SUM(E39:E40)</f>
        <v>698.44687999999996</v>
      </c>
      <c r="F41" s="33">
        <f>SUM(F39:F40)</f>
        <v>5.5394935855852303</v>
      </c>
      <c r="G41" s="17"/>
      <c r="H41" s="17"/>
      <c r="I41" s="17"/>
    </row>
    <row r="42" spans="1:9" x14ac:dyDescent="0.2">
      <c r="A42" s="26"/>
      <c r="B42" s="26"/>
      <c r="C42" s="26"/>
      <c r="D42" s="27"/>
      <c r="E42" s="28"/>
      <c r="F42" s="29"/>
    </row>
    <row r="43" spans="1:9" ht="10.5" x14ac:dyDescent="0.25">
      <c r="A43" s="25" t="s">
        <v>166</v>
      </c>
      <c r="B43" s="25"/>
      <c r="C43" s="25"/>
      <c r="D43" s="31"/>
      <c r="E43" s="32">
        <f>E23+E28+E33+E37+E41</f>
        <v>12081.542729000001</v>
      </c>
      <c r="F43" s="33">
        <f>F23+F28+F33+F37+F41</f>
        <v>95.820642009696456</v>
      </c>
      <c r="G43" s="17"/>
      <c r="H43" s="17"/>
      <c r="I43" s="17"/>
    </row>
    <row r="44" spans="1:9" ht="10.5" x14ac:dyDescent="0.25">
      <c r="A44" s="25"/>
      <c r="B44" s="25"/>
      <c r="C44" s="25"/>
      <c r="D44" s="31"/>
      <c r="E44" s="32"/>
      <c r="F44" s="33"/>
      <c r="G44" s="17"/>
      <c r="H44" s="17"/>
      <c r="I44" s="17"/>
    </row>
    <row r="45" spans="1:9" ht="10.5" x14ac:dyDescent="0.25">
      <c r="A45" s="25" t="s">
        <v>168</v>
      </c>
      <c r="B45" s="25"/>
      <c r="C45" s="25"/>
      <c r="D45" s="31"/>
      <c r="E45" s="32">
        <f>E47-(E23+E28+E33+E37+E41)</f>
        <v>526.95422489999874</v>
      </c>
      <c r="F45" s="33">
        <f>F47-(F23+F28+F33+F37+F41)</f>
        <v>4.1793579903035436</v>
      </c>
      <c r="G45" s="17"/>
      <c r="H45" s="17"/>
      <c r="I45" s="17"/>
    </row>
    <row r="46" spans="1:9" ht="10.5" x14ac:dyDescent="0.25">
      <c r="A46" s="25"/>
      <c r="B46" s="25"/>
      <c r="C46" s="25"/>
      <c r="D46" s="31"/>
      <c r="E46" s="32"/>
      <c r="F46" s="33"/>
      <c r="G46" s="17"/>
      <c r="H46" s="17"/>
      <c r="I46" s="17"/>
    </row>
    <row r="47" spans="1:9" ht="10.5" x14ac:dyDescent="0.25">
      <c r="A47" s="34" t="s">
        <v>167</v>
      </c>
      <c r="B47" s="34"/>
      <c r="C47" s="34"/>
      <c r="D47" s="35"/>
      <c r="E47" s="36">
        <v>12608.496953899999</v>
      </c>
      <c r="F47" s="37">
        <v>100</v>
      </c>
      <c r="G47" s="17"/>
      <c r="H47" s="17"/>
      <c r="I47" s="17"/>
    </row>
    <row r="49" spans="1:4" ht="10.5" x14ac:dyDescent="0.25">
      <c r="A49" s="17" t="s">
        <v>419</v>
      </c>
    </row>
    <row r="50" spans="1:4" ht="10.5" x14ac:dyDescent="0.25">
      <c r="A50" s="17" t="s">
        <v>170</v>
      </c>
    </row>
    <row r="52" spans="1:4" ht="10.5" x14ac:dyDescent="0.25">
      <c r="A52" s="17" t="s">
        <v>171</v>
      </c>
    </row>
    <row r="53" spans="1:4" ht="10.5" x14ac:dyDescent="0.25">
      <c r="A53" s="17" t="s">
        <v>172</v>
      </c>
    </row>
    <row r="54" spans="1:4" ht="10.5" x14ac:dyDescent="0.25">
      <c r="A54" s="17" t="s">
        <v>173</v>
      </c>
      <c r="B54" s="17"/>
      <c r="C54" s="38" t="s">
        <v>175</v>
      </c>
      <c r="D54" s="18" t="s">
        <v>174</v>
      </c>
    </row>
    <row r="55" spans="1:4" x14ac:dyDescent="0.2">
      <c r="A55" s="10" t="s">
        <v>436</v>
      </c>
      <c r="C55" s="39">
        <v>11.8499</v>
      </c>
      <c r="D55" s="39">
        <v>12.3437</v>
      </c>
    </row>
    <row r="56" spans="1:4" x14ac:dyDescent="0.2">
      <c r="A56" s="10" t="s">
        <v>734</v>
      </c>
      <c r="C56" s="39">
        <v>10.343999999999999</v>
      </c>
      <c r="D56" s="39">
        <v>10.775600000000001</v>
      </c>
    </row>
    <row r="57" spans="1:4" x14ac:dyDescent="0.2">
      <c r="A57" s="10" t="s">
        <v>438</v>
      </c>
      <c r="C57" s="39">
        <v>10.1401</v>
      </c>
      <c r="D57" s="39">
        <v>10.2049</v>
      </c>
    </row>
    <row r="58" spans="1:4" x14ac:dyDescent="0.2">
      <c r="A58" s="10" t="s">
        <v>439</v>
      </c>
      <c r="C58" s="39">
        <v>11.9093</v>
      </c>
      <c r="D58" s="39">
        <v>12.4055</v>
      </c>
    </row>
    <row r="60" spans="1:4" ht="10.5" x14ac:dyDescent="0.25">
      <c r="A60" s="17" t="s">
        <v>185</v>
      </c>
    </row>
    <row r="61" spans="1:4" ht="12.5" x14ac:dyDescent="0.25">
      <c r="A61" s="100" t="s">
        <v>350</v>
      </c>
      <c r="B61" s="101"/>
      <c r="C61" s="98" t="s">
        <v>1658</v>
      </c>
      <c r="D61" s="99"/>
    </row>
    <row r="62" spans="1:4" ht="10.5" x14ac:dyDescent="0.25">
      <c r="A62" s="100"/>
      <c r="B62" s="101"/>
      <c r="C62" s="43" t="s">
        <v>351</v>
      </c>
      <c r="D62" s="44" t="s">
        <v>352</v>
      </c>
    </row>
    <row r="63" spans="1:4" x14ac:dyDescent="0.2">
      <c r="A63" s="94" t="s">
        <v>438</v>
      </c>
      <c r="B63" s="95"/>
      <c r="C63" s="45">
        <v>0.35499999999999998</v>
      </c>
      <c r="D63" s="45">
        <v>0.35499999999999998</v>
      </c>
    </row>
    <row r="64" spans="1:4" x14ac:dyDescent="0.2">
      <c r="A64" s="90" t="s">
        <v>1657</v>
      </c>
    </row>
    <row r="66" spans="1:5" ht="10.5" x14ac:dyDescent="0.25">
      <c r="A66" s="17" t="s">
        <v>187</v>
      </c>
      <c r="D66" s="41">
        <v>0.39131101832876702</v>
      </c>
      <c r="E66" s="15" t="s">
        <v>188</v>
      </c>
    </row>
    <row r="68" spans="1:5" ht="10.5" x14ac:dyDescent="0.25">
      <c r="A68" s="17" t="s">
        <v>189</v>
      </c>
      <c r="D68" s="40" t="s">
        <v>186</v>
      </c>
    </row>
  </sheetData>
  <mergeCells count="5">
    <mergeCell ref="A1:F1"/>
    <mergeCell ref="C61:D61"/>
    <mergeCell ref="A61:B61"/>
    <mergeCell ref="A62:B62"/>
    <mergeCell ref="A63:B63"/>
  </mergeCells>
  <conditionalFormatting sqref="F2:F3 F5:F65536">
    <cfRule type="cellIs" dxfId="36"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70"/>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4" style="10" bestFit="1" customWidth="1"/>
    <col min="3" max="3" width="15.4531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36</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169</v>
      </c>
      <c r="D4" s="48" t="s">
        <v>1</v>
      </c>
      <c r="E4" s="9" t="s">
        <v>3</v>
      </c>
      <c r="F4" s="9" t="s">
        <v>4</v>
      </c>
    </row>
    <row r="5" spans="1:6" ht="10.5" x14ac:dyDescent="0.25">
      <c r="A5" s="20" t="s">
        <v>56</v>
      </c>
      <c r="B5" s="21"/>
      <c r="C5" s="21"/>
      <c r="D5" s="22"/>
      <c r="E5" s="23"/>
      <c r="F5" s="24"/>
    </row>
    <row r="6" spans="1:6" ht="10.5" x14ac:dyDescent="0.25">
      <c r="A6" s="25" t="s">
        <v>57</v>
      </c>
      <c r="B6" s="26"/>
      <c r="C6" s="26"/>
      <c r="D6" s="27"/>
      <c r="E6" s="28"/>
      <c r="F6" s="29"/>
    </row>
    <row r="7" spans="1:6" x14ac:dyDescent="0.2">
      <c r="A7" s="26" t="s">
        <v>856</v>
      </c>
      <c r="B7" s="26" t="s">
        <v>855</v>
      </c>
      <c r="C7" s="26" t="s">
        <v>532</v>
      </c>
      <c r="D7" s="30">
        <v>156</v>
      </c>
      <c r="E7" s="28">
        <v>1572.5361600000001</v>
      </c>
      <c r="F7" s="29">
        <v>8.1794351952560493</v>
      </c>
    </row>
    <row r="8" spans="1:6" x14ac:dyDescent="0.2">
      <c r="A8" s="26" t="s">
        <v>866</v>
      </c>
      <c r="B8" s="26" t="s">
        <v>865</v>
      </c>
      <c r="C8" s="26" t="s">
        <v>152</v>
      </c>
      <c r="D8" s="30">
        <v>150</v>
      </c>
      <c r="E8" s="28">
        <v>1526.712</v>
      </c>
      <c r="F8" s="29">
        <v>7.9410840802667098</v>
      </c>
    </row>
    <row r="9" spans="1:6" x14ac:dyDescent="0.2">
      <c r="A9" s="26" t="s">
        <v>860</v>
      </c>
      <c r="B9" s="26" t="s">
        <v>859</v>
      </c>
      <c r="C9" s="26" t="s">
        <v>532</v>
      </c>
      <c r="D9" s="30">
        <v>150</v>
      </c>
      <c r="E9" s="28">
        <v>1519.3485000000001</v>
      </c>
      <c r="F9" s="29">
        <v>7.9027833577826803</v>
      </c>
    </row>
    <row r="10" spans="1:6" x14ac:dyDescent="0.2">
      <c r="A10" s="26" t="s">
        <v>534</v>
      </c>
      <c r="B10" s="26" t="s">
        <v>533</v>
      </c>
      <c r="C10" s="26" t="s">
        <v>152</v>
      </c>
      <c r="D10" s="30">
        <v>14</v>
      </c>
      <c r="E10" s="28">
        <v>1426.7274</v>
      </c>
      <c r="F10" s="29">
        <v>7.4210212816957704</v>
      </c>
    </row>
    <row r="11" spans="1:6" x14ac:dyDescent="0.2">
      <c r="A11" s="26" t="s">
        <v>830</v>
      </c>
      <c r="B11" s="26" t="s">
        <v>829</v>
      </c>
      <c r="C11" s="26" t="s">
        <v>152</v>
      </c>
      <c r="D11" s="30">
        <v>116</v>
      </c>
      <c r="E11" s="28">
        <v>1179.08896</v>
      </c>
      <c r="F11" s="29">
        <v>6.1329475169345899</v>
      </c>
    </row>
    <row r="12" spans="1:6" x14ac:dyDescent="0.2">
      <c r="A12" s="26" t="s">
        <v>868</v>
      </c>
      <c r="B12" s="26" t="s">
        <v>867</v>
      </c>
      <c r="C12" s="26" t="s">
        <v>152</v>
      </c>
      <c r="D12" s="30">
        <v>100</v>
      </c>
      <c r="E12" s="28">
        <v>1018.285</v>
      </c>
      <c r="F12" s="29">
        <v>5.2965371351468997</v>
      </c>
    </row>
    <row r="13" spans="1:6" x14ac:dyDescent="0.2">
      <c r="A13" s="26" t="s">
        <v>870</v>
      </c>
      <c r="B13" s="26" t="s">
        <v>869</v>
      </c>
      <c r="C13" s="26" t="s">
        <v>152</v>
      </c>
      <c r="D13" s="30">
        <v>100</v>
      </c>
      <c r="E13" s="28">
        <v>1014.101</v>
      </c>
      <c r="F13" s="29">
        <v>5.2747743561867297</v>
      </c>
    </row>
    <row r="14" spans="1:6" x14ac:dyDescent="0.2">
      <c r="A14" s="26" t="s">
        <v>872</v>
      </c>
      <c r="B14" s="26" t="s">
        <v>871</v>
      </c>
      <c r="C14" s="26" t="s">
        <v>152</v>
      </c>
      <c r="D14" s="30">
        <v>40</v>
      </c>
      <c r="E14" s="28">
        <v>1010.669</v>
      </c>
      <c r="F14" s="29">
        <v>5.2569230518389096</v>
      </c>
    </row>
    <row r="15" spans="1:6" x14ac:dyDescent="0.2">
      <c r="A15" s="26" t="s">
        <v>874</v>
      </c>
      <c r="B15" s="26" t="s">
        <v>873</v>
      </c>
      <c r="C15" s="26" t="s">
        <v>492</v>
      </c>
      <c r="D15" s="30">
        <v>800</v>
      </c>
      <c r="E15" s="28">
        <v>814.05600000000004</v>
      </c>
      <c r="F15" s="29">
        <v>4.2342544907262099</v>
      </c>
    </row>
    <row r="16" spans="1:6" x14ac:dyDescent="0.2">
      <c r="A16" s="26" t="s">
        <v>600</v>
      </c>
      <c r="B16" s="26" t="s">
        <v>599</v>
      </c>
      <c r="C16" s="26" t="s">
        <v>152</v>
      </c>
      <c r="D16" s="30">
        <v>62</v>
      </c>
      <c r="E16" s="28">
        <v>624.75540000000001</v>
      </c>
      <c r="F16" s="29">
        <v>3.2496208590753599</v>
      </c>
    </row>
    <row r="17" spans="1:9" x14ac:dyDescent="0.2">
      <c r="A17" s="26" t="s">
        <v>876</v>
      </c>
      <c r="B17" s="26" t="s">
        <v>875</v>
      </c>
      <c r="C17" s="26" t="s">
        <v>152</v>
      </c>
      <c r="D17" s="30">
        <v>40</v>
      </c>
      <c r="E17" s="28">
        <v>513.76300000000003</v>
      </c>
      <c r="F17" s="29">
        <v>2.6723017702946401</v>
      </c>
    </row>
    <row r="18" spans="1:9" x14ac:dyDescent="0.2">
      <c r="A18" s="26" t="s">
        <v>878</v>
      </c>
      <c r="B18" s="26" t="s">
        <v>877</v>
      </c>
      <c r="C18" s="26" t="s">
        <v>152</v>
      </c>
      <c r="D18" s="30">
        <v>50</v>
      </c>
      <c r="E18" s="28">
        <v>512.077</v>
      </c>
      <c r="F18" s="29">
        <v>2.6635321609909002</v>
      </c>
    </row>
    <row r="19" spans="1:9" x14ac:dyDescent="0.2">
      <c r="A19" s="26" t="s">
        <v>880</v>
      </c>
      <c r="B19" s="26" t="s">
        <v>879</v>
      </c>
      <c r="C19" s="26" t="s">
        <v>152</v>
      </c>
      <c r="D19" s="30">
        <v>50</v>
      </c>
      <c r="E19" s="28">
        <v>510.52199999999999</v>
      </c>
      <c r="F19" s="29">
        <v>2.6554439388869202</v>
      </c>
    </row>
    <row r="20" spans="1:9" x14ac:dyDescent="0.2">
      <c r="A20" s="26" t="s">
        <v>836</v>
      </c>
      <c r="B20" s="26" t="s">
        <v>835</v>
      </c>
      <c r="C20" s="26" t="s">
        <v>152</v>
      </c>
      <c r="D20" s="30">
        <v>44</v>
      </c>
      <c r="E20" s="28">
        <v>445.31740000000002</v>
      </c>
      <c r="F20" s="29">
        <v>2.31628684113688</v>
      </c>
    </row>
    <row r="21" spans="1:9" x14ac:dyDescent="0.2">
      <c r="A21" s="26" t="s">
        <v>844</v>
      </c>
      <c r="B21" s="26" t="s">
        <v>843</v>
      </c>
      <c r="C21" s="26" t="s">
        <v>152</v>
      </c>
      <c r="D21" s="30">
        <v>38</v>
      </c>
      <c r="E21" s="28">
        <v>386.70965999999999</v>
      </c>
      <c r="F21" s="29">
        <v>2.0114428423378801</v>
      </c>
    </row>
    <row r="22" spans="1:9" x14ac:dyDescent="0.2">
      <c r="A22" s="26" t="s">
        <v>279</v>
      </c>
      <c r="B22" s="26" t="s">
        <v>278</v>
      </c>
      <c r="C22" s="26" t="s">
        <v>152</v>
      </c>
      <c r="D22" s="30">
        <v>25</v>
      </c>
      <c r="E22" s="28">
        <v>254.53874999999999</v>
      </c>
      <c r="F22" s="29">
        <v>1.32396523734404</v>
      </c>
    </row>
    <row r="23" spans="1:9" x14ac:dyDescent="0.2">
      <c r="A23" s="26" t="s">
        <v>614</v>
      </c>
      <c r="B23" s="26" t="s">
        <v>613</v>
      </c>
      <c r="C23" s="26" t="s">
        <v>152</v>
      </c>
      <c r="D23" s="30">
        <v>20</v>
      </c>
      <c r="E23" s="28">
        <v>203.4888</v>
      </c>
      <c r="F23" s="29">
        <v>1.0584325466706099</v>
      </c>
    </row>
    <row r="24" spans="1:9" x14ac:dyDescent="0.2">
      <c r="A24" s="26" t="s">
        <v>850</v>
      </c>
      <c r="B24" s="26" t="s">
        <v>849</v>
      </c>
      <c r="C24" s="26" t="s">
        <v>152</v>
      </c>
      <c r="D24" s="30">
        <v>15</v>
      </c>
      <c r="E24" s="28">
        <v>192.04481250000001</v>
      </c>
      <c r="F24" s="29">
        <v>0.99890745814636706</v>
      </c>
    </row>
    <row r="25" spans="1:9" x14ac:dyDescent="0.2">
      <c r="A25" s="26" t="s">
        <v>776</v>
      </c>
      <c r="B25" s="26" t="s">
        <v>775</v>
      </c>
      <c r="C25" s="26" t="s">
        <v>152</v>
      </c>
      <c r="D25" s="30">
        <v>10</v>
      </c>
      <c r="E25" s="28">
        <v>124.6504</v>
      </c>
      <c r="F25" s="29">
        <v>0.64836020614161505</v>
      </c>
    </row>
    <row r="26" spans="1:9" x14ac:dyDescent="0.2">
      <c r="A26" s="26" t="s">
        <v>832</v>
      </c>
      <c r="B26" s="26" t="s">
        <v>831</v>
      </c>
      <c r="C26" s="26" t="s">
        <v>492</v>
      </c>
      <c r="D26" s="30">
        <v>1</v>
      </c>
      <c r="E26" s="28">
        <v>10.177350000000001</v>
      </c>
      <c r="F26" s="29">
        <v>5.2936763491937197E-2</v>
      </c>
    </row>
    <row r="27" spans="1:9" ht="10.5" x14ac:dyDescent="0.25">
      <c r="A27" s="25" t="s">
        <v>153</v>
      </c>
      <c r="B27" s="25"/>
      <c r="C27" s="25"/>
      <c r="D27" s="31"/>
      <c r="E27" s="32">
        <f>SUM(E6:E26)</f>
        <v>14859.568592500002</v>
      </c>
      <c r="F27" s="33">
        <f>SUM(F6:F26)</f>
        <v>77.290991090351724</v>
      </c>
      <c r="G27" s="17"/>
      <c r="H27" s="17"/>
      <c r="I27" s="17"/>
    </row>
    <row r="28" spans="1:9" x14ac:dyDescent="0.2">
      <c r="A28" s="26"/>
      <c r="B28" s="26"/>
      <c r="C28" s="26"/>
      <c r="D28" s="27"/>
      <c r="E28" s="28"/>
      <c r="F28" s="29"/>
    </row>
    <row r="29" spans="1:9" ht="10.5" x14ac:dyDescent="0.25">
      <c r="A29" s="25" t="s">
        <v>154</v>
      </c>
      <c r="B29" s="26"/>
      <c r="C29" s="26"/>
      <c r="D29" s="27"/>
      <c r="E29" s="28"/>
      <c r="F29" s="29"/>
    </row>
    <row r="30" spans="1:9" x14ac:dyDescent="0.2">
      <c r="A30" s="26" t="s">
        <v>826</v>
      </c>
      <c r="B30" s="26" t="s">
        <v>825</v>
      </c>
      <c r="C30" s="26" t="s">
        <v>492</v>
      </c>
      <c r="D30" s="30">
        <v>150</v>
      </c>
      <c r="E30" s="28">
        <v>1520.127</v>
      </c>
      <c r="F30" s="29">
        <v>7.9068326702636798</v>
      </c>
    </row>
    <row r="31" spans="1:9" x14ac:dyDescent="0.2">
      <c r="A31" s="26" t="s">
        <v>864</v>
      </c>
      <c r="B31" s="26" t="s">
        <v>863</v>
      </c>
      <c r="C31" s="26" t="s">
        <v>152</v>
      </c>
      <c r="D31" s="30">
        <v>150</v>
      </c>
      <c r="E31" s="28">
        <v>1516.596</v>
      </c>
      <c r="F31" s="29">
        <v>7.8884664244442799</v>
      </c>
    </row>
    <row r="32" spans="1:9" ht="10.5" x14ac:dyDescent="0.25">
      <c r="A32" s="25" t="s">
        <v>153</v>
      </c>
      <c r="B32" s="25"/>
      <c r="C32" s="25"/>
      <c r="D32" s="31"/>
      <c r="E32" s="32">
        <f>SUM(E29:E31)</f>
        <v>3036.723</v>
      </c>
      <c r="F32" s="33">
        <f>SUM(F29:F31)</f>
        <v>15.795299094707961</v>
      </c>
      <c r="G32" s="17"/>
      <c r="H32" s="17"/>
      <c r="I32" s="17"/>
    </row>
    <row r="33" spans="1:9" x14ac:dyDescent="0.2">
      <c r="A33" s="26"/>
      <c r="B33" s="26"/>
      <c r="C33" s="26"/>
      <c r="D33" s="27"/>
      <c r="E33" s="28"/>
      <c r="F33" s="29"/>
    </row>
    <row r="34" spans="1:9" ht="10.5" x14ac:dyDescent="0.25">
      <c r="A34" s="25" t="s">
        <v>362</v>
      </c>
      <c r="B34" s="26"/>
      <c r="C34" s="26"/>
      <c r="D34" s="27"/>
      <c r="E34" s="28"/>
      <c r="F34" s="29"/>
    </row>
    <row r="35" spans="1:9" ht="10.5" x14ac:dyDescent="0.25">
      <c r="A35" s="25" t="s">
        <v>363</v>
      </c>
      <c r="B35" s="26"/>
      <c r="C35" s="26"/>
      <c r="D35" s="27"/>
      <c r="E35" s="28"/>
      <c r="F35" s="29"/>
    </row>
    <row r="36" spans="1:9" x14ac:dyDescent="0.2">
      <c r="A36" s="26" t="s">
        <v>375</v>
      </c>
      <c r="B36" s="26" t="s">
        <v>374</v>
      </c>
      <c r="C36" s="26" t="s">
        <v>369</v>
      </c>
      <c r="D36" s="30">
        <v>322</v>
      </c>
      <c r="E36" s="28">
        <v>317.191574</v>
      </c>
      <c r="F36" s="29">
        <v>1.6498494533914301</v>
      </c>
    </row>
    <row r="37" spans="1:9" ht="10.5" x14ac:dyDescent="0.25">
      <c r="A37" s="25" t="s">
        <v>153</v>
      </c>
      <c r="B37" s="25"/>
      <c r="C37" s="25"/>
      <c r="D37" s="31"/>
      <c r="E37" s="32">
        <f>SUM(E35:E36)</f>
        <v>317.191574</v>
      </c>
      <c r="F37" s="33">
        <f>SUM(F35:F36)</f>
        <v>1.6498494533914301</v>
      </c>
      <c r="G37" s="17"/>
      <c r="H37" s="17"/>
      <c r="I37" s="17"/>
    </row>
    <row r="38" spans="1:9" x14ac:dyDescent="0.2">
      <c r="A38" s="26"/>
      <c r="B38" s="26"/>
      <c r="C38" s="26"/>
      <c r="D38" s="27"/>
      <c r="E38" s="28"/>
      <c r="F38" s="29"/>
    </row>
    <row r="39" spans="1:9" ht="10.5" x14ac:dyDescent="0.25">
      <c r="A39" s="25" t="s">
        <v>409</v>
      </c>
      <c r="B39" s="26"/>
      <c r="C39" s="26"/>
      <c r="D39" s="27"/>
      <c r="E39" s="28"/>
      <c r="F39" s="29"/>
    </row>
    <row r="40" spans="1:9" x14ac:dyDescent="0.2">
      <c r="A40" s="26" t="s">
        <v>411</v>
      </c>
      <c r="B40" s="26" t="s">
        <v>410</v>
      </c>
      <c r="C40" s="26" t="s">
        <v>412</v>
      </c>
      <c r="D40" s="30">
        <v>65000</v>
      </c>
      <c r="E40" s="28">
        <v>63.942320000000002</v>
      </c>
      <c r="F40" s="29">
        <v>0.33259143794462898</v>
      </c>
    </row>
    <row r="41" spans="1:9" ht="10.5" x14ac:dyDescent="0.25">
      <c r="A41" s="25" t="s">
        <v>153</v>
      </c>
      <c r="B41" s="25"/>
      <c r="C41" s="25"/>
      <c r="D41" s="31"/>
      <c r="E41" s="32">
        <f>SUM(E39:E40)</f>
        <v>63.942320000000002</v>
      </c>
      <c r="F41" s="33">
        <f>SUM(F39:F40)</f>
        <v>0.33259143794462898</v>
      </c>
      <c r="G41" s="17"/>
      <c r="H41" s="17"/>
      <c r="I41" s="17"/>
    </row>
    <row r="42" spans="1:9" x14ac:dyDescent="0.2">
      <c r="A42" s="26"/>
      <c r="B42" s="26"/>
      <c r="C42" s="26"/>
      <c r="D42" s="27"/>
      <c r="E42" s="28"/>
      <c r="F42" s="29"/>
    </row>
    <row r="43" spans="1:9" ht="10.5" x14ac:dyDescent="0.25">
      <c r="A43" s="25" t="s">
        <v>166</v>
      </c>
      <c r="B43" s="25"/>
      <c r="C43" s="25"/>
      <c r="D43" s="31"/>
      <c r="E43" s="32">
        <f>E27+E32+E37+E41</f>
        <v>18277.4254865</v>
      </c>
      <c r="F43" s="33">
        <f>F27+F32+F37+F41</f>
        <v>95.068731076395736</v>
      </c>
      <c r="G43" s="17"/>
      <c r="H43" s="17"/>
      <c r="I43" s="17"/>
    </row>
    <row r="44" spans="1:9" ht="10.5" x14ac:dyDescent="0.25">
      <c r="A44" s="25"/>
      <c r="B44" s="25"/>
      <c r="C44" s="25"/>
      <c r="D44" s="31"/>
      <c r="E44" s="32"/>
      <c r="F44" s="33"/>
      <c r="G44" s="17"/>
      <c r="H44" s="17"/>
      <c r="I44" s="17"/>
    </row>
    <row r="45" spans="1:9" ht="10.5" x14ac:dyDescent="0.25">
      <c r="A45" s="25" t="s">
        <v>168</v>
      </c>
      <c r="B45" s="25"/>
      <c r="C45" s="25"/>
      <c r="D45" s="31"/>
      <c r="E45" s="32">
        <f>E47-(E27+E32+E37+E41)</f>
        <v>948.06041149999874</v>
      </c>
      <c r="F45" s="33">
        <f>F47-(F27+F32+F37+F41)</f>
        <v>4.9312689236042644</v>
      </c>
      <c r="G45" s="17"/>
      <c r="H45" s="17"/>
      <c r="I45" s="17"/>
    </row>
    <row r="46" spans="1:9" ht="10.5" x14ac:dyDescent="0.25">
      <c r="A46" s="25"/>
      <c r="B46" s="25"/>
      <c r="C46" s="25"/>
      <c r="D46" s="31"/>
      <c r="E46" s="32"/>
      <c r="F46" s="33"/>
      <c r="G46" s="17"/>
      <c r="H46" s="17"/>
      <c r="I46" s="17"/>
    </row>
    <row r="47" spans="1:9" ht="10.5" x14ac:dyDescent="0.25">
      <c r="A47" s="34" t="s">
        <v>167</v>
      </c>
      <c r="B47" s="34"/>
      <c r="C47" s="34"/>
      <c r="D47" s="35"/>
      <c r="E47" s="36">
        <v>19225.485897999999</v>
      </c>
      <c r="F47" s="37">
        <v>100</v>
      </c>
      <c r="G47" s="17"/>
      <c r="H47" s="17"/>
      <c r="I47" s="17"/>
    </row>
    <row r="49" spans="1:4" ht="10.5" x14ac:dyDescent="0.25">
      <c r="A49" s="17" t="s">
        <v>170</v>
      </c>
    </row>
    <row r="51" spans="1:4" ht="10.5" x14ac:dyDescent="0.25">
      <c r="A51" s="17" t="s">
        <v>171</v>
      </c>
    </row>
    <row r="52" spans="1:4" ht="10.5" x14ac:dyDescent="0.25">
      <c r="A52" s="17" t="s">
        <v>172</v>
      </c>
    </row>
    <row r="53" spans="1:4" ht="10.5" x14ac:dyDescent="0.25">
      <c r="A53" s="17" t="s">
        <v>173</v>
      </c>
      <c r="B53" s="17"/>
      <c r="C53" s="38" t="s">
        <v>175</v>
      </c>
      <c r="D53" s="18" t="s">
        <v>174</v>
      </c>
    </row>
    <row r="54" spans="1:4" x14ac:dyDescent="0.2">
      <c r="A54" s="10" t="s">
        <v>436</v>
      </c>
      <c r="C54" s="39">
        <v>11.824</v>
      </c>
      <c r="D54" s="39">
        <v>12.3209</v>
      </c>
    </row>
    <row r="55" spans="1:4" x14ac:dyDescent="0.2">
      <c r="A55" s="10" t="s">
        <v>734</v>
      </c>
      <c r="C55" s="39">
        <v>10.376099999999999</v>
      </c>
      <c r="D55" s="39">
        <v>10.812200000000001</v>
      </c>
    </row>
    <row r="56" spans="1:4" x14ac:dyDescent="0.2">
      <c r="A56" s="10" t="s">
        <v>438</v>
      </c>
      <c r="C56" s="39">
        <v>10.173299999999999</v>
      </c>
      <c r="D56" s="39">
        <v>10.2361</v>
      </c>
    </row>
    <row r="57" spans="1:4" x14ac:dyDescent="0.2">
      <c r="A57" s="10" t="s">
        <v>439</v>
      </c>
      <c r="C57" s="39">
        <v>11.8833</v>
      </c>
      <c r="D57" s="39">
        <v>12.3827</v>
      </c>
    </row>
    <row r="58" spans="1:4" x14ac:dyDescent="0.2">
      <c r="A58" s="10" t="s">
        <v>471</v>
      </c>
      <c r="C58" s="39">
        <v>10.401400000000001</v>
      </c>
      <c r="D58" s="39">
        <v>10.8385</v>
      </c>
    </row>
    <row r="59" spans="1:4" x14ac:dyDescent="0.2">
      <c r="A59" s="10" t="s">
        <v>441</v>
      </c>
      <c r="C59" s="39">
        <v>10.196899999999999</v>
      </c>
      <c r="D59" s="39">
        <v>10.2607</v>
      </c>
    </row>
    <row r="61" spans="1:4" ht="10.5" x14ac:dyDescent="0.25">
      <c r="A61" s="17" t="s">
        <v>185</v>
      </c>
    </row>
    <row r="62" spans="1:4" ht="12.5" x14ac:dyDescent="0.25">
      <c r="A62" s="100" t="s">
        <v>350</v>
      </c>
      <c r="B62" s="101"/>
      <c r="C62" s="98" t="s">
        <v>1658</v>
      </c>
      <c r="D62" s="99"/>
    </row>
    <row r="63" spans="1:4" ht="10.5" x14ac:dyDescent="0.25">
      <c r="A63" s="100"/>
      <c r="B63" s="101"/>
      <c r="C63" s="43" t="s">
        <v>351</v>
      </c>
      <c r="D63" s="44" t="s">
        <v>352</v>
      </c>
    </row>
    <row r="64" spans="1:4" x14ac:dyDescent="0.2">
      <c r="A64" s="94" t="s">
        <v>438</v>
      </c>
      <c r="B64" s="95"/>
      <c r="C64" s="45">
        <v>0.36</v>
      </c>
      <c r="D64" s="45">
        <v>0.36</v>
      </c>
    </row>
    <row r="65" spans="1:5" x14ac:dyDescent="0.2">
      <c r="A65" s="94" t="s">
        <v>441</v>
      </c>
      <c r="B65" s="95"/>
      <c r="C65" s="45">
        <v>0.36</v>
      </c>
      <c r="D65" s="45">
        <v>0.36</v>
      </c>
    </row>
    <row r="66" spans="1:5" x14ac:dyDescent="0.2">
      <c r="A66" s="90" t="s">
        <v>1657</v>
      </c>
    </row>
    <row r="68" spans="1:5" ht="10.5" x14ac:dyDescent="0.25">
      <c r="A68" s="17" t="s">
        <v>187</v>
      </c>
      <c r="D68" s="41">
        <v>0.36827032073972599</v>
      </c>
      <c r="E68" s="15" t="s">
        <v>188</v>
      </c>
    </row>
    <row r="70" spans="1:5" ht="10.5" x14ac:dyDescent="0.25">
      <c r="A70" s="17" t="s">
        <v>189</v>
      </c>
      <c r="D70" s="40" t="s">
        <v>186</v>
      </c>
    </row>
  </sheetData>
  <mergeCells count="6">
    <mergeCell ref="A65:B65"/>
    <mergeCell ref="A1:F1"/>
    <mergeCell ref="C62:D62"/>
    <mergeCell ref="A62:B62"/>
    <mergeCell ref="A63:B63"/>
    <mergeCell ref="A64:B64"/>
  </mergeCells>
  <conditionalFormatting sqref="F2:F3 F5:F65537">
    <cfRule type="cellIs" dxfId="35"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96"/>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1.81640625" style="10" bestFit="1" customWidth="1"/>
    <col min="3" max="3" width="25.1796875" style="10" bestFit="1" customWidth="1"/>
    <col min="4" max="4" width="15.453125" style="11" bestFit="1" customWidth="1"/>
    <col min="5" max="5" width="23" style="15" bestFit="1" customWidth="1"/>
    <col min="6" max="6" width="14.81640625" style="16" bestFit="1" customWidth="1"/>
    <col min="7" max="16384" width="9.1796875" style="10"/>
  </cols>
  <sheetData>
    <row r="1" spans="1:6" s="1" customFormat="1" ht="14" x14ac:dyDescent="0.25">
      <c r="A1" s="96" t="s">
        <v>37</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5</v>
      </c>
      <c r="D4" s="48" t="s">
        <v>1</v>
      </c>
      <c r="E4" s="9" t="s">
        <v>3</v>
      </c>
      <c r="F4" s="9" t="s">
        <v>4</v>
      </c>
    </row>
    <row r="5" spans="1:6" ht="10.5" x14ac:dyDescent="0.25">
      <c r="A5" s="20" t="s">
        <v>881</v>
      </c>
      <c r="B5" s="21"/>
      <c r="C5" s="21"/>
      <c r="D5" s="22"/>
      <c r="E5" s="23"/>
      <c r="F5" s="24"/>
    </row>
    <row r="6" spans="1:6" ht="10.5" x14ac:dyDescent="0.25">
      <c r="A6" s="25" t="s">
        <v>1647</v>
      </c>
      <c r="B6" s="26"/>
      <c r="C6" s="26"/>
      <c r="D6" s="27"/>
      <c r="E6" s="28"/>
      <c r="F6" s="29"/>
    </row>
    <row r="7" spans="1:6" x14ac:dyDescent="0.2">
      <c r="A7" s="26" t="s">
        <v>883</v>
      </c>
      <c r="B7" s="26" t="s">
        <v>882</v>
      </c>
      <c r="C7" s="26" t="s">
        <v>884</v>
      </c>
      <c r="D7" s="30">
        <v>158000</v>
      </c>
      <c r="E7" s="28">
        <v>1704.1880000000001</v>
      </c>
      <c r="F7" s="29">
        <v>4.06472632527566</v>
      </c>
    </row>
    <row r="8" spans="1:6" x14ac:dyDescent="0.2">
      <c r="A8" s="26" t="s">
        <v>886</v>
      </c>
      <c r="B8" s="26" t="s">
        <v>885</v>
      </c>
      <c r="C8" s="26" t="s">
        <v>887</v>
      </c>
      <c r="D8" s="30">
        <v>109904</v>
      </c>
      <c r="E8" s="28">
        <v>1108.10708</v>
      </c>
      <c r="F8" s="29">
        <v>2.6429901039676</v>
      </c>
    </row>
    <row r="9" spans="1:6" x14ac:dyDescent="0.2">
      <c r="A9" s="26" t="s">
        <v>889</v>
      </c>
      <c r="B9" s="26" t="s">
        <v>888</v>
      </c>
      <c r="C9" s="26" t="s">
        <v>884</v>
      </c>
      <c r="D9" s="30">
        <v>206475</v>
      </c>
      <c r="E9" s="28">
        <v>876.7960875</v>
      </c>
      <c r="F9" s="29">
        <v>2.0912810903256802</v>
      </c>
    </row>
    <row r="10" spans="1:6" x14ac:dyDescent="0.2">
      <c r="A10" s="26" t="s">
        <v>891</v>
      </c>
      <c r="B10" s="26" t="s">
        <v>890</v>
      </c>
      <c r="C10" s="26" t="s">
        <v>892</v>
      </c>
      <c r="D10" s="30">
        <v>205373</v>
      </c>
      <c r="E10" s="28">
        <v>864.51764349999996</v>
      </c>
      <c r="F10" s="29">
        <v>2.0619952870221598</v>
      </c>
    </row>
    <row r="11" spans="1:6" x14ac:dyDescent="0.2">
      <c r="A11" s="26" t="s">
        <v>894</v>
      </c>
      <c r="B11" s="26" t="s">
        <v>893</v>
      </c>
      <c r="C11" s="26" t="s">
        <v>884</v>
      </c>
      <c r="D11" s="30">
        <v>206474</v>
      </c>
      <c r="E11" s="28">
        <v>732.46651499999996</v>
      </c>
      <c r="F11" s="29">
        <v>1.7470349080637899</v>
      </c>
    </row>
    <row r="12" spans="1:6" x14ac:dyDescent="0.2">
      <c r="A12" s="26" t="s">
        <v>896</v>
      </c>
      <c r="B12" s="26" t="s">
        <v>895</v>
      </c>
      <c r="C12" s="26" t="s">
        <v>884</v>
      </c>
      <c r="D12" s="30">
        <v>53853</v>
      </c>
      <c r="E12" s="28">
        <v>682.96374600000001</v>
      </c>
      <c r="F12" s="29">
        <v>1.62896389223201</v>
      </c>
    </row>
    <row r="13" spans="1:6" x14ac:dyDescent="0.2">
      <c r="A13" s="26" t="s">
        <v>898</v>
      </c>
      <c r="B13" s="26" t="s">
        <v>897</v>
      </c>
      <c r="C13" s="26" t="s">
        <v>899</v>
      </c>
      <c r="D13" s="30">
        <v>79950</v>
      </c>
      <c r="E13" s="28">
        <v>594.98789999999997</v>
      </c>
      <c r="F13" s="29">
        <v>1.4191292159964</v>
      </c>
    </row>
    <row r="14" spans="1:6" x14ac:dyDescent="0.2">
      <c r="A14" s="26" t="s">
        <v>901</v>
      </c>
      <c r="B14" s="26" t="s">
        <v>900</v>
      </c>
      <c r="C14" s="26" t="s">
        <v>902</v>
      </c>
      <c r="D14" s="30">
        <v>40000</v>
      </c>
      <c r="E14" s="28">
        <v>590.79999999999995</v>
      </c>
      <c r="F14" s="29">
        <v>1.40914048976572</v>
      </c>
    </row>
    <row r="15" spans="1:6" x14ac:dyDescent="0.2">
      <c r="A15" s="26" t="s">
        <v>904</v>
      </c>
      <c r="B15" s="26" t="s">
        <v>903</v>
      </c>
      <c r="C15" s="26" t="s">
        <v>905</v>
      </c>
      <c r="D15" s="30">
        <v>254936</v>
      </c>
      <c r="E15" s="28">
        <v>446.77534000000003</v>
      </c>
      <c r="F15" s="29">
        <v>1.06562156638938</v>
      </c>
    </row>
    <row r="16" spans="1:6" x14ac:dyDescent="0.2">
      <c r="A16" s="26" t="s">
        <v>907</v>
      </c>
      <c r="B16" s="26" t="s">
        <v>906</v>
      </c>
      <c r="C16" s="26" t="s">
        <v>908</v>
      </c>
      <c r="D16" s="30">
        <v>190244</v>
      </c>
      <c r="E16" s="28">
        <v>419.77338600000002</v>
      </c>
      <c r="F16" s="29">
        <v>1.00121813598283</v>
      </c>
    </row>
    <row r="17" spans="1:6" x14ac:dyDescent="0.2">
      <c r="A17" s="26" t="s">
        <v>910</v>
      </c>
      <c r="B17" s="26" t="s">
        <v>909</v>
      </c>
      <c r="C17" s="26" t="s">
        <v>911</v>
      </c>
      <c r="D17" s="30">
        <v>60000</v>
      </c>
      <c r="E17" s="28">
        <v>408.21</v>
      </c>
      <c r="F17" s="29">
        <v>0.97363784584844804</v>
      </c>
    </row>
    <row r="18" spans="1:6" x14ac:dyDescent="0.2">
      <c r="A18" s="26" t="s">
        <v>913</v>
      </c>
      <c r="B18" s="26" t="s">
        <v>912</v>
      </c>
      <c r="C18" s="26" t="s">
        <v>914</v>
      </c>
      <c r="D18" s="30">
        <v>66526</v>
      </c>
      <c r="E18" s="28">
        <v>404.41155400000002</v>
      </c>
      <c r="F18" s="29">
        <v>0.96457802178482499</v>
      </c>
    </row>
    <row r="19" spans="1:6" x14ac:dyDescent="0.2">
      <c r="A19" s="26" t="s">
        <v>916</v>
      </c>
      <c r="B19" s="26" t="s">
        <v>915</v>
      </c>
      <c r="C19" s="26" t="s">
        <v>917</v>
      </c>
      <c r="D19" s="30">
        <v>26468</v>
      </c>
      <c r="E19" s="28">
        <v>379.41878000000003</v>
      </c>
      <c r="F19" s="29">
        <v>0.904966766207703</v>
      </c>
    </row>
    <row r="20" spans="1:6" x14ac:dyDescent="0.2">
      <c r="A20" s="26" t="s">
        <v>919</v>
      </c>
      <c r="B20" s="26" t="s">
        <v>918</v>
      </c>
      <c r="C20" s="26" t="s">
        <v>908</v>
      </c>
      <c r="D20" s="30">
        <v>168573</v>
      </c>
      <c r="E20" s="28">
        <v>351.55899149999999</v>
      </c>
      <c r="F20" s="29">
        <v>0.83851728074450205</v>
      </c>
    </row>
    <row r="21" spans="1:6" x14ac:dyDescent="0.2">
      <c r="A21" s="26" t="s">
        <v>921</v>
      </c>
      <c r="B21" s="26" t="s">
        <v>920</v>
      </c>
      <c r="C21" s="26" t="s">
        <v>922</v>
      </c>
      <c r="D21" s="30">
        <v>72000</v>
      </c>
      <c r="E21" s="28">
        <v>284.43599999999998</v>
      </c>
      <c r="F21" s="29">
        <v>0.67841957404705699</v>
      </c>
    </row>
    <row r="22" spans="1:6" x14ac:dyDescent="0.2">
      <c r="A22" s="26" t="s">
        <v>924</v>
      </c>
      <c r="B22" s="26" t="s">
        <v>923</v>
      </c>
      <c r="C22" s="26" t="s">
        <v>925</v>
      </c>
      <c r="D22" s="30">
        <v>156244</v>
      </c>
      <c r="E22" s="28">
        <v>282.25478600000002</v>
      </c>
      <c r="F22" s="29">
        <v>0.67321707410757903</v>
      </c>
    </row>
    <row r="23" spans="1:6" x14ac:dyDescent="0.2">
      <c r="A23" s="26" t="s">
        <v>927</v>
      </c>
      <c r="B23" s="26" t="s">
        <v>926</v>
      </c>
      <c r="C23" s="26" t="s">
        <v>928</v>
      </c>
      <c r="D23" s="30">
        <v>74355</v>
      </c>
      <c r="E23" s="28">
        <v>267.49211250000002</v>
      </c>
      <c r="F23" s="29">
        <v>0.63800603658888999</v>
      </c>
    </row>
    <row r="24" spans="1:6" x14ac:dyDescent="0.2">
      <c r="A24" s="26" t="s">
        <v>930</v>
      </c>
      <c r="B24" s="26" t="s">
        <v>929</v>
      </c>
      <c r="C24" s="26" t="s">
        <v>931</v>
      </c>
      <c r="D24" s="30">
        <v>130625</v>
      </c>
      <c r="E24" s="28">
        <v>212.2003125</v>
      </c>
      <c r="F24" s="29">
        <v>0.50612737353535597</v>
      </c>
    </row>
    <row r="25" spans="1:6" x14ac:dyDescent="0.2">
      <c r="A25" s="26" t="s">
        <v>933</v>
      </c>
      <c r="B25" s="26" t="s">
        <v>932</v>
      </c>
      <c r="C25" s="26" t="s">
        <v>922</v>
      </c>
      <c r="D25" s="30">
        <v>7072</v>
      </c>
      <c r="E25" s="28">
        <v>198.01246399999999</v>
      </c>
      <c r="F25" s="29">
        <v>0.472287373900942</v>
      </c>
    </row>
    <row r="26" spans="1:6" x14ac:dyDescent="0.2">
      <c r="A26" s="26" t="s">
        <v>935</v>
      </c>
      <c r="B26" s="26" t="s">
        <v>934</v>
      </c>
      <c r="C26" s="26" t="s">
        <v>931</v>
      </c>
      <c r="D26" s="30">
        <v>221251</v>
      </c>
      <c r="E26" s="28">
        <v>188.28460100000001</v>
      </c>
      <c r="F26" s="29">
        <v>0.44908506240433799</v>
      </c>
    </row>
    <row r="27" spans="1:6" x14ac:dyDescent="0.2">
      <c r="A27" s="26" t="s">
        <v>937</v>
      </c>
      <c r="B27" s="26" t="s">
        <v>936</v>
      </c>
      <c r="C27" s="26" t="s">
        <v>884</v>
      </c>
      <c r="D27" s="30">
        <v>88509</v>
      </c>
      <c r="E27" s="28">
        <v>164.095686</v>
      </c>
      <c r="F27" s="29">
        <v>0.39139112278009702</v>
      </c>
    </row>
    <row r="28" spans="1:6" x14ac:dyDescent="0.2">
      <c r="A28" s="26" t="s">
        <v>939</v>
      </c>
      <c r="B28" s="26" t="s">
        <v>938</v>
      </c>
      <c r="C28" s="26" t="s">
        <v>925</v>
      </c>
      <c r="D28" s="30">
        <v>43000</v>
      </c>
      <c r="E28" s="28">
        <v>151.8115</v>
      </c>
      <c r="F28" s="29">
        <v>0.36209162400485501</v>
      </c>
    </row>
    <row r="29" spans="1:6" x14ac:dyDescent="0.2">
      <c r="A29" s="26" t="s">
        <v>941</v>
      </c>
      <c r="B29" s="26" t="s">
        <v>940</v>
      </c>
      <c r="C29" s="26" t="s">
        <v>917</v>
      </c>
      <c r="D29" s="30">
        <v>15000</v>
      </c>
      <c r="E29" s="28">
        <v>143.44499999999999</v>
      </c>
      <c r="F29" s="29">
        <v>0.342136353341983</v>
      </c>
    </row>
    <row r="30" spans="1:6" x14ac:dyDescent="0.2">
      <c r="A30" s="26" t="s">
        <v>943</v>
      </c>
      <c r="B30" s="26" t="s">
        <v>942</v>
      </c>
      <c r="C30" s="26" t="s">
        <v>944</v>
      </c>
      <c r="D30" s="30">
        <v>32100</v>
      </c>
      <c r="E30" s="28">
        <v>142.9092</v>
      </c>
      <c r="F30" s="29">
        <v>0.34085839553152802</v>
      </c>
    </row>
    <row r="31" spans="1:6" x14ac:dyDescent="0.2">
      <c r="A31" s="26" t="s">
        <v>946</v>
      </c>
      <c r="B31" s="26" t="s">
        <v>945</v>
      </c>
      <c r="C31" s="26" t="s">
        <v>914</v>
      </c>
      <c r="D31" s="30">
        <v>4923</v>
      </c>
      <c r="E31" s="28">
        <v>141.83655300000001</v>
      </c>
      <c r="F31" s="29">
        <v>0.33829998266943301</v>
      </c>
    </row>
    <row r="32" spans="1:6" x14ac:dyDescent="0.2">
      <c r="A32" s="26" t="s">
        <v>948</v>
      </c>
      <c r="B32" s="26" t="s">
        <v>947</v>
      </c>
      <c r="C32" s="26" t="s">
        <v>917</v>
      </c>
      <c r="D32" s="30">
        <v>27182</v>
      </c>
      <c r="E32" s="28">
        <v>136.113865</v>
      </c>
      <c r="F32" s="29">
        <v>0.32465057276574899</v>
      </c>
    </row>
    <row r="33" spans="1:9" x14ac:dyDescent="0.2">
      <c r="A33" s="26" t="s">
        <v>950</v>
      </c>
      <c r="B33" s="26" t="s">
        <v>949</v>
      </c>
      <c r="C33" s="26" t="s">
        <v>914</v>
      </c>
      <c r="D33" s="30">
        <v>23121</v>
      </c>
      <c r="E33" s="28">
        <v>108.275643</v>
      </c>
      <c r="F33" s="29">
        <v>0.25825252641624602</v>
      </c>
    </row>
    <row r="34" spans="1:9" x14ac:dyDescent="0.2">
      <c r="A34" s="26" t="s">
        <v>952</v>
      </c>
      <c r="B34" s="26" t="s">
        <v>951</v>
      </c>
      <c r="C34" s="26" t="s">
        <v>914</v>
      </c>
      <c r="D34" s="30">
        <v>74940</v>
      </c>
      <c r="E34" s="28">
        <v>99.895020000000002</v>
      </c>
      <c r="F34" s="29">
        <v>0.23826357042646601</v>
      </c>
    </row>
    <row r="35" spans="1:9" x14ac:dyDescent="0.2">
      <c r="A35" s="26" t="s">
        <v>954</v>
      </c>
      <c r="B35" s="26" t="s">
        <v>953</v>
      </c>
      <c r="C35" s="26" t="s">
        <v>884</v>
      </c>
      <c r="D35" s="30">
        <v>301582</v>
      </c>
      <c r="E35" s="28">
        <v>98.315731999999997</v>
      </c>
      <c r="F35" s="29">
        <v>0.23449674804020801</v>
      </c>
    </row>
    <row r="36" spans="1:9" x14ac:dyDescent="0.2">
      <c r="A36" s="26" t="s">
        <v>956</v>
      </c>
      <c r="B36" s="26" t="s">
        <v>955</v>
      </c>
      <c r="C36" s="26" t="s">
        <v>957</v>
      </c>
      <c r="D36" s="30">
        <v>65910</v>
      </c>
      <c r="E36" s="28">
        <v>88.055760000000006</v>
      </c>
      <c r="F36" s="29">
        <v>0.21002528228350101</v>
      </c>
    </row>
    <row r="37" spans="1:9" x14ac:dyDescent="0.2">
      <c r="A37" s="26" t="s">
        <v>959</v>
      </c>
      <c r="B37" s="26" t="s">
        <v>958</v>
      </c>
      <c r="C37" s="26" t="s">
        <v>960</v>
      </c>
      <c r="D37" s="30">
        <v>153047</v>
      </c>
      <c r="E37" s="28">
        <v>57.0100075</v>
      </c>
      <c r="F37" s="29">
        <v>0.135976827843766</v>
      </c>
    </row>
    <row r="38" spans="1:9" x14ac:dyDescent="0.2">
      <c r="A38" s="26" t="s">
        <v>961</v>
      </c>
      <c r="B38" s="26" t="s">
        <v>1616</v>
      </c>
      <c r="C38" s="26" t="s">
        <v>957</v>
      </c>
      <c r="D38" s="30">
        <v>7703</v>
      </c>
      <c r="E38" s="28">
        <v>5.7541409999999997</v>
      </c>
      <c r="F38" s="29">
        <v>1.37244297002725E-2</v>
      </c>
    </row>
    <row r="39" spans="1:9" x14ac:dyDescent="0.2">
      <c r="A39" s="26" t="s">
        <v>963</v>
      </c>
      <c r="B39" s="26" t="s">
        <v>962</v>
      </c>
      <c r="C39" s="26" t="s">
        <v>964</v>
      </c>
      <c r="D39" s="30">
        <v>984</v>
      </c>
      <c r="E39" s="28">
        <v>1.14144</v>
      </c>
      <c r="F39" s="29">
        <v>2.7224937722379501E-3</v>
      </c>
    </row>
    <row r="40" spans="1:9" ht="10.5" x14ac:dyDescent="0.25">
      <c r="A40" s="25" t="s">
        <v>153</v>
      </c>
      <c r="B40" s="25"/>
      <c r="C40" s="25"/>
      <c r="D40" s="31"/>
      <c r="E40" s="32">
        <f>SUM(E7:E39)</f>
        <v>12336.314846999994</v>
      </c>
      <c r="F40" s="33">
        <f>SUM(F7:F39)</f>
        <v>29.423833353767215</v>
      </c>
      <c r="G40" s="17"/>
      <c r="H40" s="17"/>
      <c r="I40" s="17"/>
    </row>
    <row r="41" spans="1:9" x14ac:dyDescent="0.2">
      <c r="A41" s="26"/>
      <c r="B41" s="26"/>
      <c r="C41" s="26"/>
      <c r="D41" s="27"/>
      <c r="E41" s="28"/>
      <c r="F41" s="29"/>
    </row>
    <row r="42" spans="1:9" ht="10.5" x14ac:dyDescent="0.25">
      <c r="A42" s="25" t="s">
        <v>56</v>
      </c>
      <c r="B42" s="26"/>
      <c r="C42" s="26"/>
      <c r="D42" s="27"/>
      <c r="E42" s="28"/>
      <c r="F42" s="29"/>
    </row>
    <row r="43" spans="1:9" ht="10.5" x14ac:dyDescent="0.25">
      <c r="A43" s="25" t="s">
        <v>57</v>
      </c>
      <c r="B43" s="26"/>
      <c r="C43" s="26"/>
      <c r="D43" s="27"/>
      <c r="E43" s="28"/>
      <c r="F43" s="29"/>
    </row>
    <row r="44" spans="1:9" x14ac:dyDescent="0.2">
      <c r="A44" s="26" t="s">
        <v>966</v>
      </c>
      <c r="B44" s="26" t="s">
        <v>965</v>
      </c>
      <c r="C44" s="26" t="s">
        <v>120</v>
      </c>
      <c r="D44" s="30">
        <v>250</v>
      </c>
      <c r="E44" s="28">
        <v>2558.12</v>
      </c>
      <c r="F44" s="29">
        <v>6.1014733745421097</v>
      </c>
    </row>
    <row r="45" spans="1:9" x14ac:dyDescent="0.2">
      <c r="A45" s="26" t="s">
        <v>968</v>
      </c>
      <c r="B45" s="26" t="s">
        <v>967</v>
      </c>
      <c r="C45" s="26" t="s">
        <v>152</v>
      </c>
      <c r="D45" s="30">
        <v>200</v>
      </c>
      <c r="E45" s="28">
        <v>2068.5520000000001</v>
      </c>
      <c r="F45" s="29">
        <v>4.93378533917714</v>
      </c>
    </row>
    <row r="46" spans="1:9" x14ac:dyDescent="0.2">
      <c r="A46" s="26" t="s">
        <v>970</v>
      </c>
      <c r="B46" s="26" t="s">
        <v>969</v>
      </c>
      <c r="C46" s="26" t="s">
        <v>152</v>
      </c>
      <c r="D46" s="30">
        <v>150</v>
      </c>
      <c r="E46" s="28">
        <v>1667.3354999999999</v>
      </c>
      <c r="F46" s="29">
        <v>3.9768279672880298</v>
      </c>
    </row>
    <row r="47" spans="1:9" x14ac:dyDescent="0.2">
      <c r="A47" s="26" t="s">
        <v>658</v>
      </c>
      <c r="B47" s="26" t="s">
        <v>657</v>
      </c>
      <c r="C47" s="26" t="s">
        <v>152</v>
      </c>
      <c r="D47" s="30">
        <v>105</v>
      </c>
      <c r="E47" s="28">
        <v>1150.90185</v>
      </c>
      <c r="F47" s="29">
        <v>2.7450616055878001</v>
      </c>
    </row>
    <row r="48" spans="1:9" x14ac:dyDescent="0.2">
      <c r="A48" s="26" t="s">
        <v>512</v>
      </c>
      <c r="B48" s="26" t="s">
        <v>511</v>
      </c>
      <c r="C48" s="26" t="s">
        <v>152</v>
      </c>
      <c r="D48" s="30">
        <v>60</v>
      </c>
      <c r="E48" s="28">
        <v>659.11620000000005</v>
      </c>
      <c r="F48" s="29">
        <v>1.57208416533602</v>
      </c>
    </row>
    <row r="49" spans="1:9" x14ac:dyDescent="0.2">
      <c r="A49" s="26" t="s">
        <v>268</v>
      </c>
      <c r="B49" s="26" t="s">
        <v>267</v>
      </c>
      <c r="C49" s="26" t="s">
        <v>165</v>
      </c>
      <c r="D49" s="30">
        <v>60</v>
      </c>
      <c r="E49" s="28">
        <v>580.06200000000001</v>
      </c>
      <c r="F49" s="29">
        <v>1.3835288604849001</v>
      </c>
    </row>
    <row r="50" spans="1:9" x14ac:dyDescent="0.2">
      <c r="A50" s="26" t="s">
        <v>62</v>
      </c>
      <c r="B50" s="26" t="s">
        <v>61</v>
      </c>
      <c r="C50" s="26" t="s">
        <v>63</v>
      </c>
      <c r="D50" s="30">
        <v>50</v>
      </c>
      <c r="E50" s="28">
        <v>495.13</v>
      </c>
      <c r="F50" s="29">
        <v>1.18095418195278</v>
      </c>
    </row>
    <row r="51" spans="1:9" x14ac:dyDescent="0.2">
      <c r="A51" s="26" t="s">
        <v>592</v>
      </c>
      <c r="B51" s="26" t="s">
        <v>591</v>
      </c>
      <c r="C51" s="26" t="s">
        <v>152</v>
      </c>
      <c r="D51" s="30">
        <v>45</v>
      </c>
      <c r="E51" s="28">
        <v>489.89564999999999</v>
      </c>
      <c r="F51" s="29">
        <v>1.1684695263627201</v>
      </c>
    </row>
    <row r="52" spans="1:9" x14ac:dyDescent="0.2">
      <c r="A52" s="26" t="s">
        <v>602</v>
      </c>
      <c r="B52" s="26" t="s">
        <v>601</v>
      </c>
      <c r="C52" s="26" t="s">
        <v>152</v>
      </c>
      <c r="D52" s="30">
        <v>5</v>
      </c>
      <c r="E52" s="28">
        <v>55.109650000000002</v>
      </c>
      <c r="F52" s="29">
        <v>0.13144420987105199</v>
      </c>
    </row>
    <row r="53" spans="1:9" ht="10.5" x14ac:dyDescent="0.25">
      <c r="A53" s="25" t="s">
        <v>153</v>
      </c>
      <c r="B53" s="25"/>
      <c r="C53" s="25"/>
      <c r="D53" s="31"/>
      <c r="E53" s="32">
        <f>SUM(E43:E52)</f>
        <v>9724.2228500000019</v>
      </c>
      <c r="F53" s="33">
        <f>SUM(F43:F52)</f>
        <v>23.193629230602554</v>
      </c>
      <c r="G53" s="17"/>
      <c r="H53" s="17"/>
      <c r="I53" s="17"/>
    </row>
    <row r="54" spans="1:9" x14ac:dyDescent="0.2">
      <c r="A54" s="26"/>
      <c r="B54" s="26"/>
      <c r="C54" s="26"/>
      <c r="D54" s="27"/>
      <c r="E54" s="28"/>
      <c r="F54" s="29"/>
    </row>
    <row r="55" spans="1:9" ht="10.5" x14ac:dyDescent="0.25">
      <c r="A55" s="25" t="s">
        <v>154</v>
      </c>
      <c r="B55" s="26"/>
      <c r="C55" s="26"/>
      <c r="D55" s="27"/>
      <c r="E55" s="28"/>
      <c r="F55" s="29"/>
    </row>
    <row r="56" spans="1:9" x14ac:dyDescent="0.2">
      <c r="A56" s="26" t="s">
        <v>164</v>
      </c>
      <c r="B56" s="26" t="s">
        <v>163</v>
      </c>
      <c r="C56" s="26" t="s">
        <v>165</v>
      </c>
      <c r="D56" s="30">
        <v>14</v>
      </c>
      <c r="E56" s="28">
        <v>1913.4570000000001</v>
      </c>
      <c r="F56" s="29">
        <v>4.5638621092173999</v>
      </c>
    </row>
    <row r="57" spans="1:9" ht="10.5" x14ac:dyDescent="0.25">
      <c r="A57" s="25" t="s">
        <v>153</v>
      </c>
      <c r="B57" s="25"/>
      <c r="C57" s="25"/>
      <c r="D57" s="31"/>
      <c r="E57" s="32">
        <f>SUM(E55:E56)</f>
        <v>1913.4570000000001</v>
      </c>
      <c r="F57" s="33">
        <f>SUM(F55:F56)</f>
        <v>4.5638621092173999</v>
      </c>
      <c r="G57" s="17"/>
      <c r="H57" s="17"/>
      <c r="I57" s="17"/>
    </row>
    <row r="58" spans="1:9" x14ac:dyDescent="0.2">
      <c r="A58" s="26"/>
      <c r="B58" s="26"/>
      <c r="C58" s="26"/>
      <c r="D58" s="27"/>
      <c r="E58" s="28"/>
      <c r="F58" s="29"/>
    </row>
    <row r="59" spans="1:9" ht="10.5" x14ac:dyDescent="0.25">
      <c r="A59" s="25" t="s">
        <v>362</v>
      </c>
      <c r="B59" s="26"/>
      <c r="C59" s="26"/>
      <c r="D59" s="27"/>
      <c r="E59" s="28"/>
      <c r="F59" s="29"/>
    </row>
    <row r="60" spans="1:9" ht="10.5" x14ac:dyDescent="0.25">
      <c r="A60" s="25" t="s">
        <v>363</v>
      </c>
      <c r="B60" s="26"/>
      <c r="C60" s="26"/>
      <c r="D60" s="27"/>
      <c r="E60" s="28"/>
      <c r="F60" s="29"/>
    </row>
    <row r="61" spans="1:9" x14ac:dyDescent="0.2">
      <c r="A61" s="26" t="s">
        <v>365</v>
      </c>
      <c r="B61" s="26" t="s">
        <v>364</v>
      </c>
      <c r="C61" s="26" t="s">
        <v>366</v>
      </c>
      <c r="D61" s="30">
        <v>2000</v>
      </c>
      <c r="E61" s="28">
        <v>1974.7080000000001</v>
      </c>
      <c r="F61" s="29">
        <v>4.7099542963173304</v>
      </c>
    </row>
    <row r="62" spans="1:9" x14ac:dyDescent="0.2">
      <c r="A62" s="26" t="s">
        <v>368</v>
      </c>
      <c r="B62" s="26" t="s">
        <v>367</v>
      </c>
      <c r="C62" s="26" t="s">
        <v>369</v>
      </c>
      <c r="D62" s="30">
        <v>500</v>
      </c>
      <c r="E62" s="28">
        <v>492.45949999999999</v>
      </c>
      <c r="F62" s="29">
        <v>1.1745846665873101</v>
      </c>
    </row>
    <row r="63" spans="1:9" ht="10.5" x14ac:dyDescent="0.25">
      <c r="A63" s="25" t="s">
        <v>153</v>
      </c>
      <c r="B63" s="25"/>
      <c r="C63" s="25"/>
      <c r="D63" s="31"/>
      <c r="E63" s="32">
        <f>SUM(E60:E62)</f>
        <v>2467.1675</v>
      </c>
      <c r="F63" s="33">
        <f>SUM(F60:F62)</f>
        <v>5.8845389629046405</v>
      </c>
      <c r="G63" s="17"/>
      <c r="H63" s="17"/>
      <c r="I63" s="17"/>
    </row>
    <row r="64" spans="1:9" x14ac:dyDescent="0.2">
      <c r="A64" s="26"/>
      <c r="B64" s="26"/>
      <c r="C64" s="26"/>
      <c r="D64" s="27"/>
      <c r="E64" s="28"/>
      <c r="F64" s="29"/>
    </row>
    <row r="65" spans="1:9" ht="10.5" x14ac:dyDescent="0.25">
      <c r="A65" s="25" t="s">
        <v>473</v>
      </c>
      <c r="B65" s="26"/>
      <c r="C65" s="26"/>
      <c r="D65" s="27"/>
      <c r="E65" s="28"/>
      <c r="F65" s="29"/>
    </row>
    <row r="66" spans="1:9" x14ac:dyDescent="0.2">
      <c r="A66" s="26" t="s">
        <v>475</v>
      </c>
      <c r="B66" s="26" t="s">
        <v>474</v>
      </c>
      <c r="C66" s="26" t="s">
        <v>476</v>
      </c>
      <c r="D66" s="30">
        <v>4800000</v>
      </c>
      <c r="E66" s="28">
        <v>4713.72</v>
      </c>
      <c r="F66" s="29">
        <v>11.242880347695399</v>
      </c>
    </row>
    <row r="67" spans="1:9" x14ac:dyDescent="0.2">
      <c r="A67" s="26" t="s">
        <v>478</v>
      </c>
      <c r="B67" s="26" t="s">
        <v>477</v>
      </c>
      <c r="C67" s="26" t="s">
        <v>476</v>
      </c>
      <c r="D67" s="30">
        <v>4200000</v>
      </c>
      <c r="E67" s="28">
        <v>4170.0288</v>
      </c>
      <c r="F67" s="29">
        <v>9.9461009234413407</v>
      </c>
    </row>
    <row r="68" spans="1:9" x14ac:dyDescent="0.2">
      <c r="A68" s="26" t="s">
        <v>481</v>
      </c>
      <c r="B68" s="26" t="s">
        <v>1575</v>
      </c>
      <c r="C68" s="26" t="s">
        <v>476</v>
      </c>
      <c r="D68" s="30">
        <v>2600000</v>
      </c>
      <c r="E68" s="28">
        <v>2791.0401999999999</v>
      </c>
      <c r="F68" s="29">
        <v>6.6570205727552496</v>
      </c>
    </row>
    <row r="69" spans="1:9" x14ac:dyDescent="0.2">
      <c r="A69" s="26" t="s">
        <v>498</v>
      </c>
      <c r="B69" s="26" t="s">
        <v>497</v>
      </c>
      <c r="C69" s="26" t="s">
        <v>476</v>
      </c>
      <c r="D69" s="30">
        <v>900000</v>
      </c>
      <c r="E69" s="28">
        <v>929.67660000000001</v>
      </c>
      <c r="F69" s="29">
        <v>2.2174084960184901</v>
      </c>
    </row>
    <row r="70" spans="1:9" x14ac:dyDescent="0.2">
      <c r="A70" s="26" t="s">
        <v>483</v>
      </c>
      <c r="B70" s="26" t="s">
        <v>482</v>
      </c>
      <c r="C70" s="26" t="s">
        <v>476</v>
      </c>
      <c r="D70" s="30">
        <v>900000</v>
      </c>
      <c r="E70" s="28">
        <v>883.58579999999995</v>
      </c>
      <c r="F70" s="29">
        <v>2.10747550264393</v>
      </c>
    </row>
    <row r="71" spans="1:9" x14ac:dyDescent="0.2">
      <c r="A71" s="26" t="s">
        <v>485</v>
      </c>
      <c r="B71" s="26" t="s">
        <v>484</v>
      </c>
      <c r="C71" s="26" t="s">
        <v>476</v>
      </c>
      <c r="D71" s="30">
        <v>400000</v>
      </c>
      <c r="E71" s="28">
        <v>428.6404</v>
      </c>
      <c r="F71" s="29">
        <v>1.0223672024193899</v>
      </c>
    </row>
    <row r="72" spans="1:9" ht="10.5" x14ac:dyDescent="0.25">
      <c r="A72" s="25" t="s">
        <v>153</v>
      </c>
      <c r="B72" s="25"/>
      <c r="C72" s="25"/>
      <c r="D72" s="31"/>
      <c r="E72" s="32">
        <f>SUM(E66:E71)</f>
        <v>13916.691800000002</v>
      </c>
      <c r="F72" s="33">
        <f>SUM(F66:F71)</f>
        <v>33.193253044973801</v>
      </c>
      <c r="G72" s="17"/>
      <c r="H72" s="17"/>
      <c r="I72" s="17"/>
    </row>
    <row r="73" spans="1:9" x14ac:dyDescent="0.2">
      <c r="A73" s="26"/>
      <c r="B73" s="26"/>
      <c r="C73" s="26"/>
      <c r="D73" s="27"/>
      <c r="E73" s="28"/>
      <c r="F73" s="29"/>
    </row>
    <row r="74" spans="1:9" ht="10.5" x14ac:dyDescent="0.25">
      <c r="A74" s="25" t="s">
        <v>166</v>
      </c>
      <c r="B74" s="25"/>
      <c r="C74" s="25"/>
      <c r="D74" s="31"/>
      <c r="E74" s="32">
        <f>E40+E53+E57+E63+E72</f>
        <v>40357.853996999998</v>
      </c>
      <c r="F74" s="33">
        <f>F40+F53+F57+F63+F72</f>
        <v>96.259116701465615</v>
      </c>
      <c r="G74" s="17"/>
      <c r="H74" s="17"/>
      <c r="I74" s="17"/>
    </row>
    <row r="75" spans="1:9" ht="10.5" x14ac:dyDescent="0.25">
      <c r="A75" s="25"/>
      <c r="B75" s="25"/>
      <c r="C75" s="25"/>
      <c r="D75" s="31"/>
      <c r="E75" s="32"/>
      <c r="F75" s="33"/>
      <c r="G75" s="17"/>
      <c r="H75" s="17"/>
      <c r="I75" s="17"/>
    </row>
    <row r="76" spans="1:9" ht="10.5" x14ac:dyDescent="0.25">
      <c r="A76" s="25" t="s">
        <v>168</v>
      </c>
      <c r="B76" s="25"/>
      <c r="C76" s="25"/>
      <c r="D76" s="31"/>
      <c r="E76" s="32">
        <f>E78-(E40+E53+E57+E63+E72)</f>
        <v>1568.4127089000031</v>
      </c>
      <c r="F76" s="33">
        <f>F78-(F40+F53+F57+F63+F72)</f>
        <v>3.7408832985343849</v>
      </c>
      <c r="G76" s="17"/>
      <c r="H76" s="17"/>
      <c r="I76" s="17"/>
    </row>
    <row r="77" spans="1:9" ht="10.5" x14ac:dyDescent="0.25">
      <c r="A77" s="25"/>
      <c r="B77" s="25"/>
      <c r="C77" s="25"/>
      <c r="D77" s="31"/>
      <c r="E77" s="32"/>
      <c r="F77" s="33"/>
      <c r="G77" s="17"/>
      <c r="H77" s="17"/>
      <c r="I77" s="17"/>
    </row>
    <row r="78" spans="1:9" ht="10.5" x14ac:dyDescent="0.25">
      <c r="A78" s="34" t="s">
        <v>167</v>
      </c>
      <c r="B78" s="34"/>
      <c r="C78" s="34"/>
      <c r="D78" s="35"/>
      <c r="E78" s="36">
        <v>41926.266705900001</v>
      </c>
      <c r="F78" s="37">
        <v>100</v>
      </c>
      <c r="G78" s="17"/>
      <c r="H78" s="17"/>
      <c r="I78" s="17"/>
    </row>
    <row r="79" spans="1:9" ht="10.5" x14ac:dyDescent="0.25">
      <c r="A79" s="64" t="s">
        <v>1648</v>
      </c>
      <c r="F79" s="56" t="s">
        <v>343</v>
      </c>
    </row>
    <row r="80" spans="1:9" ht="10.5" x14ac:dyDescent="0.25">
      <c r="A80" s="59"/>
      <c r="F80" s="56"/>
    </row>
    <row r="81" spans="1:5" ht="10.5" x14ac:dyDescent="0.25">
      <c r="A81" s="17" t="s">
        <v>170</v>
      </c>
    </row>
    <row r="82" spans="1:5" ht="10.5" x14ac:dyDescent="0.25">
      <c r="A82" s="17" t="s">
        <v>1501</v>
      </c>
    </row>
    <row r="83" spans="1:5" ht="10.5" x14ac:dyDescent="0.25">
      <c r="A83" s="17"/>
    </row>
    <row r="84" spans="1:5" ht="10.5" x14ac:dyDescent="0.25">
      <c r="A84" s="17" t="s">
        <v>171</v>
      </c>
    </row>
    <row r="85" spans="1:5" ht="10.5" x14ac:dyDescent="0.25">
      <c r="A85" s="17" t="s">
        <v>172</v>
      </c>
    </row>
    <row r="86" spans="1:5" ht="10.5" x14ac:dyDescent="0.25">
      <c r="A86" s="17" t="s">
        <v>173</v>
      </c>
      <c r="B86" s="17"/>
      <c r="C86" s="38" t="s">
        <v>175</v>
      </c>
      <c r="D86" s="18" t="s">
        <v>174</v>
      </c>
    </row>
    <row r="87" spans="1:5" x14ac:dyDescent="0.2">
      <c r="A87" s="10" t="s">
        <v>436</v>
      </c>
      <c r="C87" s="39">
        <v>122.73650000000001</v>
      </c>
      <c r="D87" s="39">
        <v>132.83869999999999</v>
      </c>
    </row>
    <row r="88" spans="1:5" x14ac:dyDescent="0.2">
      <c r="A88" s="10" t="s">
        <v>470</v>
      </c>
      <c r="C88" s="39">
        <v>15.140499999999999</v>
      </c>
      <c r="D88" s="39">
        <v>16.386700000000001</v>
      </c>
    </row>
    <row r="89" spans="1:5" x14ac:dyDescent="0.2">
      <c r="A89" s="10" t="s">
        <v>439</v>
      </c>
      <c r="C89" s="39">
        <v>129.14830000000001</v>
      </c>
      <c r="D89" s="39">
        <v>140.3065</v>
      </c>
    </row>
    <row r="90" spans="1:5" x14ac:dyDescent="0.2">
      <c r="A90" s="10" t="s">
        <v>471</v>
      </c>
      <c r="C90" s="39">
        <v>16.145700000000001</v>
      </c>
      <c r="D90" s="39">
        <v>17.537500000000001</v>
      </c>
    </row>
    <row r="92" spans="1:5" ht="10.5" x14ac:dyDescent="0.25">
      <c r="A92" s="17" t="s">
        <v>185</v>
      </c>
      <c r="D92" s="40" t="s">
        <v>186</v>
      </c>
    </row>
    <row r="94" spans="1:5" ht="10.5" x14ac:dyDescent="0.25">
      <c r="A94" s="17" t="s">
        <v>187</v>
      </c>
      <c r="D94" s="41">
        <v>4.6180033645363103</v>
      </c>
      <c r="E94" s="15" t="s">
        <v>188</v>
      </c>
    </row>
    <row r="96" spans="1:5" ht="10.5" x14ac:dyDescent="0.25">
      <c r="A96" s="17" t="s">
        <v>189</v>
      </c>
      <c r="D96" s="40" t="s">
        <v>186</v>
      </c>
    </row>
  </sheetData>
  <mergeCells count="1">
    <mergeCell ref="A1:F1"/>
  </mergeCells>
  <conditionalFormatting sqref="F2:F3 F5:F78 F81:F65538">
    <cfRule type="cellIs" dxfId="34" priority="2" stopIfTrue="1" operator="between">
      <formula>0.009</formula>
      <formula>-0.009</formula>
    </cfRule>
  </conditionalFormatting>
  <conditionalFormatting sqref="F79:F80">
    <cfRule type="cellIs" dxfId="33" priority="1" stopIfTrue="1" operator="between">
      <formula>0.009</formula>
      <formula>-0.009</formula>
    </cfRule>
  </conditionalFormatting>
  <pageMargins left="0.7" right="0.7" top="0.75" bottom="0.75" header="0.3" footer="0.3"/>
  <pageSetup paperSize="9" scale="51" orientation="portrait" r:id="rId1"/>
  <headerFooter>
    <oddFooter>&amp;LPUBLIC</oddFooter>
    <evenFooter>&amp;LPUBLIC</evenFooter>
    <firstFooter>&amp;LPUBLIC</firstFooter>
  </headerFooter>
  <colBreaks count="1" manualBreakCount="1">
    <brk id="6" max="1048575" man="1"/>
  </col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124"/>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1" style="10" bestFit="1" customWidth="1"/>
    <col min="3" max="3" width="25.1796875" style="10" bestFit="1" customWidth="1"/>
    <col min="4" max="4" width="15.453125" style="11" bestFit="1" customWidth="1"/>
    <col min="5" max="5" width="23" style="15" bestFit="1" customWidth="1"/>
    <col min="6" max="6" width="14.81640625" style="16" bestFit="1" customWidth="1"/>
    <col min="7" max="16384" width="9.1796875" style="10"/>
  </cols>
  <sheetData>
    <row r="1" spans="1:6" s="1" customFormat="1" ht="15" customHeight="1" x14ac:dyDescent="0.25">
      <c r="A1" s="96" t="s">
        <v>1502</v>
      </c>
      <c r="B1" s="97"/>
      <c r="C1" s="97"/>
      <c r="D1" s="97"/>
      <c r="E1" s="97"/>
      <c r="F1" s="97"/>
    </row>
    <row r="2" spans="1:6" s="1" customFormat="1" ht="11.5" x14ac:dyDescent="0.25">
      <c r="A2" s="42" t="s">
        <v>190</v>
      </c>
      <c r="D2" s="6"/>
      <c r="E2" s="7"/>
      <c r="F2" s="14"/>
    </row>
    <row r="3" spans="1:6" s="1" customFormat="1" ht="11.5" x14ac:dyDescent="0.25">
      <c r="A3" s="12" t="s">
        <v>6</v>
      </c>
      <c r="B3" s="2"/>
      <c r="C3" s="3"/>
      <c r="D3" s="4"/>
      <c r="E3" s="5"/>
      <c r="F3" s="14"/>
    </row>
    <row r="4" spans="1:6" s="1" customFormat="1" ht="17.5" customHeight="1" x14ac:dyDescent="0.25">
      <c r="A4" s="8" t="s">
        <v>2</v>
      </c>
      <c r="B4" s="8" t="s">
        <v>0</v>
      </c>
      <c r="C4" s="8" t="s">
        <v>5</v>
      </c>
      <c r="D4" s="48" t="s">
        <v>1</v>
      </c>
      <c r="E4" s="9" t="s">
        <v>3</v>
      </c>
      <c r="F4" s="9" t="s">
        <v>4</v>
      </c>
    </row>
    <row r="5" spans="1:6" ht="10.5" x14ac:dyDescent="0.25">
      <c r="A5" s="20" t="s">
        <v>881</v>
      </c>
      <c r="B5" s="21"/>
      <c r="C5" s="21"/>
      <c r="D5" s="22"/>
      <c r="E5" s="23"/>
      <c r="F5" s="24"/>
    </row>
    <row r="6" spans="1:6" ht="10.5" x14ac:dyDescent="0.25">
      <c r="A6" s="25" t="s">
        <v>1647</v>
      </c>
      <c r="B6" s="26"/>
      <c r="C6" s="26"/>
      <c r="D6" s="27"/>
      <c r="E6" s="28"/>
      <c r="F6" s="29"/>
    </row>
    <row r="7" spans="1:6" x14ac:dyDescent="0.2">
      <c r="A7" s="26" t="s">
        <v>886</v>
      </c>
      <c r="B7" s="26" t="s">
        <v>885</v>
      </c>
      <c r="C7" s="26" t="s">
        <v>887</v>
      </c>
      <c r="D7" s="30">
        <v>50838</v>
      </c>
      <c r="E7" s="28">
        <v>512.57413499999996</v>
      </c>
      <c r="F7" s="29">
        <v>2.5417662720357601</v>
      </c>
    </row>
    <row r="8" spans="1:6" x14ac:dyDescent="0.2">
      <c r="A8" s="26" t="s">
        <v>889</v>
      </c>
      <c r="B8" s="26" t="s">
        <v>888</v>
      </c>
      <c r="C8" s="26" t="s">
        <v>884</v>
      </c>
      <c r="D8" s="30">
        <v>85488</v>
      </c>
      <c r="E8" s="28">
        <v>363.02479199999999</v>
      </c>
      <c r="F8" s="29">
        <v>1.8001770070165499</v>
      </c>
    </row>
    <row r="9" spans="1:6" x14ac:dyDescent="0.2">
      <c r="A9" s="26" t="s">
        <v>913</v>
      </c>
      <c r="B9" s="26" t="s">
        <v>912</v>
      </c>
      <c r="C9" s="26" t="s">
        <v>914</v>
      </c>
      <c r="D9" s="30">
        <v>47341</v>
      </c>
      <c r="E9" s="28">
        <v>287.78593899999998</v>
      </c>
      <c r="F9" s="29">
        <v>1.4270805789221901</v>
      </c>
    </row>
    <row r="10" spans="1:6" x14ac:dyDescent="0.2">
      <c r="A10" s="26" t="s">
        <v>883</v>
      </c>
      <c r="B10" s="26" t="s">
        <v>882</v>
      </c>
      <c r="C10" s="26" t="s">
        <v>884</v>
      </c>
      <c r="D10" s="30">
        <v>22986</v>
      </c>
      <c r="E10" s="28">
        <v>247.926996</v>
      </c>
      <c r="F10" s="29">
        <v>1.22942699080972</v>
      </c>
    </row>
    <row r="11" spans="1:6" x14ac:dyDescent="0.2">
      <c r="A11" s="26" t="s">
        <v>972</v>
      </c>
      <c r="B11" s="26" t="s">
        <v>971</v>
      </c>
      <c r="C11" s="26" t="s">
        <v>922</v>
      </c>
      <c r="D11" s="30">
        <v>4300</v>
      </c>
      <c r="E11" s="28">
        <v>223.0754</v>
      </c>
      <c r="F11" s="29">
        <v>1.10619223469184</v>
      </c>
    </row>
    <row r="12" spans="1:6" x14ac:dyDescent="0.2">
      <c r="A12" s="26" t="s">
        <v>901</v>
      </c>
      <c r="B12" s="26" t="s">
        <v>900</v>
      </c>
      <c r="C12" s="26" t="s">
        <v>902</v>
      </c>
      <c r="D12" s="30">
        <v>15000</v>
      </c>
      <c r="E12" s="28">
        <v>221.55</v>
      </c>
      <c r="F12" s="29">
        <v>1.09862804054583</v>
      </c>
    </row>
    <row r="13" spans="1:6" x14ac:dyDescent="0.2">
      <c r="A13" s="26" t="s">
        <v>919</v>
      </c>
      <c r="B13" s="26" t="s">
        <v>918</v>
      </c>
      <c r="C13" s="26" t="s">
        <v>908</v>
      </c>
      <c r="D13" s="30">
        <v>105586</v>
      </c>
      <c r="E13" s="28">
        <v>220.199603</v>
      </c>
      <c r="F13" s="29">
        <v>1.09193165593708</v>
      </c>
    </row>
    <row r="14" spans="1:6" x14ac:dyDescent="0.2">
      <c r="A14" s="26" t="s">
        <v>910</v>
      </c>
      <c r="B14" s="26" t="s">
        <v>909</v>
      </c>
      <c r="C14" s="26" t="s">
        <v>911</v>
      </c>
      <c r="D14" s="30">
        <v>32000</v>
      </c>
      <c r="E14" s="28">
        <v>217.71199999999999</v>
      </c>
      <c r="F14" s="29">
        <v>1.07959606392829</v>
      </c>
    </row>
    <row r="15" spans="1:6" x14ac:dyDescent="0.2">
      <c r="A15" s="26" t="s">
        <v>894</v>
      </c>
      <c r="B15" s="26" t="s">
        <v>893</v>
      </c>
      <c r="C15" s="26" t="s">
        <v>884</v>
      </c>
      <c r="D15" s="30">
        <v>60374</v>
      </c>
      <c r="E15" s="28">
        <v>214.17676499999999</v>
      </c>
      <c r="F15" s="29">
        <v>1.06206544645631</v>
      </c>
    </row>
    <row r="16" spans="1:6" x14ac:dyDescent="0.2">
      <c r="A16" s="26" t="s">
        <v>898</v>
      </c>
      <c r="B16" s="26" t="s">
        <v>897</v>
      </c>
      <c r="C16" s="26" t="s">
        <v>899</v>
      </c>
      <c r="D16" s="30">
        <v>28254</v>
      </c>
      <c r="E16" s="28">
        <v>210.266268</v>
      </c>
      <c r="F16" s="29">
        <v>1.0426739697843601</v>
      </c>
    </row>
    <row r="17" spans="1:6" x14ac:dyDescent="0.2">
      <c r="A17" s="26" t="s">
        <v>891</v>
      </c>
      <c r="B17" s="26" t="s">
        <v>890</v>
      </c>
      <c r="C17" s="26" t="s">
        <v>892</v>
      </c>
      <c r="D17" s="30">
        <v>48903</v>
      </c>
      <c r="E17" s="28">
        <v>205.8571785</v>
      </c>
      <c r="F17" s="29">
        <v>1.0208100593443801</v>
      </c>
    </row>
    <row r="18" spans="1:6" x14ac:dyDescent="0.2">
      <c r="A18" s="26" t="s">
        <v>930</v>
      </c>
      <c r="B18" s="26" t="s">
        <v>929</v>
      </c>
      <c r="C18" s="26" t="s">
        <v>931</v>
      </c>
      <c r="D18" s="30">
        <v>113926</v>
      </c>
      <c r="E18" s="28">
        <v>185.07278700000001</v>
      </c>
      <c r="F18" s="29">
        <v>0.91774386522304396</v>
      </c>
    </row>
    <row r="19" spans="1:6" x14ac:dyDescent="0.2">
      <c r="A19" s="26" t="s">
        <v>948</v>
      </c>
      <c r="B19" s="26" t="s">
        <v>947</v>
      </c>
      <c r="C19" s="26" t="s">
        <v>917</v>
      </c>
      <c r="D19" s="30">
        <v>33697</v>
      </c>
      <c r="E19" s="28">
        <v>168.73772750000001</v>
      </c>
      <c r="F19" s="29">
        <v>0.83674113712246001</v>
      </c>
    </row>
    <row r="20" spans="1:6" x14ac:dyDescent="0.2">
      <c r="A20" s="26" t="s">
        <v>896</v>
      </c>
      <c r="B20" s="26" t="s">
        <v>895</v>
      </c>
      <c r="C20" s="26" t="s">
        <v>884</v>
      </c>
      <c r="D20" s="30">
        <v>12909</v>
      </c>
      <c r="E20" s="28">
        <v>163.711938</v>
      </c>
      <c r="F20" s="29">
        <v>0.81181911829790199</v>
      </c>
    </row>
    <row r="21" spans="1:6" x14ac:dyDescent="0.2">
      <c r="A21" s="26" t="s">
        <v>921</v>
      </c>
      <c r="B21" s="26" t="s">
        <v>920</v>
      </c>
      <c r="C21" s="26" t="s">
        <v>922</v>
      </c>
      <c r="D21" s="30">
        <v>35000</v>
      </c>
      <c r="E21" s="28">
        <v>138.26750000000001</v>
      </c>
      <c r="F21" s="29">
        <v>0.68564456148124697</v>
      </c>
    </row>
    <row r="22" spans="1:6" x14ac:dyDescent="0.2">
      <c r="A22" s="26" t="s">
        <v>916</v>
      </c>
      <c r="B22" s="26" t="s">
        <v>915</v>
      </c>
      <c r="C22" s="26" t="s">
        <v>917</v>
      </c>
      <c r="D22" s="30">
        <v>9526</v>
      </c>
      <c r="E22" s="28">
        <v>136.55520999999999</v>
      </c>
      <c r="F22" s="29">
        <v>0.67715361222579196</v>
      </c>
    </row>
    <row r="23" spans="1:6" x14ac:dyDescent="0.2">
      <c r="A23" s="26" t="s">
        <v>904</v>
      </c>
      <c r="B23" s="26" t="s">
        <v>903</v>
      </c>
      <c r="C23" s="26" t="s">
        <v>905</v>
      </c>
      <c r="D23" s="30">
        <v>76457</v>
      </c>
      <c r="E23" s="28">
        <v>133.9908925</v>
      </c>
      <c r="F23" s="29">
        <v>0.66443760631126902</v>
      </c>
    </row>
    <row r="24" spans="1:6" x14ac:dyDescent="0.2">
      <c r="A24" s="26" t="s">
        <v>950</v>
      </c>
      <c r="B24" s="26" t="s">
        <v>949</v>
      </c>
      <c r="C24" s="26" t="s">
        <v>914</v>
      </c>
      <c r="D24" s="30">
        <v>25761</v>
      </c>
      <c r="E24" s="28">
        <v>120.638763</v>
      </c>
      <c r="F24" s="29">
        <v>0.59822671093912305</v>
      </c>
    </row>
    <row r="25" spans="1:6" x14ac:dyDescent="0.2">
      <c r="A25" s="26" t="s">
        <v>939</v>
      </c>
      <c r="B25" s="26" t="s">
        <v>938</v>
      </c>
      <c r="C25" s="26" t="s">
        <v>925</v>
      </c>
      <c r="D25" s="30">
        <v>30000</v>
      </c>
      <c r="E25" s="28">
        <v>105.91500000000001</v>
      </c>
      <c r="F25" s="29">
        <v>0.52521412283643198</v>
      </c>
    </row>
    <row r="26" spans="1:6" x14ac:dyDescent="0.2">
      <c r="A26" s="26" t="s">
        <v>941</v>
      </c>
      <c r="B26" s="26" t="s">
        <v>940</v>
      </c>
      <c r="C26" s="26" t="s">
        <v>917</v>
      </c>
      <c r="D26" s="30">
        <v>10000</v>
      </c>
      <c r="E26" s="28">
        <v>95.63</v>
      </c>
      <c r="F26" s="29">
        <v>0.47421259091580897</v>
      </c>
    </row>
    <row r="27" spans="1:6" x14ac:dyDescent="0.2">
      <c r="A27" s="26" t="s">
        <v>943</v>
      </c>
      <c r="B27" s="26" t="s">
        <v>942</v>
      </c>
      <c r="C27" s="26" t="s">
        <v>944</v>
      </c>
      <c r="D27" s="30">
        <v>20015</v>
      </c>
      <c r="E27" s="28">
        <v>89.106780000000001</v>
      </c>
      <c r="F27" s="29">
        <v>0.441865073846753</v>
      </c>
    </row>
    <row r="28" spans="1:6" x14ac:dyDescent="0.2">
      <c r="A28" s="26" t="s">
        <v>937</v>
      </c>
      <c r="B28" s="26" t="s">
        <v>936</v>
      </c>
      <c r="C28" s="26" t="s">
        <v>884</v>
      </c>
      <c r="D28" s="30">
        <v>29755</v>
      </c>
      <c r="E28" s="28">
        <v>55.165770000000002</v>
      </c>
      <c r="F28" s="29">
        <v>0.273557489507117</v>
      </c>
    </row>
    <row r="29" spans="1:6" x14ac:dyDescent="0.2">
      <c r="A29" s="26" t="s">
        <v>952</v>
      </c>
      <c r="B29" s="26" t="s">
        <v>951</v>
      </c>
      <c r="C29" s="26" t="s">
        <v>914</v>
      </c>
      <c r="D29" s="30">
        <v>40000</v>
      </c>
      <c r="E29" s="28">
        <v>53.32</v>
      </c>
      <c r="F29" s="29">
        <v>0.26440463607268599</v>
      </c>
    </row>
    <row r="30" spans="1:6" x14ac:dyDescent="0.2">
      <c r="A30" s="26" t="s">
        <v>956</v>
      </c>
      <c r="B30" s="26" t="s">
        <v>955</v>
      </c>
      <c r="C30" s="26" t="s">
        <v>957</v>
      </c>
      <c r="D30" s="30">
        <v>35367</v>
      </c>
      <c r="E30" s="28">
        <v>47.250312000000001</v>
      </c>
      <c r="F30" s="29">
        <v>0.23430610556415701</v>
      </c>
    </row>
    <row r="31" spans="1:6" x14ac:dyDescent="0.2">
      <c r="A31" s="26" t="s">
        <v>959</v>
      </c>
      <c r="B31" s="26" t="s">
        <v>958</v>
      </c>
      <c r="C31" s="26" t="s">
        <v>960</v>
      </c>
      <c r="D31" s="30">
        <v>97694</v>
      </c>
      <c r="E31" s="28">
        <v>36.391015000000003</v>
      </c>
      <c r="F31" s="29">
        <v>0.180456734384671</v>
      </c>
    </row>
    <row r="32" spans="1:6" x14ac:dyDescent="0.2">
      <c r="A32" s="26" t="s">
        <v>954</v>
      </c>
      <c r="B32" s="26" t="s">
        <v>953</v>
      </c>
      <c r="C32" s="26" t="s">
        <v>884</v>
      </c>
      <c r="D32" s="30">
        <v>77000</v>
      </c>
      <c r="E32" s="28">
        <v>25.102</v>
      </c>
      <c r="F32" s="29">
        <v>0.124476466142096</v>
      </c>
    </row>
    <row r="33" spans="1:9" x14ac:dyDescent="0.2">
      <c r="A33" s="26" t="s">
        <v>961</v>
      </c>
      <c r="B33" s="26" t="s">
        <v>1616</v>
      </c>
      <c r="C33" s="26" t="s">
        <v>957</v>
      </c>
      <c r="D33" s="30">
        <v>4133</v>
      </c>
      <c r="E33" s="28">
        <v>3.087351</v>
      </c>
      <c r="F33" s="29">
        <v>1.53096383642844E-2</v>
      </c>
    </row>
    <row r="34" spans="1:9" x14ac:dyDescent="0.2">
      <c r="A34" s="26" t="s">
        <v>963</v>
      </c>
      <c r="B34" s="26" t="s">
        <v>962</v>
      </c>
      <c r="C34" s="26" t="s">
        <v>964</v>
      </c>
      <c r="D34" s="30">
        <v>581</v>
      </c>
      <c r="E34" s="28">
        <v>0.67396</v>
      </c>
      <c r="F34" s="29">
        <v>3.34205079759091E-3</v>
      </c>
    </row>
    <row r="35" spans="1:9" ht="10.5" x14ac:dyDescent="0.25">
      <c r="A35" s="25" t="s">
        <v>153</v>
      </c>
      <c r="B35" s="25"/>
      <c r="C35" s="25"/>
      <c r="D35" s="31"/>
      <c r="E35" s="32">
        <f>SUM(E7:E34)</f>
        <v>4482.7660824999984</v>
      </c>
      <c r="F35" s="33">
        <f>SUM(F7:F34)</f>
        <v>22.229259839504738</v>
      </c>
      <c r="G35" s="17"/>
      <c r="H35" s="17"/>
      <c r="I35" s="17"/>
    </row>
    <row r="36" spans="1:9" x14ac:dyDescent="0.2">
      <c r="A36" s="26"/>
      <c r="B36" s="26"/>
      <c r="C36" s="26"/>
      <c r="D36" s="27"/>
      <c r="E36" s="28"/>
      <c r="F36" s="29"/>
    </row>
    <row r="37" spans="1:9" ht="10.5" x14ac:dyDescent="0.25">
      <c r="A37" s="25" t="s">
        <v>56</v>
      </c>
      <c r="B37" s="26"/>
      <c r="C37" s="26"/>
      <c r="D37" s="27"/>
      <c r="E37" s="28"/>
      <c r="F37" s="29"/>
    </row>
    <row r="38" spans="1:9" ht="10.5" x14ac:dyDescent="0.25">
      <c r="A38" s="25" t="s">
        <v>1647</v>
      </c>
      <c r="B38" s="26"/>
      <c r="C38" s="26"/>
      <c r="D38" s="27"/>
      <c r="E38" s="28"/>
      <c r="F38" s="29"/>
    </row>
    <row r="39" spans="1:9" x14ac:dyDescent="0.2">
      <c r="A39" s="26" t="s">
        <v>968</v>
      </c>
      <c r="B39" s="26" t="s">
        <v>967</v>
      </c>
      <c r="C39" s="26" t="s">
        <v>152</v>
      </c>
      <c r="D39" s="30">
        <v>200</v>
      </c>
      <c r="E39" s="28">
        <v>2068.5520000000001</v>
      </c>
      <c r="F39" s="29">
        <v>10.257590749389101</v>
      </c>
    </row>
    <row r="40" spans="1:9" x14ac:dyDescent="0.2">
      <c r="A40" s="26" t="s">
        <v>602</v>
      </c>
      <c r="B40" s="26" t="s">
        <v>601</v>
      </c>
      <c r="C40" s="26" t="s">
        <v>152</v>
      </c>
      <c r="D40" s="30">
        <v>65</v>
      </c>
      <c r="E40" s="28">
        <v>716.42544999999996</v>
      </c>
      <c r="F40" s="29">
        <v>3.5526296020341399</v>
      </c>
    </row>
    <row r="41" spans="1:9" x14ac:dyDescent="0.2">
      <c r="A41" s="26" t="s">
        <v>658</v>
      </c>
      <c r="B41" s="26" t="s">
        <v>657</v>
      </c>
      <c r="C41" s="26" t="s">
        <v>152</v>
      </c>
      <c r="D41" s="30">
        <v>65</v>
      </c>
      <c r="E41" s="28">
        <v>712.46304999999995</v>
      </c>
      <c r="F41" s="29">
        <v>3.5329807473834598</v>
      </c>
    </row>
    <row r="42" spans="1:9" x14ac:dyDescent="0.2">
      <c r="A42" s="26" t="s">
        <v>512</v>
      </c>
      <c r="B42" s="26" t="s">
        <v>511</v>
      </c>
      <c r="C42" s="26" t="s">
        <v>152</v>
      </c>
      <c r="D42" s="30">
        <v>60</v>
      </c>
      <c r="E42" s="28">
        <v>659.11620000000005</v>
      </c>
      <c r="F42" s="29">
        <v>3.26844296681567</v>
      </c>
    </row>
    <row r="43" spans="1:9" x14ac:dyDescent="0.2">
      <c r="A43" s="26" t="s">
        <v>268</v>
      </c>
      <c r="B43" s="26" t="s">
        <v>267</v>
      </c>
      <c r="C43" s="26" t="s">
        <v>165</v>
      </c>
      <c r="D43" s="30">
        <v>60</v>
      </c>
      <c r="E43" s="28">
        <v>580.06200000000001</v>
      </c>
      <c r="F43" s="29">
        <v>2.8764268944035001</v>
      </c>
    </row>
    <row r="44" spans="1:9" x14ac:dyDescent="0.2">
      <c r="A44" s="26" t="s">
        <v>592</v>
      </c>
      <c r="B44" s="26" t="s">
        <v>591</v>
      </c>
      <c r="C44" s="26" t="s">
        <v>152</v>
      </c>
      <c r="D44" s="30">
        <v>50</v>
      </c>
      <c r="E44" s="28">
        <v>544.32849999999996</v>
      </c>
      <c r="F44" s="29">
        <v>2.6992306629124401</v>
      </c>
    </row>
    <row r="45" spans="1:9" ht="10.5" x14ac:dyDescent="0.25">
      <c r="A45" s="25" t="s">
        <v>153</v>
      </c>
      <c r="B45" s="25"/>
      <c r="C45" s="25"/>
      <c r="D45" s="31"/>
      <c r="E45" s="32">
        <f>SUM(E38:E44)</f>
        <v>5280.9471999999996</v>
      </c>
      <c r="F45" s="33">
        <f>SUM(F38:F44)</f>
        <v>26.18730162293831</v>
      </c>
      <c r="G45" s="17"/>
      <c r="H45" s="17"/>
      <c r="I45" s="17"/>
    </row>
    <row r="46" spans="1:9" x14ac:dyDescent="0.2">
      <c r="A46" s="26"/>
      <c r="B46" s="26"/>
      <c r="C46" s="26"/>
      <c r="D46" s="27"/>
      <c r="E46" s="28"/>
      <c r="F46" s="29"/>
    </row>
    <row r="47" spans="1:9" ht="10.5" x14ac:dyDescent="0.25">
      <c r="A47" s="25" t="s">
        <v>362</v>
      </c>
      <c r="B47" s="26"/>
      <c r="C47" s="26"/>
      <c r="D47" s="27"/>
      <c r="E47" s="28"/>
      <c r="F47" s="29"/>
    </row>
    <row r="48" spans="1:9" ht="10.5" x14ac:dyDescent="0.25">
      <c r="A48" s="25" t="s">
        <v>363</v>
      </c>
      <c r="B48" s="26"/>
      <c r="C48" s="26"/>
      <c r="D48" s="27"/>
      <c r="E48" s="28"/>
      <c r="F48" s="29"/>
    </row>
    <row r="49" spans="1:9" x14ac:dyDescent="0.2">
      <c r="A49" s="26" t="s">
        <v>368</v>
      </c>
      <c r="B49" s="26" t="s">
        <v>367</v>
      </c>
      <c r="C49" s="26" t="s">
        <v>369</v>
      </c>
      <c r="D49" s="30">
        <v>2000</v>
      </c>
      <c r="E49" s="28">
        <v>1969.838</v>
      </c>
      <c r="F49" s="29">
        <v>9.7680851371370494</v>
      </c>
    </row>
    <row r="50" spans="1:9" ht="10.5" x14ac:dyDescent="0.25">
      <c r="A50" s="25" t="s">
        <v>153</v>
      </c>
      <c r="B50" s="25"/>
      <c r="C50" s="25"/>
      <c r="D50" s="31"/>
      <c r="E50" s="32">
        <f>SUM(E48:E49)</f>
        <v>1969.838</v>
      </c>
      <c r="F50" s="33">
        <f>SUM(F48:F49)</f>
        <v>9.7680851371370494</v>
      </c>
      <c r="G50" s="17"/>
      <c r="H50" s="17"/>
      <c r="I50" s="17"/>
    </row>
    <row r="51" spans="1:9" x14ac:dyDescent="0.2">
      <c r="A51" s="26"/>
      <c r="B51" s="26"/>
      <c r="C51" s="26"/>
      <c r="D51" s="27"/>
      <c r="E51" s="28"/>
      <c r="F51" s="29"/>
    </row>
    <row r="52" spans="1:9" ht="10.5" x14ac:dyDescent="0.25">
      <c r="A52" s="25" t="s">
        <v>473</v>
      </c>
      <c r="B52" s="26"/>
      <c r="C52" s="26"/>
      <c r="D52" s="27"/>
      <c r="E52" s="28"/>
      <c r="F52" s="29"/>
    </row>
    <row r="53" spans="1:9" x14ac:dyDescent="0.2">
      <c r="A53" s="26" t="s">
        <v>475</v>
      </c>
      <c r="B53" s="26" t="s">
        <v>474</v>
      </c>
      <c r="C53" s="26" t="s">
        <v>476</v>
      </c>
      <c r="D53" s="30">
        <v>3100000</v>
      </c>
      <c r="E53" s="28">
        <v>3044.2775000000001</v>
      </c>
      <c r="F53" s="29">
        <v>15.0960443453069</v>
      </c>
    </row>
    <row r="54" spans="1:9" x14ac:dyDescent="0.2">
      <c r="A54" s="26" t="s">
        <v>478</v>
      </c>
      <c r="B54" s="26" t="s">
        <v>477</v>
      </c>
      <c r="C54" s="26" t="s">
        <v>476</v>
      </c>
      <c r="D54" s="30">
        <v>2800000</v>
      </c>
      <c r="E54" s="28">
        <v>2780.0192000000002</v>
      </c>
      <c r="F54" s="29">
        <v>13.7856332492701</v>
      </c>
    </row>
    <row r="55" spans="1:9" x14ac:dyDescent="0.2">
      <c r="A55" s="26" t="s">
        <v>498</v>
      </c>
      <c r="B55" s="26" t="s">
        <v>497</v>
      </c>
      <c r="C55" s="26" t="s">
        <v>476</v>
      </c>
      <c r="D55" s="30">
        <v>800000</v>
      </c>
      <c r="E55" s="28">
        <v>826.37919999999997</v>
      </c>
      <c r="F55" s="29">
        <v>4.0978711859346797</v>
      </c>
    </row>
    <row r="56" spans="1:9" x14ac:dyDescent="0.2">
      <c r="A56" s="26" t="s">
        <v>483</v>
      </c>
      <c r="B56" s="26" t="s">
        <v>482</v>
      </c>
      <c r="C56" s="26" t="s">
        <v>476</v>
      </c>
      <c r="D56" s="30">
        <v>500000</v>
      </c>
      <c r="E56" s="28">
        <v>490.88099999999997</v>
      </c>
      <c r="F56" s="29">
        <v>2.4341937764440398</v>
      </c>
    </row>
    <row r="57" spans="1:9" x14ac:dyDescent="0.2">
      <c r="A57" s="26" t="s">
        <v>485</v>
      </c>
      <c r="B57" s="26" t="s">
        <v>484</v>
      </c>
      <c r="C57" s="26" t="s">
        <v>476</v>
      </c>
      <c r="D57" s="30">
        <v>200000</v>
      </c>
      <c r="E57" s="28">
        <v>214.3202</v>
      </c>
      <c r="F57" s="29">
        <v>1.0627767157544099</v>
      </c>
    </row>
    <row r="58" spans="1:9" ht="10.5" x14ac:dyDescent="0.25">
      <c r="A58" s="25" t="s">
        <v>153</v>
      </c>
      <c r="B58" s="25"/>
      <c r="C58" s="25"/>
      <c r="D58" s="31"/>
      <c r="E58" s="32">
        <f>SUM(E53:E57)</f>
        <v>7355.8771000000015</v>
      </c>
      <c r="F58" s="33">
        <f>SUM(F53:F57)</f>
        <v>36.476519272710128</v>
      </c>
      <c r="G58" s="17"/>
      <c r="H58" s="17"/>
      <c r="I58" s="17"/>
    </row>
    <row r="59" spans="1:9" x14ac:dyDescent="0.2">
      <c r="A59" s="26"/>
      <c r="B59" s="26"/>
      <c r="C59" s="26"/>
      <c r="D59" s="27"/>
      <c r="E59" s="28"/>
      <c r="F59" s="29"/>
    </row>
    <row r="60" spans="1:9" ht="10.5" x14ac:dyDescent="0.25">
      <c r="A60" s="25" t="s">
        <v>166</v>
      </c>
      <c r="B60" s="25"/>
      <c r="C60" s="25"/>
      <c r="D60" s="31"/>
      <c r="E60" s="32">
        <f>E35+E45+E50+E58</f>
        <v>19089.428382499998</v>
      </c>
      <c r="F60" s="33">
        <f>F35+F45+F50+F58</f>
        <v>94.661165872290226</v>
      </c>
      <c r="G60" s="17"/>
      <c r="H60" s="17"/>
      <c r="I60" s="17"/>
    </row>
    <row r="61" spans="1:9" ht="10.5" x14ac:dyDescent="0.25">
      <c r="A61" s="25"/>
      <c r="B61" s="25"/>
      <c r="C61" s="25"/>
      <c r="D61" s="31"/>
      <c r="E61" s="32"/>
      <c r="F61" s="33"/>
      <c r="G61" s="17"/>
      <c r="H61" s="17"/>
      <c r="I61" s="17"/>
    </row>
    <row r="62" spans="1:9" ht="10.5" x14ac:dyDescent="0.25">
      <c r="A62" s="25" t="s">
        <v>168</v>
      </c>
      <c r="B62" s="25"/>
      <c r="C62" s="25"/>
      <c r="D62" s="31"/>
      <c r="E62" s="32">
        <f>E64-(E35+E45+E50+E58)</f>
        <v>1076.6325429000026</v>
      </c>
      <c r="F62" s="33">
        <f>F64-(F35+F45+F50+F58)</f>
        <v>5.3388341277097737</v>
      </c>
      <c r="G62" s="17"/>
      <c r="H62" s="17"/>
      <c r="I62" s="17"/>
    </row>
    <row r="63" spans="1:9" ht="10.5" x14ac:dyDescent="0.25">
      <c r="A63" s="25"/>
      <c r="B63" s="25"/>
      <c r="C63" s="25"/>
      <c r="D63" s="31"/>
      <c r="E63" s="32"/>
      <c r="F63" s="33"/>
      <c r="G63" s="17"/>
      <c r="H63" s="17"/>
      <c r="I63" s="17"/>
    </row>
    <row r="64" spans="1:9" ht="10.5" x14ac:dyDescent="0.25">
      <c r="A64" s="34" t="s">
        <v>167</v>
      </c>
      <c r="B64" s="34"/>
      <c r="C64" s="34"/>
      <c r="D64" s="35"/>
      <c r="E64" s="36">
        <v>20166.060925400001</v>
      </c>
      <c r="F64" s="37">
        <v>100</v>
      </c>
      <c r="G64" s="17"/>
      <c r="H64" s="17"/>
      <c r="I64" s="17"/>
    </row>
    <row r="65" spans="1:6" ht="10.5" x14ac:dyDescent="0.25">
      <c r="F65" s="19" t="s">
        <v>343</v>
      </c>
    </row>
    <row r="66" spans="1:6" ht="10.5" x14ac:dyDescent="0.25">
      <c r="A66" s="17" t="s">
        <v>170</v>
      </c>
    </row>
    <row r="68" spans="1:6" ht="10.5" x14ac:dyDescent="0.25">
      <c r="A68" s="17" t="s">
        <v>171</v>
      </c>
    </row>
    <row r="69" spans="1:6" ht="10.5" x14ac:dyDescent="0.25">
      <c r="A69" s="17" t="s">
        <v>172</v>
      </c>
    </row>
    <row r="70" spans="1:6" ht="10.5" x14ac:dyDescent="0.25">
      <c r="A70" s="17" t="s">
        <v>173</v>
      </c>
      <c r="B70" s="17"/>
      <c r="C70" s="38" t="s">
        <v>175</v>
      </c>
      <c r="D70" s="18" t="s">
        <v>174</v>
      </c>
    </row>
    <row r="71" spans="1:6" x14ac:dyDescent="0.2">
      <c r="A71" s="10" t="s">
        <v>436</v>
      </c>
      <c r="C71" s="39">
        <v>54.9377</v>
      </c>
      <c r="D71" s="39">
        <v>58.98</v>
      </c>
    </row>
    <row r="72" spans="1:6" x14ac:dyDescent="0.2">
      <c r="A72" s="10" t="s">
        <v>437</v>
      </c>
      <c r="C72" s="39">
        <v>12.1853</v>
      </c>
      <c r="D72" s="39">
        <v>12.584899999999999</v>
      </c>
    </row>
    <row r="73" spans="1:6" x14ac:dyDescent="0.2">
      <c r="A73" s="10" t="s">
        <v>438</v>
      </c>
      <c r="C73" s="39">
        <v>11.611599999999999</v>
      </c>
      <c r="D73" s="39">
        <v>11.9397</v>
      </c>
    </row>
    <row r="74" spans="1:6" x14ac:dyDescent="0.2">
      <c r="A74" s="10" t="s">
        <v>439</v>
      </c>
      <c r="C74" s="39">
        <v>57.981200000000001</v>
      </c>
      <c r="D74" s="39">
        <v>62.517400000000002</v>
      </c>
    </row>
    <row r="75" spans="1:6" x14ac:dyDescent="0.2">
      <c r="A75" s="10" t="s">
        <v>440</v>
      </c>
      <c r="C75" s="39">
        <v>13.0526</v>
      </c>
      <c r="D75" s="39">
        <v>13.5709</v>
      </c>
    </row>
    <row r="76" spans="1:6" x14ac:dyDescent="0.2">
      <c r="A76" s="10" t="s">
        <v>441</v>
      </c>
      <c r="C76" s="39">
        <v>12.4482</v>
      </c>
      <c r="D76" s="39">
        <v>12.8909</v>
      </c>
    </row>
    <row r="78" spans="1:6" ht="10.5" x14ac:dyDescent="0.25">
      <c r="A78" s="17" t="s">
        <v>185</v>
      </c>
    </row>
    <row r="79" spans="1:6" ht="12.5" x14ac:dyDescent="0.25">
      <c r="A79" s="100" t="s">
        <v>350</v>
      </c>
      <c r="B79" s="101"/>
      <c r="C79" s="98" t="s">
        <v>1658</v>
      </c>
      <c r="D79" s="99"/>
    </row>
    <row r="80" spans="1:6" ht="10.5" x14ac:dyDescent="0.25">
      <c r="A80" s="100"/>
      <c r="B80" s="101"/>
      <c r="C80" s="43" t="s">
        <v>351</v>
      </c>
      <c r="D80" s="44" t="s">
        <v>352</v>
      </c>
    </row>
    <row r="81" spans="1:6" x14ac:dyDescent="0.2">
      <c r="A81" s="94" t="s">
        <v>437</v>
      </c>
      <c r="B81" s="95"/>
      <c r="C81" s="45">
        <v>0.48500000000000004</v>
      </c>
      <c r="D81" s="45">
        <v>0.48500000000000004</v>
      </c>
    </row>
    <row r="82" spans="1:6" x14ac:dyDescent="0.2">
      <c r="A82" s="94" t="s">
        <v>438</v>
      </c>
      <c r="B82" s="95"/>
      <c r="C82" s="45">
        <v>0.52</v>
      </c>
      <c r="D82" s="45">
        <v>0.52</v>
      </c>
    </row>
    <row r="83" spans="1:6" x14ac:dyDescent="0.2">
      <c r="A83" s="94" t="s">
        <v>440</v>
      </c>
      <c r="B83" s="95"/>
      <c r="C83" s="45">
        <v>0.48500000000000004</v>
      </c>
      <c r="D83" s="45">
        <v>0.48500000000000004</v>
      </c>
    </row>
    <row r="84" spans="1:6" x14ac:dyDescent="0.2">
      <c r="A84" s="94" t="s">
        <v>441</v>
      </c>
      <c r="B84" s="95"/>
      <c r="C84" s="45">
        <v>0.52</v>
      </c>
      <c r="D84" s="45">
        <v>0.52</v>
      </c>
    </row>
    <row r="85" spans="1:6" x14ac:dyDescent="0.2">
      <c r="A85" s="90" t="s">
        <v>1657</v>
      </c>
    </row>
    <row r="87" spans="1:6" ht="10.5" x14ac:dyDescent="0.25">
      <c r="A87" s="17" t="s">
        <v>187</v>
      </c>
      <c r="D87" s="41">
        <v>5.2512727779034103</v>
      </c>
      <c r="E87" s="15" t="s">
        <v>188</v>
      </c>
    </row>
    <row r="89" spans="1:6" ht="10.5" x14ac:dyDescent="0.25">
      <c r="A89" s="17" t="s">
        <v>189</v>
      </c>
      <c r="D89" s="40" t="s">
        <v>186</v>
      </c>
    </row>
    <row r="91" spans="1:6" ht="10.5" x14ac:dyDescent="0.25">
      <c r="A91" s="17" t="s">
        <v>1503</v>
      </c>
    </row>
    <row r="95" spans="1:6" s="1" customFormat="1" ht="14" x14ac:dyDescent="0.25">
      <c r="A95" s="96" t="s">
        <v>973</v>
      </c>
      <c r="B95" s="97"/>
      <c r="C95" s="97"/>
      <c r="D95" s="97"/>
      <c r="E95" s="97"/>
      <c r="F95" s="97"/>
    </row>
    <row r="96" spans="1:6" ht="10.5" x14ac:dyDescent="0.25">
      <c r="A96" s="17" t="s">
        <v>6</v>
      </c>
    </row>
    <row r="97" spans="1:9" s="1" customFormat="1" ht="17.5" customHeight="1" x14ac:dyDescent="0.25">
      <c r="A97" s="8" t="s">
        <v>2</v>
      </c>
      <c r="B97" s="8" t="s">
        <v>0</v>
      </c>
      <c r="C97" s="8" t="s">
        <v>169</v>
      </c>
      <c r="D97" s="48" t="s">
        <v>1</v>
      </c>
      <c r="E97" s="9" t="s">
        <v>3</v>
      </c>
      <c r="F97" s="9" t="s">
        <v>4</v>
      </c>
    </row>
    <row r="98" spans="1:9" ht="10.5" x14ac:dyDescent="0.25">
      <c r="A98" s="20" t="s">
        <v>56</v>
      </c>
      <c r="B98" s="21"/>
      <c r="C98" s="21"/>
      <c r="D98" s="22"/>
      <c r="E98" s="23"/>
      <c r="F98" s="24"/>
    </row>
    <row r="99" spans="1:9" ht="10.5" x14ac:dyDescent="0.25">
      <c r="A99" s="25" t="s">
        <v>1647</v>
      </c>
      <c r="B99" s="26"/>
      <c r="C99" s="26"/>
      <c r="D99" s="27"/>
      <c r="E99" s="28"/>
      <c r="F99" s="29"/>
    </row>
    <row r="100" spans="1:9" x14ac:dyDescent="0.2">
      <c r="A100" s="26" t="s">
        <v>975</v>
      </c>
      <c r="B100" s="26" t="s">
        <v>974</v>
      </c>
      <c r="C100" s="26" t="s">
        <v>361</v>
      </c>
      <c r="D100" s="30">
        <v>50</v>
      </c>
      <c r="E100" s="50">
        <v>0</v>
      </c>
      <c r="F100" s="50">
        <v>100</v>
      </c>
    </row>
    <row r="101" spans="1:9" ht="10.5" x14ac:dyDescent="0.25">
      <c r="A101" s="25" t="s">
        <v>153</v>
      </c>
      <c r="B101" s="25"/>
      <c r="C101" s="25"/>
      <c r="D101" s="31"/>
      <c r="E101" s="51">
        <f>SUM(E99:E100)</f>
        <v>0</v>
      </c>
      <c r="F101" s="52">
        <f>SUM(F99:F100)</f>
        <v>100</v>
      </c>
      <c r="G101" s="17"/>
      <c r="H101" s="17"/>
      <c r="I101" s="17"/>
    </row>
    <row r="102" spans="1:9" x14ac:dyDescent="0.2">
      <c r="A102" s="26"/>
      <c r="B102" s="26"/>
      <c r="C102" s="26"/>
      <c r="D102" s="27"/>
      <c r="E102" s="53"/>
      <c r="F102" s="50"/>
    </row>
    <row r="103" spans="1:9" ht="10.5" x14ac:dyDescent="0.25">
      <c r="A103" s="25" t="s">
        <v>166</v>
      </c>
      <c r="B103" s="25"/>
      <c r="C103" s="25"/>
      <c r="D103" s="31"/>
      <c r="E103" s="51">
        <f>E101</f>
        <v>0</v>
      </c>
      <c r="F103" s="52">
        <f>F101</f>
        <v>100</v>
      </c>
      <c r="G103" s="17"/>
      <c r="H103" s="17"/>
      <c r="I103" s="17"/>
    </row>
    <row r="104" spans="1:9" ht="10.5" x14ac:dyDescent="0.25">
      <c r="A104" s="25"/>
      <c r="B104" s="25"/>
      <c r="C104" s="25"/>
      <c r="D104" s="31"/>
      <c r="E104" s="51"/>
      <c r="F104" s="52"/>
      <c r="G104" s="17"/>
      <c r="H104" s="17"/>
      <c r="I104" s="17"/>
    </row>
    <row r="105" spans="1:9" ht="10.5" x14ac:dyDescent="0.25">
      <c r="A105" s="25" t="s">
        <v>168</v>
      </c>
      <c r="B105" s="25"/>
      <c r="C105" s="25"/>
      <c r="D105" s="31"/>
      <c r="E105" s="51">
        <v>0</v>
      </c>
      <c r="F105" s="33">
        <v>0</v>
      </c>
      <c r="G105" s="17"/>
      <c r="H105" s="17"/>
      <c r="I105" s="17"/>
    </row>
    <row r="106" spans="1:9" ht="10.5" x14ac:dyDescent="0.25">
      <c r="A106" s="25"/>
      <c r="B106" s="25"/>
      <c r="C106" s="25"/>
      <c r="D106" s="31"/>
      <c r="E106" s="51"/>
      <c r="F106" s="52"/>
      <c r="G106" s="17"/>
      <c r="H106" s="17"/>
      <c r="I106" s="17"/>
    </row>
    <row r="107" spans="1:9" ht="10.5" x14ac:dyDescent="0.25">
      <c r="A107" s="34" t="s">
        <v>167</v>
      </c>
      <c r="B107" s="34"/>
      <c r="C107" s="34"/>
      <c r="D107" s="35"/>
      <c r="E107" s="54">
        <v>0</v>
      </c>
      <c r="F107" s="55">
        <v>100</v>
      </c>
      <c r="G107" s="17"/>
      <c r="H107" s="17"/>
      <c r="I107" s="17"/>
    </row>
    <row r="108" spans="1:9" ht="10.5" x14ac:dyDescent="0.25">
      <c r="F108" s="19"/>
    </row>
    <row r="109" spans="1:9" ht="10.5" x14ac:dyDescent="0.25">
      <c r="A109" s="17" t="s">
        <v>170</v>
      </c>
    </row>
    <row r="110" spans="1:9" ht="10.5" x14ac:dyDescent="0.25">
      <c r="A110" s="17" t="s">
        <v>1490</v>
      </c>
    </row>
    <row r="111" spans="1:9" ht="10.5" x14ac:dyDescent="0.25">
      <c r="A111" s="17"/>
    </row>
    <row r="112" spans="1:9" ht="10.5" x14ac:dyDescent="0.25">
      <c r="A112" s="17" t="s">
        <v>171</v>
      </c>
    </row>
    <row r="113" spans="1:4" ht="10.5" x14ac:dyDescent="0.25">
      <c r="A113" s="17" t="s">
        <v>172</v>
      </c>
    </row>
    <row r="114" spans="1:4" ht="10.5" x14ac:dyDescent="0.25">
      <c r="A114" s="17" t="s">
        <v>173</v>
      </c>
      <c r="B114" s="17"/>
      <c r="C114" s="38" t="s">
        <v>175</v>
      </c>
      <c r="D114" s="18" t="s">
        <v>174</v>
      </c>
    </row>
    <row r="115" spans="1:4" x14ac:dyDescent="0.2">
      <c r="A115" s="10" t="s">
        <v>436</v>
      </c>
      <c r="C115" s="39">
        <v>0</v>
      </c>
      <c r="D115" s="39">
        <v>0</v>
      </c>
    </row>
    <row r="116" spans="1:4" x14ac:dyDescent="0.2">
      <c r="A116" s="10" t="s">
        <v>437</v>
      </c>
      <c r="C116" s="39">
        <v>0</v>
      </c>
      <c r="D116" s="39">
        <v>0</v>
      </c>
    </row>
    <row r="117" spans="1:4" x14ac:dyDescent="0.2">
      <c r="A117" s="10" t="s">
        <v>438</v>
      </c>
      <c r="C117" s="39">
        <v>0</v>
      </c>
      <c r="D117" s="39">
        <v>0</v>
      </c>
    </row>
    <row r="118" spans="1:4" x14ac:dyDescent="0.2">
      <c r="A118" s="10" t="s">
        <v>439</v>
      </c>
      <c r="C118" s="39">
        <v>0</v>
      </c>
      <c r="D118" s="39">
        <v>0</v>
      </c>
    </row>
    <row r="119" spans="1:4" x14ac:dyDescent="0.2">
      <c r="A119" s="10" t="s">
        <v>440</v>
      </c>
      <c r="C119" s="39">
        <v>0</v>
      </c>
      <c r="D119" s="39">
        <v>0</v>
      </c>
    </row>
    <row r="120" spans="1:4" x14ac:dyDescent="0.2">
      <c r="A120" s="10" t="s">
        <v>441</v>
      </c>
      <c r="C120" s="39">
        <v>0</v>
      </c>
      <c r="D120" s="39">
        <v>0</v>
      </c>
    </row>
    <row r="122" spans="1:4" ht="10.5" x14ac:dyDescent="0.25">
      <c r="A122" s="17" t="s">
        <v>1550</v>
      </c>
      <c r="D122" s="40" t="s">
        <v>186</v>
      </c>
    </row>
    <row r="123" spans="1:4" x14ac:dyDescent="0.2">
      <c r="A123" s="10" t="s">
        <v>353</v>
      </c>
    </row>
    <row r="124" spans="1:4" x14ac:dyDescent="0.2">
      <c r="A124" s="87" t="s">
        <v>1546</v>
      </c>
    </row>
  </sheetData>
  <mergeCells count="9">
    <mergeCell ref="A83:B83"/>
    <mergeCell ref="A84:B84"/>
    <mergeCell ref="A95:F95"/>
    <mergeCell ref="A1:F1"/>
    <mergeCell ref="C79:D79"/>
    <mergeCell ref="A79:B79"/>
    <mergeCell ref="A80:B80"/>
    <mergeCell ref="A81:B81"/>
    <mergeCell ref="A82:B82"/>
  </mergeCells>
  <conditionalFormatting sqref="F2:F3 F5:F64 F98:F99 F109:F121 F96 F66:F94 F125:F65541">
    <cfRule type="cellIs" dxfId="32" priority="5" stopIfTrue="1" operator="between">
      <formula>0.009</formula>
      <formula>-0.009</formula>
    </cfRule>
  </conditionalFormatting>
  <conditionalFormatting sqref="F65">
    <cfRule type="cellIs" dxfId="31" priority="4" stopIfTrue="1" operator="between">
      <formula>0.009</formula>
      <formula>-0.009</formula>
    </cfRule>
  </conditionalFormatting>
  <conditionalFormatting sqref="F108">
    <cfRule type="cellIs" dxfId="30" priority="3" stopIfTrue="1" operator="between">
      <formula>0.009</formula>
      <formula>-0.009</formula>
    </cfRule>
  </conditionalFormatting>
  <conditionalFormatting sqref="F100:F104 F106:F107">
    <cfRule type="cellIs" dxfId="29" priority="2" stopIfTrue="1" operator="between">
      <formula>0.009</formula>
      <formula>-0.009</formula>
    </cfRule>
  </conditionalFormatting>
  <conditionalFormatting sqref="F122:F124">
    <cfRule type="cellIs" dxfId="28" priority="1" stopIfTrue="1" operator="between">
      <formula>0.009</formula>
      <formula>-0.009</formula>
    </cfRule>
  </conditionalFormatting>
  <hyperlinks>
    <hyperlink ref="A124" r:id="rId1" xr:uid="{00000000-0004-0000-2400-000000000000}"/>
  </hyperlinks>
  <pageMargins left="0.7" right="0.7" top="0.75" bottom="0.75" header="0.3" footer="0.3"/>
  <pageSetup paperSize="9" scale="52" orientation="portrait" r:id="rId2"/>
  <headerFooter>
    <oddFooter>&amp;LPUBLIC</oddFooter>
    <evenFooter>&amp;LPUBLIC</evenFooter>
    <firstFooter>&amp;LPUBLIC</firstFooter>
  </headerFooter>
  <rowBreaks count="1" manualBreakCount="1">
    <brk id="92" max="5" man="1"/>
  </rowBreaks>
  <colBreaks count="1" manualBreakCount="1">
    <brk id="6" max="1048575"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87"/>
  <sheetViews>
    <sheetView view="pageBreakPreview" zoomScaleNormal="100" zoomScaleSheetLayoutView="100" workbookViewId="0">
      <selection sqref="A1:G1"/>
    </sheetView>
  </sheetViews>
  <sheetFormatPr defaultColWidth="9.1796875" defaultRowHeight="10" x14ac:dyDescent="0.2"/>
  <cols>
    <col min="1" max="1" width="38.81640625" style="10" bestFit="1" customWidth="1"/>
    <col min="2" max="2" width="51" style="10" bestFit="1" customWidth="1"/>
    <col min="3" max="3" width="35.81640625" style="10" bestFit="1" customWidth="1"/>
    <col min="4" max="4" width="15.453125" style="11" bestFit="1" customWidth="1"/>
    <col min="5" max="5" width="23" style="15" bestFit="1" customWidth="1"/>
    <col min="6" max="6" width="17" style="16" customWidth="1"/>
    <col min="7" max="7" width="13.1796875" style="10" customWidth="1"/>
    <col min="8" max="16384" width="9.1796875" style="10"/>
  </cols>
  <sheetData>
    <row r="1" spans="1:7" s="1" customFormat="1" ht="14" x14ac:dyDescent="0.25">
      <c r="A1" s="96" t="s">
        <v>38</v>
      </c>
      <c r="B1" s="97"/>
      <c r="C1" s="97"/>
      <c r="D1" s="97"/>
      <c r="E1" s="97"/>
      <c r="F1" s="97"/>
      <c r="G1" s="97"/>
    </row>
    <row r="2" spans="1:7" s="1" customFormat="1" ht="11.5" x14ac:dyDescent="0.25">
      <c r="D2" s="6"/>
      <c r="E2" s="7"/>
      <c r="F2" s="14"/>
    </row>
    <row r="3" spans="1:7" s="1" customFormat="1" ht="11.5" x14ac:dyDescent="0.25">
      <c r="A3" s="12" t="s">
        <v>6</v>
      </c>
      <c r="B3" s="2"/>
      <c r="C3" s="3"/>
      <c r="D3" s="4"/>
      <c r="E3" s="5"/>
      <c r="F3" s="14"/>
    </row>
    <row r="4" spans="1:7" s="1" customFormat="1" ht="40" customHeight="1" x14ac:dyDescent="0.25">
      <c r="A4" s="8" t="s">
        <v>2</v>
      </c>
      <c r="B4" s="8" t="s">
        <v>0</v>
      </c>
      <c r="C4" s="8" t="s">
        <v>5</v>
      </c>
      <c r="D4" s="48" t="s">
        <v>1</v>
      </c>
      <c r="E4" s="9" t="s">
        <v>3</v>
      </c>
      <c r="F4" s="60" t="s">
        <v>1504</v>
      </c>
      <c r="G4" s="60" t="s">
        <v>1505</v>
      </c>
    </row>
    <row r="5" spans="1:7" ht="10.5" x14ac:dyDescent="0.25">
      <c r="A5" s="20" t="s">
        <v>881</v>
      </c>
      <c r="B5" s="21"/>
      <c r="C5" s="21"/>
      <c r="D5" s="22"/>
      <c r="E5" s="23"/>
      <c r="F5" s="24"/>
      <c r="G5" s="26"/>
    </row>
    <row r="6" spans="1:7" ht="10.5" x14ac:dyDescent="0.25">
      <c r="A6" s="25" t="s">
        <v>1647</v>
      </c>
      <c r="B6" s="26"/>
      <c r="C6" s="26"/>
      <c r="D6" s="27"/>
      <c r="E6" s="28"/>
      <c r="F6" s="29"/>
      <c r="G6" s="26"/>
    </row>
    <row r="7" spans="1:7" x14ac:dyDescent="0.2">
      <c r="A7" s="26" t="s">
        <v>977</v>
      </c>
      <c r="B7" s="26" t="s">
        <v>976</v>
      </c>
      <c r="C7" s="26" t="s">
        <v>978</v>
      </c>
      <c r="D7" s="30">
        <v>64500</v>
      </c>
      <c r="E7" s="28">
        <v>1122.3322499999999</v>
      </c>
      <c r="F7" s="29">
        <v>8.41885298211138</v>
      </c>
      <c r="G7" s="28">
        <v>-8.4405999999999999</v>
      </c>
    </row>
    <row r="8" spans="1:7" x14ac:dyDescent="0.2">
      <c r="A8" s="26" t="s">
        <v>924</v>
      </c>
      <c r="B8" s="26" t="s">
        <v>923</v>
      </c>
      <c r="C8" s="26" t="s">
        <v>925</v>
      </c>
      <c r="D8" s="30">
        <v>439400</v>
      </c>
      <c r="E8" s="28">
        <v>793.77610000000004</v>
      </c>
      <c r="F8" s="29">
        <v>5.9542834010282899</v>
      </c>
      <c r="G8" s="28">
        <v>-4.4710999999999999</v>
      </c>
    </row>
    <row r="9" spans="1:7" x14ac:dyDescent="0.2">
      <c r="A9" s="26" t="s">
        <v>889</v>
      </c>
      <c r="B9" s="26" t="s">
        <v>888</v>
      </c>
      <c r="C9" s="26" t="s">
        <v>884</v>
      </c>
      <c r="D9" s="30">
        <v>177000</v>
      </c>
      <c r="E9" s="28">
        <v>751.63049999999998</v>
      </c>
      <c r="F9" s="29">
        <v>5.6381402890016403</v>
      </c>
      <c r="G9" s="28">
        <v>-2.6823000000000001</v>
      </c>
    </row>
    <row r="10" spans="1:7" x14ac:dyDescent="0.2">
      <c r="A10" s="26" t="s">
        <v>886</v>
      </c>
      <c r="B10" s="26" t="s">
        <v>885</v>
      </c>
      <c r="C10" s="26" t="s">
        <v>887</v>
      </c>
      <c r="D10" s="30">
        <v>61245</v>
      </c>
      <c r="E10" s="28">
        <v>617.50271250000003</v>
      </c>
      <c r="F10" s="29">
        <v>4.63201921943568</v>
      </c>
      <c r="G10" s="28"/>
    </row>
    <row r="11" spans="1:7" x14ac:dyDescent="0.2">
      <c r="A11" s="26" t="s">
        <v>980</v>
      </c>
      <c r="B11" s="26" t="s">
        <v>979</v>
      </c>
      <c r="C11" s="26" t="s">
        <v>960</v>
      </c>
      <c r="D11" s="30">
        <v>123000</v>
      </c>
      <c r="E11" s="28">
        <v>572.74950000000001</v>
      </c>
      <c r="F11" s="29">
        <v>4.2963158512800499</v>
      </c>
      <c r="G11" s="28">
        <v>-4.3185000000000002</v>
      </c>
    </row>
    <row r="12" spans="1:7" x14ac:dyDescent="0.2">
      <c r="A12" s="26" t="s">
        <v>894</v>
      </c>
      <c r="B12" s="26" t="s">
        <v>893</v>
      </c>
      <c r="C12" s="26" t="s">
        <v>884</v>
      </c>
      <c r="D12" s="30">
        <v>155061</v>
      </c>
      <c r="E12" s="28">
        <v>550.07889750000004</v>
      </c>
      <c r="F12" s="29">
        <v>4.1262588387836301</v>
      </c>
      <c r="G12" s="28">
        <v>-1.4671000000000001</v>
      </c>
    </row>
    <row r="13" spans="1:7" x14ac:dyDescent="0.2">
      <c r="A13" s="26" t="s">
        <v>891</v>
      </c>
      <c r="B13" s="26" t="s">
        <v>890</v>
      </c>
      <c r="C13" s="26" t="s">
        <v>892</v>
      </c>
      <c r="D13" s="30">
        <v>73951</v>
      </c>
      <c r="E13" s="28">
        <v>311.29673450000001</v>
      </c>
      <c r="F13" s="29">
        <v>2.33510303349731</v>
      </c>
      <c r="G13" s="28"/>
    </row>
    <row r="14" spans="1:7" x14ac:dyDescent="0.2">
      <c r="A14" s="26" t="s">
        <v>982</v>
      </c>
      <c r="B14" s="26" t="s">
        <v>981</v>
      </c>
      <c r="C14" s="26" t="s">
        <v>914</v>
      </c>
      <c r="D14" s="30">
        <v>4600</v>
      </c>
      <c r="E14" s="28">
        <v>310.19869999999997</v>
      </c>
      <c r="F14" s="29">
        <v>2.3268664431072601</v>
      </c>
      <c r="G14" s="28">
        <v>-2.3393000000000002</v>
      </c>
    </row>
    <row r="15" spans="1:7" x14ac:dyDescent="0.2">
      <c r="A15" s="26" t="s">
        <v>984</v>
      </c>
      <c r="B15" s="26" t="s">
        <v>983</v>
      </c>
      <c r="C15" s="26" t="s">
        <v>931</v>
      </c>
      <c r="D15" s="30">
        <v>567938</v>
      </c>
      <c r="E15" s="28">
        <v>302.71095400000002</v>
      </c>
      <c r="F15" s="29">
        <v>2.27069926735214</v>
      </c>
      <c r="G15" s="28"/>
    </row>
    <row r="16" spans="1:7" x14ac:dyDescent="0.2">
      <c r="A16" s="26" t="s">
        <v>986</v>
      </c>
      <c r="B16" s="26" t="s">
        <v>985</v>
      </c>
      <c r="C16" s="26" t="s">
        <v>931</v>
      </c>
      <c r="D16" s="30">
        <v>1300000</v>
      </c>
      <c r="E16" s="28">
        <v>262.60000000000002</v>
      </c>
      <c r="F16" s="29">
        <v>1.9698184678400199</v>
      </c>
      <c r="G16" s="28"/>
    </row>
    <row r="17" spans="1:7" x14ac:dyDescent="0.2">
      <c r="A17" s="26" t="s">
        <v>898</v>
      </c>
      <c r="B17" s="26" t="s">
        <v>897</v>
      </c>
      <c r="C17" s="26" t="s">
        <v>899</v>
      </c>
      <c r="D17" s="30">
        <v>35212</v>
      </c>
      <c r="E17" s="28">
        <v>262.04770400000001</v>
      </c>
      <c r="F17" s="29">
        <v>1.9656755780437001</v>
      </c>
      <c r="G17" s="28"/>
    </row>
    <row r="18" spans="1:7" x14ac:dyDescent="0.2">
      <c r="A18" s="26" t="s">
        <v>972</v>
      </c>
      <c r="B18" s="26" t="s">
        <v>971</v>
      </c>
      <c r="C18" s="26" t="s">
        <v>922</v>
      </c>
      <c r="D18" s="30">
        <v>4742</v>
      </c>
      <c r="E18" s="28">
        <v>246.00547599999999</v>
      </c>
      <c r="F18" s="29">
        <v>1.84533941285063</v>
      </c>
      <c r="G18" s="28"/>
    </row>
    <row r="19" spans="1:7" x14ac:dyDescent="0.2">
      <c r="A19" s="26" t="s">
        <v>913</v>
      </c>
      <c r="B19" s="26" t="s">
        <v>912</v>
      </c>
      <c r="C19" s="26" t="s">
        <v>914</v>
      </c>
      <c r="D19" s="30">
        <v>40438</v>
      </c>
      <c r="E19" s="28">
        <v>245.82260199999999</v>
      </c>
      <c r="F19" s="29">
        <v>1.8439676360704</v>
      </c>
      <c r="G19" s="28"/>
    </row>
    <row r="20" spans="1:7" x14ac:dyDescent="0.2">
      <c r="A20" s="26" t="s">
        <v>935</v>
      </c>
      <c r="B20" s="26" t="s">
        <v>934</v>
      </c>
      <c r="C20" s="26" t="s">
        <v>931</v>
      </c>
      <c r="D20" s="30">
        <v>283537</v>
      </c>
      <c r="E20" s="28">
        <v>241.289987</v>
      </c>
      <c r="F20" s="29">
        <v>1.80996752664691</v>
      </c>
      <c r="G20" s="28"/>
    </row>
    <row r="21" spans="1:7" x14ac:dyDescent="0.2">
      <c r="A21" s="26" t="s">
        <v>988</v>
      </c>
      <c r="B21" s="26" t="s">
        <v>987</v>
      </c>
      <c r="C21" s="26" t="s">
        <v>887</v>
      </c>
      <c r="D21" s="30">
        <v>29733</v>
      </c>
      <c r="E21" s="28">
        <v>235.41102749999999</v>
      </c>
      <c r="F21" s="29">
        <v>1.76586820069572</v>
      </c>
      <c r="G21" s="28"/>
    </row>
    <row r="22" spans="1:7" x14ac:dyDescent="0.2">
      <c r="A22" s="26" t="s">
        <v>990</v>
      </c>
      <c r="B22" s="26" t="s">
        <v>989</v>
      </c>
      <c r="C22" s="26" t="s">
        <v>978</v>
      </c>
      <c r="D22" s="30">
        <v>56311</v>
      </c>
      <c r="E22" s="28">
        <v>221.69640699999999</v>
      </c>
      <c r="F22" s="29">
        <v>1.6629919145559</v>
      </c>
      <c r="G22" s="28"/>
    </row>
    <row r="23" spans="1:7" x14ac:dyDescent="0.2">
      <c r="A23" s="26" t="s">
        <v>883</v>
      </c>
      <c r="B23" s="26" t="s">
        <v>882</v>
      </c>
      <c r="C23" s="26" t="s">
        <v>884</v>
      </c>
      <c r="D23" s="30">
        <v>19878</v>
      </c>
      <c r="E23" s="28">
        <v>214.40410800000001</v>
      </c>
      <c r="F23" s="29">
        <v>1.6082908283288899</v>
      </c>
      <c r="G23" s="28"/>
    </row>
    <row r="24" spans="1:7" x14ac:dyDescent="0.2">
      <c r="A24" s="26" t="s">
        <v>992</v>
      </c>
      <c r="B24" s="26" t="s">
        <v>991</v>
      </c>
      <c r="C24" s="26" t="s">
        <v>917</v>
      </c>
      <c r="D24" s="30">
        <v>41250</v>
      </c>
      <c r="E24" s="28">
        <v>210.60187500000001</v>
      </c>
      <c r="F24" s="29">
        <v>1.57976946967531</v>
      </c>
      <c r="G24" s="28">
        <v>-1.5878000000000001</v>
      </c>
    </row>
    <row r="25" spans="1:7" x14ac:dyDescent="0.2">
      <c r="A25" s="26" t="s">
        <v>930</v>
      </c>
      <c r="B25" s="26" t="s">
        <v>929</v>
      </c>
      <c r="C25" s="26" t="s">
        <v>931</v>
      </c>
      <c r="D25" s="30">
        <v>115523</v>
      </c>
      <c r="E25" s="28">
        <v>187.6671135</v>
      </c>
      <c r="F25" s="29">
        <v>1.40773094432037</v>
      </c>
      <c r="G25" s="28"/>
    </row>
    <row r="26" spans="1:7" x14ac:dyDescent="0.2">
      <c r="A26" s="26" t="s">
        <v>937</v>
      </c>
      <c r="B26" s="26" t="s">
        <v>936</v>
      </c>
      <c r="C26" s="26" t="s">
        <v>884</v>
      </c>
      <c r="D26" s="30">
        <v>97218</v>
      </c>
      <c r="E26" s="28">
        <v>180.24217200000001</v>
      </c>
      <c r="F26" s="29">
        <v>1.3520348784813301</v>
      </c>
      <c r="G26" s="28"/>
    </row>
    <row r="27" spans="1:7" x14ac:dyDescent="0.2">
      <c r="A27" s="26" t="s">
        <v>941</v>
      </c>
      <c r="B27" s="26" t="s">
        <v>940</v>
      </c>
      <c r="C27" s="26" t="s">
        <v>917</v>
      </c>
      <c r="D27" s="30">
        <v>18456</v>
      </c>
      <c r="E27" s="28">
        <v>176.49472800000001</v>
      </c>
      <c r="F27" s="29">
        <v>1.32392450377305</v>
      </c>
      <c r="G27" s="28"/>
    </row>
    <row r="28" spans="1:7" x14ac:dyDescent="0.2">
      <c r="A28" s="26" t="s">
        <v>919</v>
      </c>
      <c r="B28" s="26" t="s">
        <v>918</v>
      </c>
      <c r="C28" s="26" t="s">
        <v>908</v>
      </c>
      <c r="D28" s="30">
        <v>82933</v>
      </c>
      <c r="E28" s="28">
        <v>172.9567715</v>
      </c>
      <c r="F28" s="29">
        <v>1.2973855393704801</v>
      </c>
      <c r="G28" s="28"/>
    </row>
    <row r="29" spans="1:7" x14ac:dyDescent="0.2">
      <c r="A29" s="26" t="s">
        <v>907</v>
      </c>
      <c r="B29" s="26" t="s">
        <v>906</v>
      </c>
      <c r="C29" s="26" t="s">
        <v>908</v>
      </c>
      <c r="D29" s="30">
        <v>73156</v>
      </c>
      <c r="E29" s="28">
        <v>161.41871399999999</v>
      </c>
      <c r="F29" s="29">
        <v>1.2108361153548599</v>
      </c>
      <c r="G29" s="28"/>
    </row>
    <row r="30" spans="1:7" x14ac:dyDescent="0.2">
      <c r="A30" s="26" t="s">
        <v>994</v>
      </c>
      <c r="B30" s="26" t="s">
        <v>993</v>
      </c>
      <c r="C30" s="26" t="s">
        <v>995</v>
      </c>
      <c r="D30" s="30">
        <v>16500</v>
      </c>
      <c r="E30" s="28">
        <v>148.76400000000001</v>
      </c>
      <c r="F30" s="29">
        <v>1.1159104133654001</v>
      </c>
      <c r="G30" s="28">
        <v>-1.1187</v>
      </c>
    </row>
    <row r="31" spans="1:7" x14ac:dyDescent="0.2">
      <c r="A31" s="26" t="s">
        <v>916</v>
      </c>
      <c r="B31" s="26" t="s">
        <v>915</v>
      </c>
      <c r="C31" s="26" t="s">
        <v>917</v>
      </c>
      <c r="D31" s="30">
        <v>10287</v>
      </c>
      <c r="E31" s="28">
        <v>147.464145</v>
      </c>
      <c r="F31" s="29">
        <v>1.10615992446778</v>
      </c>
      <c r="G31" s="28"/>
    </row>
    <row r="32" spans="1:7" x14ac:dyDescent="0.2">
      <c r="A32" s="26" t="s">
        <v>997</v>
      </c>
      <c r="B32" s="26" t="s">
        <v>996</v>
      </c>
      <c r="C32" s="26" t="s">
        <v>917</v>
      </c>
      <c r="D32" s="30">
        <v>902</v>
      </c>
      <c r="E32" s="28">
        <v>143.58622299999999</v>
      </c>
      <c r="F32" s="29">
        <v>1.0770708065224499</v>
      </c>
      <c r="G32" s="28"/>
    </row>
    <row r="33" spans="1:9" x14ac:dyDescent="0.2">
      <c r="A33" s="26" t="s">
        <v>896</v>
      </c>
      <c r="B33" s="26" t="s">
        <v>895</v>
      </c>
      <c r="C33" s="26" t="s">
        <v>884</v>
      </c>
      <c r="D33" s="30">
        <v>11128</v>
      </c>
      <c r="E33" s="28">
        <v>141.12529599999999</v>
      </c>
      <c r="F33" s="29">
        <v>1.05861086953614</v>
      </c>
      <c r="G33" s="28"/>
    </row>
    <row r="34" spans="1:9" x14ac:dyDescent="0.2">
      <c r="A34" s="26" t="s">
        <v>999</v>
      </c>
      <c r="B34" s="26" t="s">
        <v>998</v>
      </c>
      <c r="C34" s="26" t="s">
        <v>1000</v>
      </c>
      <c r="D34" s="30">
        <v>122059</v>
      </c>
      <c r="E34" s="28">
        <v>115.95605</v>
      </c>
      <c r="F34" s="29">
        <v>0.86981100056276195</v>
      </c>
      <c r="G34" s="28"/>
    </row>
    <row r="35" spans="1:9" x14ac:dyDescent="0.2">
      <c r="A35" s="26" t="s">
        <v>927</v>
      </c>
      <c r="B35" s="26" t="s">
        <v>926</v>
      </c>
      <c r="C35" s="26" t="s">
        <v>928</v>
      </c>
      <c r="D35" s="30">
        <v>31144</v>
      </c>
      <c r="E35" s="28">
        <v>112.04053999999999</v>
      </c>
      <c r="F35" s="29">
        <v>0.84043992703263104</v>
      </c>
      <c r="G35" s="28"/>
    </row>
    <row r="36" spans="1:9" x14ac:dyDescent="0.2">
      <c r="A36" s="26" t="s">
        <v>904</v>
      </c>
      <c r="B36" s="26" t="s">
        <v>903</v>
      </c>
      <c r="C36" s="26" t="s">
        <v>905</v>
      </c>
      <c r="D36" s="30">
        <v>60335</v>
      </c>
      <c r="E36" s="28">
        <v>105.7370875</v>
      </c>
      <c r="F36" s="29">
        <v>0.79315638877805295</v>
      </c>
      <c r="G36" s="28"/>
    </row>
    <row r="37" spans="1:9" x14ac:dyDescent="0.2">
      <c r="A37" s="26" t="s">
        <v>1002</v>
      </c>
      <c r="B37" s="26" t="s">
        <v>1001</v>
      </c>
      <c r="C37" s="26" t="s">
        <v>925</v>
      </c>
      <c r="D37" s="30">
        <v>121901</v>
      </c>
      <c r="E37" s="28">
        <v>90.084839000000002</v>
      </c>
      <c r="F37" s="29">
        <v>0.67574554278216004</v>
      </c>
      <c r="G37" s="28"/>
    </row>
    <row r="38" spans="1:9" x14ac:dyDescent="0.2">
      <c r="A38" s="26" t="s">
        <v>1004</v>
      </c>
      <c r="B38" s="26" t="s">
        <v>1003</v>
      </c>
      <c r="C38" s="26" t="s">
        <v>944</v>
      </c>
      <c r="D38" s="30">
        <v>64953</v>
      </c>
      <c r="E38" s="28">
        <v>87.556644000000006</v>
      </c>
      <c r="F38" s="29">
        <v>0.65678101421665802</v>
      </c>
      <c r="G38" s="28"/>
    </row>
    <row r="39" spans="1:9" x14ac:dyDescent="0.2">
      <c r="A39" s="26" t="s">
        <v>1006</v>
      </c>
      <c r="B39" s="26" t="s">
        <v>1005</v>
      </c>
      <c r="C39" s="26" t="s">
        <v>978</v>
      </c>
      <c r="D39" s="30">
        <v>21957</v>
      </c>
      <c r="E39" s="28">
        <v>74.247595500000003</v>
      </c>
      <c r="F39" s="29">
        <v>0.55694700993379997</v>
      </c>
      <c r="G39" s="28"/>
    </row>
    <row r="40" spans="1:9" x14ac:dyDescent="0.2">
      <c r="A40" s="26" t="s">
        <v>1008</v>
      </c>
      <c r="B40" s="26" t="s">
        <v>1007</v>
      </c>
      <c r="C40" s="26" t="s">
        <v>1009</v>
      </c>
      <c r="D40" s="30">
        <v>76471</v>
      </c>
      <c r="E40" s="28">
        <v>69.970965000000007</v>
      </c>
      <c r="F40" s="29">
        <v>0.52486709470520898</v>
      </c>
      <c r="G40" s="28"/>
    </row>
    <row r="41" spans="1:9" x14ac:dyDescent="0.2">
      <c r="A41" s="26" t="s">
        <v>1011</v>
      </c>
      <c r="B41" s="26" t="s">
        <v>1010</v>
      </c>
      <c r="C41" s="26" t="s">
        <v>908</v>
      </c>
      <c r="D41" s="30">
        <v>47372</v>
      </c>
      <c r="E41" s="28">
        <v>41.118895999999999</v>
      </c>
      <c r="F41" s="29">
        <v>0.30844158689258699</v>
      </c>
      <c r="G41" s="28"/>
    </row>
    <row r="42" spans="1:9" x14ac:dyDescent="0.2">
      <c r="A42" s="26" t="s">
        <v>1013</v>
      </c>
      <c r="B42" s="26" t="s">
        <v>1012</v>
      </c>
      <c r="C42" s="26" t="s">
        <v>884</v>
      </c>
      <c r="D42" s="30">
        <v>8500</v>
      </c>
      <c r="E42" s="28">
        <v>4.1310000000000002</v>
      </c>
      <c r="F42" s="29">
        <v>3.09875098653737E-2</v>
      </c>
      <c r="G42" s="28">
        <v>-3.1099999999999999E-2</v>
      </c>
    </row>
    <row r="43" spans="1:9" ht="10.5" x14ac:dyDescent="0.25">
      <c r="A43" s="25" t="s">
        <v>153</v>
      </c>
      <c r="B43" s="25"/>
      <c r="C43" s="25"/>
      <c r="D43" s="31"/>
      <c r="E43" s="32">
        <f>SUM(E7:E42)</f>
        <v>9632.7183150000001</v>
      </c>
      <c r="F43" s="33">
        <f>SUM(F7:F42)</f>
        <v>72.257069430265972</v>
      </c>
      <c r="G43" s="33">
        <f>SUM(G7:G42)</f>
        <v>-26.456500000000002</v>
      </c>
      <c r="H43" s="17"/>
      <c r="I43" s="17"/>
    </row>
    <row r="44" spans="1:9" x14ac:dyDescent="0.2">
      <c r="A44" s="26"/>
      <c r="B44" s="26"/>
      <c r="C44" s="26"/>
      <c r="D44" s="27"/>
      <c r="E44" s="28"/>
      <c r="F44" s="29"/>
      <c r="G44" s="26"/>
    </row>
    <row r="45" spans="1:9" ht="10.5" x14ac:dyDescent="0.25">
      <c r="A45" s="25" t="s">
        <v>56</v>
      </c>
      <c r="B45" s="26"/>
      <c r="C45" s="26"/>
      <c r="D45" s="27"/>
      <c r="E45" s="28"/>
      <c r="F45" s="29"/>
      <c r="G45" s="26"/>
    </row>
    <row r="46" spans="1:9" ht="10.5" x14ac:dyDescent="0.25">
      <c r="A46" s="25" t="s">
        <v>1647</v>
      </c>
      <c r="B46" s="26"/>
      <c r="C46" s="26"/>
      <c r="D46" s="27"/>
      <c r="E46" s="28"/>
      <c r="F46" s="29"/>
      <c r="G46" s="26"/>
    </row>
    <row r="47" spans="1:9" x14ac:dyDescent="0.2">
      <c r="A47" s="26" t="s">
        <v>512</v>
      </c>
      <c r="B47" s="26" t="s">
        <v>511</v>
      </c>
      <c r="C47" s="26" t="s">
        <v>152</v>
      </c>
      <c r="D47" s="30">
        <v>50</v>
      </c>
      <c r="E47" s="28">
        <v>549.26350000000002</v>
      </c>
      <c r="F47" s="29">
        <v>4.1201423686612699</v>
      </c>
      <c r="G47" s="26"/>
    </row>
    <row r="48" spans="1:9" x14ac:dyDescent="0.2">
      <c r="A48" s="26" t="s">
        <v>968</v>
      </c>
      <c r="B48" s="26" t="s">
        <v>967</v>
      </c>
      <c r="C48" s="26" t="s">
        <v>152</v>
      </c>
      <c r="D48" s="30">
        <v>50</v>
      </c>
      <c r="E48" s="28">
        <v>517.13800000000003</v>
      </c>
      <c r="F48" s="29">
        <v>3.8791621584990699</v>
      </c>
      <c r="G48" s="26"/>
    </row>
    <row r="49" spans="1:9" ht="10.5" x14ac:dyDescent="0.25">
      <c r="A49" s="25" t="s">
        <v>153</v>
      </c>
      <c r="B49" s="25"/>
      <c r="C49" s="25"/>
      <c r="D49" s="31"/>
      <c r="E49" s="32">
        <f>SUM(E46:E48)</f>
        <v>1066.4014999999999</v>
      </c>
      <c r="F49" s="33">
        <f>SUM(F46:F48)</f>
        <v>7.9993045271603398</v>
      </c>
      <c r="G49" s="25"/>
      <c r="H49" s="17"/>
      <c r="I49" s="17"/>
    </row>
    <row r="50" spans="1:9" x14ac:dyDescent="0.2">
      <c r="A50" s="26"/>
      <c r="B50" s="26"/>
      <c r="C50" s="26"/>
      <c r="D50" s="27"/>
      <c r="E50" s="28"/>
      <c r="F50" s="29"/>
      <c r="G50" s="26"/>
    </row>
    <row r="51" spans="1:9" ht="10.5" x14ac:dyDescent="0.25">
      <c r="A51" s="25" t="s">
        <v>362</v>
      </c>
      <c r="B51" s="26"/>
      <c r="C51" s="26"/>
      <c r="D51" s="27"/>
      <c r="E51" s="28"/>
      <c r="F51" s="29"/>
      <c r="G51" s="26"/>
    </row>
    <row r="52" spans="1:9" ht="10.5" x14ac:dyDescent="0.25">
      <c r="A52" s="25" t="s">
        <v>363</v>
      </c>
      <c r="B52" s="26"/>
      <c r="C52" s="26"/>
      <c r="D52" s="27"/>
      <c r="E52" s="28"/>
      <c r="F52" s="29"/>
      <c r="G52" s="26"/>
    </row>
    <row r="53" spans="1:9" x14ac:dyDescent="0.2">
      <c r="A53" s="26" t="s">
        <v>365</v>
      </c>
      <c r="B53" s="26" t="s">
        <v>364</v>
      </c>
      <c r="C53" s="26" t="s">
        <v>366</v>
      </c>
      <c r="D53" s="30">
        <v>500</v>
      </c>
      <c r="E53" s="28">
        <v>493.67700000000002</v>
      </c>
      <c r="F53" s="29">
        <v>3.7031762061990099</v>
      </c>
      <c r="G53" s="26"/>
    </row>
    <row r="54" spans="1:9" ht="10.5" x14ac:dyDescent="0.25">
      <c r="A54" s="25" t="s">
        <v>153</v>
      </c>
      <c r="B54" s="25"/>
      <c r="C54" s="25"/>
      <c r="D54" s="31"/>
      <c r="E54" s="32">
        <f>SUM(E52:E53)</f>
        <v>493.67700000000002</v>
      </c>
      <c r="F54" s="33">
        <f>SUM(F52:F53)</f>
        <v>3.7031762061990099</v>
      </c>
      <c r="G54" s="25"/>
      <c r="H54" s="17"/>
      <c r="I54" s="17"/>
    </row>
    <row r="55" spans="1:9" x14ac:dyDescent="0.2">
      <c r="A55" s="26"/>
      <c r="B55" s="26"/>
      <c r="C55" s="26"/>
      <c r="D55" s="27"/>
      <c r="E55" s="28"/>
      <c r="F55" s="29"/>
      <c r="G55" s="26"/>
    </row>
    <row r="56" spans="1:9" ht="10.5" x14ac:dyDescent="0.25">
      <c r="A56" s="25" t="s">
        <v>166</v>
      </c>
      <c r="B56" s="25"/>
      <c r="C56" s="25"/>
      <c r="D56" s="31"/>
      <c r="E56" s="32">
        <f>E43+E49+E54</f>
        <v>11192.796815</v>
      </c>
      <c r="F56" s="33">
        <f>F43+F49+F54</f>
        <v>83.959550163625309</v>
      </c>
      <c r="G56" s="25"/>
      <c r="H56" s="17"/>
      <c r="I56" s="17"/>
    </row>
    <row r="57" spans="1:9" ht="10.5" x14ac:dyDescent="0.25">
      <c r="A57" s="25"/>
      <c r="B57" s="25"/>
      <c r="C57" s="25"/>
      <c r="D57" s="31"/>
      <c r="E57" s="32"/>
      <c r="F57" s="33"/>
      <c r="G57" s="25"/>
      <c r="H57" s="17"/>
      <c r="I57" s="17"/>
    </row>
    <row r="58" spans="1:9" ht="10.5" x14ac:dyDescent="0.25">
      <c r="A58" s="25" t="s">
        <v>1506</v>
      </c>
      <c r="B58" s="25"/>
      <c r="C58" s="25"/>
      <c r="D58" s="31"/>
      <c r="E58" s="62">
        <v>1429.1689899999999</v>
      </c>
      <c r="F58" s="62">
        <v>10.720500648005601</v>
      </c>
      <c r="G58" s="25"/>
      <c r="H58" s="17"/>
      <c r="I58" s="17"/>
    </row>
    <row r="59" spans="1:9" ht="10.5" x14ac:dyDescent="0.25">
      <c r="A59" s="25" t="s">
        <v>168</v>
      </c>
      <c r="B59" s="25"/>
      <c r="C59" s="25"/>
      <c r="D59" s="31"/>
      <c r="E59" s="32">
        <f>E61-(E43+E49+E54+E58)</f>
        <v>709.21187900000041</v>
      </c>
      <c r="F59" s="33">
        <f>F61-(F43+F49+F54+F58)</f>
        <v>5.3199491883690939</v>
      </c>
      <c r="G59" s="25"/>
      <c r="H59" s="17"/>
      <c r="I59" s="17"/>
    </row>
    <row r="60" spans="1:9" ht="10.5" x14ac:dyDescent="0.25">
      <c r="A60" s="25"/>
      <c r="B60" s="25"/>
      <c r="C60" s="25"/>
      <c r="D60" s="31"/>
      <c r="E60" s="32"/>
      <c r="F60" s="33"/>
      <c r="G60" s="25"/>
      <c r="H60" s="17"/>
      <c r="I60" s="17"/>
    </row>
    <row r="61" spans="1:9" ht="10.5" x14ac:dyDescent="0.25">
      <c r="A61" s="34" t="s">
        <v>167</v>
      </c>
      <c r="B61" s="34"/>
      <c r="C61" s="34"/>
      <c r="D61" s="35"/>
      <c r="E61" s="36">
        <v>13331.177684</v>
      </c>
      <c r="F61" s="37">
        <v>100</v>
      </c>
      <c r="G61" s="34"/>
      <c r="H61" s="17"/>
      <c r="I61" s="17"/>
    </row>
    <row r="62" spans="1:9" ht="10.5" x14ac:dyDescent="0.25">
      <c r="A62" s="17"/>
    </row>
    <row r="63" spans="1:9" ht="10.5" x14ac:dyDescent="0.25">
      <c r="A63" s="17" t="s">
        <v>170</v>
      </c>
    </row>
    <row r="65" spans="1:4" ht="10.5" x14ac:dyDescent="0.25">
      <c r="A65" s="17" t="s">
        <v>171</v>
      </c>
    </row>
    <row r="66" spans="1:4" ht="10.5" x14ac:dyDescent="0.25">
      <c r="A66" s="17" t="s">
        <v>172</v>
      </c>
    </row>
    <row r="67" spans="1:4" ht="10.5" x14ac:dyDescent="0.25">
      <c r="A67" s="17" t="s">
        <v>173</v>
      </c>
      <c r="B67" s="17"/>
      <c r="C67" s="38" t="s">
        <v>175</v>
      </c>
      <c r="D67" s="18" t="s">
        <v>174</v>
      </c>
    </row>
    <row r="68" spans="1:4" x14ac:dyDescent="0.2">
      <c r="A68" s="10" t="s">
        <v>436</v>
      </c>
      <c r="C68" s="39">
        <v>9.0701000000000001</v>
      </c>
      <c r="D68" s="39">
        <v>10.1242</v>
      </c>
    </row>
    <row r="69" spans="1:4" x14ac:dyDescent="0.2">
      <c r="A69" s="10" t="s">
        <v>470</v>
      </c>
      <c r="C69" s="39">
        <v>9.0701000000000001</v>
      </c>
      <c r="D69" s="39">
        <v>10.1242</v>
      </c>
    </row>
    <row r="70" spans="1:4" x14ac:dyDescent="0.2">
      <c r="A70" s="10" t="s">
        <v>437</v>
      </c>
      <c r="C70" s="39">
        <v>9.0152999999999999</v>
      </c>
      <c r="D70" s="39">
        <v>10.0632</v>
      </c>
    </row>
    <row r="71" spans="1:4" x14ac:dyDescent="0.2">
      <c r="A71" s="10" t="s">
        <v>438</v>
      </c>
      <c r="C71" s="39">
        <v>9.0701000000000001</v>
      </c>
      <c r="D71" s="39">
        <v>10.1242</v>
      </c>
    </row>
    <row r="72" spans="1:4" x14ac:dyDescent="0.2">
      <c r="A72" s="10" t="s">
        <v>439</v>
      </c>
      <c r="C72" s="39">
        <v>9.3384999999999998</v>
      </c>
      <c r="D72" s="39">
        <v>10.504799999999999</v>
      </c>
    </row>
    <row r="73" spans="1:4" x14ac:dyDescent="0.2">
      <c r="A73" s="10" t="s">
        <v>471</v>
      </c>
      <c r="C73" s="39">
        <v>9.3384999999999998</v>
      </c>
      <c r="D73" s="39">
        <v>10.504799999999999</v>
      </c>
    </row>
    <row r="74" spans="1:4" x14ac:dyDescent="0.2">
      <c r="A74" s="10" t="s">
        <v>440</v>
      </c>
      <c r="C74" s="39">
        <v>9.2840000000000007</v>
      </c>
      <c r="D74" s="39">
        <v>10.4427</v>
      </c>
    </row>
    <row r="75" spans="1:4" x14ac:dyDescent="0.2">
      <c r="A75" s="10" t="s">
        <v>441</v>
      </c>
      <c r="C75" s="39">
        <v>9.3384999999999998</v>
      </c>
      <c r="D75" s="39">
        <v>10.504799999999999</v>
      </c>
    </row>
    <row r="77" spans="1:4" ht="10.5" x14ac:dyDescent="0.25">
      <c r="A77" s="17" t="s">
        <v>185</v>
      </c>
      <c r="D77" s="40" t="s">
        <v>186</v>
      </c>
    </row>
    <row r="79" spans="1:4" ht="10.5" x14ac:dyDescent="0.25">
      <c r="A79" s="59" t="s">
        <v>1507</v>
      </c>
      <c r="B79" s="58"/>
      <c r="C79" s="58"/>
      <c r="D79" s="75" t="s">
        <v>1577</v>
      </c>
    </row>
    <row r="81" spans="1:5" ht="10.5" x14ac:dyDescent="0.25">
      <c r="A81" s="17" t="s">
        <v>1508</v>
      </c>
      <c r="D81" s="41">
        <f>-G43</f>
        <v>26.456500000000002</v>
      </c>
    </row>
    <row r="83" spans="1:5" ht="10.5" x14ac:dyDescent="0.25">
      <c r="A83" s="17" t="s">
        <v>1509</v>
      </c>
      <c r="D83" s="47">
        <v>1.9794</v>
      </c>
    </row>
    <row r="85" spans="1:5" ht="10.5" x14ac:dyDescent="0.25">
      <c r="A85" s="17" t="s">
        <v>1510</v>
      </c>
      <c r="D85" s="41">
        <v>2.70896002869351</v>
      </c>
      <c r="E85" s="15" t="s">
        <v>188</v>
      </c>
    </row>
    <row r="87" spans="1:5" ht="10.5" x14ac:dyDescent="0.25">
      <c r="A87" s="17" t="s">
        <v>1511</v>
      </c>
      <c r="D87" s="40" t="s">
        <v>186</v>
      </c>
    </row>
  </sheetData>
  <mergeCells count="1">
    <mergeCell ref="A1:G1"/>
  </mergeCells>
  <conditionalFormatting sqref="F2:F3 F5:F65542">
    <cfRule type="cellIs" dxfId="27" priority="2" stopIfTrue="1" operator="between">
      <formula>0.009</formula>
      <formula>-0.009</formula>
    </cfRule>
  </conditionalFormatting>
  <conditionalFormatting sqref="G43">
    <cfRule type="cellIs" dxfId="26" priority="1" stopIfTrue="1" operator="between">
      <formula>0.009</formula>
      <formula>-0.009</formula>
    </cfRule>
  </conditionalFormatting>
  <pageMargins left="0.7" right="0.7" top="0.75" bottom="0.75" header="0.3" footer="0.3"/>
  <pageSetup paperSize="9" scale="45" orientation="portrait" r:id="rId1"/>
  <headerFooter>
    <oddFooter>&amp;LPUBLIC</oddFooter>
    <evenFooter>&amp;LPUBLIC</evenFooter>
    <firstFooter>&amp;LPUBLIC</firstFooter>
  </headerFooter>
  <colBreaks count="1" manualBreakCount="1">
    <brk id="7" max="1048575" man="1"/>
  </col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113"/>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51.81640625" style="10" bestFit="1" customWidth="1"/>
    <col min="3" max="3" width="35.81640625" style="10" bestFit="1" customWidth="1"/>
    <col min="4" max="4" width="15.453125" style="11" bestFit="1" customWidth="1"/>
    <col min="5" max="5" width="23" style="15" bestFit="1" customWidth="1"/>
    <col min="6" max="6" width="14.81640625" style="16" bestFit="1" customWidth="1"/>
    <col min="7" max="16384" width="9.1796875" style="10"/>
  </cols>
  <sheetData>
    <row r="1" spans="1:6" s="1" customFormat="1" ht="14" x14ac:dyDescent="0.25">
      <c r="A1" s="96" t="s">
        <v>1512</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5</v>
      </c>
      <c r="D4" s="48" t="s">
        <v>1</v>
      </c>
      <c r="E4" s="9" t="s">
        <v>3</v>
      </c>
      <c r="F4" s="9" t="s">
        <v>4</v>
      </c>
    </row>
    <row r="5" spans="1:6" ht="10.5" x14ac:dyDescent="0.25">
      <c r="A5" s="20" t="s">
        <v>881</v>
      </c>
      <c r="B5" s="21"/>
      <c r="C5" s="21"/>
      <c r="D5" s="22"/>
      <c r="E5" s="23"/>
      <c r="F5" s="24"/>
    </row>
    <row r="6" spans="1:6" ht="10.5" x14ac:dyDescent="0.25">
      <c r="A6" s="25" t="s">
        <v>1647</v>
      </c>
      <c r="B6" s="26"/>
      <c r="C6" s="26"/>
      <c r="D6" s="27"/>
      <c r="E6" s="28"/>
      <c r="F6" s="29"/>
    </row>
    <row r="7" spans="1:6" x14ac:dyDescent="0.2">
      <c r="A7" s="26" t="s">
        <v>886</v>
      </c>
      <c r="B7" s="26" t="s">
        <v>885</v>
      </c>
      <c r="C7" s="26" t="s">
        <v>887</v>
      </c>
      <c r="D7" s="30">
        <v>1053784</v>
      </c>
      <c r="E7" s="28">
        <v>10624.777179999999</v>
      </c>
      <c r="F7" s="29">
        <v>8.3122626229532308</v>
      </c>
    </row>
    <row r="8" spans="1:6" x14ac:dyDescent="0.2">
      <c r="A8" s="26" t="s">
        <v>889</v>
      </c>
      <c r="B8" s="26" t="s">
        <v>888</v>
      </c>
      <c r="C8" s="26" t="s">
        <v>884</v>
      </c>
      <c r="D8" s="30">
        <v>2236935</v>
      </c>
      <c r="E8" s="28">
        <v>9499.1444780000002</v>
      </c>
      <c r="F8" s="29">
        <v>7.4316272479713303</v>
      </c>
    </row>
    <row r="9" spans="1:6" x14ac:dyDescent="0.2">
      <c r="A9" s="26" t="s">
        <v>883</v>
      </c>
      <c r="B9" s="26" t="s">
        <v>882</v>
      </c>
      <c r="C9" s="26" t="s">
        <v>884</v>
      </c>
      <c r="D9" s="30">
        <v>693868</v>
      </c>
      <c r="E9" s="28">
        <v>7484.0602479999998</v>
      </c>
      <c r="F9" s="29">
        <v>5.85513213251033</v>
      </c>
    </row>
    <row r="10" spans="1:6" x14ac:dyDescent="0.2">
      <c r="A10" s="26" t="s">
        <v>913</v>
      </c>
      <c r="B10" s="26" t="s">
        <v>912</v>
      </c>
      <c r="C10" s="26" t="s">
        <v>914</v>
      </c>
      <c r="D10" s="30">
        <v>1021320</v>
      </c>
      <c r="E10" s="28">
        <v>6208.6042799999996</v>
      </c>
      <c r="F10" s="29">
        <v>4.8572829738488199</v>
      </c>
    </row>
    <row r="11" spans="1:6" x14ac:dyDescent="0.2">
      <c r="A11" s="26" t="s">
        <v>894</v>
      </c>
      <c r="B11" s="26" t="s">
        <v>893</v>
      </c>
      <c r="C11" s="26" t="s">
        <v>884</v>
      </c>
      <c r="D11" s="30">
        <v>1581302</v>
      </c>
      <c r="E11" s="28">
        <v>5609.6688450000001</v>
      </c>
      <c r="F11" s="29">
        <v>4.3887076291080103</v>
      </c>
    </row>
    <row r="12" spans="1:6" x14ac:dyDescent="0.2">
      <c r="A12" s="26" t="s">
        <v>891</v>
      </c>
      <c r="B12" s="26" t="s">
        <v>890</v>
      </c>
      <c r="C12" s="26" t="s">
        <v>892</v>
      </c>
      <c r="D12" s="30">
        <v>1164520</v>
      </c>
      <c r="E12" s="28">
        <v>4902.0469400000002</v>
      </c>
      <c r="F12" s="29">
        <v>3.83510174990082</v>
      </c>
    </row>
    <row r="13" spans="1:6" x14ac:dyDescent="0.2">
      <c r="A13" s="26" t="s">
        <v>930</v>
      </c>
      <c r="B13" s="26" t="s">
        <v>929</v>
      </c>
      <c r="C13" s="26" t="s">
        <v>931</v>
      </c>
      <c r="D13" s="30">
        <v>2508769</v>
      </c>
      <c r="E13" s="28">
        <v>4075.4952410000001</v>
      </c>
      <c r="F13" s="29">
        <v>3.1884515023578199</v>
      </c>
    </row>
    <row r="14" spans="1:6" x14ac:dyDescent="0.2">
      <c r="A14" s="26" t="s">
        <v>972</v>
      </c>
      <c r="B14" s="26" t="s">
        <v>971</v>
      </c>
      <c r="C14" s="26" t="s">
        <v>922</v>
      </c>
      <c r="D14" s="30">
        <v>71688</v>
      </c>
      <c r="E14" s="28">
        <v>3719.030064</v>
      </c>
      <c r="F14" s="29">
        <v>2.9095720381616998</v>
      </c>
    </row>
    <row r="15" spans="1:6" x14ac:dyDescent="0.2">
      <c r="A15" s="26" t="s">
        <v>904</v>
      </c>
      <c r="B15" s="26" t="s">
        <v>903</v>
      </c>
      <c r="C15" s="26" t="s">
        <v>905</v>
      </c>
      <c r="D15" s="30">
        <v>2044188</v>
      </c>
      <c r="E15" s="28">
        <v>3582.4394699999998</v>
      </c>
      <c r="F15" s="29">
        <v>2.8027107958110999</v>
      </c>
    </row>
    <row r="16" spans="1:6" x14ac:dyDescent="0.2">
      <c r="A16" s="26" t="s">
        <v>988</v>
      </c>
      <c r="B16" s="26" t="s">
        <v>987</v>
      </c>
      <c r="C16" s="26" t="s">
        <v>887</v>
      </c>
      <c r="D16" s="30">
        <v>429717</v>
      </c>
      <c r="E16" s="28">
        <v>3402.2843480000001</v>
      </c>
      <c r="F16" s="29">
        <v>2.6617669753841602</v>
      </c>
    </row>
    <row r="17" spans="1:6" x14ac:dyDescent="0.2">
      <c r="A17" s="26" t="s">
        <v>907</v>
      </c>
      <c r="B17" s="26" t="s">
        <v>906</v>
      </c>
      <c r="C17" s="26" t="s">
        <v>908</v>
      </c>
      <c r="D17" s="30">
        <v>1379354</v>
      </c>
      <c r="E17" s="28">
        <v>3043.5446010000001</v>
      </c>
      <c r="F17" s="29">
        <v>2.3811080081571601</v>
      </c>
    </row>
    <row r="18" spans="1:6" x14ac:dyDescent="0.2">
      <c r="A18" s="26" t="s">
        <v>919</v>
      </c>
      <c r="B18" s="26" t="s">
        <v>918</v>
      </c>
      <c r="C18" s="26" t="s">
        <v>908</v>
      </c>
      <c r="D18" s="30">
        <v>1266102</v>
      </c>
      <c r="E18" s="28">
        <v>2640.4557209999998</v>
      </c>
      <c r="F18" s="29">
        <v>2.0657526294806798</v>
      </c>
    </row>
    <row r="19" spans="1:6" x14ac:dyDescent="0.2">
      <c r="A19" s="26" t="s">
        <v>1017</v>
      </c>
      <c r="B19" s="26" t="s">
        <v>1016</v>
      </c>
      <c r="C19" s="26" t="s">
        <v>887</v>
      </c>
      <c r="D19" s="30">
        <v>93552</v>
      </c>
      <c r="E19" s="28">
        <v>2331.5964960000001</v>
      </c>
      <c r="F19" s="29">
        <v>1.8241175393298501</v>
      </c>
    </row>
    <row r="20" spans="1:6" x14ac:dyDescent="0.2">
      <c r="A20" s="26" t="s">
        <v>898</v>
      </c>
      <c r="B20" s="26" t="s">
        <v>897</v>
      </c>
      <c r="C20" s="26" t="s">
        <v>899</v>
      </c>
      <c r="D20" s="30">
        <v>300350</v>
      </c>
      <c r="E20" s="28">
        <v>2235.2046999999998</v>
      </c>
      <c r="F20" s="29">
        <v>1.74870570626493</v>
      </c>
    </row>
    <row r="21" spans="1:6" x14ac:dyDescent="0.2">
      <c r="A21" s="26" t="s">
        <v>935</v>
      </c>
      <c r="B21" s="26" t="s">
        <v>934</v>
      </c>
      <c r="C21" s="26" t="s">
        <v>931</v>
      </c>
      <c r="D21" s="30">
        <v>2512015</v>
      </c>
      <c r="E21" s="28">
        <v>2137.7247649999999</v>
      </c>
      <c r="F21" s="29">
        <v>1.6724425709105499</v>
      </c>
    </row>
    <row r="22" spans="1:6" x14ac:dyDescent="0.2">
      <c r="A22" s="26" t="s">
        <v>1002</v>
      </c>
      <c r="B22" s="26" t="s">
        <v>1001</v>
      </c>
      <c r="C22" s="26" t="s">
        <v>925</v>
      </c>
      <c r="D22" s="30">
        <v>2568360</v>
      </c>
      <c r="E22" s="28">
        <v>1898.0180399999999</v>
      </c>
      <c r="F22" s="29">
        <v>1.48490873213615</v>
      </c>
    </row>
    <row r="23" spans="1:6" x14ac:dyDescent="0.2">
      <c r="A23" s="26" t="s">
        <v>910</v>
      </c>
      <c r="B23" s="26" t="s">
        <v>909</v>
      </c>
      <c r="C23" s="26" t="s">
        <v>911</v>
      </c>
      <c r="D23" s="30">
        <v>274626</v>
      </c>
      <c r="E23" s="28">
        <v>1868.417991</v>
      </c>
      <c r="F23" s="29">
        <v>1.46175122240471</v>
      </c>
    </row>
    <row r="24" spans="1:6" x14ac:dyDescent="0.2">
      <c r="A24" s="26" t="s">
        <v>994</v>
      </c>
      <c r="B24" s="26" t="s">
        <v>993</v>
      </c>
      <c r="C24" s="26" t="s">
        <v>995</v>
      </c>
      <c r="D24" s="30">
        <v>205227</v>
      </c>
      <c r="E24" s="28">
        <v>1850.326632</v>
      </c>
      <c r="F24" s="29">
        <v>1.44759750184507</v>
      </c>
    </row>
    <row r="25" spans="1:6" x14ac:dyDescent="0.2">
      <c r="A25" s="26" t="s">
        <v>999</v>
      </c>
      <c r="B25" s="26" t="s">
        <v>998</v>
      </c>
      <c r="C25" s="26" t="s">
        <v>1000</v>
      </c>
      <c r="D25" s="30">
        <v>1583382</v>
      </c>
      <c r="E25" s="28">
        <v>1504.2129</v>
      </c>
      <c r="F25" s="29">
        <v>1.17681645965907</v>
      </c>
    </row>
    <row r="26" spans="1:6" x14ac:dyDescent="0.2">
      <c r="A26" s="26" t="s">
        <v>901</v>
      </c>
      <c r="B26" s="26" t="s">
        <v>900</v>
      </c>
      <c r="C26" s="26" t="s">
        <v>902</v>
      </c>
      <c r="D26" s="30">
        <v>99000</v>
      </c>
      <c r="E26" s="28">
        <v>1462.23</v>
      </c>
      <c r="F26" s="29">
        <v>1.1439712635141499</v>
      </c>
    </row>
    <row r="27" spans="1:6" x14ac:dyDescent="0.2">
      <c r="A27" s="26" t="s">
        <v>952</v>
      </c>
      <c r="B27" s="26" t="s">
        <v>951</v>
      </c>
      <c r="C27" s="26" t="s">
        <v>914</v>
      </c>
      <c r="D27" s="30">
        <v>1081483</v>
      </c>
      <c r="E27" s="28">
        <v>1441.616839</v>
      </c>
      <c r="F27" s="29">
        <v>1.1278446187084801</v>
      </c>
    </row>
    <row r="28" spans="1:6" x14ac:dyDescent="0.2">
      <c r="A28" s="26" t="s">
        <v>927</v>
      </c>
      <c r="B28" s="26" t="s">
        <v>926</v>
      </c>
      <c r="C28" s="26" t="s">
        <v>928</v>
      </c>
      <c r="D28" s="30">
        <v>385077</v>
      </c>
      <c r="E28" s="28">
        <v>1385.3145079999999</v>
      </c>
      <c r="F28" s="29">
        <v>1.08379665858397</v>
      </c>
    </row>
    <row r="29" spans="1:6" x14ac:dyDescent="0.2">
      <c r="A29" s="26" t="s">
        <v>921</v>
      </c>
      <c r="B29" s="26" t="s">
        <v>920</v>
      </c>
      <c r="C29" s="26" t="s">
        <v>922</v>
      </c>
      <c r="D29" s="30">
        <v>349001</v>
      </c>
      <c r="E29" s="28">
        <v>1378.7284509999999</v>
      </c>
      <c r="F29" s="29">
        <v>1.07864407660448</v>
      </c>
    </row>
    <row r="30" spans="1:6" x14ac:dyDescent="0.2">
      <c r="A30" s="26" t="s">
        <v>924</v>
      </c>
      <c r="B30" s="26" t="s">
        <v>923</v>
      </c>
      <c r="C30" s="26" t="s">
        <v>925</v>
      </c>
      <c r="D30" s="30">
        <v>762218</v>
      </c>
      <c r="E30" s="28">
        <v>1376.946817</v>
      </c>
      <c r="F30" s="29">
        <v>1.07725022057766</v>
      </c>
    </row>
    <row r="31" spans="1:6" x14ac:dyDescent="0.2">
      <c r="A31" s="26" t="s">
        <v>986</v>
      </c>
      <c r="B31" s="26" t="s">
        <v>985</v>
      </c>
      <c r="C31" s="26" t="s">
        <v>931</v>
      </c>
      <c r="D31" s="30">
        <v>6797235</v>
      </c>
      <c r="E31" s="28">
        <v>1373.0414699999999</v>
      </c>
      <c r="F31" s="29">
        <v>1.0741948840423401</v>
      </c>
    </row>
    <row r="32" spans="1:6" x14ac:dyDescent="0.2">
      <c r="A32" s="26" t="s">
        <v>990</v>
      </c>
      <c r="B32" s="26" t="s">
        <v>989</v>
      </c>
      <c r="C32" s="26" t="s">
        <v>978</v>
      </c>
      <c r="D32" s="30">
        <v>345421</v>
      </c>
      <c r="E32" s="28">
        <v>1359.9224770000001</v>
      </c>
      <c r="F32" s="29">
        <v>1.0639312791386999</v>
      </c>
    </row>
    <row r="33" spans="1:9" x14ac:dyDescent="0.2">
      <c r="A33" s="26" t="s">
        <v>941</v>
      </c>
      <c r="B33" s="26" t="s">
        <v>940</v>
      </c>
      <c r="C33" s="26" t="s">
        <v>917</v>
      </c>
      <c r="D33" s="30">
        <v>128251</v>
      </c>
      <c r="E33" s="28">
        <v>1226.4643129999999</v>
      </c>
      <c r="F33" s="29">
        <v>0.95952068402209201</v>
      </c>
    </row>
    <row r="34" spans="1:9" x14ac:dyDescent="0.2">
      <c r="A34" s="26" t="s">
        <v>937</v>
      </c>
      <c r="B34" s="26" t="s">
        <v>936</v>
      </c>
      <c r="C34" s="26" t="s">
        <v>884</v>
      </c>
      <c r="D34" s="30">
        <v>615662</v>
      </c>
      <c r="E34" s="28">
        <v>1141.4373479999999</v>
      </c>
      <c r="F34" s="29">
        <v>0.89300009247095202</v>
      </c>
    </row>
    <row r="35" spans="1:9" x14ac:dyDescent="0.2">
      <c r="A35" s="26" t="s">
        <v>1006</v>
      </c>
      <c r="B35" s="26" t="s">
        <v>1005</v>
      </c>
      <c r="C35" s="26" t="s">
        <v>978</v>
      </c>
      <c r="D35" s="30">
        <v>336933</v>
      </c>
      <c r="E35" s="28">
        <v>1139.3389400000001</v>
      </c>
      <c r="F35" s="29">
        <v>0.89135840925345</v>
      </c>
    </row>
    <row r="36" spans="1:9" x14ac:dyDescent="0.2">
      <c r="A36" s="26" t="s">
        <v>1019</v>
      </c>
      <c r="B36" s="26" t="s">
        <v>1018</v>
      </c>
      <c r="C36" s="26" t="s">
        <v>911</v>
      </c>
      <c r="D36" s="30">
        <v>72561</v>
      </c>
      <c r="E36" s="28">
        <v>871.71157349999999</v>
      </c>
      <c r="F36" s="29">
        <v>0.68198094017815403</v>
      </c>
    </row>
    <row r="37" spans="1:9" x14ac:dyDescent="0.2">
      <c r="A37" s="26" t="s">
        <v>956</v>
      </c>
      <c r="B37" s="26" t="s">
        <v>955</v>
      </c>
      <c r="C37" s="26" t="s">
        <v>957</v>
      </c>
      <c r="D37" s="30">
        <v>649104</v>
      </c>
      <c r="E37" s="28">
        <v>867.202944</v>
      </c>
      <c r="F37" s="29">
        <v>0.67845362738479598</v>
      </c>
    </row>
    <row r="38" spans="1:9" x14ac:dyDescent="0.2">
      <c r="A38" s="26" t="s">
        <v>1008</v>
      </c>
      <c r="B38" s="26" t="s">
        <v>1007</v>
      </c>
      <c r="C38" s="26" t="s">
        <v>1009</v>
      </c>
      <c r="D38" s="30">
        <v>921918</v>
      </c>
      <c r="E38" s="28">
        <v>843.55497000000003</v>
      </c>
      <c r="F38" s="29">
        <v>0.65995270571287701</v>
      </c>
    </row>
    <row r="39" spans="1:9" x14ac:dyDescent="0.2">
      <c r="A39" s="26" t="s">
        <v>1004</v>
      </c>
      <c r="B39" s="26" t="s">
        <v>1003</v>
      </c>
      <c r="C39" s="26" t="s">
        <v>944</v>
      </c>
      <c r="D39" s="30">
        <v>377910</v>
      </c>
      <c r="E39" s="28">
        <v>509.42268000000001</v>
      </c>
      <c r="F39" s="29">
        <v>0.398545308810765</v>
      </c>
    </row>
    <row r="40" spans="1:9" x14ac:dyDescent="0.2">
      <c r="A40" s="26" t="s">
        <v>959</v>
      </c>
      <c r="B40" s="26" t="s">
        <v>958</v>
      </c>
      <c r="C40" s="26" t="s">
        <v>960</v>
      </c>
      <c r="D40" s="30">
        <v>1265151</v>
      </c>
      <c r="E40" s="28">
        <v>471.26874750000002</v>
      </c>
      <c r="F40" s="29">
        <v>0.36869569392797702</v>
      </c>
    </row>
    <row r="41" spans="1:9" x14ac:dyDescent="0.2">
      <c r="A41" s="26" t="s">
        <v>961</v>
      </c>
      <c r="B41" s="26" t="s">
        <v>1616</v>
      </c>
      <c r="C41" s="26" t="s">
        <v>957</v>
      </c>
      <c r="D41" s="30">
        <v>75869</v>
      </c>
      <c r="E41" s="28">
        <v>56.674143000000001</v>
      </c>
      <c r="F41" s="29">
        <v>4.4338846129741302E-2</v>
      </c>
    </row>
    <row r="42" spans="1:9" ht="10.5" x14ac:dyDescent="0.25">
      <c r="A42" s="25" t="s">
        <v>153</v>
      </c>
      <c r="B42" s="25"/>
      <c r="C42" s="25"/>
      <c r="D42" s="31"/>
      <c r="E42" s="32">
        <f>SUM(E7:E41)</f>
        <v>95521.929160999993</v>
      </c>
      <c r="F42" s="33">
        <f>SUM(F7:F41)</f>
        <v>74.731295347256093</v>
      </c>
      <c r="G42" s="17"/>
      <c r="H42" s="17"/>
      <c r="I42" s="17"/>
    </row>
    <row r="43" spans="1:9" x14ac:dyDescent="0.2">
      <c r="A43" s="26"/>
      <c r="B43" s="26"/>
      <c r="C43" s="26"/>
      <c r="D43" s="27"/>
      <c r="E43" s="28"/>
      <c r="F43" s="29"/>
    </row>
    <row r="44" spans="1:9" ht="10.5" x14ac:dyDescent="0.25">
      <c r="A44" s="25" t="s">
        <v>1513</v>
      </c>
      <c r="B44" s="26"/>
      <c r="C44" s="26"/>
      <c r="D44" s="27"/>
      <c r="E44" s="28"/>
      <c r="F44" s="29"/>
    </row>
    <row r="45" spans="1:9" x14ac:dyDescent="0.2">
      <c r="A45" s="26" t="s">
        <v>1020</v>
      </c>
      <c r="B45" s="26" t="s">
        <v>1522</v>
      </c>
      <c r="C45" s="26" t="s">
        <v>887</v>
      </c>
      <c r="D45" s="30">
        <v>270000</v>
      </c>
      <c r="E45" s="28">
        <v>2.7E-2</v>
      </c>
      <c r="F45" s="29">
        <v>2.1123369179186602E-5</v>
      </c>
    </row>
    <row r="46" spans="1:9" x14ac:dyDescent="0.2">
      <c r="A46" s="26"/>
      <c r="B46" s="26" t="s">
        <v>1519</v>
      </c>
      <c r="C46" s="26" t="s">
        <v>978</v>
      </c>
      <c r="D46" s="30">
        <v>27500</v>
      </c>
      <c r="E46" s="28">
        <v>2.7499999999999998E-3</v>
      </c>
      <c r="F46" s="29">
        <v>2.1514542682504899E-6</v>
      </c>
    </row>
    <row r="47" spans="1:9" ht="10.5" x14ac:dyDescent="0.25">
      <c r="A47" s="25" t="s">
        <v>153</v>
      </c>
      <c r="B47" s="25"/>
      <c r="C47" s="25"/>
      <c r="D47" s="31"/>
      <c r="E47" s="32">
        <f>SUM(E44:E46)</f>
        <v>2.9749999999999999E-2</v>
      </c>
      <c r="F47" s="33">
        <f>SUM(F44:F46)</f>
        <v>2.327482344743709E-5</v>
      </c>
      <c r="G47" s="17"/>
      <c r="H47" s="17"/>
      <c r="I47" s="17"/>
    </row>
    <row r="48" spans="1:9" x14ac:dyDescent="0.2">
      <c r="A48" s="26"/>
      <c r="B48" s="26"/>
      <c r="C48" s="26"/>
      <c r="D48" s="27"/>
      <c r="E48" s="28"/>
      <c r="F48" s="29"/>
    </row>
    <row r="49" spans="1:9" ht="10.5" x14ac:dyDescent="0.25">
      <c r="A49" s="25" t="s">
        <v>56</v>
      </c>
      <c r="B49" s="26"/>
      <c r="C49" s="26"/>
      <c r="D49" s="27"/>
      <c r="E49" s="28"/>
      <c r="F49" s="29"/>
    </row>
    <row r="50" spans="1:9" ht="10.5" x14ac:dyDescent="0.25">
      <c r="A50" s="25" t="s">
        <v>57</v>
      </c>
      <c r="B50" s="26"/>
      <c r="C50" s="26"/>
      <c r="D50" s="27"/>
      <c r="E50" s="28"/>
      <c r="F50" s="29"/>
    </row>
    <row r="51" spans="1:9" x14ac:dyDescent="0.2">
      <c r="A51" s="26" t="s">
        <v>62</v>
      </c>
      <c r="B51" s="26" t="s">
        <v>61</v>
      </c>
      <c r="C51" s="26" t="s">
        <v>63</v>
      </c>
      <c r="D51" s="30">
        <v>450</v>
      </c>
      <c r="E51" s="28">
        <v>4456.17</v>
      </c>
      <c r="F51" s="29">
        <v>3.48627126056356</v>
      </c>
    </row>
    <row r="52" spans="1:9" x14ac:dyDescent="0.2">
      <c r="A52" s="26" t="s">
        <v>122</v>
      </c>
      <c r="B52" s="26" t="s">
        <v>121</v>
      </c>
      <c r="C52" s="26" t="s">
        <v>71</v>
      </c>
      <c r="D52" s="30">
        <v>350</v>
      </c>
      <c r="E52" s="28">
        <v>3711.7534999999998</v>
      </c>
      <c r="F52" s="29">
        <v>2.9038792400976998</v>
      </c>
    </row>
    <row r="53" spans="1:9" x14ac:dyDescent="0.2">
      <c r="A53" s="26" t="s">
        <v>65</v>
      </c>
      <c r="B53" s="26" t="s">
        <v>64</v>
      </c>
      <c r="C53" s="26" t="s">
        <v>63</v>
      </c>
      <c r="D53" s="30">
        <v>250</v>
      </c>
      <c r="E53" s="28">
        <v>2500.9450000000002</v>
      </c>
      <c r="F53" s="29">
        <v>1.95660683451262</v>
      </c>
    </row>
    <row r="54" spans="1:9" x14ac:dyDescent="0.2">
      <c r="A54" s="26" t="s">
        <v>1022</v>
      </c>
      <c r="B54" s="26" t="s">
        <v>1021</v>
      </c>
      <c r="C54" s="26" t="s">
        <v>133</v>
      </c>
      <c r="D54" s="30">
        <v>250</v>
      </c>
      <c r="E54" s="28">
        <v>2459.4924999999998</v>
      </c>
      <c r="F54" s="29">
        <v>1.92417659522002</v>
      </c>
    </row>
    <row r="55" spans="1:9" x14ac:dyDescent="0.2">
      <c r="A55" s="26" t="s">
        <v>966</v>
      </c>
      <c r="B55" s="26" t="s">
        <v>965</v>
      </c>
      <c r="C55" s="26" t="s">
        <v>120</v>
      </c>
      <c r="D55" s="30">
        <v>200</v>
      </c>
      <c r="E55" s="28">
        <v>2046.4960000000001</v>
      </c>
      <c r="F55" s="29">
        <v>1.60107001969365</v>
      </c>
    </row>
    <row r="56" spans="1:9" x14ac:dyDescent="0.2">
      <c r="A56" s="26" t="s">
        <v>268</v>
      </c>
      <c r="B56" s="26" t="s">
        <v>267</v>
      </c>
      <c r="C56" s="26" t="s">
        <v>165</v>
      </c>
      <c r="D56" s="30">
        <v>80</v>
      </c>
      <c r="E56" s="28">
        <v>773.41600000000005</v>
      </c>
      <c r="F56" s="29">
        <v>0.60507969248480697</v>
      </c>
    </row>
    <row r="57" spans="1:9" x14ac:dyDescent="0.2">
      <c r="A57" s="26" t="s">
        <v>602</v>
      </c>
      <c r="B57" s="26" t="s">
        <v>601</v>
      </c>
      <c r="C57" s="26" t="s">
        <v>152</v>
      </c>
      <c r="D57" s="30">
        <v>60</v>
      </c>
      <c r="E57" s="28">
        <v>661.31579999999997</v>
      </c>
      <c r="F57" s="29">
        <v>0.517378436571449</v>
      </c>
    </row>
    <row r="58" spans="1:9" x14ac:dyDescent="0.2">
      <c r="A58" s="26" t="s">
        <v>512</v>
      </c>
      <c r="B58" s="26" t="s">
        <v>511</v>
      </c>
      <c r="C58" s="26" t="s">
        <v>152</v>
      </c>
      <c r="D58" s="30">
        <v>60</v>
      </c>
      <c r="E58" s="28">
        <v>659.11620000000005</v>
      </c>
      <c r="F58" s="29">
        <v>0.51565758609565204</v>
      </c>
    </row>
    <row r="59" spans="1:9" x14ac:dyDescent="0.2">
      <c r="A59" s="26" t="s">
        <v>968</v>
      </c>
      <c r="B59" s="26" t="s">
        <v>967</v>
      </c>
      <c r="C59" s="26" t="s">
        <v>152</v>
      </c>
      <c r="D59" s="30">
        <v>50</v>
      </c>
      <c r="E59" s="28">
        <v>517.13800000000003</v>
      </c>
      <c r="F59" s="29">
        <v>0.40458136631800801</v>
      </c>
    </row>
    <row r="60" spans="1:9" ht="10.5" x14ac:dyDescent="0.25">
      <c r="A60" s="25" t="s">
        <v>153</v>
      </c>
      <c r="B60" s="25"/>
      <c r="C60" s="25"/>
      <c r="D60" s="31"/>
      <c r="E60" s="32">
        <f>SUM(E50:E59)</f>
        <v>17785.842999999997</v>
      </c>
      <c r="F60" s="33">
        <f>SUM(F50:F59)</f>
        <v>13.914701031557465</v>
      </c>
      <c r="G60" s="17"/>
      <c r="H60" s="17"/>
      <c r="I60" s="17"/>
    </row>
    <row r="61" spans="1:9" x14ac:dyDescent="0.2">
      <c r="A61" s="26"/>
      <c r="B61" s="26"/>
      <c r="C61" s="26"/>
      <c r="D61" s="27"/>
      <c r="E61" s="28"/>
      <c r="F61" s="29"/>
    </row>
    <row r="62" spans="1:9" ht="10.5" x14ac:dyDescent="0.25">
      <c r="A62" s="25" t="s">
        <v>154</v>
      </c>
      <c r="B62" s="26"/>
      <c r="C62" s="26"/>
      <c r="D62" s="27"/>
      <c r="E62" s="28"/>
      <c r="F62" s="29"/>
    </row>
    <row r="63" spans="1:9" x14ac:dyDescent="0.2">
      <c r="A63" s="26" t="s">
        <v>164</v>
      </c>
      <c r="B63" s="26" t="s">
        <v>163</v>
      </c>
      <c r="C63" s="26" t="s">
        <v>165</v>
      </c>
      <c r="D63" s="30">
        <v>14</v>
      </c>
      <c r="E63" s="28">
        <v>1913.4570000000001</v>
      </c>
      <c r="F63" s="29">
        <v>1.49698735627774</v>
      </c>
    </row>
    <row r="64" spans="1:9" ht="10.5" x14ac:dyDescent="0.25">
      <c r="A64" s="25" t="s">
        <v>153</v>
      </c>
      <c r="B64" s="25"/>
      <c r="C64" s="25"/>
      <c r="D64" s="31"/>
      <c r="E64" s="32">
        <f>SUM(E62:E63)</f>
        <v>1913.4570000000001</v>
      </c>
      <c r="F64" s="33">
        <f>SUM(F62:F63)</f>
        <v>1.49698735627774</v>
      </c>
      <c r="G64" s="17"/>
      <c r="H64" s="17"/>
      <c r="I64" s="17"/>
    </row>
    <row r="65" spans="1:9" x14ac:dyDescent="0.2">
      <c r="A65" s="26"/>
      <c r="B65" s="26"/>
      <c r="C65" s="26"/>
      <c r="D65" s="27"/>
      <c r="E65" s="28"/>
      <c r="F65" s="29"/>
    </row>
    <row r="66" spans="1:9" ht="10.5" x14ac:dyDescent="0.25">
      <c r="A66" s="25" t="s">
        <v>362</v>
      </c>
      <c r="B66" s="26"/>
      <c r="C66" s="26"/>
      <c r="D66" s="27"/>
      <c r="E66" s="28"/>
      <c r="F66" s="29"/>
    </row>
    <row r="67" spans="1:9" ht="10.5" x14ac:dyDescent="0.25">
      <c r="A67" s="25" t="s">
        <v>363</v>
      </c>
      <c r="B67" s="26"/>
      <c r="C67" s="26"/>
      <c r="D67" s="27"/>
      <c r="E67" s="28"/>
      <c r="F67" s="29"/>
    </row>
    <row r="68" spans="1:9" x14ac:dyDescent="0.2">
      <c r="A68" s="26" t="s">
        <v>1024</v>
      </c>
      <c r="B68" s="26" t="s">
        <v>1023</v>
      </c>
      <c r="C68" s="26" t="s">
        <v>369</v>
      </c>
      <c r="D68" s="30">
        <v>2500</v>
      </c>
      <c r="E68" s="28">
        <v>2464.9974999999999</v>
      </c>
      <c r="F68" s="29">
        <v>1.92848341549156</v>
      </c>
    </row>
    <row r="69" spans="1:9" ht="10.5" x14ac:dyDescent="0.25">
      <c r="A69" s="25" t="s">
        <v>153</v>
      </c>
      <c r="B69" s="25"/>
      <c r="C69" s="25"/>
      <c r="D69" s="31"/>
      <c r="E69" s="32">
        <f>SUM(E67:E68)</f>
        <v>2464.9974999999999</v>
      </c>
      <c r="F69" s="33">
        <f>SUM(F67:F68)</f>
        <v>1.92848341549156</v>
      </c>
      <c r="G69" s="17"/>
      <c r="H69" s="17"/>
      <c r="I69" s="17"/>
    </row>
    <row r="70" spans="1:9" x14ac:dyDescent="0.2">
      <c r="A70" s="26"/>
      <c r="B70" s="26"/>
      <c r="C70" s="26"/>
      <c r="D70" s="27"/>
      <c r="E70" s="28"/>
      <c r="F70" s="29"/>
    </row>
    <row r="71" spans="1:9" ht="10.5" x14ac:dyDescent="0.25">
      <c r="A71" s="25" t="s">
        <v>473</v>
      </c>
      <c r="B71" s="26"/>
      <c r="C71" s="26"/>
      <c r="D71" s="27"/>
      <c r="E71" s="28"/>
      <c r="F71" s="29"/>
    </row>
    <row r="72" spans="1:9" x14ac:dyDescent="0.2">
      <c r="A72" s="26" t="s">
        <v>475</v>
      </c>
      <c r="B72" s="26" t="s">
        <v>474</v>
      </c>
      <c r="C72" s="26" t="s">
        <v>476</v>
      </c>
      <c r="D72" s="30">
        <v>3600000</v>
      </c>
      <c r="E72" s="28">
        <v>3535.29</v>
      </c>
      <c r="F72" s="29">
        <v>2.7658235490920999</v>
      </c>
    </row>
    <row r="73" spans="1:9" x14ac:dyDescent="0.2">
      <c r="A73" s="26" t="s">
        <v>481</v>
      </c>
      <c r="B73" s="26" t="s">
        <v>1575</v>
      </c>
      <c r="C73" s="26" t="s">
        <v>476</v>
      </c>
      <c r="D73" s="30">
        <v>2000000</v>
      </c>
      <c r="E73" s="28">
        <v>2146.9540000000002</v>
      </c>
      <c r="F73" s="29">
        <v>1.67966303528635</v>
      </c>
    </row>
    <row r="74" spans="1:9" x14ac:dyDescent="0.2">
      <c r="A74" s="26" t="s">
        <v>478</v>
      </c>
      <c r="B74" s="26" t="s">
        <v>477</v>
      </c>
      <c r="C74" s="26" t="s">
        <v>476</v>
      </c>
      <c r="D74" s="30">
        <v>1900000</v>
      </c>
      <c r="E74" s="28">
        <v>1886.4416000000001</v>
      </c>
      <c r="F74" s="29">
        <v>1.4758519389546501</v>
      </c>
    </row>
    <row r="75" spans="1:9" x14ac:dyDescent="0.2">
      <c r="A75" s="26" t="s">
        <v>498</v>
      </c>
      <c r="B75" s="26" t="s">
        <v>497</v>
      </c>
      <c r="C75" s="26" t="s">
        <v>476</v>
      </c>
      <c r="D75" s="30">
        <v>300000</v>
      </c>
      <c r="E75" s="28">
        <v>309.8922</v>
      </c>
      <c r="F75" s="29">
        <v>0.242443235050012</v>
      </c>
    </row>
    <row r="76" spans="1:9" x14ac:dyDescent="0.2">
      <c r="A76" s="26" t="s">
        <v>485</v>
      </c>
      <c r="B76" s="26" t="s">
        <v>484</v>
      </c>
      <c r="C76" s="26" t="s">
        <v>476</v>
      </c>
      <c r="D76" s="30">
        <v>100000</v>
      </c>
      <c r="E76" s="28">
        <v>107.1601</v>
      </c>
      <c r="F76" s="29">
        <v>8.3836383465872397E-2</v>
      </c>
    </row>
    <row r="77" spans="1:9" x14ac:dyDescent="0.2">
      <c r="A77" s="26" t="s">
        <v>480</v>
      </c>
      <c r="B77" s="26" t="s">
        <v>479</v>
      </c>
      <c r="C77" s="26" t="s">
        <v>476</v>
      </c>
      <c r="D77" s="30">
        <v>100000</v>
      </c>
      <c r="E77" s="28">
        <v>98.430499999999995</v>
      </c>
      <c r="F77" s="29">
        <v>7.7006807036738095E-2</v>
      </c>
    </row>
    <row r="78" spans="1:9" ht="10.5" x14ac:dyDescent="0.25">
      <c r="A78" s="25" t="s">
        <v>153</v>
      </c>
      <c r="B78" s="25"/>
      <c r="C78" s="25"/>
      <c r="D78" s="31"/>
      <c r="E78" s="32">
        <f>SUM(E72:E77)</f>
        <v>8084.1684000000014</v>
      </c>
      <c r="F78" s="33">
        <f>SUM(F72:F77)</f>
        <v>6.324624948885722</v>
      </c>
      <c r="G78" s="17"/>
      <c r="H78" s="17"/>
      <c r="I78" s="17"/>
    </row>
    <row r="79" spans="1:9" x14ac:dyDescent="0.2">
      <c r="A79" s="26"/>
      <c r="B79" s="26"/>
      <c r="C79" s="26"/>
      <c r="D79" s="27"/>
      <c r="E79" s="28"/>
      <c r="F79" s="29"/>
    </row>
    <row r="80" spans="1:9" ht="10.5" x14ac:dyDescent="0.25">
      <c r="A80" s="25" t="s">
        <v>166</v>
      </c>
      <c r="B80" s="25"/>
      <c r="C80" s="25"/>
      <c r="D80" s="31"/>
      <c r="E80" s="32">
        <f>E42+E47+E60+E64+E69+E78</f>
        <v>125770.42481099998</v>
      </c>
      <c r="F80" s="33">
        <f>F42+F47+F60+F64+F69+F78</f>
        <v>98.396115374292037</v>
      </c>
      <c r="G80" s="17"/>
      <c r="H80" s="17"/>
      <c r="I80" s="17"/>
    </row>
    <row r="81" spans="1:9" ht="10.5" x14ac:dyDescent="0.25">
      <c r="A81" s="25"/>
      <c r="B81" s="25"/>
      <c r="C81" s="25"/>
      <c r="D81" s="31"/>
      <c r="E81" s="32"/>
      <c r="F81" s="33"/>
      <c r="G81" s="17"/>
      <c r="H81" s="17"/>
      <c r="I81" s="17"/>
    </row>
    <row r="82" spans="1:9" ht="10.5" x14ac:dyDescent="0.25">
      <c r="A82" s="25" t="s">
        <v>168</v>
      </c>
      <c r="B82" s="25"/>
      <c r="C82" s="25"/>
      <c r="D82" s="31"/>
      <c r="E82" s="32">
        <f>E84-(E42+E47+E60+E64+E69+E78)</f>
        <v>2050.0936440000223</v>
      </c>
      <c r="F82" s="33">
        <f>F84-(F42+F47+F60+F64+F69+F78)</f>
        <v>1.6038846257079626</v>
      </c>
      <c r="G82" s="17"/>
      <c r="H82" s="17"/>
      <c r="I82" s="17"/>
    </row>
    <row r="83" spans="1:9" ht="10.5" x14ac:dyDescent="0.25">
      <c r="A83" s="25"/>
      <c r="B83" s="25"/>
      <c r="C83" s="25"/>
      <c r="D83" s="31"/>
      <c r="E83" s="32"/>
      <c r="F83" s="33"/>
      <c r="G83" s="17"/>
      <c r="H83" s="17"/>
      <c r="I83" s="17"/>
    </row>
    <row r="84" spans="1:9" ht="10.5" x14ac:dyDescent="0.25">
      <c r="A84" s="34" t="s">
        <v>167</v>
      </c>
      <c r="B84" s="34"/>
      <c r="C84" s="34"/>
      <c r="D84" s="35"/>
      <c r="E84" s="36">
        <v>127820.518455</v>
      </c>
      <c r="F84" s="37">
        <v>100</v>
      </c>
      <c r="G84" s="17"/>
      <c r="H84" s="17"/>
      <c r="I84" s="17"/>
    </row>
    <row r="85" spans="1:9" ht="10.5" x14ac:dyDescent="0.25">
      <c r="A85" s="64" t="s">
        <v>1648</v>
      </c>
      <c r="F85" s="19" t="s">
        <v>343</v>
      </c>
    </row>
    <row r="86" spans="1:9" ht="10.5" x14ac:dyDescent="0.25">
      <c r="A86" s="58"/>
      <c r="F86" s="19"/>
    </row>
    <row r="87" spans="1:9" ht="10.5" x14ac:dyDescent="0.25">
      <c r="A87" s="17" t="s">
        <v>170</v>
      </c>
    </row>
    <row r="88" spans="1:9" ht="10.5" x14ac:dyDescent="0.25">
      <c r="A88" s="17" t="s">
        <v>1501</v>
      </c>
    </row>
    <row r="89" spans="1:9" ht="10.5" x14ac:dyDescent="0.25">
      <c r="A89" s="17"/>
    </row>
    <row r="90" spans="1:9" ht="10.5" x14ac:dyDescent="0.25">
      <c r="A90" s="17" t="s">
        <v>171</v>
      </c>
    </row>
    <row r="91" spans="1:9" ht="10.5" x14ac:dyDescent="0.25">
      <c r="A91" s="17" t="s">
        <v>172</v>
      </c>
    </row>
    <row r="92" spans="1:9" ht="10.5" x14ac:dyDescent="0.25">
      <c r="A92" s="17" t="s">
        <v>173</v>
      </c>
      <c r="B92" s="17"/>
      <c r="C92" s="38" t="s">
        <v>175</v>
      </c>
      <c r="D92" s="18" t="s">
        <v>174</v>
      </c>
    </row>
    <row r="93" spans="1:9" x14ac:dyDescent="0.2">
      <c r="A93" s="10" t="s">
        <v>436</v>
      </c>
      <c r="C93" s="39">
        <v>97.692899999999995</v>
      </c>
      <c r="D93" s="39">
        <v>117.1187</v>
      </c>
    </row>
    <row r="94" spans="1:9" x14ac:dyDescent="0.2">
      <c r="A94" s="10" t="s">
        <v>470</v>
      </c>
      <c r="C94" s="39">
        <v>16.696400000000001</v>
      </c>
      <c r="D94" s="39">
        <v>18.6494</v>
      </c>
    </row>
    <row r="95" spans="1:9" x14ac:dyDescent="0.2">
      <c r="A95" s="10" t="s">
        <v>439</v>
      </c>
      <c r="C95" s="39">
        <v>105.69329999999999</v>
      </c>
      <c r="D95" s="39">
        <v>127.3472</v>
      </c>
    </row>
    <row r="96" spans="1:9" x14ac:dyDescent="0.2">
      <c r="A96" s="10" t="s">
        <v>471</v>
      </c>
      <c r="C96" s="39">
        <v>18.458300000000001</v>
      </c>
      <c r="D96" s="39">
        <v>20.866700000000002</v>
      </c>
    </row>
    <row r="98" spans="1:5" ht="10.5" x14ac:dyDescent="0.25">
      <c r="A98" s="17" t="s">
        <v>185</v>
      </c>
    </row>
    <row r="99" spans="1:5" ht="12.5" x14ac:dyDescent="0.25">
      <c r="A99" s="100" t="s">
        <v>350</v>
      </c>
      <c r="B99" s="101"/>
      <c r="C99" s="98" t="s">
        <v>1658</v>
      </c>
      <c r="D99" s="99"/>
    </row>
    <row r="100" spans="1:5" ht="10.5" x14ac:dyDescent="0.25">
      <c r="A100" s="100"/>
      <c r="B100" s="101"/>
      <c r="C100" s="43" t="s">
        <v>351</v>
      </c>
      <c r="D100" s="44" t="s">
        <v>352</v>
      </c>
    </row>
    <row r="101" spans="1:5" x14ac:dyDescent="0.2">
      <c r="A101" s="94" t="s">
        <v>470</v>
      </c>
      <c r="B101" s="95"/>
      <c r="C101" s="45">
        <v>1.25</v>
      </c>
      <c r="D101" s="45">
        <v>1.25</v>
      </c>
    </row>
    <row r="102" spans="1:5" x14ac:dyDescent="0.2">
      <c r="A102" s="94" t="s">
        <v>471</v>
      </c>
      <c r="B102" s="95"/>
      <c r="C102" s="45">
        <v>1.25</v>
      </c>
      <c r="D102" s="45">
        <v>1.25</v>
      </c>
    </row>
    <row r="103" spans="1:5" x14ac:dyDescent="0.2">
      <c r="A103" s="90" t="s">
        <v>1657</v>
      </c>
    </row>
    <row r="105" spans="1:5" ht="10.5" x14ac:dyDescent="0.25">
      <c r="A105" s="17" t="s">
        <v>1014</v>
      </c>
      <c r="D105" s="47">
        <v>0.54600000000000004</v>
      </c>
    </row>
    <row r="107" spans="1:5" ht="10.5" x14ac:dyDescent="0.25">
      <c r="A107" s="17" t="s">
        <v>1015</v>
      </c>
      <c r="D107" s="41">
        <v>3.06804483155693</v>
      </c>
      <c r="E107" s="15" t="s">
        <v>188</v>
      </c>
    </row>
    <row r="109" spans="1:5" ht="10.5" x14ac:dyDescent="0.25">
      <c r="A109" s="17" t="s">
        <v>1635</v>
      </c>
    </row>
    <row r="111" spans="1:5" ht="10.5" x14ac:dyDescent="0.25">
      <c r="A111" s="17" t="s">
        <v>1514</v>
      </c>
      <c r="D111" s="40" t="s">
        <v>186</v>
      </c>
    </row>
    <row r="113" spans="1:1" ht="10.5" x14ac:dyDescent="0.25">
      <c r="A113" s="17" t="s">
        <v>1542</v>
      </c>
    </row>
  </sheetData>
  <mergeCells count="6">
    <mergeCell ref="A102:B102"/>
    <mergeCell ref="A1:F1"/>
    <mergeCell ref="C99:D99"/>
    <mergeCell ref="A99:B99"/>
    <mergeCell ref="A100:B100"/>
    <mergeCell ref="A101:B101"/>
  </mergeCells>
  <conditionalFormatting sqref="F2:F3 F5:F84 F87:F65542">
    <cfRule type="cellIs" dxfId="25" priority="2" stopIfTrue="1" operator="between">
      <formula>0.009</formula>
      <formula>-0.009</formula>
    </cfRule>
  </conditionalFormatting>
  <conditionalFormatting sqref="F85:F86">
    <cfRule type="cellIs" dxfId="24" priority="1" stopIfTrue="1" operator="between">
      <formula>0.009</formula>
      <formula>-0.009</formula>
    </cfRule>
  </conditionalFormatting>
  <pageMargins left="0.7" right="0.7" top="0.75" bottom="0.75" header="0.3" footer="0.3"/>
  <pageSetup paperSize="9" scale="48" orientation="portrait" r:id="rId1"/>
  <headerFooter>
    <oddFooter>&amp;LPUBLIC</oddFooter>
    <evenFooter>&amp;LPUBLIC</evenFooter>
    <firstFooter>&amp;LPUBLIC</firstFooter>
  </headerFooter>
  <colBreaks count="1" manualBreakCount="1">
    <brk id="6" max="1048575" man="1"/>
  </col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64"/>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25.81640625" style="10" bestFit="1" customWidth="1"/>
    <col min="3" max="3" width="18.816406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1515</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1065</v>
      </c>
      <c r="D4" s="48" t="s">
        <v>1</v>
      </c>
      <c r="E4" s="9" t="s">
        <v>3</v>
      </c>
      <c r="F4" s="9" t="s">
        <v>4</v>
      </c>
    </row>
    <row r="5" spans="1:6" ht="10.5" x14ac:dyDescent="0.25">
      <c r="A5" s="20" t="s">
        <v>881</v>
      </c>
      <c r="B5" s="21"/>
      <c r="C5" s="21"/>
      <c r="D5" s="22"/>
      <c r="E5" s="23"/>
      <c r="F5" s="24"/>
    </row>
    <row r="6" spans="1:6" ht="10.5" x14ac:dyDescent="0.25">
      <c r="A6" s="25" t="s">
        <v>1647</v>
      </c>
      <c r="B6" s="26"/>
      <c r="C6" s="26"/>
      <c r="D6" s="27"/>
      <c r="E6" s="28"/>
      <c r="F6" s="29"/>
    </row>
    <row r="7" spans="1:6" x14ac:dyDescent="0.2">
      <c r="A7" s="26" t="s">
        <v>894</v>
      </c>
      <c r="B7" s="26" t="s">
        <v>893</v>
      </c>
      <c r="C7" s="26" t="s">
        <v>884</v>
      </c>
      <c r="D7" s="30">
        <v>800000</v>
      </c>
      <c r="E7" s="28">
        <v>2838</v>
      </c>
      <c r="F7" s="29">
        <v>7.19773185230303</v>
      </c>
    </row>
    <row r="8" spans="1:6" x14ac:dyDescent="0.2">
      <c r="A8" s="26" t="s">
        <v>937</v>
      </c>
      <c r="B8" s="26" t="s">
        <v>936</v>
      </c>
      <c r="C8" s="26" t="s">
        <v>884</v>
      </c>
      <c r="D8" s="30">
        <v>1400000</v>
      </c>
      <c r="E8" s="28">
        <v>2595.6</v>
      </c>
      <c r="F8" s="29">
        <v>6.5829572924023099</v>
      </c>
    </row>
    <row r="9" spans="1:6" x14ac:dyDescent="0.2">
      <c r="A9" s="26" t="s">
        <v>883</v>
      </c>
      <c r="B9" s="26" t="s">
        <v>882</v>
      </c>
      <c r="C9" s="26" t="s">
        <v>884</v>
      </c>
      <c r="D9" s="30">
        <v>200000</v>
      </c>
      <c r="E9" s="28">
        <v>2157.1999999999998</v>
      </c>
      <c r="F9" s="29">
        <v>5.4710877913277303</v>
      </c>
    </row>
    <row r="10" spans="1:6" x14ac:dyDescent="0.2">
      <c r="A10" s="26" t="s">
        <v>886</v>
      </c>
      <c r="B10" s="26" t="s">
        <v>885</v>
      </c>
      <c r="C10" s="26" t="s">
        <v>887</v>
      </c>
      <c r="D10" s="30">
        <v>190000</v>
      </c>
      <c r="E10" s="28">
        <v>1915.675</v>
      </c>
      <c r="F10" s="29">
        <v>4.8585324052715304</v>
      </c>
    </row>
    <row r="11" spans="1:6" x14ac:dyDescent="0.2">
      <c r="A11" s="26" t="s">
        <v>913</v>
      </c>
      <c r="B11" s="26" t="s">
        <v>912</v>
      </c>
      <c r="C11" s="26" t="s">
        <v>914</v>
      </c>
      <c r="D11" s="30">
        <v>310000</v>
      </c>
      <c r="E11" s="28">
        <v>1884.49</v>
      </c>
      <c r="F11" s="29">
        <v>4.77944104945262</v>
      </c>
    </row>
    <row r="12" spans="1:6" x14ac:dyDescent="0.2">
      <c r="A12" s="26" t="s">
        <v>1026</v>
      </c>
      <c r="B12" s="26" t="s">
        <v>1025</v>
      </c>
      <c r="C12" s="26" t="s">
        <v>914</v>
      </c>
      <c r="D12" s="30">
        <v>3000000</v>
      </c>
      <c r="E12" s="28">
        <v>1884</v>
      </c>
      <c r="F12" s="29">
        <v>4.7781983120996898</v>
      </c>
    </row>
    <row r="13" spans="1:6" x14ac:dyDescent="0.2">
      <c r="A13" s="26" t="s">
        <v>891</v>
      </c>
      <c r="B13" s="26" t="s">
        <v>890</v>
      </c>
      <c r="C13" s="26" t="s">
        <v>892</v>
      </c>
      <c r="D13" s="30">
        <v>400000</v>
      </c>
      <c r="E13" s="28">
        <v>1683.8</v>
      </c>
      <c r="F13" s="29">
        <v>4.2704513364721102</v>
      </c>
    </row>
    <row r="14" spans="1:6" x14ac:dyDescent="0.2">
      <c r="A14" s="26" t="s">
        <v>889</v>
      </c>
      <c r="B14" s="26" t="s">
        <v>888</v>
      </c>
      <c r="C14" s="26" t="s">
        <v>884</v>
      </c>
      <c r="D14" s="30">
        <v>385000</v>
      </c>
      <c r="E14" s="28">
        <v>1634.9024999999999</v>
      </c>
      <c r="F14" s="29">
        <v>4.1464375615432898</v>
      </c>
    </row>
    <row r="15" spans="1:6" x14ac:dyDescent="0.2">
      <c r="A15" s="26" t="s">
        <v>1028</v>
      </c>
      <c r="B15" s="26" t="s">
        <v>1027</v>
      </c>
      <c r="C15" s="26" t="s">
        <v>887</v>
      </c>
      <c r="D15" s="30">
        <v>200000</v>
      </c>
      <c r="E15" s="28">
        <v>1623.2</v>
      </c>
      <c r="F15" s="29">
        <v>4.1167576964969301</v>
      </c>
    </row>
    <row r="16" spans="1:6" x14ac:dyDescent="0.2">
      <c r="A16" s="26" t="s">
        <v>898</v>
      </c>
      <c r="B16" s="26" t="s">
        <v>897</v>
      </c>
      <c r="C16" s="26" t="s">
        <v>899</v>
      </c>
      <c r="D16" s="30">
        <v>210000</v>
      </c>
      <c r="E16" s="28">
        <v>1562.82</v>
      </c>
      <c r="F16" s="29">
        <v>3.96362202023123</v>
      </c>
    </row>
    <row r="17" spans="1:6" x14ac:dyDescent="0.2">
      <c r="A17" s="26" t="s">
        <v>1030</v>
      </c>
      <c r="B17" s="26" t="s">
        <v>1029</v>
      </c>
      <c r="C17" s="26" t="s">
        <v>917</v>
      </c>
      <c r="D17" s="30">
        <v>800000</v>
      </c>
      <c r="E17" s="28">
        <v>1373.6</v>
      </c>
      <c r="F17" s="29">
        <v>3.4837225061041002</v>
      </c>
    </row>
    <row r="18" spans="1:6" x14ac:dyDescent="0.2">
      <c r="A18" s="26" t="s">
        <v>935</v>
      </c>
      <c r="B18" s="26" t="s">
        <v>934</v>
      </c>
      <c r="C18" s="26" t="s">
        <v>931</v>
      </c>
      <c r="D18" s="30">
        <v>1400000</v>
      </c>
      <c r="E18" s="28">
        <v>1191.4000000000001</v>
      </c>
      <c r="F18" s="29">
        <v>3.0216271067067799</v>
      </c>
    </row>
    <row r="19" spans="1:6" x14ac:dyDescent="0.2">
      <c r="A19" s="26" t="s">
        <v>930</v>
      </c>
      <c r="B19" s="26" t="s">
        <v>929</v>
      </c>
      <c r="C19" s="26" t="s">
        <v>931</v>
      </c>
      <c r="D19" s="30">
        <v>700000</v>
      </c>
      <c r="E19" s="28">
        <v>1137.1500000000001</v>
      </c>
      <c r="F19" s="29">
        <v>2.8840383283461599</v>
      </c>
    </row>
    <row r="20" spans="1:6" x14ac:dyDescent="0.2">
      <c r="A20" s="26" t="s">
        <v>1032</v>
      </c>
      <c r="B20" s="26" t="s">
        <v>1031</v>
      </c>
      <c r="C20" s="26" t="s">
        <v>917</v>
      </c>
      <c r="D20" s="30">
        <v>300000</v>
      </c>
      <c r="E20" s="28">
        <v>1053.9000000000001</v>
      </c>
      <c r="F20" s="29">
        <v>2.67289978828124</v>
      </c>
    </row>
    <row r="21" spans="1:6" x14ac:dyDescent="0.2">
      <c r="A21" s="26" t="s">
        <v>1034</v>
      </c>
      <c r="B21" s="26" t="s">
        <v>1033</v>
      </c>
      <c r="C21" s="26" t="s">
        <v>1035</v>
      </c>
      <c r="D21" s="30">
        <v>1100000</v>
      </c>
      <c r="E21" s="28">
        <v>1053.25</v>
      </c>
      <c r="F21" s="29">
        <v>2.6712512591395901</v>
      </c>
    </row>
    <row r="22" spans="1:6" x14ac:dyDescent="0.2">
      <c r="A22" s="26" t="s">
        <v>963</v>
      </c>
      <c r="B22" s="26" t="s">
        <v>962</v>
      </c>
      <c r="C22" s="26" t="s">
        <v>964</v>
      </c>
      <c r="D22" s="30">
        <v>800000</v>
      </c>
      <c r="E22" s="28">
        <v>928</v>
      </c>
      <c r="F22" s="29">
        <v>2.3535923745374201</v>
      </c>
    </row>
    <row r="23" spans="1:6" x14ac:dyDescent="0.2">
      <c r="A23" s="26" t="s">
        <v>1037</v>
      </c>
      <c r="B23" s="26" t="s">
        <v>1036</v>
      </c>
      <c r="C23" s="26" t="s">
        <v>1038</v>
      </c>
      <c r="D23" s="30">
        <v>1300000</v>
      </c>
      <c r="E23" s="28">
        <v>900.25</v>
      </c>
      <c r="F23" s="29">
        <v>2.28321286118245</v>
      </c>
    </row>
    <row r="24" spans="1:6" x14ac:dyDescent="0.2">
      <c r="A24" s="26" t="s">
        <v>1040</v>
      </c>
      <c r="B24" s="26" t="s">
        <v>1039</v>
      </c>
      <c r="C24" s="26" t="s">
        <v>944</v>
      </c>
      <c r="D24" s="30">
        <v>300000</v>
      </c>
      <c r="E24" s="28">
        <v>827.1</v>
      </c>
      <c r="F24" s="29">
        <v>2.09768992778007</v>
      </c>
    </row>
    <row r="25" spans="1:6" x14ac:dyDescent="0.2">
      <c r="A25" s="26" t="s">
        <v>1002</v>
      </c>
      <c r="B25" s="26" t="s">
        <v>1001</v>
      </c>
      <c r="C25" s="26" t="s">
        <v>925</v>
      </c>
      <c r="D25" s="30">
        <v>1100000</v>
      </c>
      <c r="E25" s="28">
        <v>812.9</v>
      </c>
      <c r="F25" s="29">
        <v>2.06167590653176</v>
      </c>
    </row>
    <row r="26" spans="1:6" x14ac:dyDescent="0.2">
      <c r="A26" s="26" t="s">
        <v>988</v>
      </c>
      <c r="B26" s="26" t="s">
        <v>987</v>
      </c>
      <c r="C26" s="26" t="s">
        <v>887</v>
      </c>
      <c r="D26" s="30">
        <v>100000</v>
      </c>
      <c r="E26" s="28">
        <v>791.75</v>
      </c>
      <c r="F26" s="29">
        <v>2.00803530446121</v>
      </c>
    </row>
    <row r="27" spans="1:6" x14ac:dyDescent="0.2">
      <c r="A27" s="26" t="s">
        <v>1013</v>
      </c>
      <c r="B27" s="26" t="s">
        <v>1012</v>
      </c>
      <c r="C27" s="26" t="s">
        <v>884</v>
      </c>
      <c r="D27" s="30">
        <v>1600000</v>
      </c>
      <c r="E27" s="28">
        <v>777.6</v>
      </c>
      <c r="F27" s="29">
        <v>1.97214809314688</v>
      </c>
    </row>
    <row r="28" spans="1:6" x14ac:dyDescent="0.2">
      <c r="A28" s="26" t="s">
        <v>1042</v>
      </c>
      <c r="B28" s="26" t="s">
        <v>1041</v>
      </c>
      <c r="C28" s="26" t="s">
        <v>887</v>
      </c>
      <c r="D28" s="30">
        <v>200000</v>
      </c>
      <c r="E28" s="28">
        <v>767</v>
      </c>
      <c r="F28" s="29">
        <v>1.94526438714462</v>
      </c>
    </row>
    <row r="29" spans="1:6" x14ac:dyDescent="0.2">
      <c r="A29" s="26" t="s">
        <v>1044</v>
      </c>
      <c r="B29" s="26" t="s">
        <v>1043</v>
      </c>
      <c r="C29" s="26" t="s">
        <v>1045</v>
      </c>
      <c r="D29" s="30">
        <v>250000</v>
      </c>
      <c r="E29" s="28">
        <v>748.75</v>
      </c>
      <c r="F29" s="29">
        <v>1.8989787612444999</v>
      </c>
    </row>
    <row r="30" spans="1:6" x14ac:dyDescent="0.2">
      <c r="A30" s="26" t="s">
        <v>939</v>
      </c>
      <c r="B30" s="26" t="s">
        <v>938</v>
      </c>
      <c r="C30" s="26" t="s">
        <v>925</v>
      </c>
      <c r="D30" s="30">
        <v>200000</v>
      </c>
      <c r="E30" s="28">
        <v>706.1</v>
      </c>
      <c r="F30" s="29">
        <v>1.7908098875656</v>
      </c>
    </row>
    <row r="31" spans="1:6" x14ac:dyDescent="0.2">
      <c r="A31" s="26" t="s">
        <v>1011</v>
      </c>
      <c r="B31" s="26" t="s">
        <v>1010</v>
      </c>
      <c r="C31" s="26" t="s">
        <v>908</v>
      </c>
      <c r="D31" s="30">
        <v>800000</v>
      </c>
      <c r="E31" s="28">
        <v>694.4</v>
      </c>
      <c r="F31" s="29">
        <v>1.76113636301593</v>
      </c>
    </row>
    <row r="32" spans="1:6" x14ac:dyDescent="0.2">
      <c r="A32" s="26" t="s">
        <v>1006</v>
      </c>
      <c r="B32" s="26" t="s">
        <v>1005</v>
      </c>
      <c r="C32" s="26" t="s">
        <v>978</v>
      </c>
      <c r="D32" s="30">
        <v>200000</v>
      </c>
      <c r="E32" s="28">
        <v>676.3</v>
      </c>
      <c r="F32" s="29">
        <v>1.71523116691774</v>
      </c>
    </row>
    <row r="33" spans="1:9" x14ac:dyDescent="0.2">
      <c r="A33" s="26" t="s">
        <v>1047</v>
      </c>
      <c r="B33" s="26" t="s">
        <v>1046</v>
      </c>
      <c r="C33" s="26" t="s">
        <v>1048</v>
      </c>
      <c r="D33" s="30">
        <v>160000</v>
      </c>
      <c r="E33" s="28">
        <v>583.91999999999996</v>
      </c>
      <c r="F33" s="29">
        <v>1.4809371329093699</v>
      </c>
    </row>
    <row r="34" spans="1:9" x14ac:dyDescent="0.2">
      <c r="A34" s="26" t="s">
        <v>1050</v>
      </c>
      <c r="B34" s="26" t="s">
        <v>1049</v>
      </c>
      <c r="C34" s="26" t="s">
        <v>925</v>
      </c>
      <c r="D34" s="30">
        <v>70000</v>
      </c>
      <c r="E34" s="28">
        <v>457.065</v>
      </c>
      <c r="F34" s="29">
        <v>1.1592076494266701</v>
      </c>
    </row>
    <row r="35" spans="1:9" x14ac:dyDescent="0.2">
      <c r="A35" s="26" t="s">
        <v>1052</v>
      </c>
      <c r="B35" s="26" t="s">
        <v>1051</v>
      </c>
      <c r="C35" s="26" t="s">
        <v>914</v>
      </c>
      <c r="D35" s="30">
        <v>600000</v>
      </c>
      <c r="E35" s="28">
        <v>446.4</v>
      </c>
      <c r="F35" s="29">
        <v>1.1321590905102401</v>
      </c>
    </row>
    <row r="36" spans="1:9" x14ac:dyDescent="0.2">
      <c r="A36" s="26" t="s">
        <v>1054</v>
      </c>
      <c r="B36" s="26" t="s">
        <v>1053</v>
      </c>
      <c r="C36" s="26" t="s">
        <v>899</v>
      </c>
      <c r="D36" s="30">
        <v>30000</v>
      </c>
      <c r="E36" s="28">
        <v>418.03500000000003</v>
      </c>
      <c r="F36" s="29">
        <v>1.06021981496741</v>
      </c>
    </row>
    <row r="37" spans="1:9" x14ac:dyDescent="0.2">
      <c r="A37" s="26" t="s">
        <v>1056</v>
      </c>
      <c r="B37" s="26" t="s">
        <v>1055</v>
      </c>
      <c r="C37" s="26" t="s">
        <v>978</v>
      </c>
      <c r="D37" s="30">
        <v>800000</v>
      </c>
      <c r="E37" s="28">
        <v>402</v>
      </c>
      <c r="F37" s="29">
        <v>1.01955186914229</v>
      </c>
    </row>
    <row r="38" spans="1:9" x14ac:dyDescent="0.2">
      <c r="A38" s="26" t="s">
        <v>1058</v>
      </c>
      <c r="B38" s="26" t="s">
        <v>1057</v>
      </c>
      <c r="C38" s="26" t="s">
        <v>902</v>
      </c>
      <c r="D38" s="30">
        <v>300000</v>
      </c>
      <c r="E38" s="28">
        <v>392.55</v>
      </c>
      <c r="F38" s="29">
        <v>0.99558479162140701</v>
      </c>
    </row>
    <row r="39" spans="1:9" x14ac:dyDescent="0.2">
      <c r="A39" s="26" t="s">
        <v>927</v>
      </c>
      <c r="B39" s="26" t="s">
        <v>926</v>
      </c>
      <c r="C39" s="26" t="s">
        <v>928</v>
      </c>
      <c r="D39" s="30">
        <v>100000</v>
      </c>
      <c r="E39" s="28">
        <v>359.75</v>
      </c>
      <c r="F39" s="29">
        <v>0.91239747493517098</v>
      </c>
    </row>
    <row r="40" spans="1:9" x14ac:dyDescent="0.2">
      <c r="A40" s="26" t="s">
        <v>1060</v>
      </c>
      <c r="B40" s="26" t="s">
        <v>1059</v>
      </c>
      <c r="C40" s="26" t="s">
        <v>1061</v>
      </c>
      <c r="D40" s="30">
        <v>100000</v>
      </c>
      <c r="E40" s="28">
        <v>331.55</v>
      </c>
      <c r="F40" s="29">
        <v>0.84087667217444295</v>
      </c>
    </row>
    <row r="41" spans="1:9" x14ac:dyDescent="0.2">
      <c r="A41" s="26" t="s">
        <v>1063</v>
      </c>
      <c r="B41" s="26" t="s">
        <v>1062</v>
      </c>
      <c r="C41" s="26" t="s">
        <v>1064</v>
      </c>
      <c r="D41" s="30">
        <v>40000</v>
      </c>
      <c r="E41" s="28">
        <v>320.32</v>
      </c>
      <c r="F41" s="29">
        <v>0.81239516100412501</v>
      </c>
    </row>
    <row r="42" spans="1:9" x14ac:dyDescent="0.2">
      <c r="A42" s="26" t="s">
        <v>1008</v>
      </c>
      <c r="B42" s="26" t="s">
        <v>1007</v>
      </c>
      <c r="C42" s="26" t="s">
        <v>1009</v>
      </c>
      <c r="D42" s="30">
        <v>300000</v>
      </c>
      <c r="E42" s="28">
        <v>274.5</v>
      </c>
      <c r="F42" s="29">
        <v>0.69618653751133897</v>
      </c>
    </row>
    <row r="43" spans="1:9" ht="10.5" x14ac:dyDescent="0.25">
      <c r="A43" s="25" t="s">
        <v>153</v>
      </c>
      <c r="B43" s="25"/>
      <c r="C43" s="25"/>
      <c r="D43" s="31"/>
      <c r="E43" s="32">
        <f>SUM(E7:E42)</f>
        <v>38205.227500000015</v>
      </c>
      <c r="F43" s="33">
        <f>SUM(F7:F42)</f>
        <v>96.896047533909012</v>
      </c>
      <c r="G43" s="17"/>
      <c r="H43" s="17"/>
      <c r="I43" s="17"/>
    </row>
    <row r="44" spans="1:9" x14ac:dyDescent="0.2">
      <c r="A44" s="26"/>
      <c r="B44" s="26"/>
      <c r="C44" s="26"/>
      <c r="D44" s="27"/>
      <c r="E44" s="28"/>
      <c r="F44" s="29"/>
    </row>
    <row r="45" spans="1:9" ht="10.5" x14ac:dyDescent="0.25">
      <c r="A45" s="25" t="s">
        <v>166</v>
      </c>
      <c r="B45" s="25"/>
      <c r="C45" s="25"/>
      <c r="D45" s="31"/>
      <c r="E45" s="32">
        <f>E43</f>
        <v>38205.227500000015</v>
      </c>
      <c r="F45" s="33">
        <f>F43</f>
        <v>96.896047533909012</v>
      </c>
      <c r="G45" s="17"/>
      <c r="H45" s="17"/>
      <c r="I45" s="17"/>
    </row>
    <row r="46" spans="1:9" ht="10.5" x14ac:dyDescent="0.25">
      <c r="A46" s="25"/>
      <c r="B46" s="25"/>
      <c r="C46" s="25"/>
      <c r="D46" s="31"/>
      <c r="E46" s="32"/>
      <c r="F46" s="33"/>
      <c r="G46" s="17"/>
      <c r="H46" s="17"/>
      <c r="I46" s="17"/>
    </row>
    <row r="47" spans="1:9" ht="10.5" x14ac:dyDescent="0.25">
      <c r="A47" s="25" t="s">
        <v>168</v>
      </c>
      <c r="B47" s="25"/>
      <c r="C47" s="25"/>
      <c r="D47" s="31"/>
      <c r="E47" s="32">
        <f>E49-(E43)</f>
        <v>1223.8601380999826</v>
      </c>
      <c r="F47" s="33">
        <f>F49-(F43)</f>
        <v>3.1039524660909876</v>
      </c>
      <c r="G47" s="17"/>
      <c r="H47" s="17"/>
      <c r="I47" s="17"/>
    </row>
    <row r="48" spans="1:9" ht="10.5" x14ac:dyDescent="0.25">
      <c r="A48" s="25"/>
      <c r="B48" s="25"/>
      <c r="C48" s="25"/>
      <c r="D48" s="31"/>
      <c r="E48" s="32"/>
      <c r="F48" s="33"/>
      <c r="G48" s="17"/>
      <c r="H48" s="17"/>
      <c r="I48" s="17"/>
    </row>
    <row r="49" spans="1:9" ht="10.5" x14ac:dyDescent="0.25">
      <c r="A49" s="34" t="s">
        <v>167</v>
      </c>
      <c r="B49" s="34"/>
      <c r="C49" s="34"/>
      <c r="D49" s="35"/>
      <c r="E49" s="36">
        <v>39429.087638099998</v>
      </c>
      <c r="F49" s="37">
        <v>100</v>
      </c>
      <c r="G49" s="17"/>
      <c r="H49" s="17"/>
      <c r="I49" s="17"/>
    </row>
    <row r="52" spans="1:9" ht="10.5" x14ac:dyDescent="0.25">
      <c r="A52" s="17" t="s">
        <v>171</v>
      </c>
    </row>
    <row r="53" spans="1:9" ht="10.5" x14ac:dyDescent="0.25">
      <c r="A53" s="17" t="s">
        <v>172</v>
      </c>
    </row>
    <row r="54" spans="1:9" ht="10.5" x14ac:dyDescent="0.25">
      <c r="A54" s="17" t="s">
        <v>173</v>
      </c>
      <c r="B54" s="17"/>
      <c r="C54" s="38" t="s">
        <v>175</v>
      </c>
      <c r="D54" s="18" t="s">
        <v>174</v>
      </c>
    </row>
    <row r="55" spans="1:9" x14ac:dyDescent="0.2">
      <c r="A55" s="10" t="s">
        <v>436</v>
      </c>
      <c r="C55" s="39">
        <v>160.6885</v>
      </c>
      <c r="D55" s="39">
        <v>210.7432</v>
      </c>
    </row>
    <row r="56" spans="1:9" x14ac:dyDescent="0.2">
      <c r="A56" s="10" t="s">
        <v>470</v>
      </c>
      <c r="C56" s="39">
        <v>35.142699999999998</v>
      </c>
      <c r="D56" s="39">
        <v>46.089799999999997</v>
      </c>
    </row>
    <row r="57" spans="1:9" x14ac:dyDescent="0.2">
      <c r="A57" s="10" t="s">
        <v>439</v>
      </c>
      <c r="C57" s="39">
        <v>169.29839999999999</v>
      </c>
      <c r="D57" s="39">
        <v>223.1549</v>
      </c>
    </row>
    <row r="58" spans="1:9" x14ac:dyDescent="0.2">
      <c r="A58" s="10" t="s">
        <v>471</v>
      </c>
      <c r="C58" s="39">
        <v>37.710999999999999</v>
      </c>
      <c r="D58" s="39">
        <v>49.701999999999998</v>
      </c>
    </row>
    <row r="60" spans="1:9" ht="10.5" x14ac:dyDescent="0.25">
      <c r="A60" s="17" t="s">
        <v>185</v>
      </c>
      <c r="D60" s="40" t="s">
        <v>186</v>
      </c>
    </row>
    <row r="62" spans="1:9" ht="10.5" x14ac:dyDescent="0.25">
      <c r="A62" s="17" t="s">
        <v>1014</v>
      </c>
      <c r="D62" s="47">
        <v>0.25040000000000001</v>
      </c>
    </row>
    <row r="64" spans="1:9" ht="10.5" x14ac:dyDescent="0.25">
      <c r="A64" s="17" t="s">
        <v>1516</v>
      </c>
    </row>
  </sheetData>
  <mergeCells count="1">
    <mergeCell ref="A1:F1"/>
  </mergeCells>
  <conditionalFormatting sqref="F2:F3 F5:F65536">
    <cfRule type="cellIs" dxfId="23" priority="1" stopIfTrue="1" operator="between">
      <formula>0.009</formula>
      <formula>-0.009</formula>
    </cfRule>
  </conditionalFormatting>
  <pageMargins left="0.7" right="0.7" top="0.75" bottom="0.75" header="0.3" footer="0.3"/>
  <pageSetup paperSize="9" scale="64" orientation="portrait" r:id="rId1"/>
  <headerFooter>
    <oddFooter>&amp;LPUBLIC</oddFooter>
    <evenFooter>&amp;LPUBLIC</evenFooter>
    <firstFooter>&amp;LPUBLIC</firstFooter>
  </headerFooter>
  <colBreaks count="1" manualBreakCount="1">
    <brk id="6" max="1048575" man="1"/>
  </col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87"/>
  <sheetViews>
    <sheetView view="pageBreakPreview" zoomScaleNormal="100" zoomScaleSheetLayoutView="100" workbookViewId="0">
      <selection sqref="A1:F1"/>
    </sheetView>
  </sheetViews>
  <sheetFormatPr defaultColWidth="9.1796875" defaultRowHeight="10" x14ac:dyDescent="0.2"/>
  <cols>
    <col min="1" max="1" width="40.54296875" style="10" bestFit="1" customWidth="1"/>
    <col min="2" max="2" width="26.54296875" style="10" bestFit="1" customWidth="1"/>
    <col min="3" max="3" width="18.816406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39</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1065</v>
      </c>
      <c r="D4" s="48" t="s">
        <v>1</v>
      </c>
      <c r="E4" s="9" t="s">
        <v>3</v>
      </c>
      <c r="F4" s="9" t="s">
        <v>4</v>
      </c>
    </row>
    <row r="5" spans="1:6" ht="10.5" x14ac:dyDescent="0.25">
      <c r="A5" s="20" t="s">
        <v>881</v>
      </c>
      <c r="B5" s="21"/>
      <c r="C5" s="21"/>
      <c r="D5" s="22"/>
      <c r="E5" s="23"/>
      <c r="F5" s="24"/>
    </row>
    <row r="6" spans="1:6" ht="10.5" x14ac:dyDescent="0.25">
      <c r="A6" s="25" t="s">
        <v>57</v>
      </c>
      <c r="B6" s="26"/>
      <c r="C6" s="26"/>
      <c r="D6" s="27"/>
      <c r="E6" s="28"/>
      <c r="F6" s="29"/>
    </row>
    <row r="7" spans="1:6" x14ac:dyDescent="0.2">
      <c r="A7" s="26" t="s">
        <v>886</v>
      </c>
      <c r="B7" s="26" t="s">
        <v>885</v>
      </c>
      <c r="C7" s="26" t="s">
        <v>887</v>
      </c>
      <c r="D7" s="30">
        <v>775444</v>
      </c>
      <c r="E7" s="28">
        <v>7818.4141300000001</v>
      </c>
      <c r="F7" s="29">
        <v>9.7905304655115195</v>
      </c>
    </row>
    <row r="8" spans="1:6" x14ac:dyDescent="0.2">
      <c r="A8" s="26" t="s">
        <v>930</v>
      </c>
      <c r="B8" s="26" t="s">
        <v>929</v>
      </c>
      <c r="C8" s="26" t="s">
        <v>931</v>
      </c>
      <c r="D8" s="30">
        <v>2509054</v>
      </c>
      <c r="E8" s="28">
        <v>4075.9582230000001</v>
      </c>
      <c r="F8" s="29">
        <v>5.1040776933664</v>
      </c>
    </row>
    <row r="9" spans="1:6" x14ac:dyDescent="0.2">
      <c r="A9" s="26" t="s">
        <v>984</v>
      </c>
      <c r="B9" s="26" t="s">
        <v>983</v>
      </c>
      <c r="C9" s="26" t="s">
        <v>931</v>
      </c>
      <c r="D9" s="30">
        <v>7297866</v>
      </c>
      <c r="E9" s="28">
        <v>3889.7625779999998</v>
      </c>
      <c r="F9" s="29">
        <v>4.8709160694606997</v>
      </c>
    </row>
    <row r="10" spans="1:6" x14ac:dyDescent="0.2">
      <c r="A10" s="26" t="s">
        <v>986</v>
      </c>
      <c r="B10" s="26" t="s">
        <v>985</v>
      </c>
      <c r="C10" s="26" t="s">
        <v>931</v>
      </c>
      <c r="D10" s="30">
        <v>14497327</v>
      </c>
      <c r="E10" s="28">
        <v>2928.4600540000001</v>
      </c>
      <c r="F10" s="29">
        <v>3.66713465147701</v>
      </c>
    </row>
    <row r="11" spans="1:6" x14ac:dyDescent="0.2">
      <c r="A11" s="26" t="s">
        <v>935</v>
      </c>
      <c r="B11" s="26" t="s">
        <v>934</v>
      </c>
      <c r="C11" s="26" t="s">
        <v>931</v>
      </c>
      <c r="D11" s="30">
        <v>3350145</v>
      </c>
      <c r="E11" s="28">
        <v>2850.973395</v>
      </c>
      <c r="F11" s="29">
        <v>3.57010276201758</v>
      </c>
    </row>
    <row r="12" spans="1:6" x14ac:dyDescent="0.2">
      <c r="A12" s="26" t="s">
        <v>1067</v>
      </c>
      <c r="B12" s="26" t="s">
        <v>1066</v>
      </c>
      <c r="C12" s="26" t="s">
        <v>978</v>
      </c>
      <c r="D12" s="30">
        <v>284585</v>
      </c>
      <c r="E12" s="28">
        <v>2398.3400879999999</v>
      </c>
      <c r="F12" s="29">
        <v>3.00329725540153</v>
      </c>
    </row>
    <row r="13" spans="1:6" x14ac:dyDescent="0.2">
      <c r="A13" s="26" t="s">
        <v>1069</v>
      </c>
      <c r="B13" s="26" t="s">
        <v>1068</v>
      </c>
      <c r="C13" s="26" t="s">
        <v>944</v>
      </c>
      <c r="D13" s="30">
        <v>419757</v>
      </c>
      <c r="E13" s="28">
        <v>2107.3900189999999</v>
      </c>
      <c r="F13" s="29">
        <v>2.6389579575435498</v>
      </c>
    </row>
    <row r="14" spans="1:6" x14ac:dyDescent="0.2">
      <c r="A14" s="26" t="s">
        <v>1071</v>
      </c>
      <c r="B14" s="26" t="s">
        <v>1070</v>
      </c>
      <c r="C14" s="26" t="s">
        <v>917</v>
      </c>
      <c r="D14" s="30">
        <v>401912</v>
      </c>
      <c r="E14" s="28">
        <v>2009.359044</v>
      </c>
      <c r="F14" s="29">
        <v>2.5161996549846499</v>
      </c>
    </row>
    <row r="15" spans="1:6" x14ac:dyDescent="0.2">
      <c r="A15" s="26" t="s">
        <v>898</v>
      </c>
      <c r="B15" s="26" t="s">
        <v>897</v>
      </c>
      <c r="C15" s="26" t="s">
        <v>899</v>
      </c>
      <c r="D15" s="30">
        <v>264691</v>
      </c>
      <c r="E15" s="28">
        <v>1969.830422</v>
      </c>
      <c r="F15" s="29">
        <v>2.4667003356193899</v>
      </c>
    </row>
    <row r="16" spans="1:6" x14ac:dyDescent="0.2">
      <c r="A16" s="26" t="s">
        <v>1073</v>
      </c>
      <c r="B16" s="26" t="s">
        <v>1072</v>
      </c>
      <c r="C16" s="26" t="s">
        <v>899</v>
      </c>
      <c r="D16" s="30">
        <v>126875</v>
      </c>
      <c r="E16" s="28">
        <v>1911.815938</v>
      </c>
      <c r="F16" s="29">
        <v>2.3940522814745702</v>
      </c>
    </row>
    <row r="17" spans="1:6" x14ac:dyDescent="0.2">
      <c r="A17" s="26" t="s">
        <v>1075</v>
      </c>
      <c r="B17" s="26" t="s">
        <v>1074</v>
      </c>
      <c r="C17" s="26" t="s">
        <v>1048</v>
      </c>
      <c r="D17" s="30">
        <v>1517846</v>
      </c>
      <c r="E17" s="28">
        <v>1794.852895</v>
      </c>
      <c r="F17" s="29">
        <v>2.2475864871600302</v>
      </c>
    </row>
    <row r="18" spans="1:6" x14ac:dyDescent="0.2">
      <c r="A18" s="26" t="s">
        <v>907</v>
      </c>
      <c r="B18" s="26" t="s">
        <v>906</v>
      </c>
      <c r="C18" s="26" t="s">
        <v>908</v>
      </c>
      <c r="D18" s="30">
        <v>803388</v>
      </c>
      <c r="E18" s="28">
        <v>1772.675622</v>
      </c>
      <c r="F18" s="29">
        <v>2.2198152200797501</v>
      </c>
    </row>
    <row r="19" spans="1:6" x14ac:dyDescent="0.2">
      <c r="A19" s="26" t="s">
        <v>916</v>
      </c>
      <c r="B19" s="26" t="s">
        <v>915</v>
      </c>
      <c r="C19" s="26" t="s">
        <v>917</v>
      </c>
      <c r="D19" s="30">
        <v>114045</v>
      </c>
      <c r="E19" s="28">
        <v>1634.835075</v>
      </c>
      <c r="F19" s="29">
        <v>2.04720578134358</v>
      </c>
    </row>
    <row r="20" spans="1:6" x14ac:dyDescent="0.2">
      <c r="A20" s="26" t="s">
        <v>1044</v>
      </c>
      <c r="B20" s="26" t="s">
        <v>1043</v>
      </c>
      <c r="C20" s="26" t="s">
        <v>1045</v>
      </c>
      <c r="D20" s="30">
        <v>484134</v>
      </c>
      <c r="E20" s="28">
        <v>1449.9813300000001</v>
      </c>
      <c r="F20" s="29">
        <v>1.81572453821756</v>
      </c>
    </row>
    <row r="21" spans="1:6" x14ac:dyDescent="0.2">
      <c r="A21" s="26" t="s">
        <v>963</v>
      </c>
      <c r="B21" s="26" t="s">
        <v>962</v>
      </c>
      <c r="C21" s="26" t="s">
        <v>964</v>
      </c>
      <c r="D21" s="30">
        <v>1247000</v>
      </c>
      <c r="E21" s="28">
        <v>1446.52</v>
      </c>
      <c r="F21" s="29">
        <v>1.81139012253521</v>
      </c>
    </row>
    <row r="22" spans="1:6" x14ac:dyDescent="0.2">
      <c r="A22" s="26" t="s">
        <v>919</v>
      </c>
      <c r="B22" s="26" t="s">
        <v>918</v>
      </c>
      <c r="C22" s="26" t="s">
        <v>908</v>
      </c>
      <c r="D22" s="30">
        <v>624255</v>
      </c>
      <c r="E22" s="28">
        <v>1301.8838029999999</v>
      </c>
      <c r="F22" s="29">
        <v>1.6302708994295101</v>
      </c>
    </row>
    <row r="23" spans="1:6" x14ac:dyDescent="0.2">
      <c r="A23" s="26" t="s">
        <v>1017</v>
      </c>
      <c r="B23" s="26" t="s">
        <v>1016</v>
      </c>
      <c r="C23" s="26" t="s">
        <v>887</v>
      </c>
      <c r="D23" s="30">
        <v>51823</v>
      </c>
      <c r="E23" s="28">
        <v>1291.5846289999999</v>
      </c>
      <c r="F23" s="29">
        <v>1.6173738623654701</v>
      </c>
    </row>
    <row r="24" spans="1:6" x14ac:dyDescent="0.2">
      <c r="A24" s="26" t="s">
        <v>1077</v>
      </c>
      <c r="B24" s="26" t="s">
        <v>1076</v>
      </c>
      <c r="C24" s="26" t="s">
        <v>1009</v>
      </c>
      <c r="D24" s="30">
        <v>178656</v>
      </c>
      <c r="E24" s="28">
        <v>1161.4426559999999</v>
      </c>
      <c r="F24" s="29">
        <v>1.45440488549724</v>
      </c>
    </row>
    <row r="25" spans="1:6" x14ac:dyDescent="0.2">
      <c r="A25" s="26" t="s">
        <v>924</v>
      </c>
      <c r="B25" s="26" t="s">
        <v>923</v>
      </c>
      <c r="C25" s="26" t="s">
        <v>925</v>
      </c>
      <c r="D25" s="30">
        <v>639633</v>
      </c>
      <c r="E25" s="28">
        <v>1155.4970149999999</v>
      </c>
      <c r="F25" s="29">
        <v>1.4469595163495299</v>
      </c>
    </row>
    <row r="26" spans="1:6" x14ac:dyDescent="0.2">
      <c r="A26" s="26" t="s">
        <v>1079</v>
      </c>
      <c r="B26" s="26" t="s">
        <v>1078</v>
      </c>
      <c r="C26" s="26" t="s">
        <v>899</v>
      </c>
      <c r="D26" s="30">
        <v>140800</v>
      </c>
      <c r="E26" s="28">
        <v>1100.2816</v>
      </c>
      <c r="F26" s="29">
        <v>1.37781656821007</v>
      </c>
    </row>
    <row r="27" spans="1:6" x14ac:dyDescent="0.2">
      <c r="A27" s="26" t="s">
        <v>1063</v>
      </c>
      <c r="B27" s="26" t="s">
        <v>1062</v>
      </c>
      <c r="C27" s="26" t="s">
        <v>1064</v>
      </c>
      <c r="D27" s="30">
        <v>136944</v>
      </c>
      <c r="E27" s="28">
        <v>1096.6475519999999</v>
      </c>
      <c r="F27" s="29">
        <v>1.37326586814923</v>
      </c>
    </row>
    <row r="28" spans="1:6" x14ac:dyDescent="0.2">
      <c r="A28" s="26" t="s">
        <v>972</v>
      </c>
      <c r="B28" s="26" t="s">
        <v>971</v>
      </c>
      <c r="C28" s="26" t="s">
        <v>922</v>
      </c>
      <c r="D28" s="30">
        <v>20000</v>
      </c>
      <c r="E28" s="28">
        <v>1037.56</v>
      </c>
      <c r="F28" s="29">
        <v>1.2992740753931</v>
      </c>
    </row>
    <row r="29" spans="1:6" x14ac:dyDescent="0.2">
      <c r="A29" s="26" t="s">
        <v>1081</v>
      </c>
      <c r="B29" s="26" t="s">
        <v>1080</v>
      </c>
      <c r="C29" s="26" t="s">
        <v>905</v>
      </c>
      <c r="D29" s="30">
        <v>3209748</v>
      </c>
      <c r="E29" s="28">
        <v>1035.14373</v>
      </c>
      <c r="F29" s="29">
        <v>1.29624832558572</v>
      </c>
    </row>
    <row r="30" spans="1:6" x14ac:dyDescent="0.2">
      <c r="A30" s="26" t="s">
        <v>988</v>
      </c>
      <c r="B30" s="26" t="s">
        <v>987</v>
      </c>
      <c r="C30" s="26" t="s">
        <v>887</v>
      </c>
      <c r="D30" s="30">
        <v>121952</v>
      </c>
      <c r="E30" s="28">
        <v>965.55496000000005</v>
      </c>
      <c r="F30" s="29">
        <v>1.2091064881984901</v>
      </c>
    </row>
    <row r="31" spans="1:6" x14ac:dyDescent="0.2">
      <c r="A31" s="26" t="s">
        <v>913</v>
      </c>
      <c r="B31" s="26" t="s">
        <v>912</v>
      </c>
      <c r="C31" s="26" t="s">
        <v>914</v>
      </c>
      <c r="D31" s="30">
        <v>155566</v>
      </c>
      <c r="E31" s="28">
        <v>945.68571399999996</v>
      </c>
      <c r="F31" s="29">
        <v>1.18422542471743</v>
      </c>
    </row>
    <row r="32" spans="1:6" x14ac:dyDescent="0.2">
      <c r="A32" s="26" t="s">
        <v>1052</v>
      </c>
      <c r="B32" s="26" t="s">
        <v>1051</v>
      </c>
      <c r="C32" s="26" t="s">
        <v>914</v>
      </c>
      <c r="D32" s="30">
        <v>1239545</v>
      </c>
      <c r="E32" s="28">
        <v>922.22148000000004</v>
      </c>
      <c r="F32" s="29">
        <v>1.1548425736676999</v>
      </c>
    </row>
    <row r="33" spans="1:9" x14ac:dyDescent="0.2">
      <c r="A33" s="26" t="s">
        <v>1034</v>
      </c>
      <c r="B33" s="26" t="s">
        <v>1033</v>
      </c>
      <c r="C33" s="26" t="s">
        <v>1035</v>
      </c>
      <c r="D33" s="30">
        <v>821499</v>
      </c>
      <c r="E33" s="28">
        <v>786.58529250000004</v>
      </c>
      <c r="F33" s="29">
        <v>0.98499352194644396</v>
      </c>
    </row>
    <row r="34" spans="1:9" x14ac:dyDescent="0.2">
      <c r="A34" s="26" t="s">
        <v>1056</v>
      </c>
      <c r="B34" s="26" t="s">
        <v>1055</v>
      </c>
      <c r="C34" s="26" t="s">
        <v>978</v>
      </c>
      <c r="D34" s="30">
        <v>1505501</v>
      </c>
      <c r="E34" s="28">
        <v>756.5142525</v>
      </c>
      <c r="F34" s="29">
        <v>0.94733736452700801</v>
      </c>
    </row>
    <row r="35" spans="1:9" x14ac:dyDescent="0.2">
      <c r="A35" s="26" t="s">
        <v>1083</v>
      </c>
      <c r="B35" s="26" t="s">
        <v>1082</v>
      </c>
      <c r="C35" s="26" t="s">
        <v>902</v>
      </c>
      <c r="D35" s="30">
        <v>46395</v>
      </c>
      <c r="E35" s="28">
        <v>754.68426750000003</v>
      </c>
      <c r="F35" s="29">
        <v>0.945045784214681</v>
      </c>
    </row>
    <row r="36" spans="1:9" x14ac:dyDescent="0.2">
      <c r="A36" s="26" t="s">
        <v>1013</v>
      </c>
      <c r="B36" s="26" t="s">
        <v>1012</v>
      </c>
      <c r="C36" s="26" t="s">
        <v>884</v>
      </c>
      <c r="D36" s="30">
        <v>1505600</v>
      </c>
      <c r="E36" s="28">
        <v>731.72159999999997</v>
      </c>
      <c r="F36" s="29">
        <v>0.91629101477038699</v>
      </c>
    </row>
    <row r="37" spans="1:9" x14ac:dyDescent="0.2">
      <c r="A37" s="26" t="s">
        <v>1026</v>
      </c>
      <c r="B37" s="26" t="s">
        <v>1025</v>
      </c>
      <c r="C37" s="26" t="s">
        <v>914</v>
      </c>
      <c r="D37" s="30">
        <v>1158906</v>
      </c>
      <c r="E37" s="28">
        <v>727.79296799999997</v>
      </c>
      <c r="F37" s="29">
        <v>0.91137142485813205</v>
      </c>
    </row>
    <row r="38" spans="1:9" x14ac:dyDescent="0.2">
      <c r="A38" s="26" t="s">
        <v>1002</v>
      </c>
      <c r="B38" s="26" t="s">
        <v>1001</v>
      </c>
      <c r="C38" s="26" t="s">
        <v>925</v>
      </c>
      <c r="D38" s="30">
        <v>972460</v>
      </c>
      <c r="E38" s="28">
        <v>718.64793999999995</v>
      </c>
      <c r="F38" s="29">
        <v>0.89991965551549702</v>
      </c>
    </row>
    <row r="39" spans="1:9" x14ac:dyDescent="0.2">
      <c r="A39" s="26" t="s">
        <v>1085</v>
      </c>
      <c r="B39" s="26" t="s">
        <v>1084</v>
      </c>
      <c r="C39" s="26" t="s">
        <v>931</v>
      </c>
      <c r="D39" s="30">
        <v>100000</v>
      </c>
      <c r="E39" s="28">
        <v>614</v>
      </c>
      <c r="F39" s="29">
        <v>0.76887532508131196</v>
      </c>
    </row>
    <row r="40" spans="1:9" x14ac:dyDescent="0.2">
      <c r="A40" s="26" t="s">
        <v>1087</v>
      </c>
      <c r="B40" s="26" t="s">
        <v>1086</v>
      </c>
      <c r="C40" s="26" t="s">
        <v>964</v>
      </c>
      <c r="D40" s="30">
        <v>709254</v>
      </c>
      <c r="E40" s="28">
        <v>583.36141499999997</v>
      </c>
      <c r="F40" s="29">
        <v>0.73050846514335399</v>
      </c>
    </row>
    <row r="41" spans="1:9" x14ac:dyDescent="0.2">
      <c r="A41" s="26" t="s">
        <v>1011</v>
      </c>
      <c r="B41" s="26" t="s">
        <v>1010</v>
      </c>
      <c r="C41" s="26" t="s">
        <v>908</v>
      </c>
      <c r="D41" s="30">
        <v>621258</v>
      </c>
      <c r="E41" s="28">
        <v>539.25194399999998</v>
      </c>
      <c r="F41" s="29">
        <v>0.67527282368685604</v>
      </c>
    </row>
    <row r="42" spans="1:9" x14ac:dyDescent="0.2">
      <c r="A42" s="26" t="s">
        <v>1037</v>
      </c>
      <c r="B42" s="26" t="s">
        <v>1036</v>
      </c>
      <c r="C42" s="26" t="s">
        <v>1038</v>
      </c>
      <c r="D42" s="30">
        <v>753071</v>
      </c>
      <c r="E42" s="28">
        <v>521.50166750000005</v>
      </c>
      <c r="F42" s="29">
        <v>0.65304521845196895</v>
      </c>
    </row>
    <row r="43" spans="1:9" x14ac:dyDescent="0.2">
      <c r="A43" s="26" t="s">
        <v>1042</v>
      </c>
      <c r="B43" s="26" t="s">
        <v>1041</v>
      </c>
      <c r="C43" s="26" t="s">
        <v>887</v>
      </c>
      <c r="D43" s="30">
        <v>119545</v>
      </c>
      <c r="E43" s="28">
        <v>458.45507500000002</v>
      </c>
      <c r="F43" s="29">
        <v>0.57409575704528004</v>
      </c>
    </row>
    <row r="44" spans="1:9" x14ac:dyDescent="0.2">
      <c r="A44" s="26" t="s">
        <v>1008</v>
      </c>
      <c r="B44" s="26" t="s">
        <v>1007</v>
      </c>
      <c r="C44" s="26" t="s">
        <v>1009</v>
      </c>
      <c r="D44" s="30">
        <v>439349</v>
      </c>
      <c r="E44" s="28">
        <v>402.00433500000003</v>
      </c>
      <c r="F44" s="29">
        <v>0.50340588559808097</v>
      </c>
    </row>
    <row r="45" spans="1:9" ht="10.5" x14ac:dyDescent="0.25">
      <c r="A45" s="25" t="s">
        <v>153</v>
      </c>
      <c r="B45" s="25"/>
      <c r="C45" s="25"/>
      <c r="D45" s="31"/>
      <c r="E45" s="32">
        <f>SUM(E7:E44)</f>
        <v>59667.192709000003</v>
      </c>
      <c r="F45" s="33">
        <f>SUM(F7:F44)</f>
        <v>74.717642004595547</v>
      </c>
      <c r="G45" s="17"/>
      <c r="H45" s="17"/>
      <c r="I45" s="17"/>
    </row>
    <row r="46" spans="1:9" x14ac:dyDescent="0.2">
      <c r="A46" s="26"/>
      <c r="B46" s="26"/>
      <c r="C46" s="26"/>
      <c r="D46" s="27"/>
      <c r="E46" s="28"/>
      <c r="F46" s="29"/>
    </row>
    <row r="47" spans="1:9" ht="10.5" x14ac:dyDescent="0.25">
      <c r="A47" s="25" t="s">
        <v>1088</v>
      </c>
      <c r="B47" s="26"/>
      <c r="C47" s="26"/>
      <c r="D47" s="27"/>
      <c r="E47" s="28"/>
      <c r="F47" s="29"/>
    </row>
    <row r="48" spans="1:9" x14ac:dyDescent="0.2">
      <c r="A48" s="26" t="s">
        <v>1090</v>
      </c>
      <c r="B48" s="26" t="s">
        <v>1089</v>
      </c>
      <c r="C48" s="26"/>
      <c r="D48" s="30">
        <v>289200</v>
      </c>
      <c r="E48" s="28">
        <v>1043.3757599999999</v>
      </c>
      <c r="F48" s="29">
        <v>1.30655680236476</v>
      </c>
    </row>
    <row r="49" spans="1:9" ht="10.5" x14ac:dyDescent="0.25">
      <c r="A49" s="25" t="s">
        <v>153</v>
      </c>
      <c r="B49" s="25"/>
      <c r="C49" s="25"/>
      <c r="D49" s="31"/>
      <c r="E49" s="32">
        <f>SUM(E47:E48)</f>
        <v>1043.3757599999999</v>
      </c>
      <c r="F49" s="33">
        <f>SUM(F47:F48)</f>
        <v>1.30655680236476</v>
      </c>
      <c r="G49" s="17"/>
      <c r="H49" s="17"/>
      <c r="I49" s="17"/>
    </row>
    <row r="50" spans="1:9" x14ac:dyDescent="0.2">
      <c r="A50" s="26"/>
      <c r="B50" s="26"/>
      <c r="C50" s="26"/>
      <c r="D50" s="27"/>
      <c r="E50" s="28"/>
      <c r="F50" s="29"/>
    </row>
    <row r="51" spans="1:9" ht="10.5" x14ac:dyDescent="0.25">
      <c r="A51" s="25" t="s">
        <v>1091</v>
      </c>
      <c r="B51" s="26"/>
      <c r="C51" s="26"/>
      <c r="D51" s="27"/>
      <c r="E51" s="28"/>
      <c r="F51" s="29"/>
    </row>
    <row r="52" spans="1:9" x14ac:dyDescent="0.2">
      <c r="A52" s="26" t="s">
        <v>1093</v>
      </c>
      <c r="B52" s="26" t="s">
        <v>1092</v>
      </c>
      <c r="C52" s="26" t="s">
        <v>1035</v>
      </c>
      <c r="D52" s="30">
        <v>5075983</v>
      </c>
      <c r="E52" s="28">
        <v>5931.0478279999998</v>
      </c>
      <c r="F52" s="29">
        <v>7.42709499483112</v>
      </c>
    </row>
    <row r="53" spans="1:9" x14ac:dyDescent="0.2">
      <c r="A53" s="26" t="s">
        <v>1094</v>
      </c>
      <c r="B53" s="26" t="s">
        <v>1573</v>
      </c>
      <c r="C53" s="26" t="s">
        <v>917</v>
      </c>
      <c r="D53" s="30">
        <v>86900</v>
      </c>
      <c r="E53" s="28">
        <v>3967.3014240000002</v>
      </c>
      <c r="F53" s="29">
        <v>4.9680133095660404</v>
      </c>
    </row>
    <row r="54" spans="1:9" x14ac:dyDescent="0.2">
      <c r="A54" s="26" t="s">
        <v>1096</v>
      </c>
      <c r="B54" s="26" t="s">
        <v>1095</v>
      </c>
      <c r="C54" s="26" t="s">
        <v>1048</v>
      </c>
      <c r="D54" s="30">
        <v>2562198</v>
      </c>
      <c r="E54" s="28">
        <v>2201.569555</v>
      </c>
      <c r="F54" s="29">
        <v>2.7568933343481201</v>
      </c>
    </row>
    <row r="55" spans="1:9" x14ac:dyDescent="0.2">
      <c r="A55" s="26" t="s">
        <v>1098</v>
      </c>
      <c r="B55" s="26" t="s">
        <v>1097</v>
      </c>
      <c r="C55" s="26" t="s">
        <v>1099</v>
      </c>
      <c r="D55" s="30">
        <v>187038</v>
      </c>
      <c r="E55" s="28">
        <v>1264.257024</v>
      </c>
      <c r="F55" s="29">
        <v>1.58315314383442</v>
      </c>
    </row>
    <row r="56" spans="1:9" x14ac:dyDescent="0.2">
      <c r="A56" s="26" t="s">
        <v>1101</v>
      </c>
      <c r="B56" s="26" t="s">
        <v>1100</v>
      </c>
      <c r="C56" s="26" t="s">
        <v>887</v>
      </c>
      <c r="D56" s="30">
        <v>633055</v>
      </c>
      <c r="E56" s="28">
        <v>996.29935460000002</v>
      </c>
      <c r="F56" s="29">
        <v>1.24760584714394</v>
      </c>
    </row>
    <row r="57" spans="1:9" x14ac:dyDescent="0.2">
      <c r="A57" s="26" t="s">
        <v>1103</v>
      </c>
      <c r="B57" s="26" t="s">
        <v>1102</v>
      </c>
      <c r="C57" s="26" t="s">
        <v>911</v>
      </c>
      <c r="D57" s="30">
        <v>3297307</v>
      </c>
      <c r="E57" s="28">
        <v>718.46855860000005</v>
      </c>
      <c r="F57" s="29">
        <v>0.89969502696136305</v>
      </c>
    </row>
    <row r="58" spans="1:9" x14ac:dyDescent="0.2">
      <c r="A58" s="26" t="s">
        <v>1104</v>
      </c>
      <c r="B58" s="26" t="s">
        <v>1574</v>
      </c>
      <c r="C58" s="26" t="s">
        <v>922</v>
      </c>
      <c r="D58" s="30">
        <v>5304</v>
      </c>
      <c r="E58" s="28">
        <v>705.55327390000002</v>
      </c>
      <c r="F58" s="29">
        <v>0.88352199158313705</v>
      </c>
    </row>
    <row r="59" spans="1:9" x14ac:dyDescent="0.2">
      <c r="A59" s="26" t="s">
        <v>1106</v>
      </c>
      <c r="B59" s="26" t="s">
        <v>1105</v>
      </c>
      <c r="C59" s="26" t="s">
        <v>1107</v>
      </c>
      <c r="D59" s="30">
        <v>500000</v>
      </c>
      <c r="E59" s="28">
        <v>544.18569749999995</v>
      </c>
      <c r="F59" s="29">
        <v>0.68145106688910895</v>
      </c>
    </row>
    <row r="60" spans="1:9" x14ac:dyDescent="0.2">
      <c r="A60" s="26" t="s">
        <v>1109</v>
      </c>
      <c r="B60" s="26" t="s">
        <v>1108</v>
      </c>
      <c r="C60" s="26" t="s">
        <v>902</v>
      </c>
      <c r="D60" s="30">
        <v>200000</v>
      </c>
      <c r="E60" s="28">
        <v>435.2125499</v>
      </c>
      <c r="F60" s="29">
        <v>0.54499053873587799</v>
      </c>
    </row>
    <row r="61" spans="1:9" x14ac:dyDescent="0.2">
      <c r="A61" s="26" t="s">
        <v>1111</v>
      </c>
      <c r="B61" s="26" t="s">
        <v>1110</v>
      </c>
      <c r="C61" s="26" t="s">
        <v>978</v>
      </c>
      <c r="D61" s="30">
        <v>25000</v>
      </c>
      <c r="E61" s="28">
        <v>315.79990090000001</v>
      </c>
      <c r="F61" s="29">
        <v>0.39545724994321402</v>
      </c>
    </row>
    <row r="62" spans="1:9" x14ac:dyDescent="0.2">
      <c r="A62" s="26" t="s">
        <v>1112</v>
      </c>
      <c r="B62" s="26" t="s">
        <v>1627</v>
      </c>
      <c r="C62" s="26" t="s">
        <v>922</v>
      </c>
      <c r="D62" s="30">
        <v>930</v>
      </c>
      <c r="E62" s="28">
        <v>17.061600899999998</v>
      </c>
      <c r="F62" s="29">
        <v>2.1365218140708599E-2</v>
      </c>
    </row>
    <row r="63" spans="1:9" ht="10.5" x14ac:dyDescent="0.25">
      <c r="A63" s="25" t="s">
        <v>153</v>
      </c>
      <c r="B63" s="25"/>
      <c r="C63" s="25"/>
      <c r="D63" s="31"/>
      <c r="E63" s="32">
        <f>SUM(E51:E62)</f>
        <v>17096.756767300001</v>
      </c>
      <c r="F63" s="33">
        <f>SUM(F51:F62)</f>
        <v>21.409241721977054</v>
      </c>
      <c r="G63" s="17"/>
      <c r="H63" s="17"/>
      <c r="I63" s="17"/>
    </row>
    <row r="64" spans="1:9" x14ac:dyDescent="0.2">
      <c r="A64" s="26"/>
      <c r="B64" s="26"/>
      <c r="C64" s="26"/>
      <c r="D64" s="27"/>
      <c r="E64" s="28"/>
      <c r="F64" s="29"/>
    </row>
    <row r="65" spans="1:9" ht="10.5" x14ac:dyDescent="0.25">
      <c r="A65" s="25" t="s">
        <v>166</v>
      </c>
      <c r="B65" s="25"/>
      <c r="C65" s="25"/>
      <c r="D65" s="31"/>
      <c r="E65" s="32">
        <f>E45+E49+E63</f>
        <v>77807.325236300007</v>
      </c>
      <c r="F65" s="33">
        <f>F45+F49+F63</f>
        <v>97.433440528937354</v>
      </c>
      <c r="G65" s="17"/>
      <c r="H65" s="17"/>
      <c r="I65" s="17"/>
    </row>
    <row r="66" spans="1:9" ht="10.5" x14ac:dyDescent="0.25">
      <c r="A66" s="25"/>
      <c r="B66" s="25"/>
      <c r="C66" s="25"/>
      <c r="D66" s="31"/>
      <c r="E66" s="32"/>
      <c r="F66" s="33"/>
      <c r="G66" s="17"/>
      <c r="H66" s="17"/>
      <c r="I66" s="17"/>
    </row>
    <row r="67" spans="1:9" ht="10.5" x14ac:dyDescent="0.25">
      <c r="A67" s="25" t="s">
        <v>168</v>
      </c>
      <c r="B67" s="25"/>
      <c r="C67" s="25"/>
      <c r="D67" s="31"/>
      <c r="E67" s="32">
        <f>E69-(E45+E49+E63)</f>
        <v>2049.5748319999984</v>
      </c>
      <c r="F67" s="33">
        <f>F69-(F45+F49+F63)</f>
        <v>2.5665594710626465</v>
      </c>
      <c r="G67" s="17"/>
      <c r="H67" s="17"/>
      <c r="I67" s="17"/>
    </row>
    <row r="68" spans="1:9" ht="10.5" x14ac:dyDescent="0.25">
      <c r="A68" s="25"/>
      <c r="B68" s="25"/>
      <c r="C68" s="25"/>
      <c r="D68" s="31"/>
      <c r="E68" s="32"/>
      <c r="F68" s="33"/>
      <c r="G68" s="17"/>
      <c r="H68" s="17"/>
      <c r="I68" s="17"/>
    </row>
    <row r="69" spans="1:9" ht="10.5" x14ac:dyDescent="0.25">
      <c r="A69" s="34" t="s">
        <v>167</v>
      </c>
      <c r="B69" s="34"/>
      <c r="C69" s="34"/>
      <c r="D69" s="35"/>
      <c r="E69" s="36">
        <v>79856.900068300005</v>
      </c>
      <c r="F69" s="37">
        <v>100</v>
      </c>
      <c r="G69" s="17"/>
      <c r="H69" s="17"/>
      <c r="I69" s="17"/>
    </row>
    <row r="72" spans="1:9" ht="10.5" x14ac:dyDescent="0.25">
      <c r="A72" s="17" t="s">
        <v>171</v>
      </c>
    </row>
    <row r="73" spans="1:9" ht="10.5" x14ac:dyDescent="0.25">
      <c r="A73" s="17" t="s">
        <v>172</v>
      </c>
    </row>
    <row r="74" spans="1:9" ht="10.5" x14ac:dyDescent="0.25">
      <c r="A74" s="17" t="s">
        <v>173</v>
      </c>
      <c r="B74" s="17"/>
      <c r="C74" s="38" t="s">
        <v>175</v>
      </c>
      <c r="D74" s="18" t="s">
        <v>174</v>
      </c>
    </row>
    <row r="75" spans="1:9" x14ac:dyDescent="0.2">
      <c r="A75" s="10" t="s">
        <v>436</v>
      </c>
      <c r="C75" s="39">
        <v>33.819699999999997</v>
      </c>
      <c r="D75" s="39">
        <v>46.0047</v>
      </c>
    </row>
    <row r="76" spans="1:9" x14ac:dyDescent="0.2">
      <c r="A76" s="10" t="s">
        <v>470</v>
      </c>
      <c r="C76" s="39">
        <v>10.3423</v>
      </c>
      <c r="D76" s="39">
        <v>12.6328</v>
      </c>
    </row>
    <row r="77" spans="1:9" x14ac:dyDescent="0.2">
      <c r="A77" s="10" t="s">
        <v>439</v>
      </c>
      <c r="C77" s="39">
        <v>35.423200000000001</v>
      </c>
      <c r="D77" s="39">
        <v>48.472099999999998</v>
      </c>
    </row>
    <row r="78" spans="1:9" x14ac:dyDescent="0.2">
      <c r="A78" s="10" t="s">
        <v>471</v>
      </c>
      <c r="C78" s="39">
        <v>10.9794</v>
      </c>
      <c r="D78" s="39">
        <v>13.5839</v>
      </c>
    </row>
    <row r="80" spans="1:9" ht="10.5" x14ac:dyDescent="0.25">
      <c r="A80" s="17" t="s">
        <v>185</v>
      </c>
    </row>
    <row r="81" spans="1:4" ht="12.5" x14ac:dyDescent="0.25">
      <c r="A81" s="100" t="s">
        <v>350</v>
      </c>
      <c r="B81" s="101"/>
      <c r="C81" s="98" t="s">
        <v>1658</v>
      </c>
      <c r="D81" s="99"/>
    </row>
    <row r="82" spans="1:4" ht="10.5" x14ac:dyDescent="0.25">
      <c r="A82" s="100"/>
      <c r="B82" s="101"/>
      <c r="C82" s="43" t="s">
        <v>351</v>
      </c>
      <c r="D82" s="44" t="s">
        <v>352</v>
      </c>
    </row>
    <row r="83" spans="1:4" x14ac:dyDescent="0.2">
      <c r="A83" s="94" t="s">
        <v>470</v>
      </c>
      <c r="B83" s="95"/>
      <c r="C83" s="45">
        <v>1.35</v>
      </c>
      <c r="D83" s="45">
        <v>1.35</v>
      </c>
    </row>
    <row r="84" spans="1:4" x14ac:dyDescent="0.2">
      <c r="A84" s="94" t="s">
        <v>471</v>
      </c>
      <c r="B84" s="95"/>
      <c r="C84" s="45">
        <v>1.35</v>
      </c>
      <c r="D84" s="45">
        <v>1.35</v>
      </c>
    </row>
    <row r="85" spans="1:4" x14ac:dyDescent="0.2">
      <c r="A85" s="90" t="s">
        <v>1657</v>
      </c>
    </row>
    <row r="86" spans="1:4" x14ac:dyDescent="0.2">
      <c r="A86" s="90"/>
    </row>
    <row r="87" spans="1:4" ht="10.5" x14ac:dyDescent="0.25">
      <c r="A87" s="17" t="s">
        <v>1014</v>
      </c>
      <c r="D87" s="47">
        <v>6.9199999999999998E-2</v>
      </c>
    </row>
  </sheetData>
  <mergeCells count="6">
    <mergeCell ref="A84:B84"/>
    <mergeCell ref="A1:F1"/>
    <mergeCell ref="C81:D81"/>
    <mergeCell ref="A81:B81"/>
    <mergeCell ref="A82:B82"/>
    <mergeCell ref="A83:B83"/>
  </mergeCells>
  <conditionalFormatting sqref="F2:F3 F5:F65537">
    <cfRule type="cellIs" dxfId="22" priority="1" stopIfTrue="1" operator="between">
      <formula>0.009</formula>
      <formula>-0.009</formula>
    </cfRule>
  </conditionalFormatting>
  <pageMargins left="0.7" right="0.7" top="0.75" bottom="0.75" header="0.3" footer="0.3"/>
  <pageSetup paperSize="9" scale="63" orientation="portrait" r:id="rId1"/>
  <headerFooter>
    <oddFooter>&amp;LPUBLIC</oddFooter>
    <evenFooter>&amp;LPUBLIC</evenFooter>
    <firstFooter>&amp;LPUBLIC</firstFooter>
  </headerFooter>
  <colBreaks count="1" manualBreakCount="1">
    <brk id="6" max="1048575" man="1"/>
  </col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62"/>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33.1796875" style="10" bestFit="1" customWidth="1"/>
    <col min="3" max="3" width="26.81640625" style="10" bestFit="1" customWidth="1"/>
    <col min="4" max="4" width="15.453125" style="11" bestFit="1" customWidth="1"/>
    <col min="5" max="5" width="23" style="15" bestFit="1" customWidth="1"/>
    <col min="6" max="6" width="14.81640625" style="16" bestFit="1" customWidth="1"/>
    <col min="7" max="16384" width="9.1796875" style="10"/>
  </cols>
  <sheetData>
    <row r="1" spans="1:6" s="1" customFormat="1" ht="14" x14ac:dyDescent="0.25">
      <c r="A1" s="96" t="s">
        <v>40</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1065</v>
      </c>
      <c r="D4" s="48" t="s">
        <v>1</v>
      </c>
      <c r="E4" s="9" t="s">
        <v>3</v>
      </c>
      <c r="F4" s="9" t="s">
        <v>4</v>
      </c>
    </row>
    <row r="5" spans="1:6" ht="10.5" x14ac:dyDescent="0.25">
      <c r="A5" s="20" t="s">
        <v>881</v>
      </c>
      <c r="B5" s="21"/>
      <c r="C5" s="21"/>
      <c r="D5" s="22"/>
      <c r="E5" s="23"/>
      <c r="F5" s="24"/>
    </row>
    <row r="6" spans="1:6" ht="10.5" x14ac:dyDescent="0.25">
      <c r="A6" s="25" t="s">
        <v>57</v>
      </c>
      <c r="B6" s="26"/>
      <c r="C6" s="26"/>
      <c r="D6" s="27"/>
      <c r="E6" s="28"/>
      <c r="F6" s="29"/>
    </row>
    <row r="7" spans="1:6" x14ac:dyDescent="0.2">
      <c r="A7" s="26" t="s">
        <v>886</v>
      </c>
      <c r="B7" s="26" t="s">
        <v>885</v>
      </c>
      <c r="C7" s="26" t="s">
        <v>887</v>
      </c>
      <c r="D7" s="30">
        <v>945647</v>
      </c>
      <c r="E7" s="28">
        <v>9534.4858779999995</v>
      </c>
      <c r="F7" s="29">
        <v>26.684168018738099</v>
      </c>
    </row>
    <row r="8" spans="1:6" x14ac:dyDescent="0.2">
      <c r="A8" s="26" t="s">
        <v>1017</v>
      </c>
      <c r="B8" s="26" t="s">
        <v>1016</v>
      </c>
      <c r="C8" s="26" t="s">
        <v>887</v>
      </c>
      <c r="D8" s="30">
        <v>130000</v>
      </c>
      <c r="E8" s="28">
        <v>3239.99</v>
      </c>
      <c r="F8" s="29">
        <v>9.0677608258377091</v>
      </c>
    </row>
    <row r="9" spans="1:6" x14ac:dyDescent="0.2">
      <c r="A9" s="26" t="s">
        <v>1028</v>
      </c>
      <c r="B9" s="26" t="s">
        <v>1027</v>
      </c>
      <c r="C9" s="26" t="s">
        <v>887</v>
      </c>
      <c r="D9" s="30">
        <v>380000</v>
      </c>
      <c r="E9" s="28">
        <v>3084.08</v>
      </c>
      <c r="F9" s="29">
        <v>8.6314154697235406</v>
      </c>
    </row>
    <row r="10" spans="1:6" x14ac:dyDescent="0.2">
      <c r="A10" s="26" t="s">
        <v>891</v>
      </c>
      <c r="B10" s="26" t="s">
        <v>890</v>
      </c>
      <c r="C10" s="26" t="s">
        <v>892</v>
      </c>
      <c r="D10" s="30">
        <v>500000</v>
      </c>
      <c r="E10" s="28">
        <v>2104.75</v>
      </c>
      <c r="F10" s="29">
        <v>5.8905643530325502</v>
      </c>
    </row>
    <row r="11" spans="1:6" x14ac:dyDescent="0.2">
      <c r="A11" s="26" t="s">
        <v>1114</v>
      </c>
      <c r="B11" s="26" t="s">
        <v>1113</v>
      </c>
      <c r="C11" s="26" t="s">
        <v>887</v>
      </c>
      <c r="D11" s="30">
        <v>46300</v>
      </c>
      <c r="E11" s="28">
        <v>1682.8661</v>
      </c>
      <c r="F11" s="29">
        <v>4.7098377762617396</v>
      </c>
    </row>
    <row r="12" spans="1:6" x14ac:dyDescent="0.2">
      <c r="A12" s="26" t="s">
        <v>988</v>
      </c>
      <c r="B12" s="26" t="s">
        <v>987</v>
      </c>
      <c r="C12" s="26" t="s">
        <v>887</v>
      </c>
      <c r="D12" s="30">
        <v>200000</v>
      </c>
      <c r="E12" s="28">
        <v>1583.5</v>
      </c>
      <c r="F12" s="29">
        <v>4.43174184726311</v>
      </c>
    </row>
    <row r="13" spans="1:6" x14ac:dyDescent="0.2">
      <c r="A13" s="26" t="s">
        <v>1042</v>
      </c>
      <c r="B13" s="26" t="s">
        <v>1041</v>
      </c>
      <c r="C13" s="26" t="s">
        <v>887</v>
      </c>
      <c r="D13" s="30">
        <v>215000</v>
      </c>
      <c r="E13" s="28">
        <v>824.52499999999998</v>
      </c>
      <c r="F13" s="29">
        <v>2.3075983243540401</v>
      </c>
    </row>
    <row r="14" spans="1:6" x14ac:dyDescent="0.2">
      <c r="A14" s="26" t="s">
        <v>1116</v>
      </c>
      <c r="B14" s="26" t="s">
        <v>1115</v>
      </c>
      <c r="C14" s="26" t="s">
        <v>887</v>
      </c>
      <c r="D14" s="30">
        <v>31000</v>
      </c>
      <c r="E14" s="28">
        <v>788.50049999999999</v>
      </c>
      <c r="F14" s="29">
        <v>2.2067765471663301</v>
      </c>
    </row>
    <row r="15" spans="1:6" x14ac:dyDescent="0.2">
      <c r="A15" s="26" t="s">
        <v>1118</v>
      </c>
      <c r="B15" s="26" t="s">
        <v>1117</v>
      </c>
      <c r="C15" s="26" t="s">
        <v>887</v>
      </c>
      <c r="D15" s="30">
        <v>201960</v>
      </c>
      <c r="E15" s="28">
        <v>704.53746000000001</v>
      </c>
      <c r="F15" s="29">
        <v>1.9717891660539699</v>
      </c>
    </row>
    <row r="16" spans="1:6" x14ac:dyDescent="0.2">
      <c r="A16" s="26" t="s">
        <v>1120</v>
      </c>
      <c r="B16" s="26" t="s">
        <v>1119</v>
      </c>
      <c r="C16" s="26" t="s">
        <v>957</v>
      </c>
      <c r="D16" s="30">
        <v>11000</v>
      </c>
      <c r="E16" s="28">
        <v>549.45550000000003</v>
      </c>
      <c r="F16" s="29">
        <v>1.5377612456955301</v>
      </c>
    </row>
    <row r="17" spans="1:9" ht="10.5" x14ac:dyDescent="0.25">
      <c r="A17" s="25" t="s">
        <v>153</v>
      </c>
      <c r="B17" s="25"/>
      <c r="C17" s="25"/>
      <c r="D17" s="31"/>
      <c r="E17" s="32">
        <f>SUM(E7:E16)</f>
        <v>24096.690437999998</v>
      </c>
      <c r="F17" s="33">
        <f>SUM(F7:F16)</f>
        <v>67.439413574126633</v>
      </c>
      <c r="G17" s="17"/>
      <c r="H17" s="17"/>
      <c r="I17" s="17"/>
    </row>
    <row r="18" spans="1:9" x14ac:dyDescent="0.2">
      <c r="A18" s="26"/>
      <c r="B18" s="26"/>
      <c r="C18" s="26"/>
      <c r="D18" s="27"/>
      <c r="E18" s="28"/>
      <c r="F18" s="29"/>
    </row>
    <row r="19" spans="1:9" ht="10.5" x14ac:dyDescent="0.25">
      <c r="A19" s="25" t="s">
        <v>1517</v>
      </c>
      <c r="B19" s="26"/>
      <c r="C19" s="26"/>
      <c r="D19" s="27"/>
      <c r="E19" s="28"/>
      <c r="F19" s="29"/>
    </row>
    <row r="20" spans="1:9" x14ac:dyDescent="0.2">
      <c r="A20" s="26"/>
      <c r="B20" s="26" t="s">
        <v>1518</v>
      </c>
      <c r="C20" s="26" t="s">
        <v>887</v>
      </c>
      <c r="D20" s="30">
        <v>970000</v>
      </c>
      <c r="E20" s="28">
        <v>9.7000000000000003E-2</v>
      </c>
      <c r="F20" s="29">
        <v>2.7147392433503098E-4</v>
      </c>
    </row>
    <row r="21" spans="1:9" ht="10.5" x14ac:dyDescent="0.25">
      <c r="A21" s="25" t="s">
        <v>153</v>
      </c>
      <c r="B21" s="25"/>
      <c r="C21" s="25"/>
      <c r="D21" s="31"/>
      <c r="E21" s="32">
        <f>SUM(E19:E20)</f>
        <v>9.7000000000000003E-2</v>
      </c>
      <c r="F21" s="33">
        <f>SUM(F19:F20)</f>
        <v>2.7147392433503098E-4</v>
      </c>
      <c r="G21" s="17"/>
      <c r="H21" s="17"/>
      <c r="I21" s="17"/>
    </row>
    <row r="22" spans="1:9" x14ac:dyDescent="0.2">
      <c r="A22" s="26"/>
      <c r="B22" s="26"/>
      <c r="C22" s="26"/>
      <c r="D22" s="27"/>
      <c r="E22" s="28"/>
      <c r="F22" s="29"/>
    </row>
    <row r="23" spans="1:9" ht="10.5" x14ac:dyDescent="0.25">
      <c r="A23" s="25" t="s">
        <v>1091</v>
      </c>
      <c r="B23" s="26"/>
      <c r="C23" s="26"/>
      <c r="D23" s="27"/>
      <c r="E23" s="28"/>
      <c r="F23" s="29"/>
    </row>
    <row r="24" spans="1:9" x14ac:dyDescent="0.2">
      <c r="A24" s="26" t="s">
        <v>1122</v>
      </c>
      <c r="B24" s="26" t="s">
        <v>1121</v>
      </c>
      <c r="C24" s="26" t="s">
        <v>1107</v>
      </c>
      <c r="D24" s="30">
        <v>88000</v>
      </c>
      <c r="E24" s="28">
        <v>970.08897390000004</v>
      </c>
      <c r="F24" s="29">
        <v>2.7149882546265598</v>
      </c>
    </row>
    <row r="25" spans="1:9" x14ac:dyDescent="0.2">
      <c r="A25" s="26" t="s">
        <v>1124</v>
      </c>
      <c r="B25" s="26" t="s">
        <v>1123</v>
      </c>
      <c r="C25" s="26" t="s">
        <v>887</v>
      </c>
      <c r="D25" s="30">
        <v>15960</v>
      </c>
      <c r="E25" s="28">
        <v>817.0189206</v>
      </c>
      <c r="F25" s="29">
        <v>2.2865910580541602</v>
      </c>
    </row>
    <row r="26" spans="1:9" x14ac:dyDescent="0.2">
      <c r="A26" s="26" t="s">
        <v>1126</v>
      </c>
      <c r="B26" s="26" t="s">
        <v>1125</v>
      </c>
      <c r="C26" s="26" t="s">
        <v>887</v>
      </c>
      <c r="D26" s="30">
        <v>22500</v>
      </c>
      <c r="E26" s="28">
        <v>738.34127439999997</v>
      </c>
      <c r="F26" s="29">
        <v>2.06639590989584</v>
      </c>
    </row>
    <row r="27" spans="1:9" x14ac:dyDescent="0.2">
      <c r="A27" s="26" t="s">
        <v>1128</v>
      </c>
      <c r="B27" s="26" t="s">
        <v>1127</v>
      </c>
      <c r="C27" s="26" t="s">
        <v>887</v>
      </c>
      <c r="D27" s="30">
        <v>60135</v>
      </c>
      <c r="E27" s="28">
        <v>681.13492429999997</v>
      </c>
      <c r="F27" s="29">
        <v>1.9062924835192301</v>
      </c>
    </row>
    <row r="28" spans="1:9" x14ac:dyDescent="0.2">
      <c r="A28" s="26" t="s">
        <v>1130</v>
      </c>
      <c r="B28" s="26" t="s">
        <v>1129</v>
      </c>
      <c r="C28" s="26" t="s">
        <v>1107</v>
      </c>
      <c r="D28" s="30">
        <v>17000</v>
      </c>
      <c r="E28" s="28">
        <v>623.75745140000004</v>
      </c>
      <c r="F28" s="29">
        <v>1.7457101357193401</v>
      </c>
    </row>
    <row r="29" spans="1:9" x14ac:dyDescent="0.2">
      <c r="A29" s="26" t="s">
        <v>1132</v>
      </c>
      <c r="B29" s="26" t="s">
        <v>1131</v>
      </c>
      <c r="C29" s="26" t="s">
        <v>1133</v>
      </c>
      <c r="D29" s="30">
        <v>6000</v>
      </c>
      <c r="E29" s="28">
        <v>520.67716059999998</v>
      </c>
      <c r="F29" s="29">
        <v>1.45721929999694</v>
      </c>
    </row>
    <row r="30" spans="1:9" x14ac:dyDescent="0.2">
      <c r="A30" s="26" t="s">
        <v>1134</v>
      </c>
      <c r="B30" s="26" t="s">
        <v>1571</v>
      </c>
      <c r="C30" s="26" t="s">
        <v>1135</v>
      </c>
      <c r="D30" s="30">
        <v>2173</v>
      </c>
      <c r="E30" s="28">
        <v>402.71832799999999</v>
      </c>
      <c r="F30" s="29">
        <v>1.1270878856062101</v>
      </c>
    </row>
    <row r="31" spans="1:9" x14ac:dyDescent="0.2">
      <c r="A31" s="26" t="s">
        <v>1137</v>
      </c>
      <c r="B31" s="26" t="s">
        <v>1136</v>
      </c>
      <c r="C31" s="26" t="s">
        <v>1107</v>
      </c>
      <c r="D31" s="30">
        <v>1000</v>
      </c>
      <c r="E31" s="28">
        <v>399.1061818</v>
      </c>
      <c r="F31" s="29">
        <v>1.1169785711300699</v>
      </c>
    </row>
    <row r="32" spans="1:9" x14ac:dyDescent="0.2">
      <c r="A32" s="26" t="s">
        <v>1138</v>
      </c>
      <c r="B32" s="26" t="s">
        <v>1572</v>
      </c>
      <c r="C32" s="26" t="s">
        <v>1107</v>
      </c>
      <c r="D32" s="30">
        <v>8982</v>
      </c>
      <c r="E32" s="28">
        <v>342.96493090000001</v>
      </c>
      <c r="F32" s="29">
        <v>0.95985603815170994</v>
      </c>
    </row>
    <row r="33" spans="1:9" x14ac:dyDescent="0.2">
      <c r="A33" s="26" t="s">
        <v>1140</v>
      </c>
      <c r="B33" s="26" t="s">
        <v>1139</v>
      </c>
      <c r="C33" s="26" t="s">
        <v>887</v>
      </c>
      <c r="D33" s="30">
        <v>267</v>
      </c>
      <c r="E33" s="28">
        <v>288.56345909999999</v>
      </c>
      <c r="F33" s="29">
        <v>0.80760262537699301</v>
      </c>
    </row>
    <row r="34" spans="1:9" x14ac:dyDescent="0.2">
      <c r="A34" s="26" t="s">
        <v>1142</v>
      </c>
      <c r="B34" s="26" t="s">
        <v>1141</v>
      </c>
      <c r="C34" s="26" t="s">
        <v>1107</v>
      </c>
      <c r="D34" s="30">
        <v>23000</v>
      </c>
      <c r="E34" s="28">
        <v>258.89608379999999</v>
      </c>
      <c r="F34" s="29">
        <v>0.72457253468203198</v>
      </c>
    </row>
    <row r="35" spans="1:9" x14ac:dyDescent="0.2">
      <c r="A35" s="26" t="s">
        <v>1144</v>
      </c>
      <c r="B35" s="26" t="s">
        <v>1143</v>
      </c>
      <c r="C35" s="26" t="s">
        <v>887</v>
      </c>
      <c r="D35" s="30">
        <v>1100</v>
      </c>
      <c r="E35" s="28">
        <v>170.6115878</v>
      </c>
      <c r="F35" s="29">
        <v>0.47749069357831703</v>
      </c>
    </row>
    <row r="36" spans="1:9" ht="10.5" x14ac:dyDescent="0.25">
      <c r="A36" s="25" t="s">
        <v>153</v>
      </c>
      <c r="B36" s="25"/>
      <c r="C36" s="25"/>
      <c r="D36" s="31"/>
      <c r="E36" s="32">
        <f>SUM(E23:E35)</f>
        <v>6213.8792765999997</v>
      </c>
      <c r="F36" s="33">
        <f>SUM(F23:F35)</f>
        <v>17.390785490337404</v>
      </c>
      <c r="G36" s="17"/>
      <c r="H36" s="17"/>
      <c r="I36" s="17"/>
    </row>
    <row r="37" spans="1:9" x14ac:dyDescent="0.2">
      <c r="A37" s="26"/>
      <c r="B37" s="26"/>
      <c r="C37" s="26"/>
      <c r="D37" s="27"/>
      <c r="E37" s="28"/>
      <c r="F37" s="29"/>
    </row>
    <row r="38" spans="1:9" ht="10.5" x14ac:dyDescent="0.25">
      <c r="A38" s="25" t="s">
        <v>1145</v>
      </c>
      <c r="B38" s="26"/>
      <c r="C38" s="26"/>
      <c r="D38" s="27"/>
      <c r="E38" s="28"/>
      <c r="F38" s="29"/>
    </row>
    <row r="39" spans="1:9" x14ac:dyDescent="0.2">
      <c r="A39" s="26" t="s">
        <v>1147</v>
      </c>
      <c r="B39" s="26" t="s">
        <v>1146</v>
      </c>
      <c r="C39" s="26" t="s">
        <v>1148</v>
      </c>
      <c r="D39" s="30">
        <v>91868.481</v>
      </c>
      <c r="E39" s="28">
        <v>3230.1106500000001</v>
      </c>
      <c r="F39" s="29">
        <v>9.0401114865142205</v>
      </c>
    </row>
    <row r="40" spans="1:9" ht="10.5" x14ac:dyDescent="0.25">
      <c r="A40" s="25" t="s">
        <v>153</v>
      </c>
      <c r="B40" s="25"/>
      <c r="C40" s="25"/>
      <c r="D40" s="31"/>
      <c r="E40" s="32">
        <f>SUM(E39:E39)</f>
        <v>3230.1106500000001</v>
      </c>
      <c r="F40" s="33">
        <f>SUM(F39:F39)</f>
        <v>9.0401114865142205</v>
      </c>
      <c r="G40" s="17"/>
      <c r="H40" s="17"/>
      <c r="I40" s="17"/>
    </row>
    <row r="41" spans="1:9" x14ac:dyDescent="0.2">
      <c r="A41" s="26"/>
      <c r="B41" s="26"/>
      <c r="C41" s="26"/>
      <c r="D41" s="27"/>
      <c r="E41" s="28"/>
      <c r="F41" s="29"/>
    </row>
    <row r="42" spans="1:9" ht="10.5" x14ac:dyDescent="0.25">
      <c r="A42" s="25" t="s">
        <v>166</v>
      </c>
      <c r="B42" s="25"/>
      <c r="C42" s="25"/>
      <c r="D42" s="31"/>
      <c r="E42" s="32">
        <f>E17+E21+E36+E40</f>
        <v>33540.777364599999</v>
      </c>
      <c r="F42" s="33">
        <f>F17+F21+F36+F40</f>
        <v>93.870582024902589</v>
      </c>
      <c r="G42" s="17"/>
      <c r="H42" s="17"/>
      <c r="I42" s="17"/>
    </row>
    <row r="43" spans="1:9" ht="10.5" x14ac:dyDescent="0.25">
      <c r="A43" s="25"/>
      <c r="B43" s="25"/>
      <c r="C43" s="25"/>
      <c r="D43" s="31"/>
      <c r="E43" s="32"/>
      <c r="F43" s="33"/>
      <c r="G43" s="17"/>
      <c r="H43" s="17"/>
      <c r="I43" s="17"/>
    </row>
    <row r="44" spans="1:9" ht="10.5" x14ac:dyDescent="0.25">
      <c r="A44" s="25" t="s">
        <v>168</v>
      </c>
      <c r="B44" s="25"/>
      <c r="C44" s="25"/>
      <c r="D44" s="31"/>
      <c r="E44" s="32">
        <f>E46-(E17+E21+E36+E40)</f>
        <v>2190.0944816000047</v>
      </c>
      <c r="F44" s="33">
        <f>F46-(F17+F21+F36+F40)</f>
        <v>6.1294179750974109</v>
      </c>
      <c r="G44" s="17"/>
      <c r="H44" s="17"/>
      <c r="I44" s="17"/>
    </row>
    <row r="45" spans="1:9" ht="10.5" x14ac:dyDescent="0.25">
      <c r="A45" s="25"/>
      <c r="B45" s="25"/>
      <c r="C45" s="25"/>
      <c r="D45" s="31"/>
      <c r="E45" s="32"/>
      <c r="F45" s="33"/>
      <c r="G45" s="17"/>
      <c r="H45" s="17"/>
      <c r="I45" s="17"/>
    </row>
    <row r="46" spans="1:9" ht="10.5" x14ac:dyDescent="0.25">
      <c r="A46" s="34" t="s">
        <v>167</v>
      </c>
      <c r="B46" s="34"/>
      <c r="C46" s="34"/>
      <c r="D46" s="35"/>
      <c r="E46" s="36">
        <v>35730.871846200003</v>
      </c>
      <c r="F46" s="37">
        <v>100</v>
      </c>
      <c r="G46" s="17"/>
      <c r="H46" s="17"/>
      <c r="I46" s="17"/>
    </row>
    <row r="47" spans="1:9" ht="10.5" x14ac:dyDescent="0.25">
      <c r="F47" s="19" t="s">
        <v>343</v>
      </c>
    </row>
    <row r="48" spans="1:9" ht="10.5" x14ac:dyDescent="0.25">
      <c r="A48" s="17" t="s">
        <v>170</v>
      </c>
    </row>
    <row r="50" spans="1:4" ht="10.5" x14ac:dyDescent="0.25">
      <c r="A50" s="17" t="s">
        <v>171</v>
      </c>
    </row>
    <row r="51" spans="1:4" ht="10.5" x14ac:dyDescent="0.25">
      <c r="A51" s="17" t="s">
        <v>172</v>
      </c>
    </row>
    <row r="52" spans="1:4" ht="10.5" x14ac:dyDescent="0.25">
      <c r="A52" s="17" t="s">
        <v>173</v>
      </c>
      <c r="B52" s="17"/>
      <c r="C52" s="38" t="s">
        <v>175</v>
      </c>
      <c r="D52" s="18" t="s">
        <v>174</v>
      </c>
    </row>
    <row r="53" spans="1:4" x14ac:dyDescent="0.2">
      <c r="A53" s="10" t="s">
        <v>436</v>
      </c>
      <c r="C53" s="39">
        <v>140.33590000000001</v>
      </c>
      <c r="D53" s="39">
        <v>215.2448</v>
      </c>
    </row>
    <row r="54" spans="1:4" x14ac:dyDescent="0.2">
      <c r="A54" s="10" t="s">
        <v>470</v>
      </c>
      <c r="C54" s="39">
        <v>20.474</v>
      </c>
      <c r="D54" s="39">
        <v>31.4087</v>
      </c>
    </row>
    <row r="55" spans="1:4" x14ac:dyDescent="0.2">
      <c r="A55" s="10" t="s">
        <v>439</v>
      </c>
      <c r="C55" s="39">
        <v>146.55160000000001</v>
      </c>
      <c r="D55" s="39">
        <v>225.9</v>
      </c>
    </row>
    <row r="56" spans="1:4" x14ac:dyDescent="0.2">
      <c r="A56" s="10" t="s">
        <v>471</v>
      </c>
      <c r="C56" s="39">
        <v>21.5626</v>
      </c>
      <c r="D56" s="39">
        <v>33.234999999999999</v>
      </c>
    </row>
    <row r="58" spans="1:4" ht="10.5" x14ac:dyDescent="0.25">
      <c r="A58" s="17" t="s">
        <v>185</v>
      </c>
      <c r="D58" s="40" t="s">
        <v>186</v>
      </c>
    </row>
    <row r="60" spans="1:4" ht="10.5" x14ac:dyDescent="0.25">
      <c r="A60" s="17" t="s">
        <v>1014</v>
      </c>
      <c r="D60" s="47">
        <v>9.9000000000000005E-2</v>
      </c>
    </row>
    <row r="62" spans="1:4" ht="10.5" x14ac:dyDescent="0.25">
      <c r="A62" s="59" t="s">
        <v>1634</v>
      </c>
    </row>
  </sheetData>
  <mergeCells count="1">
    <mergeCell ref="A1:F1"/>
  </mergeCells>
  <conditionalFormatting sqref="F2:F3 F5:F46 F48:F65537">
    <cfRule type="cellIs" dxfId="21" priority="2" stopIfTrue="1" operator="between">
      <formula>0.009</formula>
      <formula>-0.009</formula>
    </cfRule>
  </conditionalFormatting>
  <conditionalFormatting sqref="F47">
    <cfRule type="cellIs" dxfId="20" priority="1" stopIfTrue="1" operator="between">
      <formula>0.009</formula>
      <formula>-0.009</formula>
    </cfRule>
  </conditionalFormatting>
  <pageMargins left="0.7" right="0.7" top="0.75" bottom="0.75" header="0.3" footer="0.3"/>
  <pageSetup paperSize="9" scale="57" orientation="portrait" r:id="rId1"/>
  <headerFooter>
    <oddFooter>&amp;LPUBLIC</oddFooter>
    <evenFooter>&amp;LPUBLIC</evenFooter>
    <firstFooter>&amp;LPUBLIC</firstFooter>
  </headerFooter>
  <colBreaks count="1" manualBreakCount="1">
    <brk id="6" max="60" man="1"/>
  </col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91"/>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34.1796875" style="10" bestFit="1" customWidth="1"/>
    <col min="3" max="3" width="35.816406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41</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1065</v>
      </c>
      <c r="D4" s="48" t="s">
        <v>1</v>
      </c>
      <c r="E4" s="9" t="s">
        <v>3</v>
      </c>
      <c r="F4" s="9" t="s">
        <v>4</v>
      </c>
    </row>
    <row r="5" spans="1:6" ht="10.5" x14ac:dyDescent="0.25">
      <c r="A5" s="20" t="s">
        <v>881</v>
      </c>
      <c r="B5" s="21"/>
      <c r="C5" s="21"/>
      <c r="D5" s="22"/>
      <c r="E5" s="23"/>
      <c r="F5" s="24"/>
    </row>
    <row r="6" spans="1:6" ht="10.5" x14ac:dyDescent="0.25">
      <c r="A6" s="25" t="s">
        <v>1647</v>
      </c>
      <c r="B6" s="26"/>
      <c r="C6" s="26"/>
      <c r="D6" s="27"/>
      <c r="E6" s="28"/>
      <c r="F6" s="29"/>
    </row>
    <row r="7" spans="1:6" x14ac:dyDescent="0.2">
      <c r="A7" s="26" t="s">
        <v>1150</v>
      </c>
      <c r="B7" s="26" t="s">
        <v>1149</v>
      </c>
      <c r="C7" s="26" t="s">
        <v>1045</v>
      </c>
      <c r="D7" s="30">
        <v>4692967</v>
      </c>
      <c r="E7" s="28">
        <v>38538.644999999997</v>
      </c>
      <c r="F7" s="29">
        <v>6.6686512301256204</v>
      </c>
    </row>
    <row r="8" spans="1:6" x14ac:dyDescent="0.2">
      <c r="A8" s="26" t="s">
        <v>886</v>
      </c>
      <c r="B8" s="26" t="s">
        <v>885</v>
      </c>
      <c r="C8" s="26" t="s">
        <v>887</v>
      </c>
      <c r="D8" s="30">
        <v>2513631</v>
      </c>
      <c r="E8" s="28">
        <v>25343.684560000002</v>
      </c>
      <c r="F8" s="29">
        <v>4.3854212626562203</v>
      </c>
    </row>
    <row r="9" spans="1:6" x14ac:dyDescent="0.2">
      <c r="A9" s="26" t="s">
        <v>883</v>
      </c>
      <c r="B9" s="26" t="s">
        <v>882</v>
      </c>
      <c r="C9" s="26" t="s">
        <v>884</v>
      </c>
      <c r="D9" s="30">
        <v>1649964</v>
      </c>
      <c r="E9" s="28">
        <v>17796.511699999999</v>
      </c>
      <c r="F9" s="29">
        <v>3.0794733348863201</v>
      </c>
    </row>
    <row r="10" spans="1:6" x14ac:dyDescent="0.2">
      <c r="A10" s="26" t="s">
        <v>910</v>
      </c>
      <c r="B10" s="26" t="s">
        <v>909</v>
      </c>
      <c r="C10" s="26" t="s">
        <v>911</v>
      </c>
      <c r="D10" s="30">
        <v>2461210</v>
      </c>
      <c r="E10" s="28">
        <v>16744.842240000002</v>
      </c>
      <c r="F10" s="29">
        <v>2.8974945227585298</v>
      </c>
    </row>
    <row r="11" spans="1:6" x14ac:dyDescent="0.2">
      <c r="A11" s="26" t="s">
        <v>1152</v>
      </c>
      <c r="B11" s="26" t="s">
        <v>1151</v>
      </c>
      <c r="C11" s="26" t="s">
        <v>922</v>
      </c>
      <c r="D11" s="30">
        <v>1626587</v>
      </c>
      <c r="E11" s="28">
        <v>16075.55932</v>
      </c>
      <c r="F11" s="29">
        <v>2.78168312441383</v>
      </c>
    </row>
    <row r="12" spans="1:6" x14ac:dyDescent="0.2">
      <c r="A12" s="26" t="s">
        <v>1154</v>
      </c>
      <c r="B12" s="26" t="s">
        <v>1153</v>
      </c>
      <c r="C12" s="26" t="s">
        <v>1155</v>
      </c>
      <c r="D12" s="30">
        <v>9395595</v>
      </c>
      <c r="E12" s="28">
        <v>15305.42426</v>
      </c>
      <c r="F12" s="29">
        <v>2.64842047038871</v>
      </c>
    </row>
    <row r="13" spans="1:6" x14ac:dyDescent="0.2">
      <c r="A13" s="26" t="s">
        <v>1157</v>
      </c>
      <c r="B13" s="26" t="s">
        <v>1156</v>
      </c>
      <c r="C13" s="26" t="s">
        <v>1158</v>
      </c>
      <c r="D13" s="30">
        <v>2822305</v>
      </c>
      <c r="E13" s="28">
        <v>15202.345880000001</v>
      </c>
      <c r="F13" s="29">
        <v>2.6305839905232098</v>
      </c>
    </row>
    <row r="14" spans="1:6" x14ac:dyDescent="0.2">
      <c r="A14" s="26" t="s">
        <v>1160</v>
      </c>
      <c r="B14" s="26" t="s">
        <v>1159</v>
      </c>
      <c r="C14" s="26" t="s">
        <v>917</v>
      </c>
      <c r="D14" s="30">
        <v>10263765</v>
      </c>
      <c r="E14" s="28">
        <v>15092.86643</v>
      </c>
      <c r="F14" s="29">
        <v>2.6116398821116098</v>
      </c>
    </row>
    <row r="15" spans="1:6" x14ac:dyDescent="0.2">
      <c r="A15" s="26" t="s">
        <v>1162</v>
      </c>
      <c r="B15" s="26" t="s">
        <v>1161</v>
      </c>
      <c r="C15" s="26" t="s">
        <v>917</v>
      </c>
      <c r="D15" s="30">
        <v>5467185</v>
      </c>
      <c r="E15" s="28">
        <v>14520.843360000001</v>
      </c>
      <c r="F15" s="29">
        <v>2.51265813666063</v>
      </c>
    </row>
    <row r="16" spans="1:6" x14ac:dyDescent="0.2">
      <c r="A16" s="26" t="s">
        <v>1063</v>
      </c>
      <c r="B16" s="26" t="s">
        <v>1062</v>
      </c>
      <c r="C16" s="26" t="s">
        <v>1064</v>
      </c>
      <c r="D16" s="30">
        <v>1655675</v>
      </c>
      <c r="E16" s="28">
        <v>13258.645399999999</v>
      </c>
      <c r="F16" s="29">
        <v>2.2942498875222399</v>
      </c>
    </row>
    <row r="17" spans="1:6" x14ac:dyDescent="0.2">
      <c r="A17" s="26" t="s">
        <v>1042</v>
      </c>
      <c r="B17" s="26" t="s">
        <v>1041</v>
      </c>
      <c r="C17" s="26" t="s">
        <v>887</v>
      </c>
      <c r="D17" s="30">
        <v>3303552</v>
      </c>
      <c r="E17" s="28">
        <v>12669.12192</v>
      </c>
      <c r="F17" s="29">
        <v>2.1922399055913702</v>
      </c>
    </row>
    <row r="18" spans="1:6" x14ac:dyDescent="0.2">
      <c r="A18" s="26" t="s">
        <v>1164</v>
      </c>
      <c r="B18" s="26" t="s">
        <v>1163</v>
      </c>
      <c r="C18" s="26" t="s">
        <v>922</v>
      </c>
      <c r="D18" s="30">
        <v>2350900</v>
      </c>
      <c r="E18" s="28">
        <v>12652.543799999999</v>
      </c>
      <c r="F18" s="29">
        <v>2.18937126035667</v>
      </c>
    </row>
    <row r="19" spans="1:6" x14ac:dyDescent="0.2">
      <c r="A19" s="26" t="s">
        <v>1166</v>
      </c>
      <c r="B19" s="26" t="s">
        <v>1165</v>
      </c>
      <c r="C19" s="26" t="s">
        <v>911</v>
      </c>
      <c r="D19" s="30">
        <v>1968713</v>
      </c>
      <c r="E19" s="28">
        <v>12622.403399999999</v>
      </c>
      <c r="F19" s="29">
        <v>2.1841558249012598</v>
      </c>
    </row>
    <row r="20" spans="1:6" x14ac:dyDescent="0.2">
      <c r="A20" s="26" t="s">
        <v>1168</v>
      </c>
      <c r="B20" s="26" t="s">
        <v>1167</v>
      </c>
      <c r="C20" s="26" t="s">
        <v>1045</v>
      </c>
      <c r="D20" s="30">
        <v>195642</v>
      </c>
      <c r="E20" s="28">
        <v>11958.22597</v>
      </c>
      <c r="F20" s="29">
        <v>2.0692278704910501</v>
      </c>
    </row>
    <row r="21" spans="1:6" x14ac:dyDescent="0.2">
      <c r="A21" s="26" t="s">
        <v>924</v>
      </c>
      <c r="B21" s="26" t="s">
        <v>923</v>
      </c>
      <c r="C21" s="26" t="s">
        <v>925</v>
      </c>
      <c r="D21" s="30">
        <v>6289744</v>
      </c>
      <c r="E21" s="28">
        <v>11362.42254</v>
      </c>
      <c r="F21" s="29">
        <v>1.9661312183803601</v>
      </c>
    </row>
    <row r="22" spans="1:6" x14ac:dyDescent="0.2">
      <c r="A22" s="26" t="s">
        <v>1040</v>
      </c>
      <c r="B22" s="26" t="s">
        <v>1039</v>
      </c>
      <c r="C22" s="26" t="s">
        <v>944</v>
      </c>
      <c r="D22" s="30">
        <v>4112021</v>
      </c>
      <c r="E22" s="28">
        <v>11336.841899999999</v>
      </c>
      <c r="F22" s="29">
        <v>1.9617047948150399</v>
      </c>
    </row>
    <row r="23" spans="1:6" x14ac:dyDescent="0.2">
      <c r="A23" s="26" t="s">
        <v>1077</v>
      </c>
      <c r="B23" s="26" t="s">
        <v>1076</v>
      </c>
      <c r="C23" s="26" t="s">
        <v>1009</v>
      </c>
      <c r="D23" s="30">
        <v>1687717</v>
      </c>
      <c r="E23" s="28">
        <v>10971.84822</v>
      </c>
      <c r="F23" s="29">
        <v>1.8985470072716499</v>
      </c>
    </row>
    <row r="24" spans="1:6" x14ac:dyDescent="0.2">
      <c r="A24" s="26" t="s">
        <v>1170</v>
      </c>
      <c r="B24" s="26" t="s">
        <v>1169</v>
      </c>
      <c r="C24" s="26" t="s">
        <v>1155</v>
      </c>
      <c r="D24" s="30">
        <v>1880000</v>
      </c>
      <c r="E24" s="28">
        <v>10405.799999999999</v>
      </c>
      <c r="F24" s="29">
        <v>1.80059913809739</v>
      </c>
    </row>
    <row r="25" spans="1:6" x14ac:dyDescent="0.2">
      <c r="A25" s="26" t="s">
        <v>1120</v>
      </c>
      <c r="B25" s="26" t="s">
        <v>1119</v>
      </c>
      <c r="C25" s="26" t="s">
        <v>957</v>
      </c>
      <c r="D25" s="30">
        <v>205000</v>
      </c>
      <c r="E25" s="28">
        <v>10239.852500000001</v>
      </c>
      <c r="F25" s="29">
        <v>1.77188390952588</v>
      </c>
    </row>
    <row r="26" spans="1:6" x14ac:dyDescent="0.2">
      <c r="A26" s="26" t="s">
        <v>1172</v>
      </c>
      <c r="B26" s="26" t="s">
        <v>1171</v>
      </c>
      <c r="C26" s="26" t="s">
        <v>1173</v>
      </c>
      <c r="D26" s="30">
        <v>2460139</v>
      </c>
      <c r="E26" s="28">
        <v>10150.533509999999</v>
      </c>
      <c r="F26" s="29">
        <v>1.7564283274072801</v>
      </c>
    </row>
    <row r="27" spans="1:6" x14ac:dyDescent="0.2">
      <c r="A27" s="26" t="s">
        <v>1175</v>
      </c>
      <c r="B27" s="26" t="s">
        <v>1174</v>
      </c>
      <c r="C27" s="26" t="s">
        <v>911</v>
      </c>
      <c r="D27" s="30">
        <v>162407</v>
      </c>
      <c r="E27" s="28">
        <v>9914.5413329999992</v>
      </c>
      <c r="F27" s="29">
        <v>1.7155927058785201</v>
      </c>
    </row>
    <row r="28" spans="1:6" x14ac:dyDescent="0.2">
      <c r="A28" s="26" t="s">
        <v>1050</v>
      </c>
      <c r="B28" s="26" t="s">
        <v>1049</v>
      </c>
      <c r="C28" s="26" t="s">
        <v>925</v>
      </c>
      <c r="D28" s="30">
        <v>1497004</v>
      </c>
      <c r="E28" s="28">
        <v>9774.6876179999999</v>
      </c>
      <c r="F28" s="29">
        <v>1.6913926944725099</v>
      </c>
    </row>
    <row r="29" spans="1:6" x14ac:dyDescent="0.2">
      <c r="A29" s="26" t="s">
        <v>889</v>
      </c>
      <c r="B29" s="26" t="s">
        <v>888</v>
      </c>
      <c r="C29" s="26" t="s">
        <v>884</v>
      </c>
      <c r="D29" s="30">
        <v>2299441</v>
      </c>
      <c r="E29" s="28">
        <v>9764.5762070000001</v>
      </c>
      <c r="F29" s="29">
        <v>1.6896430358271799</v>
      </c>
    </row>
    <row r="30" spans="1:6" x14ac:dyDescent="0.2">
      <c r="A30" s="26" t="s">
        <v>1177</v>
      </c>
      <c r="B30" s="26" t="s">
        <v>1176</v>
      </c>
      <c r="C30" s="26" t="s">
        <v>1158</v>
      </c>
      <c r="D30" s="30">
        <v>408284</v>
      </c>
      <c r="E30" s="28">
        <v>8962.0379420000008</v>
      </c>
      <c r="F30" s="29">
        <v>1.5507733950259699</v>
      </c>
    </row>
    <row r="31" spans="1:6" x14ac:dyDescent="0.2">
      <c r="A31" s="26" t="s">
        <v>1179</v>
      </c>
      <c r="B31" s="26" t="s">
        <v>1178</v>
      </c>
      <c r="C31" s="26" t="s">
        <v>1180</v>
      </c>
      <c r="D31" s="30">
        <v>2484260</v>
      </c>
      <c r="E31" s="28">
        <v>8893.6507999999994</v>
      </c>
      <c r="F31" s="29">
        <v>1.53893981866066</v>
      </c>
    </row>
    <row r="32" spans="1:6" x14ac:dyDescent="0.2">
      <c r="A32" s="26" t="s">
        <v>1182</v>
      </c>
      <c r="B32" s="26" t="s">
        <v>1181</v>
      </c>
      <c r="C32" s="26" t="s">
        <v>978</v>
      </c>
      <c r="D32" s="30">
        <v>504140</v>
      </c>
      <c r="E32" s="28">
        <v>8685.3239200000007</v>
      </c>
      <c r="F32" s="29">
        <v>1.50289134563884</v>
      </c>
    </row>
    <row r="33" spans="1:6" x14ac:dyDescent="0.2">
      <c r="A33" s="26" t="s">
        <v>896</v>
      </c>
      <c r="B33" s="26" t="s">
        <v>895</v>
      </c>
      <c r="C33" s="26" t="s">
        <v>884</v>
      </c>
      <c r="D33" s="30">
        <v>673158</v>
      </c>
      <c r="E33" s="28">
        <v>8536.9897560000009</v>
      </c>
      <c r="F33" s="29">
        <v>1.4772238940398501</v>
      </c>
    </row>
    <row r="34" spans="1:6" x14ac:dyDescent="0.2">
      <c r="A34" s="26" t="s">
        <v>1184</v>
      </c>
      <c r="B34" s="26" t="s">
        <v>1183</v>
      </c>
      <c r="C34" s="26" t="s">
        <v>960</v>
      </c>
      <c r="D34" s="30">
        <v>11177038</v>
      </c>
      <c r="E34" s="28">
        <v>8500.1373989999993</v>
      </c>
      <c r="F34" s="29">
        <v>1.47084703476415</v>
      </c>
    </row>
    <row r="35" spans="1:6" x14ac:dyDescent="0.2">
      <c r="A35" s="26" t="s">
        <v>1056</v>
      </c>
      <c r="B35" s="26" t="s">
        <v>1055</v>
      </c>
      <c r="C35" s="26" t="s">
        <v>978</v>
      </c>
      <c r="D35" s="30">
        <v>16272603</v>
      </c>
      <c r="E35" s="28">
        <v>8176.9830080000002</v>
      </c>
      <c r="F35" s="29">
        <v>1.4149290353881301</v>
      </c>
    </row>
    <row r="36" spans="1:6" x14ac:dyDescent="0.2">
      <c r="A36" s="26" t="s">
        <v>1069</v>
      </c>
      <c r="B36" s="26" t="s">
        <v>1068</v>
      </c>
      <c r="C36" s="26" t="s">
        <v>944</v>
      </c>
      <c r="D36" s="30">
        <v>1616126</v>
      </c>
      <c r="E36" s="28">
        <v>8113.7605830000002</v>
      </c>
      <c r="F36" s="29">
        <v>1.4039891514807501</v>
      </c>
    </row>
    <row r="37" spans="1:6" x14ac:dyDescent="0.2">
      <c r="A37" s="26" t="s">
        <v>1186</v>
      </c>
      <c r="B37" s="26" t="s">
        <v>1185</v>
      </c>
      <c r="C37" s="26" t="s">
        <v>1155</v>
      </c>
      <c r="D37" s="30">
        <v>3270913</v>
      </c>
      <c r="E37" s="28">
        <v>7665.3846160000003</v>
      </c>
      <c r="F37" s="29">
        <v>1.32640305721372</v>
      </c>
    </row>
    <row r="38" spans="1:6" x14ac:dyDescent="0.2">
      <c r="A38" s="26" t="s">
        <v>1188</v>
      </c>
      <c r="B38" s="26" t="s">
        <v>1187</v>
      </c>
      <c r="C38" s="26" t="s">
        <v>944</v>
      </c>
      <c r="D38" s="30">
        <v>2767883</v>
      </c>
      <c r="E38" s="28">
        <v>7452.5249780000004</v>
      </c>
      <c r="F38" s="29">
        <v>1.2895702446747099</v>
      </c>
    </row>
    <row r="39" spans="1:6" x14ac:dyDescent="0.2">
      <c r="A39" s="26" t="s">
        <v>1190</v>
      </c>
      <c r="B39" s="26" t="s">
        <v>1189</v>
      </c>
      <c r="C39" s="26" t="s">
        <v>884</v>
      </c>
      <c r="D39" s="30">
        <v>9349096</v>
      </c>
      <c r="E39" s="28">
        <v>7320.3421680000001</v>
      </c>
      <c r="F39" s="29">
        <v>1.26669759156228</v>
      </c>
    </row>
    <row r="40" spans="1:6" x14ac:dyDescent="0.2">
      <c r="A40" s="26" t="s">
        <v>1192</v>
      </c>
      <c r="B40" s="26" t="s">
        <v>1191</v>
      </c>
      <c r="C40" s="26" t="s">
        <v>1155</v>
      </c>
      <c r="D40" s="30">
        <v>2805627</v>
      </c>
      <c r="E40" s="28">
        <v>7189.4191879999998</v>
      </c>
      <c r="F40" s="29">
        <v>1.24404293695186</v>
      </c>
    </row>
    <row r="41" spans="1:6" x14ac:dyDescent="0.2">
      <c r="A41" s="26" t="s">
        <v>1194</v>
      </c>
      <c r="B41" s="26" t="s">
        <v>1193</v>
      </c>
      <c r="C41" s="26" t="s">
        <v>1180</v>
      </c>
      <c r="D41" s="30">
        <v>393330</v>
      </c>
      <c r="E41" s="28">
        <v>7056.536865</v>
      </c>
      <c r="F41" s="29">
        <v>1.22104924148758</v>
      </c>
    </row>
    <row r="42" spans="1:6" x14ac:dyDescent="0.2">
      <c r="A42" s="26" t="s">
        <v>927</v>
      </c>
      <c r="B42" s="26" t="s">
        <v>926</v>
      </c>
      <c r="C42" s="26" t="s">
        <v>928</v>
      </c>
      <c r="D42" s="30">
        <v>1852195</v>
      </c>
      <c r="E42" s="28">
        <v>6663.2715129999997</v>
      </c>
      <c r="F42" s="29">
        <v>1.1529993795015001</v>
      </c>
    </row>
    <row r="43" spans="1:6" x14ac:dyDescent="0.2">
      <c r="A43" s="26" t="s">
        <v>1196</v>
      </c>
      <c r="B43" s="26" t="s">
        <v>1195</v>
      </c>
      <c r="C43" s="26" t="s">
        <v>1000</v>
      </c>
      <c r="D43" s="30">
        <v>23086857</v>
      </c>
      <c r="E43" s="28">
        <v>6441.2331029999996</v>
      </c>
      <c r="F43" s="29">
        <v>1.11457829033291</v>
      </c>
    </row>
    <row r="44" spans="1:6" x14ac:dyDescent="0.2">
      <c r="A44" s="26" t="s">
        <v>954</v>
      </c>
      <c r="B44" s="26" t="s">
        <v>953</v>
      </c>
      <c r="C44" s="26" t="s">
        <v>884</v>
      </c>
      <c r="D44" s="30">
        <v>19398917</v>
      </c>
      <c r="E44" s="28">
        <v>6324.0469419999999</v>
      </c>
      <c r="F44" s="29">
        <v>1.0943006278280001</v>
      </c>
    </row>
    <row r="45" spans="1:6" x14ac:dyDescent="0.2">
      <c r="A45" s="26" t="s">
        <v>1198</v>
      </c>
      <c r="B45" s="26" t="s">
        <v>1197</v>
      </c>
      <c r="C45" s="26" t="s">
        <v>1155</v>
      </c>
      <c r="D45" s="30">
        <v>2829248</v>
      </c>
      <c r="E45" s="28">
        <v>6295.0767999999998</v>
      </c>
      <c r="F45" s="29">
        <v>1.0892876915121199</v>
      </c>
    </row>
    <row r="46" spans="1:6" x14ac:dyDescent="0.2">
      <c r="A46" s="26" t="s">
        <v>1200</v>
      </c>
      <c r="B46" s="26" t="s">
        <v>1199</v>
      </c>
      <c r="C46" s="26" t="s">
        <v>1045</v>
      </c>
      <c r="D46" s="30">
        <v>3836227</v>
      </c>
      <c r="E46" s="28">
        <v>6084.2560219999996</v>
      </c>
      <c r="F46" s="29">
        <v>1.05280767929203</v>
      </c>
    </row>
    <row r="47" spans="1:6" x14ac:dyDescent="0.2">
      <c r="A47" s="26" t="s">
        <v>1202</v>
      </c>
      <c r="B47" s="26" t="s">
        <v>1201</v>
      </c>
      <c r="C47" s="26" t="s">
        <v>902</v>
      </c>
      <c r="D47" s="30">
        <v>1000416</v>
      </c>
      <c r="E47" s="28">
        <v>6045.5138880000004</v>
      </c>
      <c r="F47" s="29">
        <v>1.0461038167261101</v>
      </c>
    </row>
    <row r="48" spans="1:6" x14ac:dyDescent="0.2">
      <c r="A48" s="26" t="s">
        <v>1204</v>
      </c>
      <c r="B48" s="26" t="s">
        <v>1203</v>
      </c>
      <c r="C48" s="26" t="s">
        <v>899</v>
      </c>
      <c r="D48" s="30">
        <v>2345030</v>
      </c>
      <c r="E48" s="28">
        <v>6038.4522500000003</v>
      </c>
      <c r="F48" s="29">
        <v>1.04488188479427</v>
      </c>
    </row>
    <row r="49" spans="1:6" x14ac:dyDescent="0.2">
      <c r="A49" s="26" t="s">
        <v>1206</v>
      </c>
      <c r="B49" s="26" t="s">
        <v>1205</v>
      </c>
      <c r="C49" s="26" t="s">
        <v>884</v>
      </c>
      <c r="D49" s="30">
        <v>4308453</v>
      </c>
      <c r="E49" s="28">
        <v>6021.0630680000004</v>
      </c>
      <c r="F49" s="29">
        <v>1.0418728949884499</v>
      </c>
    </row>
    <row r="50" spans="1:6" x14ac:dyDescent="0.2">
      <c r="A50" s="26" t="s">
        <v>1208</v>
      </c>
      <c r="B50" s="26" t="s">
        <v>1207</v>
      </c>
      <c r="C50" s="26" t="s">
        <v>911</v>
      </c>
      <c r="D50" s="30">
        <v>2046602</v>
      </c>
      <c r="E50" s="28">
        <v>5901.3768669999999</v>
      </c>
      <c r="F50" s="29">
        <v>1.0211626304857</v>
      </c>
    </row>
    <row r="51" spans="1:6" x14ac:dyDescent="0.2">
      <c r="A51" s="26" t="s">
        <v>1210</v>
      </c>
      <c r="B51" s="26" t="s">
        <v>1209</v>
      </c>
      <c r="C51" s="26" t="s">
        <v>960</v>
      </c>
      <c r="D51" s="30">
        <v>2713308</v>
      </c>
      <c r="E51" s="28">
        <v>5255.6775960000004</v>
      </c>
      <c r="F51" s="29">
        <v>0.90943210031668398</v>
      </c>
    </row>
    <row r="52" spans="1:6" x14ac:dyDescent="0.2">
      <c r="A52" s="26" t="s">
        <v>1212</v>
      </c>
      <c r="B52" s="26" t="s">
        <v>1211</v>
      </c>
      <c r="C52" s="26" t="s">
        <v>1045</v>
      </c>
      <c r="D52" s="30">
        <v>9156106</v>
      </c>
      <c r="E52" s="28">
        <v>4930.5630810000002</v>
      </c>
      <c r="F52" s="29">
        <v>0.85317492494410796</v>
      </c>
    </row>
    <row r="53" spans="1:6" x14ac:dyDescent="0.2">
      <c r="A53" s="26" t="s">
        <v>1214</v>
      </c>
      <c r="B53" s="26" t="s">
        <v>1213</v>
      </c>
      <c r="C53" s="26" t="s">
        <v>944</v>
      </c>
      <c r="D53" s="30">
        <v>135105</v>
      </c>
      <c r="E53" s="28">
        <v>4784.4733649999998</v>
      </c>
      <c r="F53" s="29">
        <v>0.82789584820666495</v>
      </c>
    </row>
    <row r="54" spans="1:6" x14ac:dyDescent="0.2">
      <c r="A54" s="26" t="s">
        <v>1216</v>
      </c>
      <c r="B54" s="26" t="s">
        <v>1215</v>
      </c>
      <c r="C54" s="26" t="s">
        <v>887</v>
      </c>
      <c r="D54" s="30">
        <v>3850258</v>
      </c>
      <c r="E54" s="28">
        <v>4710.7906629999998</v>
      </c>
      <c r="F54" s="29">
        <v>0.81514593856839701</v>
      </c>
    </row>
    <row r="55" spans="1:6" x14ac:dyDescent="0.2">
      <c r="A55" s="26" t="s">
        <v>1218</v>
      </c>
      <c r="B55" s="26" t="s">
        <v>1217</v>
      </c>
      <c r="C55" s="26" t="s">
        <v>960</v>
      </c>
      <c r="D55" s="30">
        <v>24421468</v>
      </c>
      <c r="E55" s="28">
        <v>4542.3930479999999</v>
      </c>
      <c r="F55" s="29">
        <v>0.786006746922713</v>
      </c>
    </row>
    <row r="56" spans="1:6" x14ac:dyDescent="0.2">
      <c r="A56" s="26" t="s">
        <v>1220</v>
      </c>
      <c r="B56" s="26" t="s">
        <v>1219</v>
      </c>
      <c r="C56" s="26" t="s">
        <v>960</v>
      </c>
      <c r="D56" s="30">
        <v>1660211</v>
      </c>
      <c r="E56" s="28">
        <v>4490.8707549999999</v>
      </c>
      <c r="F56" s="29">
        <v>0.77709143081356202</v>
      </c>
    </row>
    <row r="57" spans="1:6" x14ac:dyDescent="0.2">
      <c r="A57" s="26" t="s">
        <v>1222</v>
      </c>
      <c r="B57" s="26" t="s">
        <v>1221</v>
      </c>
      <c r="C57" s="26" t="s">
        <v>944</v>
      </c>
      <c r="D57" s="30">
        <v>1349476</v>
      </c>
      <c r="E57" s="28">
        <v>4484.9834860000001</v>
      </c>
      <c r="F57" s="29">
        <v>0.77607270938059703</v>
      </c>
    </row>
    <row r="58" spans="1:6" x14ac:dyDescent="0.2">
      <c r="A58" s="26" t="s">
        <v>1224</v>
      </c>
      <c r="B58" s="26" t="s">
        <v>1223</v>
      </c>
      <c r="C58" s="26" t="s">
        <v>995</v>
      </c>
      <c r="D58" s="30">
        <v>6313159</v>
      </c>
      <c r="E58" s="28">
        <v>4068.8309760000002</v>
      </c>
      <c r="F58" s="29">
        <v>0.70406249864974901</v>
      </c>
    </row>
    <row r="59" spans="1:6" x14ac:dyDescent="0.2">
      <c r="A59" s="26" t="s">
        <v>1226</v>
      </c>
      <c r="B59" s="26" t="s">
        <v>1225</v>
      </c>
      <c r="C59" s="26" t="s">
        <v>995</v>
      </c>
      <c r="D59" s="30">
        <v>2017424</v>
      </c>
      <c r="E59" s="28">
        <v>4066.1180720000002</v>
      </c>
      <c r="F59" s="29">
        <v>0.70359306308456904</v>
      </c>
    </row>
    <row r="60" spans="1:6" x14ac:dyDescent="0.2">
      <c r="A60" s="26" t="s">
        <v>1228</v>
      </c>
      <c r="B60" s="26" t="s">
        <v>1227</v>
      </c>
      <c r="C60" s="26" t="s">
        <v>944</v>
      </c>
      <c r="D60" s="30">
        <v>1196703</v>
      </c>
      <c r="E60" s="28">
        <v>3846.801794</v>
      </c>
      <c r="F60" s="29">
        <v>0.66564300627610395</v>
      </c>
    </row>
    <row r="61" spans="1:6" x14ac:dyDescent="0.2">
      <c r="A61" s="26" t="s">
        <v>1230</v>
      </c>
      <c r="B61" s="26" t="s">
        <v>1229</v>
      </c>
      <c r="C61" s="26" t="s">
        <v>1231</v>
      </c>
      <c r="D61" s="30">
        <v>1349445</v>
      </c>
      <c r="E61" s="28">
        <v>3844.5688049999999</v>
      </c>
      <c r="F61" s="29">
        <v>0.66525661425734695</v>
      </c>
    </row>
    <row r="62" spans="1:6" x14ac:dyDescent="0.2">
      <c r="A62" s="26" t="s">
        <v>1008</v>
      </c>
      <c r="B62" s="26" t="s">
        <v>1007</v>
      </c>
      <c r="C62" s="26" t="s">
        <v>1009</v>
      </c>
      <c r="D62" s="30">
        <v>4031266</v>
      </c>
      <c r="E62" s="28">
        <v>3688.6083899999999</v>
      </c>
      <c r="F62" s="29">
        <v>0.63826953120498098</v>
      </c>
    </row>
    <row r="63" spans="1:6" x14ac:dyDescent="0.2">
      <c r="A63" s="26" t="s">
        <v>1233</v>
      </c>
      <c r="B63" s="26" t="s">
        <v>1232</v>
      </c>
      <c r="C63" s="26" t="s">
        <v>978</v>
      </c>
      <c r="D63" s="30">
        <v>1054044</v>
      </c>
      <c r="E63" s="28">
        <v>3682.8297360000001</v>
      </c>
      <c r="F63" s="29">
        <v>0.63726960429770196</v>
      </c>
    </row>
    <row r="64" spans="1:6" x14ac:dyDescent="0.2">
      <c r="A64" s="26" t="s">
        <v>1235</v>
      </c>
      <c r="B64" s="26" t="s">
        <v>1234</v>
      </c>
      <c r="C64" s="26" t="s">
        <v>957</v>
      </c>
      <c r="D64" s="30">
        <v>988899</v>
      </c>
      <c r="E64" s="28">
        <v>3396.8680650000001</v>
      </c>
      <c r="F64" s="29">
        <v>0.58778735994056597</v>
      </c>
    </row>
    <row r="65" spans="1:9" x14ac:dyDescent="0.2">
      <c r="A65" s="26" t="s">
        <v>1237</v>
      </c>
      <c r="B65" s="26" t="s">
        <v>1236</v>
      </c>
      <c r="C65" s="26" t="s">
        <v>887</v>
      </c>
      <c r="D65" s="30">
        <v>394840</v>
      </c>
      <c r="E65" s="28">
        <v>3185.3717000000001</v>
      </c>
      <c r="F65" s="29">
        <v>0.55119044547654295</v>
      </c>
    </row>
    <row r="66" spans="1:9" x14ac:dyDescent="0.2">
      <c r="A66" s="26" t="s">
        <v>1239</v>
      </c>
      <c r="B66" s="26" t="s">
        <v>1238</v>
      </c>
      <c r="C66" s="26" t="s">
        <v>978</v>
      </c>
      <c r="D66" s="30">
        <v>1200000</v>
      </c>
      <c r="E66" s="28">
        <v>2989.8</v>
      </c>
      <c r="F66" s="29">
        <v>0.51734910368098297</v>
      </c>
    </row>
    <row r="67" spans="1:9" x14ac:dyDescent="0.2">
      <c r="A67" s="26" t="s">
        <v>1118</v>
      </c>
      <c r="B67" s="26" t="s">
        <v>1117</v>
      </c>
      <c r="C67" s="26" t="s">
        <v>887</v>
      </c>
      <c r="D67" s="30">
        <v>761850</v>
      </c>
      <c r="E67" s="28">
        <v>2657.7137250000001</v>
      </c>
      <c r="F67" s="29">
        <v>0.45988554868867298</v>
      </c>
    </row>
    <row r="68" spans="1:9" x14ac:dyDescent="0.2">
      <c r="A68" s="26" t="s">
        <v>1240</v>
      </c>
      <c r="B68" s="26" t="s">
        <v>1578</v>
      </c>
      <c r="C68" s="26" t="s">
        <v>978</v>
      </c>
      <c r="D68" s="30">
        <v>157872</v>
      </c>
      <c r="E68" s="28">
        <v>1941.8255999999999</v>
      </c>
      <c r="F68" s="29">
        <v>0.33600967745828703</v>
      </c>
    </row>
    <row r="69" spans="1:9" x14ac:dyDescent="0.2">
      <c r="A69" s="26" t="s">
        <v>1242</v>
      </c>
      <c r="B69" s="26" t="s">
        <v>1241</v>
      </c>
      <c r="C69" s="26" t="s">
        <v>899</v>
      </c>
      <c r="D69" s="30">
        <v>7433782</v>
      </c>
      <c r="E69" s="28">
        <v>1899.3313009999999</v>
      </c>
      <c r="F69" s="29">
        <v>0.32865654765053998</v>
      </c>
    </row>
    <row r="70" spans="1:9" x14ac:dyDescent="0.2">
      <c r="A70" s="26" t="s">
        <v>1244</v>
      </c>
      <c r="B70" s="26" t="s">
        <v>1243</v>
      </c>
      <c r="C70" s="26" t="s">
        <v>960</v>
      </c>
      <c r="D70" s="30">
        <v>11046869</v>
      </c>
      <c r="E70" s="28">
        <v>1574.1788329999999</v>
      </c>
      <c r="F70" s="29">
        <v>0.27239280496559198</v>
      </c>
    </row>
    <row r="71" spans="1:9" x14ac:dyDescent="0.2">
      <c r="A71" s="26" t="s">
        <v>1246</v>
      </c>
      <c r="B71" s="26" t="s">
        <v>1245</v>
      </c>
      <c r="C71" s="26" t="s">
        <v>928</v>
      </c>
      <c r="D71" s="30">
        <v>8689354</v>
      </c>
      <c r="E71" s="28">
        <v>1394.6413170000001</v>
      </c>
      <c r="F71" s="29">
        <v>0.24132598679056</v>
      </c>
    </row>
    <row r="72" spans="1:9" ht="10.5" x14ac:dyDescent="0.25">
      <c r="A72" s="25" t="s">
        <v>153</v>
      </c>
      <c r="B72" s="25"/>
      <c r="C72" s="25"/>
      <c r="D72" s="31"/>
      <c r="E72" s="32">
        <f>SUM(E7:E71)</f>
        <v>559507.38905200001</v>
      </c>
      <c r="F72" s="33">
        <f>SUM(F7:F71)</f>
        <v>96.816056668987585</v>
      </c>
      <c r="G72" s="17"/>
      <c r="H72" s="17"/>
      <c r="I72" s="17"/>
    </row>
    <row r="73" spans="1:9" x14ac:dyDescent="0.2">
      <c r="A73" s="26"/>
      <c r="B73" s="26"/>
      <c r="C73" s="26"/>
      <c r="D73" s="27"/>
      <c r="E73" s="28"/>
      <c r="F73" s="29"/>
    </row>
    <row r="74" spans="1:9" ht="10.5" x14ac:dyDescent="0.25">
      <c r="A74" s="25" t="s">
        <v>166</v>
      </c>
      <c r="B74" s="25"/>
      <c r="C74" s="25"/>
      <c r="D74" s="31"/>
      <c r="E74" s="32">
        <f>E72</f>
        <v>559507.38905200001</v>
      </c>
      <c r="F74" s="33">
        <f>F72</f>
        <v>96.816056668987585</v>
      </c>
      <c r="G74" s="17"/>
      <c r="H74" s="17"/>
      <c r="I74" s="17"/>
    </row>
    <row r="75" spans="1:9" ht="10.5" x14ac:dyDescent="0.25">
      <c r="A75" s="25"/>
      <c r="B75" s="25"/>
      <c r="C75" s="25"/>
      <c r="D75" s="31"/>
      <c r="E75" s="32"/>
      <c r="F75" s="33"/>
      <c r="G75" s="17"/>
      <c r="H75" s="17"/>
      <c r="I75" s="17"/>
    </row>
    <row r="76" spans="1:9" ht="10.5" x14ac:dyDescent="0.25">
      <c r="A76" s="25" t="s">
        <v>168</v>
      </c>
      <c r="B76" s="25"/>
      <c r="C76" s="25"/>
      <c r="D76" s="31"/>
      <c r="E76" s="32">
        <f>E78-(E72)</f>
        <v>18400.251790000009</v>
      </c>
      <c r="F76" s="33">
        <f>F78-(F72)</f>
        <v>3.183943331012415</v>
      </c>
      <c r="G76" s="17"/>
      <c r="H76" s="17"/>
      <c r="I76" s="17"/>
    </row>
    <row r="77" spans="1:9" ht="10.5" x14ac:dyDescent="0.25">
      <c r="A77" s="25"/>
      <c r="B77" s="25"/>
      <c r="C77" s="25"/>
      <c r="D77" s="31"/>
      <c r="E77" s="32"/>
      <c r="F77" s="33"/>
      <c r="G77" s="17"/>
      <c r="H77" s="17"/>
      <c r="I77" s="17"/>
    </row>
    <row r="78" spans="1:9" ht="10.5" x14ac:dyDescent="0.25">
      <c r="A78" s="34" t="s">
        <v>167</v>
      </c>
      <c r="B78" s="34"/>
      <c r="C78" s="34"/>
      <c r="D78" s="35"/>
      <c r="E78" s="36">
        <v>577907.64084200002</v>
      </c>
      <c r="F78" s="37">
        <v>100</v>
      </c>
      <c r="G78" s="17"/>
      <c r="H78" s="17"/>
      <c r="I78" s="17"/>
    </row>
    <row r="79" spans="1:9" ht="10.5" x14ac:dyDescent="0.25">
      <c r="A79" s="64" t="s">
        <v>1617</v>
      </c>
      <c r="B79" s="78"/>
      <c r="C79" s="78"/>
      <c r="D79" s="79"/>
      <c r="E79" s="80"/>
      <c r="F79" s="19"/>
      <c r="G79" s="17"/>
      <c r="H79" s="17"/>
      <c r="I79" s="17"/>
    </row>
    <row r="81" spans="1:4" ht="10.5" x14ac:dyDescent="0.25">
      <c r="A81" s="17" t="s">
        <v>171</v>
      </c>
    </row>
    <row r="82" spans="1:4" ht="10.5" x14ac:dyDescent="0.25">
      <c r="A82" s="17" t="s">
        <v>172</v>
      </c>
    </row>
    <row r="83" spans="1:4" ht="10.5" x14ac:dyDescent="0.25">
      <c r="A83" s="17" t="s">
        <v>173</v>
      </c>
      <c r="B83" s="17"/>
      <c r="C83" s="38" t="s">
        <v>175</v>
      </c>
      <c r="D83" s="18" t="s">
        <v>174</v>
      </c>
    </row>
    <row r="84" spans="1:4" x14ac:dyDescent="0.2">
      <c r="A84" s="10" t="s">
        <v>436</v>
      </c>
      <c r="C84" s="39">
        <v>33.755899999999997</v>
      </c>
      <c r="D84" s="39">
        <v>47.578499999999998</v>
      </c>
    </row>
    <row r="85" spans="1:4" x14ac:dyDescent="0.2">
      <c r="A85" s="10" t="s">
        <v>470</v>
      </c>
      <c r="C85" s="39">
        <v>14.2232</v>
      </c>
      <c r="D85" s="39">
        <v>20.047599999999999</v>
      </c>
    </row>
    <row r="86" spans="1:4" x14ac:dyDescent="0.2">
      <c r="A86" s="10" t="s">
        <v>439</v>
      </c>
      <c r="C86" s="39">
        <v>36.540399999999998</v>
      </c>
      <c r="D86" s="39">
        <v>51.728200000000001</v>
      </c>
    </row>
    <row r="87" spans="1:4" x14ac:dyDescent="0.2">
      <c r="A87" s="10" t="s">
        <v>471</v>
      </c>
      <c r="C87" s="39">
        <v>15.863</v>
      </c>
      <c r="D87" s="39">
        <v>22.456299999999999</v>
      </c>
    </row>
    <row r="89" spans="1:4" ht="10.5" x14ac:dyDescent="0.25">
      <c r="A89" s="17" t="s">
        <v>185</v>
      </c>
      <c r="D89" s="40" t="s">
        <v>186</v>
      </c>
    </row>
    <row r="91" spans="1:4" ht="10.5" x14ac:dyDescent="0.25">
      <c r="A91" s="17" t="s">
        <v>1014</v>
      </c>
      <c r="D91" s="47">
        <v>8.14E-2</v>
      </c>
    </row>
  </sheetData>
  <mergeCells count="1">
    <mergeCell ref="A1:F1"/>
  </mergeCells>
  <conditionalFormatting sqref="F2:F3 F5:F65536">
    <cfRule type="cellIs" dxfId="19"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89"/>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34.1796875" style="10" bestFit="1" customWidth="1"/>
    <col min="3" max="3" width="35.81640625" style="10" bestFit="1" customWidth="1"/>
    <col min="4" max="4" width="15.453125" style="11" bestFit="1" customWidth="1"/>
    <col min="5" max="5" width="23" style="15" bestFit="1" customWidth="1"/>
    <col min="6" max="6" width="14.81640625" style="16" bestFit="1" customWidth="1"/>
    <col min="7" max="16384" width="9.1796875" style="10"/>
  </cols>
  <sheetData>
    <row r="1" spans="1:6" s="1" customFormat="1" ht="14" x14ac:dyDescent="0.25">
      <c r="A1" s="96" t="s">
        <v>42</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1065</v>
      </c>
      <c r="D4" s="48" t="s">
        <v>1</v>
      </c>
      <c r="E4" s="9" t="s">
        <v>3</v>
      </c>
      <c r="F4" s="9" t="s">
        <v>4</v>
      </c>
    </row>
    <row r="5" spans="1:6" ht="10.5" x14ac:dyDescent="0.25">
      <c r="A5" s="20" t="s">
        <v>881</v>
      </c>
      <c r="B5" s="21"/>
      <c r="C5" s="21"/>
      <c r="D5" s="22"/>
      <c r="E5" s="23"/>
      <c r="F5" s="24"/>
    </row>
    <row r="6" spans="1:6" ht="10.5" x14ac:dyDescent="0.25">
      <c r="A6" s="25" t="s">
        <v>57</v>
      </c>
      <c r="B6" s="26"/>
      <c r="C6" s="26"/>
      <c r="D6" s="27"/>
      <c r="E6" s="28"/>
      <c r="F6" s="29"/>
    </row>
    <row r="7" spans="1:6" x14ac:dyDescent="0.2">
      <c r="A7" s="26" t="s">
        <v>1248</v>
      </c>
      <c r="B7" s="26" t="s">
        <v>1247</v>
      </c>
      <c r="C7" s="26" t="s">
        <v>899</v>
      </c>
      <c r="D7" s="30">
        <v>3169401</v>
      </c>
      <c r="E7" s="28">
        <v>23881.436539999999</v>
      </c>
      <c r="F7" s="29">
        <v>3.7505862535804702</v>
      </c>
    </row>
    <row r="8" spans="1:6" x14ac:dyDescent="0.2">
      <c r="A8" s="26" t="s">
        <v>1250</v>
      </c>
      <c r="B8" s="26" t="s">
        <v>1249</v>
      </c>
      <c r="C8" s="26" t="s">
        <v>911</v>
      </c>
      <c r="D8" s="30">
        <v>7941052</v>
      </c>
      <c r="E8" s="28">
        <v>23215.665519999999</v>
      </c>
      <c r="F8" s="29">
        <v>3.64602672963969</v>
      </c>
    </row>
    <row r="9" spans="1:6" x14ac:dyDescent="0.2">
      <c r="A9" s="26" t="s">
        <v>948</v>
      </c>
      <c r="B9" s="26" t="s">
        <v>947</v>
      </c>
      <c r="C9" s="26" t="s">
        <v>917</v>
      </c>
      <c r="D9" s="30">
        <v>4435936</v>
      </c>
      <c r="E9" s="28">
        <v>22212.949519999998</v>
      </c>
      <c r="F9" s="29">
        <v>3.4885499028354801</v>
      </c>
    </row>
    <row r="10" spans="1:6" x14ac:dyDescent="0.2">
      <c r="A10" s="26" t="s">
        <v>883</v>
      </c>
      <c r="B10" s="26" t="s">
        <v>882</v>
      </c>
      <c r="C10" s="26" t="s">
        <v>884</v>
      </c>
      <c r="D10" s="30">
        <v>1988423</v>
      </c>
      <c r="E10" s="28">
        <v>21447.13048</v>
      </c>
      <c r="F10" s="29">
        <v>3.3682778095154999</v>
      </c>
    </row>
    <row r="11" spans="1:6" x14ac:dyDescent="0.2">
      <c r="A11" s="26" t="s">
        <v>910</v>
      </c>
      <c r="B11" s="26" t="s">
        <v>909</v>
      </c>
      <c r="C11" s="26" t="s">
        <v>911</v>
      </c>
      <c r="D11" s="30">
        <v>3121691</v>
      </c>
      <c r="E11" s="28">
        <v>21238.424719999999</v>
      </c>
      <c r="F11" s="29">
        <v>3.3355005118354399</v>
      </c>
    </row>
    <row r="12" spans="1:6" x14ac:dyDescent="0.2">
      <c r="A12" s="26" t="s">
        <v>1252</v>
      </c>
      <c r="B12" s="26" t="s">
        <v>1251</v>
      </c>
      <c r="C12" s="26" t="s">
        <v>957</v>
      </c>
      <c r="D12" s="30">
        <v>2781049</v>
      </c>
      <c r="E12" s="28">
        <v>18685.86823</v>
      </c>
      <c r="F12" s="29">
        <v>2.9346208048359701</v>
      </c>
    </row>
    <row r="13" spans="1:6" x14ac:dyDescent="0.2">
      <c r="A13" s="26" t="s">
        <v>894</v>
      </c>
      <c r="B13" s="26" t="s">
        <v>893</v>
      </c>
      <c r="C13" s="26" t="s">
        <v>884</v>
      </c>
      <c r="D13" s="30">
        <v>5159409</v>
      </c>
      <c r="E13" s="28">
        <v>18303.003430000001</v>
      </c>
      <c r="F13" s="29">
        <v>2.8744917814644202</v>
      </c>
    </row>
    <row r="14" spans="1:6" x14ac:dyDescent="0.2">
      <c r="A14" s="26" t="s">
        <v>1071</v>
      </c>
      <c r="B14" s="26" t="s">
        <v>1070</v>
      </c>
      <c r="C14" s="26" t="s">
        <v>917</v>
      </c>
      <c r="D14" s="30">
        <v>3596137</v>
      </c>
      <c r="E14" s="28">
        <v>17978.886930000001</v>
      </c>
      <c r="F14" s="29">
        <v>2.8235891949544998</v>
      </c>
    </row>
    <row r="15" spans="1:6" x14ac:dyDescent="0.2">
      <c r="A15" s="26" t="s">
        <v>1114</v>
      </c>
      <c r="B15" s="26" t="s">
        <v>1113</v>
      </c>
      <c r="C15" s="26" t="s">
        <v>887</v>
      </c>
      <c r="D15" s="30">
        <v>478016</v>
      </c>
      <c r="E15" s="28">
        <v>17374.447550000001</v>
      </c>
      <c r="F15" s="29">
        <v>2.7286618221411598</v>
      </c>
    </row>
    <row r="16" spans="1:6" x14ac:dyDescent="0.2">
      <c r="A16" s="26" t="s">
        <v>901</v>
      </c>
      <c r="B16" s="26" t="s">
        <v>900</v>
      </c>
      <c r="C16" s="26" t="s">
        <v>902</v>
      </c>
      <c r="D16" s="30">
        <v>1161879</v>
      </c>
      <c r="E16" s="28">
        <v>17160.952829999998</v>
      </c>
      <c r="F16" s="29">
        <v>2.6951324169605702</v>
      </c>
    </row>
    <row r="17" spans="1:6" x14ac:dyDescent="0.2">
      <c r="A17" s="26" t="s">
        <v>896</v>
      </c>
      <c r="B17" s="26" t="s">
        <v>895</v>
      </c>
      <c r="C17" s="26" t="s">
        <v>884</v>
      </c>
      <c r="D17" s="30">
        <v>1350892</v>
      </c>
      <c r="E17" s="28">
        <v>17132.012340000001</v>
      </c>
      <c r="F17" s="29">
        <v>2.6905873049534299</v>
      </c>
    </row>
    <row r="18" spans="1:6" x14ac:dyDescent="0.2">
      <c r="A18" s="26" t="s">
        <v>1073</v>
      </c>
      <c r="B18" s="26" t="s">
        <v>1072</v>
      </c>
      <c r="C18" s="26" t="s">
        <v>899</v>
      </c>
      <c r="D18" s="30">
        <v>1053268</v>
      </c>
      <c r="E18" s="28">
        <v>15871.16886</v>
      </c>
      <c r="F18" s="29">
        <v>2.4925714855916401</v>
      </c>
    </row>
    <row r="19" spans="1:6" x14ac:dyDescent="0.2">
      <c r="A19" s="26" t="s">
        <v>1254</v>
      </c>
      <c r="B19" s="26" t="s">
        <v>1253</v>
      </c>
      <c r="C19" s="26" t="s">
        <v>1045</v>
      </c>
      <c r="D19" s="30">
        <v>1489796</v>
      </c>
      <c r="E19" s="28">
        <v>15120.684499999999</v>
      </c>
      <c r="F19" s="29">
        <v>2.3747077080325099</v>
      </c>
    </row>
    <row r="20" spans="1:6" x14ac:dyDescent="0.2">
      <c r="A20" s="26" t="s">
        <v>1256</v>
      </c>
      <c r="B20" s="26" t="s">
        <v>1255</v>
      </c>
      <c r="C20" s="26" t="s">
        <v>1180</v>
      </c>
      <c r="D20" s="30">
        <v>687865</v>
      </c>
      <c r="E20" s="28">
        <v>14775.68413</v>
      </c>
      <c r="F20" s="29">
        <v>2.3205253039281799</v>
      </c>
    </row>
    <row r="21" spans="1:6" x14ac:dyDescent="0.2">
      <c r="A21" s="26" t="s">
        <v>919</v>
      </c>
      <c r="B21" s="26" t="s">
        <v>918</v>
      </c>
      <c r="C21" s="26" t="s">
        <v>908</v>
      </c>
      <c r="D21" s="30">
        <v>7072160</v>
      </c>
      <c r="E21" s="28">
        <v>14748.989680000001</v>
      </c>
      <c r="F21" s="29">
        <v>2.31633293312799</v>
      </c>
    </row>
    <row r="22" spans="1:6" x14ac:dyDescent="0.2">
      <c r="A22" s="26" t="s">
        <v>1206</v>
      </c>
      <c r="B22" s="26" t="s">
        <v>1205</v>
      </c>
      <c r="C22" s="26" t="s">
        <v>884</v>
      </c>
      <c r="D22" s="30">
        <v>10338196</v>
      </c>
      <c r="E22" s="28">
        <v>14447.628909999999</v>
      </c>
      <c r="F22" s="29">
        <v>2.2690041403463099</v>
      </c>
    </row>
    <row r="23" spans="1:6" x14ac:dyDescent="0.2">
      <c r="A23" s="26" t="s">
        <v>939</v>
      </c>
      <c r="B23" s="26" t="s">
        <v>938</v>
      </c>
      <c r="C23" s="26" t="s">
        <v>925</v>
      </c>
      <c r="D23" s="30">
        <v>4050170</v>
      </c>
      <c r="E23" s="28">
        <v>14299.125190000001</v>
      </c>
      <c r="F23" s="29">
        <v>2.2456815897993798</v>
      </c>
    </row>
    <row r="24" spans="1:6" x14ac:dyDescent="0.2">
      <c r="A24" s="26" t="s">
        <v>1052</v>
      </c>
      <c r="B24" s="26" t="s">
        <v>1051</v>
      </c>
      <c r="C24" s="26" t="s">
        <v>914</v>
      </c>
      <c r="D24" s="30">
        <v>18734302</v>
      </c>
      <c r="E24" s="28">
        <v>13938.32069</v>
      </c>
      <c r="F24" s="29">
        <v>2.1890171426810698</v>
      </c>
    </row>
    <row r="25" spans="1:6" x14ac:dyDescent="0.2">
      <c r="A25" s="26" t="s">
        <v>1032</v>
      </c>
      <c r="B25" s="26" t="s">
        <v>1031</v>
      </c>
      <c r="C25" s="26" t="s">
        <v>917</v>
      </c>
      <c r="D25" s="30">
        <v>3895000</v>
      </c>
      <c r="E25" s="28">
        <v>13683.135</v>
      </c>
      <c r="F25" s="29">
        <v>2.14894015906154</v>
      </c>
    </row>
    <row r="26" spans="1:6" x14ac:dyDescent="0.2">
      <c r="A26" s="26" t="s">
        <v>950</v>
      </c>
      <c r="B26" s="26" t="s">
        <v>949</v>
      </c>
      <c r="C26" s="26" t="s">
        <v>914</v>
      </c>
      <c r="D26" s="30">
        <v>2779985</v>
      </c>
      <c r="E26" s="28">
        <v>13018.669760000001</v>
      </c>
      <c r="F26" s="29">
        <v>2.0445857082330998</v>
      </c>
    </row>
    <row r="27" spans="1:6" x14ac:dyDescent="0.2">
      <c r="A27" s="26" t="s">
        <v>999</v>
      </c>
      <c r="B27" s="26" t="s">
        <v>998</v>
      </c>
      <c r="C27" s="26" t="s">
        <v>1000</v>
      </c>
      <c r="D27" s="30">
        <v>12940848</v>
      </c>
      <c r="E27" s="28">
        <v>12293.8056</v>
      </c>
      <c r="F27" s="29">
        <v>1.9307455902127499</v>
      </c>
    </row>
    <row r="28" spans="1:6" x14ac:dyDescent="0.2">
      <c r="A28" s="26" t="s">
        <v>990</v>
      </c>
      <c r="B28" s="26" t="s">
        <v>989</v>
      </c>
      <c r="C28" s="26" t="s">
        <v>978</v>
      </c>
      <c r="D28" s="30">
        <v>3121672</v>
      </c>
      <c r="E28" s="28">
        <v>12290.022660000001</v>
      </c>
      <c r="F28" s="29">
        <v>1.9301514784331499</v>
      </c>
    </row>
    <row r="29" spans="1:6" x14ac:dyDescent="0.2">
      <c r="A29" s="26" t="s">
        <v>1258</v>
      </c>
      <c r="B29" s="26" t="s">
        <v>1257</v>
      </c>
      <c r="C29" s="26" t="s">
        <v>1231</v>
      </c>
      <c r="D29" s="30">
        <v>583155</v>
      </c>
      <c r="E29" s="28">
        <v>11496.90083</v>
      </c>
      <c r="F29" s="29">
        <v>1.8055914743467001</v>
      </c>
    </row>
    <row r="30" spans="1:6" x14ac:dyDescent="0.2">
      <c r="A30" s="26" t="s">
        <v>1260</v>
      </c>
      <c r="B30" s="26" t="s">
        <v>1259</v>
      </c>
      <c r="C30" s="26" t="s">
        <v>944</v>
      </c>
      <c r="D30" s="30">
        <v>783689</v>
      </c>
      <c r="E30" s="28">
        <v>11453.614740000001</v>
      </c>
      <c r="F30" s="29">
        <v>1.79879338186791</v>
      </c>
    </row>
    <row r="31" spans="1:6" x14ac:dyDescent="0.2">
      <c r="A31" s="26" t="s">
        <v>1040</v>
      </c>
      <c r="B31" s="26" t="s">
        <v>1039</v>
      </c>
      <c r="C31" s="26" t="s">
        <v>944</v>
      </c>
      <c r="D31" s="30">
        <v>4145052</v>
      </c>
      <c r="E31" s="28">
        <v>11427.908359999999</v>
      </c>
      <c r="F31" s="29">
        <v>1.79475618773615</v>
      </c>
    </row>
    <row r="32" spans="1:6" x14ac:dyDescent="0.2">
      <c r="A32" s="26" t="s">
        <v>1034</v>
      </c>
      <c r="B32" s="26" t="s">
        <v>1033</v>
      </c>
      <c r="C32" s="26" t="s">
        <v>1035</v>
      </c>
      <c r="D32" s="30">
        <v>11887252</v>
      </c>
      <c r="E32" s="28">
        <v>11382.04379</v>
      </c>
      <c r="F32" s="29">
        <v>1.7875531442559101</v>
      </c>
    </row>
    <row r="33" spans="1:6" x14ac:dyDescent="0.2">
      <c r="A33" s="26" t="s">
        <v>1262</v>
      </c>
      <c r="B33" s="26" t="s">
        <v>1261</v>
      </c>
      <c r="C33" s="26" t="s">
        <v>1263</v>
      </c>
      <c r="D33" s="30">
        <v>1386228</v>
      </c>
      <c r="E33" s="28">
        <v>10713.463100000001</v>
      </c>
      <c r="F33" s="29">
        <v>1.6825523608598401</v>
      </c>
    </row>
    <row r="34" spans="1:6" x14ac:dyDescent="0.2">
      <c r="A34" s="26" t="s">
        <v>1265</v>
      </c>
      <c r="B34" s="26" t="s">
        <v>1264</v>
      </c>
      <c r="C34" s="26" t="s">
        <v>1155</v>
      </c>
      <c r="D34" s="30">
        <v>2606125</v>
      </c>
      <c r="E34" s="28">
        <v>10273.34475</v>
      </c>
      <c r="F34" s="29">
        <v>1.6134316515300799</v>
      </c>
    </row>
    <row r="35" spans="1:6" x14ac:dyDescent="0.2">
      <c r="A35" s="26" t="s">
        <v>1267</v>
      </c>
      <c r="B35" s="26" t="s">
        <v>1266</v>
      </c>
      <c r="C35" s="26" t="s">
        <v>978</v>
      </c>
      <c r="D35" s="30">
        <v>784058</v>
      </c>
      <c r="E35" s="28">
        <v>10197.458350000001</v>
      </c>
      <c r="F35" s="29">
        <v>1.6015136712948099</v>
      </c>
    </row>
    <row r="36" spans="1:6" x14ac:dyDescent="0.2">
      <c r="A36" s="26" t="s">
        <v>1013</v>
      </c>
      <c r="B36" s="26" t="s">
        <v>1012</v>
      </c>
      <c r="C36" s="26" t="s">
        <v>884</v>
      </c>
      <c r="D36" s="30">
        <v>20869927</v>
      </c>
      <c r="E36" s="28">
        <v>10142.784519999999</v>
      </c>
      <c r="F36" s="29">
        <v>1.5929271310804001</v>
      </c>
    </row>
    <row r="37" spans="1:6" x14ac:dyDescent="0.2">
      <c r="A37" s="26" t="s">
        <v>1054</v>
      </c>
      <c r="B37" s="26" t="s">
        <v>1053</v>
      </c>
      <c r="C37" s="26" t="s">
        <v>899</v>
      </c>
      <c r="D37" s="30">
        <v>722877</v>
      </c>
      <c r="E37" s="28">
        <v>10072.92956</v>
      </c>
      <c r="F37" s="29">
        <v>1.5819563901753599</v>
      </c>
    </row>
    <row r="38" spans="1:6" x14ac:dyDescent="0.2">
      <c r="A38" s="26" t="s">
        <v>907</v>
      </c>
      <c r="B38" s="26" t="s">
        <v>906</v>
      </c>
      <c r="C38" s="26" t="s">
        <v>908</v>
      </c>
      <c r="D38" s="30">
        <v>4535064</v>
      </c>
      <c r="E38" s="28">
        <v>10006.61872</v>
      </c>
      <c r="F38" s="29">
        <v>1.57154225430247</v>
      </c>
    </row>
    <row r="39" spans="1:6" x14ac:dyDescent="0.2">
      <c r="A39" s="26" t="s">
        <v>1085</v>
      </c>
      <c r="B39" s="26" t="s">
        <v>1084</v>
      </c>
      <c r="C39" s="26" t="s">
        <v>931</v>
      </c>
      <c r="D39" s="30">
        <v>1629004</v>
      </c>
      <c r="E39" s="28">
        <v>10002.084559999999</v>
      </c>
      <c r="F39" s="29">
        <v>1.5708301632128501</v>
      </c>
    </row>
    <row r="40" spans="1:6" x14ac:dyDescent="0.2">
      <c r="A40" s="26" t="s">
        <v>1269</v>
      </c>
      <c r="B40" s="26" t="s">
        <v>1268</v>
      </c>
      <c r="C40" s="26" t="s">
        <v>944</v>
      </c>
      <c r="D40" s="30">
        <v>540261</v>
      </c>
      <c r="E40" s="28">
        <v>9986.9947159999992</v>
      </c>
      <c r="F40" s="29">
        <v>1.56846029901392</v>
      </c>
    </row>
    <row r="41" spans="1:6" x14ac:dyDescent="0.2">
      <c r="A41" s="26" t="s">
        <v>1271</v>
      </c>
      <c r="B41" s="26" t="s">
        <v>1270</v>
      </c>
      <c r="C41" s="26" t="s">
        <v>917</v>
      </c>
      <c r="D41" s="30">
        <v>467916</v>
      </c>
      <c r="E41" s="28">
        <v>9677.6726699999999</v>
      </c>
      <c r="F41" s="29">
        <v>1.51988118562123</v>
      </c>
    </row>
    <row r="42" spans="1:6" x14ac:dyDescent="0.2">
      <c r="A42" s="26" t="s">
        <v>1170</v>
      </c>
      <c r="B42" s="26" t="s">
        <v>1169</v>
      </c>
      <c r="C42" s="26" t="s">
        <v>1155</v>
      </c>
      <c r="D42" s="30">
        <v>1743720</v>
      </c>
      <c r="E42" s="28">
        <v>9651.4902000000002</v>
      </c>
      <c r="F42" s="29">
        <v>1.5157692214225</v>
      </c>
    </row>
    <row r="43" spans="1:6" x14ac:dyDescent="0.2">
      <c r="A43" s="26" t="s">
        <v>1214</v>
      </c>
      <c r="B43" s="26" t="s">
        <v>1213</v>
      </c>
      <c r="C43" s="26" t="s">
        <v>944</v>
      </c>
      <c r="D43" s="30">
        <v>264692</v>
      </c>
      <c r="E43" s="28">
        <v>9373.5377960000005</v>
      </c>
      <c r="F43" s="29">
        <v>1.47211671903446</v>
      </c>
    </row>
    <row r="44" spans="1:6" x14ac:dyDescent="0.2">
      <c r="A44" s="26" t="s">
        <v>1058</v>
      </c>
      <c r="B44" s="26" t="s">
        <v>1057</v>
      </c>
      <c r="C44" s="26" t="s">
        <v>902</v>
      </c>
      <c r="D44" s="30">
        <v>6970650</v>
      </c>
      <c r="E44" s="28">
        <v>9121.0955250000006</v>
      </c>
      <c r="F44" s="29">
        <v>1.4324705901322301</v>
      </c>
    </row>
    <row r="45" spans="1:6" x14ac:dyDescent="0.2">
      <c r="A45" s="26" t="s">
        <v>1044</v>
      </c>
      <c r="B45" s="26" t="s">
        <v>1043</v>
      </c>
      <c r="C45" s="26" t="s">
        <v>1045</v>
      </c>
      <c r="D45" s="30">
        <v>2956964</v>
      </c>
      <c r="E45" s="28">
        <v>8856.1071800000009</v>
      </c>
      <c r="F45" s="29">
        <v>1.3908540968173799</v>
      </c>
    </row>
    <row r="46" spans="1:6" x14ac:dyDescent="0.2">
      <c r="A46" s="26" t="s">
        <v>1273</v>
      </c>
      <c r="B46" s="26" t="s">
        <v>1272</v>
      </c>
      <c r="C46" s="26" t="s">
        <v>884</v>
      </c>
      <c r="D46" s="30">
        <v>4734341</v>
      </c>
      <c r="E46" s="28">
        <v>8043.6453590000001</v>
      </c>
      <c r="F46" s="29">
        <v>1.26325674176306</v>
      </c>
    </row>
    <row r="47" spans="1:6" x14ac:dyDescent="0.2">
      <c r="A47" s="26" t="s">
        <v>1275</v>
      </c>
      <c r="B47" s="26" t="s">
        <v>1274</v>
      </c>
      <c r="C47" s="26" t="s">
        <v>902</v>
      </c>
      <c r="D47" s="30">
        <v>1950821</v>
      </c>
      <c r="E47" s="28">
        <v>7803.2839999999997</v>
      </c>
      <c r="F47" s="29">
        <v>1.2255079234519299</v>
      </c>
    </row>
    <row r="48" spans="1:6" x14ac:dyDescent="0.2">
      <c r="A48" s="26" t="s">
        <v>1277</v>
      </c>
      <c r="B48" s="26" t="s">
        <v>1276</v>
      </c>
      <c r="C48" s="26" t="s">
        <v>931</v>
      </c>
      <c r="D48" s="30">
        <v>2365150</v>
      </c>
      <c r="E48" s="28">
        <v>7411.1975249999996</v>
      </c>
      <c r="F48" s="29">
        <v>1.16393063345571</v>
      </c>
    </row>
    <row r="49" spans="1:9" x14ac:dyDescent="0.2">
      <c r="A49" s="26" t="s">
        <v>1279</v>
      </c>
      <c r="B49" s="26" t="s">
        <v>1278</v>
      </c>
      <c r="C49" s="26" t="s">
        <v>944</v>
      </c>
      <c r="D49" s="30">
        <v>3000000</v>
      </c>
      <c r="E49" s="28">
        <v>7267.5</v>
      </c>
      <c r="F49" s="29">
        <v>1.1413628971708401</v>
      </c>
    </row>
    <row r="50" spans="1:9" x14ac:dyDescent="0.2">
      <c r="A50" s="26" t="s">
        <v>1281</v>
      </c>
      <c r="B50" s="26" t="s">
        <v>1280</v>
      </c>
      <c r="C50" s="26" t="s">
        <v>944</v>
      </c>
      <c r="D50" s="30">
        <v>1521940</v>
      </c>
      <c r="E50" s="28">
        <v>6811.44247</v>
      </c>
      <c r="F50" s="29">
        <v>1.0697389351870299</v>
      </c>
    </row>
    <row r="51" spans="1:9" x14ac:dyDescent="0.2">
      <c r="A51" s="26" t="s">
        <v>1283</v>
      </c>
      <c r="B51" s="26" t="s">
        <v>1282</v>
      </c>
      <c r="C51" s="26" t="s">
        <v>887</v>
      </c>
      <c r="D51" s="30">
        <v>451542</v>
      </c>
      <c r="E51" s="28">
        <v>6246.8577990000003</v>
      </c>
      <c r="F51" s="29">
        <v>0.98107075551165002</v>
      </c>
    </row>
    <row r="52" spans="1:9" x14ac:dyDescent="0.2">
      <c r="A52" s="26" t="s">
        <v>1285</v>
      </c>
      <c r="B52" s="26" t="s">
        <v>1284</v>
      </c>
      <c r="C52" s="26" t="s">
        <v>1155</v>
      </c>
      <c r="D52" s="30">
        <v>1021062</v>
      </c>
      <c r="E52" s="28">
        <v>5949.7282740000001</v>
      </c>
      <c r="F52" s="29">
        <v>0.93440648093456102</v>
      </c>
    </row>
    <row r="53" spans="1:9" x14ac:dyDescent="0.2">
      <c r="A53" s="26" t="s">
        <v>1056</v>
      </c>
      <c r="B53" s="26" t="s">
        <v>1055</v>
      </c>
      <c r="C53" s="26" t="s">
        <v>978</v>
      </c>
      <c r="D53" s="30">
        <v>11253507</v>
      </c>
      <c r="E53" s="28">
        <v>5654.8872680000004</v>
      </c>
      <c r="F53" s="29">
        <v>0.88810161890319805</v>
      </c>
    </row>
    <row r="54" spans="1:9" x14ac:dyDescent="0.2">
      <c r="A54" s="26" t="s">
        <v>956</v>
      </c>
      <c r="B54" s="26" t="s">
        <v>955</v>
      </c>
      <c r="C54" s="26" t="s">
        <v>957</v>
      </c>
      <c r="D54" s="30">
        <v>3318223</v>
      </c>
      <c r="E54" s="28">
        <v>4433.1459279999999</v>
      </c>
      <c r="F54" s="29">
        <v>0.69622680150852501</v>
      </c>
    </row>
    <row r="55" spans="1:9" x14ac:dyDescent="0.2">
      <c r="A55" s="26" t="s">
        <v>954</v>
      </c>
      <c r="B55" s="26" t="s">
        <v>953</v>
      </c>
      <c r="C55" s="26" t="s">
        <v>884</v>
      </c>
      <c r="D55" s="30">
        <v>12530441</v>
      </c>
      <c r="E55" s="28">
        <v>4084.9237659999999</v>
      </c>
      <c r="F55" s="29">
        <v>0.64153841407413703</v>
      </c>
    </row>
    <row r="56" spans="1:9" x14ac:dyDescent="0.2">
      <c r="A56" s="26" t="s">
        <v>961</v>
      </c>
      <c r="B56" s="26" t="s">
        <v>1616</v>
      </c>
      <c r="C56" s="26" t="s">
        <v>957</v>
      </c>
      <c r="D56" s="30">
        <v>387844</v>
      </c>
      <c r="E56" s="28">
        <v>289.71946800000001</v>
      </c>
      <c r="F56" s="29">
        <v>4.5500523063402201E-2</v>
      </c>
    </row>
    <row r="57" spans="1:9" x14ac:dyDescent="0.2">
      <c r="A57" s="26" t="s">
        <v>1286</v>
      </c>
      <c r="B57" s="26" t="s">
        <v>1590</v>
      </c>
      <c r="C57" s="26" t="s">
        <v>1045</v>
      </c>
      <c r="D57" s="30">
        <v>44616</v>
      </c>
      <c r="E57" s="28">
        <v>222.94615200000001</v>
      </c>
      <c r="F57" s="29">
        <v>3.5013755206028403E-2</v>
      </c>
    </row>
    <row r="58" spans="1:9" ht="10.5" x14ac:dyDescent="0.25">
      <c r="A58" s="25" t="s">
        <v>153</v>
      </c>
      <c r="B58" s="25"/>
      <c r="C58" s="25"/>
      <c r="D58" s="31"/>
      <c r="E58" s="32">
        <f>SUM(E7:E57)</f>
        <v>611173.3404460001</v>
      </c>
      <c r="F58" s="33">
        <f>SUM(F7:F57)</f>
        <v>95.984943175098508</v>
      </c>
      <c r="G58" s="17"/>
      <c r="H58" s="17"/>
      <c r="I58" s="17"/>
    </row>
    <row r="59" spans="1:9" x14ac:dyDescent="0.2">
      <c r="A59" s="26"/>
      <c r="B59" s="26"/>
      <c r="C59" s="26"/>
      <c r="D59" s="27"/>
      <c r="E59" s="28"/>
      <c r="F59" s="29"/>
    </row>
    <row r="60" spans="1:9" ht="10.5" x14ac:dyDescent="0.25">
      <c r="A60" s="25" t="s">
        <v>1513</v>
      </c>
      <c r="B60" s="26"/>
      <c r="C60" s="26"/>
      <c r="D60" s="27"/>
      <c r="E60" s="28"/>
      <c r="F60" s="29"/>
    </row>
    <row r="61" spans="1:9" x14ac:dyDescent="0.2">
      <c r="A61" s="26"/>
      <c r="B61" s="26" t="s">
        <v>1519</v>
      </c>
      <c r="C61" s="26" t="s">
        <v>978</v>
      </c>
      <c r="D61" s="30">
        <v>8100</v>
      </c>
      <c r="E61" s="28">
        <v>8.0999999999999996E-4</v>
      </c>
      <c r="F61" s="29">
        <v>1.2721072538127001E-7</v>
      </c>
    </row>
    <row r="62" spans="1:9" ht="10.5" x14ac:dyDescent="0.25">
      <c r="A62" s="25" t="s">
        <v>153</v>
      </c>
      <c r="B62" s="25"/>
      <c r="C62" s="25"/>
      <c r="D62" s="31"/>
      <c r="E62" s="32">
        <f>SUM(E60:E61)</f>
        <v>8.0999999999999996E-4</v>
      </c>
      <c r="F62" s="33">
        <f>SUM(F60:F61)</f>
        <v>1.2721072538127001E-7</v>
      </c>
      <c r="G62" s="17"/>
      <c r="H62" s="17"/>
      <c r="I62" s="17"/>
    </row>
    <row r="63" spans="1:9" x14ac:dyDescent="0.2">
      <c r="A63" s="26"/>
      <c r="B63" s="26"/>
      <c r="C63" s="26"/>
      <c r="D63" s="27"/>
      <c r="E63" s="28"/>
      <c r="F63" s="29"/>
    </row>
    <row r="64" spans="1:9" ht="10.5" x14ac:dyDescent="0.25">
      <c r="A64" s="25" t="s">
        <v>166</v>
      </c>
      <c r="B64" s="25"/>
      <c r="C64" s="25"/>
      <c r="D64" s="31"/>
      <c r="E64" s="32">
        <f>E58+E62</f>
        <v>611173.3412560001</v>
      </c>
      <c r="F64" s="33">
        <f>F58+F62</f>
        <v>95.984943302309233</v>
      </c>
      <c r="G64" s="17"/>
      <c r="H64" s="17"/>
      <c r="I64" s="17"/>
    </row>
    <row r="65" spans="1:9" ht="10.5" x14ac:dyDescent="0.25">
      <c r="A65" s="25"/>
      <c r="B65" s="25"/>
      <c r="C65" s="25"/>
      <c r="D65" s="31"/>
      <c r="E65" s="32"/>
      <c r="F65" s="33"/>
      <c r="G65" s="17"/>
      <c r="H65" s="17"/>
      <c r="I65" s="17"/>
    </row>
    <row r="66" spans="1:9" ht="10.5" x14ac:dyDescent="0.25">
      <c r="A66" s="25" t="s">
        <v>168</v>
      </c>
      <c r="B66" s="25"/>
      <c r="C66" s="25"/>
      <c r="D66" s="31"/>
      <c r="E66" s="32">
        <f>E68-(E58+E62)</f>
        <v>25565.422375999857</v>
      </c>
      <c r="F66" s="33">
        <f>F68-(F58+F62)</f>
        <v>4.0150566976907669</v>
      </c>
      <c r="G66" s="17"/>
      <c r="H66" s="17"/>
      <c r="I66" s="17"/>
    </row>
    <row r="67" spans="1:9" ht="10.5" x14ac:dyDescent="0.25">
      <c r="A67" s="25"/>
      <c r="B67" s="25"/>
      <c r="C67" s="25"/>
      <c r="D67" s="31"/>
      <c r="E67" s="32"/>
      <c r="F67" s="33"/>
      <c r="G67" s="17"/>
      <c r="H67" s="17"/>
      <c r="I67" s="17"/>
    </row>
    <row r="68" spans="1:9" ht="10.5" x14ac:dyDescent="0.25">
      <c r="A68" s="34" t="s">
        <v>167</v>
      </c>
      <c r="B68" s="34"/>
      <c r="C68" s="34"/>
      <c r="D68" s="35"/>
      <c r="E68" s="36">
        <v>636738.76363199996</v>
      </c>
      <c r="F68" s="37">
        <v>100</v>
      </c>
      <c r="G68" s="17"/>
      <c r="H68" s="17"/>
      <c r="I68" s="17"/>
    </row>
    <row r="69" spans="1:9" ht="10.5" x14ac:dyDescent="0.25">
      <c r="F69" s="19" t="s">
        <v>343</v>
      </c>
    </row>
    <row r="70" spans="1:9" ht="10.5" x14ac:dyDescent="0.25">
      <c r="A70" s="17" t="s">
        <v>170</v>
      </c>
    </row>
    <row r="71" spans="1:9" ht="10.5" x14ac:dyDescent="0.25">
      <c r="A71" s="17"/>
    </row>
    <row r="72" spans="1:9" ht="10.5" x14ac:dyDescent="0.25">
      <c r="A72" s="17" t="s">
        <v>171</v>
      </c>
    </row>
    <row r="73" spans="1:9" ht="10.5" x14ac:dyDescent="0.25">
      <c r="A73" s="17" t="s">
        <v>172</v>
      </c>
    </row>
    <row r="74" spans="1:9" ht="10.5" x14ac:dyDescent="0.25">
      <c r="A74" s="17" t="s">
        <v>173</v>
      </c>
      <c r="B74" s="17"/>
      <c r="C74" s="38" t="s">
        <v>175</v>
      </c>
      <c r="D74" s="18" t="s">
        <v>174</v>
      </c>
    </row>
    <row r="75" spans="1:9" x14ac:dyDescent="0.2">
      <c r="A75" s="10" t="s">
        <v>436</v>
      </c>
      <c r="C75" s="39">
        <v>691.28530000000001</v>
      </c>
      <c r="D75" s="39">
        <v>916.60530000000006</v>
      </c>
    </row>
    <row r="76" spans="1:9" x14ac:dyDescent="0.2">
      <c r="A76" s="10" t="s">
        <v>470</v>
      </c>
      <c r="C76" s="39">
        <v>39.832299999999996</v>
      </c>
      <c r="D76" s="39">
        <v>48.1158</v>
      </c>
    </row>
    <row r="77" spans="1:9" x14ac:dyDescent="0.2">
      <c r="A77" s="10" t="s">
        <v>439</v>
      </c>
      <c r="C77" s="39">
        <v>744.1549</v>
      </c>
      <c r="D77" s="39">
        <v>990.79110000000003</v>
      </c>
    </row>
    <row r="78" spans="1:9" x14ac:dyDescent="0.2">
      <c r="A78" s="10" t="s">
        <v>471</v>
      </c>
      <c r="C78" s="39">
        <v>44.116100000000003</v>
      </c>
      <c r="D78" s="39">
        <v>54.028500000000001</v>
      </c>
    </row>
    <row r="80" spans="1:9" ht="10.5" x14ac:dyDescent="0.25">
      <c r="A80" s="17" t="s">
        <v>185</v>
      </c>
    </row>
    <row r="81" spans="1:4" ht="12.5" x14ac:dyDescent="0.25">
      <c r="A81" s="100" t="s">
        <v>350</v>
      </c>
      <c r="B81" s="101"/>
      <c r="C81" s="98" t="s">
        <v>1658</v>
      </c>
      <c r="D81" s="99"/>
    </row>
    <row r="82" spans="1:4" ht="10.5" x14ac:dyDescent="0.25">
      <c r="A82" s="100"/>
      <c r="B82" s="101"/>
      <c r="C82" s="43" t="s">
        <v>351</v>
      </c>
      <c r="D82" s="44" t="s">
        <v>352</v>
      </c>
    </row>
    <row r="83" spans="1:4" x14ac:dyDescent="0.2">
      <c r="A83" s="94" t="s">
        <v>470</v>
      </c>
      <c r="B83" s="95"/>
      <c r="C83" s="45">
        <v>4.25</v>
      </c>
      <c r="D83" s="45">
        <v>4.25</v>
      </c>
    </row>
    <row r="84" spans="1:4" x14ac:dyDescent="0.2">
      <c r="A84" s="94" t="s">
        <v>471</v>
      </c>
      <c r="B84" s="95"/>
      <c r="C84" s="45">
        <v>4.25</v>
      </c>
      <c r="D84" s="45">
        <v>4.25</v>
      </c>
    </row>
    <row r="85" spans="1:4" x14ac:dyDescent="0.2">
      <c r="A85" s="90" t="s">
        <v>1657</v>
      </c>
    </row>
    <row r="86" spans="1:4" x14ac:dyDescent="0.2">
      <c r="A86" s="90"/>
    </row>
    <row r="87" spans="1:4" ht="10.5" x14ac:dyDescent="0.25">
      <c r="A87" s="17" t="s">
        <v>1014</v>
      </c>
      <c r="D87" s="47">
        <v>8.3599999999999994E-2</v>
      </c>
    </row>
    <row r="89" spans="1:4" ht="10.5" x14ac:dyDescent="0.25">
      <c r="A89" s="17" t="s">
        <v>1633</v>
      </c>
    </row>
  </sheetData>
  <mergeCells count="6">
    <mergeCell ref="A84:B84"/>
    <mergeCell ref="A1:F1"/>
    <mergeCell ref="C81:D81"/>
    <mergeCell ref="A81:B81"/>
    <mergeCell ref="A82:B82"/>
    <mergeCell ref="A83:B83"/>
  </mergeCells>
  <conditionalFormatting sqref="F2:F3 F5:F65538">
    <cfRule type="cellIs" dxfId="18"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68"/>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35.1796875" style="10" bestFit="1" customWidth="1"/>
    <col min="3" max="3" width="18.81640625" style="10" bestFit="1" customWidth="1"/>
    <col min="4" max="4" width="15.453125" style="11" bestFit="1" customWidth="1"/>
    <col min="5" max="5" width="23" style="15" bestFit="1" customWidth="1"/>
    <col min="6" max="6" width="14.81640625" style="16" bestFit="1" customWidth="1"/>
    <col min="7" max="16384" width="9.1796875" style="10"/>
  </cols>
  <sheetData>
    <row r="1" spans="1:6" s="1" customFormat="1" ht="14" x14ac:dyDescent="0.25">
      <c r="A1" s="96" t="s">
        <v>43</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1065</v>
      </c>
      <c r="D4" s="48" t="s">
        <v>1</v>
      </c>
      <c r="E4" s="9" t="s">
        <v>3</v>
      </c>
      <c r="F4" s="9" t="s">
        <v>4</v>
      </c>
    </row>
    <row r="5" spans="1:6" ht="10.5" x14ac:dyDescent="0.25">
      <c r="A5" s="20" t="s">
        <v>881</v>
      </c>
      <c r="B5" s="21"/>
      <c r="C5" s="21"/>
      <c r="D5" s="22"/>
      <c r="E5" s="23"/>
      <c r="F5" s="24"/>
    </row>
    <row r="6" spans="1:6" ht="10.5" x14ac:dyDescent="0.25">
      <c r="A6" s="25" t="s">
        <v>57</v>
      </c>
      <c r="B6" s="26"/>
      <c r="C6" s="26"/>
      <c r="D6" s="27"/>
      <c r="E6" s="28"/>
      <c r="F6" s="29"/>
    </row>
    <row r="7" spans="1:6" x14ac:dyDescent="0.2">
      <c r="A7" s="26" t="s">
        <v>883</v>
      </c>
      <c r="B7" s="26" t="s">
        <v>882</v>
      </c>
      <c r="C7" s="26" t="s">
        <v>884</v>
      </c>
      <c r="D7" s="30">
        <v>395485</v>
      </c>
      <c r="E7" s="28">
        <v>4265.7012100000002</v>
      </c>
      <c r="F7" s="29">
        <v>8.4652549394892294</v>
      </c>
    </row>
    <row r="8" spans="1:6" x14ac:dyDescent="0.2">
      <c r="A8" s="26" t="s">
        <v>886</v>
      </c>
      <c r="B8" s="26" t="s">
        <v>885</v>
      </c>
      <c r="C8" s="26" t="s">
        <v>887</v>
      </c>
      <c r="D8" s="30">
        <v>405492</v>
      </c>
      <c r="E8" s="28">
        <v>4088.37309</v>
      </c>
      <c r="F8" s="29">
        <v>8.1133484955448498</v>
      </c>
    </row>
    <row r="9" spans="1:6" x14ac:dyDescent="0.2">
      <c r="A9" s="26" t="s">
        <v>1114</v>
      </c>
      <c r="B9" s="26" t="s">
        <v>1113</v>
      </c>
      <c r="C9" s="26" t="s">
        <v>887</v>
      </c>
      <c r="D9" s="30">
        <v>95845</v>
      </c>
      <c r="E9" s="28">
        <v>3483.6782149999999</v>
      </c>
      <c r="F9" s="29">
        <v>6.9133356429152704</v>
      </c>
    </row>
    <row r="10" spans="1:6" x14ac:dyDescent="0.2">
      <c r="A10" s="26" t="s">
        <v>898</v>
      </c>
      <c r="B10" s="26" t="s">
        <v>897</v>
      </c>
      <c r="C10" s="26" t="s">
        <v>899</v>
      </c>
      <c r="D10" s="30">
        <v>411721</v>
      </c>
      <c r="E10" s="28">
        <v>3064.0276819999999</v>
      </c>
      <c r="F10" s="29">
        <v>6.0805420241288397</v>
      </c>
    </row>
    <row r="11" spans="1:6" x14ac:dyDescent="0.2">
      <c r="A11" s="26" t="s">
        <v>896</v>
      </c>
      <c r="B11" s="26" t="s">
        <v>895</v>
      </c>
      <c r="C11" s="26" t="s">
        <v>884</v>
      </c>
      <c r="D11" s="30">
        <v>186650</v>
      </c>
      <c r="E11" s="28">
        <v>2367.0953</v>
      </c>
      <c r="F11" s="29">
        <v>4.6974844683429504</v>
      </c>
    </row>
    <row r="12" spans="1:6" x14ac:dyDescent="0.2">
      <c r="A12" s="26" t="s">
        <v>913</v>
      </c>
      <c r="B12" s="26" t="s">
        <v>912</v>
      </c>
      <c r="C12" s="26" t="s">
        <v>914</v>
      </c>
      <c r="D12" s="30">
        <v>343240</v>
      </c>
      <c r="E12" s="28">
        <v>2086.5559600000001</v>
      </c>
      <c r="F12" s="29">
        <v>4.1407560626851101</v>
      </c>
    </row>
    <row r="13" spans="1:6" x14ac:dyDescent="0.2">
      <c r="A13" s="26" t="s">
        <v>894</v>
      </c>
      <c r="B13" s="26" t="s">
        <v>893</v>
      </c>
      <c r="C13" s="26" t="s">
        <v>884</v>
      </c>
      <c r="D13" s="30">
        <v>583651</v>
      </c>
      <c r="E13" s="28">
        <v>2070.5019229999998</v>
      </c>
      <c r="F13" s="29">
        <v>4.1088969358211802</v>
      </c>
    </row>
    <row r="14" spans="1:6" x14ac:dyDescent="0.2">
      <c r="A14" s="26" t="s">
        <v>889</v>
      </c>
      <c r="B14" s="26" t="s">
        <v>888</v>
      </c>
      <c r="C14" s="26" t="s">
        <v>884</v>
      </c>
      <c r="D14" s="30">
        <v>458037</v>
      </c>
      <c r="E14" s="28">
        <v>1945.0541209999999</v>
      </c>
      <c r="F14" s="29">
        <v>3.8599466288847601</v>
      </c>
    </row>
    <row r="15" spans="1:6" x14ac:dyDescent="0.2">
      <c r="A15" s="26" t="s">
        <v>1028</v>
      </c>
      <c r="B15" s="26" t="s">
        <v>1027</v>
      </c>
      <c r="C15" s="26" t="s">
        <v>887</v>
      </c>
      <c r="D15" s="30">
        <v>229692</v>
      </c>
      <c r="E15" s="28">
        <v>1864.1802720000001</v>
      </c>
      <c r="F15" s="29">
        <v>3.6994530274769</v>
      </c>
    </row>
    <row r="16" spans="1:6" x14ac:dyDescent="0.2">
      <c r="A16" s="26" t="s">
        <v>939</v>
      </c>
      <c r="B16" s="26" t="s">
        <v>938</v>
      </c>
      <c r="C16" s="26" t="s">
        <v>925</v>
      </c>
      <c r="D16" s="30">
        <v>523765</v>
      </c>
      <c r="E16" s="28">
        <v>1849.152333</v>
      </c>
      <c r="F16" s="29">
        <v>3.6696301850912501</v>
      </c>
    </row>
    <row r="17" spans="1:6" x14ac:dyDescent="0.2">
      <c r="A17" s="26" t="s">
        <v>1073</v>
      </c>
      <c r="B17" s="26" t="s">
        <v>1072</v>
      </c>
      <c r="C17" s="26" t="s">
        <v>899</v>
      </c>
      <c r="D17" s="30">
        <v>121898</v>
      </c>
      <c r="E17" s="28">
        <v>1836.820013</v>
      </c>
      <c r="F17" s="29">
        <v>3.6451567802145499</v>
      </c>
    </row>
    <row r="18" spans="1:6" x14ac:dyDescent="0.2">
      <c r="A18" s="26" t="s">
        <v>1288</v>
      </c>
      <c r="B18" s="26" t="s">
        <v>1287</v>
      </c>
      <c r="C18" s="26" t="s">
        <v>917</v>
      </c>
      <c r="D18" s="30">
        <v>73037</v>
      </c>
      <c r="E18" s="28">
        <v>1450.8069680000001</v>
      </c>
      <c r="F18" s="29">
        <v>2.8791165268013201</v>
      </c>
    </row>
    <row r="19" spans="1:6" x14ac:dyDescent="0.2">
      <c r="A19" s="26" t="s">
        <v>1120</v>
      </c>
      <c r="B19" s="26" t="s">
        <v>1119</v>
      </c>
      <c r="C19" s="26" t="s">
        <v>957</v>
      </c>
      <c r="D19" s="30">
        <v>27384</v>
      </c>
      <c r="E19" s="28">
        <v>1367.8444919999999</v>
      </c>
      <c r="F19" s="29">
        <v>2.71447805936603</v>
      </c>
    </row>
    <row r="20" spans="1:6" x14ac:dyDescent="0.2">
      <c r="A20" s="26" t="s">
        <v>1248</v>
      </c>
      <c r="B20" s="26" t="s">
        <v>1247</v>
      </c>
      <c r="C20" s="26" t="s">
        <v>899</v>
      </c>
      <c r="D20" s="30">
        <v>169316</v>
      </c>
      <c r="E20" s="28">
        <v>1275.7960599999999</v>
      </c>
      <c r="F20" s="29">
        <v>2.5318085742568699</v>
      </c>
    </row>
    <row r="21" spans="1:6" x14ac:dyDescent="0.2">
      <c r="A21" s="26" t="s">
        <v>1182</v>
      </c>
      <c r="B21" s="26" t="s">
        <v>1181</v>
      </c>
      <c r="C21" s="26" t="s">
        <v>978</v>
      </c>
      <c r="D21" s="30">
        <v>71018</v>
      </c>
      <c r="E21" s="28">
        <v>1223.498104</v>
      </c>
      <c r="F21" s="29">
        <v>2.4280236374881299</v>
      </c>
    </row>
    <row r="22" spans="1:6" x14ac:dyDescent="0.2">
      <c r="A22" s="26" t="s">
        <v>972</v>
      </c>
      <c r="B22" s="26" t="s">
        <v>971</v>
      </c>
      <c r="C22" s="26" t="s">
        <v>922</v>
      </c>
      <c r="D22" s="30">
        <v>22418</v>
      </c>
      <c r="E22" s="28">
        <v>1163.001004</v>
      </c>
      <c r="F22" s="29">
        <v>2.3079675554073602</v>
      </c>
    </row>
    <row r="23" spans="1:6" x14ac:dyDescent="0.2">
      <c r="A23" s="26" t="s">
        <v>1085</v>
      </c>
      <c r="B23" s="26" t="s">
        <v>1084</v>
      </c>
      <c r="C23" s="26" t="s">
        <v>931</v>
      </c>
      <c r="D23" s="30">
        <v>183307</v>
      </c>
      <c r="E23" s="28">
        <v>1125.5049799999999</v>
      </c>
      <c r="F23" s="29">
        <v>2.2335569516751801</v>
      </c>
    </row>
    <row r="24" spans="1:6" x14ac:dyDescent="0.2">
      <c r="A24" s="26" t="s">
        <v>921</v>
      </c>
      <c r="B24" s="26" t="s">
        <v>920</v>
      </c>
      <c r="C24" s="26" t="s">
        <v>922</v>
      </c>
      <c r="D24" s="30">
        <v>268813</v>
      </c>
      <c r="E24" s="28">
        <v>1061.945757</v>
      </c>
      <c r="F24" s="29">
        <v>2.1074241073987201</v>
      </c>
    </row>
    <row r="25" spans="1:6" x14ac:dyDescent="0.2">
      <c r="A25" s="26" t="s">
        <v>994</v>
      </c>
      <c r="B25" s="26" t="s">
        <v>993</v>
      </c>
      <c r="C25" s="26" t="s">
        <v>995</v>
      </c>
      <c r="D25" s="30">
        <v>116490</v>
      </c>
      <c r="E25" s="28">
        <v>1050.2738400000001</v>
      </c>
      <c r="F25" s="29">
        <v>2.0842612677685199</v>
      </c>
    </row>
    <row r="26" spans="1:6" x14ac:dyDescent="0.2">
      <c r="A26" s="26" t="s">
        <v>927</v>
      </c>
      <c r="B26" s="26" t="s">
        <v>926</v>
      </c>
      <c r="C26" s="26" t="s">
        <v>928</v>
      </c>
      <c r="D26" s="30">
        <v>278178</v>
      </c>
      <c r="E26" s="28">
        <v>1000.745355</v>
      </c>
      <c r="F26" s="29">
        <v>1.98597232729872</v>
      </c>
    </row>
    <row r="27" spans="1:6" x14ac:dyDescent="0.2">
      <c r="A27" s="26" t="s">
        <v>924</v>
      </c>
      <c r="B27" s="26" t="s">
        <v>923</v>
      </c>
      <c r="C27" s="26" t="s">
        <v>925</v>
      </c>
      <c r="D27" s="30">
        <v>551423</v>
      </c>
      <c r="E27" s="28">
        <v>996.14564949999999</v>
      </c>
      <c r="F27" s="29">
        <v>1.97684424312517</v>
      </c>
    </row>
    <row r="28" spans="1:6" x14ac:dyDescent="0.2">
      <c r="A28" s="26" t="s">
        <v>1224</v>
      </c>
      <c r="B28" s="26" t="s">
        <v>1223</v>
      </c>
      <c r="C28" s="26" t="s">
        <v>995</v>
      </c>
      <c r="D28" s="30">
        <v>1262673</v>
      </c>
      <c r="E28" s="28">
        <v>813.79274850000002</v>
      </c>
      <c r="F28" s="29">
        <v>1.61496615557847</v>
      </c>
    </row>
    <row r="29" spans="1:6" x14ac:dyDescent="0.2">
      <c r="A29" s="26" t="s">
        <v>952</v>
      </c>
      <c r="B29" s="26" t="s">
        <v>951</v>
      </c>
      <c r="C29" s="26" t="s">
        <v>914</v>
      </c>
      <c r="D29" s="30">
        <v>484457</v>
      </c>
      <c r="E29" s="28">
        <v>645.78118099999995</v>
      </c>
      <c r="F29" s="29">
        <v>1.28154834648849</v>
      </c>
    </row>
    <row r="30" spans="1:6" x14ac:dyDescent="0.2">
      <c r="A30" s="26" t="s">
        <v>1017</v>
      </c>
      <c r="B30" s="26" t="s">
        <v>1016</v>
      </c>
      <c r="C30" s="26" t="s">
        <v>887</v>
      </c>
      <c r="D30" s="30">
        <v>25813</v>
      </c>
      <c r="E30" s="28">
        <v>643.337399</v>
      </c>
      <c r="F30" s="29">
        <v>1.2766986777873499</v>
      </c>
    </row>
    <row r="31" spans="1:6" x14ac:dyDescent="0.2">
      <c r="A31" s="26" t="s">
        <v>1056</v>
      </c>
      <c r="B31" s="26" t="s">
        <v>1055</v>
      </c>
      <c r="C31" s="26" t="s">
        <v>978</v>
      </c>
      <c r="D31" s="30">
        <v>1247117</v>
      </c>
      <c r="E31" s="28">
        <v>626.67629250000005</v>
      </c>
      <c r="F31" s="29">
        <v>1.24363482564369</v>
      </c>
    </row>
    <row r="32" spans="1:6" x14ac:dyDescent="0.2">
      <c r="A32" s="26" t="s">
        <v>1047</v>
      </c>
      <c r="B32" s="26" t="s">
        <v>1046</v>
      </c>
      <c r="C32" s="26" t="s">
        <v>1048</v>
      </c>
      <c r="D32" s="30">
        <v>170533</v>
      </c>
      <c r="E32" s="28">
        <v>622.36018349999995</v>
      </c>
      <c r="F32" s="29">
        <v>1.2350695367889599</v>
      </c>
    </row>
    <row r="33" spans="1:9" x14ac:dyDescent="0.2">
      <c r="A33" s="26" t="s">
        <v>948</v>
      </c>
      <c r="B33" s="26" t="s">
        <v>947</v>
      </c>
      <c r="C33" s="26" t="s">
        <v>917</v>
      </c>
      <c r="D33" s="30">
        <v>122466</v>
      </c>
      <c r="E33" s="28">
        <v>613.24849500000005</v>
      </c>
      <c r="F33" s="29">
        <v>1.21698745314445</v>
      </c>
    </row>
    <row r="34" spans="1:9" x14ac:dyDescent="0.2">
      <c r="A34" s="26" t="s">
        <v>1071</v>
      </c>
      <c r="B34" s="26" t="s">
        <v>1070</v>
      </c>
      <c r="C34" s="26" t="s">
        <v>917</v>
      </c>
      <c r="D34" s="30">
        <v>111273</v>
      </c>
      <c r="E34" s="28">
        <v>556.30936350000002</v>
      </c>
      <c r="F34" s="29">
        <v>1.10399213527018</v>
      </c>
    </row>
    <row r="35" spans="1:9" x14ac:dyDescent="0.2">
      <c r="A35" s="26" t="s">
        <v>1290</v>
      </c>
      <c r="B35" s="26" t="s">
        <v>1289</v>
      </c>
      <c r="C35" s="26" t="s">
        <v>922</v>
      </c>
      <c r="D35" s="30">
        <v>94673</v>
      </c>
      <c r="E35" s="28">
        <v>524.15706450000005</v>
      </c>
      <c r="F35" s="29">
        <v>1.04018611733165</v>
      </c>
    </row>
    <row r="36" spans="1:9" x14ac:dyDescent="0.2">
      <c r="A36" s="26" t="s">
        <v>956</v>
      </c>
      <c r="B36" s="26" t="s">
        <v>955</v>
      </c>
      <c r="C36" s="26" t="s">
        <v>957</v>
      </c>
      <c r="D36" s="30">
        <v>226247</v>
      </c>
      <c r="E36" s="28">
        <v>302.26599199999998</v>
      </c>
      <c r="F36" s="29">
        <v>0.599844798275877</v>
      </c>
    </row>
    <row r="37" spans="1:9" x14ac:dyDescent="0.2">
      <c r="A37" s="26" t="s">
        <v>1292</v>
      </c>
      <c r="B37" s="26" t="s">
        <v>1291</v>
      </c>
      <c r="C37" s="26" t="s">
        <v>978</v>
      </c>
      <c r="D37" s="30">
        <v>12795</v>
      </c>
      <c r="E37" s="28">
        <v>165.67605750000001</v>
      </c>
      <c r="F37" s="29">
        <v>0.32878300543393602</v>
      </c>
    </row>
    <row r="38" spans="1:9" x14ac:dyDescent="0.2">
      <c r="A38" s="26" t="s">
        <v>961</v>
      </c>
      <c r="B38" s="26" t="s">
        <v>1616</v>
      </c>
      <c r="C38" s="26" t="s">
        <v>957</v>
      </c>
      <c r="D38" s="30">
        <v>26444</v>
      </c>
      <c r="E38" s="28">
        <v>19.753668000000001</v>
      </c>
      <c r="F38" s="29">
        <v>3.9201019334879898E-2</v>
      </c>
    </row>
    <row r="39" spans="1:9" ht="10.5" x14ac:dyDescent="0.25">
      <c r="A39" s="25" t="s">
        <v>153</v>
      </c>
      <c r="B39" s="25"/>
      <c r="C39" s="25"/>
      <c r="D39" s="31"/>
      <c r="E39" s="32">
        <f>SUM(E7:E38)</f>
        <v>46170.060773499994</v>
      </c>
      <c r="F39" s="33">
        <f>SUM(F7:F38)</f>
        <v>91.624170512258843</v>
      </c>
      <c r="G39" s="17"/>
      <c r="H39" s="17"/>
      <c r="I39" s="17"/>
    </row>
    <row r="40" spans="1:9" x14ac:dyDescent="0.2">
      <c r="A40" s="26"/>
      <c r="B40" s="26"/>
      <c r="C40" s="26"/>
      <c r="D40" s="27"/>
      <c r="E40" s="28"/>
      <c r="F40" s="29"/>
    </row>
    <row r="41" spans="1:9" ht="10.5" x14ac:dyDescent="0.25">
      <c r="A41" s="25" t="s">
        <v>1513</v>
      </c>
      <c r="B41" s="26"/>
      <c r="C41" s="26"/>
      <c r="D41" s="27"/>
      <c r="E41" s="28"/>
      <c r="F41" s="29"/>
    </row>
    <row r="42" spans="1:9" x14ac:dyDescent="0.2">
      <c r="A42" s="26"/>
      <c r="B42" s="26" t="s">
        <v>1518</v>
      </c>
      <c r="C42" s="26" t="s">
        <v>887</v>
      </c>
      <c r="D42" s="30">
        <v>489000</v>
      </c>
      <c r="E42" s="28">
        <v>4.8899999999999999E-2</v>
      </c>
      <c r="F42" s="29">
        <v>9.7041716276471994E-5</v>
      </c>
    </row>
    <row r="43" spans="1:9" x14ac:dyDescent="0.2">
      <c r="A43" s="26"/>
      <c r="B43" s="26" t="s">
        <v>1519</v>
      </c>
      <c r="C43" s="26" t="s">
        <v>978</v>
      </c>
      <c r="D43" s="30">
        <v>98000</v>
      </c>
      <c r="E43" s="28">
        <v>9.7999999999999997E-3</v>
      </c>
      <c r="F43" s="29">
        <v>1.94480331188022E-5</v>
      </c>
    </row>
    <row r="44" spans="1:9" x14ac:dyDescent="0.2">
      <c r="A44" s="26" t="s">
        <v>1293</v>
      </c>
      <c r="B44" s="26" t="s">
        <v>1520</v>
      </c>
      <c r="C44" s="26" t="s">
        <v>1173</v>
      </c>
      <c r="D44" s="30">
        <v>44170</v>
      </c>
      <c r="E44" s="28">
        <v>4.4169999999999999E-3</v>
      </c>
      <c r="F44" s="29">
        <v>8.7655063556886899E-6</v>
      </c>
    </row>
    <row r="45" spans="1:9" x14ac:dyDescent="0.2">
      <c r="A45" s="26"/>
      <c r="B45" s="26" t="s">
        <v>1521</v>
      </c>
      <c r="C45" s="26" t="s">
        <v>887</v>
      </c>
      <c r="D45" s="30">
        <v>23815</v>
      </c>
      <c r="E45" s="28">
        <v>2.3814999999999999E-3</v>
      </c>
      <c r="F45" s="29">
        <v>4.7260704971864603E-6</v>
      </c>
    </row>
    <row r="46" spans="1:9" ht="10.5" x14ac:dyDescent="0.25">
      <c r="A46" s="25" t="s">
        <v>153</v>
      </c>
      <c r="B46" s="25"/>
      <c r="C46" s="25"/>
      <c r="D46" s="31"/>
      <c r="E46" s="32">
        <f>SUM(E41:E45)</f>
        <v>6.5498500000000001E-2</v>
      </c>
      <c r="F46" s="33">
        <f>SUM(F41:F45)</f>
        <v>1.2998132624814936E-4</v>
      </c>
      <c r="G46" s="17"/>
      <c r="H46" s="17"/>
      <c r="I46" s="17"/>
    </row>
    <row r="47" spans="1:9" x14ac:dyDescent="0.2">
      <c r="A47" s="26"/>
      <c r="B47" s="26"/>
      <c r="C47" s="26"/>
      <c r="D47" s="27"/>
      <c r="E47" s="28"/>
      <c r="F47" s="29"/>
    </row>
    <row r="48" spans="1:9" ht="10.5" x14ac:dyDescent="0.25">
      <c r="A48" s="25" t="s">
        <v>166</v>
      </c>
      <c r="B48" s="25"/>
      <c r="C48" s="25"/>
      <c r="D48" s="31"/>
      <c r="E48" s="32">
        <f>E39+E46</f>
        <v>46170.126271999994</v>
      </c>
      <c r="F48" s="33">
        <f>F39+F46</f>
        <v>91.624300493585096</v>
      </c>
      <c r="G48" s="17"/>
      <c r="H48" s="17"/>
      <c r="I48" s="17"/>
    </row>
    <row r="49" spans="1:9" ht="10.5" x14ac:dyDescent="0.25">
      <c r="A49" s="25"/>
      <c r="B49" s="25"/>
      <c r="C49" s="25"/>
      <c r="D49" s="31"/>
      <c r="E49" s="32"/>
      <c r="F49" s="33"/>
      <c r="G49" s="17"/>
      <c r="H49" s="17"/>
      <c r="I49" s="17"/>
    </row>
    <row r="50" spans="1:9" ht="10.5" x14ac:dyDescent="0.25">
      <c r="A50" s="25" t="s">
        <v>168</v>
      </c>
      <c r="B50" s="25"/>
      <c r="C50" s="25"/>
      <c r="D50" s="31"/>
      <c r="E50" s="32">
        <f>E52-(E39+E46)</f>
        <v>4220.5736005000072</v>
      </c>
      <c r="F50" s="33">
        <f>F52-(F39+F46)</f>
        <v>8.3756995064149038</v>
      </c>
      <c r="G50" s="17"/>
      <c r="H50" s="17"/>
      <c r="I50" s="17"/>
    </row>
    <row r="51" spans="1:9" ht="10.5" x14ac:dyDescent="0.25">
      <c r="A51" s="25"/>
      <c r="B51" s="25"/>
      <c r="C51" s="25"/>
      <c r="D51" s="31"/>
      <c r="E51" s="32"/>
      <c r="F51" s="33"/>
      <c r="G51" s="17"/>
      <c r="H51" s="17"/>
      <c r="I51" s="17"/>
    </row>
    <row r="52" spans="1:9" ht="10.5" x14ac:dyDescent="0.25">
      <c r="A52" s="34" t="s">
        <v>167</v>
      </c>
      <c r="B52" s="34"/>
      <c r="C52" s="34"/>
      <c r="D52" s="35"/>
      <c r="E52" s="36">
        <v>50390.699872500001</v>
      </c>
      <c r="F52" s="37">
        <v>100</v>
      </c>
      <c r="G52" s="17"/>
      <c r="H52" s="17"/>
      <c r="I52" s="17"/>
    </row>
    <row r="53" spans="1:9" ht="10.5" x14ac:dyDescent="0.25">
      <c r="F53" s="19" t="s">
        <v>343</v>
      </c>
    </row>
    <row r="54" spans="1:9" ht="10.5" x14ac:dyDescent="0.25">
      <c r="A54" s="17" t="s">
        <v>170</v>
      </c>
    </row>
    <row r="55" spans="1:9" ht="10.5" x14ac:dyDescent="0.25">
      <c r="A55" s="17"/>
    </row>
    <row r="56" spans="1:9" ht="10.5" x14ac:dyDescent="0.25">
      <c r="A56" s="17" t="s">
        <v>171</v>
      </c>
    </row>
    <row r="57" spans="1:9" ht="10.5" x14ac:dyDescent="0.25">
      <c r="A57" s="17" t="s">
        <v>172</v>
      </c>
    </row>
    <row r="58" spans="1:9" ht="10.5" x14ac:dyDescent="0.25">
      <c r="A58" s="17" t="s">
        <v>173</v>
      </c>
      <c r="B58" s="17"/>
      <c r="C58" s="38" t="s">
        <v>175</v>
      </c>
      <c r="D58" s="18" t="s">
        <v>174</v>
      </c>
    </row>
    <row r="59" spans="1:9" x14ac:dyDescent="0.2">
      <c r="A59" s="10" t="s">
        <v>436</v>
      </c>
      <c r="C59" s="39">
        <v>52.5625</v>
      </c>
      <c r="D59" s="39">
        <v>72.165000000000006</v>
      </c>
    </row>
    <row r="60" spans="1:9" x14ac:dyDescent="0.2">
      <c r="A60" s="10" t="s">
        <v>470</v>
      </c>
      <c r="C60" s="39">
        <v>12.277200000000001</v>
      </c>
      <c r="D60" s="39">
        <v>16.855899999999998</v>
      </c>
    </row>
    <row r="61" spans="1:9" x14ac:dyDescent="0.2">
      <c r="A61" s="10" t="s">
        <v>439</v>
      </c>
      <c r="C61" s="39">
        <v>55.151499999999999</v>
      </c>
      <c r="D61" s="39">
        <v>76.130300000000005</v>
      </c>
    </row>
    <row r="62" spans="1:9" x14ac:dyDescent="0.2">
      <c r="A62" s="10" t="s">
        <v>471</v>
      </c>
      <c r="C62" s="39">
        <v>13.0741</v>
      </c>
      <c r="D62" s="39">
        <v>18.045999999999999</v>
      </c>
    </row>
    <row r="64" spans="1:9" ht="10.5" x14ac:dyDescent="0.25">
      <c r="A64" s="17" t="s">
        <v>185</v>
      </c>
      <c r="D64" s="40" t="s">
        <v>186</v>
      </c>
    </row>
    <row r="66" spans="1:4" ht="10.5" x14ac:dyDescent="0.25">
      <c r="A66" s="17" t="s">
        <v>1014</v>
      </c>
      <c r="D66" s="47">
        <v>0.12859999999999999</v>
      </c>
    </row>
    <row r="68" spans="1:4" ht="10.5" x14ac:dyDescent="0.25">
      <c r="A68" s="17" t="s">
        <v>1632</v>
      </c>
    </row>
  </sheetData>
  <mergeCells count="1">
    <mergeCell ref="A1:F1"/>
  </mergeCells>
  <conditionalFormatting sqref="F2:F3 F5:F65537">
    <cfRule type="cellIs" dxfId="17" priority="1" stopIfTrue="1" operator="between">
      <formula>0.009</formula>
      <formula>-0.009</formula>
    </cfRule>
  </conditionalFormatting>
  <pageMargins left="0.7" right="0.7" top="0.75" bottom="0.75" header="0.3" footer="0.3"/>
  <pageSetup paperSize="9" scale="59" orientation="portrait" r:id="rId1"/>
  <headerFooter>
    <oddFooter>&amp;LPUBLIC</oddFooter>
    <evenFooter>&amp;LPUBLIC</evenFooter>
    <firstFooter>&amp;LPUBLIC</firstFooter>
  </headerFooter>
  <colBreaks count="1" manualBreakCount="1">
    <brk id="6" max="1048575"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59"/>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24.1796875" style="10" bestFit="1" customWidth="1"/>
    <col min="3" max="3" width="18.816406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1523</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1065</v>
      </c>
      <c r="D4" s="48" t="s">
        <v>1</v>
      </c>
      <c r="E4" s="9" t="s">
        <v>3</v>
      </c>
      <c r="F4" s="9" t="s">
        <v>4</v>
      </c>
    </row>
    <row r="5" spans="1:6" ht="10.5" x14ac:dyDescent="0.25">
      <c r="A5" s="20" t="s">
        <v>881</v>
      </c>
      <c r="B5" s="21"/>
      <c r="C5" s="21"/>
      <c r="D5" s="22"/>
      <c r="E5" s="23"/>
      <c r="F5" s="24"/>
    </row>
    <row r="6" spans="1:6" ht="10.5" x14ac:dyDescent="0.25">
      <c r="A6" s="25" t="s">
        <v>1647</v>
      </c>
      <c r="B6" s="26"/>
      <c r="C6" s="26"/>
      <c r="D6" s="27"/>
      <c r="E6" s="28"/>
      <c r="F6" s="29"/>
    </row>
    <row r="7" spans="1:6" x14ac:dyDescent="0.2">
      <c r="A7" s="26" t="s">
        <v>894</v>
      </c>
      <c r="B7" s="26" t="s">
        <v>893</v>
      </c>
      <c r="C7" s="26" t="s">
        <v>884</v>
      </c>
      <c r="D7" s="30">
        <v>19500000</v>
      </c>
      <c r="E7" s="28">
        <v>69176.25</v>
      </c>
      <c r="F7" s="29">
        <v>10.7382796254381</v>
      </c>
    </row>
    <row r="8" spans="1:6" x14ac:dyDescent="0.2">
      <c r="A8" s="26" t="s">
        <v>937</v>
      </c>
      <c r="B8" s="26" t="s">
        <v>936</v>
      </c>
      <c r="C8" s="26" t="s">
        <v>884</v>
      </c>
      <c r="D8" s="30">
        <v>35799686</v>
      </c>
      <c r="E8" s="28">
        <v>66372.617840000006</v>
      </c>
      <c r="F8" s="29">
        <v>10.3030697651038</v>
      </c>
    </row>
    <row r="9" spans="1:6" x14ac:dyDescent="0.2">
      <c r="A9" s="26" t="s">
        <v>889</v>
      </c>
      <c r="B9" s="26" t="s">
        <v>888</v>
      </c>
      <c r="C9" s="26" t="s">
        <v>884</v>
      </c>
      <c r="D9" s="30">
        <v>13100000</v>
      </c>
      <c r="E9" s="28">
        <v>55629.15</v>
      </c>
      <c r="F9" s="29">
        <v>8.6353534345305096</v>
      </c>
    </row>
    <row r="10" spans="1:6" x14ac:dyDescent="0.2">
      <c r="A10" s="26" t="s">
        <v>891</v>
      </c>
      <c r="B10" s="26" t="s">
        <v>890</v>
      </c>
      <c r="C10" s="26" t="s">
        <v>892</v>
      </c>
      <c r="D10" s="30">
        <v>9500000</v>
      </c>
      <c r="E10" s="28">
        <v>39990.25</v>
      </c>
      <c r="F10" s="29">
        <v>6.2077156074689901</v>
      </c>
    </row>
    <row r="11" spans="1:6" x14ac:dyDescent="0.2">
      <c r="A11" s="26" t="s">
        <v>1054</v>
      </c>
      <c r="B11" s="26" t="s">
        <v>1053</v>
      </c>
      <c r="C11" s="26" t="s">
        <v>899</v>
      </c>
      <c r="D11" s="30">
        <v>2600000</v>
      </c>
      <c r="E11" s="28">
        <v>36229.699999999997</v>
      </c>
      <c r="F11" s="29">
        <v>5.6239626945047698</v>
      </c>
    </row>
    <row r="12" spans="1:6" x14ac:dyDescent="0.2">
      <c r="A12" s="26" t="s">
        <v>1295</v>
      </c>
      <c r="B12" s="26" t="s">
        <v>1294</v>
      </c>
      <c r="C12" s="26" t="s">
        <v>899</v>
      </c>
      <c r="D12" s="30">
        <v>800000</v>
      </c>
      <c r="E12" s="28">
        <v>32396.400000000001</v>
      </c>
      <c r="F12" s="29">
        <v>5.0289167461020803</v>
      </c>
    </row>
    <row r="13" spans="1:6" x14ac:dyDescent="0.2">
      <c r="A13" s="26" t="s">
        <v>883</v>
      </c>
      <c r="B13" s="26" t="s">
        <v>882</v>
      </c>
      <c r="C13" s="26" t="s">
        <v>884</v>
      </c>
      <c r="D13" s="30">
        <v>2900000</v>
      </c>
      <c r="E13" s="28">
        <v>31279.4</v>
      </c>
      <c r="F13" s="29">
        <v>4.8555240232873196</v>
      </c>
    </row>
    <row r="14" spans="1:6" x14ac:dyDescent="0.2">
      <c r="A14" s="26" t="s">
        <v>939</v>
      </c>
      <c r="B14" s="26" t="s">
        <v>938</v>
      </c>
      <c r="C14" s="26" t="s">
        <v>925</v>
      </c>
      <c r="D14" s="30">
        <v>8500000</v>
      </c>
      <c r="E14" s="28">
        <v>30009.25</v>
      </c>
      <c r="F14" s="29">
        <v>4.6583577145288899</v>
      </c>
    </row>
    <row r="15" spans="1:6" x14ac:dyDescent="0.2">
      <c r="A15" s="26" t="s">
        <v>1002</v>
      </c>
      <c r="B15" s="26" t="s">
        <v>1001</v>
      </c>
      <c r="C15" s="26" t="s">
        <v>925</v>
      </c>
      <c r="D15" s="30">
        <v>40000000</v>
      </c>
      <c r="E15" s="28">
        <v>29560</v>
      </c>
      <c r="F15" s="29">
        <v>4.5886203101201799</v>
      </c>
    </row>
    <row r="16" spans="1:6" x14ac:dyDescent="0.2">
      <c r="A16" s="26" t="s">
        <v>1297</v>
      </c>
      <c r="B16" s="26" t="s">
        <v>1296</v>
      </c>
      <c r="C16" s="26" t="s">
        <v>1048</v>
      </c>
      <c r="D16" s="30">
        <v>2100000</v>
      </c>
      <c r="E16" s="28">
        <v>26231.1</v>
      </c>
      <c r="F16" s="29">
        <v>4.0718727407575601</v>
      </c>
    </row>
    <row r="17" spans="1:6" x14ac:dyDescent="0.2">
      <c r="A17" s="26" t="s">
        <v>935</v>
      </c>
      <c r="B17" s="26" t="s">
        <v>934</v>
      </c>
      <c r="C17" s="26" t="s">
        <v>931</v>
      </c>
      <c r="D17" s="30">
        <v>30000000</v>
      </c>
      <c r="E17" s="28">
        <v>25530</v>
      </c>
      <c r="F17" s="29">
        <v>3.9630404775835002</v>
      </c>
    </row>
    <row r="18" spans="1:6" x14ac:dyDescent="0.2">
      <c r="A18" s="26" t="s">
        <v>1299</v>
      </c>
      <c r="B18" s="26" t="s">
        <v>1298</v>
      </c>
      <c r="C18" s="26" t="s">
        <v>922</v>
      </c>
      <c r="D18" s="30">
        <v>2500000</v>
      </c>
      <c r="E18" s="28">
        <v>25185</v>
      </c>
      <c r="F18" s="29">
        <v>3.90948587653507</v>
      </c>
    </row>
    <row r="19" spans="1:6" x14ac:dyDescent="0.2">
      <c r="A19" s="26" t="s">
        <v>994</v>
      </c>
      <c r="B19" s="26" t="s">
        <v>993</v>
      </c>
      <c r="C19" s="26" t="s">
        <v>995</v>
      </c>
      <c r="D19" s="30">
        <v>2450000</v>
      </c>
      <c r="E19" s="28">
        <v>22089.200000000001</v>
      </c>
      <c r="F19" s="29">
        <v>3.42892258979386</v>
      </c>
    </row>
    <row r="20" spans="1:6" x14ac:dyDescent="0.2">
      <c r="A20" s="26" t="s">
        <v>1013</v>
      </c>
      <c r="B20" s="26" t="s">
        <v>1012</v>
      </c>
      <c r="C20" s="26" t="s">
        <v>884</v>
      </c>
      <c r="D20" s="30">
        <v>40000000</v>
      </c>
      <c r="E20" s="28">
        <v>19440</v>
      </c>
      <c r="F20" s="29">
        <v>3.01768534603303</v>
      </c>
    </row>
    <row r="21" spans="1:6" x14ac:dyDescent="0.2">
      <c r="A21" s="26" t="s">
        <v>1011</v>
      </c>
      <c r="B21" s="26" t="s">
        <v>1010</v>
      </c>
      <c r="C21" s="26" t="s">
        <v>908</v>
      </c>
      <c r="D21" s="30">
        <v>17000000</v>
      </c>
      <c r="E21" s="28">
        <v>14756</v>
      </c>
      <c r="F21" s="29">
        <v>2.29058461759585</v>
      </c>
    </row>
    <row r="22" spans="1:6" x14ac:dyDescent="0.2">
      <c r="A22" s="26" t="s">
        <v>1301</v>
      </c>
      <c r="B22" s="26" t="s">
        <v>1300</v>
      </c>
      <c r="C22" s="26" t="s">
        <v>944</v>
      </c>
      <c r="D22" s="30">
        <v>4000000</v>
      </c>
      <c r="E22" s="28">
        <v>13952</v>
      </c>
      <c r="F22" s="29">
        <v>2.1657791125438699</v>
      </c>
    </row>
    <row r="23" spans="1:6" x14ac:dyDescent="0.2">
      <c r="A23" s="26" t="s">
        <v>1204</v>
      </c>
      <c r="B23" s="26" t="s">
        <v>1203</v>
      </c>
      <c r="C23" s="26" t="s">
        <v>899</v>
      </c>
      <c r="D23" s="30">
        <v>4500000</v>
      </c>
      <c r="E23" s="28">
        <v>11587.5</v>
      </c>
      <c r="F23" s="29">
        <v>1.7987360569525599</v>
      </c>
    </row>
    <row r="24" spans="1:6" x14ac:dyDescent="0.2">
      <c r="A24" s="26" t="s">
        <v>1256</v>
      </c>
      <c r="B24" s="26" t="s">
        <v>1255</v>
      </c>
      <c r="C24" s="26" t="s">
        <v>1180</v>
      </c>
      <c r="D24" s="30">
        <v>500000</v>
      </c>
      <c r="E24" s="28">
        <v>10740.25</v>
      </c>
      <c r="F24" s="29">
        <v>1.66721682292856</v>
      </c>
    </row>
    <row r="25" spans="1:6" x14ac:dyDescent="0.2">
      <c r="A25" s="26" t="s">
        <v>1198</v>
      </c>
      <c r="B25" s="26" t="s">
        <v>1197</v>
      </c>
      <c r="C25" s="26" t="s">
        <v>1155</v>
      </c>
      <c r="D25" s="30">
        <v>4800000</v>
      </c>
      <c r="E25" s="28">
        <v>10680</v>
      </c>
      <c r="F25" s="29">
        <v>1.65786417158605</v>
      </c>
    </row>
    <row r="26" spans="1:6" x14ac:dyDescent="0.2">
      <c r="A26" s="26" t="s">
        <v>1303</v>
      </c>
      <c r="B26" s="26" t="s">
        <v>1302</v>
      </c>
      <c r="C26" s="26" t="s">
        <v>899</v>
      </c>
      <c r="D26" s="30">
        <v>17200000</v>
      </c>
      <c r="E26" s="28">
        <v>10535</v>
      </c>
      <c r="F26" s="29">
        <v>1.6353557160729399</v>
      </c>
    </row>
    <row r="27" spans="1:6" x14ac:dyDescent="0.2">
      <c r="A27" s="26" t="s">
        <v>1305</v>
      </c>
      <c r="B27" s="26" t="s">
        <v>1304</v>
      </c>
      <c r="C27" s="26" t="s">
        <v>1155</v>
      </c>
      <c r="D27" s="30">
        <v>15000000</v>
      </c>
      <c r="E27" s="28">
        <v>7680</v>
      </c>
      <c r="F27" s="29">
        <v>1.1921719885562601</v>
      </c>
    </row>
    <row r="28" spans="1:6" x14ac:dyDescent="0.2">
      <c r="A28" s="26" t="s">
        <v>1307</v>
      </c>
      <c r="B28" s="26" t="s">
        <v>1306</v>
      </c>
      <c r="C28" s="26" t="s">
        <v>1048</v>
      </c>
      <c r="D28" s="30">
        <v>15784923</v>
      </c>
      <c r="E28" s="28">
        <v>7616.2253479999999</v>
      </c>
      <c r="F28" s="29">
        <v>1.1822722029189801</v>
      </c>
    </row>
    <row r="29" spans="1:6" x14ac:dyDescent="0.2">
      <c r="A29" s="26" t="s">
        <v>1309</v>
      </c>
      <c r="B29" s="26" t="s">
        <v>1308</v>
      </c>
      <c r="C29" s="26" t="s">
        <v>1155</v>
      </c>
      <c r="D29" s="30">
        <v>3200000</v>
      </c>
      <c r="E29" s="28">
        <v>6233.6</v>
      </c>
      <c r="F29" s="29">
        <v>0.96764626404482901</v>
      </c>
    </row>
    <row r="30" spans="1:6" x14ac:dyDescent="0.2">
      <c r="A30" s="26" t="s">
        <v>921</v>
      </c>
      <c r="B30" s="26" t="s">
        <v>920</v>
      </c>
      <c r="C30" s="26" t="s">
        <v>922</v>
      </c>
      <c r="D30" s="30">
        <v>1400000</v>
      </c>
      <c r="E30" s="28">
        <v>5530.7</v>
      </c>
      <c r="F30" s="29">
        <v>0.85853458556094997</v>
      </c>
    </row>
    <row r="31" spans="1:6" x14ac:dyDescent="0.2">
      <c r="A31" s="26" t="s">
        <v>1214</v>
      </c>
      <c r="B31" s="26" t="s">
        <v>1213</v>
      </c>
      <c r="C31" s="26" t="s">
        <v>944</v>
      </c>
      <c r="D31" s="30">
        <v>80285</v>
      </c>
      <c r="E31" s="28">
        <v>2843.132705</v>
      </c>
      <c r="F31" s="29">
        <v>0.44134155867827901</v>
      </c>
    </row>
    <row r="32" spans="1:6" x14ac:dyDescent="0.2">
      <c r="A32" s="26" t="s">
        <v>1311</v>
      </c>
      <c r="B32" s="26" t="s">
        <v>1310</v>
      </c>
      <c r="C32" s="26" t="s">
        <v>1312</v>
      </c>
      <c r="D32" s="30">
        <v>300000</v>
      </c>
      <c r="E32" s="28">
        <v>2418.3000000000002</v>
      </c>
      <c r="F32" s="29">
        <v>0.37539446874031202</v>
      </c>
    </row>
    <row r="33" spans="1:9" ht="10.5" x14ac:dyDescent="0.25">
      <c r="A33" s="25" t="s">
        <v>153</v>
      </c>
      <c r="B33" s="25"/>
      <c r="C33" s="25"/>
      <c r="D33" s="31"/>
      <c r="E33" s="32">
        <f>SUM(E7:E32)</f>
        <v>613691.02589299995</v>
      </c>
      <c r="F33" s="33">
        <f>SUM(F7:F32)</f>
        <v>95.263704517967099</v>
      </c>
      <c r="G33" s="17"/>
      <c r="H33" s="17"/>
      <c r="I33" s="17"/>
    </row>
    <row r="34" spans="1:9" x14ac:dyDescent="0.2">
      <c r="A34" s="26"/>
      <c r="B34" s="26"/>
      <c r="C34" s="26"/>
      <c r="D34" s="27"/>
      <c r="E34" s="28"/>
      <c r="F34" s="29"/>
    </row>
    <row r="35" spans="1:9" ht="10.5" x14ac:dyDescent="0.25">
      <c r="A35" s="25" t="s">
        <v>166</v>
      </c>
      <c r="B35" s="25"/>
      <c r="C35" s="25"/>
      <c r="D35" s="31"/>
      <c r="E35" s="32">
        <f>E33</f>
        <v>613691.02589299995</v>
      </c>
      <c r="F35" s="33">
        <f>F33</f>
        <v>95.263704517967099</v>
      </c>
      <c r="G35" s="17"/>
      <c r="H35" s="17"/>
      <c r="I35" s="17"/>
    </row>
    <row r="36" spans="1:9" ht="10.5" x14ac:dyDescent="0.25">
      <c r="A36" s="25"/>
      <c r="B36" s="25"/>
      <c r="C36" s="25"/>
      <c r="D36" s="31"/>
      <c r="E36" s="32"/>
      <c r="F36" s="33"/>
      <c r="G36" s="17"/>
      <c r="H36" s="17"/>
      <c r="I36" s="17"/>
    </row>
    <row r="37" spans="1:9" ht="10.5" x14ac:dyDescent="0.25">
      <c r="A37" s="25" t="s">
        <v>168</v>
      </c>
      <c r="B37" s="25"/>
      <c r="C37" s="25"/>
      <c r="D37" s="31"/>
      <c r="E37" s="32">
        <f>E39-(E33)</f>
        <v>30511.326931999996</v>
      </c>
      <c r="F37" s="33">
        <f>F39-(F33)</f>
        <v>4.7362954820329008</v>
      </c>
      <c r="G37" s="17"/>
      <c r="H37" s="17"/>
      <c r="I37" s="17"/>
    </row>
    <row r="38" spans="1:9" ht="10.5" x14ac:dyDescent="0.25">
      <c r="A38" s="25"/>
      <c r="B38" s="25"/>
      <c r="C38" s="25"/>
      <c r="D38" s="31"/>
      <c r="E38" s="32"/>
      <c r="F38" s="33"/>
      <c r="G38" s="17"/>
      <c r="H38" s="17"/>
      <c r="I38" s="17"/>
    </row>
    <row r="39" spans="1:9" ht="10.5" x14ac:dyDescent="0.25">
      <c r="A39" s="34" t="s">
        <v>167</v>
      </c>
      <c r="B39" s="34"/>
      <c r="C39" s="34"/>
      <c r="D39" s="35"/>
      <c r="E39" s="36">
        <v>644202.35282499995</v>
      </c>
      <c r="F39" s="37">
        <v>100</v>
      </c>
      <c r="G39" s="17"/>
      <c r="H39" s="17"/>
      <c r="I39" s="17"/>
    </row>
    <row r="42" spans="1:9" ht="10.5" x14ac:dyDescent="0.25">
      <c r="A42" s="17" t="s">
        <v>171</v>
      </c>
    </row>
    <row r="43" spans="1:9" ht="10.5" x14ac:dyDescent="0.25">
      <c r="A43" s="17" t="s">
        <v>172</v>
      </c>
    </row>
    <row r="44" spans="1:9" ht="10.5" x14ac:dyDescent="0.25">
      <c r="A44" s="17" t="s">
        <v>173</v>
      </c>
      <c r="B44" s="17"/>
      <c r="C44" s="38" t="s">
        <v>175</v>
      </c>
      <c r="D44" s="18" t="s">
        <v>174</v>
      </c>
    </row>
    <row r="45" spans="1:9" x14ac:dyDescent="0.2">
      <c r="A45" s="10" t="s">
        <v>436</v>
      </c>
      <c r="C45" s="39">
        <v>29.23</v>
      </c>
      <c r="D45" s="39">
        <v>35.159300000000002</v>
      </c>
    </row>
    <row r="46" spans="1:9" x14ac:dyDescent="0.2">
      <c r="A46" s="10" t="s">
        <v>470</v>
      </c>
      <c r="C46" s="39">
        <v>15.847099999999999</v>
      </c>
      <c r="D46" s="39">
        <v>17.668099999999999</v>
      </c>
    </row>
    <row r="47" spans="1:9" x14ac:dyDescent="0.2">
      <c r="A47" s="10" t="s">
        <v>439</v>
      </c>
      <c r="C47" s="39">
        <v>31.5383</v>
      </c>
      <c r="D47" s="39">
        <v>38.092399999999998</v>
      </c>
    </row>
    <row r="48" spans="1:9" x14ac:dyDescent="0.2">
      <c r="A48" s="10" t="s">
        <v>471</v>
      </c>
      <c r="C48" s="39">
        <v>17.5289</v>
      </c>
      <c r="D48" s="39">
        <v>19.777200000000001</v>
      </c>
    </row>
    <row r="50" spans="1:4" ht="10.5" x14ac:dyDescent="0.25">
      <c r="A50" s="17" t="s">
        <v>185</v>
      </c>
    </row>
    <row r="51" spans="1:4" ht="12.5" x14ac:dyDescent="0.25">
      <c r="A51" s="100" t="s">
        <v>350</v>
      </c>
      <c r="B51" s="101"/>
      <c r="C51" s="98" t="s">
        <v>1658</v>
      </c>
      <c r="D51" s="99"/>
    </row>
    <row r="52" spans="1:4" ht="10.5" x14ac:dyDescent="0.25">
      <c r="A52" s="100"/>
      <c r="B52" s="101"/>
      <c r="C52" s="43" t="s">
        <v>351</v>
      </c>
      <c r="D52" s="44" t="s">
        <v>352</v>
      </c>
    </row>
    <row r="53" spans="1:4" x14ac:dyDescent="0.2">
      <c r="A53" s="94" t="s">
        <v>470</v>
      </c>
      <c r="B53" s="95"/>
      <c r="C53" s="45">
        <v>1.5</v>
      </c>
      <c r="D53" s="45">
        <v>1.5</v>
      </c>
    </row>
    <row r="54" spans="1:4" x14ac:dyDescent="0.2">
      <c r="A54" s="94" t="s">
        <v>471</v>
      </c>
      <c r="B54" s="95"/>
      <c r="C54" s="45">
        <v>1.5</v>
      </c>
      <c r="D54" s="45">
        <v>1.5</v>
      </c>
    </row>
    <row r="55" spans="1:4" x14ac:dyDescent="0.2">
      <c r="A55" s="90" t="s">
        <v>1657</v>
      </c>
    </row>
    <row r="56" spans="1:4" x14ac:dyDescent="0.2">
      <c r="A56" s="90"/>
    </row>
    <row r="57" spans="1:4" ht="10.5" x14ac:dyDescent="0.25">
      <c r="A57" s="17" t="s">
        <v>1014</v>
      </c>
      <c r="D57" s="47">
        <v>0.15859999999999999</v>
      </c>
    </row>
    <row r="59" spans="1:4" ht="10.5" x14ac:dyDescent="0.25">
      <c r="A59" s="17" t="s">
        <v>1524</v>
      </c>
    </row>
  </sheetData>
  <mergeCells count="6">
    <mergeCell ref="A54:B54"/>
    <mergeCell ref="A1:F1"/>
    <mergeCell ref="C51:D51"/>
    <mergeCell ref="A51:B51"/>
    <mergeCell ref="A52:B52"/>
    <mergeCell ref="A53:B53"/>
  </mergeCells>
  <conditionalFormatting sqref="F2:F3 F5:F65537">
    <cfRule type="cellIs" dxfId="16" priority="1" stopIfTrue="1" operator="between">
      <formula>0.009</formula>
      <formula>-0.009</formula>
    </cfRule>
  </conditionalFormatting>
  <pageMargins left="0.7" right="0.7" top="0.75" bottom="0.75" header="0.3" footer="0.3"/>
  <pageSetup paperSize="9" scale="65" orientation="portrait" r:id="rId1"/>
  <headerFooter>
    <oddFooter>&amp;LPUBLIC</oddFooter>
    <evenFooter>&amp;LPUBLIC</evenFooter>
    <firstFooter>&amp;LPUBLIC</firstFooter>
  </headerFooter>
  <colBreaks count="1" manualBreakCount="1">
    <brk id="6" max="1048575" man="1"/>
  </col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86"/>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34.1796875" style="10" bestFit="1" customWidth="1"/>
    <col min="3" max="3" width="18.81640625" style="10" bestFit="1" customWidth="1"/>
    <col min="4" max="4" width="15.453125" style="11" bestFit="1" customWidth="1"/>
    <col min="5" max="5" width="23" style="15" bestFit="1" customWidth="1"/>
    <col min="6" max="6" width="14.81640625" style="16" bestFit="1" customWidth="1"/>
    <col min="7" max="16384" width="9.1796875" style="10"/>
  </cols>
  <sheetData>
    <row r="1" spans="1:6" s="1" customFormat="1" ht="14" x14ac:dyDescent="0.25">
      <c r="A1" s="96" t="s">
        <v>1525</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1065</v>
      </c>
      <c r="D4" s="48" t="s">
        <v>1</v>
      </c>
      <c r="E4" s="9" t="s">
        <v>3</v>
      </c>
      <c r="F4" s="9" t="s">
        <v>4</v>
      </c>
    </row>
    <row r="5" spans="1:6" ht="10.5" x14ac:dyDescent="0.25">
      <c r="A5" s="20" t="s">
        <v>881</v>
      </c>
      <c r="B5" s="21"/>
      <c r="C5" s="21"/>
      <c r="D5" s="22"/>
      <c r="E5" s="23"/>
      <c r="F5" s="24"/>
    </row>
    <row r="6" spans="1:6" ht="10.5" x14ac:dyDescent="0.25">
      <c r="A6" s="25" t="s">
        <v>57</v>
      </c>
      <c r="B6" s="26"/>
      <c r="C6" s="26"/>
      <c r="D6" s="27"/>
      <c r="E6" s="28"/>
      <c r="F6" s="29"/>
    </row>
    <row r="7" spans="1:6" x14ac:dyDescent="0.2">
      <c r="A7" s="26" t="s">
        <v>883</v>
      </c>
      <c r="B7" s="26" t="s">
        <v>882</v>
      </c>
      <c r="C7" s="26" t="s">
        <v>884</v>
      </c>
      <c r="D7" s="30">
        <v>6000000</v>
      </c>
      <c r="E7" s="28">
        <v>64716</v>
      </c>
      <c r="F7" s="29">
        <v>8.0084039192833991</v>
      </c>
    </row>
    <row r="8" spans="1:6" x14ac:dyDescent="0.2">
      <c r="A8" s="26" t="s">
        <v>886</v>
      </c>
      <c r="B8" s="26" t="s">
        <v>885</v>
      </c>
      <c r="C8" s="26" t="s">
        <v>887</v>
      </c>
      <c r="D8" s="30">
        <v>5600000</v>
      </c>
      <c r="E8" s="28">
        <v>56462</v>
      </c>
      <c r="F8" s="29">
        <v>6.9869970654950802</v>
      </c>
    </row>
    <row r="9" spans="1:6" x14ac:dyDescent="0.2">
      <c r="A9" s="26" t="s">
        <v>891</v>
      </c>
      <c r="B9" s="26" t="s">
        <v>890</v>
      </c>
      <c r="C9" s="26" t="s">
        <v>892</v>
      </c>
      <c r="D9" s="30">
        <v>12500000</v>
      </c>
      <c r="E9" s="28">
        <v>52618.75</v>
      </c>
      <c r="F9" s="29">
        <v>6.5114068194541304</v>
      </c>
    </row>
    <row r="10" spans="1:6" x14ac:dyDescent="0.2">
      <c r="A10" s="26" t="s">
        <v>894</v>
      </c>
      <c r="B10" s="26" t="s">
        <v>893</v>
      </c>
      <c r="C10" s="26" t="s">
        <v>884</v>
      </c>
      <c r="D10" s="30">
        <v>13756000</v>
      </c>
      <c r="E10" s="28">
        <v>48799.41</v>
      </c>
      <c r="F10" s="29">
        <v>6.0387753616218198</v>
      </c>
    </row>
    <row r="11" spans="1:6" x14ac:dyDescent="0.2">
      <c r="A11" s="26" t="s">
        <v>889</v>
      </c>
      <c r="B11" s="26" t="s">
        <v>888</v>
      </c>
      <c r="C11" s="26" t="s">
        <v>884</v>
      </c>
      <c r="D11" s="30">
        <v>9850000</v>
      </c>
      <c r="E11" s="28">
        <v>41828.025000000001</v>
      </c>
      <c r="F11" s="29">
        <v>5.1760881288380602</v>
      </c>
    </row>
    <row r="12" spans="1:6" x14ac:dyDescent="0.2">
      <c r="A12" s="26" t="s">
        <v>913</v>
      </c>
      <c r="B12" s="26" t="s">
        <v>912</v>
      </c>
      <c r="C12" s="26" t="s">
        <v>914</v>
      </c>
      <c r="D12" s="30">
        <v>5600000</v>
      </c>
      <c r="E12" s="28">
        <v>34042.400000000001</v>
      </c>
      <c r="F12" s="29">
        <v>4.2126412259999597</v>
      </c>
    </row>
    <row r="13" spans="1:6" x14ac:dyDescent="0.2">
      <c r="A13" s="26" t="s">
        <v>994</v>
      </c>
      <c r="B13" s="26" t="s">
        <v>993</v>
      </c>
      <c r="C13" s="26" t="s">
        <v>995</v>
      </c>
      <c r="D13" s="30">
        <v>3200000</v>
      </c>
      <c r="E13" s="28">
        <v>28851.200000000001</v>
      </c>
      <c r="F13" s="29">
        <v>3.5702463557084698</v>
      </c>
    </row>
    <row r="14" spans="1:6" x14ac:dyDescent="0.2">
      <c r="A14" s="26" t="s">
        <v>937</v>
      </c>
      <c r="B14" s="26" t="s">
        <v>936</v>
      </c>
      <c r="C14" s="26" t="s">
        <v>884</v>
      </c>
      <c r="D14" s="30">
        <v>14000000</v>
      </c>
      <c r="E14" s="28">
        <v>25956</v>
      </c>
      <c r="F14" s="29">
        <v>3.2119743514574401</v>
      </c>
    </row>
    <row r="15" spans="1:6" x14ac:dyDescent="0.2">
      <c r="A15" s="26" t="s">
        <v>898</v>
      </c>
      <c r="B15" s="26" t="s">
        <v>897</v>
      </c>
      <c r="C15" s="26" t="s">
        <v>899</v>
      </c>
      <c r="D15" s="30">
        <v>3000000</v>
      </c>
      <c r="E15" s="28">
        <v>22326</v>
      </c>
      <c r="F15" s="29">
        <v>2.76277313032204</v>
      </c>
    </row>
    <row r="16" spans="1:6" x14ac:dyDescent="0.2">
      <c r="A16" s="26" t="s">
        <v>952</v>
      </c>
      <c r="B16" s="26" t="s">
        <v>951</v>
      </c>
      <c r="C16" s="26" t="s">
        <v>914</v>
      </c>
      <c r="D16" s="30">
        <v>16500000</v>
      </c>
      <c r="E16" s="28">
        <v>21994.5</v>
      </c>
      <c r="F16" s="29">
        <v>2.7217510353340599</v>
      </c>
    </row>
    <row r="17" spans="1:6" x14ac:dyDescent="0.2">
      <c r="A17" s="26" t="s">
        <v>910</v>
      </c>
      <c r="B17" s="26" t="s">
        <v>909</v>
      </c>
      <c r="C17" s="26" t="s">
        <v>911</v>
      </c>
      <c r="D17" s="30">
        <v>3000000</v>
      </c>
      <c r="E17" s="28">
        <v>20410.5</v>
      </c>
      <c r="F17" s="29">
        <v>2.5257359570204301</v>
      </c>
    </row>
    <row r="18" spans="1:6" x14ac:dyDescent="0.2">
      <c r="A18" s="26" t="s">
        <v>1028</v>
      </c>
      <c r="B18" s="26" t="s">
        <v>1027</v>
      </c>
      <c r="C18" s="26" t="s">
        <v>887</v>
      </c>
      <c r="D18" s="30">
        <v>2500000</v>
      </c>
      <c r="E18" s="28">
        <v>20290</v>
      </c>
      <c r="F18" s="29">
        <v>2.5108244564290199</v>
      </c>
    </row>
    <row r="19" spans="1:6" x14ac:dyDescent="0.2">
      <c r="A19" s="26" t="s">
        <v>988</v>
      </c>
      <c r="B19" s="26" t="s">
        <v>987</v>
      </c>
      <c r="C19" s="26" t="s">
        <v>887</v>
      </c>
      <c r="D19" s="30">
        <v>2500000</v>
      </c>
      <c r="E19" s="28">
        <v>19793.75</v>
      </c>
      <c r="F19" s="29">
        <v>2.4494150608399101</v>
      </c>
    </row>
    <row r="20" spans="1:6" x14ac:dyDescent="0.2">
      <c r="A20" s="26" t="s">
        <v>941</v>
      </c>
      <c r="B20" s="26" t="s">
        <v>940</v>
      </c>
      <c r="C20" s="26" t="s">
        <v>917</v>
      </c>
      <c r="D20" s="30">
        <v>1920000</v>
      </c>
      <c r="E20" s="28">
        <v>18360.96</v>
      </c>
      <c r="F20" s="29">
        <v>2.27211175019788</v>
      </c>
    </row>
    <row r="21" spans="1:6" x14ac:dyDescent="0.2">
      <c r="A21" s="26" t="s">
        <v>1054</v>
      </c>
      <c r="B21" s="26" t="s">
        <v>1053</v>
      </c>
      <c r="C21" s="26" t="s">
        <v>899</v>
      </c>
      <c r="D21" s="30">
        <v>1300000</v>
      </c>
      <c r="E21" s="28">
        <v>18114.849999999999</v>
      </c>
      <c r="F21" s="29">
        <v>2.2416564023924699</v>
      </c>
    </row>
    <row r="22" spans="1:6" x14ac:dyDescent="0.2">
      <c r="A22" s="26" t="s">
        <v>896</v>
      </c>
      <c r="B22" s="26" t="s">
        <v>895</v>
      </c>
      <c r="C22" s="26" t="s">
        <v>884</v>
      </c>
      <c r="D22" s="30">
        <v>1400000</v>
      </c>
      <c r="E22" s="28">
        <v>17754.8</v>
      </c>
      <c r="F22" s="29">
        <v>2.1971013336129102</v>
      </c>
    </row>
    <row r="23" spans="1:6" x14ac:dyDescent="0.2">
      <c r="A23" s="26" t="s">
        <v>1314</v>
      </c>
      <c r="B23" s="26" t="s">
        <v>1313</v>
      </c>
      <c r="C23" s="26" t="s">
        <v>917</v>
      </c>
      <c r="D23" s="30">
        <v>4800000</v>
      </c>
      <c r="E23" s="28">
        <v>17424</v>
      </c>
      <c r="F23" s="29">
        <v>2.1561658614499302</v>
      </c>
    </row>
    <row r="24" spans="1:6" x14ac:dyDescent="0.2">
      <c r="A24" s="26" t="s">
        <v>935</v>
      </c>
      <c r="B24" s="26" t="s">
        <v>934</v>
      </c>
      <c r="C24" s="26" t="s">
        <v>931</v>
      </c>
      <c r="D24" s="30">
        <v>20200000</v>
      </c>
      <c r="E24" s="28">
        <v>17190.2</v>
      </c>
      <c r="F24" s="29">
        <v>2.12723383789581</v>
      </c>
    </row>
    <row r="25" spans="1:6" x14ac:dyDescent="0.2">
      <c r="A25" s="26" t="s">
        <v>1316</v>
      </c>
      <c r="B25" s="26" t="s">
        <v>1315</v>
      </c>
      <c r="C25" s="26" t="s">
        <v>917</v>
      </c>
      <c r="D25" s="30">
        <v>3300000</v>
      </c>
      <c r="E25" s="28">
        <v>17023.05</v>
      </c>
      <c r="F25" s="29">
        <v>2.1065495447517999</v>
      </c>
    </row>
    <row r="26" spans="1:6" x14ac:dyDescent="0.2">
      <c r="A26" s="26" t="s">
        <v>1318</v>
      </c>
      <c r="B26" s="26" t="s">
        <v>1317</v>
      </c>
      <c r="C26" s="26" t="s">
        <v>978</v>
      </c>
      <c r="D26" s="30">
        <v>3859610</v>
      </c>
      <c r="E26" s="28">
        <v>16245.09849</v>
      </c>
      <c r="F26" s="29">
        <v>2.0102804625820601</v>
      </c>
    </row>
    <row r="27" spans="1:6" x14ac:dyDescent="0.2">
      <c r="A27" s="26" t="s">
        <v>924</v>
      </c>
      <c r="B27" s="26" t="s">
        <v>923</v>
      </c>
      <c r="C27" s="26" t="s">
        <v>925</v>
      </c>
      <c r="D27" s="30">
        <v>8700000</v>
      </c>
      <c r="E27" s="28">
        <v>15716.55</v>
      </c>
      <c r="F27" s="29">
        <v>1.94487422921091</v>
      </c>
    </row>
    <row r="28" spans="1:6" x14ac:dyDescent="0.2">
      <c r="A28" s="26" t="s">
        <v>950</v>
      </c>
      <c r="B28" s="26" t="s">
        <v>949</v>
      </c>
      <c r="C28" s="26" t="s">
        <v>914</v>
      </c>
      <c r="D28" s="30">
        <v>3300000</v>
      </c>
      <c r="E28" s="28">
        <v>15453.9</v>
      </c>
      <c r="F28" s="29">
        <v>1.9123721077973601</v>
      </c>
    </row>
    <row r="29" spans="1:6" x14ac:dyDescent="0.2">
      <c r="A29" s="26" t="s">
        <v>956</v>
      </c>
      <c r="B29" s="26" t="s">
        <v>955</v>
      </c>
      <c r="C29" s="26" t="s">
        <v>957</v>
      </c>
      <c r="D29" s="30">
        <v>11500000</v>
      </c>
      <c r="E29" s="28">
        <v>15364</v>
      </c>
      <c r="F29" s="29">
        <v>1.9012472621279199</v>
      </c>
    </row>
    <row r="30" spans="1:6" x14ac:dyDescent="0.2">
      <c r="A30" s="26" t="s">
        <v>1320</v>
      </c>
      <c r="B30" s="26" t="s">
        <v>1319</v>
      </c>
      <c r="C30" s="26" t="s">
        <v>922</v>
      </c>
      <c r="D30" s="30">
        <v>3000000</v>
      </c>
      <c r="E30" s="28">
        <v>15013.5</v>
      </c>
      <c r="F30" s="29">
        <v>1.85787397617531</v>
      </c>
    </row>
    <row r="31" spans="1:6" x14ac:dyDescent="0.2">
      <c r="A31" s="26" t="s">
        <v>1295</v>
      </c>
      <c r="B31" s="26" t="s">
        <v>1294</v>
      </c>
      <c r="C31" s="26" t="s">
        <v>899</v>
      </c>
      <c r="D31" s="30">
        <v>350000</v>
      </c>
      <c r="E31" s="28">
        <v>14173.424999999999</v>
      </c>
      <c r="F31" s="29">
        <v>1.7539173051435399</v>
      </c>
    </row>
    <row r="32" spans="1:6" x14ac:dyDescent="0.2">
      <c r="A32" s="26" t="s">
        <v>1160</v>
      </c>
      <c r="B32" s="26" t="s">
        <v>1159</v>
      </c>
      <c r="C32" s="26" t="s">
        <v>917</v>
      </c>
      <c r="D32" s="30">
        <v>9000000</v>
      </c>
      <c r="E32" s="28">
        <v>13234.5</v>
      </c>
      <c r="F32" s="29">
        <v>1.6377282537511</v>
      </c>
    </row>
    <row r="33" spans="1:6" x14ac:dyDescent="0.2">
      <c r="A33" s="26" t="s">
        <v>1011</v>
      </c>
      <c r="B33" s="26" t="s">
        <v>1010</v>
      </c>
      <c r="C33" s="26" t="s">
        <v>908</v>
      </c>
      <c r="D33" s="30">
        <v>12000000</v>
      </c>
      <c r="E33" s="28">
        <v>10416</v>
      </c>
      <c r="F33" s="29">
        <v>1.2889476361835699</v>
      </c>
    </row>
    <row r="34" spans="1:6" x14ac:dyDescent="0.2">
      <c r="A34" s="26" t="s">
        <v>1299</v>
      </c>
      <c r="B34" s="26" t="s">
        <v>1298</v>
      </c>
      <c r="C34" s="26" t="s">
        <v>922</v>
      </c>
      <c r="D34" s="30">
        <v>1000000</v>
      </c>
      <c r="E34" s="28">
        <v>10074</v>
      </c>
      <c r="F34" s="29">
        <v>1.2466261988203999</v>
      </c>
    </row>
    <row r="35" spans="1:6" x14ac:dyDescent="0.2">
      <c r="A35" s="26" t="s">
        <v>1069</v>
      </c>
      <c r="B35" s="26" t="s">
        <v>1068</v>
      </c>
      <c r="C35" s="26" t="s">
        <v>944</v>
      </c>
      <c r="D35" s="30">
        <v>1888237</v>
      </c>
      <c r="E35" s="28">
        <v>9479.8938589999998</v>
      </c>
      <c r="F35" s="29">
        <v>1.1731074098338301</v>
      </c>
    </row>
    <row r="36" spans="1:6" x14ac:dyDescent="0.2">
      <c r="A36" s="26" t="s">
        <v>943</v>
      </c>
      <c r="B36" s="26" t="s">
        <v>942</v>
      </c>
      <c r="C36" s="26" t="s">
        <v>944</v>
      </c>
      <c r="D36" s="30">
        <v>1900000</v>
      </c>
      <c r="E36" s="28">
        <v>8458.7999999999993</v>
      </c>
      <c r="F36" s="29">
        <v>1.0467502174490799</v>
      </c>
    </row>
    <row r="37" spans="1:6" x14ac:dyDescent="0.2">
      <c r="A37" s="26" t="s">
        <v>1260</v>
      </c>
      <c r="B37" s="26" t="s">
        <v>1259</v>
      </c>
      <c r="C37" s="26" t="s">
        <v>944</v>
      </c>
      <c r="D37" s="30">
        <v>540000</v>
      </c>
      <c r="E37" s="28">
        <v>7892.1</v>
      </c>
      <c r="F37" s="29">
        <v>0.97662285325694598</v>
      </c>
    </row>
    <row r="38" spans="1:6" x14ac:dyDescent="0.2">
      <c r="A38" s="26" t="s">
        <v>1322</v>
      </c>
      <c r="B38" s="26" t="s">
        <v>1321</v>
      </c>
      <c r="C38" s="26" t="s">
        <v>978</v>
      </c>
      <c r="D38" s="30">
        <v>12000000</v>
      </c>
      <c r="E38" s="28">
        <v>7464</v>
      </c>
      <c r="F38" s="29">
        <v>0.92364680841725899</v>
      </c>
    </row>
    <row r="39" spans="1:6" x14ac:dyDescent="0.2">
      <c r="A39" s="26" t="s">
        <v>1204</v>
      </c>
      <c r="B39" s="26" t="s">
        <v>1203</v>
      </c>
      <c r="C39" s="26" t="s">
        <v>899</v>
      </c>
      <c r="D39" s="30">
        <v>2800000</v>
      </c>
      <c r="E39" s="28">
        <v>7210</v>
      </c>
      <c r="F39" s="29">
        <v>0.89221509762706797</v>
      </c>
    </row>
    <row r="40" spans="1:6" x14ac:dyDescent="0.2">
      <c r="A40" s="26" t="s">
        <v>1050</v>
      </c>
      <c r="B40" s="26" t="s">
        <v>1049</v>
      </c>
      <c r="C40" s="26" t="s">
        <v>925</v>
      </c>
      <c r="D40" s="30">
        <v>1000000</v>
      </c>
      <c r="E40" s="28">
        <v>6529.5</v>
      </c>
      <c r="F40" s="29">
        <v>0.80800533702578903</v>
      </c>
    </row>
    <row r="41" spans="1:6" x14ac:dyDescent="0.2">
      <c r="A41" s="26" t="s">
        <v>992</v>
      </c>
      <c r="B41" s="26" t="s">
        <v>991</v>
      </c>
      <c r="C41" s="26" t="s">
        <v>917</v>
      </c>
      <c r="D41" s="30">
        <v>1200000</v>
      </c>
      <c r="E41" s="28">
        <v>6126.6</v>
      </c>
      <c r="F41" s="29">
        <v>0.758147713886546</v>
      </c>
    </row>
    <row r="42" spans="1:6" x14ac:dyDescent="0.2">
      <c r="A42" s="26" t="s">
        <v>1034</v>
      </c>
      <c r="B42" s="26" t="s">
        <v>1033</v>
      </c>
      <c r="C42" s="26" t="s">
        <v>1035</v>
      </c>
      <c r="D42" s="30">
        <v>5500000</v>
      </c>
      <c r="E42" s="28">
        <v>5266.25</v>
      </c>
      <c r="F42" s="29">
        <v>0.65168207460173999</v>
      </c>
    </row>
    <row r="43" spans="1:6" x14ac:dyDescent="0.2">
      <c r="A43" s="26" t="s">
        <v>1002</v>
      </c>
      <c r="B43" s="26" t="s">
        <v>1001</v>
      </c>
      <c r="C43" s="26" t="s">
        <v>925</v>
      </c>
      <c r="D43" s="30">
        <v>7000000</v>
      </c>
      <c r="E43" s="28">
        <v>5173</v>
      </c>
      <c r="F43" s="29">
        <v>0.64014267684116799</v>
      </c>
    </row>
    <row r="44" spans="1:6" x14ac:dyDescent="0.2">
      <c r="A44" s="26" t="s">
        <v>1060</v>
      </c>
      <c r="B44" s="26" t="s">
        <v>1059</v>
      </c>
      <c r="C44" s="26" t="s">
        <v>1061</v>
      </c>
      <c r="D44" s="30">
        <v>1500000</v>
      </c>
      <c r="E44" s="28">
        <v>4973.25</v>
      </c>
      <c r="F44" s="29">
        <v>0.61542423498943299</v>
      </c>
    </row>
    <row r="45" spans="1:6" x14ac:dyDescent="0.2">
      <c r="A45" s="26" t="s">
        <v>1324</v>
      </c>
      <c r="B45" s="26" t="s">
        <v>1323</v>
      </c>
      <c r="C45" s="26" t="s">
        <v>1048</v>
      </c>
      <c r="D45" s="30">
        <v>6000000</v>
      </c>
      <c r="E45" s="28">
        <v>4935</v>
      </c>
      <c r="F45" s="29">
        <v>0.61069091633697403</v>
      </c>
    </row>
    <row r="46" spans="1:6" x14ac:dyDescent="0.2">
      <c r="A46" s="26" t="s">
        <v>1026</v>
      </c>
      <c r="B46" s="26" t="s">
        <v>1025</v>
      </c>
      <c r="C46" s="26" t="s">
        <v>914</v>
      </c>
      <c r="D46" s="30">
        <v>7000000</v>
      </c>
      <c r="E46" s="28">
        <v>4396</v>
      </c>
      <c r="F46" s="29">
        <v>0.54399134107747404</v>
      </c>
    </row>
    <row r="47" spans="1:6" x14ac:dyDescent="0.2">
      <c r="A47" s="26" t="s">
        <v>1047</v>
      </c>
      <c r="B47" s="26" t="s">
        <v>1046</v>
      </c>
      <c r="C47" s="26" t="s">
        <v>1048</v>
      </c>
      <c r="D47" s="30">
        <v>1200000</v>
      </c>
      <c r="E47" s="28">
        <v>4379.3999999999996</v>
      </c>
      <c r="F47" s="29">
        <v>0.54193714265575299</v>
      </c>
    </row>
    <row r="48" spans="1:6" x14ac:dyDescent="0.2">
      <c r="A48" s="26" t="s">
        <v>921</v>
      </c>
      <c r="B48" s="26" t="s">
        <v>920</v>
      </c>
      <c r="C48" s="26" t="s">
        <v>922</v>
      </c>
      <c r="D48" s="30">
        <v>1000000</v>
      </c>
      <c r="E48" s="28">
        <v>3950.5</v>
      </c>
      <c r="F48" s="29">
        <v>0.48886210030176602</v>
      </c>
    </row>
    <row r="49" spans="1:9" x14ac:dyDescent="0.2">
      <c r="A49" s="26" t="s">
        <v>1326</v>
      </c>
      <c r="B49" s="26" t="s">
        <v>1325</v>
      </c>
      <c r="C49" s="26" t="s">
        <v>957</v>
      </c>
      <c r="D49" s="30">
        <v>2437912</v>
      </c>
      <c r="E49" s="28">
        <v>3002.2886279999998</v>
      </c>
      <c r="F49" s="29">
        <v>0.37152388922824597</v>
      </c>
    </row>
    <row r="50" spans="1:9" x14ac:dyDescent="0.2">
      <c r="A50" s="26" t="s">
        <v>959</v>
      </c>
      <c r="B50" s="26" t="s">
        <v>958</v>
      </c>
      <c r="C50" s="26" t="s">
        <v>960</v>
      </c>
      <c r="D50" s="30">
        <v>7000000</v>
      </c>
      <c r="E50" s="28">
        <v>2607.5</v>
      </c>
      <c r="F50" s="29">
        <v>0.322670023170954</v>
      </c>
    </row>
    <row r="51" spans="1:9" x14ac:dyDescent="0.2">
      <c r="A51" s="26" t="s">
        <v>1328</v>
      </c>
      <c r="B51" s="26" t="s">
        <v>1327</v>
      </c>
      <c r="C51" s="26" t="s">
        <v>1035</v>
      </c>
      <c r="D51" s="30">
        <v>10000000</v>
      </c>
      <c r="E51" s="28">
        <v>2395</v>
      </c>
      <c r="F51" s="29">
        <v>0.296373808435066</v>
      </c>
    </row>
    <row r="52" spans="1:9" x14ac:dyDescent="0.2">
      <c r="A52" s="26" t="s">
        <v>954</v>
      </c>
      <c r="B52" s="26" t="s">
        <v>953</v>
      </c>
      <c r="C52" s="26" t="s">
        <v>884</v>
      </c>
      <c r="D52" s="30">
        <v>7000000</v>
      </c>
      <c r="E52" s="28">
        <v>2282</v>
      </c>
      <c r="F52" s="29">
        <v>0.28239040954021799</v>
      </c>
    </row>
    <row r="53" spans="1:9" x14ac:dyDescent="0.2">
      <c r="A53" s="26" t="s">
        <v>1330</v>
      </c>
      <c r="B53" s="26" t="s">
        <v>1329</v>
      </c>
      <c r="C53" s="26" t="s">
        <v>892</v>
      </c>
      <c r="D53" s="30">
        <v>20000000</v>
      </c>
      <c r="E53" s="28">
        <v>1910</v>
      </c>
      <c r="F53" s="29">
        <v>0.23635656539080399</v>
      </c>
    </row>
    <row r="54" spans="1:9" x14ac:dyDescent="0.2">
      <c r="A54" s="26" t="s">
        <v>961</v>
      </c>
      <c r="B54" s="26" t="s">
        <v>1616</v>
      </c>
      <c r="C54" s="26" t="s">
        <v>957</v>
      </c>
      <c r="D54" s="30">
        <v>1344155</v>
      </c>
      <c r="E54" s="28">
        <v>1004.083785</v>
      </c>
      <c r="F54" s="29">
        <v>0.124252248579685</v>
      </c>
    </row>
    <row r="55" spans="1:9" x14ac:dyDescent="0.2">
      <c r="A55" s="26" t="s">
        <v>1279</v>
      </c>
      <c r="B55" s="26" t="s">
        <v>1278</v>
      </c>
      <c r="C55" s="26" t="s">
        <v>944</v>
      </c>
      <c r="D55" s="30">
        <v>14650</v>
      </c>
      <c r="E55" s="28">
        <v>35.489624999999997</v>
      </c>
      <c r="F55" s="29">
        <v>4.3917308230406399E-3</v>
      </c>
    </row>
    <row r="56" spans="1:9" ht="10.5" x14ac:dyDescent="0.25">
      <c r="A56" s="25" t="s">
        <v>153</v>
      </c>
      <c r="B56" s="25"/>
      <c r="C56" s="25"/>
      <c r="D56" s="31"/>
      <c r="E56" s="32">
        <f>SUM(E7:E55)</f>
        <v>789118.02438700013</v>
      </c>
      <c r="F56" s="33">
        <f>SUM(F7:F55)</f>
        <v>97.650903629365629</v>
      </c>
      <c r="G56" s="17"/>
      <c r="H56" s="17"/>
      <c r="I56" s="17"/>
    </row>
    <row r="57" spans="1:9" x14ac:dyDescent="0.2">
      <c r="A57" s="26"/>
      <c r="B57" s="26"/>
      <c r="C57" s="26"/>
      <c r="D57" s="27"/>
      <c r="E57" s="28"/>
      <c r="F57" s="29"/>
    </row>
    <row r="58" spans="1:9" ht="10.5" x14ac:dyDescent="0.25">
      <c r="A58" s="25" t="s">
        <v>1513</v>
      </c>
      <c r="B58" s="26"/>
      <c r="C58" s="26"/>
      <c r="D58" s="27"/>
      <c r="E58" s="28"/>
      <c r="F58" s="29"/>
    </row>
    <row r="59" spans="1:9" x14ac:dyDescent="0.2">
      <c r="A59" s="26"/>
      <c r="B59" s="26" t="s">
        <v>1519</v>
      </c>
      <c r="C59" s="26" t="s">
        <v>978</v>
      </c>
      <c r="D59" s="30">
        <v>73500</v>
      </c>
      <c r="E59" s="28">
        <v>7.3499999999999998E-3</v>
      </c>
      <c r="F59" s="29">
        <v>9.0953966262953503E-7</v>
      </c>
    </row>
    <row r="60" spans="1:9" x14ac:dyDescent="0.2">
      <c r="A60" s="26"/>
      <c r="B60" s="26" t="s">
        <v>1526</v>
      </c>
      <c r="C60" s="26" t="s">
        <v>887</v>
      </c>
      <c r="D60" s="30">
        <v>45000</v>
      </c>
      <c r="E60" s="28">
        <v>4.4999999999999997E-3</v>
      </c>
      <c r="F60" s="29">
        <v>5.5686101793645004E-7</v>
      </c>
    </row>
    <row r="61" spans="1:9" x14ac:dyDescent="0.2">
      <c r="A61" s="26" t="s">
        <v>1293</v>
      </c>
      <c r="B61" s="26" t="s">
        <v>1520</v>
      </c>
      <c r="C61" s="26" t="s">
        <v>1173</v>
      </c>
      <c r="D61" s="30">
        <v>38000</v>
      </c>
      <c r="E61" s="28">
        <v>3.8E-3</v>
      </c>
      <c r="F61" s="29">
        <v>4.7023819292411301E-7</v>
      </c>
    </row>
    <row r="62" spans="1:9" ht="10.5" x14ac:dyDescent="0.25">
      <c r="A62" s="25" t="s">
        <v>153</v>
      </c>
      <c r="B62" s="25"/>
      <c r="C62" s="25"/>
      <c r="D62" s="31"/>
      <c r="E62" s="32">
        <f>SUM(E58:E61)</f>
        <v>1.5650000000000001E-2</v>
      </c>
      <c r="F62" s="33">
        <f>SUM(F58:F61)</f>
        <v>1.936638873490098E-6</v>
      </c>
      <c r="G62" s="17"/>
      <c r="H62" s="17"/>
      <c r="I62" s="17"/>
    </row>
    <row r="63" spans="1:9" x14ac:dyDescent="0.2">
      <c r="A63" s="26"/>
      <c r="B63" s="26"/>
      <c r="C63" s="26"/>
      <c r="D63" s="27"/>
      <c r="E63" s="28"/>
      <c r="F63" s="29"/>
    </row>
    <row r="64" spans="1:9" ht="10.5" x14ac:dyDescent="0.25">
      <c r="A64" s="25" t="s">
        <v>166</v>
      </c>
      <c r="B64" s="25"/>
      <c r="C64" s="25"/>
      <c r="D64" s="31"/>
      <c r="E64" s="32">
        <f>E56+E62</f>
        <v>789118.04003700009</v>
      </c>
      <c r="F64" s="33">
        <f>F56+F62</f>
        <v>97.650905566004496</v>
      </c>
      <c r="G64" s="17"/>
      <c r="H64" s="17"/>
      <c r="I64" s="17"/>
    </row>
    <row r="65" spans="1:9" ht="10.5" x14ac:dyDescent="0.25">
      <c r="A65" s="25"/>
      <c r="B65" s="25"/>
      <c r="C65" s="25"/>
      <c r="D65" s="31"/>
      <c r="E65" s="32"/>
      <c r="F65" s="33"/>
      <c r="G65" s="17"/>
      <c r="H65" s="17"/>
      <c r="I65" s="17"/>
    </row>
    <row r="66" spans="1:9" ht="10.5" x14ac:dyDescent="0.25">
      <c r="A66" s="25" t="s">
        <v>168</v>
      </c>
      <c r="B66" s="25"/>
      <c r="C66" s="25"/>
      <c r="D66" s="31"/>
      <c r="E66" s="32">
        <f>E68-(E56+E62)</f>
        <v>18983.057912999881</v>
      </c>
      <c r="F66" s="33">
        <f>F68-(F56+F62)</f>
        <v>2.3490944339955036</v>
      </c>
      <c r="G66" s="17"/>
      <c r="H66" s="17"/>
      <c r="I66" s="17"/>
    </row>
    <row r="67" spans="1:9" ht="10.5" x14ac:dyDescent="0.25">
      <c r="A67" s="25"/>
      <c r="B67" s="25"/>
      <c r="C67" s="25"/>
      <c r="D67" s="31"/>
      <c r="E67" s="32"/>
      <c r="F67" s="33"/>
      <c r="G67" s="17"/>
      <c r="H67" s="17"/>
      <c r="I67" s="17"/>
    </row>
    <row r="68" spans="1:9" ht="10.5" x14ac:dyDescent="0.25">
      <c r="A68" s="34" t="s">
        <v>167</v>
      </c>
      <c r="B68" s="34"/>
      <c r="C68" s="34"/>
      <c r="D68" s="35"/>
      <c r="E68" s="36">
        <v>808101.09794999997</v>
      </c>
      <c r="F68" s="37">
        <v>100</v>
      </c>
      <c r="G68" s="17"/>
      <c r="H68" s="17"/>
      <c r="I68" s="17"/>
    </row>
    <row r="69" spans="1:9" ht="10.5" x14ac:dyDescent="0.25">
      <c r="F69" s="19" t="s">
        <v>343</v>
      </c>
    </row>
    <row r="70" spans="1:9" ht="10.5" x14ac:dyDescent="0.25">
      <c r="A70" s="17" t="s">
        <v>170</v>
      </c>
    </row>
    <row r="72" spans="1:9" ht="10.5" x14ac:dyDescent="0.25">
      <c r="A72" s="17" t="s">
        <v>171</v>
      </c>
    </row>
    <row r="73" spans="1:9" ht="10.5" x14ac:dyDescent="0.25">
      <c r="A73" s="17" t="s">
        <v>172</v>
      </c>
    </row>
    <row r="74" spans="1:9" ht="10.5" x14ac:dyDescent="0.25">
      <c r="A74" s="17" t="s">
        <v>173</v>
      </c>
      <c r="B74" s="17"/>
      <c r="C74" s="38" t="s">
        <v>175</v>
      </c>
      <c r="D74" s="18" t="s">
        <v>174</v>
      </c>
    </row>
    <row r="75" spans="1:9" x14ac:dyDescent="0.2">
      <c r="A75" s="10" t="s">
        <v>436</v>
      </c>
      <c r="C75" s="39">
        <v>415.64640000000003</v>
      </c>
      <c r="D75" s="39">
        <v>538.6087</v>
      </c>
    </row>
    <row r="76" spans="1:9" x14ac:dyDescent="0.2">
      <c r="A76" s="10" t="s">
        <v>470</v>
      </c>
      <c r="C76" s="39">
        <v>23.4558</v>
      </c>
      <c r="D76" s="39">
        <v>30.394400000000001</v>
      </c>
    </row>
    <row r="77" spans="1:9" x14ac:dyDescent="0.2">
      <c r="A77" s="10" t="s">
        <v>439</v>
      </c>
      <c r="C77" s="39">
        <v>444.58699999999999</v>
      </c>
      <c r="D77" s="39">
        <v>578.28120000000001</v>
      </c>
    </row>
    <row r="78" spans="1:9" x14ac:dyDescent="0.2">
      <c r="A78" s="10" t="s">
        <v>471</v>
      </c>
      <c r="C78" s="39">
        <v>25.688400000000001</v>
      </c>
      <c r="D78" s="39">
        <v>33.413200000000003</v>
      </c>
    </row>
    <row r="80" spans="1:9" ht="10.5" x14ac:dyDescent="0.25">
      <c r="A80" s="17" t="s">
        <v>185</v>
      </c>
      <c r="D80" s="40" t="s">
        <v>186</v>
      </c>
    </row>
    <row r="82" spans="1:4" ht="10.5" x14ac:dyDescent="0.25">
      <c r="A82" s="17" t="s">
        <v>1014</v>
      </c>
      <c r="D82" s="47">
        <v>0.1138</v>
      </c>
    </row>
    <row r="84" spans="1:4" ht="10.5" x14ac:dyDescent="0.25">
      <c r="A84" s="71" t="s">
        <v>1628</v>
      </c>
    </row>
    <row r="86" spans="1:4" ht="10.5" x14ac:dyDescent="0.25">
      <c r="A86" s="17" t="s">
        <v>1527</v>
      </c>
    </row>
  </sheetData>
  <mergeCells count="1">
    <mergeCell ref="A1:F1"/>
  </mergeCells>
  <conditionalFormatting sqref="F2:F3 F5:F65539">
    <cfRule type="cellIs" dxfId="15" priority="1" stopIfTrue="1" operator="between">
      <formula>0.009</formula>
      <formula>-0.009</formula>
    </cfRule>
  </conditionalFormatting>
  <pageMargins left="0.7" right="0.7" top="0.75" bottom="0.75" header="0.3" footer="0.3"/>
  <pageSetup paperSize="9" scale="60" orientation="portrait" r:id="rId1"/>
  <headerFooter>
    <oddFooter>&amp;LPUBLIC</oddFooter>
    <evenFooter>&amp;LPUBLIC</evenFooter>
    <firstFooter>&amp;LPUBLIC</firstFooter>
  </headerFooter>
  <colBreaks count="1" manualBreakCount="1">
    <brk id="6" max="1048575" man="1"/>
  </col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89"/>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34.1796875" style="10" bestFit="1" customWidth="1"/>
    <col min="3" max="3" width="35.816406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5" customHeight="1" x14ac:dyDescent="0.25">
      <c r="A1" s="96" t="s">
        <v>1528</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1065</v>
      </c>
      <c r="D4" s="48" t="s">
        <v>1</v>
      </c>
      <c r="E4" s="9" t="s">
        <v>3</v>
      </c>
      <c r="F4" s="9" t="s">
        <v>4</v>
      </c>
    </row>
    <row r="5" spans="1:6" ht="10.5" x14ac:dyDescent="0.25">
      <c r="A5" s="20" t="s">
        <v>881</v>
      </c>
      <c r="B5" s="21"/>
      <c r="C5" s="21"/>
      <c r="D5" s="22"/>
      <c r="E5" s="23"/>
      <c r="F5" s="24"/>
    </row>
    <row r="6" spans="1:6" ht="10.5" x14ac:dyDescent="0.25">
      <c r="A6" s="25" t="s">
        <v>1647</v>
      </c>
      <c r="B6" s="26"/>
      <c r="C6" s="26"/>
      <c r="D6" s="27"/>
      <c r="E6" s="28"/>
      <c r="F6" s="29"/>
    </row>
    <row r="7" spans="1:6" x14ac:dyDescent="0.2">
      <c r="A7" s="26" t="s">
        <v>886</v>
      </c>
      <c r="B7" s="26" t="s">
        <v>885</v>
      </c>
      <c r="C7" s="26" t="s">
        <v>887</v>
      </c>
      <c r="D7" s="30">
        <v>1729339</v>
      </c>
      <c r="E7" s="28">
        <v>17436.06047</v>
      </c>
      <c r="F7" s="29">
        <v>8.4961964429064505</v>
      </c>
    </row>
    <row r="8" spans="1:6" x14ac:dyDescent="0.2">
      <c r="A8" s="26" t="s">
        <v>889</v>
      </c>
      <c r="B8" s="26" t="s">
        <v>888</v>
      </c>
      <c r="C8" s="26" t="s">
        <v>884</v>
      </c>
      <c r="D8" s="30">
        <v>3444468</v>
      </c>
      <c r="E8" s="28">
        <v>14626.933360000001</v>
      </c>
      <c r="F8" s="29">
        <v>7.1273725735055198</v>
      </c>
    </row>
    <row r="9" spans="1:6" x14ac:dyDescent="0.2">
      <c r="A9" s="26" t="s">
        <v>883</v>
      </c>
      <c r="B9" s="26" t="s">
        <v>882</v>
      </c>
      <c r="C9" s="26" t="s">
        <v>884</v>
      </c>
      <c r="D9" s="30">
        <v>1188046</v>
      </c>
      <c r="E9" s="28">
        <v>12814.264160000001</v>
      </c>
      <c r="F9" s="29">
        <v>6.2441000225927601</v>
      </c>
    </row>
    <row r="10" spans="1:6" x14ac:dyDescent="0.2">
      <c r="A10" s="26" t="s">
        <v>984</v>
      </c>
      <c r="B10" s="26" t="s">
        <v>983</v>
      </c>
      <c r="C10" s="26" t="s">
        <v>931</v>
      </c>
      <c r="D10" s="30">
        <v>16577483</v>
      </c>
      <c r="E10" s="28">
        <v>8835.7984390000001</v>
      </c>
      <c r="F10" s="29">
        <v>4.3054839937516096</v>
      </c>
    </row>
    <row r="11" spans="1:6" x14ac:dyDescent="0.2">
      <c r="A11" s="26" t="s">
        <v>894</v>
      </c>
      <c r="B11" s="26" t="s">
        <v>893</v>
      </c>
      <c r="C11" s="26" t="s">
        <v>884</v>
      </c>
      <c r="D11" s="30">
        <v>2485871</v>
      </c>
      <c r="E11" s="28">
        <v>8818.6273729999994</v>
      </c>
      <c r="F11" s="29">
        <v>4.2971169230981703</v>
      </c>
    </row>
    <row r="12" spans="1:6" x14ac:dyDescent="0.2">
      <c r="A12" s="26" t="s">
        <v>1256</v>
      </c>
      <c r="B12" s="26" t="s">
        <v>1255</v>
      </c>
      <c r="C12" s="26" t="s">
        <v>1180</v>
      </c>
      <c r="D12" s="30">
        <v>357232</v>
      </c>
      <c r="E12" s="28">
        <v>7673.521976</v>
      </c>
      <c r="F12" s="29">
        <v>3.7391330587106899</v>
      </c>
    </row>
    <row r="13" spans="1:6" x14ac:dyDescent="0.2">
      <c r="A13" s="26" t="s">
        <v>891</v>
      </c>
      <c r="B13" s="26" t="s">
        <v>890</v>
      </c>
      <c r="C13" s="26" t="s">
        <v>892</v>
      </c>
      <c r="D13" s="30">
        <v>1583873</v>
      </c>
      <c r="E13" s="28">
        <v>6667.3133939999998</v>
      </c>
      <c r="F13" s="29">
        <v>3.2488304591114598</v>
      </c>
    </row>
    <row r="14" spans="1:6" x14ac:dyDescent="0.2">
      <c r="A14" s="26" t="s">
        <v>1034</v>
      </c>
      <c r="B14" s="26" t="s">
        <v>1033</v>
      </c>
      <c r="C14" s="26" t="s">
        <v>1035</v>
      </c>
      <c r="D14" s="30">
        <v>5044411</v>
      </c>
      <c r="E14" s="28">
        <v>4830.0235329999996</v>
      </c>
      <c r="F14" s="29">
        <v>2.3535608190184898</v>
      </c>
    </row>
    <row r="15" spans="1:6" x14ac:dyDescent="0.2">
      <c r="A15" s="26" t="s">
        <v>919</v>
      </c>
      <c r="B15" s="26" t="s">
        <v>918</v>
      </c>
      <c r="C15" s="26" t="s">
        <v>908</v>
      </c>
      <c r="D15" s="30">
        <v>2265841</v>
      </c>
      <c r="E15" s="28">
        <v>4725.4114060000002</v>
      </c>
      <c r="F15" s="29">
        <v>2.30258570437997</v>
      </c>
    </row>
    <row r="16" spans="1:6" x14ac:dyDescent="0.2">
      <c r="A16" s="26" t="s">
        <v>990</v>
      </c>
      <c r="B16" s="26" t="s">
        <v>989</v>
      </c>
      <c r="C16" s="26" t="s">
        <v>978</v>
      </c>
      <c r="D16" s="30">
        <v>1190390</v>
      </c>
      <c r="E16" s="28">
        <v>4686.5654299999997</v>
      </c>
      <c r="F16" s="29">
        <v>2.2836569421357602</v>
      </c>
    </row>
    <row r="17" spans="1:6" x14ac:dyDescent="0.2">
      <c r="A17" s="26" t="s">
        <v>913</v>
      </c>
      <c r="B17" s="26" t="s">
        <v>912</v>
      </c>
      <c r="C17" s="26" t="s">
        <v>914</v>
      </c>
      <c r="D17" s="30">
        <v>736570</v>
      </c>
      <c r="E17" s="28">
        <v>4477.6090299999996</v>
      </c>
      <c r="F17" s="29">
        <v>2.1818372320322599</v>
      </c>
    </row>
    <row r="18" spans="1:6" x14ac:dyDescent="0.2">
      <c r="A18" s="26" t="s">
        <v>1085</v>
      </c>
      <c r="B18" s="26" t="s">
        <v>1084</v>
      </c>
      <c r="C18" s="26" t="s">
        <v>931</v>
      </c>
      <c r="D18" s="30">
        <v>710784</v>
      </c>
      <c r="E18" s="28">
        <v>4364.2137599999996</v>
      </c>
      <c r="F18" s="29">
        <v>2.12658229120006</v>
      </c>
    </row>
    <row r="19" spans="1:6" x14ac:dyDescent="0.2">
      <c r="A19" s="26" t="s">
        <v>999</v>
      </c>
      <c r="B19" s="26" t="s">
        <v>998</v>
      </c>
      <c r="C19" s="26" t="s">
        <v>1000</v>
      </c>
      <c r="D19" s="30">
        <v>4517530</v>
      </c>
      <c r="E19" s="28">
        <v>4291.6535000000003</v>
      </c>
      <c r="F19" s="29">
        <v>2.0912253237263001</v>
      </c>
    </row>
    <row r="20" spans="1:6" x14ac:dyDescent="0.2">
      <c r="A20" s="26" t="s">
        <v>901</v>
      </c>
      <c r="B20" s="26" t="s">
        <v>900</v>
      </c>
      <c r="C20" s="26" t="s">
        <v>902</v>
      </c>
      <c r="D20" s="30">
        <v>282387</v>
      </c>
      <c r="E20" s="28">
        <v>4170.85599</v>
      </c>
      <c r="F20" s="29">
        <v>2.0323634393838002</v>
      </c>
    </row>
    <row r="21" spans="1:6" x14ac:dyDescent="0.2">
      <c r="A21" s="26" t="s">
        <v>921</v>
      </c>
      <c r="B21" s="26" t="s">
        <v>920</v>
      </c>
      <c r="C21" s="26" t="s">
        <v>922</v>
      </c>
      <c r="D21" s="30">
        <v>1052564</v>
      </c>
      <c r="E21" s="28">
        <v>4158.154082</v>
      </c>
      <c r="F21" s="29">
        <v>2.0261740879673198</v>
      </c>
    </row>
    <row r="22" spans="1:6" x14ac:dyDescent="0.2">
      <c r="A22" s="26" t="s">
        <v>1013</v>
      </c>
      <c r="B22" s="26" t="s">
        <v>1012</v>
      </c>
      <c r="C22" s="26" t="s">
        <v>884</v>
      </c>
      <c r="D22" s="30">
        <v>8330054</v>
      </c>
      <c r="E22" s="28">
        <v>4048.4062439999998</v>
      </c>
      <c r="F22" s="29">
        <v>1.9726964579466799</v>
      </c>
    </row>
    <row r="23" spans="1:6" x14ac:dyDescent="0.2">
      <c r="A23" s="26" t="s">
        <v>1262</v>
      </c>
      <c r="B23" s="26" t="s">
        <v>1261</v>
      </c>
      <c r="C23" s="26" t="s">
        <v>1263</v>
      </c>
      <c r="D23" s="30">
        <v>511291</v>
      </c>
      <c r="E23" s="28">
        <v>3951.5124940000001</v>
      </c>
      <c r="F23" s="29">
        <v>1.9254823332018001</v>
      </c>
    </row>
    <row r="24" spans="1:6" x14ac:dyDescent="0.2">
      <c r="A24" s="26" t="s">
        <v>986</v>
      </c>
      <c r="B24" s="26" t="s">
        <v>985</v>
      </c>
      <c r="C24" s="26" t="s">
        <v>931</v>
      </c>
      <c r="D24" s="30">
        <v>18217899</v>
      </c>
      <c r="E24" s="28">
        <v>3680.015598</v>
      </c>
      <c r="F24" s="29">
        <v>1.7931880591584</v>
      </c>
    </row>
    <row r="25" spans="1:6" x14ac:dyDescent="0.2">
      <c r="A25" s="26" t="s">
        <v>1052</v>
      </c>
      <c r="B25" s="26" t="s">
        <v>1051</v>
      </c>
      <c r="C25" s="26" t="s">
        <v>914</v>
      </c>
      <c r="D25" s="30">
        <v>4919680</v>
      </c>
      <c r="E25" s="28">
        <v>3660.2419199999999</v>
      </c>
      <c r="F25" s="29">
        <v>1.7835527947604699</v>
      </c>
    </row>
    <row r="26" spans="1:6" x14ac:dyDescent="0.2">
      <c r="A26" s="26" t="s">
        <v>994</v>
      </c>
      <c r="B26" s="26" t="s">
        <v>993</v>
      </c>
      <c r="C26" s="26" t="s">
        <v>995</v>
      </c>
      <c r="D26" s="30">
        <v>399838</v>
      </c>
      <c r="E26" s="28">
        <v>3604.9394080000002</v>
      </c>
      <c r="F26" s="29">
        <v>1.75660513611094</v>
      </c>
    </row>
    <row r="27" spans="1:6" x14ac:dyDescent="0.2">
      <c r="A27" s="26" t="s">
        <v>972</v>
      </c>
      <c r="B27" s="26" t="s">
        <v>971</v>
      </c>
      <c r="C27" s="26" t="s">
        <v>922</v>
      </c>
      <c r="D27" s="30">
        <v>67295</v>
      </c>
      <c r="E27" s="28">
        <v>3491.1300099999999</v>
      </c>
      <c r="F27" s="29">
        <v>1.70114840010566</v>
      </c>
    </row>
    <row r="28" spans="1:6" x14ac:dyDescent="0.2">
      <c r="A28" s="26" t="s">
        <v>907</v>
      </c>
      <c r="B28" s="26" t="s">
        <v>906</v>
      </c>
      <c r="C28" s="26" t="s">
        <v>908</v>
      </c>
      <c r="D28" s="30">
        <v>1532307</v>
      </c>
      <c r="E28" s="28">
        <v>3381.0353960000002</v>
      </c>
      <c r="F28" s="29">
        <v>1.6475017940125301</v>
      </c>
    </row>
    <row r="29" spans="1:6" x14ac:dyDescent="0.2">
      <c r="A29" s="26" t="s">
        <v>1004</v>
      </c>
      <c r="B29" s="26" t="s">
        <v>1003</v>
      </c>
      <c r="C29" s="26" t="s">
        <v>944</v>
      </c>
      <c r="D29" s="30">
        <v>2493349</v>
      </c>
      <c r="E29" s="28">
        <v>3361.0344519999999</v>
      </c>
      <c r="F29" s="29">
        <v>1.6377557880520699</v>
      </c>
    </row>
    <row r="30" spans="1:6" x14ac:dyDescent="0.2">
      <c r="A30" s="26" t="s">
        <v>1332</v>
      </c>
      <c r="B30" s="26" t="s">
        <v>1331</v>
      </c>
      <c r="C30" s="26" t="s">
        <v>884</v>
      </c>
      <c r="D30" s="30">
        <v>630528</v>
      </c>
      <c r="E30" s="28">
        <v>3325.4046720000001</v>
      </c>
      <c r="F30" s="29">
        <v>1.6203942051062901</v>
      </c>
    </row>
    <row r="31" spans="1:6" x14ac:dyDescent="0.2">
      <c r="A31" s="26" t="s">
        <v>1006</v>
      </c>
      <c r="B31" s="26" t="s">
        <v>1005</v>
      </c>
      <c r="C31" s="26" t="s">
        <v>978</v>
      </c>
      <c r="D31" s="30">
        <v>974352</v>
      </c>
      <c r="E31" s="28">
        <v>3294.7712879999999</v>
      </c>
      <c r="F31" s="29">
        <v>1.6054672525058</v>
      </c>
    </row>
    <row r="32" spans="1:6" x14ac:dyDescent="0.2">
      <c r="A32" s="26" t="s">
        <v>1071</v>
      </c>
      <c r="B32" s="26" t="s">
        <v>1070</v>
      </c>
      <c r="C32" s="26" t="s">
        <v>917</v>
      </c>
      <c r="D32" s="30">
        <v>641207</v>
      </c>
      <c r="E32" s="28">
        <v>3205.7143970000002</v>
      </c>
      <c r="F32" s="29">
        <v>1.5620718512434399</v>
      </c>
    </row>
    <row r="33" spans="1:6" x14ac:dyDescent="0.2">
      <c r="A33" s="26" t="s">
        <v>1299</v>
      </c>
      <c r="B33" s="26" t="s">
        <v>1298</v>
      </c>
      <c r="C33" s="26" t="s">
        <v>922</v>
      </c>
      <c r="D33" s="30">
        <v>311893</v>
      </c>
      <c r="E33" s="28">
        <v>3142.0100819999998</v>
      </c>
      <c r="F33" s="29">
        <v>1.5310301847252401</v>
      </c>
    </row>
    <row r="34" spans="1:6" x14ac:dyDescent="0.2">
      <c r="A34" s="26" t="s">
        <v>904</v>
      </c>
      <c r="B34" s="26" t="s">
        <v>903</v>
      </c>
      <c r="C34" s="26" t="s">
        <v>905</v>
      </c>
      <c r="D34" s="30">
        <v>1724884</v>
      </c>
      <c r="E34" s="28">
        <v>3022.8592100000001</v>
      </c>
      <c r="F34" s="29">
        <v>1.4729706696990501</v>
      </c>
    </row>
    <row r="35" spans="1:6" x14ac:dyDescent="0.2">
      <c r="A35" s="26" t="s">
        <v>1206</v>
      </c>
      <c r="B35" s="26" t="s">
        <v>1205</v>
      </c>
      <c r="C35" s="26" t="s">
        <v>884</v>
      </c>
      <c r="D35" s="30">
        <v>2158579</v>
      </c>
      <c r="E35" s="28">
        <v>3016.614153</v>
      </c>
      <c r="F35" s="29">
        <v>1.46992759519489</v>
      </c>
    </row>
    <row r="36" spans="1:6" x14ac:dyDescent="0.2">
      <c r="A36" s="26" t="s">
        <v>1044</v>
      </c>
      <c r="B36" s="26" t="s">
        <v>1043</v>
      </c>
      <c r="C36" s="26" t="s">
        <v>1045</v>
      </c>
      <c r="D36" s="30">
        <v>1001059</v>
      </c>
      <c r="E36" s="28">
        <v>2998.1717050000002</v>
      </c>
      <c r="F36" s="29">
        <v>1.46094100895509</v>
      </c>
    </row>
    <row r="37" spans="1:6" x14ac:dyDescent="0.2">
      <c r="A37" s="26" t="s">
        <v>1002</v>
      </c>
      <c r="B37" s="26" t="s">
        <v>1001</v>
      </c>
      <c r="C37" s="26" t="s">
        <v>925</v>
      </c>
      <c r="D37" s="30">
        <v>3938381</v>
      </c>
      <c r="E37" s="28">
        <v>2910.4635589999998</v>
      </c>
      <c r="F37" s="29">
        <v>1.4182028205127399</v>
      </c>
    </row>
    <row r="38" spans="1:6" x14ac:dyDescent="0.2">
      <c r="A38" s="26" t="s">
        <v>898</v>
      </c>
      <c r="B38" s="26" t="s">
        <v>897</v>
      </c>
      <c r="C38" s="26" t="s">
        <v>899</v>
      </c>
      <c r="D38" s="30">
        <v>380035</v>
      </c>
      <c r="E38" s="28">
        <v>2828.2204700000002</v>
      </c>
      <c r="F38" s="29">
        <v>1.3781276302816801</v>
      </c>
    </row>
    <row r="39" spans="1:6" x14ac:dyDescent="0.2">
      <c r="A39" s="26" t="s">
        <v>1077</v>
      </c>
      <c r="B39" s="26" t="s">
        <v>1076</v>
      </c>
      <c r="C39" s="26" t="s">
        <v>1009</v>
      </c>
      <c r="D39" s="30">
        <v>417110</v>
      </c>
      <c r="E39" s="28">
        <v>2711.63211</v>
      </c>
      <c r="F39" s="29">
        <v>1.32131676918031</v>
      </c>
    </row>
    <row r="40" spans="1:6" x14ac:dyDescent="0.2">
      <c r="A40" s="26" t="s">
        <v>910</v>
      </c>
      <c r="B40" s="26" t="s">
        <v>909</v>
      </c>
      <c r="C40" s="26" t="s">
        <v>911</v>
      </c>
      <c r="D40" s="30">
        <v>373797</v>
      </c>
      <c r="E40" s="28">
        <v>2543.1278900000002</v>
      </c>
      <c r="F40" s="29">
        <v>1.23920848806704</v>
      </c>
    </row>
    <row r="41" spans="1:6" x14ac:dyDescent="0.2">
      <c r="A41" s="26" t="s">
        <v>941</v>
      </c>
      <c r="B41" s="26" t="s">
        <v>940</v>
      </c>
      <c r="C41" s="26" t="s">
        <v>917</v>
      </c>
      <c r="D41" s="30">
        <v>247050</v>
      </c>
      <c r="E41" s="28">
        <v>2362.5391500000001</v>
      </c>
      <c r="F41" s="29">
        <v>1.15121169469408</v>
      </c>
    </row>
    <row r="42" spans="1:6" x14ac:dyDescent="0.2">
      <c r="A42" s="26" t="s">
        <v>988</v>
      </c>
      <c r="B42" s="26" t="s">
        <v>987</v>
      </c>
      <c r="C42" s="26" t="s">
        <v>887</v>
      </c>
      <c r="D42" s="30">
        <v>283932</v>
      </c>
      <c r="E42" s="28">
        <v>2248.03161</v>
      </c>
      <c r="F42" s="29">
        <v>1.0954147699410499</v>
      </c>
    </row>
    <row r="43" spans="1:6" x14ac:dyDescent="0.2">
      <c r="A43" s="26" t="s">
        <v>924</v>
      </c>
      <c r="B43" s="26" t="s">
        <v>923</v>
      </c>
      <c r="C43" s="26" t="s">
        <v>925</v>
      </c>
      <c r="D43" s="30">
        <v>1225067</v>
      </c>
      <c r="E43" s="28">
        <v>2213.0835360000001</v>
      </c>
      <c r="F43" s="29">
        <v>1.0783853668533401</v>
      </c>
    </row>
    <row r="44" spans="1:6" x14ac:dyDescent="0.2">
      <c r="A44" s="26" t="s">
        <v>1026</v>
      </c>
      <c r="B44" s="26" t="s">
        <v>1025</v>
      </c>
      <c r="C44" s="26" t="s">
        <v>914</v>
      </c>
      <c r="D44" s="30">
        <v>3415915</v>
      </c>
      <c r="E44" s="28">
        <v>2145.1946200000002</v>
      </c>
      <c r="F44" s="29">
        <v>1.0453046392644301</v>
      </c>
    </row>
    <row r="45" spans="1:6" x14ac:dyDescent="0.2">
      <c r="A45" s="26" t="s">
        <v>935</v>
      </c>
      <c r="B45" s="26" t="s">
        <v>934</v>
      </c>
      <c r="C45" s="26" t="s">
        <v>931</v>
      </c>
      <c r="D45" s="30">
        <v>1892345</v>
      </c>
      <c r="E45" s="28">
        <v>1610.385595</v>
      </c>
      <c r="F45" s="29">
        <v>0.78470434233053499</v>
      </c>
    </row>
    <row r="46" spans="1:6" x14ac:dyDescent="0.2">
      <c r="A46" s="26" t="s">
        <v>1042</v>
      </c>
      <c r="B46" s="26" t="s">
        <v>1041</v>
      </c>
      <c r="C46" s="26" t="s">
        <v>887</v>
      </c>
      <c r="D46" s="30">
        <v>415509</v>
      </c>
      <c r="E46" s="28">
        <v>1593.4770149999999</v>
      </c>
      <c r="F46" s="29">
        <v>0.77646517514608004</v>
      </c>
    </row>
    <row r="47" spans="1:6" x14ac:dyDescent="0.2">
      <c r="A47" s="26" t="s">
        <v>948</v>
      </c>
      <c r="B47" s="26" t="s">
        <v>947</v>
      </c>
      <c r="C47" s="26" t="s">
        <v>917</v>
      </c>
      <c r="D47" s="30">
        <v>312320</v>
      </c>
      <c r="E47" s="28">
        <v>1563.9423999999999</v>
      </c>
      <c r="F47" s="29">
        <v>0.76207362773562204</v>
      </c>
    </row>
    <row r="48" spans="1:6" x14ac:dyDescent="0.2">
      <c r="A48" s="26" t="s">
        <v>1196</v>
      </c>
      <c r="B48" s="26" t="s">
        <v>1195</v>
      </c>
      <c r="C48" s="26" t="s">
        <v>1000</v>
      </c>
      <c r="D48" s="30">
        <v>5150797</v>
      </c>
      <c r="E48" s="28">
        <v>1437.072363</v>
      </c>
      <c r="F48" s="29">
        <v>0.70025273884128603</v>
      </c>
    </row>
    <row r="49" spans="1:9" x14ac:dyDescent="0.2">
      <c r="A49" s="26" t="s">
        <v>1060</v>
      </c>
      <c r="B49" s="26" t="s">
        <v>1059</v>
      </c>
      <c r="C49" s="26" t="s">
        <v>1061</v>
      </c>
      <c r="D49" s="30">
        <v>397199</v>
      </c>
      <c r="E49" s="28">
        <v>1316.9132850000001</v>
      </c>
      <c r="F49" s="29">
        <v>0.641701947919045</v>
      </c>
    </row>
    <row r="50" spans="1:9" x14ac:dyDescent="0.2">
      <c r="A50" s="26" t="s">
        <v>1260</v>
      </c>
      <c r="B50" s="26" t="s">
        <v>1259</v>
      </c>
      <c r="C50" s="26" t="s">
        <v>944</v>
      </c>
      <c r="D50" s="30">
        <v>90000</v>
      </c>
      <c r="E50" s="28">
        <v>1315.35</v>
      </c>
      <c r="F50" s="29">
        <v>0.64094019462740504</v>
      </c>
    </row>
    <row r="51" spans="1:9" x14ac:dyDescent="0.2">
      <c r="A51" s="26" t="s">
        <v>956</v>
      </c>
      <c r="B51" s="26" t="s">
        <v>955</v>
      </c>
      <c r="C51" s="26" t="s">
        <v>957</v>
      </c>
      <c r="D51" s="30">
        <v>805716</v>
      </c>
      <c r="E51" s="28">
        <v>1076.4365760000001</v>
      </c>
      <c r="F51" s="29">
        <v>0.52452310679704806</v>
      </c>
    </row>
    <row r="52" spans="1:9" x14ac:dyDescent="0.2">
      <c r="A52" s="26" t="s">
        <v>1040</v>
      </c>
      <c r="B52" s="26" t="s">
        <v>1039</v>
      </c>
      <c r="C52" s="26" t="s">
        <v>944</v>
      </c>
      <c r="D52" s="30">
        <v>360275</v>
      </c>
      <c r="E52" s="28">
        <v>993.27817500000003</v>
      </c>
      <c r="F52" s="29">
        <v>0.484001905807316</v>
      </c>
    </row>
    <row r="53" spans="1:9" x14ac:dyDescent="0.2">
      <c r="A53" s="26" t="s">
        <v>1081</v>
      </c>
      <c r="B53" s="26" t="s">
        <v>1080</v>
      </c>
      <c r="C53" s="26" t="s">
        <v>905</v>
      </c>
      <c r="D53" s="30">
        <v>3050843</v>
      </c>
      <c r="E53" s="28">
        <v>983.89686749999998</v>
      </c>
      <c r="F53" s="29">
        <v>0.47943060763199502</v>
      </c>
    </row>
    <row r="54" spans="1:9" x14ac:dyDescent="0.2">
      <c r="A54" s="26" t="s">
        <v>1083</v>
      </c>
      <c r="B54" s="26" t="s">
        <v>1082</v>
      </c>
      <c r="C54" s="26" t="s">
        <v>902</v>
      </c>
      <c r="D54" s="30">
        <v>42129</v>
      </c>
      <c r="E54" s="28">
        <v>685.29137849999995</v>
      </c>
      <c r="F54" s="29">
        <v>0.33392693162449</v>
      </c>
    </row>
    <row r="55" spans="1:9" x14ac:dyDescent="0.2">
      <c r="A55" s="26" t="s">
        <v>1334</v>
      </c>
      <c r="B55" s="26" t="s">
        <v>1333</v>
      </c>
      <c r="C55" s="26" t="s">
        <v>960</v>
      </c>
      <c r="D55" s="30">
        <v>4997148</v>
      </c>
      <c r="E55" s="28">
        <v>677.11355400000002</v>
      </c>
      <c r="F55" s="29">
        <v>0.32994206339423998</v>
      </c>
    </row>
    <row r="56" spans="1:9" x14ac:dyDescent="0.2">
      <c r="A56" s="26" t="s">
        <v>959</v>
      </c>
      <c r="B56" s="26" t="s">
        <v>958</v>
      </c>
      <c r="C56" s="26" t="s">
        <v>960</v>
      </c>
      <c r="D56" s="30">
        <v>1656994</v>
      </c>
      <c r="E56" s="28">
        <v>617.23026500000003</v>
      </c>
      <c r="F56" s="29">
        <v>0.30076229610295702</v>
      </c>
    </row>
    <row r="57" spans="1:9" x14ac:dyDescent="0.2">
      <c r="A57" s="26" t="s">
        <v>1285</v>
      </c>
      <c r="B57" s="26" t="s">
        <v>1284</v>
      </c>
      <c r="C57" s="26" t="s">
        <v>1155</v>
      </c>
      <c r="D57" s="30">
        <v>105014</v>
      </c>
      <c r="E57" s="28">
        <v>611.91657799999996</v>
      </c>
      <c r="F57" s="29">
        <v>0.29817305705633901</v>
      </c>
    </row>
    <row r="58" spans="1:9" x14ac:dyDescent="0.2">
      <c r="A58" s="26" t="s">
        <v>1008</v>
      </c>
      <c r="B58" s="26" t="s">
        <v>1007</v>
      </c>
      <c r="C58" s="26" t="s">
        <v>1009</v>
      </c>
      <c r="D58" s="30">
        <v>656332</v>
      </c>
      <c r="E58" s="28">
        <v>600.54377999999997</v>
      </c>
      <c r="F58" s="29">
        <v>0.29263135077011998</v>
      </c>
    </row>
    <row r="59" spans="1:9" x14ac:dyDescent="0.2">
      <c r="A59" s="26" t="s">
        <v>1056</v>
      </c>
      <c r="B59" s="26" t="s">
        <v>1055</v>
      </c>
      <c r="C59" s="26" t="s">
        <v>978</v>
      </c>
      <c r="D59" s="30">
        <v>1113029</v>
      </c>
      <c r="E59" s="28">
        <v>559.29707250000001</v>
      </c>
      <c r="F59" s="29">
        <v>0.272532766566076</v>
      </c>
    </row>
    <row r="60" spans="1:9" x14ac:dyDescent="0.2">
      <c r="A60" s="26" t="s">
        <v>1336</v>
      </c>
      <c r="B60" s="26" t="s">
        <v>1335</v>
      </c>
      <c r="C60" s="26" t="s">
        <v>944</v>
      </c>
      <c r="D60" s="30">
        <v>724550</v>
      </c>
      <c r="E60" s="28">
        <v>527.11012500000004</v>
      </c>
      <c r="F60" s="29">
        <v>0.25684879774020303</v>
      </c>
    </row>
    <row r="61" spans="1:9" x14ac:dyDescent="0.2">
      <c r="A61" s="26" t="s">
        <v>1338</v>
      </c>
      <c r="B61" s="26" t="s">
        <v>1337</v>
      </c>
      <c r="C61" s="26" t="s">
        <v>899</v>
      </c>
      <c r="D61" s="30">
        <v>188143</v>
      </c>
      <c r="E61" s="28">
        <v>408.27030999999999</v>
      </c>
      <c r="F61" s="29">
        <v>0.198940853728659</v>
      </c>
    </row>
    <row r="62" spans="1:9" x14ac:dyDescent="0.2">
      <c r="A62" s="26" t="s">
        <v>961</v>
      </c>
      <c r="B62" s="26" t="s">
        <v>1616</v>
      </c>
      <c r="C62" s="26" t="s">
        <v>957</v>
      </c>
      <c r="D62" s="30">
        <v>94174</v>
      </c>
      <c r="E62" s="28">
        <v>70.347977999999998</v>
      </c>
      <c r="F62" s="29">
        <v>3.4278972677207101E-2</v>
      </c>
    </row>
    <row r="63" spans="1:9" ht="10.5" x14ac:dyDescent="0.25">
      <c r="A63" s="25" t="s">
        <v>153</v>
      </c>
      <c r="B63" s="25"/>
      <c r="C63" s="25"/>
      <c r="D63" s="31"/>
      <c r="E63" s="32">
        <f>SUM(E7:E62)</f>
        <v>200371.03319449999</v>
      </c>
      <c r="F63" s="33">
        <f>SUM(F7:F62)</f>
        <v>97.636255759590298</v>
      </c>
      <c r="G63" s="17"/>
      <c r="H63" s="17"/>
      <c r="I63" s="17"/>
    </row>
    <row r="64" spans="1:9" x14ac:dyDescent="0.2">
      <c r="A64" s="26"/>
      <c r="B64" s="26"/>
      <c r="C64" s="26"/>
      <c r="D64" s="27"/>
      <c r="E64" s="28"/>
      <c r="F64" s="29"/>
    </row>
    <row r="65" spans="1:9" ht="10.5" x14ac:dyDescent="0.25">
      <c r="A65" s="25" t="s">
        <v>166</v>
      </c>
      <c r="B65" s="25"/>
      <c r="C65" s="25"/>
      <c r="D65" s="31"/>
      <c r="E65" s="32">
        <f>E63</f>
        <v>200371.03319449999</v>
      </c>
      <c r="F65" s="33">
        <f>F63</f>
        <v>97.636255759590298</v>
      </c>
      <c r="G65" s="17"/>
      <c r="H65" s="17"/>
      <c r="I65" s="17"/>
    </row>
    <row r="66" spans="1:9" ht="10.5" x14ac:dyDescent="0.25">
      <c r="A66" s="25"/>
      <c r="B66" s="25"/>
      <c r="C66" s="25"/>
      <c r="D66" s="31"/>
      <c r="E66" s="32"/>
      <c r="F66" s="33"/>
      <c r="G66" s="17"/>
      <c r="H66" s="17"/>
      <c r="I66" s="17"/>
    </row>
    <row r="67" spans="1:9" ht="10.5" x14ac:dyDescent="0.25">
      <c r="A67" s="25" t="s">
        <v>168</v>
      </c>
      <c r="B67" s="25"/>
      <c r="C67" s="25"/>
      <c r="D67" s="31"/>
      <c r="E67" s="32">
        <f>E69-(E63)</f>
        <v>4850.9221494999947</v>
      </c>
      <c r="F67" s="33">
        <f>F69-(F63)</f>
        <v>2.3637442404097015</v>
      </c>
      <c r="G67" s="17"/>
      <c r="H67" s="17"/>
      <c r="I67" s="17"/>
    </row>
    <row r="68" spans="1:9" ht="10.5" x14ac:dyDescent="0.25">
      <c r="A68" s="25"/>
      <c r="B68" s="25"/>
      <c r="C68" s="25"/>
      <c r="D68" s="31"/>
      <c r="E68" s="32"/>
      <c r="F68" s="33"/>
      <c r="G68" s="17"/>
      <c r="H68" s="17"/>
      <c r="I68" s="17"/>
    </row>
    <row r="69" spans="1:9" ht="10.5" x14ac:dyDescent="0.25">
      <c r="A69" s="34" t="s">
        <v>167</v>
      </c>
      <c r="B69" s="34"/>
      <c r="C69" s="34"/>
      <c r="D69" s="35"/>
      <c r="E69" s="36">
        <v>205221.95534399999</v>
      </c>
      <c r="F69" s="37">
        <v>100</v>
      </c>
      <c r="G69" s="17"/>
      <c r="H69" s="17"/>
      <c r="I69" s="17"/>
    </row>
    <row r="72" spans="1:9" ht="10.5" x14ac:dyDescent="0.25">
      <c r="A72" s="17" t="s">
        <v>171</v>
      </c>
    </row>
    <row r="73" spans="1:9" ht="10.5" x14ac:dyDescent="0.25">
      <c r="A73" s="17" t="s">
        <v>172</v>
      </c>
    </row>
    <row r="74" spans="1:9" ht="10.5" x14ac:dyDescent="0.25">
      <c r="A74" s="17" t="s">
        <v>173</v>
      </c>
      <c r="B74" s="17"/>
      <c r="C74" s="38" t="s">
        <v>175</v>
      </c>
      <c r="D74" s="18" t="s">
        <v>174</v>
      </c>
    </row>
    <row r="75" spans="1:9" x14ac:dyDescent="0.2">
      <c r="A75" s="10" t="s">
        <v>436</v>
      </c>
      <c r="C75" s="39">
        <v>52.690100000000001</v>
      </c>
      <c r="D75" s="39">
        <v>70.690799999999996</v>
      </c>
    </row>
    <row r="76" spans="1:9" x14ac:dyDescent="0.2">
      <c r="A76" s="10" t="s">
        <v>470</v>
      </c>
      <c r="C76" s="39">
        <v>10.055400000000001</v>
      </c>
      <c r="D76" s="39">
        <v>12.392300000000001</v>
      </c>
    </row>
    <row r="77" spans="1:9" x14ac:dyDescent="0.2">
      <c r="A77" s="10" t="s">
        <v>439</v>
      </c>
      <c r="C77" s="39">
        <v>55.579599999999999</v>
      </c>
      <c r="D77" s="39">
        <v>74.942800000000005</v>
      </c>
    </row>
    <row r="78" spans="1:9" x14ac:dyDescent="0.2">
      <c r="A78" s="10" t="s">
        <v>471</v>
      </c>
      <c r="C78" s="39">
        <v>10.803699999999999</v>
      </c>
      <c r="D78" s="39">
        <v>13.465999999999999</v>
      </c>
    </row>
    <row r="80" spans="1:9" ht="10.5" x14ac:dyDescent="0.25">
      <c r="A80" s="17" t="s">
        <v>185</v>
      </c>
    </row>
    <row r="81" spans="1:4" ht="12.5" x14ac:dyDescent="0.25">
      <c r="A81" s="100" t="s">
        <v>350</v>
      </c>
      <c r="B81" s="101"/>
      <c r="C81" s="98" t="s">
        <v>1658</v>
      </c>
      <c r="D81" s="99"/>
    </row>
    <row r="82" spans="1:4" ht="10.5" x14ac:dyDescent="0.25">
      <c r="A82" s="100"/>
      <c r="B82" s="101"/>
      <c r="C82" s="43" t="s">
        <v>351</v>
      </c>
      <c r="D82" s="44" t="s">
        <v>352</v>
      </c>
    </row>
    <row r="83" spans="1:4" x14ac:dyDescent="0.2">
      <c r="A83" s="94" t="s">
        <v>470</v>
      </c>
      <c r="B83" s="95"/>
      <c r="C83" s="45">
        <v>1</v>
      </c>
      <c r="D83" s="45">
        <v>1</v>
      </c>
    </row>
    <row r="84" spans="1:4" x14ac:dyDescent="0.2">
      <c r="A84" s="94" t="s">
        <v>471</v>
      </c>
      <c r="B84" s="95"/>
      <c r="C84" s="45">
        <v>1</v>
      </c>
      <c r="D84" s="45">
        <v>1</v>
      </c>
    </row>
    <row r="85" spans="1:4" x14ac:dyDescent="0.2">
      <c r="A85" s="90" t="s">
        <v>1657</v>
      </c>
    </row>
    <row r="86" spans="1:4" x14ac:dyDescent="0.2">
      <c r="A86" s="90"/>
    </row>
    <row r="87" spans="1:4" ht="10.5" x14ac:dyDescent="0.25">
      <c r="A87" s="17" t="s">
        <v>1014</v>
      </c>
      <c r="D87" s="47">
        <v>0.1229</v>
      </c>
    </row>
    <row r="89" spans="1:4" ht="10.5" x14ac:dyDescent="0.25">
      <c r="A89" s="17" t="s">
        <v>1529</v>
      </c>
    </row>
  </sheetData>
  <mergeCells count="6">
    <mergeCell ref="A84:B84"/>
    <mergeCell ref="A1:F1"/>
    <mergeCell ref="C81:D81"/>
    <mergeCell ref="A81:B81"/>
    <mergeCell ref="A82:B82"/>
    <mergeCell ref="A83:B83"/>
  </mergeCells>
  <conditionalFormatting sqref="F2:F3 F5:F65537">
    <cfRule type="cellIs" dxfId="14"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51"/>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24.1796875" style="10" bestFit="1" customWidth="1"/>
    <col min="3" max="3" width="18.816406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44</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1065</v>
      </c>
      <c r="D4" s="48" t="s">
        <v>1</v>
      </c>
      <c r="E4" s="9" t="s">
        <v>3</v>
      </c>
      <c r="F4" s="9" t="s">
        <v>4</v>
      </c>
    </row>
    <row r="5" spans="1:6" ht="10.5" x14ac:dyDescent="0.25">
      <c r="A5" s="20" t="s">
        <v>881</v>
      </c>
      <c r="B5" s="21"/>
      <c r="C5" s="21"/>
      <c r="D5" s="22"/>
      <c r="E5" s="23"/>
      <c r="F5" s="24"/>
    </row>
    <row r="6" spans="1:6" ht="10.5" x14ac:dyDescent="0.25">
      <c r="A6" s="25" t="s">
        <v>1647</v>
      </c>
      <c r="B6" s="26"/>
      <c r="C6" s="26"/>
      <c r="D6" s="27"/>
      <c r="E6" s="28"/>
      <c r="F6" s="29"/>
    </row>
    <row r="7" spans="1:6" x14ac:dyDescent="0.2">
      <c r="A7" s="26" t="s">
        <v>894</v>
      </c>
      <c r="B7" s="26" t="s">
        <v>893</v>
      </c>
      <c r="C7" s="26" t="s">
        <v>884</v>
      </c>
      <c r="D7" s="30">
        <v>13800000</v>
      </c>
      <c r="E7" s="28">
        <v>48955.5</v>
      </c>
      <c r="F7" s="29">
        <v>10.0964269831239</v>
      </c>
    </row>
    <row r="8" spans="1:6" x14ac:dyDescent="0.2">
      <c r="A8" s="26" t="s">
        <v>889</v>
      </c>
      <c r="B8" s="26" t="s">
        <v>888</v>
      </c>
      <c r="C8" s="26" t="s">
        <v>884</v>
      </c>
      <c r="D8" s="30">
        <v>9300000</v>
      </c>
      <c r="E8" s="28">
        <v>39492.449999999997</v>
      </c>
      <c r="F8" s="29">
        <v>8.1447975775892392</v>
      </c>
    </row>
    <row r="9" spans="1:6" x14ac:dyDescent="0.2">
      <c r="A9" s="26" t="s">
        <v>937</v>
      </c>
      <c r="B9" s="26" t="s">
        <v>936</v>
      </c>
      <c r="C9" s="26" t="s">
        <v>884</v>
      </c>
      <c r="D9" s="30">
        <v>21000000</v>
      </c>
      <c r="E9" s="28">
        <v>38934</v>
      </c>
      <c r="F9" s="29">
        <v>8.0296246215633396</v>
      </c>
    </row>
    <row r="10" spans="1:6" x14ac:dyDescent="0.2">
      <c r="A10" s="26" t="s">
        <v>883</v>
      </c>
      <c r="B10" s="26" t="s">
        <v>882</v>
      </c>
      <c r="C10" s="26" t="s">
        <v>884</v>
      </c>
      <c r="D10" s="30">
        <v>2800000</v>
      </c>
      <c r="E10" s="28">
        <v>30200.799999999999</v>
      </c>
      <c r="F10" s="29">
        <v>6.2285171641986503</v>
      </c>
    </row>
    <row r="11" spans="1:6" x14ac:dyDescent="0.2">
      <c r="A11" s="26" t="s">
        <v>891</v>
      </c>
      <c r="B11" s="26" t="s">
        <v>890</v>
      </c>
      <c r="C11" s="26" t="s">
        <v>892</v>
      </c>
      <c r="D11" s="30">
        <v>7000000</v>
      </c>
      <c r="E11" s="28">
        <v>29466.5</v>
      </c>
      <c r="F11" s="29">
        <v>6.0770774621486696</v>
      </c>
    </row>
    <row r="12" spans="1:6" x14ac:dyDescent="0.2">
      <c r="A12" s="26" t="s">
        <v>1054</v>
      </c>
      <c r="B12" s="26" t="s">
        <v>1053</v>
      </c>
      <c r="C12" s="26" t="s">
        <v>899</v>
      </c>
      <c r="D12" s="30">
        <v>1800000</v>
      </c>
      <c r="E12" s="28">
        <v>25082.1</v>
      </c>
      <c r="F12" s="29">
        <v>5.1728527179461103</v>
      </c>
    </row>
    <row r="13" spans="1:6" x14ac:dyDescent="0.2">
      <c r="A13" s="26" t="s">
        <v>1295</v>
      </c>
      <c r="B13" s="26" t="s">
        <v>1294</v>
      </c>
      <c r="C13" s="26" t="s">
        <v>899</v>
      </c>
      <c r="D13" s="30">
        <v>575000</v>
      </c>
      <c r="E13" s="28">
        <v>23284.912499999999</v>
      </c>
      <c r="F13" s="29">
        <v>4.8022064704615</v>
      </c>
    </row>
    <row r="14" spans="1:6" x14ac:dyDescent="0.2">
      <c r="A14" s="26" t="s">
        <v>1297</v>
      </c>
      <c r="B14" s="26" t="s">
        <v>1296</v>
      </c>
      <c r="C14" s="26" t="s">
        <v>1048</v>
      </c>
      <c r="D14" s="30">
        <v>1800000</v>
      </c>
      <c r="E14" s="28">
        <v>22483.8</v>
      </c>
      <c r="F14" s="29">
        <v>4.6369875704090502</v>
      </c>
    </row>
    <row r="15" spans="1:6" x14ac:dyDescent="0.2">
      <c r="A15" s="26" t="s">
        <v>1299</v>
      </c>
      <c r="B15" s="26" t="s">
        <v>1298</v>
      </c>
      <c r="C15" s="26" t="s">
        <v>922</v>
      </c>
      <c r="D15" s="30">
        <v>2100000</v>
      </c>
      <c r="E15" s="28">
        <v>21155.4</v>
      </c>
      <c r="F15" s="29">
        <v>4.3630225694514104</v>
      </c>
    </row>
    <row r="16" spans="1:6" x14ac:dyDescent="0.2">
      <c r="A16" s="26" t="s">
        <v>935</v>
      </c>
      <c r="B16" s="26" t="s">
        <v>934</v>
      </c>
      <c r="C16" s="26" t="s">
        <v>931</v>
      </c>
      <c r="D16" s="30">
        <v>24000000</v>
      </c>
      <c r="E16" s="28">
        <v>20424</v>
      </c>
      <c r="F16" s="29">
        <v>4.2121809541996598</v>
      </c>
    </row>
    <row r="17" spans="1:9" x14ac:dyDescent="0.2">
      <c r="A17" s="26" t="s">
        <v>994</v>
      </c>
      <c r="B17" s="26" t="s">
        <v>993</v>
      </c>
      <c r="C17" s="26" t="s">
        <v>995</v>
      </c>
      <c r="D17" s="30">
        <v>2250000</v>
      </c>
      <c r="E17" s="28">
        <v>20286</v>
      </c>
      <c r="F17" s="29">
        <v>4.1837202720766902</v>
      </c>
    </row>
    <row r="18" spans="1:9" x14ac:dyDescent="0.2">
      <c r="A18" s="26" t="s">
        <v>886</v>
      </c>
      <c r="B18" s="26" t="s">
        <v>885</v>
      </c>
      <c r="C18" s="26" t="s">
        <v>887</v>
      </c>
      <c r="D18" s="30">
        <v>2000000</v>
      </c>
      <c r="E18" s="28">
        <v>20165</v>
      </c>
      <c r="F18" s="29">
        <v>4.1587656160123503</v>
      </c>
    </row>
    <row r="19" spans="1:9" x14ac:dyDescent="0.2">
      <c r="A19" s="26" t="s">
        <v>939</v>
      </c>
      <c r="B19" s="26" t="s">
        <v>938</v>
      </c>
      <c r="C19" s="26" t="s">
        <v>925</v>
      </c>
      <c r="D19" s="30">
        <v>5500000</v>
      </c>
      <c r="E19" s="28">
        <v>19417.75</v>
      </c>
      <c r="F19" s="29">
        <v>4.0046551470529996</v>
      </c>
    </row>
    <row r="20" spans="1:9" x14ac:dyDescent="0.2">
      <c r="A20" s="26" t="s">
        <v>1002</v>
      </c>
      <c r="B20" s="26" t="s">
        <v>1001</v>
      </c>
      <c r="C20" s="26" t="s">
        <v>925</v>
      </c>
      <c r="D20" s="30">
        <v>24000000</v>
      </c>
      <c r="E20" s="28">
        <v>17736</v>
      </c>
      <c r="F20" s="29">
        <v>3.6578163632826701</v>
      </c>
    </row>
    <row r="21" spans="1:9" x14ac:dyDescent="0.2">
      <c r="A21" s="26" t="s">
        <v>898</v>
      </c>
      <c r="B21" s="26" t="s">
        <v>897</v>
      </c>
      <c r="C21" s="26" t="s">
        <v>899</v>
      </c>
      <c r="D21" s="30">
        <v>1800000</v>
      </c>
      <c r="E21" s="28">
        <v>13395.6</v>
      </c>
      <c r="F21" s="29">
        <v>2.7626660394671498</v>
      </c>
    </row>
    <row r="22" spans="1:9" x14ac:dyDescent="0.2">
      <c r="A22" s="26" t="s">
        <v>1338</v>
      </c>
      <c r="B22" s="26" t="s">
        <v>1337</v>
      </c>
      <c r="C22" s="26" t="s">
        <v>899</v>
      </c>
      <c r="D22" s="30">
        <v>6000000</v>
      </c>
      <c r="E22" s="28">
        <v>13020</v>
      </c>
      <c r="F22" s="29">
        <v>2.6852034872541899</v>
      </c>
    </row>
    <row r="23" spans="1:9" x14ac:dyDescent="0.2">
      <c r="A23" s="26" t="s">
        <v>1011</v>
      </c>
      <c r="B23" s="26" t="s">
        <v>1010</v>
      </c>
      <c r="C23" s="26" t="s">
        <v>908</v>
      </c>
      <c r="D23" s="30">
        <v>14500000</v>
      </c>
      <c r="E23" s="28">
        <v>12586</v>
      </c>
      <c r="F23" s="29">
        <v>2.5956967043457202</v>
      </c>
    </row>
    <row r="24" spans="1:9" x14ac:dyDescent="0.2">
      <c r="A24" s="26" t="s">
        <v>1256</v>
      </c>
      <c r="B24" s="26" t="s">
        <v>1255</v>
      </c>
      <c r="C24" s="26" t="s">
        <v>1180</v>
      </c>
      <c r="D24" s="30">
        <v>500000</v>
      </c>
      <c r="E24" s="28">
        <v>10740.25</v>
      </c>
      <c r="F24" s="29">
        <v>2.2150350809509902</v>
      </c>
    </row>
    <row r="25" spans="1:9" x14ac:dyDescent="0.2">
      <c r="A25" s="26" t="s">
        <v>1013</v>
      </c>
      <c r="B25" s="26" t="s">
        <v>1012</v>
      </c>
      <c r="C25" s="26" t="s">
        <v>884</v>
      </c>
      <c r="D25" s="30">
        <v>20000000</v>
      </c>
      <c r="E25" s="28">
        <v>9720</v>
      </c>
      <c r="F25" s="29">
        <v>2.0046219582266298</v>
      </c>
    </row>
    <row r="26" spans="1:9" x14ac:dyDescent="0.2">
      <c r="A26" s="26" t="s">
        <v>972</v>
      </c>
      <c r="B26" s="26" t="s">
        <v>971</v>
      </c>
      <c r="C26" s="26" t="s">
        <v>922</v>
      </c>
      <c r="D26" s="30">
        <v>125000</v>
      </c>
      <c r="E26" s="28">
        <v>6484.75</v>
      </c>
      <c r="F26" s="29">
        <v>1.3373942637459</v>
      </c>
    </row>
    <row r="27" spans="1:9" x14ac:dyDescent="0.2">
      <c r="A27" s="26" t="s">
        <v>904</v>
      </c>
      <c r="B27" s="26" t="s">
        <v>903</v>
      </c>
      <c r="C27" s="26" t="s">
        <v>905</v>
      </c>
      <c r="D27" s="30">
        <v>3600000</v>
      </c>
      <c r="E27" s="28">
        <v>6309</v>
      </c>
      <c r="F27" s="29">
        <v>1.3011481414045101</v>
      </c>
    </row>
    <row r="28" spans="1:9" x14ac:dyDescent="0.2">
      <c r="A28" s="26" t="s">
        <v>1340</v>
      </c>
      <c r="B28" s="26" t="s">
        <v>1339</v>
      </c>
      <c r="C28" s="26" t="s">
        <v>914</v>
      </c>
      <c r="D28" s="30">
        <v>150000</v>
      </c>
      <c r="E28" s="28">
        <v>4720.95</v>
      </c>
      <c r="F28" s="29">
        <v>0.97363374832201899</v>
      </c>
    </row>
    <row r="29" spans="1:9" x14ac:dyDescent="0.2">
      <c r="A29" s="26" t="s">
        <v>921</v>
      </c>
      <c r="B29" s="26" t="s">
        <v>920</v>
      </c>
      <c r="C29" s="26" t="s">
        <v>922</v>
      </c>
      <c r="D29" s="30">
        <v>500000</v>
      </c>
      <c r="E29" s="28">
        <v>1975.25</v>
      </c>
      <c r="F29" s="29">
        <v>0.40736929248838999</v>
      </c>
    </row>
    <row r="30" spans="1:9" x14ac:dyDescent="0.2">
      <c r="A30" s="26" t="s">
        <v>1058</v>
      </c>
      <c r="B30" s="26" t="s">
        <v>1057</v>
      </c>
      <c r="C30" s="26" t="s">
        <v>902</v>
      </c>
      <c r="D30" s="30">
        <v>1500000</v>
      </c>
      <c r="E30" s="28">
        <v>1962.75</v>
      </c>
      <c r="F30" s="29">
        <v>0.40479133215116497</v>
      </c>
    </row>
    <row r="31" spans="1:9" x14ac:dyDescent="0.2">
      <c r="A31" s="26" t="s">
        <v>1026</v>
      </c>
      <c r="B31" s="26" t="s">
        <v>1025</v>
      </c>
      <c r="C31" s="26" t="s">
        <v>914</v>
      </c>
      <c r="D31" s="30">
        <v>3000000</v>
      </c>
      <c r="E31" s="28">
        <v>1884</v>
      </c>
      <c r="F31" s="29">
        <v>0.38855018202664399</v>
      </c>
    </row>
    <row r="32" spans="1:9" ht="10.5" x14ac:dyDescent="0.25">
      <c r="A32" s="25" t="s">
        <v>153</v>
      </c>
      <c r="B32" s="25"/>
      <c r="C32" s="25"/>
      <c r="D32" s="31"/>
      <c r="E32" s="32">
        <f>SUM(E7:E31)</f>
        <v>459882.76250000001</v>
      </c>
      <c r="F32" s="33">
        <f>SUM(F7:F31)</f>
        <v>94.844761719899537</v>
      </c>
      <c r="G32" s="17"/>
      <c r="H32" s="17"/>
      <c r="I32" s="17"/>
    </row>
    <row r="33" spans="1:9" x14ac:dyDescent="0.2">
      <c r="A33" s="26"/>
      <c r="B33" s="26"/>
      <c r="C33" s="26"/>
      <c r="D33" s="27"/>
      <c r="E33" s="28"/>
      <c r="F33" s="29"/>
    </row>
    <row r="34" spans="1:9" ht="10.5" x14ac:dyDescent="0.25">
      <c r="A34" s="25" t="s">
        <v>166</v>
      </c>
      <c r="B34" s="25"/>
      <c r="C34" s="25"/>
      <c r="D34" s="31"/>
      <c r="E34" s="32">
        <f>E32</f>
        <v>459882.76250000001</v>
      </c>
      <c r="F34" s="33">
        <f>F32</f>
        <v>94.844761719899537</v>
      </c>
      <c r="G34" s="17"/>
      <c r="H34" s="17"/>
      <c r="I34" s="17"/>
    </row>
    <row r="35" spans="1:9" ht="10.5" x14ac:dyDescent="0.25">
      <c r="A35" s="25"/>
      <c r="B35" s="25"/>
      <c r="C35" s="25"/>
      <c r="D35" s="31"/>
      <c r="E35" s="32"/>
      <c r="F35" s="33"/>
      <c r="G35" s="17"/>
      <c r="H35" s="17"/>
      <c r="I35" s="17"/>
    </row>
    <row r="36" spans="1:9" ht="10.5" x14ac:dyDescent="0.25">
      <c r="A36" s="25" t="s">
        <v>168</v>
      </c>
      <c r="B36" s="25"/>
      <c r="C36" s="25"/>
      <c r="D36" s="31"/>
      <c r="E36" s="32">
        <f>E38-(E32)</f>
        <v>24996.691209999961</v>
      </c>
      <c r="F36" s="33">
        <f>F38-(F32)</f>
        <v>5.1552382801004626</v>
      </c>
      <c r="G36" s="17"/>
      <c r="H36" s="17"/>
      <c r="I36" s="17"/>
    </row>
    <row r="37" spans="1:9" ht="10.5" x14ac:dyDescent="0.25">
      <c r="A37" s="25"/>
      <c r="B37" s="25"/>
      <c r="C37" s="25"/>
      <c r="D37" s="31"/>
      <c r="E37" s="32"/>
      <c r="F37" s="33"/>
      <c r="G37" s="17"/>
      <c r="H37" s="17"/>
      <c r="I37" s="17"/>
    </row>
    <row r="38" spans="1:9" ht="10.5" x14ac:dyDescent="0.25">
      <c r="A38" s="34" t="s">
        <v>167</v>
      </c>
      <c r="B38" s="34"/>
      <c r="C38" s="34"/>
      <c r="D38" s="35"/>
      <c r="E38" s="36">
        <v>484879.45370999997</v>
      </c>
      <c r="F38" s="37">
        <v>100</v>
      </c>
      <c r="G38" s="17"/>
      <c r="H38" s="17"/>
      <c r="I38" s="17"/>
    </row>
    <row r="41" spans="1:9" ht="10.5" x14ac:dyDescent="0.25">
      <c r="A41" s="17" t="s">
        <v>171</v>
      </c>
    </row>
    <row r="42" spans="1:9" ht="10.5" x14ac:dyDescent="0.25">
      <c r="A42" s="17" t="s">
        <v>172</v>
      </c>
    </row>
    <row r="43" spans="1:9" ht="10.5" x14ac:dyDescent="0.25">
      <c r="A43" s="17" t="s">
        <v>173</v>
      </c>
      <c r="B43" s="17"/>
      <c r="C43" s="38" t="s">
        <v>175</v>
      </c>
      <c r="D43" s="18" t="s">
        <v>174</v>
      </c>
    </row>
    <row r="44" spans="1:9" x14ac:dyDescent="0.2">
      <c r="A44" s="10" t="s">
        <v>436</v>
      </c>
      <c r="C44" s="39">
        <v>337.03649999999999</v>
      </c>
      <c r="D44" s="39">
        <v>414.5197</v>
      </c>
    </row>
    <row r="45" spans="1:9" x14ac:dyDescent="0.2">
      <c r="A45" s="10" t="s">
        <v>470</v>
      </c>
      <c r="C45" s="39">
        <v>24.8248</v>
      </c>
      <c r="D45" s="39">
        <v>30.5319</v>
      </c>
    </row>
    <row r="46" spans="1:9" x14ac:dyDescent="0.2">
      <c r="A46" s="10" t="s">
        <v>439</v>
      </c>
      <c r="C46" s="39">
        <v>357.96289999999999</v>
      </c>
      <c r="D46" s="39">
        <v>441.86360000000002</v>
      </c>
    </row>
    <row r="47" spans="1:9" x14ac:dyDescent="0.2">
      <c r="A47" s="10" t="s">
        <v>471</v>
      </c>
      <c r="C47" s="39">
        <v>27.103899999999999</v>
      </c>
      <c r="D47" s="39">
        <v>33.456400000000002</v>
      </c>
    </row>
    <row r="49" spans="1:4" ht="10.5" x14ac:dyDescent="0.25">
      <c r="A49" s="17" t="s">
        <v>185</v>
      </c>
      <c r="D49" s="40" t="s">
        <v>186</v>
      </c>
    </row>
    <row r="51" spans="1:4" ht="10.5" x14ac:dyDescent="0.25">
      <c r="A51" s="17" t="s">
        <v>1014</v>
      </c>
      <c r="D51" s="47">
        <v>0.15279999999999999</v>
      </c>
    </row>
  </sheetData>
  <mergeCells count="1">
    <mergeCell ref="A1:F1"/>
  </mergeCells>
  <conditionalFormatting sqref="F2:F3 F5:F65536">
    <cfRule type="cellIs" dxfId="13" priority="1" stopIfTrue="1" operator="between">
      <formula>0.009</formula>
      <formula>-0.009</formula>
    </cfRule>
  </conditionalFormatting>
  <pageMargins left="0.7" right="0.7" top="0.75" bottom="0.75" header="0.3" footer="0.3"/>
  <pageSetup paperSize="9" scale="65" orientation="portrait" r:id="rId1"/>
  <headerFooter>
    <oddFooter>&amp;LPUBLIC</oddFooter>
    <evenFooter>&amp;LPUBLIC</evenFooter>
    <firstFooter>&amp;LPUBLIC</firstFooter>
  </headerFooter>
  <colBreaks count="1" manualBreakCount="1">
    <brk id="6" max="1048575" man="1"/>
  </col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60"/>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24.81640625" style="10" bestFit="1" customWidth="1"/>
    <col min="3" max="3" width="18.81640625" style="10" bestFit="1" customWidth="1"/>
    <col min="4" max="4" width="15.453125" style="11" bestFit="1" customWidth="1"/>
    <col min="5" max="5" width="23" style="15" bestFit="1" customWidth="1"/>
    <col min="6" max="6" width="13.54296875" style="16" bestFit="1" customWidth="1"/>
    <col min="7" max="16384" width="9.1796875" style="10"/>
  </cols>
  <sheetData>
    <row r="1" spans="1:6" s="1" customFormat="1" ht="14" x14ac:dyDescent="0.25">
      <c r="A1" s="96" t="s">
        <v>45</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1065</v>
      </c>
      <c r="D4" s="48" t="s">
        <v>1</v>
      </c>
      <c r="E4" s="9" t="s">
        <v>3</v>
      </c>
      <c r="F4" s="9" t="s">
        <v>4</v>
      </c>
    </row>
    <row r="5" spans="1:6" ht="10.5" x14ac:dyDescent="0.25">
      <c r="A5" s="20" t="s">
        <v>881</v>
      </c>
      <c r="B5" s="21"/>
      <c r="C5" s="21"/>
      <c r="D5" s="22"/>
      <c r="E5" s="23"/>
      <c r="F5" s="24"/>
    </row>
    <row r="6" spans="1:6" ht="10.5" x14ac:dyDescent="0.25">
      <c r="A6" s="25" t="s">
        <v>1647</v>
      </c>
      <c r="B6" s="26"/>
      <c r="C6" s="26"/>
      <c r="D6" s="27"/>
      <c r="E6" s="28"/>
      <c r="F6" s="29"/>
    </row>
    <row r="7" spans="1:6" x14ac:dyDescent="0.2">
      <c r="A7" s="26" t="s">
        <v>937</v>
      </c>
      <c r="B7" s="26" t="s">
        <v>936</v>
      </c>
      <c r="C7" s="26" t="s">
        <v>884</v>
      </c>
      <c r="D7" s="30">
        <v>4000000</v>
      </c>
      <c r="E7" s="28">
        <v>7416</v>
      </c>
      <c r="F7" s="29">
        <v>9.0328552896776095</v>
      </c>
    </row>
    <row r="8" spans="1:6" x14ac:dyDescent="0.2">
      <c r="A8" s="26" t="s">
        <v>894</v>
      </c>
      <c r="B8" s="26" t="s">
        <v>893</v>
      </c>
      <c r="C8" s="26" t="s">
        <v>884</v>
      </c>
      <c r="D8" s="30">
        <v>2000000</v>
      </c>
      <c r="E8" s="28">
        <v>7095</v>
      </c>
      <c r="F8" s="29">
        <v>8.6418700485791096</v>
      </c>
    </row>
    <row r="9" spans="1:6" x14ac:dyDescent="0.2">
      <c r="A9" s="26" t="s">
        <v>889</v>
      </c>
      <c r="B9" s="26" t="s">
        <v>888</v>
      </c>
      <c r="C9" s="26" t="s">
        <v>884</v>
      </c>
      <c r="D9" s="30">
        <v>1535000</v>
      </c>
      <c r="E9" s="28">
        <v>6518.3774999999996</v>
      </c>
      <c r="F9" s="29">
        <v>7.9395308361637698</v>
      </c>
    </row>
    <row r="10" spans="1:6" x14ac:dyDescent="0.2">
      <c r="A10" s="26" t="s">
        <v>1295</v>
      </c>
      <c r="B10" s="26" t="s">
        <v>1294</v>
      </c>
      <c r="C10" s="26" t="s">
        <v>899</v>
      </c>
      <c r="D10" s="30">
        <v>125000</v>
      </c>
      <c r="E10" s="28">
        <v>5061.9375</v>
      </c>
      <c r="F10" s="29">
        <v>6.1655540618786997</v>
      </c>
    </row>
    <row r="11" spans="1:6" x14ac:dyDescent="0.2">
      <c r="A11" s="26" t="s">
        <v>891</v>
      </c>
      <c r="B11" s="26" t="s">
        <v>890</v>
      </c>
      <c r="C11" s="26" t="s">
        <v>892</v>
      </c>
      <c r="D11" s="30">
        <v>1200000</v>
      </c>
      <c r="E11" s="28">
        <v>5051.3999999999996</v>
      </c>
      <c r="F11" s="29">
        <v>6.1527191491744198</v>
      </c>
    </row>
    <row r="12" spans="1:6" x14ac:dyDescent="0.2">
      <c r="A12" s="26" t="s">
        <v>1054</v>
      </c>
      <c r="B12" s="26" t="s">
        <v>1053</v>
      </c>
      <c r="C12" s="26" t="s">
        <v>899</v>
      </c>
      <c r="D12" s="30">
        <v>350000</v>
      </c>
      <c r="E12" s="28">
        <v>4877.0749999999998</v>
      </c>
      <c r="F12" s="29">
        <v>5.9403873667616596</v>
      </c>
    </row>
    <row r="13" spans="1:6" x14ac:dyDescent="0.2">
      <c r="A13" s="26" t="s">
        <v>935</v>
      </c>
      <c r="B13" s="26" t="s">
        <v>934</v>
      </c>
      <c r="C13" s="26" t="s">
        <v>931</v>
      </c>
      <c r="D13" s="30">
        <v>5000000</v>
      </c>
      <c r="E13" s="28">
        <v>4255</v>
      </c>
      <c r="F13" s="29">
        <v>5.1826859840315898</v>
      </c>
    </row>
    <row r="14" spans="1:6" x14ac:dyDescent="0.2">
      <c r="A14" s="26" t="s">
        <v>1002</v>
      </c>
      <c r="B14" s="26" t="s">
        <v>1001</v>
      </c>
      <c r="C14" s="26" t="s">
        <v>925</v>
      </c>
      <c r="D14" s="30">
        <v>5000000</v>
      </c>
      <c r="E14" s="28">
        <v>3695</v>
      </c>
      <c r="F14" s="29">
        <v>4.5005933515856</v>
      </c>
    </row>
    <row r="15" spans="1:6" x14ac:dyDescent="0.2">
      <c r="A15" s="26" t="s">
        <v>939</v>
      </c>
      <c r="B15" s="26" t="s">
        <v>938</v>
      </c>
      <c r="C15" s="26" t="s">
        <v>925</v>
      </c>
      <c r="D15" s="30">
        <v>1000000</v>
      </c>
      <c r="E15" s="28">
        <v>3530.5</v>
      </c>
      <c r="F15" s="29">
        <v>4.3002286408045904</v>
      </c>
    </row>
    <row r="16" spans="1:6" x14ac:dyDescent="0.2">
      <c r="A16" s="26" t="s">
        <v>1297</v>
      </c>
      <c r="B16" s="26" t="s">
        <v>1296</v>
      </c>
      <c r="C16" s="26" t="s">
        <v>1048</v>
      </c>
      <c r="D16" s="30">
        <v>225000</v>
      </c>
      <c r="E16" s="28">
        <v>2810.4749999999999</v>
      </c>
      <c r="F16" s="29">
        <v>3.4232219485243598</v>
      </c>
    </row>
    <row r="17" spans="1:6" x14ac:dyDescent="0.2">
      <c r="A17" s="26" t="s">
        <v>1301</v>
      </c>
      <c r="B17" s="26" t="s">
        <v>1300</v>
      </c>
      <c r="C17" s="26" t="s">
        <v>944</v>
      </c>
      <c r="D17" s="30">
        <v>775000</v>
      </c>
      <c r="E17" s="28">
        <v>2703.2</v>
      </c>
      <c r="F17" s="29">
        <v>3.29255857862143</v>
      </c>
    </row>
    <row r="18" spans="1:6" x14ac:dyDescent="0.2">
      <c r="A18" s="26" t="s">
        <v>994</v>
      </c>
      <c r="B18" s="26" t="s">
        <v>993</v>
      </c>
      <c r="C18" s="26" t="s">
        <v>995</v>
      </c>
      <c r="D18" s="30">
        <v>250000</v>
      </c>
      <c r="E18" s="28">
        <v>2254</v>
      </c>
      <c r="F18" s="29">
        <v>2.74542284559511</v>
      </c>
    </row>
    <row r="19" spans="1:6" x14ac:dyDescent="0.2">
      <c r="A19" s="26" t="s">
        <v>1011</v>
      </c>
      <c r="B19" s="26" t="s">
        <v>1010</v>
      </c>
      <c r="C19" s="26" t="s">
        <v>908</v>
      </c>
      <c r="D19" s="30">
        <v>2500000</v>
      </c>
      <c r="E19" s="28">
        <v>2170</v>
      </c>
      <c r="F19" s="29">
        <v>2.6431089507282102</v>
      </c>
    </row>
    <row r="20" spans="1:6" x14ac:dyDescent="0.2">
      <c r="A20" s="26" t="s">
        <v>1204</v>
      </c>
      <c r="B20" s="26" t="s">
        <v>1203</v>
      </c>
      <c r="C20" s="26" t="s">
        <v>899</v>
      </c>
      <c r="D20" s="30">
        <v>825000</v>
      </c>
      <c r="E20" s="28">
        <v>2124.375</v>
      </c>
      <c r="F20" s="29">
        <v>2.5875366715222299</v>
      </c>
    </row>
    <row r="21" spans="1:6" x14ac:dyDescent="0.2">
      <c r="A21" s="26" t="s">
        <v>1037</v>
      </c>
      <c r="B21" s="26" t="s">
        <v>1036</v>
      </c>
      <c r="C21" s="26" t="s">
        <v>1038</v>
      </c>
      <c r="D21" s="30">
        <v>3000000</v>
      </c>
      <c r="E21" s="28">
        <v>2077.5</v>
      </c>
      <c r="F21" s="29">
        <v>2.53044186411883</v>
      </c>
    </row>
    <row r="22" spans="1:6" x14ac:dyDescent="0.2">
      <c r="A22" s="26" t="s">
        <v>1324</v>
      </c>
      <c r="B22" s="26" t="s">
        <v>1323</v>
      </c>
      <c r="C22" s="26" t="s">
        <v>1048</v>
      </c>
      <c r="D22" s="30">
        <v>2300000</v>
      </c>
      <c r="E22" s="28">
        <v>1891.75</v>
      </c>
      <c r="F22" s="29">
        <v>2.3041941739816099</v>
      </c>
    </row>
    <row r="23" spans="1:6" x14ac:dyDescent="0.2">
      <c r="A23" s="26" t="s">
        <v>1198</v>
      </c>
      <c r="B23" s="26" t="s">
        <v>1197</v>
      </c>
      <c r="C23" s="26" t="s">
        <v>1155</v>
      </c>
      <c r="D23" s="30">
        <v>700000</v>
      </c>
      <c r="E23" s="28">
        <v>1557.5</v>
      </c>
      <c r="F23" s="29">
        <v>1.8970701339904099</v>
      </c>
    </row>
    <row r="24" spans="1:6" x14ac:dyDescent="0.2">
      <c r="A24" s="26" t="s">
        <v>1040</v>
      </c>
      <c r="B24" s="26" t="s">
        <v>1039</v>
      </c>
      <c r="C24" s="26" t="s">
        <v>944</v>
      </c>
      <c r="D24" s="30">
        <v>525000</v>
      </c>
      <c r="E24" s="28">
        <v>1447.425</v>
      </c>
      <c r="F24" s="29">
        <v>1.7629963009252501</v>
      </c>
    </row>
    <row r="25" spans="1:6" x14ac:dyDescent="0.2">
      <c r="A25" s="26" t="s">
        <v>1342</v>
      </c>
      <c r="B25" s="26" t="s">
        <v>1341</v>
      </c>
      <c r="C25" s="26" t="s">
        <v>1048</v>
      </c>
      <c r="D25" s="30">
        <v>1492592</v>
      </c>
      <c r="E25" s="28">
        <v>1364.229088</v>
      </c>
      <c r="F25" s="29">
        <v>1.6616618033809201</v>
      </c>
    </row>
    <row r="26" spans="1:6" x14ac:dyDescent="0.2">
      <c r="A26" s="26" t="s">
        <v>1336</v>
      </c>
      <c r="B26" s="26" t="s">
        <v>1335</v>
      </c>
      <c r="C26" s="26" t="s">
        <v>944</v>
      </c>
      <c r="D26" s="30">
        <v>1600000</v>
      </c>
      <c r="E26" s="28">
        <v>1164</v>
      </c>
      <c r="F26" s="29">
        <v>1.41777825744131</v>
      </c>
    </row>
    <row r="27" spans="1:6" x14ac:dyDescent="0.2">
      <c r="A27" s="26" t="s">
        <v>1081</v>
      </c>
      <c r="B27" s="26" t="s">
        <v>1080</v>
      </c>
      <c r="C27" s="26" t="s">
        <v>905</v>
      </c>
      <c r="D27" s="30">
        <v>3500000</v>
      </c>
      <c r="E27" s="28">
        <v>1128.75</v>
      </c>
      <c r="F27" s="29">
        <v>1.37484296227395</v>
      </c>
    </row>
    <row r="28" spans="1:6" x14ac:dyDescent="0.2">
      <c r="A28" s="26" t="s">
        <v>883</v>
      </c>
      <c r="B28" s="26" t="s">
        <v>882</v>
      </c>
      <c r="C28" s="26" t="s">
        <v>884</v>
      </c>
      <c r="D28" s="30">
        <v>100000</v>
      </c>
      <c r="E28" s="28">
        <v>1078.5999999999999</v>
      </c>
      <c r="F28" s="29">
        <v>1.3137591309932899</v>
      </c>
    </row>
    <row r="29" spans="1:6" x14ac:dyDescent="0.2">
      <c r="A29" s="26" t="s">
        <v>1305</v>
      </c>
      <c r="B29" s="26" t="s">
        <v>1304</v>
      </c>
      <c r="C29" s="26" t="s">
        <v>1155</v>
      </c>
      <c r="D29" s="30">
        <v>2100000</v>
      </c>
      <c r="E29" s="28">
        <v>1075.2</v>
      </c>
      <c r="F29" s="29">
        <v>1.3096178542963</v>
      </c>
    </row>
    <row r="30" spans="1:6" x14ac:dyDescent="0.2">
      <c r="A30" s="26" t="s">
        <v>1256</v>
      </c>
      <c r="B30" s="26" t="s">
        <v>1255</v>
      </c>
      <c r="C30" s="26" t="s">
        <v>1180</v>
      </c>
      <c r="D30" s="30">
        <v>50000</v>
      </c>
      <c r="E30" s="28">
        <v>1074.0250000000001</v>
      </c>
      <c r="F30" s="29">
        <v>1.3081866777907201</v>
      </c>
    </row>
    <row r="31" spans="1:6" x14ac:dyDescent="0.2">
      <c r="A31" s="26" t="s">
        <v>1309</v>
      </c>
      <c r="B31" s="26" t="s">
        <v>1308</v>
      </c>
      <c r="C31" s="26" t="s">
        <v>1155</v>
      </c>
      <c r="D31" s="30">
        <v>550000</v>
      </c>
      <c r="E31" s="28">
        <v>1071.4000000000001</v>
      </c>
      <c r="F31" s="29">
        <v>1.30498936857613</v>
      </c>
    </row>
    <row r="32" spans="1:6" x14ac:dyDescent="0.2">
      <c r="A32" s="26" t="s">
        <v>1307</v>
      </c>
      <c r="B32" s="26" t="s">
        <v>1306</v>
      </c>
      <c r="C32" s="26" t="s">
        <v>1048</v>
      </c>
      <c r="D32" s="30">
        <v>2000000</v>
      </c>
      <c r="E32" s="28">
        <v>965</v>
      </c>
      <c r="F32" s="29">
        <v>1.1753917684113899</v>
      </c>
    </row>
    <row r="33" spans="1:9" x14ac:dyDescent="0.2">
      <c r="A33" s="26" t="s">
        <v>1344</v>
      </c>
      <c r="B33" s="26" t="s">
        <v>1343</v>
      </c>
      <c r="C33" s="26" t="s">
        <v>1155</v>
      </c>
      <c r="D33" s="30">
        <v>2233265</v>
      </c>
      <c r="E33" s="28">
        <v>956.95405249999999</v>
      </c>
      <c r="F33" s="29">
        <v>1.1655916228564001</v>
      </c>
    </row>
    <row r="34" spans="1:9" x14ac:dyDescent="0.2">
      <c r="A34" s="26" t="s">
        <v>1228</v>
      </c>
      <c r="B34" s="26" t="s">
        <v>1227</v>
      </c>
      <c r="C34" s="26" t="s">
        <v>944</v>
      </c>
      <c r="D34" s="30">
        <v>250000</v>
      </c>
      <c r="E34" s="28">
        <v>803.625</v>
      </c>
      <c r="F34" s="29">
        <v>0.978833378123944</v>
      </c>
    </row>
    <row r="35" spans="1:9" x14ac:dyDescent="0.2">
      <c r="A35" s="26" t="s">
        <v>1047</v>
      </c>
      <c r="B35" s="26" t="s">
        <v>1046</v>
      </c>
      <c r="C35" s="26" t="s">
        <v>1048</v>
      </c>
      <c r="D35" s="30">
        <v>200000</v>
      </c>
      <c r="E35" s="28">
        <v>729.9</v>
      </c>
      <c r="F35" s="29">
        <v>0.88903466503987205</v>
      </c>
    </row>
    <row r="36" spans="1:9" x14ac:dyDescent="0.2">
      <c r="A36" s="26" t="s">
        <v>1346</v>
      </c>
      <c r="B36" s="26" t="s">
        <v>1345</v>
      </c>
      <c r="C36" s="26" t="s">
        <v>978</v>
      </c>
      <c r="D36" s="30">
        <v>600000</v>
      </c>
      <c r="E36" s="28">
        <v>627.6</v>
      </c>
      <c r="F36" s="29">
        <v>0.76443095736268496</v>
      </c>
    </row>
    <row r="37" spans="1:9" x14ac:dyDescent="0.2">
      <c r="A37" s="26" t="s">
        <v>904</v>
      </c>
      <c r="B37" s="26" t="s">
        <v>903</v>
      </c>
      <c r="C37" s="26" t="s">
        <v>905</v>
      </c>
      <c r="D37" s="30">
        <v>300000</v>
      </c>
      <c r="E37" s="28">
        <v>525.75</v>
      </c>
      <c r="F37" s="29">
        <v>0.64037535983657001</v>
      </c>
    </row>
    <row r="38" spans="1:9" x14ac:dyDescent="0.2">
      <c r="A38" s="26" t="s">
        <v>1026</v>
      </c>
      <c r="B38" s="26" t="s">
        <v>1025</v>
      </c>
      <c r="C38" s="26" t="s">
        <v>914</v>
      </c>
      <c r="D38" s="30">
        <v>700000</v>
      </c>
      <c r="E38" s="28">
        <v>439.6</v>
      </c>
      <c r="F38" s="29">
        <v>0.535442716470102</v>
      </c>
    </row>
    <row r="39" spans="1:9" x14ac:dyDescent="0.2">
      <c r="A39" s="26" t="s">
        <v>1348</v>
      </c>
      <c r="B39" s="26" t="s">
        <v>1347</v>
      </c>
      <c r="C39" s="26" t="s">
        <v>884</v>
      </c>
      <c r="D39" s="30">
        <v>1100000</v>
      </c>
      <c r="E39" s="28">
        <v>314.05</v>
      </c>
      <c r="F39" s="29">
        <v>0.38251998432082701</v>
      </c>
    </row>
    <row r="40" spans="1:9" x14ac:dyDescent="0.2">
      <c r="A40" s="26" t="s">
        <v>1350</v>
      </c>
      <c r="B40" s="26" t="s">
        <v>1349</v>
      </c>
      <c r="C40" s="26" t="s">
        <v>960</v>
      </c>
      <c r="D40" s="30">
        <v>400000</v>
      </c>
      <c r="E40" s="28">
        <v>194.6</v>
      </c>
      <c r="F40" s="29">
        <v>0.23702718977498199</v>
      </c>
    </row>
    <row r="41" spans="1:9" ht="10.5" x14ac:dyDescent="0.25">
      <c r="A41" s="25" t="s">
        <v>153</v>
      </c>
      <c r="B41" s="25"/>
      <c r="C41" s="25"/>
      <c r="D41" s="31"/>
      <c r="E41" s="32">
        <f>SUM(E7:E40)</f>
        <v>80049.798140499988</v>
      </c>
      <c r="F41" s="33">
        <f>SUM(F7:F40)</f>
        <v>97.502459893613874</v>
      </c>
      <c r="G41" s="17"/>
      <c r="H41" s="17"/>
      <c r="I41" s="17"/>
    </row>
    <row r="42" spans="1:9" x14ac:dyDescent="0.2">
      <c r="A42" s="26"/>
      <c r="B42" s="26"/>
      <c r="C42" s="26"/>
      <c r="D42" s="27"/>
      <c r="E42" s="28"/>
      <c r="F42" s="29"/>
    </row>
    <row r="43" spans="1:9" ht="10.5" x14ac:dyDescent="0.25">
      <c r="A43" s="25" t="s">
        <v>166</v>
      </c>
      <c r="B43" s="25"/>
      <c r="C43" s="25"/>
      <c r="D43" s="31"/>
      <c r="E43" s="32">
        <f>E41</f>
        <v>80049.798140499988</v>
      </c>
      <c r="F43" s="33">
        <f>F41</f>
        <v>97.502459893613874</v>
      </c>
      <c r="G43" s="17"/>
      <c r="H43" s="17"/>
      <c r="I43" s="17"/>
    </row>
    <row r="44" spans="1:9" ht="10.5" x14ac:dyDescent="0.25">
      <c r="A44" s="25"/>
      <c r="B44" s="25"/>
      <c r="C44" s="25"/>
      <c r="D44" s="31"/>
      <c r="E44" s="32"/>
      <c r="F44" s="33"/>
      <c r="G44" s="17"/>
      <c r="H44" s="17"/>
      <c r="I44" s="17"/>
    </row>
    <row r="45" spans="1:9" ht="10.5" x14ac:dyDescent="0.25">
      <c r="A45" s="25" t="s">
        <v>168</v>
      </c>
      <c r="B45" s="25"/>
      <c r="C45" s="25"/>
      <c r="D45" s="31"/>
      <c r="E45" s="32">
        <f>E47-(E41)</f>
        <v>2050.4875629000162</v>
      </c>
      <c r="F45" s="33">
        <f>F47-(F41)</f>
        <v>2.4975401063861256</v>
      </c>
      <c r="G45" s="17"/>
      <c r="H45" s="17"/>
      <c r="I45" s="17"/>
    </row>
    <row r="46" spans="1:9" ht="10.5" x14ac:dyDescent="0.25">
      <c r="A46" s="25"/>
      <c r="B46" s="25"/>
      <c r="C46" s="25"/>
      <c r="D46" s="31"/>
      <c r="E46" s="32"/>
      <c r="F46" s="33"/>
      <c r="G46" s="17"/>
      <c r="H46" s="17"/>
      <c r="I46" s="17"/>
    </row>
    <row r="47" spans="1:9" ht="10.5" x14ac:dyDescent="0.25">
      <c r="A47" s="34" t="s">
        <v>167</v>
      </c>
      <c r="B47" s="34"/>
      <c r="C47" s="34"/>
      <c r="D47" s="35"/>
      <c r="E47" s="36">
        <v>82100.285703400004</v>
      </c>
      <c r="F47" s="37">
        <v>100</v>
      </c>
      <c r="G47" s="17"/>
      <c r="H47" s="17"/>
      <c r="I47" s="17"/>
    </row>
    <row r="50" spans="1:4" ht="10.5" x14ac:dyDescent="0.25">
      <c r="A50" s="17" t="s">
        <v>171</v>
      </c>
    </row>
    <row r="51" spans="1:4" ht="10.5" x14ac:dyDescent="0.25">
      <c r="A51" s="17" t="s">
        <v>172</v>
      </c>
    </row>
    <row r="52" spans="1:4" ht="10.5" x14ac:dyDescent="0.25">
      <c r="A52" s="17" t="s">
        <v>173</v>
      </c>
      <c r="B52" s="17"/>
      <c r="C52" s="38" t="s">
        <v>175</v>
      </c>
      <c r="D52" s="18" t="s">
        <v>174</v>
      </c>
    </row>
    <row r="53" spans="1:4" x14ac:dyDescent="0.2">
      <c r="A53" s="10" t="s">
        <v>436</v>
      </c>
      <c r="C53" s="39">
        <v>27.630099999999999</v>
      </c>
      <c r="D53" s="39">
        <v>32.683799999999998</v>
      </c>
    </row>
    <row r="54" spans="1:4" x14ac:dyDescent="0.2">
      <c r="A54" s="10" t="s">
        <v>470</v>
      </c>
      <c r="C54" s="39">
        <v>13.2056</v>
      </c>
      <c r="D54" s="39">
        <v>15.620799999999999</v>
      </c>
    </row>
    <row r="55" spans="1:4" x14ac:dyDescent="0.2">
      <c r="A55" s="10" t="s">
        <v>439</v>
      </c>
      <c r="C55" s="39">
        <v>30.076699999999999</v>
      </c>
      <c r="D55" s="39">
        <v>35.770499999999998</v>
      </c>
    </row>
    <row r="56" spans="1:4" x14ac:dyDescent="0.2">
      <c r="A56" s="10" t="s">
        <v>471</v>
      </c>
      <c r="C56" s="39">
        <v>14.8451</v>
      </c>
      <c r="D56" s="39">
        <v>17.655100000000001</v>
      </c>
    </row>
    <row r="58" spans="1:4" ht="10.5" x14ac:dyDescent="0.25">
      <c r="A58" s="17" t="s">
        <v>185</v>
      </c>
      <c r="D58" s="40" t="s">
        <v>186</v>
      </c>
    </row>
    <row r="60" spans="1:4" ht="10.5" x14ac:dyDescent="0.25">
      <c r="A60" s="17" t="s">
        <v>1014</v>
      </c>
      <c r="D60" s="47">
        <v>9.6600000000000005E-2</v>
      </c>
    </row>
  </sheetData>
  <mergeCells count="1">
    <mergeCell ref="A1:F1"/>
  </mergeCells>
  <conditionalFormatting sqref="F2:F3 F5:F65536">
    <cfRule type="cellIs" dxfId="12" priority="1" stopIfTrue="1" operator="between">
      <formula>0.009</formula>
      <formula>-0.009</formula>
    </cfRule>
  </conditionalFormatting>
  <pageMargins left="0.7" right="0.7" top="0.75" bottom="0.75" header="0.3" footer="0.3"/>
  <pageSetup paperSize="9" scale="65" orientation="portrait" r:id="rId1"/>
  <headerFooter>
    <oddFooter>&amp;LPUBLIC</oddFooter>
    <evenFooter>&amp;LPUBLIC</evenFooter>
    <firstFooter>&amp;LPUBLIC</firstFooter>
  </headerFooter>
  <colBreaks count="1" manualBreakCount="1">
    <brk id="6" max="1048575" man="1"/>
  </col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82"/>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40.1796875" style="10" bestFit="1" customWidth="1"/>
    <col min="3" max="3" width="35.81640625" style="10" bestFit="1" customWidth="1"/>
    <col min="4" max="4" width="15.453125" style="11" bestFit="1" customWidth="1"/>
    <col min="5" max="5" width="23" style="15" bestFit="1" customWidth="1"/>
    <col min="6" max="6" width="14.81640625" style="16" bestFit="1" customWidth="1"/>
    <col min="7" max="16384" width="9.1796875" style="10"/>
  </cols>
  <sheetData>
    <row r="1" spans="1:6" s="1" customFormat="1" ht="14" x14ac:dyDescent="0.25">
      <c r="A1" s="96" t="s">
        <v>46</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1065</v>
      </c>
      <c r="D4" s="48" t="s">
        <v>1</v>
      </c>
      <c r="E4" s="9" t="s">
        <v>3</v>
      </c>
      <c r="F4" s="9" t="s">
        <v>4</v>
      </c>
    </row>
    <row r="5" spans="1:6" ht="10.5" x14ac:dyDescent="0.25">
      <c r="A5" s="20" t="s">
        <v>881</v>
      </c>
      <c r="B5" s="21"/>
      <c r="C5" s="21"/>
      <c r="D5" s="22"/>
      <c r="E5" s="23"/>
      <c r="F5" s="24"/>
    </row>
    <row r="6" spans="1:6" ht="10.5" x14ac:dyDescent="0.25">
      <c r="A6" s="25" t="s">
        <v>1647</v>
      </c>
      <c r="B6" s="26"/>
      <c r="C6" s="26"/>
      <c r="D6" s="27"/>
      <c r="E6" s="28"/>
      <c r="F6" s="29"/>
    </row>
    <row r="7" spans="1:6" x14ac:dyDescent="0.2">
      <c r="A7" s="26" t="s">
        <v>883</v>
      </c>
      <c r="B7" s="26" t="s">
        <v>882</v>
      </c>
      <c r="C7" s="26" t="s">
        <v>884</v>
      </c>
      <c r="D7" s="30">
        <v>30714</v>
      </c>
      <c r="E7" s="28">
        <v>331.281204</v>
      </c>
      <c r="F7" s="29">
        <v>1.82995217360489</v>
      </c>
    </row>
    <row r="8" spans="1:6" x14ac:dyDescent="0.2">
      <c r="A8" s="26" t="s">
        <v>896</v>
      </c>
      <c r="B8" s="26" t="s">
        <v>895</v>
      </c>
      <c r="C8" s="26" t="s">
        <v>884</v>
      </c>
      <c r="D8" s="30">
        <v>19534</v>
      </c>
      <c r="E8" s="28">
        <v>247.730188</v>
      </c>
      <c r="F8" s="29">
        <v>1.3684277602364301</v>
      </c>
    </row>
    <row r="9" spans="1:6" x14ac:dyDescent="0.2">
      <c r="A9" s="26" t="s">
        <v>999</v>
      </c>
      <c r="B9" s="26" t="s">
        <v>998</v>
      </c>
      <c r="C9" s="26" t="s">
        <v>1000</v>
      </c>
      <c r="D9" s="30">
        <v>238985</v>
      </c>
      <c r="E9" s="28">
        <v>227.03575000000001</v>
      </c>
      <c r="F9" s="29">
        <v>1.25411450810387</v>
      </c>
    </row>
    <row r="10" spans="1:6" x14ac:dyDescent="0.2">
      <c r="A10" s="26" t="s">
        <v>1252</v>
      </c>
      <c r="B10" s="26" t="s">
        <v>1251</v>
      </c>
      <c r="C10" s="26" t="s">
        <v>957</v>
      </c>
      <c r="D10" s="30">
        <v>31568</v>
      </c>
      <c r="E10" s="28">
        <v>212.10539199999999</v>
      </c>
      <c r="F10" s="29">
        <v>1.17164124748749</v>
      </c>
    </row>
    <row r="11" spans="1:6" x14ac:dyDescent="0.2">
      <c r="A11" s="26" t="s">
        <v>994</v>
      </c>
      <c r="B11" s="26" t="s">
        <v>993</v>
      </c>
      <c r="C11" s="26" t="s">
        <v>995</v>
      </c>
      <c r="D11" s="30">
        <v>21827</v>
      </c>
      <c r="E11" s="28">
        <v>196.79223200000001</v>
      </c>
      <c r="F11" s="29">
        <v>1.0870534408494801</v>
      </c>
    </row>
    <row r="12" spans="1:6" x14ac:dyDescent="0.2">
      <c r="A12" s="26" t="s">
        <v>894</v>
      </c>
      <c r="B12" s="26" t="s">
        <v>893</v>
      </c>
      <c r="C12" s="26" t="s">
        <v>884</v>
      </c>
      <c r="D12" s="30">
        <v>53346</v>
      </c>
      <c r="E12" s="28">
        <v>189.244935</v>
      </c>
      <c r="F12" s="29">
        <v>1.0453632019128001</v>
      </c>
    </row>
    <row r="13" spans="1:6" x14ac:dyDescent="0.2">
      <c r="A13" s="26" t="s">
        <v>1352</v>
      </c>
      <c r="B13" s="26" t="s">
        <v>1351</v>
      </c>
      <c r="C13" s="26" t="s">
        <v>1155</v>
      </c>
      <c r="D13" s="30">
        <v>19381</v>
      </c>
      <c r="E13" s="28">
        <v>166.7638145</v>
      </c>
      <c r="F13" s="29">
        <v>0.921180559410543</v>
      </c>
    </row>
    <row r="14" spans="1:6" x14ac:dyDescent="0.2">
      <c r="A14" s="26" t="s">
        <v>1354</v>
      </c>
      <c r="B14" s="26" t="s">
        <v>1353</v>
      </c>
      <c r="C14" s="26" t="s">
        <v>978</v>
      </c>
      <c r="D14" s="30">
        <v>24346</v>
      </c>
      <c r="E14" s="28">
        <v>158.29769200000001</v>
      </c>
      <c r="F14" s="29">
        <v>0.87441485376887795</v>
      </c>
    </row>
    <row r="15" spans="1:6" x14ac:dyDescent="0.2">
      <c r="A15" s="26" t="s">
        <v>1071</v>
      </c>
      <c r="B15" s="26" t="s">
        <v>1070</v>
      </c>
      <c r="C15" s="26" t="s">
        <v>917</v>
      </c>
      <c r="D15" s="30">
        <v>30332</v>
      </c>
      <c r="E15" s="28">
        <v>151.644834</v>
      </c>
      <c r="F15" s="29">
        <v>0.837665373838273</v>
      </c>
    </row>
    <row r="16" spans="1:6" x14ac:dyDescent="0.2">
      <c r="A16" s="26" t="s">
        <v>904</v>
      </c>
      <c r="B16" s="26" t="s">
        <v>903</v>
      </c>
      <c r="C16" s="26" t="s">
        <v>905</v>
      </c>
      <c r="D16" s="30">
        <v>84613</v>
      </c>
      <c r="E16" s="28">
        <v>148.28428249999999</v>
      </c>
      <c r="F16" s="29">
        <v>0.81910214583836505</v>
      </c>
    </row>
    <row r="17" spans="1:9" x14ac:dyDescent="0.2">
      <c r="A17" s="26" t="s">
        <v>1179</v>
      </c>
      <c r="B17" s="26" t="s">
        <v>1178</v>
      </c>
      <c r="C17" s="26" t="s">
        <v>1180</v>
      </c>
      <c r="D17" s="30">
        <v>37307</v>
      </c>
      <c r="E17" s="28">
        <v>133.55905999999999</v>
      </c>
      <c r="F17" s="29">
        <v>0.73776202573698202</v>
      </c>
    </row>
    <row r="18" spans="1:9" x14ac:dyDescent="0.2">
      <c r="A18" s="26" t="s">
        <v>1265</v>
      </c>
      <c r="B18" s="26" t="s">
        <v>1264</v>
      </c>
      <c r="C18" s="26" t="s">
        <v>1155</v>
      </c>
      <c r="D18" s="30">
        <v>27999</v>
      </c>
      <c r="E18" s="28">
        <v>110.372058</v>
      </c>
      <c r="F18" s="29">
        <v>0.60968019013341102</v>
      </c>
    </row>
    <row r="19" spans="1:9" x14ac:dyDescent="0.2">
      <c r="A19" s="26" t="s">
        <v>1318</v>
      </c>
      <c r="B19" s="26" t="s">
        <v>1317</v>
      </c>
      <c r="C19" s="26" t="s">
        <v>978</v>
      </c>
      <c r="D19" s="30">
        <v>15523</v>
      </c>
      <c r="E19" s="28">
        <v>65.336307000000005</v>
      </c>
      <c r="F19" s="29">
        <v>0.36090884591800299</v>
      </c>
    </row>
    <row r="20" spans="1:9" ht="10.5" x14ac:dyDescent="0.25">
      <c r="A20" s="25" t="s">
        <v>153</v>
      </c>
      <c r="B20" s="25"/>
      <c r="C20" s="25"/>
      <c r="D20" s="31"/>
      <c r="E20" s="32">
        <f>SUM(E7:E19)</f>
        <v>2338.4477489999999</v>
      </c>
      <c r="F20" s="33">
        <f>SUM(F7:F19)</f>
        <v>12.917266326839414</v>
      </c>
      <c r="G20" s="17"/>
      <c r="H20" s="17"/>
      <c r="I20" s="17"/>
    </row>
    <row r="21" spans="1:9" x14ac:dyDescent="0.2">
      <c r="A21" s="26"/>
      <c r="B21" s="26"/>
      <c r="C21" s="26"/>
      <c r="D21" s="27"/>
      <c r="E21" s="28"/>
      <c r="F21" s="29"/>
    </row>
    <row r="22" spans="1:9" ht="10.5" x14ac:dyDescent="0.25">
      <c r="A22" s="25" t="s">
        <v>1091</v>
      </c>
      <c r="B22" s="26"/>
      <c r="C22" s="26"/>
      <c r="D22" s="27"/>
      <c r="E22" s="28"/>
      <c r="F22" s="29"/>
    </row>
    <row r="23" spans="1:9" x14ac:dyDescent="0.2">
      <c r="A23" s="26" t="s">
        <v>1356</v>
      </c>
      <c r="B23" s="26" t="s">
        <v>1355</v>
      </c>
      <c r="C23" s="26" t="s">
        <v>957</v>
      </c>
      <c r="D23" s="30">
        <v>9063</v>
      </c>
      <c r="E23" s="28">
        <v>1850.787695</v>
      </c>
      <c r="F23" s="29">
        <v>10.223498720882599</v>
      </c>
    </row>
    <row r="24" spans="1:9" x14ac:dyDescent="0.2">
      <c r="A24" s="26" t="s">
        <v>1358</v>
      </c>
      <c r="B24" s="26" t="s">
        <v>1357</v>
      </c>
      <c r="C24" s="26" t="s">
        <v>887</v>
      </c>
      <c r="D24" s="30">
        <v>37300</v>
      </c>
      <c r="E24" s="28">
        <v>1815.3792639999999</v>
      </c>
      <c r="F24" s="29">
        <v>10.0279073788746</v>
      </c>
    </row>
    <row r="25" spans="1:9" x14ac:dyDescent="0.2">
      <c r="A25" s="26" t="s">
        <v>1122</v>
      </c>
      <c r="B25" s="26" t="s">
        <v>1121</v>
      </c>
      <c r="C25" s="26" t="s">
        <v>1107</v>
      </c>
      <c r="D25" s="30">
        <v>149714</v>
      </c>
      <c r="E25" s="28">
        <v>1650.407962</v>
      </c>
      <c r="F25" s="29">
        <v>9.1166284139583205</v>
      </c>
    </row>
    <row r="26" spans="1:9" x14ac:dyDescent="0.2">
      <c r="A26" s="26" t="s">
        <v>1130</v>
      </c>
      <c r="B26" s="26" t="s">
        <v>1129</v>
      </c>
      <c r="C26" s="26" t="s">
        <v>1107</v>
      </c>
      <c r="D26" s="30">
        <v>41915</v>
      </c>
      <c r="E26" s="28">
        <v>1537.929034</v>
      </c>
      <c r="F26" s="29">
        <v>8.4953101613889803</v>
      </c>
    </row>
    <row r="27" spans="1:9" x14ac:dyDescent="0.2">
      <c r="A27" s="26" t="s">
        <v>1360</v>
      </c>
      <c r="B27" s="26" t="s">
        <v>1359</v>
      </c>
      <c r="C27" s="26" t="s">
        <v>978</v>
      </c>
      <c r="D27" s="30">
        <v>112524</v>
      </c>
      <c r="E27" s="28">
        <v>812.64307429999997</v>
      </c>
      <c r="F27" s="29">
        <v>4.4889294720754798</v>
      </c>
    </row>
    <row r="28" spans="1:9" x14ac:dyDescent="0.2">
      <c r="A28" s="26" t="s">
        <v>1362</v>
      </c>
      <c r="B28" s="26" t="s">
        <v>1361</v>
      </c>
      <c r="C28" s="26" t="s">
        <v>957</v>
      </c>
      <c r="D28" s="30">
        <v>28600</v>
      </c>
      <c r="E28" s="28">
        <v>658.01414590000002</v>
      </c>
      <c r="F28" s="29">
        <v>3.6347803678969699</v>
      </c>
    </row>
    <row r="29" spans="1:9" x14ac:dyDescent="0.2">
      <c r="A29" s="26" t="s">
        <v>1364</v>
      </c>
      <c r="B29" s="26" t="s">
        <v>1363</v>
      </c>
      <c r="C29" s="26" t="s">
        <v>978</v>
      </c>
      <c r="D29" s="30">
        <v>80310</v>
      </c>
      <c r="E29" s="28">
        <v>607.50471789999995</v>
      </c>
      <c r="F29" s="29">
        <v>3.3557731787171701</v>
      </c>
    </row>
    <row r="30" spans="1:9" x14ac:dyDescent="0.2">
      <c r="A30" s="26" t="s">
        <v>1366</v>
      </c>
      <c r="B30" s="26" t="s">
        <v>1365</v>
      </c>
      <c r="C30" s="26" t="s">
        <v>917</v>
      </c>
      <c r="D30" s="30">
        <v>121000</v>
      </c>
      <c r="E30" s="28">
        <v>417.93129809999999</v>
      </c>
      <c r="F30" s="29">
        <v>2.3085954715849502</v>
      </c>
    </row>
    <row r="31" spans="1:9" x14ac:dyDescent="0.2">
      <c r="A31" s="26" t="s">
        <v>1368</v>
      </c>
      <c r="B31" s="26" t="s">
        <v>1367</v>
      </c>
      <c r="C31" s="26" t="s">
        <v>1369</v>
      </c>
      <c r="D31" s="30">
        <v>3660</v>
      </c>
      <c r="E31" s="28">
        <v>397.36719909999999</v>
      </c>
      <c r="F31" s="29">
        <v>2.1950021943059999</v>
      </c>
    </row>
    <row r="32" spans="1:9" x14ac:dyDescent="0.2">
      <c r="A32" s="26" t="s">
        <v>1371</v>
      </c>
      <c r="B32" s="26" t="s">
        <v>1370</v>
      </c>
      <c r="C32" s="26" t="s">
        <v>957</v>
      </c>
      <c r="D32" s="30">
        <v>37521</v>
      </c>
      <c r="E32" s="28">
        <v>362.72794299999998</v>
      </c>
      <c r="F32" s="29">
        <v>2.0036596695056699</v>
      </c>
    </row>
    <row r="33" spans="1:6" x14ac:dyDescent="0.2">
      <c r="A33" s="26" t="s">
        <v>1373</v>
      </c>
      <c r="B33" s="26" t="s">
        <v>1372</v>
      </c>
      <c r="C33" s="26" t="s">
        <v>960</v>
      </c>
      <c r="D33" s="30">
        <v>1900</v>
      </c>
      <c r="E33" s="28">
        <v>355.15843969999997</v>
      </c>
      <c r="F33" s="29">
        <v>1.9618467659974399</v>
      </c>
    </row>
    <row r="34" spans="1:6" x14ac:dyDescent="0.2">
      <c r="A34" s="26" t="s">
        <v>1375</v>
      </c>
      <c r="B34" s="26" t="s">
        <v>1374</v>
      </c>
      <c r="C34" s="26" t="s">
        <v>1155</v>
      </c>
      <c r="D34" s="30">
        <v>84000</v>
      </c>
      <c r="E34" s="28">
        <v>278.94437840000001</v>
      </c>
      <c r="F34" s="29">
        <v>1.54085068939784</v>
      </c>
    </row>
    <row r="35" spans="1:6" x14ac:dyDescent="0.2">
      <c r="A35" s="26" t="s">
        <v>1377</v>
      </c>
      <c r="B35" s="26" t="s">
        <v>1376</v>
      </c>
      <c r="C35" s="26" t="s">
        <v>917</v>
      </c>
      <c r="D35" s="30">
        <v>1500</v>
      </c>
      <c r="E35" s="28">
        <v>271.09735439999997</v>
      </c>
      <c r="F35" s="29">
        <v>1.49750479940545</v>
      </c>
    </row>
    <row r="36" spans="1:6" x14ac:dyDescent="0.2">
      <c r="A36" s="26" t="s">
        <v>1379</v>
      </c>
      <c r="B36" s="26" t="s">
        <v>1378</v>
      </c>
      <c r="C36" s="26" t="s">
        <v>884</v>
      </c>
      <c r="D36" s="30">
        <v>195429</v>
      </c>
      <c r="E36" s="28">
        <v>262.4641474</v>
      </c>
      <c r="F36" s="29">
        <v>1.4498161417814199</v>
      </c>
    </row>
    <row r="37" spans="1:6" x14ac:dyDescent="0.2">
      <c r="A37" s="26" t="s">
        <v>1381</v>
      </c>
      <c r="B37" s="26" t="s">
        <v>1380</v>
      </c>
      <c r="C37" s="26" t="s">
        <v>884</v>
      </c>
      <c r="D37" s="30">
        <v>67000</v>
      </c>
      <c r="E37" s="28">
        <v>233.01028149999999</v>
      </c>
      <c r="F37" s="29">
        <v>1.2871170049937799</v>
      </c>
    </row>
    <row r="38" spans="1:6" x14ac:dyDescent="0.2">
      <c r="A38" s="26" t="s">
        <v>1383</v>
      </c>
      <c r="B38" s="26" t="s">
        <v>1382</v>
      </c>
      <c r="C38" s="26" t="s">
        <v>917</v>
      </c>
      <c r="D38" s="30">
        <v>99100</v>
      </c>
      <c r="E38" s="28">
        <v>212.16271929999999</v>
      </c>
      <c r="F38" s="29">
        <v>1.1719579156714199</v>
      </c>
    </row>
    <row r="39" spans="1:6" x14ac:dyDescent="0.2">
      <c r="A39" s="26" t="s">
        <v>1385</v>
      </c>
      <c r="B39" s="26" t="s">
        <v>1384</v>
      </c>
      <c r="C39" s="26" t="s">
        <v>978</v>
      </c>
      <c r="D39" s="30">
        <v>15720</v>
      </c>
      <c r="E39" s="28">
        <v>210.4026925</v>
      </c>
      <c r="F39" s="29">
        <v>1.16223576775185</v>
      </c>
    </row>
    <row r="40" spans="1:6" x14ac:dyDescent="0.2">
      <c r="A40" s="26" t="s">
        <v>1387</v>
      </c>
      <c r="B40" s="26" t="s">
        <v>1386</v>
      </c>
      <c r="C40" s="26" t="s">
        <v>899</v>
      </c>
      <c r="D40" s="30">
        <v>456800</v>
      </c>
      <c r="E40" s="28">
        <v>207.703519</v>
      </c>
      <c r="F40" s="29">
        <v>1.14732590159095</v>
      </c>
    </row>
    <row r="41" spans="1:6" x14ac:dyDescent="0.2">
      <c r="A41" s="26" t="s">
        <v>1389</v>
      </c>
      <c r="B41" s="26" t="s">
        <v>1388</v>
      </c>
      <c r="C41" s="26" t="s">
        <v>1180</v>
      </c>
      <c r="D41" s="30">
        <v>112000</v>
      </c>
      <c r="E41" s="28">
        <v>201.20228710000001</v>
      </c>
      <c r="F41" s="29">
        <v>1.11141398355012</v>
      </c>
    </row>
    <row r="42" spans="1:6" x14ac:dyDescent="0.2">
      <c r="A42" s="26" t="s">
        <v>1391</v>
      </c>
      <c r="B42" s="26" t="s">
        <v>1390</v>
      </c>
      <c r="C42" s="26" t="s">
        <v>887</v>
      </c>
      <c r="D42" s="30">
        <v>6400</v>
      </c>
      <c r="E42" s="28">
        <v>178.91414030000001</v>
      </c>
      <c r="F42" s="29">
        <v>0.98829730143891803</v>
      </c>
    </row>
    <row r="43" spans="1:6" x14ac:dyDescent="0.2">
      <c r="A43" s="26" t="s">
        <v>1393</v>
      </c>
      <c r="B43" s="26" t="s">
        <v>1392</v>
      </c>
      <c r="C43" s="26" t="s">
        <v>899</v>
      </c>
      <c r="D43" s="30">
        <v>176000</v>
      </c>
      <c r="E43" s="28">
        <v>177.1785879</v>
      </c>
      <c r="F43" s="29">
        <v>0.978710346765857</v>
      </c>
    </row>
    <row r="44" spans="1:6" x14ac:dyDescent="0.2">
      <c r="A44" s="26" t="s">
        <v>1395</v>
      </c>
      <c r="B44" s="26" t="s">
        <v>1394</v>
      </c>
      <c r="C44" s="26" t="s">
        <v>917</v>
      </c>
      <c r="D44" s="30">
        <v>4600</v>
      </c>
      <c r="E44" s="28">
        <v>174.8982073</v>
      </c>
      <c r="F44" s="29">
        <v>0.96611383544788798</v>
      </c>
    </row>
    <row r="45" spans="1:6" x14ac:dyDescent="0.2">
      <c r="A45" s="26" t="s">
        <v>1397</v>
      </c>
      <c r="B45" s="26" t="s">
        <v>1396</v>
      </c>
      <c r="C45" s="26" t="s">
        <v>1048</v>
      </c>
      <c r="D45" s="30">
        <v>7538</v>
      </c>
      <c r="E45" s="28">
        <v>173.81955429999999</v>
      </c>
      <c r="F45" s="29">
        <v>0.96015550343845901</v>
      </c>
    </row>
    <row r="46" spans="1:6" x14ac:dyDescent="0.2">
      <c r="A46" s="26" t="s">
        <v>1399</v>
      </c>
      <c r="B46" s="26" t="s">
        <v>1398</v>
      </c>
      <c r="C46" s="26" t="s">
        <v>911</v>
      </c>
      <c r="D46" s="30">
        <v>22100</v>
      </c>
      <c r="E46" s="28">
        <v>173.79477030000001</v>
      </c>
      <c r="F46" s="29">
        <v>0.96001860000378403</v>
      </c>
    </row>
    <row r="47" spans="1:6" x14ac:dyDescent="0.2">
      <c r="A47" s="26" t="s">
        <v>1401</v>
      </c>
      <c r="B47" s="26" t="s">
        <v>1400</v>
      </c>
      <c r="C47" s="26" t="s">
        <v>1173</v>
      </c>
      <c r="D47" s="30">
        <v>36000</v>
      </c>
      <c r="E47" s="28">
        <v>170.75780510000001</v>
      </c>
      <c r="F47" s="29">
        <v>0.94324281857761505</v>
      </c>
    </row>
    <row r="48" spans="1:6" x14ac:dyDescent="0.2">
      <c r="A48" s="26" t="s">
        <v>1403</v>
      </c>
      <c r="B48" s="26" t="s">
        <v>1402</v>
      </c>
      <c r="C48" s="26" t="s">
        <v>1038</v>
      </c>
      <c r="D48" s="30">
        <v>238000</v>
      </c>
      <c r="E48" s="28">
        <v>168.71206079999999</v>
      </c>
      <c r="F48" s="29">
        <v>0.93194240616899304</v>
      </c>
    </row>
    <row r="49" spans="1:9" x14ac:dyDescent="0.2">
      <c r="A49" s="26" t="s">
        <v>1405</v>
      </c>
      <c r="B49" s="26" t="s">
        <v>1404</v>
      </c>
      <c r="C49" s="26" t="s">
        <v>887</v>
      </c>
      <c r="D49" s="30">
        <v>1400</v>
      </c>
      <c r="E49" s="28">
        <v>160.1748896</v>
      </c>
      <c r="F49" s="29">
        <v>0.88478423720182997</v>
      </c>
    </row>
    <row r="50" spans="1:9" x14ac:dyDescent="0.2">
      <c r="A50" s="26" t="s">
        <v>1407</v>
      </c>
      <c r="B50" s="26" t="s">
        <v>1406</v>
      </c>
      <c r="C50" s="26" t="s">
        <v>957</v>
      </c>
      <c r="D50" s="30">
        <v>1925400</v>
      </c>
      <c r="E50" s="28">
        <v>152.19253169999999</v>
      </c>
      <c r="F50" s="29">
        <v>0.84069078120968999</v>
      </c>
    </row>
    <row r="51" spans="1:9" x14ac:dyDescent="0.2">
      <c r="A51" s="26" t="s">
        <v>1409</v>
      </c>
      <c r="B51" s="26" t="s">
        <v>1408</v>
      </c>
      <c r="C51" s="26" t="s">
        <v>1107</v>
      </c>
      <c r="D51" s="30">
        <v>2568</v>
      </c>
      <c r="E51" s="28">
        <v>135.99349839999999</v>
      </c>
      <c r="F51" s="29">
        <v>0.751209531323768</v>
      </c>
    </row>
    <row r="52" spans="1:9" x14ac:dyDescent="0.2">
      <c r="A52" s="26" t="s">
        <v>1411</v>
      </c>
      <c r="B52" s="26" t="s">
        <v>1410</v>
      </c>
      <c r="C52" s="26" t="s">
        <v>899</v>
      </c>
      <c r="D52" s="30">
        <v>262100</v>
      </c>
      <c r="E52" s="28">
        <v>135.0865302</v>
      </c>
      <c r="F52" s="29">
        <v>0.74619956272627197</v>
      </c>
    </row>
    <row r="53" spans="1:9" x14ac:dyDescent="0.2">
      <c r="A53" s="26" t="s">
        <v>1413</v>
      </c>
      <c r="B53" s="26" t="s">
        <v>1412</v>
      </c>
      <c r="C53" s="26" t="s">
        <v>1576</v>
      </c>
      <c r="D53" s="30">
        <v>22500</v>
      </c>
      <c r="E53" s="28">
        <v>131.36482530000001</v>
      </c>
      <c r="F53" s="29">
        <v>0.725641372617573</v>
      </c>
    </row>
    <row r="54" spans="1:9" x14ac:dyDescent="0.2">
      <c r="A54" s="26" t="s">
        <v>1415</v>
      </c>
      <c r="B54" s="26" t="s">
        <v>1414</v>
      </c>
      <c r="C54" s="26" t="s">
        <v>899</v>
      </c>
      <c r="D54" s="30">
        <v>17512</v>
      </c>
      <c r="E54" s="28">
        <v>131.2151811</v>
      </c>
      <c r="F54" s="29">
        <v>0.72481475847300003</v>
      </c>
    </row>
    <row r="55" spans="1:9" x14ac:dyDescent="0.2">
      <c r="A55" s="26" t="s">
        <v>1416</v>
      </c>
      <c r="B55" s="26" t="s">
        <v>1570</v>
      </c>
      <c r="C55" s="26" t="s">
        <v>1107</v>
      </c>
      <c r="D55" s="30">
        <v>8000</v>
      </c>
      <c r="E55" s="28">
        <v>123.6288069</v>
      </c>
      <c r="F55" s="29">
        <v>0.68290866241489101</v>
      </c>
    </row>
    <row r="56" spans="1:9" x14ac:dyDescent="0.2">
      <c r="A56" s="26" t="s">
        <v>1418</v>
      </c>
      <c r="B56" s="26" t="s">
        <v>1417</v>
      </c>
      <c r="C56" s="26" t="s">
        <v>1000</v>
      </c>
      <c r="D56" s="30">
        <v>217546</v>
      </c>
      <c r="E56" s="28">
        <v>101.24499470000001</v>
      </c>
      <c r="F56" s="29">
        <v>0.55926353768588999</v>
      </c>
    </row>
    <row r="57" spans="1:9" x14ac:dyDescent="0.2">
      <c r="A57" s="26" t="s">
        <v>1420</v>
      </c>
      <c r="B57" s="26" t="s">
        <v>1419</v>
      </c>
      <c r="C57" s="26" t="s">
        <v>911</v>
      </c>
      <c r="D57" s="30">
        <v>1000</v>
      </c>
      <c r="E57" s="28">
        <v>85.542172800000003</v>
      </c>
      <c r="F57" s="29">
        <v>0.472523291874553</v>
      </c>
    </row>
    <row r="58" spans="1:9" x14ac:dyDescent="0.2">
      <c r="A58" s="26" t="s">
        <v>1128</v>
      </c>
      <c r="B58" s="26" t="s">
        <v>1127</v>
      </c>
      <c r="C58" s="26" t="s">
        <v>887</v>
      </c>
      <c r="D58" s="30">
        <v>6900</v>
      </c>
      <c r="E58" s="28">
        <v>78.256432200000006</v>
      </c>
      <c r="F58" s="29">
        <v>0.43227785480686098</v>
      </c>
    </row>
    <row r="59" spans="1:9" x14ac:dyDescent="0.2">
      <c r="A59" s="26" t="s">
        <v>1422</v>
      </c>
      <c r="B59" s="26" t="s">
        <v>1421</v>
      </c>
      <c r="C59" s="26" t="s">
        <v>917</v>
      </c>
      <c r="D59" s="30">
        <v>101700</v>
      </c>
      <c r="E59" s="28">
        <v>75.479402899999997</v>
      </c>
      <c r="F59" s="29">
        <v>0.41693792382876799</v>
      </c>
    </row>
    <row r="60" spans="1:9" x14ac:dyDescent="0.2">
      <c r="A60" s="26" t="s">
        <v>1424</v>
      </c>
      <c r="B60" s="26" t="s">
        <v>1423</v>
      </c>
      <c r="C60" s="26" t="s">
        <v>917</v>
      </c>
      <c r="D60" s="30">
        <v>16000</v>
      </c>
      <c r="E60" s="28">
        <v>50.772520200000002</v>
      </c>
      <c r="F60" s="29">
        <v>0.28046047459845702</v>
      </c>
    </row>
    <row r="61" spans="1:9" x14ac:dyDescent="0.2">
      <c r="A61" s="26" t="s">
        <v>1426</v>
      </c>
      <c r="B61" s="26" t="s">
        <v>1425</v>
      </c>
      <c r="C61" s="26" t="s">
        <v>1000</v>
      </c>
      <c r="D61" s="30">
        <v>9888</v>
      </c>
      <c r="E61" s="28">
        <v>1.714183</v>
      </c>
      <c r="F61" s="29">
        <v>9.4689130229270602E-3</v>
      </c>
    </row>
    <row r="62" spans="1:9" x14ac:dyDescent="0.2">
      <c r="A62" s="26" t="s">
        <v>1428</v>
      </c>
      <c r="B62" s="26" t="s">
        <v>1427</v>
      </c>
      <c r="C62" s="26" t="s">
        <v>1000</v>
      </c>
      <c r="D62" s="30">
        <v>9695</v>
      </c>
      <c r="E62" s="28">
        <v>9.0240200000000007E-2</v>
      </c>
      <c r="F62" s="29">
        <v>4.9847455316704402E-4</v>
      </c>
    </row>
    <row r="63" spans="1:9" ht="10.5" x14ac:dyDescent="0.25">
      <c r="A63" s="25" t="s">
        <v>153</v>
      </c>
      <c r="B63" s="25"/>
      <c r="C63" s="25"/>
      <c r="D63" s="31"/>
      <c r="E63" s="32">
        <f>SUM(E22:E62)</f>
        <v>14923.669487800003</v>
      </c>
      <c r="F63" s="33">
        <f>SUM(F22:F62)</f>
        <v>82.436314187510177</v>
      </c>
      <c r="G63" s="17"/>
      <c r="H63" s="17"/>
      <c r="I63" s="17"/>
    </row>
    <row r="64" spans="1:9" x14ac:dyDescent="0.2">
      <c r="A64" s="26"/>
      <c r="B64" s="26"/>
      <c r="C64" s="26"/>
      <c r="D64" s="27"/>
      <c r="E64" s="28"/>
      <c r="F64" s="29"/>
    </row>
    <row r="65" spans="1:9" ht="10.5" x14ac:dyDescent="0.25">
      <c r="A65" s="25" t="s">
        <v>166</v>
      </c>
      <c r="B65" s="25"/>
      <c r="C65" s="25"/>
      <c r="D65" s="31"/>
      <c r="E65" s="32">
        <f>E20+E63</f>
        <v>17262.117236800004</v>
      </c>
      <c r="F65" s="33">
        <f>F20+F63</f>
        <v>95.353580514349588</v>
      </c>
      <c r="G65" s="17"/>
      <c r="H65" s="17"/>
      <c r="I65" s="17"/>
    </row>
    <row r="66" spans="1:9" ht="10.5" x14ac:dyDescent="0.25">
      <c r="A66" s="25"/>
      <c r="B66" s="25"/>
      <c r="C66" s="25"/>
      <c r="D66" s="31"/>
      <c r="E66" s="32"/>
      <c r="F66" s="33"/>
      <c r="G66" s="17"/>
      <c r="H66" s="17"/>
      <c r="I66" s="17"/>
    </row>
    <row r="67" spans="1:9" ht="10.5" x14ac:dyDescent="0.25">
      <c r="A67" s="25" t="s">
        <v>168</v>
      </c>
      <c r="B67" s="25"/>
      <c r="C67" s="25"/>
      <c r="D67" s="31"/>
      <c r="E67" s="32">
        <f>E69-(E20+E63)</f>
        <v>841.15391849999651</v>
      </c>
      <c r="F67" s="33">
        <f>F69-(F20+F63)</f>
        <v>4.6464194856504122</v>
      </c>
      <c r="G67" s="17"/>
      <c r="H67" s="17"/>
      <c r="I67" s="17"/>
    </row>
    <row r="68" spans="1:9" ht="10.5" x14ac:dyDescent="0.25">
      <c r="A68" s="25"/>
      <c r="B68" s="25"/>
      <c r="C68" s="25"/>
      <c r="D68" s="31"/>
      <c r="E68" s="32"/>
      <c r="F68" s="33"/>
      <c r="G68" s="17"/>
      <c r="H68" s="17"/>
      <c r="I68" s="17"/>
    </row>
    <row r="69" spans="1:9" ht="10.5" x14ac:dyDescent="0.25">
      <c r="A69" s="34" t="s">
        <v>167</v>
      </c>
      <c r="B69" s="34"/>
      <c r="C69" s="34"/>
      <c r="D69" s="35"/>
      <c r="E69" s="36">
        <v>18103.271155300001</v>
      </c>
      <c r="F69" s="37">
        <v>100</v>
      </c>
      <c r="G69" s="17"/>
      <c r="H69" s="17"/>
      <c r="I69" s="17"/>
    </row>
    <row r="70" spans="1:9" ht="10.5" x14ac:dyDescent="0.25">
      <c r="F70" s="19" t="s">
        <v>343</v>
      </c>
    </row>
    <row r="72" spans="1:9" ht="10.5" x14ac:dyDescent="0.25">
      <c r="A72" s="17" t="s">
        <v>171</v>
      </c>
    </row>
    <row r="73" spans="1:9" ht="10.5" x14ac:dyDescent="0.25">
      <c r="A73" s="17" t="s">
        <v>172</v>
      </c>
    </row>
    <row r="74" spans="1:9" ht="10.5" x14ac:dyDescent="0.25">
      <c r="A74" s="17" t="s">
        <v>173</v>
      </c>
      <c r="B74" s="17"/>
      <c r="C74" s="38" t="s">
        <v>175</v>
      </c>
      <c r="D74" s="18" t="s">
        <v>174</v>
      </c>
    </row>
    <row r="75" spans="1:9" x14ac:dyDescent="0.2">
      <c r="A75" s="10" t="s">
        <v>436</v>
      </c>
      <c r="C75" s="39">
        <v>20.614999999999998</v>
      </c>
      <c r="D75" s="39">
        <v>26.255199999999999</v>
      </c>
    </row>
    <row r="76" spans="1:9" x14ac:dyDescent="0.2">
      <c r="A76" s="10" t="s">
        <v>470</v>
      </c>
      <c r="C76" s="39">
        <v>11.352399999999999</v>
      </c>
      <c r="D76" s="39">
        <v>14.458399999999999</v>
      </c>
    </row>
    <row r="77" spans="1:9" x14ac:dyDescent="0.2">
      <c r="A77" s="10" t="s">
        <v>439</v>
      </c>
      <c r="C77" s="39">
        <v>21.5822</v>
      </c>
      <c r="D77" s="39">
        <v>27.566099999999999</v>
      </c>
    </row>
    <row r="78" spans="1:9" x14ac:dyDescent="0.2">
      <c r="A78" s="10" t="s">
        <v>471</v>
      </c>
      <c r="C78" s="39">
        <v>11.9754</v>
      </c>
      <c r="D78" s="39">
        <v>15.292899999999999</v>
      </c>
    </row>
    <row r="80" spans="1:9" ht="10.5" x14ac:dyDescent="0.25">
      <c r="A80" s="17" t="s">
        <v>185</v>
      </c>
      <c r="D80" s="40" t="s">
        <v>186</v>
      </c>
    </row>
    <row r="82" spans="1:4" ht="10.5" x14ac:dyDescent="0.25">
      <c r="A82" s="17" t="s">
        <v>1014</v>
      </c>
      <c r="D82" s="47">
        <v>0.14399999999999999</v>
      </c>
    </row>
  </sheetData>
  <mergeCells count="1">
    <mergeCell ref="A1:F1"/>
  </mergeCells>
  <conditionalFormatting sqref="F2:F3 F5:F65536">
    <cfRule type="cellIs" dxfId="11" priority="1" stopIfTrue="1" operator="between">
      <formula>0.009</formula>
      <formula>-0.009</formula>
    </cfRule>
  </conditionalFormatting>
  <pageMargins left="0.7" right="0.7" top="0.75" bottom="0.75" header="0.3" footer="0.3"/>
  <pageSetup paperSize="9" scale="46" orientation="portrait" r:id="rId1"/>
  <headerFooter>
    <oddFooter>&amp;LPUBLIC</oddFooter>
    <evenFooter>&amp;LPUBLIC</evenFooter>
    <firstFooter>&amp;LPUBLIC</firstFooter>
  </headerFooter>
  <colBreaks count="1" manualBreakCount="1">
    <brk id="8" max="1048575" man="1"/>
  </col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79"/>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33.453125" style="10" bestFit="1" customWidth="1"/>
    <col min="3" max="3" width="18.81640625" style="10" bestFit="1" customWidth="1"/>
    <col min="4" max="4" width="15.453125" style="11" bestFit="1" customWidth="1"/>
    <col min="5" max="5" width="23" style="15" bestFit="1" customWidth="1"/>
    <col min="6" max="6" width="14.81640625" style="16" bestFit="1" customWidth="1"/>
    <col min="7" max="16384" width="9.1796875" style="10"/>
  </cols>
  <sheetData>
    <row r="1" spans="1:6" s="1" customFormat="1" ht="14" x14ac:dyDescent="0.25">
      <c r="A1" s="96" t="s">
        <v>47</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1065</v>
      </c>
      <c r="D4" s="48" t="s">
        <v>1</v>
      </c>
      <c r="E4" s="9" t="s">
        <v>3</v>
      </c>
      <c r="F4" s="9" t="s">
        <v>4</v>
      </c>
    </row>
    <row r="5" spans="1:6" ht="10.5" x14ac:dyDescent="0.25">
      <c r="A5" s="20" t="s">
        <v>881</v>
      </c>
      <c r="B5" s="21"/>
      <c r="C5" s="21"/>
      <c r="D5" s="22"/>
      <c r="E5" s="23"/>
      <c r="F5" s="24"/>
    </row>
    <row r="6" spans="1:6" ht="10.5" x14ac:dyDescent="0.25">
      <c r="A6" s="25" t="s">
        <v>1647</v>
      </c>
      <c r="B6" s="26"/>
      <c r="C6" s="26"/>
      <c r="D6" s="27"/>
      <c r="E6" s="28"/>
      <c r="F6" s="29"/>
    </row>
    <row r="7" spans="1:6" x14ac:dyDescent="0.2">
      <c r="A7" s="26" t="s">
        <v>1430</v>
      </c>
      <c r="B7" s="26" t="s">
        <v>1429</v>
      </c>
      <c r="C7" s="26" t="s">
        <v>925</v>
      </c>
      <c r="D7" s="30">
        <v>215521</v>
      </c>
      <c r="E7" s="28">
        <v>4815.4934640000001</v>
      </c>
      <c r="F7" s="29">
        <v>14.726069654485</v>
      </c>
    </row>
    <row r="8" spans="1:6" x14ac:dyDescent="0.2">
      <c r="A8" s="26" t="s">
        <v>883</v>
      </c>
      <c r="B8" s="26" t="s">
        <v>882</v>
      </c>
      <c r="C8" s="26" t="s">
        <v>884</v>
      </c>
      <c r="D8" s="30">
        <v>294314</v>
      </c>
      <c r="E8" s="28">
        <v>3174.470804</v>
      </c>
      <c r="F8" s="29">
        <v>9.7077233154423492</v>
      </c>
    </row>
    <row r="9" spans="1:6" x14ac:dyDescent="0.2">
      <c r="A9" s="26" t="s">
        <v>886</v>
      </c>
      <c r="B9" s="26" t="s">
        <v>885</v>
      </c>
      <c r="C9" s="26" t="s">
        <v>887</v>
      </c>
      <c r="D9" s="30">
        <v>247763</v>
      </c>
      <c r="E9" s="28">
        <v>2498.0704479999999</v>
      </c>
      <c r="F9" s="29">
        <v>7.6392502023046198</v>
      </c>
    </row>
    <row r="10" spans="1:6" x14ac:dyDescent="0.2">
      <c r="A10" s="26" t="s">
        <v>977</v>
      </c>
      <c r="B10" s="26" t="s">
        <v>976</v>
      </c>
      <c r="C10" s="26" t="s">
        <v>978</v>
      </c>
      <c r="D10" s="30">
        <v>116135</v>
      </c>
      <c r="E10" s="28">
        <v>2020.8070680000001</v>
      </c>
      <c r="F10" s="29">
        <v>6.1797499807890102</v>
      </c>
    </row>
    <row r="11" spans="1:6" x14ac:dyDescent="0.2">
      <c r="A11" s="26" t="s">
        <v>1017</v>
      </c>
      <c r="B11" s="26" t="s">
        <v>1016</v>
      </c>
      <c r="C11" s="26" t="s">
        <v>887</v>
      </c>
      <c r="D11" s="30">
        <v>70671</v>
      </c>
      <c r="E11" s="28">
        <v>1761.333333</v>
      </c>
      <c r="F11" s="29">
        <v>5.38626363848892</v>
      </c>
    </row>
    <row r="12" spans="1:6" x14ac:dyDescent="0.2">
      <c r="A12" s="26" t="s">
        <v>894</v>
      </c>
      <c r="B12" s="26" t="s">
        <v>893</v>
      </c>
      <c r="C12" s="26" t="s">
        <v>884</v>
      </c>
      <c r="D12" s="30">
        <v>447207</v>
      </c>
      <c r="E12" s="28">
        <v>1586.466833</v>
      </c>
      <c r="F12" s="29">
        <v>4.8515113273318002</v>
      </c>
    </row>
    <row r="13" spans="1:6" x14ac:dyDescent="0.2">
      <c r="A13" s="26" t="s">
        <v>896</v>
      </c>
      <c r="B13" s="26" t="s">
        <v>895</v>
      </c>
      <c r="C13" s="26" t="s">
        <v>884</v>
      </c>
      <c r="D13" s="30">
        <v>98176</v>
      </c>
      <c r="E13" s="28">
        <v>1245.0680319999999</v>
      </c>
      <c r="F13" s="29">
        <v>3.8074931885744099</v>
      </c>
    </row>
    <row r="14" spans="1:6" x14ac:dyDescent="0.2">
      <c r="A14" s="26" t="s">
        <v>1271</v>
      </c>
      <c r="B14" s="26" t="s">
        <v>1270</v>
      </c>
      <c r="C14" s="26" t="s">
        <v>917</v>
      </c>
      <c r="D14" s="30">
        <v>60010</v>
      </c>
      <c r="E14" s="28">
        <v>1241.156825</v>
      </c>
      <c r="F14" s="29">
        <v>3.7955324815055</v>
      </c>
    </row>
    <row r="15" spans="1:6" x14ac:dyDescent="0.2">
      <c r="A15" s="26" t="s">
        <v>1030</v>
      </c>
      <c r="B15" s="26" t="s">
        <v>1029</v>
      </c>
      <c r="C15" s="26" t="s">
        <v>917</v>
      </c>
      <c r="D15" s="30">
        <v>558296</v>
      </c>
      <c r="E15" s="28">
        <v>958.59423200000003</v>
      </c>
      <c r="F15" s="29">
        <v>2.9314390179015599</v>
      </c>
    </row>
    <row r="16" spans="1:6" x14ac:dyDescent="0.2">
      <c r="A16" s="26" t="s">
        <v>994</v>
      </c>
      <c r="B16" s="26" t="s">
        <v>993</v>
      </c>
      <c r="C16" s="26" t="s">
        <v>995</v>
      </c>
      <c r="D16" s="30">
        <v>83269</v>
      </c>
      <c r="E16" s="28">
        <v>750.75330399999996</v>
      </c>
      <c r="F16" s="29">
        <v>2.2958489157319599</v>
      </c>
    </row>
    <row r="17" spans="1:6" x14ac:dyDescent="0.2">
      <c r="A17" s="26" t="s">
        <v>891</v>
      </c>
      <c r="B17" s="26" t="s">
        <v>890</v>
      </c>
      <c r="C17" s="26" t="s">
        <v>892</v>
      </c>
      <c r="D17" s="30">
        <v>163141</v>
      </c>
      <c r="E17" s="28">
        <v>686.74203950000003</v>
      </c>
      <c r="F17" s="29">
        <v>2.1000986054583302</v>
      </c>
    </row>
    <row r="18" spans="1:6" x14ac:dyDescent="0.2">
      <c r="A18" s="26" t="s">
        <v>889</v>
      </c>
      <c r="B18" s="26" t="s">
        <v>888</v>
      </c>
      <c r="C18" s="26" t="s">
        <v>884</v>
      </c>
      <c r="D18" s="30">
        <v>154646</v>
      </c>
      <c r="E18" s="28">
        <v>656.70423900000003</v>
      </c>
      <c r="F18" s="29">
        <v>2.0082411985825002</v>
      </c>
    </row>
    <row r="19" spans="1:6" x14ac:dyDescent="0.2">
      <c r="A19" s="26" t="s">
        <v>982</v>
      </c>
      <c r="B19" s="26" t="s">
        <v>981</v>
      </c>
      <c r="C19" s="26" t="s">
        <v>914</v>
      </c>
      <c r="D19" s="30">
        <v>9035</v>
      </c>
      <c r="E19" s="28">
        <v>609.27070749999996</v>
      </c>
      <c r="F19" s="29">
        <v>1.8631865963804299</v>
      </c>
    </row>
    <row r="20" spans="1:6" x14ac:dyDescent="0.2">
      <c r="A20" s="26" t="s">
        <v>1028</v>
      </c>
      <c r="B20" s="26" t="s">
        <v>1027</v>
      </c>
      <c r="C20" s="26" t="s">
        <v>887</v>
      </c>
      <c r="D20" s="30">
        <v>73820</v>
      </c>
      <c r="E20" s="28">
        <v>599.12311999999997</v>
      </c>
      <c r="F20" s="29">
        <v>1.8321546613425901</v>
      </c>
    </row>
    <row r="21" spans="1:6" x14ac:dyDescent="0.2">
      <c r="A21" s="26" t="s">
        <v>1288</v>
      </c>
      <c r="B21" s="26" t="s">
        <v>1287</v>
      </c>
      <c r="C21" s="26" t="s">
        <v>917</v>
      </c>
      <c r="D21" s="30">
        <v>30117</v>
      </c>
      <c r="E21" s="28">
        <v>598.24408800000003</v>
      </c>
      <c r="F21" s="29">
        <v>1.8294665284321601</v>
      </c>
    </row>
    <row r="22" spans="1:6" x14ac:dyDescent="0.2">
      <c r="A22" s="26" t="s">
        <v>1432</v>
      </c>
      <c r="B22" s="26" t="s">
        <v>1431</v>
      </c>
      <c r="C22" s="26" t="s">
        <v>978</v>
      </c>
      <c r="D22" s="30">
        <v>17862</v>
      </c>
      <c r="E22" s="28">
        <v>585.62353199999995</v>
      </c>
      <c r="F22" s="29">
        <v>1.79087210646405</v>
      </c>
    </row>
    <row r="23" spans="1:6" x14ac:dyDescent="0.2">
      <c r="A23" s="26" t="s">
        <v>937</v>
      </c>
      <c r="B23" s="26" t="s">
        <v>936</v>
      </c>
      <c r="C23" s="26" t="s">
        <v>884</v>
      </c>
      <c r="D23" s="30">
        <v>261157</v>
      </c>
      <c r="E23" s="28">
        <v>484.18507799999998</v>
      </c>
      <c r="F23" s="29">
        <v>1.4806671917622301</v>
      </c>
    </row>
    <row r="24" spans="1:6" x14ac:dyDescent="0.2">
      <c r="A24" s="26" t="s">
        <v>972</v>
      </c>
      <c r="B24" s="26" t="s">
        <v>971</v>
      </c>
      <c r="C24" s="26" t="s">
        <v>922</v>
      </c>
      <c r="D24" s="30">
        <v>8154</v>
      </c>
      <c r="E24" s="28">
        <v>423.01321200000001</v>
      </c>
      <c r="F24" s="29">
        <v>1.2935999334749499</v>
      </c>
    </row>
    <row r="25" spans="1:6" x14ac:dyDescent="0.2">
      <c r="A25" s="26" t="s">
        <v>913</v>
      </c>
      <c r="B25" s="26" t="s">
        <v>912</v>
      </c>
      <c r="C25" s="26" t="s">
        <v>914</v>
      </c>
      <c r="D25" s="30">
        <v>64226</v>
      </c>
      <c r="E25" s="28">
        <v>390.42985399999998</v>
      </c>
      <c r="F25" s="29">
        <v>1.1939580581256899</v>
      </c>
    </row>
    <row r="26" spans="1:6" x14ac:dyDescent="0.2">
      <c r="A26" s="26" t="s">
        <v>997</v>
      </c>
      <c r="B26" s="26" t="s">
        <v>996</v>
      </c>
      <c r="C26" s="26" t="s">
        <v>917</v>
      </c>
      <c r="D26" s="30">
        <v>2410</v>
      </c>
      <c r="E26" s="28">
        <v>383.63946499999997</v>
      </c>
      <c r="F26" s="29">
        <v>1.1731926387262901</v>
      </c>
    </row>
    <row r="27" spans="1:6" x14ac:dyDescent="0.2">
      <c r="A27" s="26" t="s">
        <v>1320</v>
      </c>
      <c r="B27" s="26" t="s">
        <v>1319</v>
      </c>
      <c r="C27" s="26" t="s">
        <v>922</v>
      </c>
      <c r="D27" s="30">
        <v>73265</v>
      </c>
      <c r="E27" s="28">
        <v>366.65469250000001</v>
      </c>
      <c r="F27" s="29">
        <v>1.1212521792966501</v>
      </c>
    </row>
    <row r="28" spans="1:6" x14ac:dyDescent="0.2">
      <c r="A28" s="26" t="s">
        <v>1019</v>
      </c>
      <c r="B28" s="26" t="s">
        <v>1018</v>
      </c>
      <c r="C28" s="26" t="s">
        <v>911</v>
      </c>
      <c r="D28" s="30">
        <v>27884</v>
      </c>
      <c r="E28" s="28">
        <v>334.98443400000002</v>
      </c>
      <c r="F28" s="29">
        <v>1.02440261732899</v>
      </c>
    </row>
    <row r="29" spans="1:6" x14ac:dyDescent="0.2">
      <c r="A29" s="26" t="s">
        <v>988</v>
      </c>
      <c r="B29" s="26" t="s">
        <v>987</v>
      </c>
      <c r="C29" s="26" t="s">
        <v>887</v>
      </c>
      <c r="D29" s="30">
        <v>41715</v>
      </c>
      <c r="E29" s="28">
        <v>330.27851249999998</v>
      </c>
      <c r="F29" s="29">
        <v>1.0100116253536899</v>
      </c>
    </row>
    <row r="30" spans="1:6" x14ac:dyDescent="0.2">
      <c r="A30" s="26" t="s">
        <v>1295</v>
      </c>
      <c r="B30" s="26" t="s">
        <v>1294</v>
      </c>
      <c r="C30" s="26" t="s">
        <v>899</v>
      </c>
      <c r="D30" s="30">
        <v>7764</v>
      </c>
      <c r="E30" s="28">
        <v>314.407062</v>
      </c>
      <c r="F30" s="29">
        <v>0.96147577179516797</v>
      </c>
    </row>
    <row r="31" spans="1:6" x14ac:dyDescent="0.2">
      <c r="A31" s="26" t="s">
        <v>1434</v>
      </c>
      <c r="B31" s="26" t="s">
        <v>1433</v>
      </c>
      <c r="C31" s="26" t="s">
        <v>887</v>
      </c>
      <c r="D31" s="30">
        <v>98630</v>
      </c>
      <c r="E31" s="28">
        <v>309.25436500000001</v>
      </c>
      <c r="F31" s="29">
        <v>0.94571851337550294</v>
      </c>
    </row>
    <row r="32" spans="1:6" x14ac:dyDescent="0.2">
      <c r="A32" s="26" t="s">
        <v>1436</v>
      </c>
      <c r="B32" s="26" t="s">
        <v>1435</v>
      </c>
      <c r="C32" s="26" t="s">
        <v>917</v>
      </c>
      <c r="D32" s="30">
        <v>7950</v>
      </c>
      <c r="E32" s="28">
        <v>301.95292499999999</v>
      </c>
      <c r="F32" s="29">
        <v>0.92339026917335398</v>
      </c>
    </row>
    <row r="33" spans="1:6" x14ac:dyDescent="0.2">
      <c r="A33" s="26" t="s">
        <v>930</v>
      </c>
      <c r="B33" s="26" t="s">
        <v>929</v>
      </c>
      <c r="C33" s="26" t="s">
        <v>931</v>
      </c>
      <c r="D33" s="30">
        <v>172846</v>
      </c>
      <c r="E33" s="28">
        <v>280.78832699999998</v>
      </c>
      <c r="F33" s="29">
        <v>0.85866765108920795</v>
      </c>
    </row>
    <row r="34" spans="1:6" x14ac:dyDescent="0.2">
      <c r="A34" s="26" t="s">
        <v>1340</v>
      </c>
      <c r="B34" s="26" t="s">
        <v>1339</v>
      </c>
      <c r="C34" s="26" t="s">
        <v>914</v>
      </c>
      <c r="D34" s="30">
        <v>8752</v>
      </c>
      <c r="E34" s="28">
        <v>275.45169600000003</v>
      </c>
      <c r="F34" s="29">
        <v>0.84234791139611198</v>
      </c>
    </row>
    <row r="35" spans="1:6" x14ac:dyDescent="0.2">
      <c r="A35" s="26" t="s">
        <v>935</v>
      </c>
      <c r="B35" s="26" t="s">
        <v>934</v>
      </c>
      <c r="C35" s="26" t="s">
        <v>931</v>
      </c>
      <c r="D35" s="30">
        <v>314203</v>
      </c>
      <c r="E35" s="28">
        <v>267.386753</v>
      </c>
      <c r="F35" s="29">
        <v>0.81768482893834904</v>
      </c>
    </row>
    <row r="36" spans="1:6" x14ac:dyDescent="0.2">
      <c r="A36" s="26" t="s">
        <v>1438</v>
      </c>
      <c r="B36" s="26" t="s">
        <v>1437</v>
      </c>
      <c r="C36" s="26" t="s">
        <v>978</v>
      </c>
      <c r="D36" s="30">
        <v>47558</v>
      </c>
      <c r="E36" s="28">
        <v>266.03945199999998</v>
      </c>
      <c r="F36" s="29">
        <v>0.81356470116330803</v>
      </c>
    </row>
    <row r="37" spans="1:6" x14ac:dyDescent="0.2">
      <c r="A37" s="26" t="s">
        <v>1440</v>
      </c>
      <c r="B37" s="26" t="s">
        <v>1439</v>
      </c>
      <c r="C37" s="26" t="s">
        <v>922</v>
      </c>
      <c r="D37" s="30">
        <v>34183</v>
      </c>
      <c r="E37" s="28">
        <v>264.81570099999999</v>
      </c>
      <c r="F37" s="29">
        <v>0.80982239674518997</v>
      </c>
    </row>
    <row r="38" spans="1:6" x14ac:dyDescent="0.2">
      <c r="A38" s="26" t="s">
        <v>946</v>
      </c>
      <c r="B38" s="26" t="s">
        <v>945</v>
      </c>
      <c r="C38" s="26" t="s">
        <v>914</v>
      </c>
      <c r="D38" s="30">
        <v>8886</v>
      </c>
      <c r="E38" s="28">
        <v>256.014546</v>
      </c>
      <c r="F38" s="29">
        <v>0.78290793355697497</v>
      </c>
    </row>
    <row r="39" spans="1:6" x14ac:dyDescent="0.2">
      <c r="A39" s="26" t="s">
        <v>1442</v>
      </c>
      <c r="B39" s="26" t="s">
        <v>1441</v>
      </c>
      <c r="C39" s="26" t="s">
        <v>922</v>
      </c>
      <c r="D39" s="30">
        <v>8312</v>
      </c>
      <c r="E39" s="28">
        <v>253.34560400000001</v>
      </c>
      <c r="F39" s="29">
        <v>0.77474614783561402</v>
      </c>
    </row>
    <row r="40" spans="1:6" x14ac:dyDescent="0.2">
      <c r="A40" s="26" t="s">
        <v>1444</v>
      </c>
      <c r="B40" s="26" t="s">
        <v>1443</v>
      </c>
      <c r="C40" s="26" t="s">
        <v>978</v>
      </c>
      <c r="D40" s="30">
        <v>3993</v>
      </c>
      <c r="E40" s="28">
        <v>233.6843355</v>
      </c>
      <c r="F40" s="29">
        <v>0.71462080209668899</v>
      </c>
    </row>
    <row r="41" spans="1:6" x14ac:dyDescent="0.2">
      <c r="A41" s="26" t="s">
        <v>1332</v>
      </c>
      <c r="B41" s="26" t="s">
        <v>1331</v>
      </c>
      <c r="C41" s="26" t="s">
        <v>884</v>
      </c>
      <c r="D41" s="30">
        <v>40522</v>
      </c>
      <c r="E41" s="28">
        <v>213.71302800000001</v>
      </c>
      <c r="F41" s="29">
        <v>0.653547338383202</v>
      </c>
    </row>
    <row r="42" spans="1:6" x14ac:dyDescent="0.2">
      <c r="A42" s="26" t="s">
        <v>1446</v>
      </c>
      <c r="B42" s="26" t="s">
        <v>1445</v>
      </c>
      <c r="C42" s="26" t="s">
        <v>914</v>
      </c>
      <c r="D42" s="30">
        <v>9513</v>
      </c>
      <c r="E42" s="28">
        <v>209.55236400000001</v>
      </c>
      <c r="F42" s="29">
        <v>0.64082377675219604</v>
      </c>
    </row>
    <row r="43" spans="1:6" x14ac:dyDescent="0.2">
      <c r="A43" s="26" t="s">
        <v>898</v>
      </c>
      <c r="B43" s="26" t="s">
        <v>897</v>
      </c>
      <c r="C43" s="26" t="s">
        <v>899</v>
      </c>
      <c r="D43" s="30">
        <v>26678</v>
      </c>
      <c r="E43" s="28">
        <v>198.537676</v>
      </c>
      <c r="F43" s="29">
        <v>0.60714019605106395</v>
      </c>
    </row>
    <row r="44" spans="1:6" x14ac:dyDescent="0.2">
      <c r="A44" s="26" t="s">
        <v>1448</v>
      </c>
      <c r="B44" s="26" t="s">
        <v>1447</v>
      </c>
      <c r="C44" s="26" t="s">
        <v>978</v>
      </c>
      <c r="D44" s="30">
        <v>23408</v>
      </c>
      <c r="E44" s="28">
        <v>189.94421600000001</v>
      </c>
      <c r="F44" s="29">
        <v>0.58086087670838704</v>
      </c>
    </row>
    <row r="45" spans="1:6" x14ac:dyDescent="0.2">
      <c r="A45" s="26" t="s">
        <v>939</v>
      </c>
      <c r="B45" s="26" t="s">
        <v>938</v>
      </c>
      <c r="C45" s="26" t="s">
        <v>925</v>
      </c>
      <c r="D45" s="30">
        <v>53734</v>
      </c>
      <c r="E45" s="28">
        <v>189.707887</v>
      </c>
      <c r="F45" s="29">
        <v>0.58013816836262899</v>
      </c>
    </row>
    <row r="46" spans="1:6" x14ac:dyDescent="0.2">
      <c r="A46" s="26" t="s">
        <v>1450</v>
      </c>
      <c r="B46" s="26" t="s">
        <v>1449</v>
      </c>
      <c r="C46" s="26" t="s">
        <v>928</v>
      </c>
      <c r="D46" s="30">
        <v>66768</v>
      </c>
      <c r="E46" s="28">
        <v>185.44811999999999</v>
      </c>
      <c r="F46" s="29">
        <v>0.56711154377621098</v>
      </c>
    </row>
    <row r="47" spans="1:6" x14ac:dyDescent="0.2">
      <c r="A47" s="26" t="s">
        <v>1452</v>
      </c>
      <c r="B47" s="26" t="s">
        <v>1451</v>
      </c>
      <c r="C47" s="26" t="s">
        <v>1231</v>
      </c>
      <c r="D47" s="30">
        <v>36759</v>
      </c>
      <c r="E47" s="28">
        <v>184.86101099999999</v>
      </c>
      <c r="F47" s="29">
        <v>0.56531612901894701</v>
      </c>
    </row>
    <row r="48" spans="1:6" x14ac:dyDescent="0.2">
      <c r="A48" s="26" t="s">
        <v>1454</v>
      </c>
      <c r="B48" s="26" t="s">
        <v>1453</v>
      </c>
      <c r="C48" s="26" t="s">
        <v>899</v>
      </c>
      <c r="D48" s="30">
        <v>905</v>
      </c>
      <c r="E48" s="28">
        <v>183.32539750000001</v>
      </c>
      <c r="F48" s="29">
        <v>0.560620130253208</v>
      </c>
    </row>
    <row r="49" spans="1:9" x14ac:dyDescent="0.2">
      <c r="A49" s="26" t="s">
        <v>927</v>
      </c>
      <c r="B49" s="26" t="s">
        <v>926</v>
      </c>
      <c r="C49" s="26" t="s">
        <v>928</v>
      </c>
      <c r="D49" s="30">
        <v>50254</v>
      </c>
      <c r="E49" s="28">
        <v>180.78876500000001</v>
      </c>
      <c r="F49" s="29">
        <v>0.55286295496845494</v>
      </c>
    </row>
    <row r="50" spans="1:9" x14ac:dyDescent="0.2">
      <c r="A50" s="26" t="s">
        <v>904</v>
      </c>
      <c r="B50" s="26" t="s">
        <v>903</v>
      </c>
      <c r="C50" s="26" t="s">
        <v>905</v>
      </c>
      <c r="D50" s="30">
        <v>99169</v>
      </c>
      <c r="E50" s="28">
        <v>173.79367250000001</v>
      </c>
      <c r="F50" s="29">
        <v>0.53147153991106599</v>
      </c>
    </row>
    <row r="51" spans="1:9" x14ac:dyDescent="0.2">
      <c r="A51" s="26" t="s">
        <v>1456</v>
      </c>
      <c r="B51" s="26" t="s">
        <v>1455</v>
      </c>
      <c r="C51" s="26" t="s">
        <v>1048</v>
      </c>
      <c r="D51" s="30">
        <v>48778</v>
      </c>
      <c r="E51" s="28">
        <v>166.698815</v>
      </c>
      <c r="F51" s="29">
        <v>0.50977503746231001</v>
      </c>
    </row>
    <row r="52" spans="1:9" x14ac:dyDescent="0.2">
      <c r="A52" s="26" t="s">
        <v>1037</v>
      </c>
      <c r="B52" s="26" t="s">
        <v>1036</v>
      </c>
      <c r="C52" s="26" t="s">
        <v>1038</v>
      </c>
      <c r="D52" s="30">
        <v>237890</v>
      </c>
      <c r="E52" s="28">
        <v>164.73882499999999</v>
      </c>
      <c r="F52" s="29">
        <v>0.50378126974611104</v>
      </c>
    </row>
    <row r="53" spans="1:9" x14ac:dyDescent="0.2">
      <c r="A53" s="26" t="s">
        <v>963</v>
      </c>
      <c r="B53" s="26" t="s">
        <v>962</v>
      </c>
      <c r="C53" s="26" t="s">
        <v>964</v>
      </c>
      <c r="D53" s="30">
        <v>141683</v>
      </c>
      <c r="E53" s="28">
        <v>164.35228000000001</v>
      </c>
      <c r="F53" s="29">
        <v>0.502599191805989</v>
      </c>
    </row>
    <row r="54" spans="1:9" x14ac:dyDescent="0.2">
      <c r="A54" s="26" t="s">
        <v>952</v>
      </c>
      <c r="B54" s="26" t="s">
        <v>951</v>
      </c>
      <c r="C54" s="26" t="s">
        <v>914</v>
      </c>
      <c r="D54" s="30">
        <v>121782</v>
      </c>
      <c r="E54" s="28">
        <v>162.33540600000001</v>
      </c>
      <c r="F54" s="29">
        <v>0.49643146938452698</v>
      </c>
    </row>
    <row r="55" spans="1:9" x14ac:dyDescent="0.2">
      <c r="A55" s="26" t="s">
        <v>1002</v>
      </c>
      <c r="B55" s="26" t="s">
        <v>1001</v>
      </c>
      <c r="C55" s="26" t="s">
        <v>925</v>
      </c>
      <c r="D55" s="30">
        <v>170287</v>
      </c>
      <c r="E55" s="28">
        <v>125.84209300000001</v>
      </c>
      <c r="F55" s="29">
        <v>0.38483271565794003</v>
      </c>
    </row>
    <row r="56" spans="1:9" x14ac:dyDescent="0.2">
      <c r="A56" s="26" t="s">
        <v>1011</v>
      </c>
      <c r="B56" s="26" t="s">
        <v>1010</v>
      </c>
      <c r="C56" s="26" t="s">
        <v>908</v>
      </c>
      <c r="D56" s="30">
        <v>123278</v>
      </c>
      <c r="E56" s="28">
        <v>107.005304</v>
      </c>
      <c r="F56" s="29">
        <v>0.32722867799189798</v>
      </c>
    </row>
    <row r="57" spans="1:9" x14ac:dyDescent="0.2">
      <c r="A57" s="26" t="s">
        <v>1457</v>
      </c>
      <c r="B57" s="73" t="s">
        <v>1541</v>
      </c>
      <c r="C57" s="26" t="s">
        <v>884</v>
      </c>
      <c r="D57" s="30">
        <v>92088</v>
      </c>
      <c r="E57" s="28">
        <v>0</v>
      </c>
      <c r="F57" s="28">
        <v>0</v>
      </c>
    </row>
    <row r="58" spans="1:9" ht="10.5" x14ac:dyDescent="0.25">
      <c r="A58" s="25" t="s">
        <v>153</v>
      </c>
      <c r="B58" s="25"/>
      <c r="C58" s="25"/>
      <c r="D58" s="31"/>
      <c r="E58" s="32">
        <f>SUM(E7:E57)</f>
        <v>32324.892943499995</v>
      </c>
      <c r="F58" s="33">
        <f>SUM(F7:F57)</f>
        <v>98.851473606683271</v>
      </c>
      <c r="G58" s="17"/>
      <c r="H58" s="17"/>
      <c r="I58" s="17"/>
    </row>
    <row r="59" spans="1:9" x14ac:dyDescent="0.2">
      <c r="A59" s="26"/>
      <c r="B59" s="26"/>
      <c r="C59" s="26"/>
      <c r="D59" s="27"/>
      <c r="E59" s="28"/>
      <c r="F59" s="29"/>
    </row>
    <row r="60" spans="1:9" ht="10.5" x14ac:dyDescent="0.25">
      <c r="A60" s="25" t="s">
        <v>166</v>
      </c>
      <c r="B60" s="25"/>
      <c r="C60" s="25"/>
      <c r="D60" s="31"/>
      <c r="E60" s="32">
        <f>E58</f>
        <v>32324.892943499995</v>
      </c>
      <c r="F60" s="33">
        <f>F58</f>
        <v>98.851473606683271</v>
      </c>
      <c r="G60" s="17"/>
      <c r="H60" s="17"/>
      <c r="I60" s="17"/>
    </row>
    <row r="61" spans="1:9" ht="10.5" x14ac:dyDescent="0.25">
      <c r="A61" s="25"/>
      <c r="B61" s="25"/>
      <c r="C61" s="25"/>
      <c r="D61" s="31"/>
      <c r="E61" s="32"/>
      <c r="F61" s="33"/>
      <c r="G61" s="17"/>
      <c r="H61" s="17"/>
      <c r="I61" s="17"/>
    </row>
    <row r="62" spans="1:9" ht="10.5" x14ac:dyDescent="0.25">
      <c r="A62" s="25" t="s">
        <v>168</v>
      </c>
      <c r="B62" s="25"/>
      <c r="C62" s="25"/>
      <c r="D62" s="31"/>
      <c r="E62" s="32">
        <f>E64-(E58)</f>
        <v>375.57348770000317</v>
      </c>
      <c r="F62" s="33">
        <f>F64-(F58)</f>
        <v>1.1485263933167289</v>
      </c>
      <c r="G62" s="17"/>
      <c r="H62" s="17"/>
      <c r="I62" s="17"/>
    </row>
    <row r="63" spans="1:9" ht="10.5" x14ac:dyDescent="0.25">
      <c r="A63" s="25"/>
      <c r="B63" s="25"/>
      <c r="C63" s="25"/>
      <c r="D63" s="31"/>
      <c r="E63" s="32"/>
      <c r="F63" s="33"/>
      <c r="G63" s="17"/>
      <c r="H63" s="17"/>
      <c r="I63" s="17"/>
    </row>
    <row r="64" spans="1:9" ht="10.5" x14ac:dyDescent="0.25">
      <c r="A64" s="34" t="s">
        <v>167</v>
      </c>
      <c r="B64" s="34"/>
      <c r="C64" s="34"/>
      <c r="D64" s="35"/>
      <c r="E64" s="36">
        <v>32700.466431199999</v>
      </c>
      <c r="F64" s="37">
        <v>100</v>
      </c>
      <c r="G64" s="17"/>
      <c r="H64" s="17"/>
      <c r="I64" s="17"/>
    </row>
    <row r="65" spans="1:6" ht="10.5" x14ac:dyDescent="0.25">
      <c r="F65" s="19"/>
    </row>
    <row r="67" spans="1:6" ht="10.5" x14ac:dyDescent="0.25">
      <c r="A67" s="17" t="s">
        <v>171</v>
      </c>
    </row>
    <row r="68" spans="1:6" ht="10.5" x14ac:dyDescent="0.25">
      <c r="A68" s="17" t="s">
        <v>172</v>
      </c>
    </row>
    <row r="69" spans="1:6" ht="10.5" x14ac:dyDescent="0.25">
      <c r="A69" s="17" t="s">
        <v>173</v>
      </c>
      <c r="B69" s="17"/>
      <c r="C69" s="38" t="s">
        <v>175</v>
      </c>
      <c r="D69" s="18" t="s">
        <v>174</v>
      </c>
    </row>
    <row r="70" spans="1:6" x14ac:dyDescent="0.2">
      <c r="A70" s="10" t="s">
        <v>436</v>
      </c>
      <c r="C70" s="39">
        <v>68.326499999999996</v>
      </c>
      <c r="D70" s="39">
        <v>88.952600000000004</v>
      </c>
    </row>
    <row r="71" spans="1:6" x14ac:dyDescent="0.2">
      <c r="A71" s="10" t="s">
        <v>470</v>
      </c>
      <c r="C71" s="39">
        <v>68.326499999999996</v>
      </c>
      <c r="D71" s="39">
        <v>88.952600000000004</v>
      </c>
    </row>
    <row r="72" spans="1:6" x14ac:dyDescent="0.2">
      <c r="A72" s="10" t="s">
        <v>439</v>
      </c>
      <c r="C72" s="39">
        <v>70.283699999999996</v>
      </c>
      <c r="D72" s="39">
        <v>91.724599999999995</v>
      </c>
    </row>
    <row r="73" spans="1:6" x14ac:dyDescent="0.2">
      <c r="A73" s="10" t="s">
        <v>471</v>
      </c>
      <c r="C73" s="39">
        <v>70.283699999999996</v>
      </c>
      <c r="D73" s="39">
        <v>91.724599999999995</v>
      </c>
    </row>
    <row r="75" spans="1:6" ht="10.5" x14ac:dyDescent="0.25">
      <c r="A75" s="17" t="s">
        <v>185</v>
      </c>
      <c r="D75" s="40" t="s">
        <v>186</v>
      </c>
    </row>
    <row r="77" spans="1:6" ht="10.5" x14ac:dyDescent="0.25">
      <c r="A77" s="17" t="s">
        <v>1014</v>
      </c>
      <c r="D77" s="47">
        <v>6.8500000000000005E-2</v>
      </c>
    </row>
    <row r="78" spans="1:6" ht="10.5" x14ac:dyDescent="0.25">
      <c r="A78" s="17"/>
      <c r="D78" s="47"/>
    </row>
    <row r="79" spans="1:6" ht="10.5" x14ac:dyDescent="0.25">
      <c r="A79" s="17" t="s">
        <v>1631</v>
      </c>
      <c r="D79" s="47"/>
    </row>
  </sheetData>
  <mergeCells count="1">
    <mergeCell ref="A1:F1"/>
  </mergeCells>
  <conditionalFormatting sqref="F2:F3 F5:F56 F58:F65538">
    <cfRule type="cellIs" dxfId="10" priority="1" stopIfTrue="1" operator="between">
      <formula>0.009</formula>
      <formula>-0.009</formula>
    </cfRule>
  </conditionalFormatting>
  <pageMargins left="0.7" right="0.7" top="0.75" bottom="0.75" header="0.3" footer="0.3"/>
  <pageSetup paperSize="9" scale="60" orientation="portrait" r:id="rId1"/>
  <headerFooter>
    <oddFooter>&amp;LPUBLIC</oddFooter>
    <evenFooter>&amp;LPUBLIC</evenFooter>
    <firstFooter>&amp;LPUBLIC</firstFooter>
  </headerFooter>
  <colBreaks count="1" manualBreakCount="1">
    <brk id="6" max="1048575" man="1"/>
  </col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89"/>
  <sheetViews>
    <sheetView view="pageBreakPreview" zoomScaleNormal="100" zoomScaleSheetLayoutView="100" workbookViewId="0">
      <selection sqref="A1:F1"/>
    </sheetView>
  </sheetViews>
  <sheetFormatPr defaultColWidth="9.1796875" defaultRowHeight="10" x14ac:dyDescent="0.2"/>
  <cols>
    <col min="1" max="1" width="38.81640625" style="10" bestFit="1" customWidth="1"/>
    <col min="2" max="2" width="34.1796875" style="10" bestFit="1" customWidth="1"/>
    <col min="3" max="3" width="35.81640625" style="10" bestFit="1" customWidth="1"/>
    <col min="4" max="4" width="15.453125" style="11" bestFit="1" customWidth="1"/>
    <col min="5" max="5" width="23" style="15" bestFit="1" customWidth="1"/>
    <col min="6" max="6" width="14.81640625" style="16" bestFit="1" customWidth="1"/>
    <col min="7" max="16384" width="9.1796875" style="10"/>
  </cols>
  <sheetData>
    <row r="1" spans="1:6" s="1" customFormat="1" ht="14" x14ac:dyDescent="0.25">
      <c r="A1" s="96" t="s">
        <v>48</v>
      </c>
      <c r="B1" s="97"/>
      <c r="C1" s="97"/>
      <c r="D1" s="97"/>
      <c r="E1" s="97"/>
      <c r="F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1065</v>
      </c>
      <c r="D4" s="48" t="s">
        <v>1</v>
      </c>
      <c r="E4" s="9" t="s">
        <v>3</v>
      </c>
      <c r="F4" s="9" t="s">
        <v>4</v>
      </c>
    </row>
    <row r="5" spans="1:6" ht="10.5" x14ac:dyDescent="0.25">
      <c r="A5" s="20" t="s">
        <v>881</v>
      </c>
      <c r="B5" s="21"/>
      <c r="C5" s="21"/>
      <c r="D5" s="22"/>
      <c r="E5" s="23"/>
      <c r="F5" s="24"/>
    </row>
    <row r="6" spans="1:6" ht="10.5" x14ac:dyDescent="0.25">
      <c r="A6" s="25" t="s">
        <v>57</v>
      </c>
      <c r="B6" s="26"/>
      <c r="C6" s="26"/>
      <c r="D6" s="27"/>
      <c r="E6" s="28"/>
      <c r="F6" s="29"/>
    </row>
    <row r="7" spans="1:6" x14ac:dyDescent="0.2">
      <c r="A7" s="26" t="s">
        <v>886</v>
      </c>
      <c r="B7" s="26" t="s">
        <v>885</v>
      </c>
      <c r="C7" s="26" t="s">
        <v>887</v>
      </c>
      <c r="D7" s="30">
        <v>3570979</v>
      </c>
      <c r="E7" s="28">
        <v>36004.395770000003</v>
      </c>
      <c r="F7" s="29">
        <v>10.3665671524905</v>
      </c>
    </row>
    <row r="8" spans="1:6" x14ac:dyDescent="0.2">
      <c r="A8" s="26" t="s">
        <v>889</v>
      </c>
      <c r="B8" s="26" t="s">
        <v>888</v>
      </c>
      <c r="C8" s="26" t="s">
        <v>884</v>
      </c>
      <c r="D8" s="30">
        <v>7029842</v>
      </c>
      <c r="E8" s="28">
        <v>29852.224050000001</v>
      </c>
      <c r="F8" s="29">
        <v>8.5952028536297291</v>
      </c>
    </row>
    <row r="9" spans="1:6" x14ac:dyDescent="0.2">
      <c r="A9" s="26" t="s">
        <v>883</v>
      </c>
      <c r="B9" s="26" t="s">
        <v>882</v>
      </c>
      <c r="C9" s="26" t="s">
        <v>884</v>
      </c>
      <c r="D9" s="30">
        <v>2630104</v>
      </c>
      <c r="E9" s="28">
        <v>28368.301739999999</v>
      </c>
      <c r="F9" s="29">
        <v>8.1679444606833993</v>
      </c>
    </row>
    <row r="10" spans="1:6" x14ac:dyDescent="0.2">
      <c r="A10" s="26" t="s">
        <v>894</v>
      </c>
      <c r="B10" s="26" t="s">
        <v>893</v>
      </c>
      <c r="C10" s="26" t="s">
        <v>884</v>
      </c>
      <c r="D10" s="30">
        <v>4383052</v>
      </c>
      <c r="E10" s="28">
        <v>15548.876969999999</v>
      </c>
      <c r="F10" s="29">
        <v>4.4769110495565103</v>
      </c>
    </row>
    <row r="11" spans="1:6" x14ac:dyDescent="0.2">
      <c r="A11" s="26" t="s">
        <v>891</v>
      </c>
      <c r="B11" s="26" t="s">
        <v>890</v>
      </c>
      <c r="C11" s="26" t="s">
        <v>892</v>
      </c>
      <c r="D11" s="30">
        <v>3044619</v>
      </c>
      <c r="E11" s="28">
        <v>12816.32368</v>
      </c>
      <c r="F11" s="29">
        <v>3.6901405296594101</v>
      </c>
    </row>
    <row r="12" spans="1:6" x14ac:dyDescent="0.2">
      <c r="A12" s="26" t="s">
        <v>930</v>
      </c>
      <c r="B12" s="26" t="s">
        <v>929</v>
      </c>
      <c r="C12" s="26" t="s">
        <v>931</v>
      </c>
      <c r="D12" s="30">
        <v>7119223</v>
      </c>
      <c r="E12" s="28">
        <v>11565.17776</v>
      </c>
      <c r="F12" s="29">
        <v>3.3299042885043302</v>
      </c>
    </row>
    <row r="13" spans="1:6" x14ac:dyDescent="0.2">
      <c r="A13" s="26" t="s">
        <v>913</v>
      </c>
      <c r="B13" s="26" t="s">
        <v>912</v>
      </c>
      <c r="C13" s="26" t="s">
        <v>914</v>
      </c>
      <c r="D13" s="30">
        <v>1679699</v>
      </c>
      <c r="E13" s="28">
        <v>10210.890219999999</v>
      </c>
      <c r="F13" s="29">
        <v>2.9399709921125301</v>
      </c>
    </row>
    <row r="14" spans="1:6" x14ac:dyDescent="0.2">
      <c r="A14" s="26" t="s">
        <v>984</v>
      </c>
      <c r="B14" s="26" t="s">
        <v>983</v>
      </c>
      <c r="C14" s="26" t="s">
        <v>931</v>
      </c>
      <c r="D14" s="30">
        <v>17624428</v>
      </c>
      <c r="E14" s="28">
        <v>9393.8201239999999</v>
      </c>
      <c r="F14" s="29">
        <v>2.7047160506719199</v>
      </c>
    </row>
    <row r="15" spans="1:6" x14ac:dyDescent="0.2">
      <c r="A15" s="26" t="s">
        <v>972</v>
      </c>
      <c r="B15" s="26" t="s">
        <v>971</v>
      </c>
      <c r="C15" s="26" t="s">
        <v>922</v>
      </c>
      <c r="D15" s="30">
        <v>177107</v>
      </c>
      <c r="E15" s="28">
        <v>9187.9569460000002</v>
      </c>
      <c r="F15" s="29">
        <v>2.6454428865673201</v>
      </c>
    </row>
    <row r="16" spans="1:6" x14ac:dyDescent="0.2">
      <c r="A16" s="26" t="s">
        <v>907</v>
      </c>
      <c r="B16" s="26" t="s">
        <v>906</v>
      </c>
      <c r="C16" s="26" t="s">
        <v>908</v>
      </c>
      <c r="D16" s="30">
        <v>4078627</v>
      </c>
      <c r="E16" s="28">
        <v>8999.4904760000009</v>
      </c>
      <c r="F16" s="29">
        <v>2.5911786703385902</v>
      </c>
    </row>
    <row r="17" spans="1:6" x14ac:dyDescent="0.2">
      <c r="A17" s="26" t="s">
        <v>935</v>
      </c>
      <c r="B17" s="26" t="s">
        <v>934</v>
      </c>
      <c r="C17" s="26" t="s">
        <v>931</v>
      </c>
      <c r="D17" s="30">
        <v>10065496</v>
      </c>
      <c r="E17" s="28">
        <v>8565.7370960000007</v>
      </c>
      <c r="F17" s="29">
        <v>2.4662902103262598</v>
      </c>
    </row>
    <row r="18" spans="1:6" x14ac:dyDescent="0.2">
      <c r="A18" s="26" t="s">
        <v>941</v>
      </c>
      <c r="B18" s="26" t="s">
        <v>940</v>
      </c>
      <c r="C18" s="26" t="s">
        <v>917</v>
      </c>
      <c r="D18" s="30">
        <v>871834</v>
      </c>
      <c r="E18" s="28">
        <v>8337.3485419999997</v>
      </c>
      <c r="F18" s="29">
        <v>2.4005314263981599</v>
      </c>
    </row>
    <row r="19" spans="1:6" x14ac:dyDescent="0.2">
      <c r="A19" s="26" t="s">
        <v>898</v>
      </c>
      <c r="B19" s="26" t="s">
        <v>897</v>
      </c>
      <c r="C19" s="26" t="s">
        <v>899</v>
      </c>
      <c r="D19" s="30">
        <v>1081440</v>
      </c>
      <c r="E19" s="28">
        <v>8048.0764799999997</v>
      </c>
      <c r="F19" s="29">
        <v>2.3172427558919599</v>
      </c>
    </row>
    <row r="20" spans="1:6" x14ac:dyDescent="0.2">
      <c r="A20" s="26" t="s">
        <v>904</v>
      </c>
      <c r="B20" s="26" t="s">
        <v>903</v>
      </c>
      <c r="C20" s="26" t="s">
        <v>905</v>
      </c>
      <c r="D20" s="30">
        <v>4049242</v>
      </c>
      <c r="E20" s="28">
        <v>7096.2966050000005</v>
      </c>
      <c r="F20" s="29">
        <v>2.0432014957190101</v>
      </c>
    </row>
    <row r="21" spans="1:6" x14ac:dyDescent="0.2">
      <c r="A21" s="26" t="s">
        <v>994</v>
      </c>
      <c r="B21" s="26" t="s">
        <v>993</v>
      </c>
      <c r="C21" s="26" t="s">
        <v>995</v>
      </c>
      <c r="D21" s="30">
        <v>757133</v>
      </c>
      <c r="E21" s="28">
        <v>6826.3111280000003</v>
      </c>
      <c r="F21" s="29">
        <v>1.96546591600266</v>
      </c>
    </row>
    <row r="22" spans="1:6" x14ac:dyDescent="0.2">
      <c r="A22" s="26" t="s">
        <v>919</v>
      </c>
      <c r="B22" s="26" t="s">
        <v>918</v>
      </c>
      <c r="C22" s="26" t="s">
        <v>908</v>
      </c>
      <c r="D22" s="30">
        <v>2995176</v>
      </c>
      <c r="E22" s="28">
        <v>6246.4395480000003</v>
      </c>
      <c r="F22" s="29">
        <v>1.7985063671661401</v>
      </c>
    </row>
    <row r="23" spans="1:6" x14ac:dyDescent="0.2">
      <c r="A23" s="26" t="s">
        <v>896</v>
      </c>
      <c r="B23" s="26" t="s">
        <v>895</v>
      </c>
      <c r="C23" s="26" t="s">
        <v>884</v>
      </c>
      <c r="D23" s="30">
        <v>474652</v>
      </c>
      <c r="E23" s="28">
        <v>6019.5366640000002</v>
      </c>
      <c r="F23" s="29">
        <v>1.7331753448347</v>
      </c>
    </row>
    <row r="24" spans="1:6" x14ac:dyDescent="0.2">
      <c r="A24" s="26" t="s">
        <v>901</v>
      </c>
      <c r="B24" s="26" t="s">
        <v>900</v>
      </c>
      <c r="C24" s="26" t="s">
        <v>902</v>
      </c>
      <c r="D24" s="30">
        <v>402972</v>
      </c>
      <c r="E24" s="28">
        <v>5951.8964400000004</v>
      </c>
      <c r="F24" s="29">
        <v>1.7137000305207299</v>
      </c>
    </row>
    <row r="25" spans="1:6" x14ac:dyDescent="0.2">
      <c r="A25" s="26" t="s">
        <v>999</v>
      </c>
      <c r="B25" s="26" t="s">
        <v>998</v>
      </c>
      <c r="C25" s="26" t="s">
        <v>1000</v>
      </c>
      <c r="D25" s="30">
        <v>6223868</v>
      </c>
      <c r="E25" s="28">
        <v>5912.6746000000003</v>
      </c>
      <c r="F25" s="29">
        <v>1.70240708060424</v>
      </c>
    </row>
    <row r="26" spans="1:6" x14ac:dyDescent="0.2">
      <c r="A26" s="26" t="s">
        <v>988</v>
      </c>
      <c r="B26" s="26" t="s">
        <v>987</v>
      </c>
      <c r="C26" s="26" t="s">
        <v>887</v>
      </c>
      <c r="D26" s="30">
        <v>705548</v>
      </c>
      <c r="E26" s="28">
        <v>5586.1762900000003</v>
      </c>
      <c r="F26" s="29">
        <v>1.6084000410913</v>
      </c>
    </row>
    <row r="27" spans="1:6" x14ac:dyDescent="0.2">
      <c r="A27" s="26" t="s">
        <v>1299</v>
      </c>
      <c r="B27" s="26" t="s">
        <v>1298</v>
      </c>
      <c r="C27" s="26" t="s">
        <v>922</v>
      </c>
      <c r="D27" s="30">
        <v>503898</v>
      </c>
      <c r="E27" s="28">
        <v>5076.2684520000003</v>
      </c>
      <c r="F27" s="29">
        <v>1.4615848055857299</v>
      </c>
    </row>
    <row r="28" spans="1:6" x14ac:dyDescent="0.2">
      <c r="A28" s="26" t="s">
        <v>1316</v>
      </c>
      <c r="B28" s="26" t="s">
        <v>1315</v>
      </c>
      <c r="C28" s="26" t="s">
        <v>917</v>
      </c>
      <c r="D28" s="30">
        <v>896279</v>
      </c>
      <c r="E28" s="28">
        <v>4623.4552219999996</v>
      </c>
      <c r="F28" s="29">
        <v>1.3312085374678699</v>
      </c>
    </row>
    <row r="29" spans="1:6" x14ac:dyDescent="0.2">
      <c r="A29" s="26" t="s">
        <v>924</v>
      </c>
      <c r="B29" s="26" t="s">
        <v>923</v>
      </c>
      <c r="C29" s="26" t="s">
        <v>925</v>
      </c>
      <c r="D29" s="30">
        <v>2520962</v>
      </c>
      <c r="E29" s="28">
        <v>4554.1178529999997</v>
      </c>
      <c r="F29" s="29">
        <v>1.31124457260905</v>
      </c>
    </row>
    <row r="30" spans="1:6" x14ac:dyDescent="0.2">
      <c r="A30" s="26" t="s">
        <v>1002</v>
      </c>
      <c r="B30" s="26" t="s">
        <v>1001</v>
      </c>
      <c r="C30" s="26" t="s">
        <v>925</v>
      </c>
      <c r="D30" s="30">
        <v>5948967</v>
      </c>
      <c r="E30" s="28">
        <v>4396.2866130000002</v>
      </c>
      <c r="F30" s="29">
        <v>1.26580100625473</v>
      </c>
    </row>
    <row r="31" spans="1:6" x14ac:dyDescent="0.2">
      <c r="A31" s="26" t="s">
        <v>990</v>
      </c>
      <c r="B31" s="26" t="s">
        <v>989</v>
      </c>
      <c r="C31" s="26" t="s">
        <v>978</v>
      </c>
      <c r="D31" s="30">
        <v>1115794</v>
      </c>
      <c r="E31" s="28">
        <v>4392.8809780000001</v>
      </c>
      <c r="F31" s="29">
        <v>1.26482043865544</v>
      </c>
    </row>
    <row r="32" spans="1:6" x14ac:dyDescent="0.2">
      <c r="A32" s="26" t="s">
        <v>1206</v>
      </c>
      <c r="B32" s="26" t="s">
        <v>1205</v>
      </c>
      <c r="C32" s="26" t="s">
        <v>884</v>
      </c>
      <c r="D32" s="30">
        <v>2914508</v>
      </c>
      <c r="E32" s="28">
        <v>4073.02493</v>
      </c>
      <c r="F32" s="29">
        <v>1.17272587270566</v>
      </c>
    </row>
    <row r="33" spans="1:6" x14ac:dyDescent="0.2">
      <c r="A33" s="26" t="s">
        <v>946</v>
      </c>
      <c r="B33" s="26" t="s">
        <v>945</v>
      </c>
      <c r="C33" s="26" t="s">
        <v>914</v>
      </c>
      <c r="D33" s="30">
        <v>137369</v>
      </c>
      <c r="E33" s="28">
        <v>3957.7382590000002</v>
      </c>
      <c r="F33" s="29">
        <v>1.1395319531536301</v>
      </c>
    </row>
    <row r="34" spans="1:6" x14ac:dyDescent="0.2">
      <c r="A34" s="26" t="s">
        <v>1006</v>
      </c>
      <c r="B34" s="26" t="s">
        <v>1005</v>
      </c>
      <c r="C34" s="26" t="s">
        <v>978</v>
      </c>
      <c r="D34" s="30">
        <v>1158898</v>
      </c>
      <c r="E34" s="28">
        <v>3918.8135870000001</v>
      </c>
      <c r="F34" s="29">
        <v>1.12832456534592</v>
      </c>
    </row>
    <row r="35" spans="1:6" x14ac:dyDescent="0.2">
      <c r="A35" s="26" t="s">
        <v>1034</v>
      </c>
      <c r="B35" s="26" t="s">
        <v>1033</v>
      </c>
      <c r="C35" s="26" t="s">
        <v>1035</v>
      </c>
      <c r="D35" s="30">
        <v>3970503</v>
      </c>
      <c r="E35" s="28">
        <v>3801.7566230000002</v>
      </c>
      <c r="F35" s="29">
        <v>1.0946209341080999</v>
      </c>
    </row>
    <row r="36" spans="1:6" x14ac:dyDescent="0.2">
      <c r="A36" s="26" t="s">
        <v>952</v>
      </c>
      <c r="B36" s="26" t="s">
        <v>951</v>
      </c>
      <c r="C36" s="26" t="s">
        <v>914</v>
      </c>
      <c r="D36" s="30">
        <v>2746634</v>
      </c>
      <c r="E36" s="28">
        <v>3661.2631219999998</v>
      </c>
      <c r="F36" s="29">
        <v>1.05416933697788</v>
      </c>
    </row>
    <row r="37" spans="1:6" x14ac:dyDescent="0.2">
      <c r="A37" s="26" t="s">
        <v>921</v>
      </c>
      <c r="B37" s="26" t="s">
        <v>920</v>
      </c>
      <c r="C37" s="26" t="s">
        <v>922</v>
      </c>
      <c r="D37" s="30">
        <v>920735</v>
      </c>
      <c r="E37" s="28">
        <v>3637.3636179999999</v>
      </c>
      <c r="F37" s="29">
        <v>1.0472880712927199</v>
      </c>
    </row>
    <row r="38" spans="1:6" x14ac:dyDescent="0.2">
      <c r="A38" s="26" t="s">
        <v>937</v>
      </c>
      <c r="B38" s="26" t="s">
        <v>936</v>
      </c>
      <c r="C38" s="26" t="s">
        <v>884</v>
      </c>
      <c r="D38" s="30">
        <v>1935519</v>
      </c>
      <c r="E38" s="28">
        <v>3588.4522259999999</v>
      </c>
      <c r="F38" s="29">
        <v>1.03320525671283</v>
      </c>
    </row>
    <row r="39" spans="1:6" x14ac:dyDescent="0.2">
      <c r="A39" s="26" t="s">
        <v>1004</v>
      </c>
      <c r="B39" s="26" t="s">
        <v>1003</v>
      </c>
      <c r="C39" s="26" t="s">
        <v>944</v>
      </c>
      <c r="D39" s="30">
        <v>2627584</v>
      </c>
      <c r="E39" s="28">
        <v>3541.983232</v>
      </c>
      <c r="F39" s="29">
        <v>1.0198256696788699</v>
      </c>
    </row>
    <row r="40" spans="1:6" x14ac:dyDescent="0.2">
      <c r="A40" s="26" t="s">
        <v>927</v>
      </c>
      <c r="B40" s="26" t="s">
        <v>926</v>
      </c>
      <c r="C40" s="26" t="s">
        <v>928</v>
      </c>
      <c r="D40" s="30">
        <v>960704</v>
      </c>
      <c r="E40" s="28">
        <v>3456.1326399999998</v>
      </c>
      <c r="F40" s="29">
        <v>0.99510713439961795</v>
      </c>
    </row>
    <row r="41" spans="1:6" x14ac:dyDescent="0.2">
      <c r="A41" s="26" t="s">
        <v>948</v>
      </c>
      <c r="B41" s="26" t="s">
        <v>947</v>
      </c>
      <c r="C41" s="26" t="s">
        <v>917</v>
      </c>
      <c r="D41" s="30">
        <v>607174</v>
      </c>
      <c r="E41" s="28">
        <v>3040.4238049999999</v>
      </c>
      <c r="F41" s="29">
        <v>0.87541415075838402</v>
      </c>
    </row>
    <row r="42" spans="1:6" x14ac:dyDescent="0.2">
      <c r="A42" s="26" t="s">
        <v>1040</v>
      </c>
      <c r="B42" s="26" t="s">
        <v>1039</v>
      </c>
      <c r="C42" s="26" t="s">
        <v>944</v>
      </c>
      <c r="D42" s="30">
        <v>990217</v>
      </c>
      <c r="E42" s="28">
        <v>2730.0282689999999</v>
      </c>
      <c r="F42" s="29">
        <v>0.78604350312045301</v>
      </c>
    </row>
    <row r="43" spans="1:6" x14ac:dyDescent="0.2">
      <c r="A43" s="26" t="s">
        <v>1011</v>
      </c>
      <c r="B43" s="26" t="s">
        <v>1010</v>
      </c>
      <c r="C43" s="26" t="s">
        <v>908</v>
      </c>
      <c r="D43" s="30">
        <v>2792178</v>
      </c>
      <c r="E43" s="28">
        <v>2423.6105040000002</v>
      </c>
      <c r="F43" s="29">
        <v>0.69781815536346303</v>
      </c>
    </row>
    <row r="44" spans="1:6" x14ac:dyDescent="0.2">
      <c r="A44" s="26" t="s">
        <v>1019</v>
      </c>
      <c r="B44" s="26" t="s">
        <v>1018</v>
      </c>
      <c r="C44" s="26" t="s">
        <v>911</v>
      </c>
      <c r="D44" s="30">
        <v>199808</v>
      </c>
      <c r="E44" s="28">
        <v>2400.3934079999999</v>
      </c>
      <c r="F44" s="29">
        <v>0.69113337203013503</v>
      </c>
    </row>
    <row r="45" spans="1:6" x14ac:dyDescent="0.2">
      <c r="A45" s="26" t="s">
        <v>910</v>
      </c>
      <c r="B45" s="26" t="s">
        <v>909</v>
      </c>
      <c r="C45" s="26" t="s">
        <v>911</v>
      </c>
      <c r="D45" s="30">
        <v>300000</v>
      </c>
      <c r="E45" s="28">
        <v>2041.05</v>
      </c>
      <c r="F45" s="29">
        <v>0.58766940630679598</v>
      </c>
    </row>
    <row r="46" spans="1:6" x14ac:dyDescent="0.2">
      <c r="A46" s="26" t="s">
        <v>1459</v>
      </c>
      <c r="B46" s="26" t="s">
        <v>1458</v>
      </c>
      <c r="C46" s="26" t="s">
        <v>1155</v>
      </c>
      <c r="D46" s="30">
        <v>771008</v>
      </c>
      <c r="E46" s="28">
        <v>1941.7836480000001</v>
      </c>
      <c r="F46" s="29">
        <v>0.55908813777046396</v>
      </c>
    </row>
    <row r="47" spans="1:6" x14ac:dyDescent="0.2">
      <c r="A47" s="26" t="s">
        <v>1042</v>
      </c>
      <c r="B47" s="26" t="s">
        <v>1041</v>
      </c>
      <c r="C47" s="26" t="s">
        <v>887</v>
      </c>
      <c r="D47" s="30">
        <v>481063</v>
      </c>
      <c r="E47" s="28">
        <v>1844.8766049999999</v>
      </c>
      <c r="F47" s="29">
        <v>0.53118617337627605</v>
      </c>
    </row>
    <row r="48" spans="1:6" x14ac:dyDescent="0.2">
      <c r="A48" s="26" t="s">
        <v>1196</v>
      </c>
      <c r="B48" s="26" t="s">
        <v>1195</v>
      </c>
      <c r="C48" s="26" t="s">
        <v>1000</v>
      </c>
      <c r="D48" s="30">
        <v>6320734</v>
      </c>
      <c r="E48" s="28">
        <v>1763.484786</v>
      </c>
      <c r="F48" s="29">
        <v>0.50775143049885496</v>
      </c>
    </row>
    <row r="49" spans="1:9" x14ac:dyDescent="0.2">
      <c r="A49" s="26" t="s">
        <v>1332</v>
      </c>
      <c r="B49" s="26" t="s">
        <v>1331</v>
      </c>
      <c r="C49" s="26" t="s">
        <v>884</v>
      </c>
      <c r="D49" s="30">
        <v>305270</v>
      </c>
      <c r="E49" s="28">
        <v>1609.99398</v>
      </c>
      <c r="F49" s="29">
        <v>0.463557583784873</v>
      </c>
    </row>
    <row r="50" spans="1:9" x14ac:dyDescent="0.2">
      <c r="A50" s="26" t="s">
        <v>1013</v>
      </c>
      <c r="B50" s="26" t="s">
        <v>1012</v>
      </c>
      <c r="C50" s="26" t="s">
        <v>884</v>
      </c>
      <c r="D50" s="30">
        <v>3293517</v>
      </c>
      <c r="E50" s="28">
        <v>1600.6492619999999</v>
      </c>
      <c r="F50" s="29">
        <v>0.46086700546530002</v>
      </c>
    </row>
    <row r="51" spans="1:9" x14ac:dyDescent="0.2">
      <c r="A51" s="26" t="s">
        <v>956</v>
      </c>
      <c r="B51" s="26" t="s">
        <v>955</v>
      </c>
      <c r="C51" s="26" t="s">
        <v>957</v>
      </c>
      <c r="D51" s="30">
        <v>1075124</v>
      </c>
      <c r="E51" s="28">
        <v>1436.3656639999999</v>
      </c>
      <c r="F51" s="29">
        <v>0.41356564366495102</v>
      </c>
    </row>
    <row r="52" spans="1:9" x14ac:dyDescent="0.2">
      <c r="A52" s="26" t="s">
        <v>950</v>
      </c>
      <c r="B52" s="26" t="s">
        <v>949</v>
      </c>
      <c r="C52" s="26" t="s">
        <v>914</v>
      </c>
      <c r="D52" s="30">
        <v>265282</v>
      </c>
      <c r="E52" s="28">
        <v>1242.3156059999999</v>
      </c>
      <c r="F52" s="29">
        <v>0.35769377262864099</v>
      </c>
    </row>
    <row r="53" spans="1:9" x14ac:dyDescent="0.2">
      <c r="A53" s="26" t="s">
        <v>1008</v>
      </c>
      <c r="B53" s="26" t="s">
        <v>1007</v>
      </c>
      <c r="C53" s="26" t="s">
        <v>1009</v>
      </c>
      <c r="D53" s="30">
        <v>1278633</v>
      </c>
      <c r="E53" s="28">
        <v>1169.9491949999999</v>
      </c>
      <c r="F53" s="29">
        <v>0.33685767072573602</v>
      </c>
    </row>
    <row r="54" spans="1:9" x14ac:dyDescent="0.2">
      <c r="A54" s="26" t="s">
        <v>959</v>
      </c>
      <c r="B54" s="26" t="s">
        <v>958</v>
      </c>
      <c r="C54" s="26" t="s">
        <v>960</v>
      </c>
      <c r="D54" s="30">
        <v>3057159</v>
      </c>
      <c r="E54" s="28">
        <v>1138.7917279999999</v>
      </c>
      <c r="F54" s="29">
        <v>0.32788665574133402</v>
      </c>
    </row>
    <row r="55" spans="1:9" x14ac:dyDescent="0.2">
      <c r="A55" s="26" t="s">
        <v>1026</v>
      </c>
      <c r="B55" s="26" t="s">
        <v>1025</v>
      </c>
      <c r="C55" s="26" t="s">
        <v>914</v>
      </c>
      <c r="D55" s="30">
        <v>1791828</v>
      </c>
      <c r="E55" s="28">
        <v>1125.2679840000001</v>
      </c>
      <c r="F55" s="29">
        <v>0.32399283118655903</v>
      </c>
    </row>
    <row r="56" spans="1:9" x14ac:dyDescent="0.2">
      <c r="A56" s="26" t="s">
        <v>1056</v>
      </c>
      <c r="B56" s="26" t="s">
        <v>1055</v>
      </c>
      <c r="C56" s="26" t="s">
        <v>978</v>
      </c>
      <c r="D56" s="30">
        <v>1695647</v>
      </c>
      <c r="E56" s="28">
        <v>852.06261749999999</v>
      </c>
      <c r="F56" s="29">
        <v>0.24533016465174301</v>
      </c>
    </row>
    <row r="57" spans="1:9" x14ac:dyDescent="0.2">
      <c r="A57" s="26" t="s">
        <v>1338</v>
      </c>
      <c r="B57" s="26" t="s">
        <v>1337</v>
      </c>
      <c r="C57" s="26" t="s">
        <v>899</v>
      </c>
      <c r="D57" s="30">
        <v>311857</v>
      </c>
      <c r="E57" s="28">
        <v>676.72969000000001</v>
      </c>
      <c r="F57" s="29">
        <v>0.19484742419464601</v>
      </c>
    </row>
    <row r="58" spans="1:9" x14ac:dyDescent="0.2">
      <c r="A58" s="26" t="s">
        <v>1324</v>
      </c>
      <c r="B58" s="26" t="s">
        <v>1323</v>
      </c>
      <c r="C58" s="26" t="s">
        <v>1048</v>
      </c>
      <c r="D58" s="30">
        <v>774842</v>
      </c>
      <c r="E58" s="28">
        <v>637.307545</v>
      </c>
      <c r="F58" s="29">
        <v>0.18349680145267999</v>
      </c>
    </row>
    <row r="59" spans="1:9" x14ac:dyDescent="0.2">
      <c r="A59" s="26" t="s">
        <v>1334</v>
      </c>
      <c r="B59" s="26" t="s">
        <v>1333</v>
      </c>
      <c r="C59" s="26" t="s">
        <v>960</v>
      </c>
      <c r="D59" s="30">
        <v>2436728</v>
      </c>
      <c r="E59" s="28">
        <v>330.17664400000001</v>
      </c>
      <c r="F59" s="29">
        <v>9.5066123983170603E-2</v>
      </c>
    </row>
    <row r="60" spans="1:9" x14ac:dyDescent="0.2">
      <c r="A60" s="26" t="s">
        <v>961</v>
      </c>
      <c r="B60" s="26" t="s">
        <v>1616</v>
      </c>
      <c r="C60" s="26" t="s">
        <v>957</v>
      </c>
      <c r="D60" s="30">
        <v>125663</v>
      </c>
      <c r="E60" s="28">
        <v>93.870260999999999</v>
      </c>
      <c r="F60" s="29">
        <v>2.7027598810285901E-2</v>
      </c>
    </row>
    <row r="61" spans="1:9" ht="10.5" x14ac:dyDescent="0.25">
      <c r="A61" s="25" t="s">
        <v>153</v>
      </c>
      <c r="B61" s="25"/>
      <c r="C61" s="25"/>
      <c r="D61" s="31"/>
      <c r="E61" s="32">
        <f>SUM(E7:E60)</f>
        <v>327316.61968550005</v>
      </c>
      <c r="F61" s="33">
        <f>SUM(F7:F60)</f>
        <v>94.242651363232213</v>
      </c>
      <c r="G61" s="17"/>
      <c r="H61" s="17"/>
      <c r="I61" s="17"/>
    </row>
    <row r="62" spans="1:9" x14ac:dyDescent="0.2">
      <c r="A62" s="26"/>
      <c r="B62" s="26"/>
      <c r="C62" s="26"/>
      <c r="D62" s="27"/>
      <c r="E62" s="28"/>
      <c r="F62" s="29"/>
    </row>
    <row r="63" spans="1:9" ht="10.5" x14ac:dyDescent="0.25">
      <c r="A63" s="25" t="s">
        <v>1513</v>
      </c>
      <c r="B63" s="26"/>
      <c r="C63" s="26"/>
      <c r="D63" s="27"/>
      <c r="E63" s="28"/>
      <c r="F63" s="29"/>
    </row>
    <row r="64" spans="1:9" x14ac:dyDescent="0.2">
      <c r="A64" s="26" t="s">
        <v>1020</v>
      </c>
      <c r="B64" s="26" t="s">
        <v>1522</v>
      </c>
      <c r="C64" s="26" t="s">
        <v>887</v>
      </c>
      <c r="D64" s="30">
        <v>30000</v>
      </c>
      <c r="E64" s="28">
        <v>3.0000000000000001E-3</v>
      </c>
      <c r="F64" s="29">
        <v>8.6377512501917605E-7</v>
      </c>
    </row>
    <row r="65" spans="1:9" x14ac:dyDescent="0.2">
      <c r="A65" s="26" t="s">
        <v>1293</v>
      </c>
      <c r="B65" s="26" t="s">
        <v>1520</v>
      </c>
      <c r="C65" s="26" t="s">
        <v>1173</v>
      </c>
      <c r="D65" s="30">
        <v>3500</v>
      </c>
      <c r="E65" s="28">
        <v>3.5E-4</v>
      </c>
      <c r="F65" s="29">
        <v>1.0077376458557101E-7</v>
      </c>
    </row>
    <row r="66" spans="1:9" x14ac:dyDescent="0.2">
      <c r="A66" s="26"/>
      <c r="B66" s="26" t="s">
        <v>1519</v>
      </c>
      <c r="C66" s="26" t="s">
        <v>978</v>
      </c>
      <c r="D66" s="30">
        <v>2900</v>
      </c>
      <c r="E66" s="28">
        <v>2.9E-4</v>
      </c>
      <c r="F66" s="29">
        <v>8.3498262085186999E-8</v>
      </c>
    </row>
    <row r="67" spans="1:9" ht="10.5" x14ac:dyDescent="0.25">
      <c r="A67" s="25" t="s">
        <v>153</v>
      </c>
      <c r="B67" s="25"/>
      <c r="C67" s="25"/>
      <c r="D67" s="31"/>
      <c r="E67" s="32">
        <f>SUM(E63:E66)</f>
        <v>3.64E-3</v>
      </c>
      <c r="F67" s="33">
        <f>SUM(F63:F66)</f>
        <v>1.048047151689934E-6</v>
      </c>
      <c r="G67" s="17"/>
      <c r="H67" s="17"/>
      <c r="I67" s="17"/>
    </row>
    <row r="68" spans="1:9" x14ac:dyDescent="0.2">
      <c r="A68" s="26"/>
      <c r="B68" s="26"/>
      <c r="C68" s="26"/>
      <c r="D68" s="27"/>
      <c r="E68" s="28"/>
      <c r="F68" s="29"/>
    </row>
    <row r="69" spans="1:9" ht="10.5" x14ac:dyDescent="0.25">
      <c r="A69" s="25" t="s">
        <v>166</v>
      </c>
      <c r="B69" s="25"/>
      <c r="C69" s="25"/>
      <c r="D69" s="31"/>
      <c r="E69" s="32">
        <f>E61+E67</f>
        <v>327316.62332550006</v>
      </c>
      <c r="F69" s="33">
        <f>F61+F67</f>
        <v>94.242652411279366</v>
      </c>
      <c r="G69" s="17"/>
      <c r="H69" s="17"/>
      <c r="I69" s="17"/>
    </row>
    <row r="70" spans="1:9" ht="10.5" x14ac:dyDescent="0.25">
      <c r="A70" s="25"/>
      <c r="B70" s="25"/>
      <c r="C70" s="25"/>
      <c r="D70" s="31"/>
      <c r="E70" s="32"/>
      <c r="F70" s="33"/>
      <c r="G70" s="17"/>
      <c r="H70" s="17"/>
      <c r="I70" s="17"/>
    </row>
    <row r="71" spans="1:9" ht="10.5" x14ac:dyDescent="0.25">
      <c r="A71" s="25" t="s">
        <v>168</v>
      </c>
      <c r="B71" s="25"/>
      <c r="C71" s="25"/>
      <c r="D71" s="31"/>
      <c r="E71" s="32">
        <f>E73-(E61+E67)</f>
        <v>19995.994635499956</v>
      </c>
      <c r="F71" s="33">
        <f>F73-(F61+F67)</f>
        <v>5.7573475887206342</v>
      </c>
      <c r="G71" s="17"/>
      <c r="H71" s="17"/>
      <c r="I71" s="17"/>
    </row>
    <row r="72" spans="1:9" ht="10.5" x14ac:dyDescent="0.25">
      <c r="A72" s="25"/>
      <c r="B72" s="25"/>
      <c r="C72" s="25"/>
      <c r="D72" s="31"/>
      <c r="E72" s="32"/>
      <c r="F72" s="33"/>
      <c r="G72" s="17"/>
      <c r="H72" s="17"/>
      <c r="I72" s="17"/>
    </row>
    <row r="73" spans="1:9" ht="10.5" x14ac:dyDescent="0.25">
      <c r="A73" s="34" t="s">
        <v>167</v>
      </c>
      <c r="B73" s="34"/>
      <c r="C73" s="34"/>
      <c r="D73" s="35"/>
      <c r="E73" s="36">
        <v>347312.61796100001</v>
      </c>
      <c r="F73" s="37">
        <v>100</v>
      </c>
      <c r="G73" s="17"/>
      <c r="H73" s="17"/>
      <c r="I73" s="17"/>
    </row>
    <row r="74" spans="1:9" ht="10.5" x14ac:dyDescent="0.25">
      <c r="A74" s="17"/>
      <c r="F74" s="19" t="s">
        <v>343</v>
      </c>
    </row>
    <row r="75" spans="1:9" ht="10.5" x14ac:dyDescent="0.25">
      <c r="A75" s="17" t="s">
        <v>170</v>
      </c>
    </row>
    <row r="76" spans="1:9" ht="10.5" x14ac:dyDescent="0.25">
      <c r="A76" s="17"/>
    </row>
    <row r="77" spans="1:9" ht="10.5" x14ac:dyDescent="0.25">
      <c r="A77" s="17" t="s">
        <v>171</v>
      </c>
    </row>
    <row r="78" spans="1:9" ht="10.5" x14ac:dyDescent="0.25">
      <c r="A78" s="17" t="s">
        <v>172</v>
      </c>
    </row>
    <row r="79" spans="1:9" ht="10.5" x14ac:dyDescent="0.25">
      <c r="A79" s="17" t="s">
        <v>173</v>
      </c>
      <c r="B79" s="17"/>
      <c r="C79" s="38" t="s">
        <v>175</v>
      </c>
      <c r="D79" s="18" t="s">
        <v>174</v>
      </c>
    </row>
    <row r="80" spans="1:9" x14ac:dyDescent="0.2">
      <c r="A80" s="10" t="s">
        <v>436</v>
      </c>
      <c r="C80" s="39">
        <v>392.8451</v>
      </c>
      <c r="D80" s="39">
        <v>497.43610000000001</v>
      </c>
    </row>
    <row r="81" spans="1:4" x14ac:dyDescent="0.2">
      <c r="A81" s="10" t="s">
        <v>470</v>
      </c>
      <c r="C81" s="39">
        <v>26.125299999999999</v>
      </c>
      <c r="D81" s="39">
        <v>33.0809</v>
      </c>
    </row>
    <row r="82" spans="1:4" x14ac:dyDescent="0.2">
      <c r="A82" s="10" t="s">
        <v>439</v>
      </c>
      <c r="C82" s="39">
        <v>419.00420000000003</v>
      </c>
      <c r="D82" s="39">
        <v>533.05449999999996</v>
      </c>
    </row>
    <row r="83" spans="1:4" x14ac:dyDescent="0.2">
      <c r="A83" s="10" t="s">
        <v>471</v>
      </c>
      <c r="C83" s="39">
        <v>28.557099999999998</v>
      </c>
      <c r="D83" s="39">
        <v>36.329799999999999</v>
      </c>
    </row>
    <row r="85" spans="1:4" ht="10.5" x14ac:dyDescent="0.25">
      <c r="A85" s="17" t="s">
        <v>185</v>
      </c>
      <c r="D85" s="40" t="s">
        <v>186</v>
      </c>
    </row>
    <row r="87" spans="1:4" ht="10.5" x14ac:dyDescent="0.25">
      <c r="A87" s="17" t="s">
        <v>1014</v>
      </c>
      <c r="D87" s="47">
        <v>7.3800000000000004E-2</v>
      </c>
    </row>
    <row r="89" spans="1:4" ht="10.5" x14ac:dyDescent="0.25">
      <c r="A89" s="17" t="s">
        <v>1630</v>
      </c>
    </row>
  </sheetData>
  <mergeCells count="1">
    <mergeCell ref="A1:F1"/>
  </mergeCells>
  <conditionalFormatting sqref="F2:F3 F5:F65537">
    <cfRule type="cellIs" dxfId="9" priority="1" stopIfTrue="1" operator="between">
      <formula>0.009</formula>
      <formula>-0.009</formula>
    </cfRule>
  </conditionalFormatting>
  <pageMargins left="0.7" right="0.7" top="0.75" bottom="0.75" header="0.3" footer="0.3"/>
  <pageSetup paperSize="9" scale="54" orientation="portrait" r:id="rId1"/>
  <headerFooter>
    <oddFooter>&amp;LPUBLIC</oddFooter>
    <evenFooter>&amp;LPUBLIC</evenFooter>
    <firstFooter>&amp;LPUBLIC</firstFooter>
  </headerFooter>
  <colBreaks count="1" manualBreakCount="1">
    <brk id="6" max="1048575" man="1"/>
  </col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26"/>
  <sheetViews>
    <sheetView view="pageBreakPreview" zoomScaleNormal="100" zoomScaleSheetLayoutView="100" workbookViewId="0">
      <selection sqref="A1:E1"/>
    </sheetView>
  </sheetViews>
  <sheetFormatPr defaultColWidth="9.1796875" defaultRowHeight="10" x14ac:dyDescent="0.2"/>
  <cols>
    <col min="1" max="1" width="37.54296875" style="10" bestFit="1" customWidth="1"/>
    <col min="2" max="2" width="33.54296875" style="10" bestFit="1" customWidth="1"/>
    <col min="3" max="3" width="18.81640625" style="10" bestFit="1" customWidth="1"/>
    <col min="4" max="4" width="23" style="11" bestFit="1" customWidth="1"/>
    <col min="5" max="5" width="13.54296875" style="15" customWidth="1"/>
    <col min="6" max="6" width="13.54296875" style="16" bestFit="1" customWidth="1"/>
    <col min="7" max="16384" width="9.1796875" style="10"/>
  </cols>
  <sheetData>
    <row r="1" spans="1:6" s="1" customFormat="1" ht="15" customHeight="1" x14ac:dyDescent="0.25">
      <c r="A1" s="96" t="s">
        <v>49</v>
      </c>
      <c r="B1" s="97"/>
      <c r="C1" s="97"/>
      <c r="D1" s="97"/>
      <c r="E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48" t="s">
        <v>1</v>
      </c>
      <c r="D4" s="9" t="s">
        <v>3</v>
      </c>
      <c r="E4" s="9" t="s">
        <v>4</v>
      </c>
    </row>
    <row r="5" spans="1:6" ht="10.5" x14ac:dyDescent="0.25">
      <c r="A5" s="20" t="s">
        <v>1145</v>
      </c>
      <c r="B5" s="21"/>
      <c r="C5" s="22"/>
      <c r="D5" s="23"/>
      <c r="E5" s="24"/>
    </row>
    <row r="6" spans="1:6" x14ac:dyDescent="0.2">
      <c r="A6" s="26" t="s">
        <v>1461</v>
      </c>
      <c r="B6" s="26" t="s">
        <v>1460</v>
      </c>
      <c r="C6" s="30">
        <v>4631641.8789999997</v>
      </c>
      <c r="D6" s="28">
        <v>225318.09473373278</v>
      </c>
      <c r="E6" s="29">
        <v>100.04354908113883</v>
      </c>
    </row>
    <row r="7" spans="1:6" ht="10.5" x14ac:dyDescent="0.25">
      <c r="A7" s="25" t="s">
        <v>153</v>
      </c>
      <c r="B7" s="25"/>
      <c r="C7" s="31"/>
      <c r="D7" s="32">
        <f>SUM(D6:D6)</f>
        <v>225318.09473373278</v>
      </c>
      <c r="E7" s="33">
        <f>SUM(E6:E6)</f>
        <v>100.04354908113883</v>
      </c>
    </row>
    <row r="8" spans="1:6" x14ac:dyDescent="0.2">
      <c r="A8" s="26"/>
      <c r="B8" s="26"/>
      <c r="C8" s="27"/>
      <c r="D8" s="28"/>
      <c r="E8" s="29"/>
    </row>
    <row r="9" spans="1:6" ht="10.5" x14ac:dyDescent="0.25">
      <c r="A9" s="25" t="s">
        <v>166</v>
      </c>
      <c r="B9" s="25"/>
      <c r="C9" s="31"/>
      <c r="D9" s="32">
        <f>D7</f>
        <v>225318.09473373278</v>
      </c>
      <c r="E9" s="33">
        <f>E7</f>
        <v>100.04354908113883</v>
      </c>
    </row>
    <row r="10" spans="1:6" ht="10.5" x14ac:dyDescent="0.25">
      <c r="A10" s="25"/>
      <c r="B10" s="25"/>
      <c r="C10" s="31"/>
      <c r="D10" s="32"/>
      <c r="E10" s="33"/>
    </row>
    <row r="11" spans="1:6" ht="10.5" x14ac:dyDescent="0.25">
      <c r="A11" s="25" t="s">
        <v>168</v>
      </c>
      <c r="B11" s="25"/>
      <c r="C11" s="31"/>
      <c r="D11" s="32">
        <f>D13-(D7)</f>
        <v>-98.079325732775033</v>
      </c>
      <c r="E11" s="33">
        <f>E13-(E7)</f>
        <v>-4.3549081138834822E-2</v>
      </c>
    </row>
    <row r="12" spans="1:6" ht="10.5" x14ac:dyDescent="0.25">
      <c r="A12" s="25"/>
      <c r="B12" s="25"/>
      <c r="C12" s="31"/>
      <c r="D12" s="32"/>
      <c r="E12" s="33"/>
    </row>
    <row r="13" spans="1:6" ht="10.5" x14ac:dyDescent="0.25">
      <c r="A13" s="34" t="s">
        <v>167</v>
      </c>
      <c r="B13" s="34"/>
      <c r="C13" s="35"/>
      <c r="D13" s="36">
        <v>225220.01540800001</v>
      </c>
      <c r="E13" s="37">
        <v>100</v>
      </c>
    </row>
    <row r="16" spans="1:6" ht="10.5" x14ac:dyDescent="0.25">
      <c r="A16" s="17" t="s">
        <v>171</v>
      </c>
    </row>
    <row r="17" spans="1:4" ht="10.5" x14ac:dyDescent="0.25">
      <c r="A17" s="17" t="s">
        <v>172</v>
      </c>
    </row>
    <row r="18" spans="1:4" ht="10.5" x14ac:dyDescent="0.25">
      <c r="A18" s="17" t="s">
        <v>173</v>
      </c>
      <c r="B18" s="17"/>
      <c r="C18" s="38" t="s">
        <v>175</v>
      </c>
      <c r="D18" s="40" t="s">
        <v>174</v>
      </c>
    </row>
    <row r="19" spans="1:4" x14ac:dyDescent="0.2">
      <c r="A19" s="10" t="s">
        <v>436</v>
      </c>
      <c r="C19" s="39">
        <v>31.8446</v>
      </c>
      <c r="D19" s="39">
        <v>45.787599999999998</v>
      </c>
    </row>
    <row r="20" spans="1:4" x14ac:dyDescent="0.2">
      <c r="A20" s="10" t="s">
        <v>470</v>
      </c>
      <c r="C20" s="39">
        <v>31.8446</v>
      </c>
      <c r="D20" s="39">
        <v>45.787599999999998</v>
      </c>
    </row>
    <row r="21" spans="1:4" x14ac:dyDescent="0.2">
      <c r="A21" s="10" t="s">
        <v>439</v>
      </c>
      <c r="C21" s="39">
        <v>34.158700000000003</v>
      </c>
      <c r="D21" s="39">
        <v>49.348700000000001</v>
      </c>
    </row>
    <row r="22" spans="1:4" x14ac:dyDescent="0.2">
      <c r="A22" s="10" t="s">
        <v>471</v>
      </c>
      <c r="C22" s="39">
        <v>34.158700000000003</v>
      </c>
      <c r="D22" s="39">
        <v>49.348700000000001</v>
      </c>
    </row>
    <row r="24" spans="1:4" ht="10.5" x14ac:dyDescent="0.25">
      <c r="A24" s="17" t="s">
        <v>185</v>
      </c>
      <c r="D24" s="40" t="s">
        <v>186</v>
      </c>
    </row>
    <row r="26" spans="1:4" ht="10.5" x14ac:dyDescent="0.25">
      <c r="A26" s="17" t="s">
        <v>1014</v>
      </c>
      <c r="D26" s="47">
        <v>2.75E-2</v>
      </c>
    </row>
  </sheetData>
  <mergeCells count="1">
    <mergeCell ref="A1:E1"/>
  </mergeCells>
  <conditionalFormatting sqref="F2:F3 F14:F65536 E5:E13">
    <cfRule type="cellIs" dxfId="8" priority="2" stopIfTrue="1" operator="between">
      <formula>0.009</formula>
      <formula>-0.009</formula>
    </cfRule>
  </conditionalFormatting>
  <pageMargins left="0.7" right="0.7" top="0.75" bottom="0.75" header="0.3" footer="0.3"/>
  <pageSetup paperSize="9" scale="69" orientation="portrait" r:id="rId1"/>
  <headerFooter>
    <oddFooter>&amp;LPUBLIC</oddFooter>
    <evenFooter>&amp;LPUBLIC</evenFooter>
    <firstFooter>&amp;LPUBLIC</firstFooter>
  </headerFooter>
  <colBreaks count="1" manualBreakCount="1">
    <brk id="5" max="1048575" man="1"/>
  </col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28"/>
  <sheetViews>
    <sheetView view="pageBreakPreview" zoomScaleNormal="100" zoomScaleSheetLayoutView="100" workbookViewId="0">
      <selection sqref="A1:E1"/>
    </sheetView>
  </sheetViews>
  <sheetFormatPr defaultColWidth="9.1796875" defaultRowHeight="10" x14ac:dyDescent="0.2"/>
  <cols>
    <col min="1" max="1" width="37.54296875" style="10" bestFit="1" customWidth="1"/>
    <col min="2" max="2" width="39.1796875" style="10" bestFit="1" customWidth="1"/>
    <col min="3" max="3" width="18.81640625" style="10" bestFit="1" customWidth="1"/>
    <col min="4" max="4" width="23" style="11" bestFit="1" customWidth="1"/>
    <col min="5" max="5" width="13.54296875" style="15" customWidth="1"/>
    <col min="6" max="6" width="13.54296875" style="16" bestFit="1" customWidth="1"/>
    <col min="7" max="16384" width="9.1796875" style="10"/>
  </cols>
  <sheetData>
    <row r="1" spans="1:9" s="1" customFormat="1" ht="15" customHeight="1" x14ac:dyDescent="0.25">
      <c r="A1" s="97" t="s">
        <v>1530</v>
      </c>
      <c r="B1" s="97"/>
      <c r="C1" s="97"/>
      <c r="D1" s="97"/>
      <c r="E1" s="97"/>
    </row>
    <row r="2" spans="1:9" s="1" customFormat="1" ht="11.5" x14ac:dyDescent="0.25">
      <c r="D2" s="6"/>
      <c r="E2" s="7"/>
      <c r="F2" s="14"/>
    </row>
    <row r="3" spans="1:9" s="1" customFormat="1" ht="11.5" x14ac:dyDescent="0.25">
      <c r="A3" s="12" t="s">
        <v>6</v>
      </c>
      <c r="B3" s="2"/>
      <c r="C3" s="3"/>
      <c r="D3" s="4"/>
      <c r="E3" s="5"/>
      <c r="F3" s="14"/>
    </row>
    <row r="4" spans="1:9" s="1" customFormat="1" ht="17.5" customHeight="1" x14ac:dyDescent="0.25">
      <c r="A4" s="8" t="s">
        <v>2</v>
      </c>
      <c r="B4" s="8" t="s">
        <v>0</v>
      </c>
      <c r="C4" s="48" t="s">
        <v>1</v>
      </c>
      <c r="D4" s="9" t="s">
        <v>3</v>
      </c>
      <c r="E4" s="9" t="s">
        <v>4</v>
      </c>
    </row>
    <row r="5" spans="1:9" ht="10.5" x14ac:dyDescent="0.25">
      <c r="A5" s="20" t="s">
        <v>1145</v>
      </c>
      <c r="B5" s="21"/>
      <c r="C5" s="22"/>
      <c r="D5" s="23"/>
      <c r="E5" s="24"/>
    </row>
    <row r="6" spans="1:9" x14ac:dyDescent="0.2">
      <c r="A6" s="26" t="s">
        <v>1463</v>
      </c>
      <c r="B6" s="26" t="s">
        <v>1462</v>
      </c>
      <c r="C6" s="30">
        <v>84436.418999999994</v>
      </c>
      <c r="D6" s="28">
        <v>1733.7084990000001</v>
      </c>
      <c r="E6" s="29">
        <v>98.596651153868194</v>
      </c>
    </row>
    <row r="7" spans="1:9" ht="10.5" x14ac:dyDescent="0.25">
      <c r="A7" s="25" t="s">
        <v>153</v>
      </c>
      <c r="B7" s="25"/>
      <c r="C7" s="31"/>
      <c r="D7" s="32">
        <f>SUM(D6:D6)</f>
        <v>1733.7084990000001</v>
      </c>
      <c r="E7" s="33">
        <f>SUM(E6:E6)</f>
        <v>98.596651153868194</v>
      </c>
      <c r="G7" s="17"/>
      <c r="H7" s="17"/>
      <c r="I7" s="17"/>
    </row>
    <row r="8" spans="1:9" x14ac:dyDescent="0.2">
      <c r="A8" s="26"/>
      <c r="B8" s="26"/>
      <c r="C8" s="27"/>
      <c r="D8" s="28"/>
      <c r="E8" s="29"/>
    </row>
    <row r="9" spans="1:9" ht="10.5" x14ac:dyDescent="0.25">
      <c r="A9" s="25" t="s">
        <v>166</v>
      </c>
      <c r="B9" s="25"/>
      <c r="C9" s="31"/>
      <c r="D9" s="32">
        <f>D7</f>
        <v>1733.7084990000001</v>
      </c>
      <c r="E9" s="33">
        <f>E7</f>
        <v>98.596651153868194</v>
      </c>
      <c r="G9" s="17"/>
      <c r="H9" s="17"/>
      <c r="I9" s="17"/>
    </row>
    <row r="10" spans="1:9" ht="10.5" x14ac:dyDescent="0.25">
      <c r="A10" s="25"/>
      <c r="B10" s="25"/>
      <c r="C10" s="31"/>
      <c r="D10" s="32"/>
      <c r="E10" s="33"/>
      <c r="G10" s="17"/>
      <c r="H10" s="17"/>
      <c r="I10" s="17"/>
    </row>
    <row r="11" spans="1:9" ht="10.5" x14ac:dyDescent="0.25">
      <c r="A11" s="25" t="s">
        <v>168</v>
      </c>
      <c r="B11" s="25"/>
      <c r="C11" s="31"/>
      <c r="D11" s="32">
        <f>D13-(D7)</f>
        <v>24.676272400000016</v>
      </c>
      <c r="E11" s="33">
        <f>E13-(E7)</f>
        <v>1.4033488461318058</v>
      </c>
      <c r="G11" s="17"/>
      <c r="H11" s="17"/>
      <c r="I11" s="17"/>
    </row>
    <row r="12" spans="1:9" ht="10.5" x14ac:dyDescent="0.25">
      <c r="A12" s="25"/>
      <c r="B12" s="25"/>
      <c r="C12" s="31"/>
      <c r="D12" s="32"/>
      <c r="E12" s="33"/>
      <c r="G12" s="17"/>
      <c r="H12" s="17"/>
      <c r="I12" s="17"/>
    </row>
    <row r="13" spans="1:9" ht="10.5" x14ac:dyDescent="0.25">
      <c r="A13" s="34" t="s">
        <v>167</v>
      </c>
      <c r="B13" s="34"/>
      <c r="C13" s="35"/>
      <c r="D13" s="36">
        <v>1758.3847714000001</v>
      </c>
      <c r="E13" s="37">
        <v>100</v>
      </c>
      <c r="G13" s="17"/>
      <c r="H13" s="17"/>
      <c r="I13" s="17"/>
    </row>
    <row r="16" spans="1:9" ht="10.5" x14ac:dyDescent="0.25">
      <c r="A16" s="17" t="s">
        <v>171</v>
      </c>
    </row>
    <row r="17" spans="1:4" ht="10.5" x14ac:dyDescent="0.25">
      <c r="A17" s="17" t="s">
        <v>172</v>
      </c>
    </row>
    <row r="18" spans="1:4" ht="10.5" x14ac:dyDescent="0.25">
      <c r="A18" s="17" t="s">
        <v>173</v>
      </c>
      <c r="B18" s="17"/>
      <c r="C18" s="38" t="s">
        <v>175</v>
      </c>
      <c r="D18" s="40" t="s">
        <v>174</v>
      </c>
    </row>
    <row r="19" spans="1:4" x14ac:dyDescent="0.2">
      <c r="A19" s="10" t="s">
        <v>436</v>
      </c>
      <c r="C19" s="39">
        <v>7.0502000000000002</v>
      </c>
      <c r="D19" s="39">
        <v>7.7904999999999998</v>
      </c>
    </row>
    <row r="20" spans="1:4" x14ac:dyDescent="0.2">
      <c r="A20" s="10" t="s">
        <v>470</v>
      </c>
      <c r="C20" s="39">
        <v>7.0502000000000002</v>
      </c>
      <c r="D20" s="39">
        <v>7.7904999999999998</v>
      </c>
    </row>
    <row r="21" spans="1:4" x14ac:dyDescent="0.2">
      <c r="A21" s="10" t="s">
        <v>439</v>
      </c>
      <c r="C21" s="39">
        <v>7.5838999999999999</v>
      </c>
      <c r="D21" s="39">
        <v>8.4177999999999997</v>
      </c>
    </row>
    <row r="22" spans="1:4" x14ac:dyDescent="0.2">
      <c r="A22" s="10" t="s">
        <v>471</v>
      </c>
      <c r="C22" s="39">
        <v>7.5838999999999999</v>
      </c>
      <c r="D22" s="39">
        <v>8.4177999999999997</v>
      </c>
    </row>
    <row r="24" spans="1:4" ht="10.5" x14ac:dyDescent="0.25">
      <c r="A24" s="17" t="s">
        <v>185</v>
      </c>
      <c r="D24" s="40" t="s">
        <v>186</v>
      </c>
    </row>
    <row r="26" spans="1:4" ht="10.5" x14ac:dyDescent="0.25">
      <c r="A26" s="17" t="s">
        <v>1014</v>
      </c>
      <c r="D26" s="47">
        <v>0.109</v>
      </c>
    </row>
    <row r="28" spans="1:4" ht="10.5" x14ac:dyDescent="0.25">
      <c r="A28" s="17" t="s">
        <v>1531</v>
      </c>
    </row>
  </sheetData>
  <mergeCells count="1">
    <mergeCell ref="A1:E1"/>
  </mergeCells>
  <conditionalFormatting sqref="F2:F3 F14:F65536 E5:E13">
    <cfRule type="cellIs" dxfId="7" priority="1" stopIfTrue="1" operator="between">
      <formula>0.009</formula>
      <formula>-0.009</formula>
    </cfRule>
  </conditionalFormatting>
  <pageMargins left="0.7" right="0.7" top="0.75" bottom="0.75" header="0.3" footer="0.3"/>
  <pageSetup paperSize="9" scale="66" orientation="portrait" r:id="rId1"/>
  <headerFooter>
    <oddFooter>&amp;LPUBLIC</oddFooter>
    <evenFooter>&amp;LPUBLIC</evenFooter>
    <firstFooter>&amp;LPUBLIC</firstFooter>
  </headerFooter>
  <colBreaks count="1" manualBreakCount="1">
    <brk id="5" max="1048575" man="1"/>
  </col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31"/>
  <sheetViews>
    <sheetView view="pageBreakPreview" zoomScaleNormal="100" zoomScaleSheetLayoutView="100" workbookViewId="0">
      <selection sqref="A1:E1"/>
    </sheetView>
  </sheetViews>
  <sheetFormatPr defaultColWidth="9.1796875" defaultRowHeight="10" x14ac:dyDescent="0.2"/>
  <cols>
    <col min="1" max="1" width="37.54296875" style="10" bestFit="1" customWidth="1"/>
    <col min="2" max="2" width="45.81640625" style="10" customWidth="1"/>
    <col min="3" max="3" width="15.453125" style="10" bestFit="1" customWidth="1"/>
    <col min="4" max="4" width="23" style="11" bestFit="1" customWidth="1"/>
    <col min="5" max="5" width="13.54296875" style="15" customWidth="1"/>
    <col min="6" max="6" width="14.81640625" style="16" bestFit="1" customWidth="1"/>
    <col min="7" max="16384" width="9.1796875" style="10"/>
  </cols>
  <sheetData>
    <row r="1" spans="1:9" s="1" customFormat="1" ht="15" customHeight="1" x14ac:dyDescent="0.25">
      <c r="A1" s="96" t="s">
        <v>50</v>
      </c>
      <c r="B1" s="97"/>
      <c r="C1" s="97"/>
      <c r="D1" s="97"/>
      <c r="E1" s="97"/>
    </row>
    <row r="2" spans="1:9" s="1" customFormat="1" ht="11.5" x14ac:dyDescent="0.25">
      <c r="D2" s="6"/>
      <c r="E2" s="7"/>
      <c r="F2" s="14"/>
    </row>
    <row r="3" spans="1:9" s="1" customFormat="1" ht="11.5" x14ac:dyDescent="0.25">
      <c r="A3" s="12" t="s">
        <v>6</v>
      </c>
      <c r="B3" s="2"/>
      <c r="C3" s="3"/>
      <c r="D3" s="4"/>
      <c r="E3" s="5"/>
      <c r="F3" s="14"/>
    </row>
    <row r="4" spans="1:9" s="1" customFormat="1" ht="17.5" customHeight="1" x14ac:dyDescent="0.25">
      <c r="A4" s="8" t="s">
        <v>2</v>
      </c>
      <c r="B4" s="8" t="s">
        <v>0</v>
      </c>
      <c r="C4" s="48" t="s">
        <v>1</v>
      </c>
      <c r="D4" s="9" t="s">
        <v>3</v>
      </c>
      <c r="E4" s="9" t="s">
        <v>4</v>
      </c>
    </row>
    <row r="5" spans="1:9" ht="10.5" x14ac:dyDescent="0.25">
      <c r="A5" s="20" t="s">
        <v>1582</v>
      </c>
      <c r="B5" s="21"/>
      <c r="C5" s="22"/>
      <c r="D5" s="23"/>
      <c r="E5" s="24"/>
    </row>
    <row r="6" spans="1:9" x14ac:dyDescent="0.2">
      <c r="A6" s="26" t="s">
        <v>1466</v>
      </c>
      <c r="B6" s="26" t="s">
        <v>1465</v>
      </c>
      <c r="C6" s="30">
        <v>174120.56599999999</v>
      </c>
      <c r="D6" s="28">
        <v>769.37540130000002</v>
      </c>
      <c r="E6" s="29">
        <v>40.756177783270303</v>
      </c>
    </row>
    <row r="7" spans="1:9" ht="20" x14ac:dyDescent="0.2">
      <c r="A7" s="26" t="s">
        <v>1468</v>
      </c>
      <c r="B7" s="61" t="s">
        <v>1467</v>
      </c>
      <c r="C7" s="30">
        <v>27213.78</v>
      </c>
      <c r="D7" s="28">
        <v>522.28022559999999</v>
      </c>
      <c r="E7" s="29">
        <v>27.666787489271599</v>
      </c>
    </row>
    <row r="8" spans="1:9" x14ac:dyDescent="0.2">
      <c r="A8" s="26" t="s">
        <v>1470</v>
      </c>
      <c r="B8" s="26" t="s">
        <v>1469</v>
      </c>
      <c r="C8" s="30">
        <v>638568</v>
      </c>
      <c r="D8" s="28">
        <v>282.11934239999999</v>
      </c>
      <c r="E8" s="29">
        <v>14.944727964431401</v>
      </c>
    </row>
    <row r="9" spans="1:9" ht="20" x14ac:dyDescent="0.2">
      <c r="A9" s="26" t="s">
        <v>1472</v>
      </c>
      <c r="B9" s="61" t="s">
        <v>1471</v>
      </c>
      <c r="C9" s="30">
        <v>23973.544999999998</v>
      </c>
      <c r="D9" s="28">
        <v>0</v>
      </c>
      <c r="E9" s="28">
        <v>0</v>
      </c>
    </row>
    <row r="10" spans="1:9" ht="30" x14ac:dyDescent="0.2">
      <c r="A10" s="26" t="s">
        <v>1474</v>
      </c>
      <c r="B10" s="61" t="s">
        <v>1473</v>
      </c>
      <c r="C10" s="30">
        <v>22876.138999999999</v>
      </c>
      <c r="D10" s="28">
        <v>0</v>
      </c>
      <c r="E10" s="28">
        <v>0</v>
      </c>
    </row>
    <row r="11" spans="1:9" ht="10.5" x14ac:dyDescent="0.25">
      <c r="A11" s="25" t="s">
        <v>153</v>
      </c>
      <c r="B11" s="25"/>
      <c r="C11" s="31"/>
      <c r="D11" s="32">
        <f>SUM(D6:D10)</f>
        <v>1573.7749693000001</v>
      </c>
      <c r="E11" s="33">
        <f>SUM(E6:E10)</f>
        <v>83.367693236973309</v>
      </c>
      <c r="G11" s="17"/>
      <c r="H11" s="17"/>
      <c r="I11" s="17"/>
    </row>
    <row r="12" spans="1:9" x14ac:dyDescent="0.2">
      <c r="A12" s="26"/>
      <c r="B12" s="26"/>
      <c r="C12" s="27"/>
      <c r="D12" s="28"/>
      <c r="E12" s="29"/>
    </row>
    <row r="13" spans="1:9" ht="10.5" x14ac:dyDescent="0.25">
      <c r="A13" s="25" t="s">
        <v>166</v>
      </c>
      <c r="B13" s="25"/>
      <c r="C13" s="31"/>
      <c r="D13" s="32">
        <f>D11</f>
        <v>1573.7749693000001</v>
      </c>
      <c r="E13" s="33">
        <f>E11</f>
        <v>83.367693236973309</v>
      </c>
      <c r="G13" s="17"/>
      <c r="H13" s="17"/>
      <c r="I13" s="17"/>
    </row>
    <row r="14" spans="1:9" ht="10.5" x14ac:dyDescent="0.25">
      <c r="A14" s="25"/>
      <c r="B14" s="25"/>
      <c r="C14" s="31"/>
      <c r="D14" s="32"/>
      <c r="E14" s="33"/>
      <c r="G14" s="17"/>
      <c r="H14" s="17"/>
      <c r="I14" s="17"/>
    </row>
    <row r="15" spans="1:9" ht="10.5" x14ac:dyDescent="0.25">
      <c r="A15" s="25" t="s">
        <v>168</v>
      </c>
      <c r="B15" s="25"/>
      <c r="C15" s="31"/>
      <c r="D15" s="32">
        <f>D17-(D11)</f>
        <v>313.97663829999988</v>
      </c>
      <c r="E15" s="33">
        <f>E17-(E11)</f>
        <v>16.632306763026691</v>
      </c>
      <c r="G15" s="17"/>
      <c r="H15" s="17"/>
      <c r="I15" s="17"/>
    </row>
    <row r="16" spans="1:9" ht="10.5" x14ac:dyDescent="0.25">
      <c r="A16" s="25"/>
      <c r="B16" s="25"/>
      <c r="C16" s="31"/>
      <c r="D16" s="32"/>
      <c r="E16" s="33"/>
      <c r="G16" s="17"/>
      <c r="H16" s="17"/>
      <c r="I16" s="17"/>
    </row>
    <row r="17" spans="1:9" ht="10.5" x14ac:dyDescent="0.25">
      <c r="A17" s="34" t="s">
        <v>167</v>
      </c>
      <c r="B17" s="34"/>
      <c r="C17" s="35"/>
      <c r="D17" s="36">
        <v>1887.7516075999999</v>
      </c>
      <c r="E17" s="37">
        <v>100</v>
      </c>
      <c r="G17" s="17"/>
      <c r="H17" s="17"/>
      <c r="I17" s="17"/>
    </row>
    <row r="18" spans="1:9" ht="10.5" x14ac:dyDescent="0.25">
      <c r="C18" s="11"/>
      <c r="D18" s="15"/>
      <c r="E18" s="19"/>
    </row>
    <row r="19" spans="1:9" ht="10.5" x14ac:dyDescent="0.25">
      <c r="A19" s="17" t="s">
        <v>1532</v>
      </c>
    </row>
    <row r="20" spans="1:9" ht="10.5" x14ac:dyDescent="0.25">
      <c r="A20" s="17"/>
    </row>
    <row r="21" spans="1:9" ht="10.5" x14ac:dyDescent="0.25">
      <c r="A21" s="17" t="s">
        <v>171</v>
      </c>
    </row>
    <row r="22" spans="1:9" ht="10.5" x14ac:dyDescent="0.25">
      <c r="A22" s="17" t="s">
        <v>172</v>
      </c>
    </row>
    <row r="23" spans="1:9" ht="10.5" x14ac:dyDescent="0.25">
      <c r="A23" s="17" t="s">
        <v>173</v>
      </c>
      <c r="B23" s="17"/>
      <c r="C23" s="38" t="s">
        <v>175</v>
      </c>
      <c r="D23" s="40" t="s">
        <v>174</v>
      </c>
    </row>
    <row r="24" spans="1:9" x14ac:dyDescent="0.2">
      <c r="A24" s="10" t="s">
        <v>436</v>
      </c>
      <c r="C24" s="39">
        <v>12.0504</v>
      </c>
      <c r="D24" s="39">
        <v>10.301299999999999</v>
      </c>
    </row>
    <row r="25" spans="1:9" x14ac:dyDescent="0.2">
      <c r="A25" s="10" t="s">
        <v>470</v>
      </c>
      <c r="C25" s="39">
        <v>12.0504</v>
      </c>
      <c r="D25" s="39">
        <v>10.301299999999999</v>
      </c>
    </row>
    <row r="26" spans="1:9" x14ac:dyDescent="0.2">
      <c r="A26" s="10" t="s">
        <v>439</v>
      </c>
      <c r="C26" s="39">
        <v>12.9499</v>
      </c>
      <c r="D26" s="39">
        <v>11.105600000000001</v>
      </c>
    </row>
    <row r="27" spans="1:9" x14ac:dyDescent="0.2">
      <c r="A27" s="10" t="s">
        <v>471</v>
      </c>
      <c r="C27" s="39">
        <v>12.9499</v>
      </c>
      <c r="D27" s="39">
        <v>11.105600000000001</v>
      </c>
    </row>
    <row r="29" spans="1:9" ht="10.5" x14ac:dyDescent="0.25">
      <c r="A29" s="17" t="s">
        <v>185</v>
      </c>
      <c r="D29" s="40" t="s">
        <v>186</v>
      </c>
    </row>
    <row r="31" spans="1:9" ht="10.5" x14ac:dyDescent="0.25">
      <c r="A31" s="17" t="s">
        <v>1014</v>
      </c>
      <c r="D31" s="47">
        <v>0.3543</v>
      </c>
    </row>
  </sheetData>
  <mergeCells count="1">
    <mergeCell ref="A1:E1"/>
  </mergeCells>
  <conditionalFormatting sqref="F2:F3 E5:E8 E11:E18 F19:F65536">
    <cfRule type="cellIs" dxfId="6" priority="1" stopIfTrue="1" operator="between">
      <formula>0.009</formula>
      <formula>-0.009</formula>
    </cfRule>
  </conditionalFormatting>
  <pageMargins left="0.7" right="0.7" top="0.75" bottom="0.75" header="0.3" footer="0.3"/>
  <pageSetup paperSize="9" scale="64" orientation="portrait" r:id="rId1"/>
  <headerFooter>
    <oddFooter>&amp;LPUBLIC</oddFooter>
    <evenFooter>&amp;LPUBLIC</evenFooter>
    <firstFooter>&amp;LPUBLIC</firstFooter>
  </headerFooter>
  <colBreaks count="1" manualBreakCount="1">
    <brk id="5" max="1048575" man="1"/>
  </col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36"/>
  <sheetViews>
    <sheetView view="pageBreakPreview" zoomScaleNormal="100" zoomScaleSheetLayoutView="100" workbookViewId="0">
      <selection sqref="A1:E1"/>
    </sheetView>
  </sheetViews>
  <sheetFormatPr defaultColWidth="9.1796875" defaultRowHeight="10" x14ac:dyDescent="0.2"/>
  <cols>
    <col min="1" max="1" width="37.54296875" style="10" bestFit="1" customWidth="1"/>
    <col min="2" max="2" width="34.453125" style="10" bestFit="1" customWidth="1"/>
    <col min="3" max="3" width="15.453125" style="10" bestFit="1" customWidth="1"/>
    <col min="4" max="4" width="23" style="11" bestFit="1" customWidth="1"/>
    <col min="5" max="5" width="13.54296875" style="15" bestFit="1" customWidth="1"/>
    <col min="6" max="6" width="13.54296875" style="16" bestFit="1" customWidth="1"/>
    <col min="7" max="16384" width="9.1796875" style="10"/>
  </cols>
  <sheetData>
    <row r="1" spans="1:9" s="1" customFormat="1" ht="15" customHeight="1" x14ac:dyDescent="0.25">
      <c r="A1" s="96" t="s">
        <v>51</v>
      </c>
      <c r="B1" s="97"/>
      <c r="C1" s="97"/>
      <c r="D1" s="97"/>
      <c r="E1" s="97"/>
    </row>
    <row r="2" spans="1:9" s="1" customFormat="1" ht="11.5" x14ac:dyDescent="0.25">
      <c r="D2" s="6"/>
      <c r="E2" s="7"/>
      <c r="F2" s="14"/>
    </row>
    <row r="3" spans="1:9" s="1" customFormat="1" ht="11.5" x14ac:dyDescent="0.25">
      <c r="A3" s="12" t="s">
        <v>6</v>
      </c>
      <c r="B3" s="2"/>
      <c r="C3" s="3"/>
      <c r="D3" s="4"/>
      <c r="E3" s="5"/>
      <c r="F3" s="14"/>
    </row>
    <row r="4" spans="1:9" s="1" customFormat="1" ht="17.5" customHeight="1" x14ac:dyDescent="0.25">
      <c r="A4" s="8" t="s">
        <v>2</v>
      </c>
      <c r="B4" s="8" t="s">
        <v>0</v>
      </c>
      <c r="C4" s="48" t="s">
        <v>1</v>
      </c>
      <c r="D4" s="9" t="s">
        <v>3</v>
      </c>
      <c r="E4" s="49" t="s">
        <v>4</v>
      </c>
    </row>
    <row r="5" spans="1:9" ht="10.5" x14ac:dyDescent="0.25">
      <c r="A5" s="20" t="s">
        <v>1464</v>
      </c>
      <c r="B5" s="21"/>
      <c r="C5" s="22"/>
      <c r="D5" s="23"/>
      <c r="E5" s="24"/>
    </row>
    <row r="6" spans="1:9" x14ac:dyDescent="0.2">
      <c r="A6" s="26" t="s">
        <v>1475</v>
      </c>
      <c r="B6" s="26" t="s">
        <v>1540</v>
      </c>
      <c r="C6" s="30">
        <v>4234642.7359999996</v>
      </c>
      <c r="D6" s="28">
        <v>1661.106368</v>
      </c>
      <c r="E6" s="29">
        <v>79.083898605160499</v>
      </c>
    </row>
    <row r="7" spans="1:9" x14ac:dyDescent="0.2">
      <c r="A7" s="26" t="s">
        <v>1476</v>
      </c>
      <c r="B7" s="26" t="s">
        <v>1537</v>
      </c>
      <c r="C7" s="30">
        <v>91742.778999999995</v>
      </c>
      <c r="D7" s="28">
        <v>204.7285067</v>
      </c>
      <c r="E7" s="29">
        <v>9.7469546666915896</v>
      </c>
    </row>
    <row r="8" spans="1:9" x14ac:dyDescent="0.2">
      <c r="A8" s="26" t="s">
        <v>1466</v>
      </c>
      <c r="B8" s="26" t="s">
        <v>1465</v>
      </c>
      <c r="C8" s="30">
        <v>46217.873</v>
      </c>
      <c r="D8" s="28">
        <v>204.21995749999999</v>
      </c>
      <c r="E8" s="29">
        <v>9.7227430604131992</v>
      </c>
    </row>
    <row r="9" spans="1:9" ht="10.5" x14ac:dyDescent="0.25">
      <c r="A9" s="25" t="s">
        <v>153</v>
      </c>
      <c r="B9" s="25"/>
      <c r="C9" s="31"/>
      <c r="D9" s="32">
        <f>SUM(D6:D8)</f>
        <v>2070.0548322</v>
      </c>
      <c r="E9" s="33">
        <f>SUM(E6:E8)</f>
        <v>98.553596332265286</v>
      </c>
      <c r="G9" s="17"/>
      <c r="H9" s="17"/>
      <c r="I9" s="17"/>
    </row>
    <row r="10" spans="1:9" x14ac:dyDescent="0.2">
      <c r="A10" s="26"/>
      <c r="B10" s="26"/>
      <c r="C10" s="27"/>
      <c r="D10" s="28"/>
      <c r="E10" s="29"/>
    </row>
    <row r="11" spans="1:9" ht="10.5" x14ac:dyDescent="0.25">
      <c r="A11" s="25" t="s">
        <v>166</v>
      </c>
      <c r="B11" s="25"/>
      <c r="C11" s="31"/>
      <c r="D11" s="32">
        <f>D9</f>
        <v>2070.0548322</v>
      </c>
      <c r="E11" s="33">
        <f>E9</f>
        <v>98.553596332265286</v>
      </c>
      <c r="G11" s="17"/>
      <c r="H11" s="17"/>
      <c r="I11" s="17"/>
    </row>
    <row r="12" spans="1:9" ht="10.5" x14ac:dyDescent="0.25">
      <c r="A12" s="25"/>
      <c r="B12" s="25"/>
      <c r="C12" s="31"/>
      <c r="D12" s="32"/>
      <c r="E12" s="33"/>
      <c r="G12" s="17"/>
      <c r="H12" s="17"/>
      <c r="I12" s="17"/>
    </row>
    <row r="13" spans="1:9" ht="10.5" x14ac:dyDescent="0.25">
      <c r="A13" s="25" t="s">
        <v>168</v>
      </c>
      <c r="B13" s="25"/>
      <c r="C13" s="31"/>
      <c r="D13" s="32">
        <f>D15-(D9)</f>
        <v>30.380777700000181</v>
      </c>
      <c r="E13" s="33">
        <f>E15-(E9)</f>
        <v>1.4464036677347138</v>
      </c>
      <c r="G13" s="17"/>
      <c r="H13" s="17"/>
      <c r="I13" s="17"/>
    </row>
    <row r="14" spans="1:9" ht="10.5" x14ac:dyDescent="0.25">
      <c r="A14" s="25"/>
      <c r="B14" s="25"/>
      <c r="C14" s="31"/>
      <c r="D14" s="32"/>
      <c r="E14" s="33"/>
      <c r="G14" s="17"/>
      <c r="H14" s="17"/>
      <c r="I14" s="17"/>
    </row>
    <row r="15" spans="1:9" ht="10.5" x14ac:dyDescent="0.25">
      <c r="A15" s="34" t="s">
        <v>167</v>
      </c>
      <c r="B15" s="34"/>
      <c r="C15" s="35"/>
      <c r="D15" s="36">
        <v>2100.4356099000001</v>
      </c>
      <c r="E15" s="37">
        <v>100</v>
      </c>
      <c r="G15" s="17"/>
      <c r="H15" s="17"/>
      <c r="I15" s="17"/>
    </row>
    <row r="18" spans="1:4" ht="10.5" x14ac:dyDescent="0.25">
      <c r="A18" s="17" t="s">
        <v>171</v>
      </c>
    </row>
    <row r="19" spans="1:4" ht="10.5" x14ac:dyDescent="0.25">
      <c r="A19" s="17" t="s">
        <v>172</v>
      </c>
    </row>
    <row r="20" spans="1:4" ht="10.5" x14ac:dyDescent="0.25">
      <c r="A20" s="17" t="s">
        <v>173</v>
      </c>
      <c r="B20" s="17"/>
      <c r="C20" s="38" t="s">
        <v>175</v>
      </c>
      <c r="D20" s="40" t="s">
        <v>174</v>
      </c>
    </row>
    <row r="21" spans="1:4" x14ac:dyDescent="0.2">
      <c r="A21" s="10" t="s">
        <v>486</v>
      </c>
      <c r="C21" s="39">
        <v>37.337400000000002</v>
      </c>
      <c r="D21" s="39">
        <v>40.138100000000001</v>
      </c>
    </row>
    <row r="22" spans="1:4" x14ac:dyDescent="0.2">
      <c r="A22" s="10" t="s">
        <v>1477</v>
      </c>
      <c r="C22" s="39">
        <v>13.0396</v>
      </c>
      <c r="D22" s="39">
        <v>13.4834</v>
      </c>
    </row>
    <row r="23" spans="1:4" x14ac:dyDescent="0.2">
      <c r="A23" s="10" t="s">
        <v>488</v>
      </c>
      <c r="C23" s="39">
        <v>38.467700000000001</v>
      </c>
      <c r="D23" s="39">
        <v>41.494199999999999</v>
      </c>
    </row>
    <row r="24" spans="1:4" x14ac:dyDescent="0.2">
      <c r="A24" s="10" t="s">
        <v>1478</v>
      </c>
      <c r="C24" s="39">
        <v>13.475899999999999</v>
      </c>
      <c r="D24" s="39">
        <v>13.986800000000001</v>
      </c>
    </row>
    <row r="26" spans="1:4" ht="10.5" x14ac:dyDescent="0.25">
      <c r="A26" s="17" t="s">
        <v>185</v>
      </c>
    </row>
    <row r="27" spans="1:4" ht="12.5" x14ac:dyDescent="0.25">
      <c r="A27" s="100" t="s">
        <v>350</v>
      </c>
      <c r="B27" s="101"/>
      <c r="C27" s="98" t="s">
        <v>1658</v>
      </c>
      <c r="D27" s="99"/>
    </row>
    <row r="28" spans="1:4" ht="10.5" x14ac:dyDescent="0.25">
      <c r="A28" s="100"/>
      <c r="B28" s="101"/>
      <c r="C28" s="43" t="s">
        <v>351</v>
      </c>
      <c r="D28" s="44" t="s">
        <v>352</v>
      </c>
    </row>
    <row r="29" spans="1:4" x14ac:dyDescent="0.2">
      <c r="A29" s="94" t="s">
        <v>1477</v>
      </c>
      <c r="B29" s="95"/>
      <c r="C29" s="45">
        <v>0.53</v>
      </c>
      <c r="D29" s="45">
        <v>0.53</v>
      </c>
    </row>
    <row r="30" spans="1:4" x14ac:dyDescent="0.2">
      <c r="A30" s="94" t="s">
        <v>1478</v>
      </c>
      <c r="B30" s="95"/>
      <c r="C30" s="45">
        <v>0.53</v>
      </c>
      <c r="D30" s="45">
        <v>0.53</v>
      </c>
    </row>
    <row r="31" spans="1:4" x14ac:dyDescent="0.2">
      <c r="A31" s="90" t="s">
        <v>1657</v>
      </c>
    </row>
    <row r="32" spans="1:4" x14ac:dyDescent="0.2">
      <c r="A32" s="90"/>
    </row>
    <row r="33" spans="1:4" ht="10.5" x14ac:dyDescent="0.25">
      <c r="A33" s="17" t="s">
        <v>1014</v>
      </c>
      <c r="D33" s="47">
        <v>0.1104</v>
      </c>
    </row>
    <row r="34" spans="1:4" ht="10.5" x14ac:dyDescent="0.25">
      <c r="A34" s="17"/>
      <c r="D34" s="47"/>
    </row>
    <row r="35" spans="1:4" ht="10.5" x14ac:dyDescent="0.25">
      <c r="A35" s="17" t="s">
        <v>1539</v>
      </c>
      <c r="D35" s="47"/>
    </row>
    <row r="36" spans="1:4" ht="10.5" x14ac:dyDescent="0.25">
      <c r="A36" s="17" t="s">
        <v>1516</v>
      </c>
      <c r="D36" s="47"/>
    </row>
  </sheetData>
  <mergeCells count="6">
    <mergeCell ref="A30:B30"/>
    <mergeCell ref="A1:E1"/>
    <mergeCell ref="C27:D27"/>
    <mergeCell ref="A27:B27"/>
    <mergeCell ref="A28:B28"/>
    <mergeCell ref="A29:B29"/>
  </mergeCells>
  <conditionalFormatting sqref="F2:F3 F16:F65539 E5:E15">
    <cfRule type="cellIs" dxfId="5" priority="1" stopIfTrue="1" operator="between">
      <formula>0.009</formula>
      <formula>-0.009</formula>
    </cfRule>
  </conditionalFormatting>
  <pageMargins left="0.7" right="0.7" top="0.75" bottom="0.75" header="0.3" footer="0.3"/>
  <pageSetup paperSize="9" scale="70" orientation="portrait" r:id="rId1"/>
  <headerFooter>
    <oddFooter>&amp;LPUBLIC</oddFooter>
    <evenFooter>&amp;LPUBLIC</evenFooter>
    <firstFooter>&amp;LPUBLIC</firstFooter>
  </headerFooter>
  <colBreaks count="1" manualBreakCount="1">
    <brk id="5" max="1048575" man="1"/>
  </col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35"/>
  <sheetViews>
    <sheetView view="pageBreakPreview" zoomScaleNormal="100" zoomScaleSheetLayoutView="100" workbookViewId="0">
      <selection sqref="A1:E1"/>
    </sheetView>
  </sheetViews>
  <sheetFormatPr defaultColWidth="9.1796875" defaultRowHeight="10" x14ac:dyDescent="0.2"/>
  <cols>
    <col min="1" max="1" width="37.54296875" style="10" bestFit="1" customWidth="1"/>
    <col min="2" max="2" width="45.81640625" style="10" customWidth="1"/>
    <col min="3" max="3" width="15.453125" style="10" bestFit="1" customWidth="1"/>
    <col min="4" max="4" width="23" style="11" bestFit="1" customWidth="1"/>
    <col min="5" max="5" width="13.54296875" style="15" bestFit="1" customWidth="1"/>
    <col min="6" max="6" width="14.81640625" style="16" bestFit="1" customWidth="1"/>
    <col min="7" max="16384" width="9.1796875" style="10"/>
  </cols>
  <sheetData>
    <row r="1" spans="1:6" s="1" customFormat="1" ht="15" customHeight="1" x14ac:dyDescent="0.25">
      <c r="A1" s="96" t="s">
        <v>52</v>
      </c>
      <c r="B1" s="97"/>
      <c r="C1" s="97"/>
      <c r="D1" s="97"/>
      <c r="E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48" t="s">
        <v>1</v>
      </c>
      <c r="D4" s="9" t="s">
        <v>3</v>
      </c>
      <c r="E4" s="49" t="s">
        <v>4</v>
      </c>
    </row>
    <row r="5" spans="1:6" ht="10.5" x14ac:dyDescent="0.25">
      <c r="A5" s="20" t="s">
        <v>1464</v>
      </c>
      <c r="B5" s="21"/>
      <c r="C5" s="22"/>
      <c r="D5" s="23"/>
      <c r="E5" s="24"/>
    </row>
    <row r="6" spans="1:6" x14ac:dyDescent="0.2">
      <c r="A6" s="26" t="s">
        <v>1479</v>
      </c>
      <c r="B6" s="26" t="s">
        <v>1536</v>
      </c>
      <c r="C6" s="30">
        <v>761353.59100000001</v>
      </c>
      <c r="D6" s="28">
        <v>600.34710169686605</v>
      </c>
      <c r="E6" s="29">
        <v>61.61298707256789</v>
      </c>
    </row>
    <row r="7" spans="1:6" ht="20" x14ac:dyDescent="0.2">
      <c r="A7" s="26" t="s">
        <v>1481</v>
      </c>
      <c r="B7" s="61" t="s">
        <v>1480</v>
      </c>
      <c r="C7" s="30">
        <v>427573.21600000001</v>
      </c>
      <c r="D7" s="28">
        <v>148.23664097468802</v>
      </c>
      <c r="E7" s="29">
        <v>15.213369429517176</v>
      </c>
    </row>
    <row r="8" spans="1:6" x14ac:dyDescent="0.2">
      <c r="A8" s="26" t="s">
        <v>1476</v>
      </c>
      <c r="B8" s="26" t="s">
        <v>1537</v>
      </c>
      <c r="C8" s="30">
        <v>40353.802000000003</v>
      </c>
      <c r="D8" s="28">
        <v>90.051486499298008</v>
      </c>
      <c r="E8" s="29">
        <v>9.2418886638488349</v>
      </c>
    </row>
    <row r="9" spans="1:6" x14ac:dyDescent="0.2">
      <c r="A9" s="26" t="s">
        <v>1466</v>
      </c>
      <c r="B9" s="26" t="s">
        <v>1465</v>
      </c>
      <c r="C9" s="30">
        <v>20252.419000000002</v>
      </c>
      <c r="D9" s="28">
        <v>89.488067680484022</v>
      </c>
      <c r="E9" s="29">
        <v>9.1840655873287531</v>
      </c>
    </row>
    <row r="10" spans="1:6" ht="20" x14ac:dyDescent="0.2">
      <c r="A10" s="26" t="s">
        <v>1483</v>
      </c>
      <c r="B10" s="61" t="s">
        <v>1482</v>
      </c>
      <c r="C10" s="30">
        <v>371180.549</v>
      </c>
      <c r="D10" s="28">
        <v>0</v>
      </c>
      <c r="E10" s="28">
        <v>0</v>
      </c>
    </row>
    <row r="11" spans="1:6" ht="20" x14ac:dyDescent="0.2">
      <c r="A11" s="26" t="s">
        <v>1485</v>
      </c>
      <c r="B11" s="61" t="s">
        <v>1484</v>
      </c>
      <c r="C11" s="30">
        <v>489502.28</v>
      </c>
      <c r="D11" s="28">
        <v>0</v>
      </c>
      <c r="E11" s="28">
        <v>0</v>
      </c>
    </row>
    <row r="12" spans="1:6" ht="10.5" x14ac:dyDescent="0.25">
      <c r="A12" s="25" t="s">
        <v>153</v>
      </c>
      <c r="B12" s="25"/>
      <c r="C12" s="31"/>
      <c r="D12" s="32">
        <f>SUM(D6:D11)</f>
        <v>928.12329685133614</v>
      </c>
      <c r="E12" s="33">
        <f>SUM(E6:E11)</f>
        <v>95.252310753262663</v>
      </c>
    </row>
    <row r="13" spans="1:6" x14ac:dyDescent="0.2">
      <c r="A13" s="26"/>
      <c r="B13" s="26"/>
      <c r="C13" s="27"/>
      <c r="D13" s="28"/>
      <c r="E13" s="29"/>
    </row>
    <row r="14" spans="1:6" ht="10.5" x14ac:dyDescent="0.25">
      <c r="A14" s="25" t="s">
        <v>166</v>
      </c>
      <c r="B14" s="25"/>
      <c r="C14" s="31"/>
      <c r="D14" s="32">
        <f>D12</f>
        <v>928.12329685133614</v>
      </c>
      <c r="E14" s="33">
        <f>E12</f>
        <v>95.252310753262663</v>
      </c>
    </row>
    <row r="15" spans="1:6" ht="10.5" x14ac:dyDescent="0.25">
      <c r="A15" s="25"/>
      <c r="B15" s="25"/>
      <c r="C15" s="31"/>
      <c r="D15" s="32"/>
      <c r="E15" s="33"/>
    </row>
    <row r="16" spans="1:6" ht="10.5" x14ac:dyDescent="0.25">
      <c r="A16" s="25" t="s">
        <v>168</v>
      </c>
      <c r="B16" s="25"/>
      <c r="C16" s="31"/>
      <c r="D16" s="32">
        <f>D18-(D12)</f>
        <v>46.260725448663834</v>
      </c>
      <c r="E16" s="33">
        <f>E18-(E12)</f>
        <v>4.7476892467373375</v>
      </c>
    </row>
    <row r="17" spans="1:5" ht="10.5" x14ac:dyDescent="0.25">
      <c r="A17" s="25"/>
      <c r="B17" s="25"/>
      <c r="C17" s="31"/>
      <c r="D17" s="32"/>
      <c r="E17" s="33"/>
    </row>
    <row r="18" spans="1:5" ht="10.5" x14ac:dyDescent="0.25">
      <c r="A18" s="34" t="s">
        <v>167</v>
      </c>
      <c r="B18" s="34"/>
      <c r="C18" s="35"/>
      <c r="D18" s="36">
        <v>974.38402229999997</v>
      </c>
      <c r="E18" s="37">
        <v>100</v>
      </c>
    </row>
    <row r="19" spans="1:5" x14ac:dyDescent="0.2">
      <c r="C19" s="11"/>
      <c r="D19" s="15"/>
      <c r="E19" s="16"/>
    </row>
    <row r="20" spans="1:5" ht="10.5" x14ac:dyDescent="0.25">
      <c r="A20" s="17" t="s">
        <v>1532</v>
      </c>
    </row>
    <row r="21" spans="1:5" ht="10.5" x14ac:dyDescent="0.25">
      <c r="A21" s="17"/>
    </row>
    <row r="22" spans="1:5" ht="10.5" x14ac:dyDescent="0.25">
      <c r="A22" s="17" t="s">
        <v>171</v>
      </c>
    </row>
    <row r="23" spans="1:5" ht="10.5" x14ac:dyDescent="0.25">
      <c r="A23" s="17" t="s">
        <v>172</v>
      </c>
    </row>
    <row r="24" spans="1:5" ht="10.5" x14ac:dyDescent="0.25">
      <c r="A24" s="17" t="s">
        <v>173</v>
      </c>
      <c r="B24" s="17"/>
      <c r="C24" s="38" t="s">
        <v>175</v>
      </c>
      <c r="D24" s="40" t="s">
        <v>174</v>
      </c>
    </row>
    <row r="25" spans="1:5" x14ac:dyDescent="0.2">
      <c r="A25" s="10" t="s">
        <v>486</v>
      </c>
      <c r="C25" s="39">
        <v>34.174900000000001</v>
      </c>
      <c r="D25" s="39">
        <v>27.791699999999999</v>
      </c>
    </row>
    <row r="26" spans="1:5" x14ac:dyDescent="0.2">
      <c r="A26" s="10" t="s">
        <v>1477</v>
      </c>
      <c r="C26" s="39">
        <v>11.7006</v>
      </c>
      <c r="D26" s="39">
        <v>9.5158000000000005</v>
      </c>
    </row>
    <row r="27" spans="1:5" x14ac:dyDescent="0.2">
      <c r="A27" s="10" t="s">
        <v>488</v>
      </c>
      <c r="C27" s="39">
        <v>35.891300000000001</v>
      </c>
      <c r="D27" s="39">
        <v>29.270800000000001</v>
      </c>
    </row>
    <row r="28" spans="1:5" x14ac:dyDescent="0.2">
      <c r="A28" s="10" t="s">
        <v>1478</v>
      </c>
      <c r="C28" s="39">
        <v>12.312799999999999</v>
      </c>
      <c r="D28" s="39">
        <v>10.039400000000001</v>
      </c>
    </row>
    <row r="30" spans="1:5" ht="10.5" x14ac:dyDescent="0.25">
      <c r="A30" s="17" t="s">
        <v>185</v>
      </c>
      <c r="D30" s="40" t="s">
        <v>186</v>
      </c>
    </row>
    <row r="32" spans="1:5" ht="10.5" x14ac:dyDescent="0.25">
      <c r="A32" s="17" t="s">
        <v>1014</v>
      </c>
      <c r="D32" s="47">
        <v>0.25890000000000002</v>
      </c>
    </row>
    <row r="33" spans="1:4" ht="10.5" x14ac:dyDescent="0.25">
      <c r="A33" s="17"/>
      <c r="D33" s="47"/>
    </row>
    <row r="34" spans="1:4" ht="10.5" x14ac:dyDescent="0.25">
      <c r="A34" s="17" t="s">
        <v>1535</v>
      </c>
      <c r="D34" s="47"/>
    </row>
    <row r="35" spans="1:4" ht="10.5" x14ac:dyDescent="0.25">
      <c r="A35" s="17" t="s">
        <v>1516</v>
      </c>
      <c r="D35" s="47"/>
    </row>
  </sheetData>
  <mergeCells count="1">
    <mergeCell ref="A1:E1"/>
  </mergeCells>
  <conditionalFormatting sqref="F2:F3 E12:E18 F20:F65539 E5:E9">
    <cfRule type="cellIs" dxfId="4" priority="2" stopIfTrue="1" operator="between">
      <formula>0.009</formula>
      <formula>-0.009</formula>
    </cfRule>
  </conditionalFormatting>
  <pageMargins left="0.7" right="0.7" top="0.75" bottom="0.75" header="0.3" footer="0.3"/>
  <pageSetup paperSize="9" scale="64" orientation="portrait" r:id="rId1"/>
  <headerFooter>
    <oddFooter>&amp;LPUBLIC</oddFooter>
    <evenFooter>&amp;LPUBLIC</evenFooter>
    <firstFooter>&amp;LPUBLIC</firstFooter>
  </headerFooter>
  <colBreaks count="1" manualBreakCount="1">
    <brk id="5" max="1048575" man="1"/>
  </col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F36"/>
  <sheetViews>
    <sheetView view="pageBreakPreview" zoomScaleNormal="100" zoomScaleSheetLayoutView="100" workbookViewId="0">
      <selection sqref="A1:E1"/>
    </sheetView>
  </sheetViews>
  <sheetFormatPr defaultColWidth="9.1796875" defaultRowHeight="10" x14ac:dyDescent="0.2"/>
  <cols>
    <col min="1" max="1" width="37.54296875" style="10" bestFit="1" customWidth="1"/>
    <col min="2" max="2" width="45.81640625" style="10" customWidth="1"/>
    <col min="3" max="3" width="15.453125" style="10" bestFit="1" customWidth="1"/>
    <col min="4" max="4" width="23" style="11" bestFit="1" customWidth="1"/>
    <col min="5" max="5" width="13.54296875" style="15" customWidth="1"/>
    <col min="6" max="6" width="14.81640625" style="16" bestFit="1" customWidth="1"/>
    <col min="7" max="16384" width="9.1796875" style="10"/>
  </cols>
  <sheetData>
    <row r="1" spans="1:6" s="1" customFormat="1" ht="15" customHeight="1" x14ac:dyDescent="0.25">
      <c r="A1" s="96" t="s">
        <v>53</v>
      </c>
      <c r="B1" s="97"/>
      <c r="C1" s="97"/>
      <c r="D1" s="97"/>
      <c r="E1" s="97"/>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48" t="s">
        <v>1</v>
      </c>
      <c r="D4" s="9" t="s">
        <v>3</v>
      </c>
      <c r="E4" s="9" t="s">
        <v>4</v>
      </c>
    </row>
    <row r="5" spans="1:6" ht="10.5" x14ac:dyDescent="0.25">
      <c r="A5" s="20" t="s">
        <v>1464</v>
      </c>
      <c r="B5" s="21"/>
      <c r="C5" s="22"/>
      <c r="D5" s="23"/>
      <c r="E5" s="24"/>
    </row>
    <row r="6" spans="1:6" x14ac:dyDescent="0.2">
      <c r="A6" s="26" t="s">
        <v>1479</v>
      </c>
      <c r="B6" s="26" t="s">
        <v>1536</v>
      </c>
      <c r="C6" s="30">
        <v>621858.38500000001</v>
      </c>
      <c r="D6" s="28">
        <v>490.35150489051</v>
      </c>
      <c r="E6" s="29">
        <v>45.804811316198162</v>
      </c>
    </row>
    <row r="7" spans="1:6" ht="20" x14ac:dyDescent="0.2">
      <c r="A7" s="26" t="s">
        <v>1481</v>
      </c>
      <c r="B7" s="61" t="s">
        <v>1480</v>
      </c>
      <c r="C7" s="30">
        <v>556579.69499999995</v>
      </c>
      <c r="D7" s="28">
        <v>192.96228419863499</v>
      </c>
      <c r="E7" s="29">
        <v>18.025030882355793</v>
      </c>
    </row>
    <row r="8" spans="1:6" x14ac:dyDescent="0.2">
      <c r="A8" s="26" t="s">
        <v>1466</v>
      </c>
      <c r="B8" s="26" t="s">
        <v>1465</v>
      </c>
      <c r="C8" s="30">
        <v>35252.811999999998</v>
      </c>
      <c r="D8" s="28">
        <v>155.769344204432</v>
      </c>
      <c r="E8" s="29">
        <v>14.550756648998345</v>
      </c>
    </row>
    <row r="9" spans="1:6" x14ac:dyDescent="0.2">
      <c r="A9" s="26" t="s">
        <v>1487</v>
      </c>
      <c r="B9" s="26" t="s">
        <v>1486</v>
      </c>
      <c r="C9" s="30">
        <v>10302.584999999999</v>
      </c>
      <c r="D9" s="28">
        <v>102.077095249935</v>
      </c>
      <c r="E9" s="29">
        <v>9.5352457186256103</v>
      </c>
    </row>
    <row r="10" spans="1:6" x14ac:dyDescent="0.2">
      <c r="A10" s="26" t="s">
        <v>1476</v>
      </c>
      <c r="B10" s="26" t="s">
        <v>1537</v>
      </c>
      <c r="C10" s="30">
        <v>45558.752</v>
      </c>
      <c r="D10" s="28">
        <v>101.66658746684801</v>
      </c>
      <c r="E10" s="29">
        <v>9.4968992847703113</v>
      </c>
    </row>
    <row r="11" spans="1:6" ht="20" x14ac:dyDescent="0.2">
      <c r="A11" s="26" t="s">
        <v>1483</v>
      </c>
      <c r="B11" s="61" t="s">
        <v>1482</v>
      </c>
      <c r="C11" s="30">
        <v>584729.58299999998</v>
      </c>
      <c r="D11" s="28">
        <v>0</v>
      </c>
      <c r="E11" s="28">
        <v>0</v>
      </c>
    </row>
    <row r="12" spans="1:6" ht="20" x14ac:dyDescent="0.2">
      <c r="A12" s="26" t="s">
        <v>1485</v>
      </c>
      <c r="B12" s="61" t="s">
        <v>1484</v>
      </c>
      <c r="C12" s="30">
        <v>631308.71</v>
      </c>
      <c r="D12" s="28">
        <v>0</v>
      </c>
      <c r="E12" s="28">
        <v>0</v>
      </c>
    </row>
    <row r="13" spans="1:6" ht="10.5" x14ac:dyDescent="0.25">
      <c r="A13" s="25" t="s">
        <v>153</v>
      </c>
      <c r="B13" s="25"/>
      <c r="C13" s="31"/>
      <c r="D13" s="32">
        <f>SUM(D6:D12)</f>
        <v>1042.8268160103601</v>
      </c>
      <c r="E13" s="33">
        <f>SUM(E6:E12)</f>
        <v>97.412743850948232</v>
      </c>
    </row>
    <row r="14" spans="1:6" x14ac:dyDescent="0.2">
      <c r="A14" s="26"/>
      <c r="B14" s="26"/>
      <c r="C14" s="27"/>
      <c r="D14" s="28"/>
      <c r="E14" s="29"/>
    </row>
    <row r="15" spans="1:6" ht="10.5" x14ac:dyDescent="0.25">
      <c r="A15" s="25" t="s">
        <v>166</v>
      </c>
      <c r="B15" s="25"/>
      <c r="C15" s="31"/>
      <c r="D15" s="32">
        <f>D13</f>
        <v>1042.8268160103601</v>
      </c>
      <c r="E15" s="33">
        <f>E13</f>
        <v>97.412743850948232</v>
      </c>
    </row>
    <row r="16" spans="1:6" ht="10.5" x14ac:dyDescent="0.25">
      <c r="A16" s="25"/>
      <c r="B16" s="25"/>
      <c r="C16" s="31"/>
      <c r="D16" s="32"/>
      <c r="E16" s="33"/>
    </row>
    <row r="17" spans="1:5" ht="10.5" x14ac:dyDescent="0.25">
      <c r="A17" s="25" t="s">
        <v>168</v>
      </c>
      <c r="B17" s="25"/>
      <c r="C17" s="31"/>
      <c r="D17" s="32">
        <f>D19-(D13)</f>
        <v>27.69719838963988</v>
      </c>
      <c r="E17" s="33">
        <f>E19-(E13)</f>
        <v>2.5872561490517683</v>
      </c>
    </row>
    <row r="18" spans="1:5" ht="10.5" x14ac:dyDescent="0.25">
      <c r="A18" s="25"/>
      <c r="B18" s="25"/>
      <c r="C18" s="31"/>
      <c r="D18" s="32"/>
      <c r="E18" s="33"/>
    </row>
    <row r="19" spans="1:5" ht="10.5" x14ac:dyDescent="0.25">
      <c r="A19" s="34" t="s">
        <v>167</v>
      </c>
      <c r="B19" s="34"/>
      <c r="C19" s="35"/>
      <c r="D19" s="36">
        <v>1070.5240143999999</v>
      </c>
      <c r="E19" s="37">
        <v>100</v>
      </c>
    </row>
    <row r="20" spans="1:5" ht="10.5" x14ac:dyDescent="0.25">
      <c r="C20" s="11"/>
      <c r="D20" s="15"/>
      <c r="E20" s="19"/>
    </row>
    <row r="21" spans="1:5" ht="10.5" x14ac:dyDescent="0.25">
      <c r="A21" s="17" t="s">
        <v>1532</v>
      </c>
    </row>
    <row r="22" spans="1:5" ht="10.5" x14ac:dyDescent="0.25">
      <c r="A22" s="17"/>
    </row>
    <row r="23" spans="1:5" ht="10.5" x14ac:dyDescent="0.25">
      <c r="A23" s="17" t="s">
        <v>171</v>
      </c>
    </row>
    <row r="24" spans="1:5" ht="10.5" x14ac:dyDescent="0.25">
      <c r="A24" s="17" t="s">
        <v>172</v>
      </c>
    </row>
    <row r="25" spans="1:5" ht="10.5" x14ac:dyDescent="0.25">
      <c r="A25" s="17" t="s">
        <v>173</v>
      </c>
      <c r="B25" s="17"/>
      <c r="C25" s="38" t="s">
        <v>175</v>
      </c>
      <c r="D25" s="40" t="s">
        <v>174</v>
      </c>
    </row>
    <row r="26" spans="1:5" x14ac:dyDescent="0.2">
      <c r="A26" s="10" t="s">
        <v>486</v>
      </c>
      <c r="C26" s="39">
        <v>43.972000000000001</v>
      </c>
      <c r="D26" s="39">
        <v>40.779899999999998</v>
      </c>
    </row>
    <row r="27" spans="1:5" x14ac:dyDescent="0.2">
      <c r="A27" s="10" t="s">
        <v>1477</v>
      </c>
      <c r="C27" s="39">
        <v>12.559699999999999</v>
      </c>
      <c r="D27" s="39">
        <v>11.6479</v>
      </c>
    </row>
    <row r="28" spans="1:5" x14ac:dyDescent="0.2">
      <c r="A28" s="10" t="s">
        <v>488</v>
      </c>
      <c r="C28" s="39">
        <v>46.145899999999997</v>
      </c>
      <c r="D28" s="39">
        <v>42.921500000000002</v>
      </c>
    </row>
    <row r="29" spans="1:5" x14ac:dyDescent="0.2">
      <c r="A29" s="10" t="s">
        <v>1478</v>
      </c>
      <c r="C29" s="39">
        <v>13.13</v>
      </c>
      <c r="D29" s="39">
        <v>12.2051</v>
      </c>
    </row>
    <row r="31" spans="1:5" ht="10.5" x14ac:dyDescent="0.25">
      <c r="A31" s="17" t="s">
        <v>185</v>
      </c>
      <c r="D31" s="40" t="s">
        <v>186</v>
      </c>
    </row>
    <row r="33" spans="1:4" ht="10.5" x14ac:dyDescent="0.25">
      <c r="A33" s="17" t="s">
        <v>1014</v>
      </c>
      <c r="D33" s="47">
        <v>0.38219999999999998</v>
      </c>
    </row>
    <row r="35" spans="1:4" ht="10.5" x14ac:dyDescent="0.25">
      <c r="A35" s="17" t="s">
        <v>1538</v>
      </c>
    </row>
    <row r="36" spans="1:4" ht="10.5" x14ac:dyDescent="0.25">
      <c r="A36" s="17" t="s">
        <v>1516</v>
      </c>
    </row>
  </sheetData>
  <mergeCells count="1">
    <mergeCell ref="A1:E1"/>
  </mergeCells>
  <conditionalFormatting sqref="F2:F3 E13:E20 F21:F65535 E5:E10">
    <cfRule type="cellIs" dxfId="3" priority="2" stopIfTrue="1" operator="between">
      <formula>0.009</formula>
      <formula>-0.009</formula>
    </cfRule>
  </conditionalFormatting>
  <pageMargins left="0.7" right="0.7" top="0.75" bottom="0.75" header="0.3" footer="0.3"/>
  <pageSetup paperSize="9" scale="64" orientation="portrait" r:id="rId1"/>
  <headerFooter>
    <oddFooter>&amp;LPUBLIC</oddFooter>
    <evenFooter>&amp;LPUBLIC</evenFooter>
    <firstFooter>&amp;LPUBLIC</firstFooter>
  </headerFooter>
  <colBreaks count="1" manualBreakCount="1">
    <brk id="5" max="1048575" man="1"/>
  </col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36"/>
  <sheetViews>
    <sheetView view="pageBreakPreview" zoomScaleNormal="100" zoomScaleSheetLayoutView="100" workbookViewId="0">
      <selection sqref="A1:E1"/>
    </sheetView>
  </sheetViews>
  <sheetFormatPr defaultColWidth="9.1796875" defaultRowHeight="10" x14ac:dyDescent="0.2"/>
  <cols>
    <col min="1" max="1" width="37.54296875" style="10" bestFit="1" customWidth="1"/>
    <col min="2" max="2" width="45.81640625" style="10" customWidth="1"/>
    <col min="3" max="3" width="15.453125" style="10" bestFit="1" customWidth="1"/>
    <col min="4" max="4" width="23" style="11" bestFit="1" customWidth="1"/>
    <col min="5" max="5" width="13.54296875" style="15" bestFit="1" customWidth="1"/>
    <col min="6" max="16384" width="9.1796875" style="10"/>
  </cols>
  <sheetData>
    <row r="1" spans="1:8" s="1" customFormat="1" ht="15" customHeight="1" x14ac:dyDescent="0.25">
      <c r="A1" s="96" t="s">
        <v>54</v>
      </c>
      <c r="B1" s="97"/>
      <c r="C1" s="97"/>
      <c r="D1" s="97"/>
      <c r="E1" s="97"/>
    </row>
    <row r="2" spans="1:8" s="1" customFormat="1" ht="11.5" x14ac:dyDescent="0.25">
      <c r="D2" s="6"/>
      <c r="E2" s="7"/>
    </row>
    <row r="3" spans="1:8" s="1" customFormat="1" ht="11.5" x14ac:dyDescent="0.25">
      <c r="A3" s="12" t="s">
        <v>6</v>
      </c>
      <c r="B3" s="2"/>
      <c r="C3" s="3"/>
      <c r="D3" s="4"/>
      <c r="E3" s="5"/>
    </row>
    <row r="4" spans="1:8" s="1" customFormat="1" ht="17.5" customHeight="1" x14ac:dyDescent="0.25">
      <c r="A4" s="8" t="s">
        <v>2</v>
      </c>
      <c r="B4" s="8" t="s">
        <v>0</v>
      </c>
      <c r="C4" s="48" t="s">
        <v>1</v>
      </c>
      <c r="D4" s="9" t="s">
        <v>3</v>
      </c>
      <c r="E4" s="9" t="s">
        <v>4</v>
      </c>
    </row>
    <row r="5" spans="1:8" ht="10.5" x14ac:dyDescent="0.25">
      <c r="A5" s="20" t="s">
        <v>1464</v>
      </c>
      <c r="B5" s="21"/>
      <c r="C5" s="22"/>
      <c r="D5" s="23"/>
      <c r="E5" s="24"/>
    </row>
    <row r="6" spans="1:8" x14ac:dyDescent="0.2">
      <c r="A6" s="26" t="s">
        <v>1466</v>
      </c>
      <c r="B6" s="26" t="s">
        <v>1465</v>
      </c>
      <c r="C6" s="30">
        <v>35532.773000000001</v>
      </c>
      <c r="D6" s="28">
        <v>157.00639000000001</v>
      </c>
      <c r="E6" s="29">
        <v>34.577213816020503</v>
      </c>
    </row>
    <row r="7" spans="1:8" x14ac:dyDescent="0.2">
      <c r="A7" s="26" t="s">
        <v>1479</v>
      </c>
      <c r="B7" s="26" t="s">
        <v>1536</v>
      </c>
      <c r="C7" s="30">
        <v>184497.97099999999</v>
      </c>
      <c r="D7" s="28">
        <v>145.4814471</v>
      </c>
      <c r="E7" s="29">
        <v>32.039097915955999</v>
      </c>
    </row>
    <row r="8" spans="1:8" ht="20" x14ac:dyDescent="0.2">
      <c r="A8" s="26" t="s">
        <v>1481</v>
      </c>
      <c r="B8" s="61" t="s">
        <v>1480</v>
      </c>
      <c r="C8" s="30">
        <v>165948.389</v>
      </c>
      <c r="D8" s="28">
        <v>57.533144800000002</v>
      </c>
      <c r="E8" s="29">
        <v>12.6704132822726</v>
      </c>
    </row>
    <row r="9" spans="1:8" x14ac:dyDescent="0.2">
      <c r="A9" s="26" t="s">
        <v>1487</v>
      </c>
      <c r="B9" s="26" t="s">
        <v>1486</v>
      </c>
      <c r="C9" s="30">
        <v>4524.2569999999996</v>
      </c>
      <c r="D9" s="28">
        <v>44.825935700000002</v>
      </c>
      <c r="E9" s="29">
        <v>9.8719291820038997</v>
      </c>
    </row>
    <row r="10" spans="1:8" x14ac:dyDescent="0.2">
      <c r="A10" s="26" t="s">
        <v>1476</v>
      </c>
      <c r="B10" s="26" t="s">
        <v>1537</v>
      </c>
      <c r="C10" s="30">
        <v>19392.162</v>
      </c>
      <c r="D10" s="28">
        <v>43.274559699999998</v>
      </c>
      <c r="E10" s="29">
        <v>9.5302726439417107</v>
      </c>
    </row>
    <row r="11" spans="1:8" ht="20" x14ac:dyDescent="0.2">
      <c r="A11" s="26" t="s">
        <v>1483</v>
      </c>
      <c r="B11" s="61" t="s">
        <v>1482</v>
      </c>
      <c r="C11" s="30">
        <v>177292.25099999999</v>
      </c>
      <c r="D11" s="28">
        <v>0</v>
      </c>
      <c r="E11" s="28">
        <v>0</v>
      </c>
    </row>
    <row r="12" spans="1:8" ht="20" x14ac:dyDescent="0.2">
      <c r="A12" s="26" t="s">
        <v>1485</v>
      </c>
      <c r="B12" s="61" t="s">
        <v>1484</v>
      </c>
      <c r="C12" s="30">
        <v>196087.27</v>
      </c>
      <c r="D12" s="28">
        <v>0</v>
      </c>
      <c r="E12" s="28">
        <v>0</v>
      </c>
    </row>
    <row r="13" spans="1:8" ht="10.5" x14ac:dyDescent="0.25">
      <c r="A13" s="25" t="s">
        <v>153</v>
      </c>
      <c r="B13" s="25"/>
      <c r="C13" s="31"/>
      <c r="D13" s="32">
        <f>SUM(D6:D12)</f>
        <v>448.12147729999998</v>
      </c>
      <c r="E13" s="33">
        <f>SUM(E6:E12)</f>
        <v>98.688926840194725</v>
      </c>
      <c r="F13" s="17"/>
      <c r="G13" s="17"/>
      <c r="H13" s="17"/>
    </row>
    <row r="14" spans="1:8" x14ac:dyDescent="0.2">
      <c r="A14" s="26"/>
      <c r="B14" s="26"/>
      <c r="C14" s="27"/>
      <c r="D14" s="28"/>
      <c r="E14" s="29"/>
    </row>
    <row r="15" spans="1:8" ht="10.5" x14ac:dyDescent="0.25">
      <c r="A15" s="25" t="s">
        <v>166</v>
      </c>
      <c r="B15" s="25"/>
      <c r="C15" s="31"/>
      <c r="D15" s="32">
        <f>D13</f>
        <v>448.12147729999998</v>
      </c>
      <c r="E15" s="33">
        <f>E13</f>
        <v>98.688926840194725</v>
      </c>
      <c r="F15" s="17"/>
      <c r="G15" s="17"/>
      <c r="H15" s="17"/>
    </row>
    <row r="16" spans="1:8" ht="10.5" x14ac:dyDescent="0.25">
      <c r="A16" s="25"/>
      <c r="B16" s="25"/>
      <c r="C16" s="31"/>
      <c r="D16" s="32"/>
      <c r="E16" s="33"/>
      <c r="F16" s="17"/>
      <c r="G16" s="17"/>
      <c r="H16" s="17"/>
    </row>
    <row r="17" spans="1:8" ht="10.5" x14ac:dyDescent="0.25">
      <c r="A17" s="25" t="s">
        <v>168</v>
      </c>
      <c r="B17" s="25"/>
      <c r="C17" s="31"/>
      <c r="D17" s="32">
        <f>D19-(D13)</f>
        <v>5.9532518999999979</v>
      </c>
      <c r="E17" s="33">
        <f>E19-(E13)</f>
        <v>1.3110731598052752</v>
      </c>
      <c r="F17" s="17"/>
      <c r="G17" s="17"/>
      <c r="H17" s="17"/>
    </row>
    <row r="18" spans="1:8" ht="10.5" x14ac:dyDescent="0.25">
      <c r="A18" s="25"/>
      <c r="B18" s="25"/>
      <c r="C18" s="31"/>
      <c r="D18" s="32"/>
      <c r="E18" s="33"/>
      <c r="F18" s="17"/>
      <c r="G18" s="17"/>
      <c r="H18" s="17"/>
    </row>
    <row r="19" spans="1:8" ht="10.5" x14ac:dyDescent="0.25">
      <c r="A19" s="34" t="s">
        <v>167</v>
      </c>
      <c r="B19" s="34"/>
      <c r="C19" s="35"/>
      <c r="D19" s="36">
        <v>454.07472919999998</v>
      </c>
      <c r="E19" s="37">
        <v>100</v>
      </c>
      <c r="F19" s="17"/>
      <c r="G19" s="17"/>
      <c r="H19" s="17"/>
    </row>
    <row r="21" spans="1:8" ht="10.5" x14ac:dyDescent="0.25">
      <c r="A21" s="17" t="s">
        <v>1532</v>
      </c>
    </row>
    <row r="23" spans="1:8" ht="10.5" x14ac:dyDescent="0.25">
      <c r="A23" s="17" t="s">
        <v>171</v>
      </c>
    </row>
    <row r="24" spans="1:8" ht="10.5" x14ac:dyDescent="0.25">
      <c r="A24" s="17" t="s">
        <v>172</v>
      </c>
    </row>
    <row r="25" spans="1:8" ht="10.5" x14ac:dyDescent="0.25">
      <c r="A25" s="17" t="s">
        <v>173</v>
      </c>
      <c r="B25" s="17"/>
      <c r="C25" s="38" t="s">
        <v>175</v>
      </c>
      <c r="D25" s="40" t="s">
        <v>174</v>
      </c>
    </row>
    <row r="26" spans="1:8" x14ac:dyDescent="0.2">
      <c r="A26" s="10" t="s">
        <v>486</v>
      </c>
      <c r="C26" s="39">
        <v>50.683599999999998</v>
      </c>
      <c r="D26" s="39">
        <v>51.331600000000002</v>
      </c>
    </row>
    <row r="27" spans="1:8" x14ac:dyDescent="0.2">
      <c r="A27" s="10" t="s">
        <v>1477</v>
      </c>
      <c r="C27" s="39">
        <v>17.883400000000002</v>
      </c>
      <c r="D27" s="39">
        <v>18.111999999999998</v>
      </c>
    </row>
    <row r="28" spans="1:8" x14ac:dyDescent="0.2">
      <c r="A28" s="10" t="s">
        <v>488</v>
      </c>
      <c r="C28" s="39">
        <v>52.812800000000003</v>
      </c>
      <c r="D28" s="39">
        <v>53.709200000000003</v>
      </c>
    </row>
    <row r="29" spans="1:8" x14ac:dyDescent="0.2">
      <c r="A29" s="10" t="s">
        <v>1478</v>
      </c>
      <c r="C29" s="39">
        <v>18.850999999999999</v>
      </c>
      <c r="D29" s="39">
        <v>19.1676</v>
      </c>
    </row>
    <row r="31" spans="1:8" ht="10.5" x14ac:dyDescent="0.25">
      <c r="A31" s="17" t="s">
        <v>185</v>
      </c>
      <c r="D31" s="40" t="s">
        <v>186</v>
      </c>
    </row>
    <row r="33" spans="1:4" ht="10.5" x14ac:dyDescent="0.25">
      <c r="A33" s="17" t="s">
        <v>1014</v>
      </c>
      <c r="D33" s="47">
        <v>0.26619999999999999</v>
      </c>
    </row>
    <row r="34" spans="1:4" ht="10.5" x14ac:dyDescent="0.25">
      <c r="A34" s="17"/>
      <c r="D34" s="47"/>
    </row>
    <row r="35" spans="1:4" ht="10.5" x14ac:dyDescent="0.25">
      <c r="A35" s="17" t="s">
        <v>1538</v>
      </c>
      <c r="D35" s="47"/>
    </row>
    <row r="36" spans="1:4" ht="10.5" x14ac:dyDescent="0.25">
      <c r="A36" s="17" t="s">
        <v>1516</v>
      </c>
      <c r="D36" s="47"/>
    </row>
  </sheetData>
  <mergeCells count="1">
    <mergeCell ref="A1:E1"/>
  </mergeCells>
  <conditionalFormatting sqref="E5:E10 E13:E19">
    <cfRule type="cellIs" dxfId="2" priority="1" stopIfTrue="1" operator="between">
      <formula>0.009</formula>
      <formula>-0.009</formula>
    </cfRule>
  </conditionalFormatting>
  <pageMargins left="0.7" right="0.7" top="0.75" bottom="0.75" header="0.3" footer="0.3"/>
  <pageSetup paperSize="9" scale="64" orientation="portrait" r:id="rId1"/>
  <headerFooter>
    <oddFooter>&amp;LPUBLIC</oddFooter>
    <evenFooter>&amp;LPUBLIC</evenFooter>
    <firstFooter>&amp;LPUBLIC</firstFooter>
  </headerFooter>
  <colBreaks count="1" manualBreakCount="1">
    <brk id="5" max="1048575" man="1"/>
  </col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I36"/>
  <sheetViews>
    <sheetView view="pageBreakPreview" zoomScaleNormal="100" zoomScaleSheetLayoutView="100" workbookViewId="0">
      <selection sqref="A1:E1"/>
    </sheetView>
  </sheetViews>
  <sheetFormatPr defaultColWidth="9.1796875" defaultRowHeight="10" x14ac:dyDescent="0.2"/>
  <cols>
    <col min="1" max="1" width="37.54296875" style="10" bestFit="1" customWidth="1"/>
    <col min="2" max="2" width="45.81640625" style="10" customWidth="1"/>
    <col min="3" max="3" width="15.453125" style="10" bestFit="1" customWidth="1"/>
    <col min="4" max="4" width="23" style="11" bestFit="1" customWidth="1"/>
    <col min="5" max="5" width="13.54296875" style="15" bestFit="1" customWidth="1"/>
    <col min="6" max="6" width="14.81640625" style="16" bestFit="1" customWidth="1"/>
    <col min="7" max="16384" width="9.1796875" style="10"/>
  </cols>
  <sheetData>
    <row r="1" spans="1:9" s="1" customFormat="1" ht="15" customHeight="1" x14ac:dyDescent="0.25">
      <c r="A1" s="96" t="s">
        <v>55</v>
      </c>
      <c r="B1" s="97"/>
      <c r="C1" s="97"/>
      <c r="D1" s="97"/>
      <c r="E1" s="97"/>
    </row>
    <row r="2" spans="1:9" s="1" customFormat="1" ht="11.5" x14ac:dyDescent="0.25">
      <c r="D2" s="6"/>
      <c r="E2" s="7"/>
      <c r="F2" s="14"/>
    </row>
    <row r="3" spans="1:9" s="1" customFormat="1" ht="11.5" x14ac:dyDescent="0.25">
      <c r="A3" s="12" t="s">
        <v>6</v>
      </c>
      <c r="B3" s="2"/>
      <c r="C3" s="3"/>
      <c r="D3" s="4"/>
      <c r="E3" s="5"/>
      <c r="F3" s="14"/>
    </row>
    <row r="4" spans="1:9" s="1" customFormat="1" ht="17.5" customHeight="1" x14ac:dyDescent="0.25">
      <c r="A4" s="8" t="s">
        <v>2</v>
      </c>
      <c r="B4" s="8" t="s">
        <v>0</v>
      </c>
      <c r="C4" s="48" t="s">
        <v>1</v>
      </c>
      <c r="D4" s="9" t="s">
        <v>3</v>
      </c>
      <c r="E4" s="9" t="s">
        <v>4</v>
      </c>
    </row>
    <row r="5" spans="1:9" ht="10.5" x14ac:dyDescent="0.25">
      <c r="A5" s="20" t="s">
        <v>1464</v>
      </c>
      <c r="B5" s="21"/>
      <c r="C5" s="22"/>
      <c r="D5" s="23"/>
      <c r="E5" s="24"/>
    </row>
    <row r="6" spans="1:9" x14ac:dyDescent="0.2">
      <c r="A6" s="26" t="s">
        <v>1466</v>
      </c>
      <c r="B6" s="26" t="s">
        <v>1465</v>
      </c>
      <c r="C6" s="30">
        <v>110003.664</v>
      </c>
      <c r="D6" s="28">
        <v>486.06614990000003</v>
      </c>
      <c r="E6" s="29">
        <v>49.326508508601201</v>
      </c>
    </row>
    <row r="7" spans="1:9" x14ac:dyDescent="0.2">
      <c r="A7" s="26" t="s">
        <v>1479</v>
      </c>
      <c r="B7" s="26" t="s">
        <v>1536</v>
      </c>
      <c r="C7" s="30">
        <v>191449.209</v>
      </c>
      <c r="D7" s="28">
        <v>150.96267900000001</v>
      </c>
      <c r="E7" s="29">
        <v>15.3198528054396</v>
      </c>
    </row>
    <row r="8" spans="1:9" x14ac:dyDescent="0.2">
      <c r="A8" s="26" t="s">
        <v>1487</v>
      </c>
      <c r="B8" s="26" t="s">
        <v>1486</v>
      </c>
      <c r="C8" s="30">
        <v>15104.312</v>
      </c>
      <c r="D8" s="28">
        <v>149.65217899999999</v>
      </c>
      <c r="E8" s="29">
        <v>15.1868618752672</v>
      </c>
    </row>
    <row r="9" spans="1:9" x14ac:dyDescent="0.2">
      <c r="A9" s="26" t="s">
        <v>1476</v>
      </c>
      <c r="B9" s="26" t="s">
        <v>1537</v>
      </c>
      <c r="C9" s="30">
        <v>64846.351999999999</v>
      </c>
      <c r="D9" s="28">
        <v>144.70781199999999</v>
      </c>
      <c r="E9" s="29">
        <v>14.6851022671453</v>
      </c>
    </row>
    <row r="10" spans="1:9" ht="20" x14ac:dyDescent="0.2">
      <c r="A10" s="26" t="s">
        <v>1481</v>
      </c>
      <c r="B10" s="61" t="s">
        <v>1480</v>
      </c>
      <c r="C10" s="30">
        <v>127811.15300000001</v>
      </c>
      <c r="D10" s="28">
        <v>44.311232099999998</v>
      </c>
      <c r="E10" s="29">
        <v>4.4967508386603896</v>
      </c>
    </row>
    <row r="11" spans="1:9" ht="20" x14ac:dyDescent="0.2">
      <c r="A11" s="26" t="s">
        <v>1483</v>
      </c>
      <c r="B11" s="61" t="s">
        <v>1482</v>
      </c>
      <c r="C11" s="30">
        <v>147479.853</v>
      </c>
      <c r="D11" s="28">
        <v>0</v>
      </c>
      <c r="E11" s="28">
        <v>0</v>
      </c>
    </row>
    <row r="12" spans="1:9" ht="20" x14ac:dyDescent="0.2">
      <c r="A12" s="26" t="s">
        <v>1485</v>
      </c>
      <c r="B12" s="61" t="s">
        <v>1484</v>
      </c>
      <c r="C12" s="30">
        <v>167004.62</v>
      </c>
      <c r="D12" s="28">
        <v>0</v>
      </c>
      <c r="E12" s="28">
        <v>0</v>
      </c>
    </row>
    <row r="13" spans="1:9" ht="10.5" x14ac:dyDescent="0.25">
      <c r="A13" s="25" t="s">
        <v>153</v>
      </c>
      <c r="B13" s="25"/>
      <c r="C13" s="31"/>
      <c r="D13" s="32">
        <f>SUM(D6:D12)</f>
        <v>975.70005199999991</v>
      </c>
      <c r="E13" s="33">
        <f>SUM(E6:E12)</f>
        <v>99.015076295113687</v>
      </c>
      <c r="G13" s="17"/>
      <c r="H13" s="17"/>
      <c r="I13" s="17"/>
    </row>
    <row r="14" spans="1:9" x14ac:dyDescent="0.2">
      <c r="A14" s="26"/>
      <c r="B14" s="26"/>
      <c r="C14" s="27"/>
      <c r="D14" s="28"/>
      <c r="E14" s="29"/>
    </row>
    <row r="15" spans="1:9" ht="10.5" x14ac:dyDescent="0.25">
      <c r="A15" s="25" t="s">
        <v>166</v>
      </c>
      <c r="B15" s="25"/>
      <c r="C15" s="31"/>
      <c r="D15" s="32">
        <f>D13</f>
        <v>975.70005199999991</v>
      </c>
      <c r="E15" s="33">
        <f>E13</f>
        <v>99.015076295113687</v>
      </c>
      <c r="G15" s="17"/>
      <c r="H15" s="17"/>
      <c r="I15" s="17"/>
    </row>
    <row r="16" spans="1:9" ht="10.5" x14ac:dyDescent="0.25">
      <c r="A16" s="25"/>
      <c r="B16" s="25"/>
      <c r="C16" s="31"/>
      <c r="D16" s="32"/>
      <c r="E16" s="33"/>
      <c r="G16" s="17"/>
      <c r="H16" s="17"/>
      <c r="I16" s="17"/>
    </row>
    <row r="17" spans="1:9" ht="10.5" x14ac:dyDescent="0.25">
      <c r="A17" s="25" t="s">
        <v>168</v>
      </c>
      <c r="B17" s="25"/>
      <c r="C17" s="31"/>
      <c r="D17" s="32">
        <f>D19-(D13)</f>
        <v>9.7054928000001155</v>
      </c>
      <c r="E17" s="33">
        <f>E19-(E13)</f>
        <v>0.98492370488631309</v>
      </c>
      <c r="G17" s="17"/>
      <c r="H17" s="17"/>
      <c r="I17" s="17"/>
    </row>
    <row r="18" spans="1:9" ht="10.5" x14ac:dyDescent="0.25">
      <c r="A18" s="25"/>
      <c r="B18" s="25"/>
      <c r="C18" s="31"/>
      <c r="D18" s="32"/>
      <c r="E18" s="33"/>
      <c r="G18" s="17"/>
      <c r="H18" s="17"/>
      <c r="I18" s="17"/>
    </row>
    <row r="19" spans="1:9" ht="10.5" x14ac:dyDescent="0.25">
      <c r="A19" s="34" t="s">
        <v>167</v>
      </c>
      <c r="B19" s="34"/>
      <c r="C19" s="35"/>
      <c r="D19" s="36">
        <v>985.40554480000003</v>
      </c>
      <c r="E19" s="37">
        <v>100</v>
      </c>
      <c r="G19" s="17"/>
      <c r="H19" s="17"/>
      <c r="I19" s="17"/>
    </row>
    <row r="20" spans="1:9" ht="10.5" x14ac:dyDescent="0.25">
      <c r="C20" s="11"/>
      <c r="D20" s="15"/>
      <c r="E20" s="19"/>
    </row>
    <row r="21" spans="1:9" ht="10.5" x14ac:dyDescent="0.25">
      <c r="A21" s="17" t="s">
        <v>1532</v>
      </c>
    </row>
    <row r="22" spans="1:9" ht="10.5" x14ac:dyDescent="0.25">
      <c r="A22" s="17"/>
    </row>
    <row r="23" spans="1:9" ht="10.5" x14ac:dyDescent="0.25">
      <c r="A23" s="17" t="s">
        <v>171</v>
      </c>
    </row>
    <row r="24" spans="1:9" ht="10.5" x14ac:dyDescent="0.25">
      <c r="A24" s="17" t="s">
        <v>172</v>
      </c>
    </row>
    <row r="25" spans="1:9" ht="10.5" x14ac:dyDescent="0.25">
      <c r="A25" s="17" t="s">
        <v>173</v>
      </c>
      <c r="B25" s="17"/>
      <c r="C25" s="38" t="s">
        <v>175</v>
      </c>
      <c r="D25" s="40" t="s">
        <v>174</v>
      </c>
    </row>
    <row r="26" spans="1:9" x14ac:dyDescent="0.2">
      <c r="A26" s="10" t="s">
        <v>436</v>
      </c>
      <c r="C26" s="39">
        <v>63.396799999999999</v>
      </c>
      <c r="D26" s="39">
        <v>73.092299999999994</v>
      </c>
    </row>
    <row r="27" spans="1:9" x14ac:dyDescent="0.2">
      <c r="A27" s="10" t="s">
        <v>470</v>
      </c>
      <c r="C27" s="39">
        <v>20.727699999999999</v>
      </c>
      <c r="D27" s="39">
        <v>23.897600000000001</v>
      </c>
    </row>
    <row r="28" spans="1:9" x14ac:dyDescent="0.2">
      <c r="A28" s="10" t="s">
        <v>439</v>
      </c>
      <c r="C28" s="39">
        <v>65.430099999999996</v>
      </c>
      <c r="D28" s="39">
        <v>75.800899999999999</v>
      </c>
    </row>
    <row r="29" spans="1:9" x14ac:dyDescent="0.2">
      <c r="A29" s="10" t="s">
        <v>471</v>
      </c>
      <c r="C29" s="39">
        <v>21.579699999999999</v>
      </c>
      <c r="D29" s="39">
        <v>24.9984</v>
      </c>
    </row>
    <row r="31" spans="1:9" ht="10.5" x14ac:dyDescent="0.25">
      <c r="A31" s="17" t="s">
        <v>185</v>
      </c>
      <c r="D31" s="40" t="s">
        <v>186</v>
      </c>
    </row>
    <row r="33" spans="1:4" ht="10.5" x14ac:dyDescent="0.25">
      <c r="A33" s="17" t="s">
        <v>1014</v>
      </c>
      <c r="D33" s="47">
        <v>0.1547</v>
      </c>
    </row>
    <row r="34" spans="1:4" ht="10.5" x14ac:dyDescent="0.25">
      <c r="A34" s="17"/>
      <c r="D34" s="47"/>
    </row>
    <row r="35" spans="1:4" ht="10.5" x14ac:dyDescent="0.25">
      <c r="A35" s="17" t="s">
        <v>1516</v>
      </c>
      <c r="D35" s="47"/>
    </row>
    <row r="36" spans="1:4" ht="10.5" x14ac:dyDescent="0.25">
      <c r="A36" s="17" t="s">
        <v>1535</v>
      </c>
      <c r="D36" s="47"/>
    </row>
  </sheetData>
  <mergeCells count="1">
    <mergeCell ref="A1:E1"/>
  </mergeCells>
  <conditionalFormatting sqref="F2:F3 E5:E10 E13:E20 F21:F65539">
    <cfRule type="cellIs" dxfId="1" priority="1" stopIfTrue="1" operator="between">
      <formula>0.009</formula>
      <formula>-0.009</formula>
    </cfRule>
  </conditionalFormatting>
  <pageMargins left="0.7" right="0.7" top="0.75" bottom="0.75" header="0.3" footer="0.3"/>
  <pageSetup paperSize="9" scale="64" orientation="portrait" r:id="rId1"/>
  <headerFooter>
    <oddFooter>&amp;LPUBLIC</oddFooter>
    <evenFooter>&amp;LPUBLIC</evenFooter>
    <firstFooter>&amp;LPUBLIC</firstFooter>
  </headerFooter>
  <colBreaks count="1" manualBreakCount="1">
    <brk id="5" max="1048575" man="1"/>
  </col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37"/>
  <sheetViews>
    <sheetView view="pageBreakPreview" zoomScaleNormal="100" zoomScaleSheetLayoutView="100" workbookViewId="0">
      <selection sqref="A1:E1"/>
    </sheetView>
  </sheetViews>
  <sheetFormatPr defaultColWidth="9.1796875" defaultRowHeight="10" x14ac:dyDescent="0.2"/>
  <cols>
    <col min="1" max="1" width="37.54296875" style="10" bestFit="1" customWidth="1"/>
    <col min="2" max="2" width="45.81640625" style="10" customWidth="1"/>
    <col min="3" max="3" width="15.453125" style="10" bestFit="1" customWidth="1"/>
    <col min="4" max="4" width="23" style="11" bestFit="1" customWidth="1"/>
    <col min="5" max="5" width="13.54296875" style="15" customWidth="1"/>
    <col min="6" max="6" width="14.81640625" style="16" bestFit="1" customWidth="1"/>
    <col min="7" max="16384" width="9.1796875" style="10"/>
  </cols>
  <sheetData>
    <row r="1" spans="1:9" s="1" customFormat="1" ht="15" customHeight="1" x14ac:dyDescent="0.25">
      <c r="A1" s="97" t="s">
        <v>1533</v>
      </c>
      <c r="B1" s="97"/>
      <c r="C1" s="97"/>
      <c r="D1" s="97"/>
      <c r="E1" s="97"/>
    </row>
    <row r="2" spans="1:9" s="1" customFormat="1" ht="11.5" x14ac:dyDescent="0.25">
      <c r="D2" s="6"/>
      <c r="E2" s="7"/>
      <c r="F2" s="14"/>
    </row>
    <row r="3" spans="1:9" s="1" customFormat="1" ht="11.5" x14ac:dyDescent="0.25">
      <c r="A3" s="12" t="s">
        <v>6</v>
      </c>
      <c r="B3" s="2"/>
      <c r="C3" s="3"/>
      <c r="D3" s="4"/>
      <c r="E3" s="5"/>
      <c r="F3" s="14"/>
    </row>
    <row r="4" spans="1:9" s="1" customFormat="1" ht="17.5" customHeight="1" x14ac:dyDescent="0.25">
      <c r="A4" s="8" t="s">
        <v>2</v>
      </c>
      <c r="B4" s="8" t="s">
        <v>0</v>
      </c>
      <c r="C4" s="48" t="s">
        <v>1</v>
      </c>
      <c r="D4" s="9" t="s">
        <v>3</v>
      </c>
      <c r="E4" s="9" t="s">
        <v>4</v>
      </c>
    </row>
    <row r="5" spans="1:9" ht="10.5" x14ac:dyDescent="0.25">
      <c r="A5" s="20" t="s">
        <v>1464</v>
      </c>
      <c r="B5" s="21"/>
      <c r="C5" s="22"/>
      <c r="D5" s="23"/>
      <c r="E5" s="24"/>
    </row>
    <row r="6" spans="1:9" x14ac:dyDescent="0.2">
      <c r="A6" s="26" t="s">
        <v>1489</v>
      </c>
      <c r="B6" s="26" t="s">
        <v>1488</v>
      </c>
      <c r="C6" s="30">
        <v>6116076.5700000003</v>
      </c>
      <c r="D6" s="28">
        <v>35368.12098</v>
      </c>
      <c r="E6" s="29">
        <v>48.633789797749401</v>
      </c>
    </row>
    <row r="7" spans="1:9" ht="20" x14ac:dyDescent="0.2">
      <c r="A7" s="26" t="s">
        <v>1468</v>
      </c>
      <c r="B7" s="61" t="s">
        <v>1467</v>
      </c>
      <c r="C7" s="30">
        <v>674821.91899999999</v>
      </c>
      <c r="D7" s="28">
        <v>12951.017610000001</v>
      </c>
      <c r="E7" s="29">
        <v>17.808609862759301</v>
      </c>
    </row>
    <row r="8" spans="1:9" ht="20" x14ac:dyDescent="0.2">
      <c r="A8" s="26" t="s">
        <v>1472</v>
      </c>
      <c r="B8" s="61" t="s">
        <v>1471</v>
      </c>
      <c r="C8" s="30">
        <v>1370528.45</v>
      </c>
      <c r="D8" s="28">
        <v>0</v>
      </c>
      <c r="E8" s="28">
        <v>0</v>
      </c>
    </row>
    <row r="9" spans="1:9" ht="30" x14ac:dyDescent="0.2">
      <c r="A9" s="26" t="s">
        <v>1474</v>
      </c>
      <c r="B9" s="61" t="s">
        <v>1473</v>
      </c>
      <c r="C9" s="30">
        <v>1235134.5419999999</v>
      </c>
      <c r="D9" s="28">
        <v>0</v>
      </c>
      <c r="E9" s="28">
        <v>0</v>
      </c>
    </row>
    <row r="10" spans="1:9" ht="10.5" x14ac:dyDescent="0.25">
      <c r="A10" s="25" t="s">
        <v>153</v>
      </c>
      <c r="B10" s="25"/>
      <c r="C10" s="31"/>
      <c r="D10" s="32">
        <f>SUM(D6:D9)</f>
        <v>48319.138590000002</v>
      </c>
      <c r="E10" s="33">
        <f>SUM(E6:E9)</f>
        <v>66.442399660508698</v>
      </c>
      <c r="G10" s="17"/>
      <c r="H10" s="17"/>
      <c r="I10" s="17"/>
    </row>
    <row r="11" spans="1:9" x14ac:dyDescent="0.2">
      <c r="A11" s="26"/>
      <c r="B11" s="26"/>
      <c r="C11" s="27"/>
      <c r="D11" s="28"/>
      <c r="E11" s="29"/>
    </row>
    <row r="12" spans="1:9" ht="10.5" x14ac:dyDescent="0.25">
      <c r="A12" s="25" t="s">
        <v>166</v>
      </c>
      <c r="B12" s="25"/>
      <c r="C12" s="31"/>
      <c r="D12" s="32">
        <f>D10</f>
        <v>48319.138590000002</v>
      </c>
      <c r="E12" s="33">
        <f>E10</f>
        <v>66.442399660508698</v>
      </c>
      <c r="G12" s="17"/>
      <c r="H12" s="17"/>
      <c r="I12" s="17"/>
    </row>
    <row r="13" spans="1:9" ht="10.5" x14ac:dyDescent="0.25">
      <c r="A13" s="25"/>
      <c r="B13" s="25"/>
      <c r="C13" s="31"/>
      <c r="D13" s="32"/>
      <c r="E13" s="33"/>
      <c r="G13" s="17"/>
      <c r="H13" s="17"/>
      <c r="I13" s="17"/>
    </row>
    <row r="14" spans="1:9" ht="10.5" x14ac:dyDescent="0.25">
      <c r="A14" s="25" t="s">
        <v>168</v>
      </c>
      <c r="B14" s="25"/>
      <c r="C14" s="31"/>
      <c r="D14" s="32">
        <f>D16-(D10)</f>
        <v>24404.211013399996</v>
      </c>
      <c r="E14" s="33">
        <f>E16-(E10)</f>
        <v>33.557600339491302</v>
      </c>
      <c r="G14" s="17"/>
      <c r="H14" s="17"/>
      <c r="I14" s="17"/>
    </row>
    <row r="15" spans="1:9" ht="10.5" x14ac:dyDescent="0.25">
      <c r="A15" s="25"/>
      <c r="B15" s="25"/>
      <c r="C15" s="31"/>
      <c r="D15" s="32"/>
      <c r="E15" s="33"/>
      <c r="G15" s="17"/>
      <c r="H15" s="17"/>
      <c r="I15" s="17"/>
    </row>
    <row r="16" spans="1:9" ht="10.5" x14ac:dyDescent="0.25">
      <c r="A16" s="34" t="s">
        <v>167</v>
      </c>
      <c r="B16" s="34"/>
      <c r="C16" s="35"/>
      <c r="D16" s="36">
        <v>72723.349603399998</v>
      </c>
      <c r="E16" s="37">
        <v>100</v>
      </c>
      <c r="G16" s="17"/>
      <c r="H16" s="17"/>
      <c r="I16" s="17"/>
    </row>
    <row r="17" spans="1:6" ht="10.5" x14ac:dyDescent="0.25">
      <c r="F17" s="19"/>
    </row>
    <row r="18" spans="1:6" ht="10.5" x14ac:dyDescent="0.25">
      <c r="A18" s="17" t="s">
        <v>1532</v>
      </c>
    </row>
    <row r="19" spans="1:6" ht="10.5" x14ac:dyDescent="0.25">
      <c r="A19" s="17"/>
    </row>
    <row r="20" spans="1:6" ht="10.5" x14ac:dyDescent="0.25">
      <c r="A20" s="17" t="s">
        <v>171</v>
      </c>
    </row>
    <row r="21" spans="1:6" ht="10.5" x14ac:dyDescent="0.25">
      <c r="A21" s="17" t="s">
        <v>172</v>
      </c>
    </row>
    <row r="22" spans="1:6" ht="10.5" x14ac:dyDescent="0.25">
      <c r="A22" s="17" t="s">
        <v>173</v>
      </c>
      <c r="B22" s="17"/>
      <c r="C22" s="38" t="s">
        <v>175</v>
      </c>
      <c r="D22" s="40" t="s">
        <v>174</v>
      </c>
    </row>
    <row r="23" spans="1:6" x14ac:dyDescent="0.2">
      <c r="A23" s="10" t="s">
        <v>436</v>
      </c>
      <c r="C23" s="39">
        <v>69.771199999999993</v>
      </c>
      <c r="D23" s="39">
        <v>69.867599999999996</v>
      </c>
    </row>
    <row r="24" spans="1:6" x14ac:dyDescent="0.2">
      <c r="A24" s="10" t="s">
        <v>470</v>
      </c>
      <c r="C24" s="39">
        <v>28.785399999999999</v>
      </c>
      <c r="D24" s="39">
        <v>27.370699999999999</v>
      </c>
    </row>
    <row r="25" spans="1:6" x14ac:dyDescent="0.2">
      <c r="A25" s="10" t="s">
        <v>439</v>
      </c>
      <c r="C25" s="39">
        <v>74.978499999999997</v>
      </c>
      <c r="D25" s="39">
        <v>75.438599999999994</v>
      </c>
    </row>
    <row r="26" spans="1:6" x14ac:dyDescent="0.2">
      <c r="A26" s="10" t="s">
        <v>471</v>
      </c>
      <c r="C26" s="39">
        <v>31.6831</v>
      </c>
      <c r="D26" s="39">
        <v>30.417300000000001</v>
      </c>
    </row>
    <row r="28" spans="1:6" ht="10.5" x14ac:dyDescent="0.25">
      <c r="A28" s="17" t="s">
        <v>185</v>
      </c>
    </row>
    <row r="29" spans="1:6" ht="12.5" x14ac:dyDescent="0.25">
      <c r="A29" s="100" t="s">
        <v>350</v>
      </c>
      <c r="B29" s="101"/>
      <c r="C29" s="98" t="s">
        <v>1658</v>
      </c>
      <c r="D29" s="99"/>
    </row>
    <row r="30" spans="1:6" ht="10.5" x14ac:dyDescent="0.25">
      <c r="A30" s="100"/>
      <c r="B30" s="101"/>
      <c r="C30" s="43" t="s">
        <v>351</v>
      </c>
      <c r="D30" s="44" t="s">
        <v>352</v>
      </c>
    </row>
    <row r="31" spans="1:6" x14ac:dyDescent="0.2">
      <c r="A31" s="94" t="s">
        <v>470</v>
      </c>
      <c r="B31" s="95"/>
      <c r="C31" s="45">
        <v>1.5</v>
      </c>
      <c r="D31" s="45">
        <v>1.5</v>
      </c>
    </row>
    <row r="32" spans="1:6" x14ac:dyDescent="0.2">
      <c r="A32" s="94" t="s">
        <v>471</v>
      </c>
      <c r="B32" s="95"/>
      <c r="C32" s="45">
        <v>1.5</v>
      </c>
      <c r="D32" s="45">
        <v>1.5</v>
      </c>
    </row>
    <row r="33" spans="1:5" x14ac:dyDescent="0.2">
      <c r="A33" s="90" t="s">
        <v>1657</v>
      </c>
    </row>
    <row r="34" spans="1:5" x14ac:dyDescent="0.2">
      <c r="A34" s="90"/>
    </row>
    <row r="35" spans="1:5" ht="10.5" x14ac:dyDescent="0.25">
      <c r="A35" s="17" t="s">
        <v>1014</v>
      </c>
      <c r="D35" s="47">
        <v>0.18890000000000001</v>
      </c>
    </row>
    <row r="36" spans="1:5" ht="10.5" x14ac:dyDescent="0.25">
      <c r="A36" s="17"/>
      <c r="D36" s="47"/>
    </row>
    <row r="37" spans="1:5" ht="10.5" x14ac:dyDescent="0.25">
      <c r="A37" s="106" t="s">
        <v>1534</v>
      </c>
      <c r="B37" s="106"/>
      <c r="C37" s="106"/>
      <c r="D37" s="106"/>
      <c r="E37" s="106"/>
    </row>
  </sheetData>
  <mergeCells count="7">
    <mergeCell ref="A32:B32"/>
    <mergeCell ref="A1:E1"/>
    <mergeCell ref="A37:E37"/>
    <mergeCell ref="C29:D29"/>
    <mergeCell ref="A29:B29"/>
    <mergeCell ref="A30:B30"/>
    <mergeCell ref="A31:B31"/>
  </mergeCells>
  <conditionalFormatting sqref="F2:F3 E5:E7 E10:E16 F17:F65539">
    <cfRule type="cellIs" dxfId="0" priority="1" stopIfTrue="1" operator="between">
      <formula>0.009</formula>
      <formula>-0.009</formula>
    </cfRule>
  </conditionalFormatting>
  <pageMargins left="0.7" right="0.7" top="0.75" bottom="0.75" header="0.3" footer="0.3"/>
  <pageSetup paperSize="9" scale="64" orientation="portrait" r:id="rId1"/>
  <headerFooter>
    <oddFooter>&amp;LPUBLIC</oddFooter>
    <evenFooter>&amp;LPUBLIC</evenFooter>
    <firstFooter>&amp;LPUBLIC</firstFooter>
  </headerFooter>
  <colBreaks count="1" manualBreakCount="1">
    <brk id="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62</vt:i4>
      </vt:variant>
      <vt:variant>
        <vt:lpstr>Named Ranges</vt:lpstr>
      </vt:variant>
      <vt:variant>
        <vt:i4>62</vt:i4>
      </vt:variant>
    </vt:vector>
  </HeadingPairs>
  <TitlesOfParts>
    <vt:vector size="124" baseType="lpstr">
      <vt:lpstr>FILF</vt:lpstr>
      <vt:lpstr>FIONF</vt:lpstr>
      <vt:lpstr>FISF</vt:lpstr>
      <vt:lpstr>FIFRF</vt:lpstr>
      <vt:lpstr>FICDF</vt:lpstr>
      <vt:lpstr>FBPF</vt:lpstr>
      <vt:lpstr>FIGSF</vt:lpstr>
      <vt:lpstr>FIDA</vt:lpstr>
      <vt:lpstr>FILDF</vt:lpstr>
      <vt:lpstr>FIUBF</vt:lpstr>
      <vt:lpstr>FISTIP</vt:lpstr>
      <vt:lpstr>FIIOF</vt:lpstr>
      <vt:lpstr>FICRF</vt:lpstr>
      <vt:lpstr>FMPS6C</vt:lpstr>
      <vt:lpstr>FMPS5F</vt:lpstr>
      <vt:lpstr>FMPS5E</vt:lpstr>
      <vt:lpstr>FMPS5D</vt:lpstr>
      <vt:lpstr>FMPS5C</vt:lpstr>
      <vt:lpstr>FMPS5B</vt:lpstr>
      <vt:lpstr>FMPS5A</vt:lpstr>
      <vt:lpstr>FMPS4F</vt:lpstr>
      <vt:lpstr>FMPS4E</vt:lpstr>
      <vt:lpstr>FMPS4D</vt:lpstr>
      <vt:lpstr>FMPS4C</vt:lpstr>
      <vt:lpstr>FMPS4B</vt:lpstr>
      <vt:lpstr>FMPS4A</vt:lpstr>
      <vt:lpstr>FMPS3F</vt:lpstr>
      <vt:lpstr>FMPS3E</vt:lpstr>
      <vt:lpstr>FMPS3D</vt:lpstr>
      <vt:lpstr>FMPS3C</vt:lpstr>
      <vt:lpstr>FMPS3B</vt:lpstr>
      <vt:lpstr>FMPS3A</vt:lpstr>
      <vt:lpstr>FMPS2C</vt:lpstr>
      <vt:lpstr>FMPS2B</vt:lpstr>
      <vt:lpstr>FMPS2A</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FAEF!Print_Area</vt:lpstr>
      <vt:lpstr>FBIF!Print_Area</vt:lpstr>
      <vt:lpstr>FBPF!Print_Area</vt:lpstr>
      <vt:lpstr>FEGF!Print_Area</vt:lpstr>
      <vt:lpstr>FF!Print_Area</vt:lpstr>
      <vt:lpstr>FIBF!Print_Area</vt:lpstr>
      <vt:lpstr>FICDF!Print_Area</vt:lpstr>
      <vt:lpstr>FICRF!Print_Area</vt:lpstr>
      <vt:lpstr>FIDA!Print_Area</vt:lpstr>
      <vt:lpstr>FIDHY!Print_Area</vt:lpstr>
      <vt:lpstr>FIEAF!Print_Area</vt:lpstr>
      <vt:lpstr>FIEF!Print_Area</vt:lpstr>
      <vt:lpstr>FIEHF!Print_Area</vt:lpstr>
      <vt:lpstr>FIESF!Print_Area</vt:lpstr>
      <vt:lpstr>FIFEF!Print_Area</vt:lpstr>
      <vt:lpstr>'FIFOF-20''s'!Print_Area</vt:lpstr>
      <vt:lpstr>'FIFOF-30''s'!Print_Area</vt:lpstr>
      <vt:lpstr>'FIFOF-40''s'!Print_Area</vt:lpstr>
      <vt:lpstr>'FIFOF-50''s'!Print_Area</vt:lpstr>
      <vt:lpstr>'FIFOF-50''s+'!Print_Area</vt:lpstr>
      <vt:lpstr>FIFRF!Print_Area</vt:lpstr>
      <vt:lpstr>FIGSF!Print_Area</vt:lpstr>
      <vt:lpstr>'FIIF-NSE'!Print_Area</vt:lpstr>
      <vt:lpstr>FIIOF!Print_Area</vt:lpstr>
      <vt:lpstr>FILDF!Print_Area</vt:lpstr>
      <vt:lpstr>FILF!Print_Area</vt:lpstr>
      <vt:lpstr>FIMAS!Print_Area</vt:lpstr>
      <vt:lpstr>FIOF!Print_Area</vt:lpstr>
      <vt:lpstr>FIONF!Print_Area</vt:lpstr>
      <vt:lpstr>FIPF!Print_Area</vt:lpstr>
      <vt:lpstr>FIPP!Print_Area</vt:lpstr>
      <vt:lpstr>FISCF!Print_Area</vt:lpstr>
      <vt:lpstr>FISF!Print_Area</vt:lpstr>
      <vt:lpstr>FISTIP!Print_Area</vt:lpstr>
      <vt:lpstr>FITF!Print_Area</vt:lpstr>
      <vt:lpstr>FITX!Print_Area</vt:lpstr>
      <vt:lpstr>FIUBF!Print_Area</vt:lpstr>
      <vt:lpstr>FIUS!Print_Area</vt:lpstr>
      <vt:lpstr>FMPS2A!Print_Area</vt:lpstr>
      <vt:lpstr>FMPS2B!Print_Area</vt:lpstr>
      <vt:lpstr>FMPS2C!Print_Area</vt:lpstr>
      <vt:lpstr>FMPS3A!Print_Area</vt:lpstr>
      <vt:lpstr>FMPS3B!Print_Area</vt:lpstr>
      <vt:lpstr>FMPS3C!Print_Area</vt:lpstr>
      <vt:lpstr>FMPS3D!Print_Area</vt:lpstr>
      <vt:lpstr>FMPS3E!Print_Area</vt:lpstr>
      <vt:lpstr>FMPS3F!Print_Area</vt:lpstr>
      <vt:lpstr>FMPS4A!Print_Area</vt:lpstr>
      <vt:lpstr>FMPS4B!Print_Area</vt:lpstr>
      <vt:lpstr>FMPS4C!Print_Area</vt:lpstr>
      <vt:lpstr>FMPS4D!Print_Area</vt:lpstr>
      <vt:lpstr>FMPS4E!Print_Area</vt:lpstr>
      <vt:lpstr>FMPS4F!Print_Area</vt:lpstr>
      <vt:lpstr>FMPS5A!Print_Area</vt:lpstr>
      <vt:lpstr>FMPS5B!Print_Area</vt:lpstr>
      <vt:lpstr>FMPS5C!Print_Area</vt:lpstr>
      <vt:lpstr>FMPS5D!Print_Area</vt:lpstr>
      <vt:lpstr>FMPS5E!Print_Area</vt:lpstr>
      <vt:lpstr>FMPS5F!Print_Area</vt:lpstr>
      <vt:lpstr>FMPS6C!Print_Area</vt:lpstr>
      <vt:lpstr>TIEIF!Print_Area</vt:lpstr>
      <vt:lpstr>TIVF!Print_Area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30 September 2020</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2020-10-09T09:41:55Z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PUBLIC</vt:lpwstr>
  </property>
  <property fmtid="{D5CDD505-2E9C-101B-9397-08002B2CF9AE}" pid="3" name="Source">
    <vt:lpwstr>Internal</vt:lpwstr>
  </property>
  <property fmtid="{D5CDD505-2E9C-101B-9397-08002B2CF9AE}" pid="4" name="Footers">
    <vt:lpwstr>Footers</vt:lpwstr>
  </property>
  <property fmtid="{D5CDD505-2E9C-101B-9397-08002B2CF9AE}" pid="5" name="DocClassification">
    <vt:lpwstr>CLAPUBLIC</vt:lpwstr>
  </property>
</Properties>
</file>