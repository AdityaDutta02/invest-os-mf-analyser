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ogte\OneDrive - Franklin Templeton\Monthly ISIN\"/>
    </mc:Choice>
  </mc:AlternateContent>
  <xr:revisionPtr revIDLastSave="3" documentId="13_ncr:1_{14506764-F65F-4FC5-BA33-7DB398CD0C27}" xr6:coauthVersionLast="45" xr6:coauthVersionMax="45" xr10:uidLastSave="{6001C56A-8DF7-4CBD-8B78-B57B360E4F13}"/>
  <bookViews>
    <workbookView xWindow="-120" yWindow="-120" windowWidth="29040" windowHeight="15840" tabRatio="916" xr2:uid="{65F2B626-C6AD-481C-B15C-63DA82D81B7E}"/>
  </bookViews>
  <sheets>
    <sheet name="FIIOF" sheetId="26" r:id="rId1"/>
    <sheet name="FIUBF" sheetId="27" r:id="rId2"/>
    <sheet name="FISTIP" sheetId="28" r:id="rId3"/>
    <sheet name="FISF" sheetId="29" r:id="rId4"/>
    <sheet name="FIONF" sheetId="30" r:id="rId5"/>
    <sheet name="FILF" sheetId="31" r:id="rId6"/>
    <sheet name="FILDF" sheetId="32" r:id="rId7"/>
    <sheet name="FIGSF" sheetId="33" r:id="rId8"/>
    <sheet name="FIFRF" sheetId="34" r:id="rId9"/>
    <sheet name="FIDA" sheetId="35" r:id="rId10"/>
    <sheet name="FICRF" sheetId="36" r:id="rId11"/>
    <sheet name="FICDF" sheetId="37" r:id="rId12"/>
    <sheet name="FBPF" sheetId="38" r:id="rId13"/>
    <sheet name="FIESF" sheetId="39" r:id="rId14"/>
    <sheet name="FIEHF" sheetId="40" r:id="rId15"/>
    <sheet name="FIDHY" sheetId="41" r:id="rId16"/>
    <sheet name="FIPP" sheetId="42" r:id="rId17"/>
    <sheet name="FMPS6C" sheetId="43" r:id="rId18"/>
    <sheet name="FMPS5F" sheetId="44" r:id="rId19"/>
    <sheet name="FMPS5E" sheetId="45" r:id="rId20"/>
    <sheet name="FMPS5D" sheetId="46" r:id="rId21"/>
    <sheet name="FMPS5C" sheetId="47" r:id="rId22"/>
    <sheet name="FMPS5B" sheetId="48" r:id="rId23"/>
    <sheet name="FMPS5A" sheetId="49" r:id="rId24"/>
    <sheet name="FMPS4F" sheetId="50" r:id="rId25"/>
    <sheet name="FMPS4E" sheetId="51" r:id="rId26"/>
    <sheet name="FMPS4D" sheetId="52" r:id="rId27"/>
    <sheet name="FMPS4C" sheetId="53" r:id="rId28"/>
    <sheet name="FMPS4B" sheetId="54" r:id="rId29"/>
    <sheet name="FMPS4A" sheetId="55" r:id="rId30"/>
    <sheet name="FMPS3F" sheetId="56" r:id="rId31"/>
    <sheet name="FMPS3E" sheetId="57" r:id="rId32"/>
    <sheet name="FMPS3D" sheetId="58" r:id="rId33"/>
    <sheet name="FMPS3C" sheetId="59" r:id="rId34"/>
    <sheet name="FMPS3B" sheetId="60" r:id="rId35"/>
    <sheet name="FMPS3A" sheetId="61" r:id="rId36"/>
    <sheet name="FMPS2C" sheetId="62" r:id="rId37"/>
    <sheet name="FMPS2B" sheetId="63" r:id="rId38"/>
    <sheet name="FMPS2A" sheetId="64" r:id="rId39"/>
    <sheet name="FMPS1B" sheetId="65" r:id="rId40"/>
    <sheet name="FMPS1A" sheetId="66" r:id="rId41"/>
    <sheet name="TIVF" sheetId="25" r:id="rId42"/>
    <sheet name="FITX" sheetId="23" r:id="rId43"/>
    <sheet name="FITF" sheetId="22" r:id="rId44"/>
    <sheet name="FISMF" sheetId="21" r:id="rId45"/>
    <sheet name="FIPF" sheetId="20" r:id="rId46"/>
    <sheet name="FIOF" sheetId="19" r:id="rId47"/>
    <sheet name="FIFEF" sheetId="11" r:id="rId48"/>
    <sheet name="TIEIF" sheetId="9" r:id="rId49"/>
    <sheet name="FIEF" sheetId="8" r:id="rId50"/>
    <sheet name="FIBF" sheetId="6" r:id="rId51"/>
    <sheet name="FIEAF" sheetId="7" r:id="rId52"/>
    <sheet name="FAEF" sheetId="2" r:id="rId53"/>
    <sheet name="FBIF" sheetId="3" r:id="rId54"/>
    <sheet name="FIIF-NSE" sheetId="17" r:id="rId55"/>
    <sheet name="FIDAAF" sheetId="5" r:id="rId56"/>
    <sheet name="FIUS" sheetId="24" r:id="rId57"/>
    <sheet name="FEGF" sheetId="4" r:id="rId58"/>
    <sheet name="FIMAS" sheetId="18" r:id="rId59"/>
    <sheet name="FIFOF-50's+" sheetId="16" r:id="rId60"/>
    <sheet name="FIFOF-50's" sheetId="15" r:id="rId61"/>
    <sheet name="FIFOF-40's" sheetId="14" r:id="rId62"/>
    <sheet name="FIFOF-30's" sheetId="13" r:id="rId63"/>
    <sheet name="FIFOF-20's" sheetId="12" r:id="rId64"/>
    <sheet name="Sheet1" sheetId="1" state="hidden" r:id="rId65"/>
  </sheets>
  <definedNames>
    <definedName name="_xlnm._FilterDatabase" localSheetId="13" hidden="1">FIESF!$A$8:$G$54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1" i="66" l="1"/>
  <c r="E35" i="66" s="1"/>
  <c r="F29" i="66"/>
  <c r="E29" i="66"/>
  <c r="F23" i="66"/>
  <c r="E23" i="66"/>
  <c r="F19" i="66"/>
  <c r="F31" i="66" s="1"/>
  <c r="F35" i="66" s="1"/>
  <c r="E19" i="66"/>
  <c r="F35" i="65"/>
  <c r="F29" i="65"/>
  <c r="E29" i="65"/>
  <c r="F23" i="65"/>
  <c r="E23" i="65"/>
  <c r="F19" i="65"/>
  <c r="E19" i="65"/>
  <c r="F40" i="64"/>
  <c r="F34" i="64"/>
  <c r="E34" i="64"/>
  <c r="F29" i="64"/>
  <c r="E29" i="64"/>
  <c r="E32" i="63"/>
  <c r="E36" i="63" s="1"/>
  <c r="F30" i="63"/>
  <c r="E30" i="63"/>
  <c r="F25" i="63"/>
  <c r="F32" i="63" s="1"/>
  <c r="F36" i="63" s="1"/>
  <c r="E25" i="63"/>
  <c r="E35" i="62"/>
  <c r="E39" i="62" s="1"/>
  <c r="F33" i="62"/>
  <c r="E33" i="62"/>
  <c r="F27" i="62"/>
  <c r="F35" i="62" s="1"/>
  <c r="F39" i="62" s="1"/>
  <c r="E27" i="62"/>
  <c r="E31" i="61"/>
  <c r="E35" i="61" s="1"/>
  <c r="F29" i="61"/>
  <c r="E29" i="61"/>
  <c r="F23" i="61"/>
  <c r="F31" i="61" s="1"/>
  <c r="F35" i="61" s="1"/>
  <c r="E23" i="61"/>
  <c r="E31" i="60"/>
  <c r="E35" i="60" s="1"/>
  <c r="F29" i="60"/>
  <c r="E29" i="60"/>
  <c r="F24" i="60"/>
  <c r="F31" i="60" s="1"/>
  <c r="F35" i="60" s="1"/>
  <c r="E24" i="60"/>
  <c r="E33" i="59"/>
  <c r="E37" i="59" s="1"/>
  <c r="F31" i="59"/>
  <c r="E31" i="59"/>
  <c r="F26" i="59"/>
  <c r="F33" i="59" s="1"/>
  <c r="F37" i="59" s="1"/>
  <c r="E26" i="59"/>
  <c r="E28" i="58"/>
  <c r="E32" i="58" s="1"/>
  <c r="F26" i="58"/>
  <c r="E26" i="58"/>
  <c r="F21" i="58"/>
  <c r="F28" i="58" s="1"/>
  <c r="F32" i="58" s="1"/>
  <c r="E21" i="58"/>
  <c r="E31" i="57"/>
  <c r="E35" i="57" s="1"/>
  <c r="F29" i="57"/>
  <c r="E29" i="57"/>
  <c r="F23" i="57"/>
  <c r="F31" i="57" s="1"/>
  <c r="F35" i="57" s="1"/>
  <c r="E23" i="57"/>
  <c r="E33" i="56"/>
  <c r="E37" i="56" s="1"/>
  <c r="F31" i="56"/>
  <c r="E31" i="56"/>
  <c r="F26" i="56"/>
  <c r="F33" i="56" s="1"/>
  <c r="F37" i="56" s="1"/>
  <c r="E26" i="56"/>
  <c r="E31" i="55"/>
  <c r="E35" i="55" s="1"/>
  <c r="F29" i="55"/>
  <c r="E29" i="55"/>
  <c r="F25" i="55"/>
  <c r="F31" i="55" s="1"/>
  <c r="F35" i="55" s="1"/>
  <c r="E25" i="55"/>
  <c r="E33" i="54"/>
  <c r="E37" i="54" s="1"/>
  <c r="F31" i="54"/>
  <c r="E31" i="54"/>
  <c r="F27" i="54"/>
  <c r="F33" i="54" s="1"/>
  <c r="F37" i="54" s="1"/>
  <c r="E27" i="54"/>
  <c r="E26" i="53"/>
  <c r="E30" i="53" s="1"/>
  <c r="F24" i="53"/>
  <c r="F26" i="53" s="1"/>
  <c r="F30" i="53" s="1"/>
  <c r="E24" i="53"/>
  <c r="F25" i="52"/>
  <c r="F29" i="52" s="1"/>
  <c r="F23" i="52"/>
  <c r="E23" i="52"/>
  <c r="F18" i="52"/>
  <c r="E18" i="52"/>
  <c r="E25" i="52" s="1"/>
  <c r="E29" i="52" s="1"/>
  <c r="F27" i="51"/>
  <c r="F31" i="51" s="1"/>
  <c r="F25" i="51"/>
  <c r="E25" i="51"/>
  <c r="F21" i="51"/>
  <c r="E21" i="51"/>
  <c r="E27" i="51" s="1"/>
  <c r="E31" i="51" s="1"/>
  <c r="F29" i="50"/>
  <c r="F33" i="50" s="1"/>
  <c r="F27" i="50"/>
  <c r="E27" i="50"/>
  <c r="F23" i="50"/>
  <c r="E23" i="50"/>
  <c r="E29" i="50" s="1"/>
  <c r="E33" i="50" s="1"/>
  <c r="F26" i="49"/>
  <c r="F20" i="49"/>
  <c r="E20" i="49"/>
  <c r="F29" i="48"/>
  <c r="F23" i="48"/>
  <c r="E23" i="48"/>
  <c r="F30" i="47"/>
  <c r="F24" i="47"/>
  <c r="E24" i="47"/>
  <c r="F27" i="46"/>
  <c r="F21" i="46"/>
  <c r="E21" i="46"/>
  <c r="F26" i="45"/>
  <c r="F20" i="45"/>
  <c r="E20" i="45"/>
  <c r="F27" i="44"/>
  <c r="F21" i="44"/>
  <c r="E21" i="44"/>
  <c r="F27" i="43"/>
  <c r="F21" i="43"/>
  <c r="E21" i="43"/>
  <c r="F74" i="42"/>
  <c r="E72" i="42"/>
  <c r="E76" i="42" s="1"/>
  <c r="E70" i="42"/>
  <c r="E64" i="42"/>
  <c r="E60" i="42"/>
  <c r="F56" i="42"/>
  <c r="F54" i="42"/>
  <c r="F48" i="42"/>
  <c r="F46" i="42"/>
  <c r="E40" i="42"/>
  <c r="F36" i="42"/>
  <c r="F26" i="42"/>
  <c r="F20" i="42"/>
  <c r="F18" i="42"/>
  <c r="F12" i="42"/>
  <c r="F10" i="42"/>
  <c r="E59" i="41"/>
  <c r="E53" i="41"/>
  <c r="F51" i="41"/>
  <c r="F43" i="41"/>
  <c r="E34" i="41"/>
  <c r="E61" i="41" s="1"/>
  <c r="E65" i="41" s="1"/>
  <c r="F31" i="41"/>
  <c r="F15" i="41"/>
  <c r="F7" i="41"/>
  <c r="E82" i="40"/>
  <c r="E76" i="40"/>
  <c r="E71" i="40"/>
  <c r="E53" i="40"/>
  <c r="E49" i="40"/>
  <c r="E44" i="40"/>
  <c r="E70" i="39"/>
  <c r="E65" i="39"/>
  <c r="E58" i="39"/>
  <c r="G54" i="39"/>
  <c r="E54" i="39"/>
  <c r="E72" i="39" s="1"/>
  <c r="E77" i="39" s="1"/>
  <c r="F35" i="39" s="1"/>
  <c r="F57" i="38"/>
  <c r="F59" i="38" s="1"/>
  <c r="F63" i="38" s="1"/>
  <c r="E57" i="38"/>
  <c r="F52" i="38"/>
  <c r="E52" i="38"/>
  <c r="F48" i="38"/>
  <c r="E48" i="38"/>
  <c r="E59" i="38" s="1"/>
  <c r="E63" i="38" s="1"/>
  <c r="E78" i="37"/>
  <c r="E74" i="37"/>
  <c r="E68" i="37"/>
  <c r="E80" i="37" s="1"/>
  <c r="E84" i="37" s="1"/>
  <c r="F47" i="37" s="1"/>
  <c r="E116" i="36"/>
  <c r="F91" i="36"/>
  <c r="E83" i="36"/>
  <c r="E118" i="36" s="1"/>
  <c r="E122" i="36" s="1"/>
  <c r="F113" i="36" s="1"/>
  <c r="F63" i="36"/>
  <c r="F55" i="36"/>
  <c r="F31" i="36"/>
  <c r="F23" i="36"/>
  <c r="F104" i="35"/>
  <c r="F98" i="35"/>
  <c r="E98" i="35"/>
  <c r="F61" i="35"/>
  <c r="F100" i="35" s="1"/>
  <c r="E61" i="35"/>
  <c r="E100" i="35" s="1"/>
  <c r="E104" i="35" s="1"/>
  <c r="E27" i="34"/>
  <c r="E22" i="34"/>
  <c r="E18" i="34"/>
  <c r="E29" i="34" s="1"/>
  <c r="E33" i="34" s="1"/>
  <c r="F16" i="34"/>
  <c r="F14" i="34"/>
  <c r="F8" i="34"/>
  <c r="F15" i="33"/>
  <c r="F9" i="33"/>
  <c r="E9" i="33"/>
  <c r="F102" i="32"/>
  <c r="E102" i="32"/>
  <c r="F86" i="32"/>
  <c r="E86" i="32"/>
  <c r="F79" i="32"/>
  <c r="E79" i="32"/>
  <c r="F54" i="32"/>
  <c r="E54" i="32"/>
  <c r="E104" i="32" s="1"/>
  <c r="E108" i="32" s="1"/>
  <c r="F77" i="31"/>
  <c r="F71" i="31"/>
  <c r="E71" i="31"/>
  <c r="F22" i="31"/>
  <c r="E22" i="31"/>
  <c r="F11" i="31"/>
  <c r="E11" i="31"/>
  <c r="D29" i="30"/>
  <c r="F7" i="30"/>
  <c r="F63" i="29"/>
  <c r="F57" i="29"/>
  <c r="E57" i="29"/>
  <c r="F27" i="29"/>
  <c r="E27" i="29"/>
  <c r="E159" i="28"/>
  <c r="F151" i="28"/>
  <c r="F145" i="28"/>
  <c r="F143" i="28"/>
  <c r="F137" i="28"/>
  <c r="F129" i="28"/>
  <c r="F127" i="28"/>
  <c r="F119" i="28"/>
  <c r="F113" i="28"/>
  <c r="F111" i="28"/>
  <c r="E103" i="28"/>
  <c r="E161" i="28" s="1"/>
  <c r="E165" i="28" s="1"/>
  <c r="F153" i="28" s="1"/>
  <c r="F101" i="28"/>
  <c r="F95" i="28"/>
  <c r="F93" i="28"/>
  <c r="F87" i="28"/>
  <c r="F86" i="28"/>
  <c r="F85" i="28"/>
  <c r="F79" i="28"/>
  <c r="F78" i="28"/>
  <c r="F77" i="28"/>
  <c r="F70" i="28"/>
  <c r="F69" i="28"/>
  <c r="F63" i="28"/>
  <c r="F62" i="28"/>
  <c r="F61" i="28"/>
  <c r="F55" i="28"/>
  <c r="F54" i="28"/>
  <c r="F52" i="28"/>
  <c r="F51" i="28"/>
  <c r="F49" i="28"/>
  <c r="F48" i="28"/>
  <c r="F47" i="28"/>
  <c r="F46" i="28"/>
  <c r="F45" i="28"/>
  <c r="F43" i="28"/>
  <c r="F42" i="28"/>
  <c r="F41" i="28"/>
  <c r="F40" i="28"/>
  <c r="F39" i="28"/>
  <c r="F38" i="28"/>
  <c r="F37" i="28"/>
  <c r="F35" i="28"/>
  <c r="F34" i="28"/>
  <c r="F33" i="28"/>
  <c r="F32" i="28"/>
  <c r="F31" i="28"/>
  <c r="F30" i="28"/>
  <c r="F29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E145" i="27"/>
  <c r="E131" i="27"/>
  <c r="E125" i="27"/>
  <c r="E92" i="27"/>
  <c r="E147" i="27" s="1"/>
  <c r="E151" i="27" s="1"/>
  <c r="F78" i="26"/>
  <c r="F72" i="26"/>
  <c r="E72" i="26"/>
  <c r="F46" i="26"/>
  <c r="E46" i="26"/>
  <c r="F144" i="27" l="1"/>
  <c r="F124" i="27"/>
  <c r="F108" i="27"/>
  <c r="F91" i="27"/>
  <c r="F75" i="27"/>
  <c r="F51" i="27"/>
  <c r="F35" i="27"/>
  <c r="F11" i="27"/>
  <c r="F138" i="27"/>
  <c r="F102" i="27"/>
  <c r="F53" i="27"/>
  <c r="F21" i="27"/>
  <c r="F143" i="27"/>
  <c r="F135" i="27"/>
  <c r="F123" i="27"/>
  <c r="F115" i="27"/>
  <c r="F107" i="27"/>
  <c r="F99" i="27"/>
  <c r="F90" i="27"/>
  <c r="F82" i="27"/>
  <c r="F74" i="27"/>
  <c r="F66" i="27"/>
  <c r="F58" i="27"/>
  <c r="F50" i="27"/>
  <c r="F42" i="27"/>
  <c r="F34" i="27"/>
  <c r="F26" i="27"/>
  <c r="F18" i="27"/>
  <c r="F10" i="27"/>
  <c r="F63" i="27"/>
  <c r="F77" i="27"/>
  <c r="F142" i="27"/>
  <c r="F134" i="27"/>
  <c r="F122" i="27"/>
  <c r="F114" i="27"/>
  <c r="F106" i="27"/>
  <c r="F98" i="27"/>
  <c r="F89" i="27"/>
  <c r="F81" i="27"/>
  <c r="F73" i="27"/>
  <c r="F65" i="27"/>
  <c r="F57" i="27"/>
  <c r="F49" i="27"/>
  <c r="F41" i="27"/>
  <c r="F33" i="27"/>
  <c r="F25" i="27"/>
  <c r="F17" i="27"/>
  <c r="F9" i="27"/>
  <c r="F24" i="27"/>
  <c r="F8" i="27"/>
  <c r="F112" i="27"/>
  <c r="F87" i="27"/>
  <c r="F71" i="27"/>
  <c r="F39" i="27"/>
  <c r="F23" i="27"/>
  <c r="F45" i="27"/>
  <c r="F141" i="27"/>
  <c r="F121" i="27"/>
  <c r="F113" i="27"/>
  <c r="F105" i="27"/>
  <c r="F97" i="27"/>
  <c r="F88" i="27"/>
  <c r="F80" i="27"/>
  <c r="F72" i="27"/>
  <c r="F64" i="27"/>
  <c r="F56" i="27"/>
  <c r="F48" i="27"/>
  <c r="F40" i="27"/>
  <c r="F32" i="27"/>
  <c r="F16" i="27"/>
  <c r="F120" i="27"/>
  <c r="F104" i="27"/>
  <c r="F79" i="27"/>
  <c r="F55" i="27"/>
  <c r="F31" i="27"/>
  <c r="F69" i="27"/>
  <c r="F140" i="27"/>
  <c r="F96" i="27"/>
  <c r="F47" i="27"/>
  <c r="F15" i="27"/>
  <c r="F37" i="27"/>
  <c r="F139" i="27"/>
  <c r="F129" i="27"/>
  <c r="F131" i="27" s="1"/>
  <c r="F119" i="27"/>
  <c r="F111" i="27"/>
  <c r="F103" i="27"/>
  <c r="F95" i="27"/>
  <c r="F86" i="27"/>
  <c r="F78" i="27"/>
  <c r="F70" i="27"/>
  <c r="F62" i="27"/>
  <c r="F54" i="27"/>
  <c r="F46" i="27"/>
  <c r="F38" i="27"/>
  <c r="F30" i="27"/>
  <c r="F22" i="27"/>
  <c r="F14" i="27"/>
  <c r="F110" i="27"/>
  <c r="F85" i="27"/>
  <c r="F29" i="27"/>
  <c r="F137" i="27"/>
  <c r="F117" i="27"/>
  <c r="F109" i="27"/>
  <c r="F101" i="27"/>
  <c r="F84" i="27"/>
  <c r="F76" i="27"/>
  <c r="F68" i="27"/>
  <c r="F60" i="27"/>
  <c r="F52" i="27"/>
  <c r="F44" i="27"/>
  <c r="F36" i="27"/>
  <c r="F28" i="27"/>
  <c r="F20" i="27"/>
  <c r="F12" i="27"/>
  <c r="F136" i="27"/>
  <c r="F116" i="27"/>
  <c r="F100" i="27"/>
  <c r="F83" i="27"/>
  <c r="F67" i="27"/>
  <c r="F59" i="27"/>
  <c r="F43" i="27"/>
  <c r="F27" i="27"/>
  <c r="F19" i="27"/>
  <c r="F118" i="27"/>
  <c r="F61" i="27"/>
  <c r="F13" i="27"/>
  <c r="F25" i="36"/>
  <c r="F57" i="36"/>
  <c r="F89" i="36"/>
  <c r="F33" i="37"/>
  <c r="F65" i="37"/>
  <c r="F19" i="39"/>
  <c r="F51" i="39"/>
  <c r="F57" i="41"/>
  <c r="F48" i="41"/>
  <c r="F40" i="41"/>
  <c r="F28" i="41"/>
  <c r="F20" i="41"/>
  <c r="F12" i="41"/>
  <c r="F56" i="41"/>
  <c r="F47" i="41"/>
  <c r="F39" i="41"/>
  <c r="F53" i="41" s="1"/>
  <c r="F27" i="41"/>
  <c r="F19" i="41"/>
  <c r="F11" i="41"/>
  <c r="F46" i="41"/>
  <c r="F26" i="41"/>
  <c r="F18" i="41"/>
  <c r="F10" i="41"/>
  <c r="F52" i="41"/>
  <c r="F44" i="41"/>
  <c r="F32" i="41"/>
  <c r="F24" i="41"/>
  <c r="F16" i="41"/>
  <c r="F8" i="41"/>
  <c r="F50" i="41"/>
  <c r="F42" i="41"/>
  <c r="F30" i="41"/>
  <c r="F22" i="41"/>
  <c r="F14" i="41"/>
  <c r="F58" i="41"/>
  <c r="F49" i="41"/>
  <c r="F41" i="41"/>
  <c r="F29" i="41"/>
  <c r="F21" i="41"/>
  <c r="F13" i="41"/>
  <c r="F34" i="41" s="1"/>
  <c r="F21" i="39"/>
  <c r="F53" i="39"/>
  <c r="F28" i="28"/>
  <c r="F103" i="28" s="1"/>
  <c r="F36" i="28"/>
  <c r="F44" i="28"/>
  <c r="F53" i="28"/>
  <c r="F71" i="28"/>
  <c r="F94" i="28"/>
  <c r="F121" i="28"/>
  <c r="F11" i="34"/>
  <c r="F10" i="34"/>
  <c r="F17" i="34"/>
  <c r="F9" i="34"/>
  <c r="F26" i="34"/>
  <c r="F27" i="34" s="1"/>
  <c r="F15" i="34"/>
  <c r="F13" i="34"/>
  <c r="F31" i="34"/>
  <c r="F21" i="34"/>
  <c r="F22" i="34" s="1"/>
  <c r="F12" i="34"/>
  <c r="F33" i="36"/>
  <c r="F65" i="36"/>
  <c r="F97" i="36"/>
  <c r="F9" i="37"/>
  <c r="F41" i="37"/>
  <c r="F72" i="37"/>
  <c r="F27" i="39"/>
  <c r="F9" i="41"/>
  <c r="F45" i="41"/>
  <c r="F69" i="42"/>
  <c r="F59" i="42"/>
  <c r="F51" i="42"/>
  <c r="F31" i="42"/>
  <c r="F23" i="42"/>
  <c r="F15" i="42"/>
  <c r="F7" i="42"/>
  <c r="F68" i="42"/>
  <c r="F58" i="42"/>
  <c r="F50" i="42"/>
  <c r="F38" i="42"/>
  <c r="F30" i="42"/>
  <c r="F22" i="42"/>
  <c r="F14" i="42"/>
  <c r="F67" i="42"/>
  <c r="F57" i="42"/>
  <c r="F49" i="42"/>
  <c r="F37" i="42"/>
  <c r="F29" i="42"/>
  <c r="F21" i="42"/>
  <c r="F13" i="42"/>
  <c r="F55" i="42"/>
  <c r="F47" i="42"/>
  <c r="F35" i="42"/>
  <c r="F27" i="42"/>
  <c r="F19" i="42"/>
  <c r="F11" i="42"/>
  <c r="F53" i="42"/>
  <c r="F45" i="42"/>
  <c r="F33" i="42"/>
  <c r="F25" i="42"/>
  <c r="F17" i="42"/>
  <c r="F9" i="42"/>
  <c r="F52" i="42"/>
  <c r="F32" i="42"/>
  <c r="F24" i="42"/>
  <c r="F16" i="42"/>
  <c r="F8" i="42"/>
  <c r="F39" i="36"/>
  <c r="F71" i="36"/>
  <c r="F99" i="36"/>
  <c r="F15" i="37"/>
  <c r="F29" i="39"/>
  <c r="F60" i="37"/>
  <c r="F52" i="37"/>
  <c r="F44" i="37"/>
  <c r="F36" i="37"/>
  <c r="F28" i="37"/>
  <c r="F20" i="37"/>
  <c r="F12" i="37"/>
  <c r="F77" i="37"/>
  <c r="F78" i="37" s="1"/>
  <c r="F67" i="37"/>
  <c r="F59" i="37"/>
  <c r="F51" i="37"/>
  <c r="F43" i="37"/>
  <c r="F35" i="37"/>
  <c r="F27" i="37"/>
  <c r="F19" i="37"/>
  <c r="F11" i="37"/>
  <c r="F66" i="37"/>
  <c r="F58" i="37"/>
  <c r="F50" i="37"/>
  <c r="F42" i="37"/>
  <c r="F34" i="37"/>
  <c r="F26" i="37"/>
  <c r="F18" i="37"/>
  <c r="F10" i="37"/>
  <c r="F73" i="37"/>
  <c r="F64" i="37"/>
  <c r="F56" i="37"/>
  <c r="F48" i="37"/>
  <c r="F40" i="37"/>
  <c r="F32" i="37"/>
  <c r="F24" i="37"/>
  <c r="F16" i="37"/>
  <c r="F8" i="37"/>
  <c r="F71" i="37"/>
  <c r="F62" i="37"/>
  <c r="F54" i="37"/>
  <c r="F46" i="37"/>
  <c r="F38" i="37"/>
  <c r="F30" i="37"/>
  <c r="F22" i="37"/>
  <c r="F14" i="37"/>
  <c r="F61" i="37"/>
  <c r="F53" i="37"/>
  <c r="F45" i="37"/>
  <c r="F37" i="37"/>
  <c r="F29" i="37"/>
  <c r="F21" i="37"/>
  <c r="F13" i="37"/>
  <c r="F9" i="36"/>
  <c r="F41" i="36"/>
  <c r="F73" i="36"/>
  <c r="F105" i="36"/>
  <c r="F17" i="37"/>
  <c r="F49" i="37"/>
  <c r="E84" i="40"/>
  <c r="E88" i="40" s="1"/>
  <c r="F17" i="41"/>
  <c r="F75" i="39"/>
  <c r="F48" i="39"/>
  <c r="F40" i="39"/>
  <c r="F32" i="39"/>
  <c r="F24" i="39"/>
  <c r="F16" i="39"/>
  <c r="F8" i="39"/>
  <c r="F74" i="39"/>
  <c r="F47" i="39"/>
  <c r="F39" i="39"/>
  <c r="F31" i="39"/>
  <c r="F23" i="39"/>
  <c r="F15" i="39"/>
  <c r="F64" i="39"/>
  <c r="F46" i="39"/>
  <c r="F38" i="39"/>
  <c r="F30" i="39"/>
  <c r="F22" i="39"/>
  <c r="F14" i="39"/>
  <c r="F62" i="39"/>
  <c r="F52" i="39"/>
  <c r="F44" i="39"/>
  <c r="F36" i="39"/>
  <c r="F28" i="39"/>
  <c r="F20" i="39"/>
  <c r="F12" i="39"/>
  <c r="F69" i="39"/>
  <c r="F50" i="39"/>
  <c r="F42" i="39"/>
  <c r="F34" i="39"/>
  <c r="F26" i="39"/>
  <c r="F18" i="39"/>
  <c r="F10" i="39"/>
  <c r="F68" i="39"/>
  <c r="F57" i="39"/>
  <c r="F58" i="39" s="1"/>
  <c r="F49" i="39"/>
  <c r="F41" i="39"/>
  <c r="F33" i="39"/>
  <c r="F25" i="39"/>
  <c r="F17" i="39"/>
  <c r="F9" i="39"/>
  <c r="F156" i="28"/>
  <c r="F148" i="28"/>
  <c r="F140" i="28"/>
  <c r="F132" i="28"/>
  <c r="F124" i="28"/>
  <c r="F116" i="28"/>
  <c r="F108" i="28"/>
  <c r="F98" i="28"/>
  <c r="F90" i="28"/>
  <c r="F82" i="28"/>
  <c r="F74" i="28"/>
  <c r="F66" i="28"/>
  <c r="F58" i="28"/>
  <c r="F50" i="28"/>
  <c r="F155" i="28"/>
  <c r="F147" i="28"/>
  <c r="F139" i="28"/>
  <c r="F131" i="28"/>
  <c r="F123" i="28"/>
  <c r="F115" i="28"/>
  <c r="F107" i="28"/>
  <c r="F97" i="28"/>
  <c r="F89" i="28"/>
  <c r="F81" i="28"/>
  <c r="F73" i="28"/>
  <c r="F65" i="28"/>
  <c r="F57" i="28"/>
  <c r="F154" i="28"/>
  <c r="F146" i="28"/>
  <c r="F138" i="28"/>
  <c r="F130" i="28"/>
  <c r="F122" i="28"/>
  <c r="F114" i="28"/>
  <c r="F106" i="28"/>
  <c r="F96" i="28"/>
  <c r="F88" i="28"/>
  <c r="F80" i="28"/>
  <c r="F72" i="28"/>
  <c r="F64" i="28"/>
  <c r="F56" i="28"/>
  <c r="F152" i="28"/>
  <c r="F144" i="28"/>
  <c r="F136" i="28"/>
  <c r="F128" i="28"/>
  <c r="F120" i="28"/>
  <c r="F112" i="28"/>
  <c r="F150" i="28"/>
  <c r="F142" i="28"/>
  <c r="F134" i="28"/>
  <c r="F126" i="28"/>
  <c r="F118" i="28"/>
  <c r="F110" i="28"/>
  <c r="F100" i="28"/>
  <c r="F92" i="28"/>
  <c r="F84" i="28"/>
  <c r="F76" i="28"/>
  <c r="F68" i="28"/>
  <c r="F60" i="28"/>
  <c r="F157" i="28"/>
  <c r="F149" i="28"/>
  <c r="F141" i="28"/>
  <c r="F133" i="28"/>
  <c r="F125" i="28"/>
  <c r="F117" i="28"/>
  <c r="F109" i="28"/>
  <c r="F99" i="28"/>
  <c r="F91" i="28"/>
  <c r="F83" i="28"/>
  <c r="F75" i="28"/>
  <c r="F67" i="28"/>
  <c r="F59" i="28"/>
  <c r="F135" i="28"/>
  <c r="F104" i="32"/>
  <c r="F108" i="32" s="1"/>
  <c r="F15" i="36"/>
  <c r="F47" i="36"/>
  <c r="F79" i="36"/>
  <c r="F107" i="36"/>
  <c r="F23" i="37"/>
  <c r="F55" i="37"/>
  <c r="F37" i="39"/>
  <c r="F23" i="41"/>
  <c r="F28" i="42"/>
  <c r="F39" i="37"/>
  <c r="F17" i="36"/>
  <c r="F49" i="36"/>
  <c r="F81" i="36"/>
  <c r="F25" i="37"/>
  <c r="F57" i="37"/>
  <c r="F11" i="39"/>
  <c r="F43" i="39"/>
  <c r="F63" i="39"/>
  <c r="F25" i="41"/>
  <c r="F34" i="42"/>
  <c r="F63" i="42"/>
  <c r="F64" i="42" s="1"/>
  <c r="F18" i="34"/>
  <c r="F29" i="34" s="1"/>
  <c r="F33" i="34" s="1"/>
  <c r="F110" i="36"/>
  <c r="F102" i="36"/>
  <c r="F94" i="36"/>
  <c r="F86" i="36"/>
  <c r="F76" i="36"/>
  <c r="F68" i="36"/>
  <c r="F60" i="36"/>
  <c r="F52" i="36"/>
  <c r="F44" i="36"/>
  <c r="F36" i="36"/>
  <c r="F28" i="36"/>
  <c r="F20" i="36"/>
  <c r="F12" i="36"/>
  <c r="F109" i="36"/>
  <c r="F101" i="36"/>
  <c r="F93" i="36"/>
  <c r="F75" i="36"/>
  <c r="F67" i="36"/>
  <c r="F59" i="36"/>
  <c r="F51" i="36"/>
  <c r="F43" i="36"/>
  <c r="F35" i="36"/>
  <c r="F27" i="36"/>
  <c r="F19" i="36"/>
  <c r="F11" i="36"/>
  <c r="F108" i="36"/>
  <c r="F100" i="36"/>
  <c r="F92" i="36"/>
  <c r="F74" i="36"/>
  <c r="F66" i="36"/>
  <c r="F58" i="36"/>
  <c r="F50" i="36"/>
  <c r="F42" i="36"/>
  <c r="F34" i="36"/>
  <c r="F26" i="36"/>
  <c r="F18" i="36"/>
  <c r="F10" i="36"/>
  <c r="F114" i="36"/>
  <c r="F106" i="36"/>
  <c r="F98" i="36"/>
  <c r="F90" i="36"/>
  <c r="F80" i="36"/>
  <c r="F72" i="36"/>
  <c r="F64" i="36"/>
  <c r="F56" i="36"/>
  <c r="F48" i="36"/>
  <c r="F40" i="36"/>
  <c r="F32" i="36"/>
  <c r="F24" i="36"/>
  <c r="F16" i="36"/>
  <c r="F8" i="36"/>
  <c r="F112" i="36"/>
  <c r="F104" i="36"/>
  <c r="F96" i="36"/>
  <c r="F88" i="36"/>
  <c r="F78" i="36"/>
  <c r="F70" i="36"/>
  <c r="F62" i="36"/>
  <c r="F54" i="36"/>
  <c r="F46" i="36"/>
  <c r="F38" i="36"/>
  <c r="F30" i="36"/>
  <c r="F22" i="36"/>
  <c r="F14" i="36"/>
  <c r="F111" i="36"/>
  <c r="F103" i="36"/>
  <c r="F95" i="36"/>
  <c r="F87" i="36"/>
  <c r="F77" i="36"/>
  <c r="F69" i="36"/>
  <c r="F61" i="36"/>
  <c r="F53" i="36"/>
  <c r="F45" i="36"/>
  <c r="F37" i="36"/>
  <c r="F29" i="36"/>
  <c r="F21" i="36"/>
  <c r="F13" i="36"/>
  <c r="F115" i="36"/>
  <c r="F31" i="37"/>
  <c r="F63" i="37"/>
  <c r="F13" i="39"/>
  <c r="F45" i="39"/>
  <c r="F70" i="39" l="1"/>
  <c r="F68" i="37"/>
  <c r="F60" i="42"/>
  <c r="F125" i="27"/>
  <c r="F54" i="39"/>
  <c r="F72" i="39" s="1"/>
  <c r="F77" i="39" s="1"/>
  <c r="F86" i="40"/>
  <c r="F68" i="40"/>
  <c r="F60" i="40"/>
  <c r="F36" i="40"/>
  <c r="F28" i="40"/>
  <c r="F20" i="40"/>
  <c r="F12" i="40"/>
  <c r="F67" i="40"/>
  <c r="F59" i="40"/>
  <c r="F43" i="40"/>
  <c r="F35" i="40"/>
  <c r="F27" i="40"/>
  <c r="F19" i="40"/>
  <c r="F11" i="40"/>
  <c r="F75" i="40"/>
  <c r="F66" i="40"/>
  <c r="F58" i="40"/>
  <c r="F71" i="40" s="1"/>
  <c r="F42" i="40"/>
  <c r="F34" i="40"/>
  <c r="F26" i="40"/>
  <c r="F18" i="40"/>
  <c r="F10" i="40"/>
  <c r="F64" i="40"/>
  <c r="F40" i="40"/>
  <c r="F32" i="40"/>
  <c r="F24" i="40"/>
  <c r="F16" i="40"/>
  <c r="F8" i="40"/>
  <c r="F80" i="40"/>
  <c r="F70" i="40"/>
  <c r="F62" i="40"/>
  <c r="F38" i="40"/>
  <c r="F30" i="40"/>
  <c r="F22" i="40"/>
  <c r="F14" i="40"/>
  <c r="F79" i="40"/>
  <c r="F69" i="40"/>
  <c r="F61" i="40"/>
  <c r="F37" i="40"/>
  <c r="F29" i="40"/>
  <c r="F21" i="40"/>
  <c r="F13" i="40"/>
  <c r="F25" i="40"/>
  <c r="F81" i="40"/>
  <c r="F52" i="40"/>
  <c r="F53" i="40" s="1"/>
  <c r="F23" i="40"/>
  <c r="F17" i="40"/>
  <c r="F74" i="40"/>
  <c r="F76" i="40" s="1"/>
  <c r="F15" i="40"/>
  <c r="F41" i="40"/>
  <c r="F9" i="40"/>
  <c r="F65" i="40"/>
  <c r="F39" i="40"/>
  <c r="F7" i="40"/>
  <c r="F63" i="40"/>
  <c r="F31" i="40"/>
  <c r="F33" i="40"/>
  <c r="F59" i="41"/>
  <c r="F61" i="41" s="1"/>
  <c r="F65" i="41" s="1"/>
  <c r="F116" i="36"/>
  <c r="F65" i="39"/>
  <c r="F92" i="27"/>
  <c r="F83" i="36"/>
  <c r="F118" i="36" s="1"/>
  <c r="F122" i="36" s="1"/>
  <c r="F159" i="28"/>
  <c r="F161" i="28" s="1"/>
  <c r="F165" i="28" s="1"/>
  <c r="F70" i="42"/>
  <c r="F40" i="42"/>
  <c r="F72" i="42" s="1"/>
  <c r="F76" i="42" s="1"/>
  <c r="F145" i="27"/>
  <c r="F74" i="37"/>
  <c r="F44" i="40" l="1"/>
  <c r="F80" i="37"/>
  <c r="F84" i="37" s="1"/>
  <c r="F82" i="40"/>
  <c r="F147" i="27"/>
  <c r="F151" i="27" s="1"/>
  <c r="F84" i="40" l="1"/>
  <c r="F88" i="40" s="1"/>
  <c r="D13" i="18" l="1"/>
  <c r="E8" i="5" l="1"/>
  <c r="D8" i="5"/>
  <c r="D11" i="4" l="1"/>
  <c r="E11" i="14" l="1"/>
  <c r="D11" i="14"/>
  <c r="E14" i="15"/>
  <c r="E9" i="16"/>
  <c r="E13" i="16" s="1"/>
  <c r="D9" i="16"/>
  <c r="E9" i="24" l="1"/>
  <c r="D11" i="24"/>
  <c r="E7" i="24"/>
  <c r="D7" i="24"/>
  <c r="F67" i="7" l="1"/>
  <c r="F66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7" i="7"/>
  <c r="E69" i="7"/>
  <c r="G64" i="7" l="1"/>
  <c r="E41" i="6"/>
  <c r="E42" i="6" s="1"/>
  <c r="F47" i="19"/>
  <c r="E47" i="19"/>
  <c r="F82" i="21"/>
  <c r="G82" i="21"/>
  <c r="E87" i="21"/>
  <c r="F85" i="21" s="1"/>
  <c r="F84" i="21" l="1"/>
  <c r="F54" i="25" l="1"/>
  <c r="E11" i="24"/>
  <c r="F68" i="23"/>
  <c r="F56" i="23"/>
  <c r="E56" i="23"/>
  <c r="F87" i="21"/>
  <c r="F53" i="19"/>
  <c r="F40" i="19"/>
  <c r="E40" i="19"/>
  <c r="E13" i="18"/>
  <c r="F61" i="17"/>
  <c r="E15" i="14"/>
  <c r="E15" i="13"/>
  <c r="E15" i="12"/>
  <c r="F72" i="8"/>
  <c r="F60" i="8"/>
  <c r="F66" i="8"/>
  <c r="E66" i="8"/>
  <c r="E60" i="8"/>
  <c r="F64" i="7"/>
  <c r="F69" i="7" s="1"/>
  <c r="E64" i="7"/>
  <c r="E38" i="6"/>
  <c r="E44" i="6" s="1"/>
  <c r="E48" i="6" s="1"/>
  <c r="E12" i="5"/>
  <c r="F47" i="3"/>
  <c r="F41" i="3"/>
  <c r="E41" i="3"/>
  <c r="F46" i="6" l="1"/>
  <c r="F8" i="6"/>
  <c r="F12" i="6"/>
  <c r="F16" i="6"/>
  <c r="F20" i="6"/>
  <c r="F24" i="6"/>
  <c r="F28" i="6"/>
  <c r="F32" i="6"/>
  <c r="F36" i="6"/>
  <c r="F9" i="6"/>
  <c r="F13" i="6"/>
  <c r="F17" i="6"/>
  <c r="F21" i="6"/>
  <c r="F29" i="6"/>
  <c r="F33" i="6"/>
  <c r="F37" i="6"/>
  <c r="F10" i="6"/>
  <c r="F14" i="6"/>
  <c r="F22" i="6"/>
  <c r="F26" i="6"/>
  <c r="F34" i="6"/>
  <c r="F23" i="6"/>
  <c r="F31" i="6"/>
  <c r="F25" i="6"/>
  <c r="F18" i="6"/>
  <c r="F30" i="6"/>
  <c r="F7" i="6"/>
  <c r="F11" i="6"/>
  <c r="F15" i="6"/>
  <c r="F19" i="6"/>
  <c r="F27" i="6"/>
  <c r="F35" i="6"/>
  <c r="F41" i="6"/>
  <c r="F42" i="6" s="1"/>
  <c r="F38" i="6" l="1"/>
  <c r="F44" i="6" s="1"/>
  <c r="F48" i="6" s="1"/>
</calcChain>
</file>

<file path=xl/sharedStrings.xml><?xml version="1.0" encoding="utf-8"?>
<sst xmlns="http://schemas.openxmlformats.org/spreadsheetml/2006/main" count="8880" uniqueCount="1965">
  <si>
    <t>Franklin Asian Equity Fund As of Date -  31Oct2019</t>
  </si>
  <si>
    <t>ISIN Number</t>
  </si>
  <si>
    <t>Instrument Name</t>
  </si>
  <si>
    <t>Industry Classification</t>
  </si>
  <si>
    <t>Quantity</t>
  </si>
  <si>
    <t xml:space="preserve">Market Value(Rs. in Lakhs) </t>
  </si>
  <si>
    <t>% to Net Assets</t>
  </si>
  <si>
    <t>Equity &amp; Equity Related</t>
  </si>
  <si>
    <t>(a) Listed / awaiting listing on Stock Exchanges</t>
  </si>
  <si>
    <t>INE040A01034</t>
  </si>
  <si>
    <t>HDFC Bank Ltd.</t>
  </si>
  <si>
    <t>Banks</t>
  </si>
  <si>
    <t>INE849A01020</t>
  </si>
  <si>
    <t>Trent Ltd.</t>
  </si>
  <si>
    <t>Retailing</t>
  </si>
  <si>
    <t>INE053A01029</t>
  </si>
  <si>
    <t>Indian Hotels Co. Ltd.</t>
  </si>
  <si>
    <t>INE093I01010</t>
  </si>
  <si>
    <t>Oberoi Realty Ltd.</t>
  </si>
  <si>
    <t>Construction</t>
  </si>
  <si>
    <t>INE237A01028</t>
  </si>
  <si>
    <t>Kotak Mahindra Bank Ltd.</t>
  </si>
  <si>
    <t>INE038A01020</t>
  </si>
  <si>
    <t>Hindalco Industries Ltd.</t>
  </si>
  <si>
    <t>Non - Ferrous Metals</t>
  </si>
  <si>
    <t>INE410P01011</t>
  </si>
  <si>
    <t>Narayana Hrudayalaya Ltd., Reg S</t>
  </si>
  <si>
    <t>Healthcare Services</t>
  </si>
  <si>
    <t>INE338I01027</t>
  </si>
  <si>
    <t>Motilal Oswal Financial Services Ltd.</t>
  </si>
  <si>
    <t>Finance</t>
  </si>
  <si>
    <t>INE155A01022</t>
  </si>
  <si>
    <t>Tata Motors Ltd.</t>
  </si>
  <si>
    <t>Auto</t>
  </si>
  <si>
    <t>INE192A01025</t>
  </si>
  <si>
    <t>Tata Global Beverages Ltd.</t>
  </si>
  <si>
    <t>Consumer Non Durables</t>
  </si>
  <si>
    <t>INE298A01020</t>
  </si>
  <si>
    <t>Cummins India Ltd.</t>
  </si>
  <si>
    <t>Industrial Products</t>
  </si>
  <si>
    <t>INE669E01016</t>
  </si>
  <si>
    <t>Vodafone Idea Ltd.</t>
  </si>
  <si>
    <t>Telecom - Services</t>
  </si>
  <si>
    <t>Total</t>
  </si>
  <si>
    <t>Foreign Equity Securities</t>
  </si>
  <si>
    <t>CNE1000002M1</t>
  </si>
  <si>
    <t>China Merchants Bank Co. Ltd., H</t>
  </si>
  <si>
    <t>CNE1000003X6</t>
  </si>
  <si>
    <t>HK0000069689</t>
  </si>
  <si>
    <t>AIA Group Ltd.</t>
  </si>
  <si>
    <t>HK0669013440</t>
  </si>
  <si>
    <t>Techtronic Industries Co. Ltd.</t>
  </si>
  <si>
    <t>HK0883013259</t>
  </si>
  <si>
    <t>CNOOC Ltd.</t>
  </si>
  <si>
    <t>Oil</t>
  </si>
  <si>
    <t>ID1000061302</t>
  </si>
  <si>
    <t>Indocement Tunggal Prakarsa Tbk PT</t>
  </si>
  <si>
    <t>Cement</t>
  </si>
  <si>
    <t>ID1000106800</t>
  </si>
  <si>
    <t>Semen Indonesia (Persero) Tbk PT</t>
  </si>
  <si>
    <t>ID1000109507</t>
  </si>
  <si>
    <t>Bank Central Asia Tbk PT</t>
  </si>
  <si>
    <t>ID1000125503</t>
  </si>
  <si>
    <t>ACE Hardware Indonesia Tbk PT</t>
  </si>
  <si>
    <t>KYG2108Y1052</t>
  </si>
  <si>
    <t>China Resources Land Ltd.</t>
  </si>
  <si>
    <t>KYG210961051</t>
  </si>
  <si>
    <t>China Mengniu Dairy Co. Ltd.</t>
  </si>
  <si>
    <t>KYG2121R1039</t>
  </si>
  <si>
    <t>China Literature Ltd.</t>
  </si>
  <si>
    <t>Media &amp; Entertainment</t>
  </si>
  <si>
    <t>KYG4387E1070</t>
  </si>
  <si>
    <t>Health &amp; Happiness H&amp;H International Holdings Ltd.</t>
  </si>
  <si>
    <t>KYG8586D1097</t>
  </si>
  <si>
    <t>Sunny Optical Technology Group Co. Ltd.</t>
  </si>
  <si>
    <t>Hardware</t>
  </si>
  <si>
    <t>KYG875721634</t>
  </si>
  <si>
    <t>Tencent Holdings Ltd.</t>
  </si>
  <si>
    <t>Software</t>
  </si>
  <si>
    <t>LU0633102719</t>
  </si>
  <si>
    <t>Samsonite International SA</t>
  </si>
  <si>
    <t>SG1L01001701</t>
  </si>
  <si>
    <t>DBS Group Holdings Ltd.</t>
  </si>
  <si>
    <t>TH0003010Z12</t>
  </si>
  <si>
    <t>The Siam Cement PCL, fgn.</t>
  </si>
  <si>
    <t>TH0128B10Z17</t>
  </si>
  <si>
    <t>Minor International PCL, fgn.</t>
  </si>
  <si>
    <t>TH0737010Y16</t>
  </si>
  <si>
    <t>TW0002330008</t>
  </si>
  <si>
    <t>Taiwan Semiconductor Manufacturing Co. Ltd.</t>
  </si>
  <si>
    <t>TW0003008009</t>
  </si>
  <si>
    <t>Largan Precision Co. Ltd.</t>
  </si>
  <si>
    <t>Consumer Durables</t>
  </si>
  <si>
    <t>TW0006414006</t>
  </si>
  <si>
    <t>Ennoconn Corp.</t>
  </si>
  <si>
    <t>US01609W1027</t>
  </si>
  <si>
    <t>Alibaba Group Holding Ltd., ADR</t>
  </si>
  <si>
    <t>US6475811070</t>
  </si>
  <si>
    <t>New Oriental Education &amp; Technology Group Inc., ADR</t>
  </si>
  <si>
    <t>Diversified Consumer Service</t>
  </si>
  <si>
    <t>Call, Cash &amp; Other Assets</t>
  </si>
  <si>
    <t>Net Asset</t>
  </si>
  <si>
    <t>Note</t>
  </si>
  <si>
    <t>a) NAV at the beginning and at the end of the Half-year ended 31Oct2019</t>
  </si>
  <si>
    <t>NAV as on 30-Apr-2019</t>
  </si>
  <si>
    <t>NAV as on 31-Oct-2019</t>
  </si>
  <si>
    <t>b) Dividends declared during the Half - year ended 31-Oct-2019</t>
  </si>
  <si>
    <t>Nil</t>
  </si>
  <si>
    <t>Franklin Build India Fund As of Date -  31Oct2019</t>
  </si>
  <si>
    <t>INE090A01021</t>
  </si>
  <si>
    <t>ICICI Bank Ltd.</t>
  </si>
  <si>
    <t>INE062A01020</t>
  </si>
  <si>
    <t>State Bank of India</t>
  </si>
  <si>
    <t>INE397D01024</t>
  </si>
  <si>
    <t>Bharti Airtel Ltd.</t>
  </si>
  <si>
    <t>INE242A01010</t>
  </si>
  <si>
    <t>Indian Oil Corp. Ltd.</t>
  </si>
  <si>
    <t>Petroleum Products</t>
  </si>
  <si>
    <t>INE733E01010</t>
  </si>
  <si>
    <t>NTPC Ltd.</t>
  </si>
  <si>
    <t>Power</t>
  </si>
  <si>
    <t>INE238A01034</t>
  </si>
  <si>
    <t>Axis Bank Ltd.</t>
  </si>
  <si>
    <t>INE029A01011</t>
  </si>
  <si>
    <t>Bharat Petroleum Corp. Ltd.</t>
  </si>
  <si>
    <t>INE878B01027</t>
  </si>
  <si>
    <t>KEI Industries Ltd.</t>
  </si>
  <si>
    <t>INE481G01011</t>
  </si>
  <si>
    <t>UltraTech Cement Ltd.</t>
  </si>
  <si>
    <t>INE347G01014</t>
  </si>
  <si>
    <t>Petronet LNG Ltd.</t>
  </si>
  <si>
    <t>Gas</t>
  </si>
  <si>
    <t>INE012A01025</t>
  </si>
  <si>
    <t>ACC Ltd.</t>
  </si>
  <si>
    <t>INE213A01029</t>
  </si>
  <si>
    <t>Oil &amp; Natural Gas Corp. Ltd.</t>
  </si>
  <si>
    <t>INE129A01019</t>
  </si>
  <si>
    <t>GAIL India Ltd.</t>
  </si>
  <si>
    <t>INE285B01017</t>
  </si>
  <si>
    <t>SpiceJet Ltd.</t>
  </si>
  <si>
    <t>Transportation</t>
  </si>
  <si>
    <t>INE671H01015</t>
  </si>
  <si>
    <t>Sobha Ltd.</t>
  </si>
  <si>
    <t>INE786A01032</t>
  </si>
  <si>
    <t>JK Lakshmi Cement Ltd.</t>
  </si>
  <si>
    <t>INE774D01024</t>
  </si>
  <si>
    <t>Mahindra &amp; Mahindra Financial Services Ltd.</t>
  </si>
  <si>
    <t>INE235A01022</t>
  </si>
  <si>
    <t>Finolex Cables Ltd.</t>
  </si>
  <si>
    <t>IN9155A01020</t>
  </si>
  <si>
    <t>INE349A01021</t>
  </si>
  <si>
    <t>NRB Bearings Ltd.</t>
  </si>
  <si>
    <t>INE517F01014</t>
  </si>
  <si>
    <t>Gujarat Pipavav Port Ltd.</t>
  </si>
  <si>
    <t>INE139A01034</t>
  </si>
  <si>
    <t>National Aluminium Co. Ltd.</t>
  </si>
  <si>
    <t>INE513A01014</t>
  </si>
  <si>
    <t>Schaeffler India Ltd.</t>
  </si>
  <si>
    <t>INE323I01011</t>
  </si>
  <si>
    <t>Puravankara Projects Ltd.</t>
  </si>
  <si>
    <t>INE686A01026</t>
  </si>
  <si>
    <t>ITD Cementation India Ltd.</t>
  </si>
  <si>
    <t>INE111A01025</t>
  </si>
  <si>
    <t>Container Corp. of India Ltd.</t>
  </si>
  <si>
    <t>INE355A01028</t>
  </si>
  <si>
    <t>Somany Ceramics Ltd.</t>
  </si>
  <si>
    <t>INE227C01017</t>
  </si>
  <si>
    <t>M.M. Forgings Ltd.</t>
  </si>
  <si>
    <t>INE470Y01017</t>
  </si>
  <si>
    <t>The New India Assurance Co. Ltd., Reg S</t>
  </si>
  <si>
    <t>INE160A01022</t>
  </si>
  <si>
    <t>Punjab National Bank Ltd.</t>
  </si>
  <si>
    <t>INE871K01015</t>
  </si>
  <si>
    <t>Hindustan Media Ventures Ltd.</t>
  </si>
  <si>
    <r>
      <t>Franklin India Feeder - Franklin European Growth F</t>
    </r>
    <r>
      <rPr>
        <b/>
        <sz val="8"/>
        <color theme="1"/>
        <rFont val="Arial"/>
        <family val="2"/>
      </rPr>
      <t>und As of Date -  31Oct2019</t>
    </r>
  </si>
  <si>
    <t>INF090I01GK1</t>
  </si>
  <si>
    <t>INE089A01023</t>
  </si>
  <si>
    <t>Dr Reddy's Laboratories Ltd.</t>
  </si>
  <si>
    <t>Pharmaceuticals</t>
  </si>
  <si>
    <t>INE123W01016</t>
  </si>
  <si>
    <t>SBI Life Insurance Co. Ltd.</t>
  </si>
  <si>
    <t>INE860A01027</t>
  </si>
  <si>
    <t>HCL Technologies Ltd.</t>
  </si>
  <si>
    <t>INE047A01021</t>
  </si>
  <si>
    <t>Grasim Industries Ltd.</t>
  </si>
  <si>
    <t>INE009A01021</t>
  </si>
  <si>
    <t>Infosys Ltd.</t>
  </si>
  <si>
    <t>INE326A01037</t>
  </si>
  <si>
    <t>Lupin Ltd.</t>
  </si>
  <si>
    <t>INE646L01027</t>
  </si>
  <si>
    <t>InterGlobe Aviation Ltd., Reg S</t>
  </si>
  <si>
    <t>INE079A01024</t>
  </si>
  <si>
    <t>Ambuja Cements Ltd.</t>
  </si>
  <si>
    <t>INE010B01027</t>
  </si>
  <si>
    <t>Cadila Healthcare Ltd.</t>
  </si>
  <si>
    <t>INE018A01030</t>
  </si>
  <si>
    <t>Larsen &amp; Toubro Ltd.</t>
  </si>
  <si>
    <t>Construction Project</t>
  </si>
  <si>
    <t>INE101A01026</t>
  </si>
  <si>
    <t>Mahindra &amp; Mahindra Ltd.</t>
  </si>
  <si>
    <t>INE686F01025</t>
  </si>
  <si>
    <t>United Breweries Ltd.</t>
  </si>
  <si>
    <t>INE528G01027</t>
  </si>
  <si>
    <t>Yes Bank Ltd.</t>
  </si>
  <si>
    <r>
      <t>Franklin India BlueChip Fund As of Date -  31Oct20</t>
    </r>
    <r>
      <rPr>
        <b/>
        <sz val="8"/>
        <color theme="1"/>
        <rFont val="Arial"/>
        <family val="2"/>
      </rPr>
      <t>19</t>
    </r>
  </si>
  <si>
    <t>INE245A01021</t>
  </si>
  <si>
    <t>Tata Power Co. Ltd.</t>
  </si>
  <si>
    <t>INE752E01010</t>
  </si>
  <si>
    <t>Power Grid Corp. of India Ltd.</t>
  </si>
  <si>
    <t>INE149A01033</t>
  </si>
  <si>
    <t>Cholamandalam Financial Holdings Ltd.</t>
  </si>
  <si>
    <t>INE531A01024</t>
  </si>
  <si>
    <t>Kansai Nerolac Paints Ltd.</t>
  </si>
  <si>
    <t>INE169A01031</t>
  </si>
  <si>
    <t>Coromandel International Ltd.</t>
  </si>
  <si>
    <t>Fertilisers</t>
  </si>
  <si>
    <t>INE246F01010</t>
  </si>
  <si>
    <t>Gujarat State Petronet Ltd.</t>
  </si>
  <si>
    <t>INE486A01013</t>
  </si>
  <si>
    <t>CESC Ltd.</t>
  </si>
  <si>
    <t>INE092A01019</t>
  </si>
  <si>
    <t>Tata Chemicals Ltd.</t>
  </si>
  <si>
    <t>Chemicals</t>
  </si>
  <si>
    <t>INE259A01022</t>
  </si>
  <si>
    <t>Colgate-Palmolive India Ltd.</t>
  </si>
  <si>
    <t>INE572E01012</t>
  </si>
  <si>
    <t>PNB Housing Finance Ltd.</t>
  </si>
  <si>
    <t>INE171A01029</t>
  </si>
  <si>
    <t>Federal Bank Ltd.</t>
  </si>
  <si>
    <t>INE437A01024</t>
  </si>
  <si>
    <t>Apollo Hospitals Enterprise Ltd.</t>
  </si>
  <si>
    <t>INE438A01022</t>
  </si>
  <si>
    <t>Apollo Tyres Ltd.</t>
  </si>
  <si>
    <t>Auto Ancillaries</t>
  </si>
  <si>
    <t>INE536H01010</t>
  </si>
  <si>
    <t>Mahindra CIE Automotive Ltd.</t>
  </si>
  <si>
    <t>INE094A01015</t>
  </si>
  <si>
    <t>Hindustan Petroleum Corp. Ltd.</t>
  </si>
  <si>
    <t>INE239A01016</t>
  </si>
  <si>
    <t>Nestle India Ltd.</t>
  </si>
  <si>
    <t>INE787D01026</t>
  </si>
  <si>
    <t>Balkrishna Industries Ltd.</t>
  </si>
  <si>
    <t>INE970X01018</t>
  </si>
  <si>
    <t>Lemon Tree Hotels Ltd., Reg S</t>
  </si>
  <si>
    <t>INE208A01029</t>
  </si>
  <si>
    <t>Ashok Leyland Ltd.</t>
  </si>
  <si>
    <t>INE930H01023</t>
  </si>
  <si>
    <t>KPR Mill Ltd.</t>
  </si>
  <si>
    <t>Textile Products</t>
  </si>
  <si>
    <t>INE152A01029</t>
  </si>
  <si>
    <t>Thermax Ltd.</t>
  </si>
  <si>
    <t>Industrial Capital Goods</t>
  </si>
  <si>
    <t>INE669C01036</t>
  </si>
  <si>
    <t>Tech Mahindra Ltd.</t>
  </si>
  <si>
    <t>INE562A01011</t>
  </si>
  <si>
    <t>Indian Bank</t>
  </si>
  <si>
    <t>INE647O01011</t>
  </si>
  <si>
    <t>Aditya Birla Fashion and Retail Ltd.</t>
  </si>
  <si>
    <t>INE055A01016</t>
  </si>
  <si>
    <t>Century Textiles &amp; Industries Ltd.</t>
  </si>
  <si>
    <t>INE811K01011</t>
  </si>
  <si>
    <t>Prestige Estates Projects Ltd.</t>
  </si>
  <si>
    <t>INE081A01012</t>
  </si>
  <si>
    <t>Tata Steel Ltd.</t>
  </si>
  <si>
    <t>Ferrous Metals</t>
  </si>
  <si>
    <t>INE988K01017</t>
  </si>
  <si>
    <t>Equitas Holdings Ltd.</t>
  </si>
  <si>
    <t>INE263A01024</t>
  </si>
  <si>
    <t>Bharat Electronics Ltd.</t>
  </si>
  <si>
    <t>INE049A01027</t>
  </si>
  <si>
    <t>Himatsingka Seide Ltd.</t>
  </si>
  <si>
    <t>INE199G01027</t>
  </si>
  <si>
    <t>Jagran Prakashan Ltd.</t>
  </si>
  <si>
    <t>INE105A01035</t>
  </si>
  <si>
    <t>Sundaram-Clayton Ltd.</t>
  </si>
  <si>
    <t>INE136B01020</t>
  </si>
  <si>
    <t>Cyient Ltd.</t>
  </si>
  <si>
    <t>INE836F01026</t>
  </si>
  <si>
    <t>Dish TV India Ltd.</t>
  </si>
  <si>
    <t>INE020801028</t>
  </si>
  <si>
    <t>Spencers Retail Ltd.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</si>
  <si>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31Oct2019</t>
    </r>
  </si>
  <si>
    <t>Franklin India Equity Fund As of Date -  31Oct2019</t>
  </si>
  <si>
    <t>INE226A01021</t>
  </si>
  <si>
    <t>Voltas Ltd.</t>
  </si>
  <si>
    <t>INE016A01026</t>
  </si>
  <si>
    <t>Dabur India Ltd.</t>
  </si>
  <si>
    <t>INE196A01026</t>
  </si>
  <si>
    <t>Marico Ltd.</t>
  </si>
  <si>
    <t>INE494B01023</t>
  </si>
  <si>
    <t>TVS Motor Co. Ltd.</t>
  </si>
  <si>
    <t>INE044A01036</t>
  </si>
  <si>
    <t>Sun Pharmaceutical Industries Ltd.</t>
  </si>
  <si>
    <t>INE001A01036</t>
  </si>
  <si>
    <t>Housing Development Finance Corp. Ltd.</t>
  </si>
  <si>
    <t>INE668F01031</t>
  </si>
  <si>
    <t>Jyothy Labs Ltd.</t>
  </si>
  <si>
    <t>INE465A01025</t>
  </si>
  <si>
    <t>Bharat Forge Ltd.</t>
  </si>
  <si>
    <t>INE797F01012</t>
  </si>
  <si>
    <t>Jubilant Foodworks Ltd.</t>
  </si>
  <si>
    <t>INE183A01016</t>
  </si>
  <si>
    <t>Finolex Industries Ltd.</t>
  </si>
  <si>
    <t>INE674K01013</t>
  </si>
  <si>
    <t>Aditya Birla Capital Ltd.</t>
  </si>
  <si>
    <t>INE955V01021</t>
  </si>
  <si>
    <t>Arvind Fashions Ltd.</t>
  </si>
  <si>
    <t>INE854D01024</t>
  </si>
  <si>
    <t>United Spirits Ltd.</t>
  </si>
  <si>
    <t>INE036D01028</t>
  </si>
  <si>
    <t>Karur Vysya Bank Ltd.</t>
  </si>
  <si>
    <t>INE299U01018</t>
  </si>
  <si>
    <t>Crompton Greaves Consumer Electricals Ltd.</t>
  </si>
  <si>
    <t>INE067A01029</t>
  </si>
  <si>
    <t>CG Power and Industrial Solutions Ltd.</t>
  </si>
  <si>
    <t>INE034A01011</t>
  </si>
  <si>
    <t>Arvind Ltd.</t>
  </si>
  <si>
    <t>INE763G01038</t>
  </si>
  <si>
    <t>ICICI Securities Ltd.</t>
  </si>
  <si>
    <t/>
  </si>
  <si>
    <t>Quantum Information Systems</t>
  </si>
  <si>
    <t>(b)Unlisted</t>
  </si>
  <si>
    <t>Numero Uno International Ltd.</t>
  </si>
  <si>
    <t>INE696201123</t>
  </si>
  <si>
    <t>Quantum Information Services</t>
  </si>
  <si>
    <t>INE522F01014</t>
  </si>
  <si>
    <t>Coal India Ltd.</t>
  </si>
  <si>
    <t>Minerals/mining</t>
  </si>
  <si>
    <t>INE672A01018</t>
  </si>
  <si>
    <t>Tata Investment Corp. Ltd.</t>
  </si>
  <si>
    <t>INE891D01026</t>
  </si>
  <si>
    <t>Redington India Ltd.</t>
  </si>
  <si>
    <t>INE823G01014</t>
  </si>
  <si>
    <t>JK Cement Ltd.</t>
  </si>
  <si>
    <t>INE825A01012</t>
  </si>
  <si>
    <t>Vardhman Textiles Ltd.</t>
  </si>
  <si>
    <t>Textiles - Cotton</t>
  </si>
  <si>
    <t>INE376G01013</t>
  </si>
  <si>
    <t>Biocon Ltd.</t>
  </si>
  <si>
    <t>INE00R701025</t>
  </si>
  <si>
    <t>Dalmia Bharat Ltd.</t>
  </si>
  <si>
    <t>INE584A01023</t>
  </si>
  <si>
    <t>NMDC Ltd.</t>
  </si>
  <si>
    <t>INE917I01010</t>
  </si>
  <si>
    <t>Bajaj Auto Ltd.</t>
  </si>
  <si>
    <t>BMG2442N1048</t>
  </si>
  <si>
    <t>BMG4977W1038</t>
  </si>
  <si>
    <t>I.T Ltd.</t>
  </si>
  <si>
    <t>BMG570071099</t>
  </si>
  <si>
    <t>Luye Pharma Group Ltd.</t>
  </si>
  <si>
    <t>CNE1000004J3</t>
  </si>
  <si>
    <t>TravelSky Technology Ltd., H</t>
  </si>
  <si>
    <t>HK0165000859</t>
  </si>
  <si>
    <t>China Everbright Ltd.</t>
  </si>
  <si>
    <t>KYG982771092</t>
  </si>
  <si>
    <t>Xtep International Holdings Ltd.</t>
  </si>
  <si>
    <t>KYG9829N1025</t>
  </si>
  <si>
    <t>Xinyi Solar Holdings Ltd.</t>
  </si>
  <si>
    <t>TH0999010Z11</t>
  </si>
  <si>
    <t>TISCO Financial Group PCL, fgn.</t>
  </si>
  <si>
    <t>TW0001565000</t>
  </si>
  <si>
    <t>St. Shine Optical Co. Ltd.</t>
  </si>
  <si>
    <t>TW0003034005</t>
  </si>
  <si>
    <t>Novatek Microelectronics Corp. Ltd.</t>
  </si>
  <si>
    <t>Semiconductors</t>
  </si>
  <si>
    <t>TW0004126008</t>
  </si>
  <si>
    <t>Pacific Hospital Supply Co. Ltd.</t>
  </si>
  <si>
    <t>TW0004915004</t>
  </si>
  <si>
    <t>Primax Electronics Ltd.</t>
  </si>
  <si>
    <r>
      <t>Templeton India Equity Income Fund As of Date -  3</t>
    </r>
    <r>
      <rPr>
        <b/>
        <sz val="8"/>
        <color theme="1"/>
        <rFont val="Arial"/>
        <family val="2"/>
      </rPr>
      <t>1Oct2019</t>
    </r>
  </si>
  <si>
    <t>INE002A01018</t>
  </si>
  <si>
    <t>Reliance Industries Ltd.</t>
  </si>
  <si>
    <t>INE030A01027</t>
  </si>
  <si>
    <t>Hindustan Unilever Ltd.</t>
  </si>
  <si>
    <t>INE296A01024</t>
  </si>
  <si>
    <t>Bajaj Finance Ltd.</t>
  </si>
  <si>
    <t>INE280A01028</t>
  </si>
  <si>
    <t>Titan Co. Ltd.</t>
  </si>
  <si>
    <t>INE021A01026</t>
  </si>
  <si>
    <t>Asian Paints Ltd.</t>
  </si>
  <si>
    <t>INE154A01025</t>
  </si>
  <si>
    <t>ITC Ltd.</t>
  </si>
  <si>
    <t>INE918I01018</t>
  </si>
  <si>
    <t>Bajaj Finserv Ltd.</t>
  </si>
  <si>
    <t>INE358A01014</t>
  </si>
  <si>
    <t>Abbott India Ltd.</t>
  </si>
  <si>
    <t>INE987B01026</t>
  </si>
  <si>
    <t>Natco Pharma Ltd.</t>
  </si>
  <si>
    <t>INE876N01018</t>
  </si>
  <si>
    <t>Orient Cement Ltd.</t>
  </si>
  <si>
    <t>INE373A01013</t>
  </si>
  <si>
    <t>BASF India Ltd.</t>
  </si>
  <si>
    <r>
      <t>Franklin India Focused Equity Fund As of Date -  3</t>
    </r>
    <r>
      <rPr>
        <b/>
        <sz val="8"/>
        <color theme="1"/>
        <rFont val="Arial"/>
        <family val="2"/>
      </rPr>
      <t>1Oct2019</t>
    </r>
  </si>
  <si>
    <t>INF090I01FN7</t>
  </si>
  <si>
    <t>INF090I01GY2</t>
  </si>
  <si>
    <t>INF090I01FH9</t>
  </si>
  <si>
    <t>INF090I01FW8</t>
  </si>
  <si>
    <t>INF090I01HB8</t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</si>
  <si>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31Oct2019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</si>
  <si>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31Oct2019</t>
    </r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</si>
  <si>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31Oct2019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</si>
  <si>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31Oct2019</t>
    </r>
  </si>
  <si>
    <t>INF090I01GV8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</si>
  <si>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31Oct2019</t>
    </r>
  </si>
  <si>
    <t>INE467B01029</t>
  </si>
  <si>
    <t>Tata Consultancy Services Ltd.</t>
  </si>
  <si>
    <t>INE585B01010</t>
  </si>
  <si>
    <t>Maruti Suzuki India Ltd.</t>
  </si>
  <si>
    <t>INE095A01012</t>
  </si>
  <si>
    <t>IndusInd Bank Ltd.</t>
  </si>
  <si>
    <t>INE075A01022</t>
  </si>
  <si>
    <t>Wipro Ltd.</t>
  </si>
  <si>
    <t>INE216A01030</t>
  </si>
  <si>
    <t>Britannia Industries Ltd.</t>
  </si>
  <si>
    <t>INE158A01026</t>
  </si>
  <si>
    <t>Hero Motocorp Ltd.</t>
  </si>
  <si>
    <t>INE628A01036</t>
  </si>
  <si>
    <t>UPL Ltd.</t>
  </si>
  <si>
    <t>Pesticides</t>
  </si>
  <si>
    <t>INE066A01013</t>
  </si>
  <si>
    <t>Eicher Motors Ltd.</t>
  </si>
  <si>
    <t>INE742F01042</t>
  </si>
  <si>
    <t>Adani Ports And Special Economic Zone Ltd.</t>
  </si>
  <si>
    <t>INE205A01025</t>
  </si>
  <si>
    <t>Vedanta Ltd.</t>
  </si>
  <si>
    <t>INE059A01026</t>
  </si>
  <si>
    <t>Cipla Ltd.</t>
  </si>
  <si>
    <t>INE019A01038</t>
  </si>
  <si>
    <t>JSW Steel Ltd.</t>
  </si>
  <si>
    <t>INE121J01017</t>
  </si>
  <si>
    <t>Bharti Infratel Ltd.</t>
  </si>
  <si>
    <t>Telecom -  Equipment &amp; Accessories</t>
  </si>
  <si>
    <t>INE256A01028</t>
  </si>
  <si>
    <t>Zee Entertainment Enterprises Ltd.</t>
  </si>
  <si>
    <r>
      <t>Franklin India Index Fund - NSE Nifty Plan As of D</t>
    </r>
    <r>
      <rPr>
        <b/>
        <sz val="8"/>
        <color theme="1"/>
        <rFont val="Arial"/>
        <family val="2"/>
      </rPr>
      <t>ate -  31Oct2019</t>
    </r>
  </si>
  <si>
    <r>
      <t>Franklin India Multi-Asset Solution Fund As of Dat</t>
    </r>
    <r>
      <rPr>
        <b/>
        <sz val="8"/>
        <color theme="1"/>
        <rFont val="Arial"/>
        <family val="2"/>
      </rPr>
      <t>e -  31Oct2019</t>
    </r>
  </si>
  <si>
    <t>INE663F01024</t>
  </si>
  <si>
    <t>Info Edge India Ltd.</t>
  </si>
  <si>
    <t>INE342J01019</t>
  </si>
  <si>
    <t>Wabco India Ltd.</t>
  </si>
  <si>
    <t>INE442H01029</t>
  </si>
  <si>
    <t>Ashoka Buildcon Ltd.</t>
  </si>
  <si>
    <t>INE612J01015</t>
  </si>
  <si>
    <t>Repco Home Finance Ltd.</t>
  </si>
  <si>
    <t>INE264A01014</t>
  </si>
  <si>
    <t>GlaxoSmithKline Consumer Healthcare Ltd.</t>
  </si>
  <si>
    <t>INE813H01021</t>
  </si>
  <si>
    <t>Torrent Power Ltd.</t>
  </si>
  <si>
    <t>INE202Z01029</t>
  </si>
  <si>
    <t>Sundaram Finance Holdings Ltd.</t>
  </si>
  <si>
    <t>INE029L01018</t>
  </si>
  <si>
    <t>Kalyani Investment Co. Ltd.</t>
  </si>
  <si>
    <t>INE425Y01011</t>
  </si>
  <si>
    <t>CESC Ventures Ltd.</t>
  </si>
  <si>
    <t>Brillio Technologies Pvt. Ltd.</t>
  </si>
  <si>
    <t>Chennai Interactive Business Services Pvt Ltd.</t>
  </si>
  <si>
    <r>
      <t>Franklin India Opportunities Fund As of Date -  31</t>
    </r>
    <r>
      <rPr>
        <b/>
        <sz val="8"/>
        <color theme="1"/>
        <rFont val="Arial"/>
        <family val="2"/>
      </rPr>
      <t>Oct2019</t>
    </r>
  </si>
  <si>
    <t>Franklin India Prima Fund As of Date -  31Oct2019</t>
  </si>
  <si>
    <t>INE331A01037</t>
  </si>
  <si>
    <t>Ramco Cements Ltd.</t>
  </si>
  <si>
    <t>INE491A01021</t>
  </si>
  <si>
    <t>City Union Bank Ltd.</t>
  </si>
  <si>
    <t>INE640A01023</t>
  </si>
  <si>
    <t>SKF India Ltd.</t>
  </si>
  <si>
    <t>INE976G01028</t>
  </si>
  <si>
    <t>RBL Bank Ltd., Reg S</t>
  </si>
  <si>
    <t>INE603J01030</t>
  </si>
  <si>
    <t>PI Industries Ltd.</t>
  </si>
  <si>
    <t>INE660A01013</t>
  </si>
  <si>
    <t>Sundaram Finance Ltd.</t>
  </si>
  <si>
    <t>INE548C01032</t>
  </si>
  <si>
    <t>Emami Ltd.</t>
  </si>
  <si>
    <t>INE769A01020</t>
  </si>
  <si>
    <t>Aarti Industries Ltd.</t>
  </si>
  <si>
    <t>INE212H01026</t>
  </si>
  <si>
    <t>AIA Engineering Ltd.</t>
  </si>
  <si>
    <t>INE217B01036</t>
  </si>
  <si>
    <t>Kajaria Ceramics Ltd.</t>
  </si>
  <si>
    <t>INE115A01026</t>
  </si>
  <si>
    <t>LIC Housing Finance Ltd.</t>
  </si>
  <si>
    <t>INE058A01010</t>
  </si>
  <si>
    <t>Sanofi India Ltd.</t>
  </si>
  <si>
    <t>INE462A01022</t>
  </si>
  <si>
    <t>Bayer Cropscience Ltd.</t>
  </si>
  <si>
    <t>INE191H01014</t>
  </si>
  <si>
    <t>PVR Ltd.</t>
  </si>
  <si>
    <t>INE685A01028</t>
  </si>
  <si>
    <t>Torrent Pharmaceuticals Ltd.</t>
  </si>
  <si>
    <t>INE211B01039</t>
  </si>
  <si>
    <t>The Phoenix Mills Ltd.</t>
  </si>
  <si>
    <t>INE387A01021</t>
  </si>
  <si>
    <t>Sundaram Fasteners Ltd.</t>
  </si>
  <si>
    <t>INE294Z01018</t>
  </si>
  <si>
    <t>The Anup Engineering Ltd.</t>
  </si>
  <si>
    <t>INE09EO01013</t>
  </si>
  <si>
    <t>INE791I01019</t>
  </si>
  <si>
    <t>Brigade Enterprises Ltd.</t>
  </si>
  <si>
    <t>INE288B01029</t>
  </si>
  <si>
    <t>Deepak Nitrite Ltd.</t>
  </si>
  <si>
    <t>INE100A01010</t>
  </si>
  <si>
    <t>Atul Ltd.</t>
  </si>
  <si>
    <t>INE317F01035</t>
  </si>
  <si>
    <t>Nesco Ltd.</t>
  </si>
  <si>
    <t>Commercial Services</t>
  </si>
  <si>
    <t>INE600L01024</t>
  </si>
  <si>
    <t>Dr Lal PathLabs Ltd.</t>
  </si>
  <si>
    <t>INE572A01028</t>
  </si>
  <si>
    <t>J.B. Chemicals &amp; Pharmaceuticals Ltd.</t>
  </si>
  <si>
    <t>INE635Q01029</t>
  </si>
  <si>
    <t>Gulf Oil Lubricants India Ltd.</t>
  </si>
  <si>
    <t>INE503A01015</t>
  </si>
  <si>
    <t>DCB Bank Ltd.</t>
  </si>
  <si>
    <t>INE060A01024</t>
  </si>
  <si>
    <t>Navneet Education Ltd.</t>
  </si>
  <si>
    <t>INE985S01024</t>
  </si>
  <si>
    <t>TeamLease Services Ltd.</t>
  </si>
  <si>
    <t>INE739E01017</t>
  </si>
  <si>
    <t>Cera Sanitaryware Ltd.</t>
  </si>
  <si>
    <t>INE472A01039</t>
  </si>
  <si>
    <t>Blue Star Ltd.</t>
  </si>
  <si>
    <t>INE758C01029</t>
  </si>
  <si>
    <t>Ahluwalia Contracts India Ltd.</t>
  </si>
  <si>
    <t>INE120A01034</t>
  </si>
  <si>
    <t>Carborundum Universal Ltd.</t>
  </si>
  <si>
    <t>INE054A01027</t>
  </si>
  <si>
    <t>VIP Industries Ltd.</t>
  </si>
  <si>
    <t>INE406M01024</t>
  </si>
  <si>
    <t>Eris Lifesciences Ltd., Reg S</t>
  </si>
  <si>
    <t>INE421D01022</t>
  </si>
  <si>
    <t>CCL Products India Ltd.</t>
  </si>
  <si>
    <t>INE455K01017</t>
  </si>
  <si>
    <t>Polycab India Ltd.</t>
  </si>
  <si>
    <t>INE539A01019</t>
  </si>
  <si>
    <t>GHCL Ltd.</t>
  </si>
  <si>
    <t>INE038F01029</t>
  </si>
  <si>
    <t>TV Today Network Ltd.</t>
  </si>
  <si>
    <t>INE613A01020</t>
  </si>
  <si>
    <t>Rallis India Ltd.</t>
  </si>
  <si>
    <t>INE019C01026</t>
  </si>
  <si>
    <t>Himadri Speciality Chemicals Ltd.</t>
  </si>
  <si>
    <t>INE634I01029</t>
  </si>
  <si>
    <t>KNR Constructions Ltd.</t>
  </si>
  <si>
    <t>INE738I01010</t>
  </si>
  <si>
    <t>eClerx Services Ltd.</t>
  </si>
  <si>
    <t>INE919I01024</t>
  </si>
  <si>
    <t>Music Broadcast Ltd.</t>
  </si>
  <si>
    <t>INE463A01038</t>
  </si>
  <si>
    <t>Berger Paints India Ltd.</t>
  </si>
  <si>
    <t>INE131A01031</t>
  </si>
  <si>
    <t>Gujarat Mineral Development Corp. Ltd.</t>
  </si>
  <si>
    <t>INE752H01013</t>
  </si>
  <si>
    <t>Care Ratings Ltd.</t>
  </si>
  <si>
    <t>INE285K01026</t>
  </si>
  <si>
    <t>Techno Electric &amp; Engineering Co. Ltd.</t>
  </si>
  <si>
    <t>INE269B01029</t>
  </si>
  <si>
    <t>Lakshmi Machine Works Ltd.</t>
  </si>
  <si>
    <t>INE974X01010</t>
  </si>
  <si>
    <t>Tube Investments of India Ltd.</t>
  </si>
  <si>
    <t>INE999B01013</t>
  </si>
  <si>
    <t>Sanghi Industries Ltd.</t>
  </si>
  <si>
    <t>INE399G01015</t>
  </si>
  <si>
    <t>Ramkrishna Forgings Ltd.</t>
  </si>
  <si>
    <t>INE075I01017</t>
  </si>
  <si>
    <t>Healthcare Global Enterprises Ltd.</t>
  </si>
  <si>
    <t>INE274V01019</t>
  </si>
  <si>
    <t>Shankara Building Products Ltd.</t>
  </si>
  <si>
    <t>INE932A01024</t>
  </si>
  <si>
    <t>Pennar Industries Ltd.</t>
  </si>
  <si>
    <t>INE213C01025</t>
  </si>
  <si>
    <t>Banco Products India Ltd.</t>
  </si>
  <si>
    <t>INE501G01024</t>
  </si>
  <si>
    <t>HT Media Ltd.</t>
  </si>
  <si>
    <t>INE152M01016</t>
  </si>
  <si>
    <t>Triveni Turbine Ltd.</t>
  </si>
  <si>
    <t>INE834I01025</t>
  </si>
  <si>
    <t>Khadim India Ltd.</t>
  </si>
  <si>
    <t>INE265F01028</t>
  </si>
  <si>
    <t>Entertainment Network India Ltd.</t>
  </si>
  <si>
    <t>INE03JI01017</t>
  </si>
  <si>
    <t>Digicontent Ltd.</t>
  </si>
  <si>
    <t>INE429I01024</t>
  </si>
  <si>
    <t>Consolidated Construction Consortium Ltd.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</si>
  <si>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31Oct2019</t>
    </r>
  </si>
  <si>
    <t>INE214T01019</t>
  </si>
  <si>
    <t>Larsen &amp; Toubro Infotech Ltd., Reg S</t>
  </si>
  <si>
    <t>US90184L1026</t>
  </si>
  <si>
    <t>Twitter Inc.</t>
  </si>
  <si>
    <r>
      <t>Franklin India Technology Fund As of Date -  31Oct</t>
    </r>
    <r>
      <rPr>
        <b/>
        <sz val="8"/>
        <color theme="1"/>
        <rFont val="Arial"/>
        <family val="2"/>
      </rPr>
      <t>2019</t>
    </r>
  </si>
  <si>
    <t>Franklin India Taxshield As of Date -  31Oct2019</t>
  </si>
  <si>
    <t>INE671B01018</t>
  </si>
  <si>
    <t>Globsyn Technologies Ltd.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</si>
  <si>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31Oct2019</t>
    </r>
  </si>
  <si>
    <t>Templeton India Value Fund As of Date -  31Oct2019</t>
  </si>
  <si>
    <t>INE257A01026</t>
  </si>
  <si>
    <t>Bharat Heavy Electricals Ltd.</t>
  </si>
  <si>
    <t>INE064C01014</t>
  </si>
  <si>
    <t>Trident Ltd.</t>
  </si>
  <si>
    <t>Tata Motors Ltd DVR</t>
  </si>
  <si>
    <t>Growth Plan</t>
  </si>
  <si>
    <t>Dividend Plan</t>
  </si>
  <si>
    <t>Direct Growth Plan</t>
  </si>
  <si>
    <t>Direct Dividend Plan</t>
  </si>
  <si>
    <t>Plan Name</t>
  </si>
  <si>
    <t xml:space="preserve">Dividend per unit </t>
  </si>
  <si>
    <t>Individual/HUF</t>
  </si>
  <si>
    <t>Others</t>
  </si>
  <si>
    <t>c) Portfolio Turnover Ratio during the Half - year  31-Oct-2019</t>
  </si>
  <si>
    <t>0.00*</t>
  </si>
  <si>
    <t>* Less than 0.01%</t>
  </si>
  <si>
    <t>Services</t>
  </si>
  <si>
    <t>Foreign Mutual Fund units</t>
  </si>
  <si>
    <t>LU0626261944</t>
  </si>
  <si>
    <t>Franklin Technology Fund, Class J</t>
  </si>
  <si>
    <t>Foreign Mutual Fund Units</t>
  </si>
  <si>
    <t>Cognizant Technology Solutions Corp., A</t>
  </si>
  <si>
    <t>NVIDIA Corp.</t>
  </si>
  <si>
    <t>QUALCOMM Inc.</t>
  </si>
  <si>
    <t>Samsung Electronics Co. Ltd.</t>
  </si>
  <si>
    <t>US1924461023</t>
  </si>
  <si>
    <t>US67066G1040</t>
  </si>
  <si>
    <t>US7475251036</t>
  </si>
  <si>
    <t>KR7005930003</t>
  </si>
  <si>
    <t>Telecom - Equipment &amp; Accessories</t>
  </si>
  <si>
    <t>% to Net Assets Derivative</t>
  </si>
  <si>
    <t>Margin on Derivatives</t>
  </si>
  <si>
    <t>Aarti Surfactants Ltd.#</t>
  </si>
  <si>
    <t># Awaiting Listing</t>
  </si>
  <si>
    <t>MU0295S00016</t>
  </si>
  <si>
    <t>MakeMyTrip Ltd.</t>
  </si>
  <si>
    <t xml:space="preserve">(b) Units of Real Eastate Investment Trusts (REITs) </t>
  </si>
  <si>
    <t>INE041025011</t>
  </si>
  <si>
    <t>Embassy Office Parks REIT</t>
  </si>
  <si>
    <t>AEA002301017</t>
  </si>
  <si>
    <t>US30712A1034</t>
  </si>
  <si>
    <t>BRLEVEACNOR2</t>
  </si>
  <si>
    <t>KR7086900008</t>
  </si>
  <si>
    <t>GB00BF5SDZ96</t>
  </si>
  <si>
    <t>Aramex PJSC</t>
  </si>
  <si>
    <t>Stock Spirits Group PLC</t>
  </si>
  <si>
    <t>Mahle-Metal Leve SA</t>
  </si>
  <si>
    <t>COSCO Shipping Ports Ltd.</t>
  </si>
  <si>
    <t>Medy-tox Inc.</t>
  </si>
  <si>
    <t>Fanhua Inc., ADR</t>
  </si>
  <si>
    <t>PHY077751022</t>
  </si>
  <si>
    <t>US22943F1003</t>
  </si>
  <si>
    <t>CNE0000018R8</t>
  </si>
  <si>
    <t>TH0128051909</t>
  </si>
  <si>
    <t>KR7006400006</t>
  </si>
  <si>
    <t>KR7055550008</t>
  </si>
  <si>
    <t>PHY8076N1120</t>
  </si>
  <si>
    <t>PHY9297P1004</t>
  </si>
  <si>
    <t>BDO Unibank Inc.</t>
  </si>
  <si>
    <t>Ctrip.com International Ltd., ADR</t>
  </si>
  <si>
    <t xml:space="preserve">Cement </t>
  </si>
  <si>
    <t>Kweichow Moutai Co. Ltd., A</t>
  </si>
  <si>
    <t>Minor International PCL, fgn - Warrants</t>
  </si>
  <si>
    <t>Ping An Insurance (Group) Co. of China Ltd.</t>
  </si>
  <si>
    <t>Samsung SDI Co. Ltd.</t>
  </si>
  <si>
    <t>Shinhan Financial Group Co. Ltd.</t>
  </si>
  <si>
    <t>SM Prime Holdings Inc.</t>
  </si>
  <si>
    <t>Universal Robina Corp.</t>
  </si>
  <si>
    <t>LU0195948665</t>
  </si>
  <si>
    <t>Franklin U.S. Opportunities Fund, Class I (Acc)</t>
  </si>
  <si>
    <t>LU0195949390</t>
  </si>
  <si>
    <t>Franklin European Growth Fund, Class I (Acc)</t>
  </si>
  <si>
    <t>Mutual Funds / ETF</t>
  </si>
  <si>
    <t>Franklin India Short Term Income Plan</t>
  </si>
  <si>
    <t>Franklin India Bluechip Fund</t>
  </si>
  <si>
    <t>INF732E01102</t>
  </si>
  <si>
    <t>Mutual Funds</t>
  </si>
  <si>
    <t>Franklin India Savings Fund</t>
  </si>
  <si>
    <t>Templeton India Value Fund</t>
  </si>
  <si>
    <t>Franklin India Dynamic Accrual Fund</t>
  </si>
  <si>
    <t>Franklin India Corporate Debt Fund</t>
  </si>
  <si>
    <t>Franklin India Prima Fund</t>
  </si>
  <si>
    <t>Nippon India ETF Gold Bees</t>
  </si>
  <si>
    <t>Franklin India Equity Fund</t>
  </si>
  <si>
    <r>
      <t>Franklin India Dynamic Asset Allocation Fund of Funds As o</t>
    </r>
    <r>
      <rPr>
        <b/>
        <sz val="8"/>
        <color theme="1"/>
        <rFont val="Arial"/>
        <family val="2"/>
      </rPr>
      <t>f Date -  31Oct2019</t>
    </r>
    <r>
      <rPr>
        <b/>
        <sz val="8"/>
        <rFont val="Arial"/>
        <family val="2"/>
      </rPr>
      <t xml:space="preserve"> ***</t>
    </r>
  </si>
  <si>
    <t>CP ALL PCL, fgn.</t>
  </si>
  <si>
    <t>Hotels/ Resorts And Other Recreational Activities</t>
  </si>
  <si>
    <t>Franklin India Income Opportunities Fund As of -31-Oct-2019</t>
  </si>
  <si>
    <t>Rating</t>
  </si>
  <si>
    <t>Debt Instruments</t>
  </si>
  <si>
    <t>INE641O08035</t>
  </si>
  <si>
    <t>9.55% Piramal Capital &amp; Housing Finance Ltd (08-Mar-2027) **</t>
  </si>
  <si>
    <t>CARE AA</t>
  </si>
  <si>
    <t>INE134E08JX9</t>
  </si>
  <si>
    <t>9.10% Power Finance Corp Ltd (23-Mar-2029) **</t>
  </si>
  <si>
    <t>CRISIL AAA</t>
  </si>
  <si>
    <t>INE295J08022</t>
  </si>
  <si>
    <t>9.90% Coastal Gujarat Power Ltd (25-Aug-2028) **</t>
  </si>
  <si>
    <t>CARE AA(SO)</t>
  </si>
  <si>
    <t>INE721A08DF1</t>
  </si>
  <si>
    <t>9.90% Shriram Transport Finance Co Ltd (21-Jun-2024) **</t>
  </si>
  <si>
    <t>CRISIL AA+</t>
  </si>
  <si>
    <t>INE503A08044</t>
  </si>
  <si>
    <t>9.85% DCB Bank Ltd (12-Jan-2028) **</t>
  </si>
  <si>
    <t>CRISIL AA-</t>
  </si>
  <si>
    <t>INE01E708057</t>
  </si>
  <si>
    <t>10.32% Andhra Pradesh Capital Region Development Authority (16-Aug-2028) **</t>
  </si>
  <si>
    <t>CRISIL A+(SO)</t>
  </si>
  <si>
    <t>INE669E08318</t>
  </si>
  <si>
    <t>10.90% Vodafone Idea Ltd (02-Sep-2023) **</t>
  </si>
  <si>
    <t>CARE A-</t>
  </si>
  <si>
    <t>INE146O08134</t>
  </si>
  <si>
    <t>10.15% Hinduja Leyland Finance Ltd (27-Mar-2025) **</t>
  </si>
  <si>
    <t>CARE AA-</t>
  </si>
  <si>
    <t>INE265J07357</t>
  </si>
  <si>
    <t>12.40% Jm Financial Asset Reconstruction Co Ltd (02-Feb-2022) **</t>
  </si>
  <si>
    <t>ICRA AA-</t>
  </si>
  <si>
    <t>INE020B08BP9</t>
  </si>
  <si>
    <t>8.97% Rec Ltd (28-Mar-2029) **</t>
  </si>
  <si>
    <t>CARE AAA</t>
  </si>
  <si>
    <t>INE540P07350</t>
  </si>
  <si>
    <t>10.15% Uttar Pradesh Power Corp Ltd (20-Jan-2028) **</t>
  </si>
  <si>
    <t>INE721A08DC8</t>
  </si>
  <si>
    <t>10.25% Shriram Transport Finance Co Ltd (26-Apr-2024) **</t>
  </si>
  <si>
    <t>INE245A08042</t>
  </si>
  <si>
    <t>10.75% The Tata Power Co Ltd (21-Aug-2022) **</t>
  </si>
  <si>
    <t>INE020B08BQ7</t>
  </si>
  <si>
    <t>8.85% Rec Ltd (16-Apr-2029) **</t>
  </si>
  <si>
    <t>INE615S07065</t>
  </si>
  <si>
    <t>12.30% Sterlite Power Grid Ventures Ltd (28-Mar-2022) **</t>
  </si>
  <si>
    <t>IND A+</t>
  </si>
  <si>
    <t>INE038A07258</t>
  </si>
  <si>
    <t>9.55% Hindalco Industries Ltd (25-Apr-2022) **</t>
  </si>
  <si>
    <t>CARE AA+</t>
  </si>
  <si>
    <t>INE128S07408</t>
  </si>
  <si>
    <t>12.64% Five-Star Business Finance Ltd (28-Jun-2022) **</t>
  </si>
  <si>
    <t>ICRA A</t>
  </si>
  <si>
    <t>INE540P07301</t>
  </si>
  <si>
    <t>10.15% Uttar Pradesh Power Corp Ltd (20-Jan-2023) **</t>
  </si>
  <si>
    <t>INE922K07039</t>
  </si>
  <si>
    <t>0.00% India Shelter Finance Corp Ltd (02-May-2025) **</t>
  </si>
  <si>
    <t>INE607M08048</t>
  </si>
  <si>
    <t>8.45% Tata Power Renewable Energy Ltd (25-May-2022) **</t>
  </si>
  <si>
    <t>INE852O07089</t>
  </si>
  <si>
    <t>10.00% Aptus Value Housing Finance India Ltd (20-Jul-2025) **</t>
  </si>
  <si>
    <t>INE459T07041</t>
  </si>
  <si>
    <t>9.95% Vastu Housing Finance Corp Ltd (27-Feb-2025) **</t>
  </si>
  <si>
    <t>BWR A</t>
  </si>
  <si>
    <t>INE134E08JZ4</t>
  </si>
  <si>
    <t>8.98% Power Finance Corp Ltd (28-Mar-2029) **</t>
  </si>
  <si>
    <t>INE540P07343</t>
  </si>
  <si>
    <t>10.15% Uttar Pradesh Power Corp Ltd (20-Jan-2027) **</t>
  </si>
  <si>
    <t>INE219X07033</t>
  </si>
  <si>
    <t>9.10% India Grid Trust (03-Jun-2022) **</t>
  </si>
  <si>
    <t>INE540P07293</t>
  </si>
  <si>
    <t>10.15% Uttar Pradesh Power Corp Ltd (20-Jan-2022) **</t>
  </si>
  <si>
    <t>INE01XX07026</t>
  </si>
  <si>
    <t>8.9508% Pipeline Infrastructure Pvt Ltd (22-Mar-2024) **</t>
  </si>
  <si>
    <t>INE146O08092</t>
  </si>
  <si>
    <t>11.10% Hinduja Leyland Finance Ltd (08-Apr-2022) **</t>
  </si>
  <si>
    <t>INE852O07063</t>
  </si>
  <si>
    <t>10.00% Aptus Value Housing Finance India Ltd (26-Feb-2025) **</t>
  </si>
  <si>
    <t>INE516Y07105</t>
  </si>
  <si>
    <t>9.50% Piramal Capital &amp; Housing Finance Ltd (15-Apr-2022) **</t>
  </si>
  <si>
    <t>INE540P07210</t>
  </si>
  <si>
    <t>9.75% Uttar Pradesh Power Corp Ltd (20-Oct-2022) **</t>
  </si>
  <si>
    <t>INE459T07025</t>
  </si>
  <si>
    <t>INE146O08118</t>
  </si>
  <si>
    <t>9.20% Hinduja Leyland Finance Ltd (13-Sep-2024) **</t>
  </si>
  <si>
    <t>INE205A07048</t>
  </si>
  <si>
    <t>8.68% Vedanta Ltd (20-Apr-2020) **</t>
  </si>
  <si>
    <t>CRISIL AA</t>
  </si>
  <si>
    <t>INE459T07058</t>
  </si>
  <si>
    <t>INE038A07266</t>
  </si>
  <si>
    <t>9.55% Hindalco Industries Ltd (27-Jun-2022) **</t>
  </si>
  <si>
    <t>INE245A08034</t>
  </si>
  <si>
    <t>11.40% Tata Power Co Ltd (02-Jun-2021) **</t>
  </si>
  <si>
    <t>INE090A08UB4</t>
  </si>
  <si>
    <t>9.15% ICICI Bank Ltd (20-Jun-2023) **</t>
  </si>
  <si>
    <t>(b) Privately Placed / Unlisted</t>
  </si>
  <si>
    <t>INE971Z07059</t>
  </si>
  <si>
    <t>11.5% Rivaaz Trade Ventures Pvt Ltd (30-Mar-2023) **</t>
  </si>
  <si>
    <t>BWR AA- (SO)</t>
  </si>
  <si>
    <t>INE764L07181</t>
  </si>
  <si>
    <t>0.00% Sadbhav Infrastructure Project Ltd (06-Jun-2023) **</t>
  </si>
  <si>
    <t>CARE A(SO)</t>
  </si>
  <si>
    <t>INE00U207051</t>
  </si>
  <si>
    <t>0.00% Adani Rail Infra Pvt Ltd (28-Apr-2023) **</t>
  </si>
  <si>
    <t>INE003S07098</t>
  </si>
  <si>
    <t>12.68% Renew Power Ltd., Series III, (23-Mar-2020) **</t>
  </si>
  <si>
    <t>CARE A+</t>
  </si>
  <si>
    <t>INE660N07062</t>
  </si>
  <si>
    <t>11.50% S D Corporation Pvt Ltd (03-Jun-2022) **</t>
  </si>
  <si>
    <t>INE964Q07012</t>
  </si>
  <si>
    <t>9.60% Renew Wind Energy (Rajasthan One) Pvt Ltd (31-Mar-2023) **</t>
  </si>
  <si>
    <t>CARE A+(SO)</t>
  </si>
  <si>
    <t>INE946S07148</t>
  </si>
  <si>
    <t>12.80% Nufuture Digital (India) Ltd (30-Sep-2023) **</t>
  </si>
  <si>
    <t>BWR A+ (SO)</t>
  </si>
  <si>
    <t>INE082T07033</t>
  </si>
  <si>
    <t>0.00% Diligent Media Corp Ltd. Series C (30-Jun-2020) **$$</t>
  </si>
  <si>
    <t>ICRA BB(SO)</t>
  </si>
  <si>
    <t>INE713G08046</t>
  </si>
  <si>
    <t>8.25% Vodafone Idea Ltd (10-Jul-2020) **</t>
  </si>
  <si>
    <t>CRISIL A</t>
  </si>
  <si>
    <t>INE080T07078</t>
  </si>
  <si>
    <t>13.40% Future Ideas Company Ltd (30-Sep-2023) **</t>
  </si>
  <si>
    <t>INE575P08016</t>
  </si>
  <si>
    <t>10.25% Star Health &amp; Allied Insurance Co Ltd (06-Sep-2024) **</t>
  </si>
  <si>
    <t>IND A</t>
  </si>
  <si>
    <t>INE598K07029</t>
  </si>
  <si>
    <t>9.00% Pune Solapur Expressways Pvt Ltd Series B (31-Mar-2029) **</t>
  </si>
  <si>
    <t>ICRA A(SO)</t>
  </si>
  <si>
    <t>INE598K07011</t>
  </si>
  <si>
    <t>9.00% Pune Solapur Expressways Pvt Ltd Series A (31-Mar-2029) **</t>
  </si>
  <si>
    <t>INE00MX08011</t>
  </si>
  <si>
    <t>11.7% Svatantra Microfin Pvt Ltd (30-Nov-2023) **</t>
  </si>
  <si>
    <t>ICRA A-</t>
  </si>
  <si>
    <t>INE333T07063</t>
  </si>
  <si>
    <t>11.49% Reliance Big Pvt Ltd Series 3 (14-Jan-2021) **$$</t>
  </si>
  <si>
    <t>BWR D</t>
  </si>
  <si>
    <t>INE209W07028</t>
  </si>
  <si>
    <t>9.95% Narmada Wind Energy Pvt Ltd (31-Mar-2023) **</t>
  </si>
  <si>
    <t>INE720G08074</t>
  </si>
  <si>
    <t>Jindal Power Ltd (Sbi+100 Bps) (20-Dec-2019) **</t>
  </si>
  <si>
    <t>ICRA BBB+</t>
  </si>
  <si>
    <t>INE139S07017</t>
  </si>
  <si>
    <t>11.35% Renew Solar Power Pvt Ltd (01-Nov-2022) **</t>
  </si>
  <si>
    <t>INE659X07014</t>
  </si>
  <si>
    <t>9.95% Molagavalli Renewable Pvt Ltd (31-Mar-2023) **</t>
  </si>
  <si>
    <t>INE01EA07016</t>
  </si>
  <si>
    <t>11.90% Rishanth Wholesale Trading Pvt Ltd (20-Oct-2023) **</t>
  </si>
  <si>
    <t>INE125X07016</t>
  </si>
  <si>
    <t>9.75% TRPL Roadways Pvt Ltd (25-Mar-2022) **</t>
  </si>
  <si>
    <t>ICRA A+(SO)</t>
  </si>
  <si>
    <t>INE003S07189</t>
  </si>
  <si>
    <t>9.45% Renew Power Ltd (31-Jul-2025) **</t>
  </si>
  <si>
    <t>INE918T07046</t>
  </si>
  <si>
    <t>11.84% Hero Wind Energy Pvt Ltd (10-Jun-2022) **</t>
  </si>
  <si>
    <t>ICRA A+</t>
  </si>
  <si>
    <t>a) NAV at the beginning and at the end of the Half-year ended 31-Oct-2019</t>
  </si>
  <si>
    <t>c) Average Maturity as on 31-Oct-2019</t>
  </si>
  <si>
    <t>(In Year)</t>
  </si>
  <si>
    <t xml:space="preserve">d) Total No. of Instances of deviation from valuation price provided by the valuation agencies </t>
  </si>
  <si>
    <t xml:space="preserve">Refer below link for rationale of devation under Valuation policy </t>
  </si>
  <si>
    <t>https://www.franklintempletonindia.com/investor/reports</t>
  </si>
  <si>
    <t>Franklin India Ultra Short Bond Fund As of -31-Oct-2019</t>
  </si>
  <si>
    <t>INE205A07030</t>
  </si>
  <si>
    <t>9.45% Vedanta Ltd (17-Aug-2020) **</t>
  </si>
  <si>
    <t>INE003S07213</t>
  </si>
  <si>
    <t>9.60% Renew Power Ltd (26-Feb-2021) **</t>
  </si>
  <si>
    <t>INE397D08037</t>
  </si>
  <si>
    <t>8.35% Bharti Airtel Ltd (20-Apr-2021) **</t>
  </si>
  <si>
    <t>INE651J07739</t>
  </si>
  <si>
    <t>JM Financial Credit Solutions Ltd (1Y SBI MCLR + 160 Bps) (23-Jul-2024) **</t>
  </si>
  <si>
    <t>ICRA AA</t>
  </si>
  <si>
    <t>INE896L07561</t>
  </si>
  <si>
    <t>Indostar Capital Finance Ltd (1Y SBI MCLR + 200 Bps) (02-May-2023) **</t>
  </si>
  <si>
    <t>INE397D08029</t>
  </si>
  <si>
    <t>8.25% Bharti Airtel Ltd (20-Apr-2020) **</t>
  </si>
  <si>
    <t>INE548V07039</t>
  </si>
  <si>
    <t>8.5666% Nuvoco Vistas Corp Ltd (14-Sep-2020) **</t>
  </si>
  <si>
    <t>INE657N07597</t>
  </si>
  <si>
    <t>Edelweiss Rural &amp; Corporate Services Ltd (1Y SBI MCLR + 160 Bps) (29-Nov-2021) **</t>
  </si>
  <si>
    <t>INE657N07605</t>
  </si>
  <si>
    <t>Edelweiss Rural &amp; Corporate Services Ltd (1Y SBI MCLR + 160 Bps) (29-Nov-2021) - Series II **</t>
  </si>
  <si>
    <t>INE403D08025</t>
  </si>
  <si>
    <t>0.00% Bharti Telecom Ltd (19-Feb-2021) **</t>
  </si>
  <si>
    <t>INE721A07MA5</t>
  </si>
  <si>
    <t>Shriram Transport Finance Co Ltd ( One Year CD Rate + 150 Bps) (30-Mar-2020) **</t>
  </si>
  <si>
    <t>IND AA+</t>
  </si>
  <si>
    <t>INE540P07285</t>
  </si>
  <si>
    <t>10.15% Uttar Pradesh Power Corp Ltd (20-Jan-2021) **</t>
  </si>
  <si>
    <t>INE371K08128</t>
  </si>
  <si>
    <t>0.00% Tata Realty &amp; Infrastructure Ltd (04-Jun-2021) **</t>
  </si>
  <si>
    <t>INE540P07194</t>
  </si>
  <si>
    <t>9.75% Uttar Pradesh Power Corp Ltd (20-Oct-2020) **</t>
  </si>
  <si>
    <t>INE941D08065</t>
  </si>
  <si>
    <t>10.25% Sikka Ports &amp; Terminals Ltd (22-Aug-2021) **</t>
  </si>
  <si>
    <t>INE658R08149</t>
  </si>
  <si>
    <t>Motilal Oswal Home Finance Ltd (SBI MCLR + 215 Bps) (28-Sep-2023) **</t>
  </si>
  <si>
    <t>INE572E09361</t>
  </si>
  <si>
    <t>8.47% Pnb Housing Finance Ltd (01-Jul-2021) **</t>
  </si>
  <si>
    <t>INE572E09494</t>
  </si>
  <si>
    <t>0.00% Pnb Housing Finance Ltd (03-Aug-2020) **</t>
  </si>
  <si>
    <t>INE658R07257</t>
  </si>
  <si>
    <t>Motilal Oswal Home Finance Ltd (SBI MCLR + 200 Bps) (24-Aug-2023) **</t>
  </si>
  <si>
    <t>INE721A07OI4</t>
  </si>
  <si>
    <t>Shriram Transport Finance Co Ltd ( 3M INCDFIX Rate + 222 Bps) (11-Mar-2021) **</t>
  </si>
  <si>
    <t>INE134E08GS5</t>
  </si>
  <si>
    <t>8.52% Power Finance Corp Ltd (09-Dec-2019) **</t>
  </si>
  <si>
    <t>INE271C07137</t>
  </si>
  <si>
    <t>12.25% DLF Ltd, Series IV (11-Aug-2020) **</t>
  </si>
  <si>
    <t>INE081A08165</t>
  </si>
  <si>
    <t>11.80% Tata Steel Ltd (18-Mar-2021) **</t>
  </si>
  <si>
    <t>INE252T07040</t>
  </si>
  <si>
    <t>9.70% Xander Finance Pvt Ltd (15-Mar-2021) **</t>
  </si>
  <si>
    <t>INE146O08035</t>
  </si>
  <si>
    <t>12.40% Hinduja Leyland Finance Ltd (03-Nov-2019) **</t>
  </si>
  <si>
    <t>IND AA-</t>
  </si>
  <si>
    <t>INE245A08091</t>
  </si>
  <si>
    <t>7.99% The Tata Power Co Ltd (16-Nov-2020) **</t>
  </si>
  <si>
    <t>INE155A08365</t>
  </si>
  <si>
    <t>7.40% Tata Motors Ltd (29-Jun-2021) **</t>
  </si>
  <si>
    <t>INE945W07019</t>
  </si>
  <si>
    <t>10.75% Incred Financial Services Pvt Ltd (22-Jun-2020) **</t>
  </si>
  <si>
    <t>CARE A</t>
  </si>
  <si>
    <t>INE146O08043</t>
  </si>
  <si>
    <t>12.40% Hinduja Leyland Finance Ltd (03-Apr-2020) **</t>
  </si>
  <si>
    <t>INE623B07115</t>
  </si>
  <si>
    <t>10.25% Future Enterprise Ltd, Series C (06-Apr-2020) **</t>
  </si>
  <si>
    <t>INE623B07107</t>
  </si>
  <si>
    <t>10.25% Future Enterprise Ltd, Series B (06-Apr-2020) **</t>
  </si>
  <si>
    <t>INE850M07111</t>
  </si>
  <si>
    <t>9.60% Northern ARC Capital Ltd (27-Dec-2019) **</t>
  </si>
  <si>
    <t>INE905O07028</t>
  </si>
  <si>
    <t>8.25% Vizag General Cargo Berth Pvt Ltd (30-Sep-2020) **</t>
  </si>
  <si>
    <t>CRISIL AA(SO)</t>
  </si>
  <si>
    <t>INE694L07107</t>
  </si>
  <si>
    <t>7.85% Talwandi Sabo Power Ltd (04-Aug-2020) **</t>
  </si>
  <si>
    <t>INE572E09452</t>
  </si>
  <si>
    <t>7.63% Pnb Housing Finance Ltd (15-Dec-2020) **</t>
  </si>
  <si>
    <t>INE572E09429</t>
  </si>
  <si>
    <t>7.80% Pnb Housing Finance Ltd (07-May-2021) **</t>
  </si>
  <si>
    <t>INE020B08864</t>
  </si>
  <si>
    <t>8.56% Rec Ltd (13-Nov-2019) **</t>
  </si>
  <si>
    <t>INE657N07183</t>
  </si>
  <si>
    <t>9.00% Edelweiss Rural &amp; Corporate Services Ltd (17-Apr-2020) **</t>
  </si>
  <si>
    <t>INE850M08077</t>
  </si>
  <si>
    <t>Northern Arc Capital Ltd (6M SBI MCLR + 305 Bps) Series C (16-Jul-2021) **</t>
  </si>
  <si>
    <t>INE540P07277</t>
  </si>
  <si>
    <t>10.15% Uttar Pradesh Power Corp Ltd (20-Jan-2020) **</t>
  </si>
  <si>
    <t>INE850M08051</t>
  </si>
  <si>
    <t>Northern Arc Capital Ltd (6M SBI MCLR + 305 Bps) Series A (16-Jul-2021) **</t>
  </si>
  <si>
    <t>INE850M08069</t>
  </si>
  <si>
    <t>Northern Arc Capital Ltd (6M SBI MCLR + 305 Bps) Series B (16-Jul-2021) **</t>
  </si>
  <si>
    <t>INE949L08152</t>
  </si>
  <si>
    <t>11.75% AU Small Finance Bank Ltd (04-May-2021) **</t>
  </si>
  <si>
    <t>INE694L07123</t>
  </si>
  <si>
    <t>9.23% Talwandi Sabo Power Ltd (30-Jul-2021) **</t>
  </si>
  <si>
    <t>INE572E09460</t>
  </si>
  <si>
    <t>7.63% Pnb Housing Finance Ltd (14-Jul-2020) **</t>
  </si>
  <si>
    <t>INE572E09411</t>
  </si>
  <si>
    <t>7.46% Pnb Housing Finance Ltd (30-Apr-2020) **</t>
  </si>
  <si>
    <t>INE572E09478</t>
  </si>
  <si>
    <t>7.50% Pnb Housing Finance Ltd (15-Sep-2020) **</t>
  </si>
  <si>
    <t>INE155A08357</t>
  </si>
  <si>
    <t>7.28% Tata Motors Ltd (29-Jul-2020) **</t>
  </si>
  <si>
    <t>INE155A08068</t>
  </si>
  <si>
    <t>9.70% Tata Motors Ltd (18-Jun-2020) **</t>
  </si>
  <si>
    <t>INE945W07027</t>
  </si>
  <si>
    <t>0.00% Incred Financial Services Pvt Ltd (22-Jun-2020) **</t>
  </si>
  <si>
    <t>INE721A07NR7</t>
  </si>
  <si>
    <t>8.45% Shriram Transport Finance Co Ltd (27-Mar-2020) **</t>
  </si>
  <si>
    <t>INE721A07NI6</t>
  </si>
  <si>
    <t>8.55% Shriram Transport Finance Co Ltd (21-May-2021) **</t>
  </si>
  <si>
    <t>INE572E09569</t>
  </si>
  <si>
    <t>7.58% Pnb Housing Finance Ltd (15-Mar-2021) **</t>
  </si>
  <si>
    <t>INE110L08011</t>
  </si>
  <si>
    <t>8.95% Reliance Jio Infocomm Ltd (15-Sep-2020) **</t>
  </si>
  <si>
    <t>CRISIL AAA(SO)</t>
  </si>
  <si>
    <t>INE146O08050</t>
  </si>
  <si>
    <t>12.40% Hinduja Leyland Finance Ltd (26-Apr-2020) **</t>
  </si>
  <si>
    <t>INE459T07066</t>
  </si>
  <si>
    <t>Vastu Housing Finance Corp Ltd (6M SBI MCLR + 350 Bps) (25-Aug-2023) **</t>
  </si>
  <si>
    <t>INE459T07074</t>
  </si>
  <si>
    <t>INE252T07057</t>
  </si>
  <si>
    <t>9.70% Xander Finance Pvt Ltd (30-Apr-2021) **</t>
  </si>
  <si>
    <t>INE134E08GQ9</t>
  </si>
  <si>
    <t>8.65% Power Finance Corp Ltd (28-Nov-2019) **</t>
  </si>
  <si>
    <t>INE020B07EY7</t>
  </si>
  <si>
    <t>8.80% Rec Ltd (17-Nov-2019) **</t>
  </si>
  <si>
    <t>INE146O07052</t>
  </si>
  <si>
    <t>10.65% Hinduja Leyland Finance Ltd (16-Feb-2020) **</t>
  </si>
  <si>
    <t>INE721A07NV9</t>
  </si>
  <si>
    <t>9.10% Shriram Transport Finance Co Ltd (12-Jul-2021) **</t>
  </si>
  <si>
    <t>INE146O08084</t>
  </si>
  <si>
    <t>11.30% Hinduja Leyland Finance Ltd (21-Jul-2021) **</t>
  </si>
  <si>
    <t>INE155A08043</t>
  </si>
  <si>
    <t>9.90% Tata Motors Ltd (07-May-2020) **</t>
  </si>
  <si>
    <t>INE091A07174</t>
  </si>
  <si>
    <t>7.90% Nirma Ltd (28-Feb-2020) **</t>
  </si>
  <si>
    <t>INE572E09601</t>
  </si>
  <si>
    <t>8.75% Pnb Housing Finance Ltd (30-Aug-2021) **</t>
  </si>
  <si>
    <t>INE721A07LX9</t>
  </si>
  <si>
    <t>8.10% Shriram Transport Finance Co Ltd (27-Mar-2020) **</t>
  </si>
  <si>
    <t>INE434A09149</t>
  </si>
  <si>
    <t>9.55% Andhra Bank (26-Dec-2019) **</t>
  </si>
  <si>
    <t>INE01HV07015</t>
  </si>
  <si>
    <t>11.00% Vivriti Capital Pvt Ltd (19-Mar-2021) **</t>
  </si>
  <si>
    <t>INE721A07MW9</t>
  </si>
  <si>
    <t>7.6414% Shriram Transport Finance Co Ltd (10-Nov-2020) **</t>
  </si>
  <si>
    <t>INE804I08601</t>
  </si>
  <si>
    <t>12.00% Ecl Finance Ltd (24-Apr-2020) **</t>
  </si>
  <si>
    <t>INE016P07112</t>
  </si>
  <si>
    <t>11.45% Vistaar Financial Services Pvt Ltd (06-Jan-2020) **</t>
  </si>
  <si>
    <t>INE514E08FK7</t>
  </si>
  <si>
    <t>7.09% Export-Import Bank Of India (02-Mar-2020) **</t>
  </si>
  <si>
    <t>INE434A08067</t>
  </si>
  <si>
    <t>10.99% Andhra Bank (05-Aug-2021) **</t>
  </si>
  <si>
    <t>INE090A08TW2</t>
  </si>
  <si>
    <t>9.20% ICICI Bank Ltd (17-Mar-2022) **</t>
  </si>
  <si>
    <t>INE616U07036</t>
  </si>
  <si>
    <t>8.70% Edelweiss Rural &amp; Corporate Services Ltd (30-Jun-2027) **</t>
  </si>
  <si>
    <t>INE572E09270</t>
  </si>
  <si>
    <t>8.59% Pnb Housing Finance Ltd (17-Jun-2020) **</t>
  </si>
  <si>
    <t>INE756I07CA5</t>
  </si>
  <si>
    <t>HDB Financial (91DTB + 205 Bps) (12Jul2021) **</t>
  </si>
  <si>
    <t>INE752E07MI5</t>
  </si>
  <si>
    <t>8.15% Power Grid Corp Of India Ltd (09-Mar-2020) **</t>
  </si>
  <si>
    <t>INE896L07660</t>
  </si>
  <si>
    <t>Indostar Capital Finance Ltd (SBI MCLR + 225 Bps) (02-Nov-2021) **</t>
  </si>
  <si>
    <t>INE680R07012</t>
  </si>
  <si>
    <t>10.90% Piramal Realty Pvt Ltd (13-Mar-2020) **</t>
  </si>
  <si>
    <t>INE081T08090</t>
  </si>
  <si>
    <t>10.90% Aasan Corporate Solutions Pvt Ltd (13-Dec-2019) **</t>
  </si>
  <si>
    <t>INE157D08027</t>
  </si>
  <si>
    <t>9.00% Clix Capital Services Pvt Ltd (27-Jun-2023) **</t>
  </si>
  <si>
    <t>INE081T08108</t>
  </si>
  <si>
    <t>10.90% Aasan Corporate Solutions Pvt Ltd (20-Dec-2019) **</t>
  </si>
  <si>
    <t>INE316W07013</t>
  </si>
  <si>
    <t>0.00% Hero Solar Energy Pvt Ltd (21-Jun-2022) **</t>
  </si>
  <si>
    <t>INE157D08019</t>
  </si>
  <si>
    <t>10.75% Clix Capital Services Pvt Ltd (25-May-2023) **</t>
  </si>
  <si>
    <t>INE918T07038</t>
  </si>
  <si>
    <t>0.00% Hero Wind Energy Pvt Ltd (21-Jun-2022) **</t>
  </si>
  <si>
    <t>INE081T07027</t>
  </si>
  <si>
    <t>10.90% Aasan Corporate Solutions Pvt Ltd (13-Mar-2020) **</t>
  </si>
  <si>
    <t>INE918T07020</t>
  </si>
  <si>
    <t>0.00% Hero Wind Energy Pvt Ltd (08-Feb-2022) **</t>
  </si>
  <si>
    <t>INE423Y07013</t>
  </si>
  <si>
    <t>9.40% Small Business Fincredit India Pvt Ltd (28-Sep-2020) **</t>
  </si>
  <si>
    <t>INE582L07138</t>
  </si>
  <si>
    <t>8.19% Tata Housing Development Co Ltd (23-Apr-2020) **</t>
  </si>
  <si>
    <t>INE137K07018</t>
  </si>
  <si>
    <t>4.00% Hpcl-Mittal Energy Ltd (03-Sep-2020) **</t>
  </si>
  <si>
    <t>ICRA AA+</t>
  </si>
  <si>
    <t>INE587B08037</t>
  </si>
  <si>
    <t>11.50% Clix Finance India Pvt Ltd (06-Jan-2022) **</t>
  </si>
  <si>
    <t>INE157D08050</t>
  </si>
  <si>
    <t>11.50% Clix Capital Services Pvt Ltd (06-May-2021) **</t>
  </si>
  <si>
    <t>INE157D08068</t>
  </si>
  <si>
    <t>11.50% Clix Capital Services Pvt Ltd (06-Jul-2021) **</t>
  </si>
  <si>
    <t>INE157D08035</t>
  </si>
  <si>
    <t>11.50% Clix Capital Services Pvt Ltd (06-Sep-2021) **</t>
  </si>
  <si>
    <t>INE139S07025</t>
  </si>
  <si>
    <t>10.25% Renew Solar Power Pvt Ltd (29-Nov-2019) **</t>
  </si>
  <si>
    <t>INE582L07104</t>
  </si>
  <si>
    <t>8.25% Tata Housing Development Co Ltd (27-Feb-2020) **</t>
  </si>
  <si>
    <t>INE157D08043</t>
  </si>
  <si>
    <t>11.50% Clix Capital Services Pvt Ltd (12-Nov-2021) **</t>
  </si>
  <si>
    <t>INE003S07155</t>
  </si>
  <si>
    <t>11.96% Renew Power Ltd (28-Sep-2022) **</t>
  </si>
  <si>
    <t>INE931Q08035</t>
  </si>
  <si>
    <t>8.40% Promont Hillside Pvt Ltd (26-Jun-2020) **</t>
  </si>
  <si>
    <t>INE960S07073</t>
  </si>
  <si>
    <t>0.00% JSW Logistics Infrastructure Pvt Ltd (13-Dec-2019) **</t>
  </si>
  <si>
    <t>INE960S07081</t>
  </si>
  <si>
    <t>0.00% JSW Logistics Infrastructure Pvt Ltd (13-Mar-2020) **</t>
  </si>
  <si>
    <t>INE971Z07026</t>
  </si>
  <si>
    <t>11.5% Rivaaz Trade Ventures Pvt Ltd (30-Mar-2020) **</t>
  </si>
  <si>
    <t>INE922K07013</t>
  </si>
  <si>
    <t>9.99% India Shelter Finance Corp Ltd (10-Feb-2022) **</t>
  </si>
  <si>
    <t>INE321N07244</t>
  </si>
  <si>
    <t>0.00% KKR India Financial Services Pvt Ltd (10-Mar-2021) **</t>
  </si>
  <si>
    <t>Money Market Instruments</t>
  </si>
  <si>
    <t>Certificate of Deposit</t>
  </si>
  <si>
    <t>INE480Q16283</t>
  </si>
  <si>
    <t>(MIBOR+160) Cooperatieve Rabobank (28-Nov-2019) **</t>
  </si>
  <si>
    <t>ICRA A1+</t>
  </si>
  <si>
    <t>INE238A160K7</t>
  </si>
  <si>
    <t>Axis Bank Ltd (07-Feb-2020) **</t>
  </si>
  <si>
    <t>CRISIL A1+</t>
  </si>
  <si>
    <t>Commercial Paper</t>
  </si>
  <si>
    <t>INE020B14623</t>
  </si>
  <si>
    <t>Rec Ltd (07-Feb-2020) **</t>
  </si>
  <si>
    <t>CARE A1+</t>
  </si>
  <si>
    <t>INE351E14014</t>
  </si>
  <si>
    <t>Dlf Home Developers Ltd (27-Dec-2019) **</t>
  </si>
  <si>
    <t>ICRA A1</t>
  </si>
  <si>
    <t>INE371K14AB7</t>
  </si>
  <si>
    <t>Tata Realty &amp; Infrastructure Ltd (21-Sep-2020) **</t>
  </si>
  <si>
    <t>INE371K14902</t>
  </si>
  <si>
    <t>Tata Realty &amp; Infrastructure Ltd (25-Feb-2020) **</t>
  </si>
  <si>
    <t>INE371K14910</t>
  </si>
  <si>
    <t>Tata Realty &amp; Infrastructure Ltd (03-Mar-2020) **</t>
  </si>
  <si>
    <t>INE371K14928</t>
  </si>
  <si>
    <t>Tata Realty &amp; Infrastructure Ltd (10-Mar-2020) **</t>
  </si>
  <si>
    <t>INE371K14894</t>
  </si>
  <si>
    <t>Tata Realty &amp; Infrastructure Ltd (17-Mar-2020) **</t>
  </si>
  <si>
    <t>INE371K14AD3</t>
  </si>
  <si>
    <t>Tata Realty &amp; Infrastructure Ltd (15-Sep-2020) **</t>
  </si>
  <si>
    <t>INE523H14P25</t>
  </si>
  <si>
    <t>Jm Financial Products Ltd (07-Jan-2020) **</t>
  </si>
  <si>
    <t>INE001A14UV7</t>
  </si>
  <si>
    <t>Housing Development Finance Corp Ltd (02-Mar-2020) **</t>
  </si>
  <si>
    <t>INE001A14UT1</t>
  </si>
  <si>
    <t>Housing Development Finance Corp Ltd (13-Feb-2020) **</t>
  </si>
  <si>
    <t>* Less Than 0.01 %</t>
  </si>
  <si>
    <t>Super Institutional Plan Growth Option</t>
  </si>
  <si>
    <t>Super Institutional Plan Daily Dividend Option</t>
  </si>
  <si>
    <t>Super Institutional Plan Weekly Dividend Option</t>
  </si>
  <si>
    <t>Direct Super Institutional Plan Growth Option</t>
  </si>
  <si>
    <t>Direct Super Institutional Plan Daily Dividend Option</t>
  </si>
  <si>
    <t>Direct Super Institutional Plan Weekly Dividend Option</t>
  </si>
  <si>
    <t>Retail Plan Growth Option</t>
  </si>
  <si>
    <t>Retail Plan Daily Dividend Option</t>
  </si>
  <si>
    <t>Retail Plan Weekly Dividend Option</t>
  </si>
  <si>
    <t>Institutional Plan Growth Option</t>
  </si>
  <si>
    <t>Institutional Plan Daily Dividend Option</t>
  </si>
  <si>
    <t>Super Institutional Plan Daily Dividend Reinvestment Option</t>
  </si>
  <si>
    <t>Direct Super Institutional Plan Daily Dividend Reinvestment Option</t>
  </si>
  <si>
    <t>Institutional Plan Daily Dividend Reinvestment Option</t>
  </si>
  <si>
    <t>(In Years)</t>
  </si>
  <si>
    <t>Franklin India Short Term Income Plan As of -31-Oct-2019</t>
  </si>
  <si>
    <t>INE528G08352</t>
  </si>
  <si>
    <t>9.50% Yes Bank Ltd (23-12-2021) **</t>
  </si>
  <si>
    <t>INE140A07401</t>
  </si>
  <si>
    <t>9.10% Piramal Enterprises Ltd (15-May-2020) **</t>
  </si>
  <si>
    <t>INE140A07435</t>
  </si>
  <si>
    <t>9.10% Piramal Enterprises Ltd (29-May-2020) **</t>
  </si>
  <si>
    <t>INE01E708024</t>
  </si>
  <si>
    <t>10.32% Andhra Pradesh Capital Region Development Authority (16-Aug-2025) **</t>
  </si>
  <si>
    <t>INE01E708016</t>
  </si>
  <si>
    <t>10.32% Andhra Pradesh Capital Region Development Authority (16-Aug-2024) **</t>
  </si>
  <si>
    <t>INE081A08181</t>
  </si>
  <si>
    <t>2.00% Tata Steel Ltd (23-Apr-2022) **</t>
  </si>
  <si>
    <t>INE134E08KC1</t>
  </si>
  <si>
    <t>8.85% Power Finance Corp Ltd (25-May-2029) **</t>
  </si>
  <si>
    <t>INE155A08340</t>
  </si>
  <si>
    <t>7.50% Tata Motors Ltd (22-Jun-2022) **</t>
  </si>
  <si>
    <t>INE852O07097</t>
  </si>
  <si>
    <t>10.00% Aptus Value Housing Finance India Ltd (20-Aug-2025) **</t>
  </si>
  <si>
    <t>INE572E09403</t>
  </si>
  <si>
    <t>7.91% Pnb Housing Finance Ltd (29-Mar-2022) **</t>
  </si>
  <si>
    <t>INE128S07374</t>
  </si>
  <si>
    <t>12.64% Five-Star Business Finance Ltd (16-Apr-2022) **</t>
  </si>
  <si>
    <t>INE124N07309</t>
  </si>
  <si>
    <t>12.00% Ess Kay Fincorp Ltd (01-Aug-2023) **</t>
  </si>
  <si>
    <t>INE657N07381</t>
  </si>
  <si>
    <t>INE540P07319</t>
  </si>
  <si>
    <t>10.15% Uttar Pradesh Power Corp Ltd (19-Jan-2024) **</t>
  </si>
  <si>
    <t>INE540P07327</t>
  </si>
  <si>
    <t>10.15% Uttar Pradesh Power Corp Ltd (20-Jan-2025) **</t>
  </si>
  <si>
    <t>INE265J07365</t>
  </si>
  <si>
    <t>12.40% Jm Financial Asset Reconstruction Co Ltd (02-Aug-2021) **</t>
  </si>
  <si>
    <t>INE128S07390</t>
  </si>
  <si>
    <t>12.64% Five-Star Business Finance Ltd (28-May-2022) **</t>
  </si>
  <si>
    <t>INE540P07335</t>
  </si>
  <si>
    <t>10.15% Uttar Pradesh Power Corp Ltd (20-Jan-2026) **</t>
  </si>
  <si>
    <t>INE020B08BS3</t>
  </si>
  <si>
    <t>8.80% Rec Ltd (14-May-2029) **</t>
  </si>
  <si>
    <t>INE295J08014</t>
  </si>
  <si>
    <t>9.70% Coastal Gujarat Power Ltd (25-Aug-2023) **</t>
  </si>
  <si>
    <t>INE572E09619</t>
  </si>
  <si>
    <t>9.00% Pnb Housing Finance Ltd (30-Aug-2022) **</t>
  </si>
  <si>
    <t>INE016P07146</t>
  </si>
  <si>
    <t>10.5% Vistaar Financial Services Pvt Ltd (24-Aug-2025) **</t>
  </si>
  <si>
    <t>INE038A07274</t>
  </si>
  <si>
    <t>9.60% Hindalco Industries Ltd (02-Aug-2022) **</t>
  </si>
  <si>
    <t>INE852O07055</t>
  </si>
  <si>
    <t>10.00% Aptus Value Housing Finance India Ltd (24-Jan-2025) **</t>
  </si>
  <si>
    <t>INE271C07178</t>
  </si>
  <si>
    <t>12.25% DLF Ltd., Tranche II Series IV, (11-Aug-2020) **</t>
  </si>
  <si>
    <t>INE146O08159</t>
  </si>
  <si>
    <t>11.60% Hinduja Leyland Finance Ltd (29-Sep-2024) **</t>
  </si>
  <si>
    <t>INE128S07358</t>
  </si>
  <si>
    <t>12.64% Five-Star Business Finance Ltd (29-Mar-2022) **</t>
  </si>
  <si>
    <t>INE124N07200</t>
  </si>
  <si>
    <t>10.9007% Ess Kay Fincorp Ltd (11-Jun-2021) **</t>
  </si>
  <si>
    <t>INE124N07168</t>
  </si>
  <si>
    <t>INE459T07082</t>
  </si>
  <si>
    <t>10.4% Vastu Housing Finance Corp Ltd (27-Nov-2025) **</t>
  </si>
  <si>
    <t>INE459T07090</t>
  </si>
  <si>
    <t>10.40% Vastu Housing Finance Corp Ltd (27-Nov-2025) **</t>
  </si>
  <si>
    <t>INE459T07033</t>
  </si>
  <si>
    <t>INE01E708032</t>
  </si>
  <si>
    <t>10.32% Andhra Pradesh Capital Region Development Authority (16-Aug-2026) **</t>
  </si>
  <si>
    <t>INE146O08068</t>
  </si>
  <si>
    <t>11.50% Hinduja Leyland Finance Ltd (31-May-2021) **</t>
  </si>
  <si>
    <t>INE540P07202</t>
  </si>
  <si>
    <t>9.75% Uttar Pradesh Power Corp Ltd (20-Oct-2021) **</t>
  </si>
  <si>
    <t>INE608A08025</t>
  </si>
  <si>
    <t>10.90% Punjab &amp; Sindh Bank Ltd (07-May-2022) **</t>
  </si>
  <si>
    <t>INE936D07075</t>
  </si>
  <si>
    <t>9.75% Jamnagar Utilities &amp; Power Pvt Ltd (02-Aug-2024) **</t>
  </si>
  <si>
    <t>INE852O07048</t>
  </si>
  <si>
    <t>10.00% Aptus Value Housing Finance India Ltd (26-Dec-2024) **</t>
  </si>
  <si>
    <t>INE657N07407</t>
  </si>
  <si>
    <t>8.45% Edelweiss Rural &amp; Corporate Services Ltd (11-Aug-2020) **</t>
  </si>
  <si>
    <t>INE128S07333</t>
  </si>
  <si>
    <t>10.21% Five-Star Business Finance Ltd (28-Mar-2023) **</t>
  </si>
  <si>
    <t>INE265J07316</t>
  </si>
  <si>
    <t>11.50% Jm Financial Asset Reconstruction Co Ltd (29-May-2022) **</t>
  </si>
  <si>
    <t>INE667A08070</t>
  </si>
  <si>
    <t>11.25% Syndicate Bank (15-Jul-2021) **</t>
  </si>
  <si>
    <t>INE503A08028</t>
  </si>
  <si>
    <t>9.85% DCB Bank Ltd (18-Nov-2026) **</t>
  </si>
  <si>
    <t>INE134E08HV7</t>
  </si>
  <si>
    <t>8.36% Power Finance Corp Ltd (04-Sep-2020) **</t>
  </si>
  <si>
    <t>INE155A08225</t>
  </si>
  <si>
    <t>9.73% Tata Motors Ltd (01-Oct-2020) **</t>
  </si>
  <si>
    <t>INE146O08027</t>
  </si>
  <si>
    <t>12.00% Hinduja Leyland Finance Ltd (28-Mar-2021) **</t>
  </si>
  <si>
    <t>INE134E08FQ1</t>
  </si>
  <si>
    <t>8.94% Power Finance Corp Ltd (25-Mar-2028) **</t>
  </si>
  <si>
    <t>INE110L07096</t>
  </si>
  <si>
    <t>8.00% Reliance Jio Infocomm Ltd (16-Apr-2023) **</t>
  </si>
  <si>
    <t>INE028A08083</t>
  </si>
  <si>
    <t>8.50% Bank Of Baroda (02-Dec-2021) **</t>
  </si>
  <si>
    <t>INE128S07317</t>
  </si>
  <si>
    <t>INE261F08477</t>
  </si>
  <si>
    <t>8.15% National Bank For Agriculture And Rural Development (04-Mar-2020) **</t>
  </si>
  <si>
    <t>INE020B08823</t>
  </si>
  <si>
    <t>8.87% Rec Ltd (08-Mar-2020) **</t>
  </si>
  <si>
    <t>ICRA AAA</t>
  </si>
  <si>
    <t>INE134E08IW3</t>
  </si>
  <si>
    <t>7.50% Power Finance Corp Ltd (17-Sep-2020) **</t>
  </si>
  <si>
    <t>INE535H07AU7</t>
  </si>
  <si>
    <t>9.30% Fullerton India Credit Co Ltd (15-Mar-2021) **</t>
  </si>
  <si>
    <t>INE774D07RY7</t>
  </si>
  <si>
    <t>0.00% Mahindra &amp; Mahindra Financial Services Ltd (07-Apr-2021) **</t>
  </si>
  <si>
    <t>IND AAA</t>
  </si>
  <si>
    <t>INE110L07070</t>
  </si>
  <si>
    <t>8.32% Reliance Jio Infocomm Ltd (08-Jul-2021) **</t>
  </si>
  <si>
    <t>INE261F08AL1</t>
  </si>
  <si>
    <t>8.39% National Bank For Agriculture And Rural Development (19-Jul-2021) **</t>
  </si>
  <si>
    <t>INE001A07QF2</t>
  </si>
  <si>
    <t>7.78% Housing Development Finance Corp Ltd (24-Mar-2020) **</t>
  </si>
  <si>
    <t>INE705A08094</t>
  </si>
  <si>
    <t>10.49% Bank Of Baroda (17-Jan-2022) **</t>
  </si>
  <si>
    <t>INE660N07047</t>
  </si>
  <si>
    <t>INE209W07010</t>
  </si>
  <si>
    <t>9.60% Narmada Wind Energy Pvt Ltd (31-Mar-2023) **</t>
  </si>
  <si>
    <t>INE498F07063</t>
  </si>
  <si>
    <t>0.00% Essel Infraprojects Ltd, Series I (22-May-2020) **$$</t>
  </si>
  <si>
    <t>BWR BB-(SO)</t>
  </si>
  <si>
    <t>INE720G08082</t>
  </si>
  <si>
    <t>Jindal Power Ltd (Sbi+100 Bps) (22-Dec-2020) **</t>
  </si>
  <si>
    <t>INE316W07039</t>
  </si>
  <si>
    <t>11.84% Hero Solar Energy Pvt Ltd (10-Dec-2021) **</t>
  </si>
  <si>
    <t>INE971Z07109</t>
  </si>
  <si>
    <t>12.25% Rivaaz Trade Ventures Pvt Ltd (30-Sep-2023) **</t>
  </si>
  <si>
    <t>INE082T07025</t>
  </si>
  <si>
    <t>0.00% Diligent Media Corp Ltd. Series B (30-Jun-2020) **$$</t>
  </si>
  <si>
    <t>INE971Z07042</t>
  </si>
  <si>
    <t>11.5% Rivaaz Trade Ventures Pvt Ltd (30-Mar-2022) **</t>
  </si>
  <si>
    <t>INE003S07122</t>
  </si>
  <si>
    <t>13.01% Renew Power Ltd., Series VI, (23-Mar-2020) **</t>
  </si>
  <si>
    <t>INE03VJ07017</t>
  </si>
  <si>
    <t>11.25% Aadarshini Real Estate Developers Pvt Ltd (29-Jul-2020) **</t>
  </si>
  <si>
    <t>INE428K07011</t>
  </si>
  <si>
    <t>11.49% Reliance Infrastructure Consulting &amp; Engineers Pvt Ltd (15-Jan-2021) **$$</t>
  </si>
  <si>
    <t>INE507R07033</t>
  </si>
  <si>
    <t>14.00% Opj Trading Pvt Ltd (16-Oct-2020) **</t>
  </si>
  <si>
    <t>BWR A-(SO)</t>
  </si>
  <si>
    <t>INE971Z07034</t>
  </si>
  <si>
    <t>11.5% Rivaaz Trade Ventures Pvt Ltd (30-Mar-2021) **</t>
  </si>
  <si>
    <t>INE946S07122</t>
  </si>
  <si>
    <t>12.80% Nufuture Digital (India) Ltd (30-Sep-2021) **</t>
  </si>
  <si>
    <t>INE498F07071</t>
  </si>
  <si>
    <t>0.00% Essel Infraprojects Ltd, Series II (22-May-2020) **$$</t>
  </si>
  <si>
    <t>INE082T07017</t>
  </si>
  <si>
    <t>0.00% Diligent Media Corp Ltd. Series A (30-Jun-2020) **$$</t>
  </si>
  <si>
    <t>INE285T07099</t>
  </si>
  <si>
    <t>11.9% Rivaaz Trade Ventures Pvt Ltd (07-Aug-2020) **</t>
  </si>
  <si>
    <t>INE971Z07083</t>
  </si>
  <si>
    <t>12.25% Rivaaz Trade Ventures Pvt Ltd (30-Sep-2021) **</t>
  </si>
  <si>
    <t>INE333T07055</t>
  </si>
  <si>
    <t>11.49% Reliance Big Pvt Ltd Series 2 (14-Jan-2021) **$$</t>
  </si>
  <si>
    <t>INE971Z07091</t>
  </si>
  <si>
    <t>12.25% Rivaaz Trade Ventures Pvt Ltd (30-Sep-2022) **</t>
  </si>
  <si>
    <t>INE080T07060</t>
  </si>
  <si>
    <t>13.40% Future Ideas Company Ltd (31-Oct-2022) **</t>
  </si>
  <si>
    <t>INE971Z07075</t>
  </si>
  <si>
    <t>12.25% Rivaaz Trade Ventures Pvt Ltd (30-Sep-2020) **</t>
  </si>
  <si>
    <t>INE946S07114</t>
  </si>
  <si>
    <t>12.80% Nufuture Digital (India) Ltd (30-Sep-2020) **</t>
  </si>
  <si>
    <t>INE445K07106</t>
  </si>
  <si>
    <t>9.50% Reliance Broadcast Network Ltd (20-Jul-2020) **$$</t>
  </si>
  <si>
    <t>CARE C</t>
  </si>
  <si>
    <t>INE080T07052</t>
  </si>
  <si>
    <t>13.40% Future Ideas Company Ltd (31-Oct-2021) **</t>
  </si>
  <si>
    <t>INE946S07098</t>
  </si>
  <si>
    <t>12.15% Nufuture Digital (India) Ltd (02-Jun-2020) **</t>
  </si>
  <si>
    <t>INE080T07045</t>
  </si>
  <si>
    <t>13.40% Future Ideas Company Ltd (31-Oct-2020) **</t>
  </si>
  <si>
    <t>INE321N07152</t>
  </si>
  <si>
    <t>0.00% KKR India Financial Services Pvt Ltd (14-Apr-2020) **</t>
  </si>
  <si>
    <t>INE895D08634</t>
  </si>
  <si>
    <t>8.01% Tata Sons Pvt Ltd (02-Sep-2021) **</t>
  </si>
  <si>
    <t>INE333T07048</t>
  </si>
  <si>
    <t>11.49% Reliance Big Pvt Ltd  Series 1 (14-Jan-2021) **$$</t>
  </si>
  <si>
    <t>INE895D08766</t>
  </si>
  <si>
    <t>7.90% Tata Sons Pvt Ltd (06-Mar-2020) **</t>
  </si>
  <si>
    <t>Retail Plan Monthly Dividend Option</t>
  </si>
  <si>
    <t>Retail Plan Quarterly Dividend Option</t>
  </si>
  <si>
    <t>Direct Retail Plan Growth Option</t>
  </si>
  <si>
    <t>Direct Retail Plan Weekly Dividend Option</t>
  </si>
  <si>
    <t>Direct Retail Plan Monthly Dividend Option</t>
  </si>
  <si>
    <t>Direct Retail Plan Quarterly Dividend Option</t>
  </si>
  <si>
    <t>Franklin India Savings Fund As of -31-Oct-2019</t>
  </si>
  <si>
    <t>INE090A162V7</t>
  </si>
  <si>
    <t>Icici Bank Ltd (17-Jul-2020) **</t>
  </si>
  <si>
    <t>INE556F16630</t>
  </si>
  <si>
    <t>Small Industries Development Bank Of India (15-May-2020)</t>
  </si>
  <si>
    <t>INE261F16454</t>
  </si>
  <si>
    <t>National Bank For Agriculture And Rural Development (05-Aug-2020)</t>
  </si>
  <si>
    <t>INE028A16BO0</t>
  </si>
  <si>
    <t>Bank Of Baroda (01-Jun-2020)</t>
  </si>
  <si>
    <t>IND A1+</t>
  </si>
  <si>
    <t>INE040A16CE4</t>
  </si>
  <si>
    <t>Hdfc Bank Ltd (06-Mar-2020) **</t>
  </si>
  <si>
    <t>INE028A16BF8</t>
  </si>
  <si>
    <t>Bank Of Baroda (17-Mar-2020) **</t>
  </si>
  <si>
    <t>INE261F16389</t>
  </si>
  <si>
    <t>National Bank For Agriculture And Rural Development (18-Mar-2020) **</t>
  </si>
  <si>
    <t>INE095A16A17</t>
  </si>
  <si>
    <t>Indusind Bank Ltd (20-Mar-2020) **</t>
  </si>
  <si>
    <t>INE480Q16416</t>
  </si>
  <si>
    <t>Cooperatieve Rabobank Ua (16-Mar-2020) **</t>
  </si>
  <si>
    <t>INE562A16JS2</t>
  </si>
  <si>
    <t>Indian Bank (01-Jun-2020)</t>
  </si>
  <si>
    <t>INE556F16648</t>
  </si>
  <si>
    <t>Small Industries Development Bank Of India (04-Jun-2020) **</t>
  </si>
  <si>
    <t>INE238A160Q4</t>
  </si>
  <si>
    <t>Axis Bank Ltd (07-Aug-2020) **</t>
  </si>
  <si>
    <t>INE090A166V8</t>
  </si>
  <si>
    <t>Icici Bank Ltd (14-Sep-2020)</t>
  </si>
  <si>
    <t>INE261F16371</t>
  </si>
  <si>
    <t>National Bank For Agriculture And Rural Development (13-Mar-2020)</t>
  </si>
  <si>
    <t>INE556F16531</t>
  </si>
  <si>
    <t>Small Industries Development Bank Of India (28-Jan-2020)</t>
  </si>
  <si>
    <t>INE238A162K3</t>
  </si>
  <si>
    <t>Axis Bank Ltd (12-Feb-2020) **</t>
  </si>
  <si>
    <t>INE238A162L1</t>
  </si>
  <si>
    <t>Axis Bank Ltd (04-Mar-2020) **</t>
  </si>
  <si>
    <t>INE261F16405</t>
  </si>
  <si>
    <t>National Bank For Agriculture And Rural Development (15-May-2020) **</t>
  </si>
  <si>
    <t>INE556F16663</t>
  </si>
  <si>
    <t>Small Industries Development Bank Of India (24-Jun-2020) **</t>
  </si>
  <si>
    <t>INE742O14DF6</t>
  </si>
  <si>
    <t>Reliance Retail Ltd (23-Jan-2020) **</t>
  </si>
  <si>
    <t>INE691I14JI8</t>
  </si>
  <si>
    <t>L&amp;T Infrastructure Finance Co Ltd (16-Mar-2020) **</t>
  </si>
  <si>
    <t>INE018A14HC8</t>
  </si>
  <si>
    <t>Larsen &amp; Toubro Ltd (28-Feb-2020) **</t>
  </si>
  <si>
    <t>INE115A14BV5</t>
  </si>
  <si>
    <t>Lic Housing Finance Ltd (28-May-2020)</t>
  </si>
  <si>
    <t>INE257A14136</t>
  </si>
  <si>
    <t>Bharat Heavy Electricals Ltd (10-Jan-2020) **</t>
  </si>
  <si>
    <t>INE134E14AL1</t>
  </si>
  <si>
    <t>Power Finance Corp Ltd (06-Mar-2020) **</t>
  </si>
  <si>
    <t>INE001A14VO0</t>
  </si>
  <si>
    <t>Housing Development Finance Corp Ltd (10-Jul-2020) **</t>
  </si>
  <si>
    <t>INE535H14HW4</t>
  </si>
  <si>
    <t>Fullerton India Credit Co Ltd (15-Jul-2020) **</t>
  </si>
  <si>
    <t>INE020B14607</t>
  </si>
  <si>
    <t>Rec Ltd (04-Mar-2020) **</t>
  </si>
  <si>
    <t>INE667F14EX4</t>
  </si>
  <si>
    <t>Sundaram Bnp Paribas Home Finance Ltd (28-Feb-2020) **</t>
  </si>
  <si>
    <t>INE790I14BE4</t>
  </si>
  <si>
    <t>Hsbc Investdirect Financial Services India Ltd (27-Feb-2020) **</t>
  </si>
  <si>
    <t>INE001A14VS1</t>
  </si>
  <si>
    <t>Housing Development Finance Corp Ltd (13-Aug-2020) **</t>
  </si>
  <si>
    <t>INE477A14AC1</t>
  </si>
  <si>
    <t>Can Fin Homes Ltd (26-Dec-2019) **</t>
  </si>
  <si>
    <t>INE027E14HK4</t>
  </si>
  <si>
    <t>L&amp;T Finance Ltd (10-Jan-2020) **</t>
  </si>
  <si>
    <t>INE691I14IJ8</t>
  </si>
  <si>
    <t>L&amp;T Infrastructure Finance Co Ltd (20-Feb-2020) **</t>
  </si>
  <si>
    <t>INE121A14QU3</t>
  </si>
  <si>
    <t>Cholamandalam Investment And Finance Co Ltd (04-Mar-2020) **</t>
  </si>
  <si>
    <t>INE115A14BT9</t>
  </si>
  <si>
    <t>Lic Housing Finance Ltd (24-Mar-2020)</t>
  </si>
  <si>
    <t>INE020B14631</t>
  </si>
  <si>
    <t>Rec Ltd (19-Jun-2020) **</t>
  </si>
  <si>
    <t>INE001A14VQ5</t>
  </si>
  <si>
    <t>Housing Development Finance Corp Ltd (05-Aug-2020) **</t>
  </si>
  <si>
    <t>INE742O14BU9</t>
  </si>
  <si>
    <t>Reliance Retail Ltd (10-Dec-2019) **</t>
  </si>
  <si>
    <t>INE001A14VH4</t>
  </si>
  <si>
    <t>Housing Development Finance Corp Ltd (20-May-2020) **</t>
  </si>
  <si>
    <t>INE002A14DL2</t>
  </si>
  <si>
    <t>Reliance Industries Ltd (03-Mar-2020) **</t>
  </si>
  <si>
    <t>INE975F14RH6</t>
  </si>
  <si>
    <t>Kotak Mahindra Investments Ltd (21-Feb-2020) **</t>
  </si>
  <si>
    <t>INE523H14Q24</t>
  </si>
  <si>
    <t>Jm Financial Products Ltd (13-Mar-2020) **</t>
  </si>
  <si>
    <t>Direct Retail Plan Daily Dividend Option</t>
  </si>
  <si>
    <t>Institutional Plan Dividend Option</t>
  </si>
  <si>
    <t>Franklin India Overnight Fund As of -31-Oct-2019</t>
  </si>
  <si>
    <t>NA****</t>
  </si>
  <si>
    <t>Direct Daily Dividend Option</t>
  </si>
  <si>
    <t>Direct Weekly Dividend Option</t>
  </si>
  <si>
    <t>Daily Dividend Option</t>
  </si>
  <si>
    <t>Weekly Dividend Option</t>
  </si>
  <si>
    <t>****Allotment date for the scheme was May 08, 2019</t>
  </si>
  <si>
    <t>Franklin India Liquid Fund As of -31-Oct-2019</t>
  </si>
  <si>
    <t>INE205A07105</t>
  </si>
  <si>
    <t>7.50% Vedanta Ltd (29-Nov-2019) **</t>
  </si>
  <si>
    <t>INE245A08067</t>
  </si>
  <si>
    <t>9.48% The Tata Power Co Ltd (17-Nov-2019) **</t>
  </si>
  <si>
    <t>INE028A16BM4</t>
  </si>
  <si>
    <t>Bank Of Baroda (13-Nov-2019)</t>
  </si>
  <si>
    <t>INE261F16322</t>
  </si>
  <si>
    <t>National Bank For Agriculture And Rural Development (10-Dec-2019) **</t>
  </si>
  <si>
    <t>INE095A16ZK6</t>
  </si>
  <si>
    <t>Indusind Bank Ltd (27-Dec-2019)</t>
  </si>
  <si>
    <t>INE556F16481</t>
  </si>
  <si>
    <t>Small Industries Development Bank Of India (20-Nov-2019)</t>
  </si>
  <si>
    <t>INE238A165G4</t>
  </si>
  <si>
    <t>Axis Bank Ltd (14-Nov-2019)</t>
  </si>
  <si>
    <t>INE261F16314</t>
  </si>
  <si>
    <t>National Bank For Agriculture And Rural Development (27-Nov-2019) **</t>
  </si>
  <si>
    <t>INE238A169H4</t>
  </si>
  <si>
    <t>Axis Bank Ltd (10-Dec-2019) **</t>
  </si>
  <si>
    <t>INE110L14LM1</t>
  </si>
  <si>
    <t>Reliance Jio Infocomm Ltd (13-Dec-2019) **</t>
  </si>
  <si>
    <t>INE607M14400</t>
  </si>
  <si>
    <t>Tata Power Renewable Energy Ltd (13-Dec-2019) **</t>
  </si>
  <si>
    <t>INE027E14IF2</t>
  </si>
  <si>
    <t>L&amp;T Finance Ltd (04-Nov-2019) **</t>
  </si>
  <si>
    <t>INE742O14CT9</t>
  </si>
  <si>
    <t>Reliance Retail Ltd (05-Nov-2019)</t>
  </si>
  <si>
    <t>INE09OL14177</t>
  </si>
  <si>
    <t>Birla Group Holdings Pvt Ltd (29-Nov-2019) **</t>
  </si>
  <si>
    <t>INE245A14CH7</t>
  </si>
  <si>
    <t>The Tata Power Co Ltd (15-Nov-2019) **</t>
  </si>
  <si>
    <t>INE476M14CI1</t>
  </si>
  <si>
    <t>L&amp;T Housing Finance Ltd (27-Nov-2019) **</t>
  </si>
  <si>
    <t>INE691I14IZ4</t>
  </si>
  <si>
    <t>L&amp;T Infrastructure Finance Co Ltd (02-Dec-2019) **</t>
  </si>
  <si>
    <t>INE476M14CN1</t>
  </si>
  <si>
    <t>L&amp;T Housing Finance Ltd (19-Dec-2019) **</t>
  </si>
  <si>
    <t>INE242A14NL3</t>
  </si>
  <si>
    <t>Indian Oil Corp Ltd (01-Nov-2019) **</t>
  </si>
  <si>
    <t>INE242A14NU4</t>
  </si>
  <si>
    <t>Indian Oil Corp Ltd (16-Dec-2019) **</t>
  </si>
  <si>
    <t>INE476M14CM3</t>
  </si>
  <si>
    <t>L&amp;T Housing Finance Ltd (17-Dec-2019) **</t>
  </si>
  <si>
    <t>INE245A14CI5</t>
  </si>
  <si>
    <t>The Tata Power Co Ltd (15-Jan-2020) **</t>
  </si>
  <si>
    <t>INE742O14CP7</t>
  </si>
  <si>
    <t>Reliance Retail Ltd (04-Nov-2019)</t>
  </si>
  <si>
    <t>INE338I14BA0</t>
  </si>
  <si>
    <t>Motilal Oswal Financial Services Ltd (21-Nov-2019) **</t>
  </si>
  <si>
    <t>INE857Q14550</t>
  </si>
  <si>
    <t>Tata Cleantech Capital Ltd (27-Dec-2019) **</t>
  </si>
  <si>
    <t>INE742F14KW4</t>
  </si>
  <si>
    <t>Adani Ports And Special Economic Zone Ltd (23-Dec-2019) **</t>
  </si>
  <si>
    <t>INE146O14AM2</t>
  </si>
  <si>
    <t>Hinduja Leyland Finance Ltd (16-Dec-2019) **</t>
  </si>
  <si>
    <t>INE146O14AK6</t>
  </si>
  <si>
    <t>Hinduja Leyland Finance Ltd (20-Dec-2019) **</t>
  </si>
  <si>
    <t>INE476M14BW4</t>
  </si>
  <si>
    <t>L&amp;T Housing Finance Ltd (14-Jan-2020)</t>
  </si>
  <si>
    <t>INE523H14S22</t>
  </si>
  <si>
    <t>Jm Financial Products Ltd (24-Dec-2019) **</t>
  </si>
  <si>
    <t>INE523H14S55</t>
  </si>
  <si>
    <t>Jm Financial Products Ltd (15-Nov-2019) **</t>
  </si>
  <si>
    <t>INE754R14086</t>
  </si>
  <si>
    <t>Hero Future Energies Pvt Ltd (29-Nov-2019) **</t>
  </si>
  <si>
    <t>INE146O14AO8</t>
  </si>
  <si>
    <t>Hinduja Leyland Finance Ltd (23-Dec-2019) **</t>
  </si>
  <si>
    <t>INE371K14AE1</t>
  </si>
  <si>
    <t>Tata Realty &amp; Infrastructure Ltd (27-Jan-2020) **</t>
  </si>
  <si>
    <t>INE582L14EV7</t>
  </si>
  <si>
    <t>Tata Housing Development Co Ltd (04-Nov-2019) **</t>
  </si>
  <si>
    <t>INE069P14224</t>
  </si>
  <si>
    <t>Tata Value Homes Ltd (28-Nov-2019) **</t>
  </si>
  <si>
    <t>INE582L14FA8</t>
  </si>
  <si>
    <t>Tata Housing Development Co Ltd (03-Dec-2019) **</t>
  </si>
  <si>
    <t>INE582L14FB6</t>
  </si>
  <si>
    <t>Tata Housing Development Co Ltd (05-Dec-2019) **</t>
  </si>
  <si>
    <t>INE178A14EW5</t>
  </si>
  <si>
    <t>Chennai Petroleum Corp Ltd (18-Dec-2019) **</t>
  </si>
  <si>
    <t>INE09OL14136</t>
  </si>
  <si>
    <t>Birla Group Holdings Pvt Ltd (12-Dec-2019) **</t>
  </si>
  <si>
    <t>INE901W14AV4</t>
  </si>
  <si>
    <t>Jm Financial Capital Ltd (29-Nov-2019) **</t>
  </si>
  <si>
    <t>INE012I14LG7</t>
  </si>
  <si>
    <t>Jm Financial Services Ltd (13-Dec-2019) **</t>
  </si>
  <si>
    <t>INE031A14408</t>
  </si>
  <si>
    <t>Housing &amp; Urban Development Corp Ltd (22-Nov-2019) **</t>
  </si>
  <si>
    <t>INE027E14HI8</t>
  </si>
  <si>
    <t>L&amp;T Finance Ltd (05-Dec-2019) **</t>
  </si>
  <si>
    <t>INE371K14993</t>
  </si>
  <si>
    <t>Tata Realty &amp; Infrastructure Ltd (05-Dec-2019) **</t>
  </si>
  <si>
    <t>INE371K14AA9</t>
  </si>
  <si>
    <t>Tata Realty &amp; Infrastructure Ltd (12-Dec-2019) **</t>
  </si>
  <si>
    <t>INE012I14LJ1</t>
  </si>
  <si>
    <t>Jm Financial Services Ltd (27-Dec-2019) **</t>
  </si>
  <si>
    <t>INE245A14CL9</t>
  </si>
  <si>
    <t>The Tata Power Co Ltd (27-Jan-2020) **</t>
  </si>
  <si>
    <t>INE110L14LL3</t>
  </si>
  <si>
    <t>Reliance Jio Infocomm Ltd (01-Nov-2019) **</t>
  </si>
  <si>
    <t>INE001A14UO2</t>
  </si>
  <si>
    <t>Housing Development Finance Corp Ltd (13-Dec-2019) **</t>
  </si>
  <si>
    <t>INE523H14S14</t>
  </si>
  <si>
    <t>Jm Financial Products Ltd (09-Dec-2019) **</t>
  </si>
  <si>
    <t>INE692Q14AG2</t>
  </si>
  <si>
    <t>Toyota Financial Services India Ltd (11-Nov-2019) **</t>
  </si>
  <si>
    <t>INE901W14AW2</t>
  </si>
  <si>
    <t>Jm Financial Capital Ltd (27-Dec-2019) **</t>
  </si>
  <si>
    <t>Direct Super Institutional Growth Option</t>
  </si>
  <si>
    <t>Direct Super Institutional Daily Dividend Reinvestment Option</t>
  </si>
  <si>
    <t>Direct Super Institutional Weekly Dividend Option</t>
  </si>
  <si>
    <t>Institutional Plan Weekly Dividend Option</t>
  </si>
  <si>
    <t>Regular Plan Growth Option</t>
  </si>
  <si>
    <t>Regular Plan Daily Dividend Reinvestment Option</t>
  </si>
  <si>
    <t>Regular Plan Weekly Dividend Option</t>
  </si>
  <si>
    <t>Unclaimed Dividend Plan - Growth</t>
  </si>
  <si>
    <t>Unclaimed Redemption Plan - Growth</t>
  </si>
  <si>
    <t>Unclaimed Redemption Investor Education Plan - Growth</t>
  </si>
  <si>
    <t>Unclaimed Dividend Investor Education Plan - Growth</t>
  </si>
  <si>
    <t>Direct Super Institutional Plan Daily Divdend Reinvestment Option</t>
  </si>
  <si>
    <t>Regular Plan Daily Divdend Reinvestment Option</t>
  </si>
  <si>
    <t>****Plan was launched on Sepetmber 06, 2019</t>
  </si>
  <si>
    <t>Franklin India Low Duration Fund As of -31-Oct-2019</t>
  </si>
  <si>
    <t>INE516Y07071</t>
  </si>
  <si>
    <t>9.50% Piramal Capital &amp; Housing Finance Ltd (06-May-2022) **</t>
  </si>
  <si>
    <t>INE265J07324</t>
  </si>
  <si>
    <t>11.50% Jm Financial Asset Reconstruction Co Ltd (29-Mar-2022) **</t>
  </si>
  <si>
    <t>INE516Y07097</t>
  </si>
  <si>
    <t>9.50% Piramal Capital &amp; Housing Finance Ltd (29-Apr-2022) **</t>
  </si>
  <si>
    <t>INE155A08316</t>
  </si>
  <si>
    <t>7.50% Tata Motors Ltd (20-Oct-2021) **</t>
  </si>
  <si>
    <t>INE764L07173</t>
  </si>
  <si>
    <t>0.00% Sadbhav Infrastructure Project Ltd (23-Apr-2023) **</t>
  </si>
  <si>
    <t>INE721A07MS7</t>
  </si>
  <si>
    <t>7.80% Shriram Transport Finance Co Ltd (17-Jul-2020) **</t>
  </si>
  <si>
    <t>INE721A08DE4</t>
  </si>
  <si>
    <t>10.25% Shriram Transport Finance Co Ltd (27-Dec-2024) **</t>
  </si>
  <si>
    <t>INE548V07047</t>
  </si>
  <si>
    <t>8.66% Nuvoco Vistas Corp Ltd (14-Sep-2021) **</t>
  </si>
  <si>
    <t>INE945W07035</t>
  </si>
  <si>
    <t>10.25% Incred Financial Services Pvt Ltd (26-Apr-2021) **</t>
  </si>
  <si>
    <t>INE721A07NQ9</t>
  </si>
  <si>
    <t>0.00% Shriram Transport Finance Co Ltd (31-May-2021) **</t>
  </si>
  <si>
    <t>INE516Y07089</t>
  </si>
  <si>
    <t>9.50% Piramal Capital &amp; Housing Finance Ltd (21-Apr-2022) **</t>
  </si>
  <si>
    <t>INE721A08DA2</t>
  </si>
  <si>
    <t>9.00% Shriram Transport Finance Co Ltd (28-Mar-2028) **</t>
  </si>
  <si>
    <t>INE002A08526</t>
  </si>
  <si>
    <t>7.07% Reliance Industries Ltd (24-Dec-2020)</t>
  </si>
  <si>
    <t>INE476S08045</t>
  </si>
  <si>
    <t>10.75% Greenko Clean Energy Projects Pvt Ltd (04-Dec-2020) **</t>
  </si>
  <si>
    <t>INE918T07053</t>
  </si>
  <si>
    <t>11.84% Hero Wind Energy Pvt Ltd (10-Dec-2021) **</t>
  </si>
  <si>
    <t>INE840S07085</t>
  </si>
  <si>
    <t>11.90% Rivaaz Trade Ventures Pvt Ltd (30-Nov-2019) **</t>
  </si>
  <si>
    <t>INE238A166Q1</t>
  </si>
  <si>
    <t>Axis Bank Ltd (20-Aug-2020) **</t>
  </si>
  <si>
    <t>INE725H14905</t>
  </si>
  <si>
    <t>Tata Projects Ltd (22-Jun-2020) **</t>
  </si>
  <si>
    <t>INE371K14886</t>
  </si>
  <si>
    <t>Tata Realty &amp; Infrastructure Ltd (24-Mar-2020) **</t>
  </si>
  <si>
    <t>INE001A14UX3</t>
  </si>
  <si>
    <t>Housing Development Finance Corp Ltd (28-Feb-2020) **</t>
  </si>
  <si>
    <t>Monthly Dividend Plan</t>
  </si>
  <si>
    <t>Quarterly Dividend Plan</t>
  </si>
  <si>
    <t>Direct Monthly Dividend Plan</t>
  </si>
  <si>
    <t>Direct Quarterly Dividend Plan</t>
  </si>
  <si>
    <t>Franklin India Government Securities Fund As of -31-Oct-2019</t>
  </si>
  <si>
    <t>Government Securities</t>
  </si>
  <si>
    <t>IN0020190016</t>
  </si>
  <si>
    <t>7.27% GOI 2026 (08-Apr-2026)</t>
  </si>
  <si>
    <t>SOVEREIGN</t>
  </si>
  <si>
    <t>IN0020190065</t>
  </si>
  <si>
    <t>7.57% GOI 2033 (17-Jun-2033)</t>
  </si>
  <si>
    <t>IN0020190362</t>
  </si>
  <si>
    <t>6.45% GOI 2029 (07-Oct-2029)</t>
  </si>
  <si>
    <t>Growth Option</t>
  </si>
  <si>
    <t>Quarterly Dividend Option</t>
  </si>
  <si>
    <t>Direct Growth Option</t>
  </si>
  <si>
    <t>Direct Quarterly Dividend Option</t>
  </si>
  <si>
    <t>Franklin India Floating Rate Fund As of -31-Oct-2019</t>
  </si>
  <si>
    <t>INE081A08207</t>
  </si>
  <si>
    <t>9.15% Tata Steel Ltd (24-Jan-2021) **</t>
  </si>
  <si>
    <t>BWR AA</t>
  </si>
  <si>
    <t>IN0020092071</t>
  </si>
  <si>
    <t>GOI FRB 2020 (21-Dec-2020)</t>
  </si>
  <si>
    <t>Certificate of Deposits</t>
  </si>
  <si>
    <t>Franklin India Dynamic Accrual Fund As of -31-Oct-2019</t>
  </si>
  <si>
    <t>INE922K07047</t>
  </si>
  <si>
    <t>11.25% India Shelter Finance Corp Ltd (01-Oct-2026) **</t>
  </si>
  <si>
    <t>INE265J07373</t>
  </si>
  <si>
    <t>12.50% Jm Financial Asset Reconstruction Co Ltd (02-Aug-2022) **</t>
  </si>
  <si>
    <t>INE01E708040</t>
  </si>
  <si>
    <t>10.32% Andhra Pradesh Capital Region Development Authority (16-Aug-2027) **</t>
  </si>
  <si>
    <t>INE124N07143</t>
  </si>
  <si>
    <t>10.9007% Esskay Fincorp Ltd (11-Jun-2021) **</t>
  </si>
  <si>
    <t>INE146O08100</t>
  </si>
  <si>
    <t>9.40% Hinduja Leyland Finance Ltd (28-Aug-2024) **</t>
  </si>
  <si>
    <t>INE658R08024</t>
  </si>
  <si>
    <t>11.00% Motilal Oswal Home Finance Ltd (03-May-2021) **</t>
  </si>
  <si>
    <t>INE540P07228</t>
  </si>
  <si>
    <t>9.75% Uttar Pradesh Power Corp Ltd (20-Oct-2023) **</t>
  </si>
  <si>
    <t>INE205A07139</t>
  </si>
  <si>
    <t>8.50% Vedanta Ltd (05-Apr-2021) **</t>
  </si>
  <si>
    <t>INE658R08032</t>
  </si>
  <si>
    <t>11.00% Motilal Oswal Home Finance Ltd (16-May-2021) **</t>
  </si>
  <si>
    <t>INE316W07021</t>
  </si>
  <si>
    <t>11.84% Hero Solar Energy Pvt Ltd (10-Jun-2022) **</t>
  </si>
  <si>
    <t>INE575P08024</t>
  </si>
  <si>
    <t>10.20% Star Health &amp; Allied Insurance Co Ltd (31-Oct-2024) **</t>
  </si>
  <si>
    <t>INE458O07036</t>
  </si>
  <si>
    <t>9.41% Renew Wind Energy Delhi Pvt Ltd (30-Sep-2030) **</t>
  </si>
  <si>
    <t>INE840S07093</t>
  </si>
  <si>
    <t>11.90% Rivaaz Trade Ventures Pvt Ltd (11-May-2020) **</t>
  </si>
  <si>
    <t>INE080T07037</t>
  </si>
  <si>
    <t>12.75% Future Ideas Company Ltd (30-Jun-2020) **</t>
  </si>
  <si>
    <t>Franklin India Credit Risk Fund As of -31-Oct-2019</t>
  </si>
  <si>
    <t>INE016P07120</t>
  </si>
  <si>
    <t>10.50% Vistaar Financial Services Pvt Ltd (22-Jun-2023) **</t>
  </si>
  <si>
    <t>INE016P07138</t>
  </si>
  <si>
    <t>10.5% Vistaar Financial Services Pvt Ltd (23-Jul-2024) **</t>
  </si>
  <si>
    <t>INE128S07341</t>
  </si>
  <si>
    <t>INE128S07325</t>
  </si>
  <si>
    <t>INE852O07071</t>
  </si>
  <si>
    <t>10.00% Aptus Value Housing Finance India Ltd (20-Jun-2025) **</t>
  </si>
  <si>
    <t>INE027E07709</t>
  </si>
  <si>
    <t>8.9492% L&amp;T Finance Ltd (16-Aug-2021) **</t>
  </si>
  <si>
    <t>INE001A07OO9</t>
  </si>
  <si>
    <t>8.75% Housing Development Finance Corp Ltd (04-Mar-2021) **</t>
  </si>
  <si>
    <t>INE053F07AK6</t>
  </si>
  <si>
    <t>7.65% Indian Railway Finance Corp Ltd (15-Mar-2021) **</t>
  </si>
  <si>
    <t>INE660N07054</t>
  </si>
  <si>
    <t>INE946S07130</t>
  </si>
  <si>
    <t>12.80% Nufuture Digital (India) Ltd (30-Sep-2022) **</t>
  </si>
  <si>
    <t>INE285T07081</t>
  </si>
  <si>
    <t>11.90% Rivaaz Trade Ventures Pvt Ltd (29-Feb-2020) **</t>
  </si>
  <si>
    <t>INE946S07080</t>
  </si>
  <si>
    <t>12.15% Nufuture Digital (India) Ltd (30-Nov-2019) **</t>
  </si>
  <si>
    <t>Franklin India Corporate Debt Fund As of -31-Oct-2019</t>
  </si>
  <si>
    <t>INE134E08JY7</t>
  </si>
  <si>
    <t>9.25% Power Finance Corp Ltd (25-Sep-2024) **</t>
  </si>
  <si>
    <t>INE047A08141</t>
  </si>
  <si>
    <t>7.85% Grasim Industries Ltd (15-Apr-2024) **</t>
  </si>
  <si>
    <t>INE163N08065</t>
  </si>
  <si>
    <t>8.60% Ongc Petro Additions Ltd (11-Mar-2022) **</t>
  </si>
  <si>
    <t>CARE AAA(SO)</t>
  </si>
  <si>
    <t>INE062A08140</t>
  </si>
  <si>
    <t>8.39% State Bank Of India (25-Oct-2021) **</t>
  </si>
  <si>
    <t>INE906B07FE6</t>
  </si>
  <si>
    <t>7.17% National Highways Authority Of India (23-Dec-2021) **</t>
  </si>
  <si>
    <t>INE110L08037</t>
  </si>
  <si>
    <t>9.25% Reliance Jio Infocomm Ltd (17-Jun-2024) **</t>
  </si>
  <si>
    <t>INE438A07144</t>
  </si>
  <si>
    <t>7.80% Apollo Tyres Ltd (29-Apr-2022) **</t>
  </si>
  <si>
    <t>INE163N08073</t>
  </si>
  <si>
    <t>8.85% Ongc Petro Additions Ltd (19-Apr-2022) **</t>
  </si>
  <si>
    <t>INE752E07MQ8</t>
  </si>
  <si>
    <t>8.40% Power Grid Corp Of India Ltd (27-May-2024) **</t>
  </si>
  <si>
    <t>INE115A07NM3</t>
  </si>
  <si>
    <t>0.00% Lic Housing Finance Ltd (25-Feb-2022) **</t>
  </si>
  <si>
    <t>INE941D07125</t>
  </si>
  <si>
    <t>10.40% Sikka Ports &amp; Terminals Ltd (18-Jul-2021) **</t>
  </si>
  <si>
    <t>INE733E07JO9</t>
  </si>
  <si>
    <t>9.17% Ntpc Ltd (21-Sep-2024) **</t>
  </si>
  <si>
    <t>INE556F08JL5</t>
  </si>
  <si>
    <t>7.89% Small Industries Development Bank Of India (15-Nov-2022) **</t>
  </si>
  <si>
    <t>INE031A08699</t>
  </si>
  <si>
    <t>8.41% Housing &amp; Urban Development Corp Ltd (15-Mar-2029) **</t>
  </si>
  <si>
    <t>INE020B08930</t>
  </si>
  <si>
    <t>8.30% Rec Ltd (10-Apr-2025) **</t>
  </si>
  <si>
    <t>INE295J08055</t>
  </si>
  <si>
    <t>9.15% Coastal Gujarat Power Ltd (14-Jun-2022) **</t>
  </si>
  <si>
    <t>INE261F08AI7</t>
  </si>
  <si>
    <t>8.60% National Bank For Agriculture And Rural Development (31-Jan-2022) **</t>
  </si>
  <si>
    <t>INE752E07KN9</t>
  </si>
  <si>
    <t>8.80% Power Grid Corp Of India Ltd (13-Mar-2023) **</t>
  </si>
  <si>
    <t>INE134E08JW1</t>
  </si>
  <si>
    <t>8.18% Power Finance Corp Ltd (19-Mar-2022) **</t>
  </si>
  <si>
    <t>INE667A08104</t>
  </si>
  <si>
    <t>9.80% Syndicate Bank (25-Jul-2022) **</t>
  </si>
  <si>
    <t>INE031A08731</t>
  </si>
  <si>
    <t>7.34% Housing &amp; Urban Development Corp Ltd (16-Sep-2022) **</t>
  </si>
  <si>
    <t>INE535H07AG6</t>
  </si>
  <si>
    <t>0.00% Fullerton India Credit Co Ltd (08-Apr-2021) **</t>
  </si>
  <si>
    <t>INE916DA7MX1</t>
  </si>
  <si>
    <t>7.8526% Kotak Mahindra Prime Ltd (07-Apr-2020) **</t>
  </si>
  <si>
    <t>INE115A07NW2</t>
  </si>
  <si>
    <t>0.00% Lic Housing Finance Ltd (04-May-2022) **</t>
  </si>
  <si>
    <t>INE134E08IH4</t>
  </si>
  <si>
    <t>7.50% Power Finance Corp Ltd (16-Aug-2021) **</t>
  </si>
  <si>
    <t>INE752E07MZ9</t>
  </si>
  <si>
    <t>8.40% Power Grid Corp Of India Ltd (14-Sep-2021) **</t>
  </si>
  <si>
    <t>INE756I07CD9</t>
  </si>
  <si>
    <t>0.00% Hdb Financial Services Ltd (29-Oct-2021) **</t>
  </si>
  <si>
    <t>INE514E08FL5</t>
  </si>
  <si>
    <t>8.60% Export-Import Bank Of India (31-Mar-2022) **</t>
  </si>
  <si>
    <t>INE134E08GT3</t>
  </si>
  <si>
    <t>8.55% Power Finance Corp Ltd (09-Dec-2021) **</t>
  </si>
  <si>
    <t>INE861G08035</t>
  </si>
  <si>
    <t>9.95% Food Corporation Of India (07-Mar-2022) **</t>
  </si>
  <si>
    <t>INE261F08BN5</t>
  </si>
  <si>
    <t>7.18% National Bank For Agriculture And Rural Development (08-Aug-2022)</t>
  </si>
  <si>
    <t>INE020B08AS5</t>
  </si>
  <si>
    <t>7.70% Rec Ltd (15-Mar-2021) **</t>
  </si>
  <si>
    <t>INE848E07815</t>
  </si>
  <si>
    <t>8.50% NHPC Ltd (14-Jul-2021) **</t>
  </si>
  <si>
    <t>INE481G08057</t>
  </si>
  <si>
    <t>8.36% Ultratech Cement Ltd (07-Jun-2021) **</t>
  </si>
  <si>
    <t>INE296A07ON7</t>
  </si>
  <si>
    <t>7.8535% Bajaj Finance Ltd (07-Apr-2020) **</t>
  </si>
  <si>
    <t>INE667A08088</t>
  </si>
  <si>
    <t>9.95% Syndicate Bank (24-Oct-2021) **</t>
  </si>
  <si>
    <t>INE053F09HR2</t>
  </si>
  <si>
    <t>9.57% Indian Railway Finance Corp Ltd (31-May-2021) **</t>
  </si>
  <si>
    <t>INE860H07GE0</t>
  </si>
  <si>
    <t>0.00% Aditya Birla Finance Ltd (08-Apr-2022) **</t>
  </si>
  <si>
    <t>INE029A07075</t>
  </si>
  <si>
    <t>7.35% Bharat Petroleum Corp Ltd (10-Mar-2022) **</t>
  </si>
  <si>
    <t>INE053F07942</t>
  </si>
  <si>
    <t>6.70% Indian Railway Finance Corp Ltd (24-Nov-2021) **</t>
  </si>
  <si>
    <t>INE752E07MN5</t>
  </si>
  <si>
    <t>8.40% Power Grid Corp Of India Ltd (27-May-2021) **</t>
  </si>
  <si>
    <t>INE556F08JD2</t>
  </si>
  <si>
    <t>7.65% Small Industries Development Bank Of India (15-Apr-2021) **</t>
  </si>
  <si>
    <t>INE020B08AO4</t>
  </si>
  <si>
    <t>7.18% Rec Ltd (21-May-2021) **</t>
  </si>
  <si>
    <t>INE801J08019</t>
  </si>
  <si>
    <t>7.48% Bennett Coleman And Co Ltd (26-Apr-2021) **</t>
  </si>
  <si>
    <t>IN0020180488</t>
  </si>
  <si>
    <t>7.32% GOI 2024 (28-Jan-2024)</t>
  </si>
  <si>
    <t>Half Yearly Dividend Plan</t>
  </si>
  <si>
    <t>Annual Dividend Plan</t>
  </si>
  <si>
    <t>Direct Half Yearly Dividend Plan</t>
  </si>
  <si>
    <t>Direct Annual Dividend Plan</t>
  </si>
  <si>
    <t>Franklin India Banking &amp; PSU Debt Fund As of -31-Oct-2019</t>
  </si>
  <si>
    <t>INE906B07FT4</t>
  </si>
  <si>
    <t>7.27% National Highways Authority Of India (06-Jun-2022) **</t>
  </si>
  <si>
    <t>INE094A08036</t>
  </si>
  <si>
    <t>7.00% Hindustan Petroleum Corp Ltd (14-Aug-2024) **</t>
  </si>
  <si>
    <t>INE053F07BW9</t>
  </si>
  <si>
    <t>7.50% Indian Railway Finance Corp Ltd (07-Sep-2029) **</t>
  </si>
  <si>
    <t>INE029A08040</t>
  </si>
  <si>
    <t>7.69% Bharat Petroleum Corp Ltd (16-Jan-2023) **</t>
  </si>
  <si>
    <t>INE434A08083</t>
  </si>
  <si>
    <t>9.20% Andhra Bank (31-Oct-2022) **</t>
  </si>
  <si>
    <t>INE261F08BI5</t>
  </si>
  <si>
    <t>7.90% National Bank For Agriculture And Rural Development (18-Apr-2022)</t>
  </si>
  <si>
    <t>INE053F07934</t>
  </si>
  <si>
    <t>7.24% Indian Railway Finance Corp Ltd (08-Nov-2021) **</t>
  </si>
  <si>
    <t>INE976G08064</t>
  </si>
  <si>
    <t>10.20% RBL Bank Ltd (15-Apr-2023) **</t>
  </si>
  <si>
    <t>INE556F08JI1</t>
  </si>
  <si>
    <t>8.81% Small Industries Development Bank Of India (25-Jan-2022) **</t>
  </si>
  <si>
    <t>INE020B08BM6</t>
  </si>
  <si>
    <t>8.35% Rec Ltd (13-Mar-2022) **</t>
  </si>
  <si>
    <t>INE752E07NN3</t>
  </si>
  <si>
    <t>8.13% Power Grid Corp Of India Ltd (23-Apr-2021) **</t>
  </si>
  <si>
    <t>Dividend Option</t>
  </si>
  <si>
    <t>Direct Dividend Option</t>
  </si>
  <si>
    <r>
      <t>Franklin India Equity Savings Fund As of Date -  3</t>
    </r>
    <r>
      <rPr>
        <b/>
        <sz val="8"/>
        <color theme="1"/>
        <rFont val="Arial"/>
        <family val="2"/>
      </rPr>
      <t>1-Oct-2019</t>
    </r>
  </si>
  <si>
    <t>% of Assets Derivatives</t>
  </si>
  <si>
    <t>INE028A01039</t>
  </si>
  <si>
    <t>Bank of Baroda</t>
  </si>
  <si>
    <t>Hotels, Resorts &amp; Other Recreational Activities</t>
  </si>
  <si>
    <t xml:space="preserve">(b) Real Eastate Investment Trusts (REITs) </t>
  </si>
  <si>
    <t>INE523H07866</t>
  </si>
  <si>
    <t>8.80% JM Financial Products Ltd (28-Sep-2020) **</t>
  </si>
  <si>
    <t>Call,cash and other current asset</t>
  </si>
  <si>
    <t>d) Portfolio Turnover Ratio during the Half - year 31-Oct-2019</t>
  </si>
  <si>
    <t xml:space="preserve">e) Total No. of Instances of deviation from valuation price provided by the valuation agencies </t>
  </si>
  <si>
    <t>Franklin India Equity Hybrid Fund As of -31-Oct-2019</t>
  </si>
  <si>
    <t>Industry/Rating</t>
  </si>
  <si>
    <t>(b) Unlisted</t>
  </si>
  <si>
    <t xml:space="preserve">(c) Real Eastate Investment Trusts (REITs) </t>
  </si>
  <si>
    <t>INE062A08124</t>
  </si>
  <si>
    <t>9.00% State Bank Of India (06-Sep-2021) **</t>
  </si>
  <si>
    <t>INE265J07282</t>
  </si>
  <si>
    <t>10.25% Jm Financial Asset Reconstruction Co Ltd (31-Aug-2021) **</t>
  </si>
  <si>
    <t>INE053F07AC3</t>
  </si>
  <si>
    <t>7.33% Indian Railway Finance Corp Ltd (27-Aug-2027) **</t>
  </si>
  <si>
    <t>Franklin India Debt Hybrid Fund As of -31-Oct-2019</t>
  </si>
  <si>
    <t>INE528G09061</t>
  </si>
  <si>
    <t>10.25% Yes Bank Ltd (05-Mar-2020) **</t>
  </si>
  <si>
    <t>Franklin India Pension Plan As of -31-Oct-2019</t>
  </si>
  <si>
    <t>Franklin India Fixed Maturity Plans-Series 6 – Plan C As of -31-Oct-2019</t>
  </si>
  <si>
    <t>INE891K07416</t>
  </si>
  <si>
    <t>0.00% Axis Finance Ltd (19-Apr-2022) **</t>
  </si>
  <si>
    <t>INE377Y07052</t>
  </si>
  <si>
    <t>0.00% Bajaj Housing Finance Ltd (05-Apr-2022) **</t>
  </si>
  <si>
    <t>INE774D07SQ1</t>
  </si>
  <si>
    <t>0.00% Mahindra &amp; Mahindra Financial Services Ltd (29-Mar-2022) **</t>
  </si>
  <si>
    <t>INE296A07QQ5</t>
  </si>
  <si>
    <t>0.00% Bajaj Finance Ltd (05-Apr-2022) **</t>
  </si>
  <si>
    <t>INE031A08657</t>
  </si>
  <si>
    <t>8.23% Housing &amp; Urban Development Corp Ltd (15-Apr-2022) **</t>
  </si>
  <si>
    <t>INE535H07AT9</t>
  </si>
  <si>
    <t>0.00% Fullerton India Credit Co Ltd (13-Apr-2022) **</t>
  </si>
  <si>
    <t>(In years)</t>
  </si>
  <si>
    <t>Franklin India Fixed Maturity Plans-Series 5 – Plan F As of -31-Oct-2019</t>
  </si>
  <si>
    <t>INE020B08BF0</t>
  </si>
  <si>
    <t>8.45% Rec Ltd (22-Mar-2022) **</t>
  </si>
  <si>
    <t>INE831R07235</t>
  </si>
  <si>
    <t>0.00% Aditya Birla Housing Finance Ltd (13-Apr-2022) **</t>
  </si>
  <si>
    <t>Franklin India Fixed Maturity Plans-Series 5 – Plan E As of -31-Oct-2019</t>
  </si>
  <si>
    <t>INE377Y07086</t>
  </si>
  <si>
    <t>0.00% Bajaj Housing Finance Ltd (05-May-2022) **</t>
  </si>
  <si>
    <t>INE756I07CI8</t>
  </si>
  <si>
    <t>0.00% Hdb Financial Services Ltd (05-Apr-2022) **</t>
  </si>
  <si>
    <t>INE906B07FG1</t>
  </si>
  <si>
    <t>7.60% National Highways Authority Of India (18-Mar-2022)</t>
  </si>
  <si>
    <t>INE306N07KG9</t>
  </si>
  <si>
    <t>9.4756% Tata Capital Financial Services Ltd (08-Apr-2022) **</t>
  </si>
  <si>
    <t>Franklin India Fixed Maturity Plans – Series 5 – Plan D As of -31-Oct-2019</t>
  </si>
  <si>
    <t>INE774D07SS7</t>
  </si>
  <si>
    <t>9.05% Mahindra &amp; Mahindra Financial Services Ltd (18-Apr-2022) **</t>
  </si>
  <si>
    <t>Franklin India Fixed Maturity Plans - Series 5 -Plan C As of -31-Oct-2019</t>
  </si>
  <si>
    <t>INE535H07AQ5</t>
  </si>
  <si>
    <t>0.00% Fullerton India Credit Co Ltd (19-Apr-2022) **</t>
  </si>
  <si>
    <t>INE476M07BR8</t>
  </si>
  <si>
    <t>9.3772% L&amp;T Housing Finance Ltd (11-Mar-2022) **</t>
  </si>
  <si>
    <t>Franklin India Fixed Maturity Plans – Series 5 - Plan B As of -31-Oct-2019</t>
  </si>
  <si>
    <t>INE033L07GA4</t>
  </si>
  <si>
    <t>9.1791% Tata Capital Housing Finance Ltd (13-Apr-2022) **</t>
  </si>
  <si>
    <t>Franklin India Fixed Maturity Plans – Series 5 – Plan A As of -31-Oct-2019</t>
  </si>
  <si>
    <t>Franklin India Fixed Maturity Plans – Series 4 – Plan F As of -31-Oct-2019</t>
  </si>
  <si>
    <t>INE115A07LM7</t>
  </si>
  <si>
    <t>7.95% Lic Housing Finance Ltd (24-Mar-2022) **</t>
  </si>
  <si>
    <t>INE134E08IN2</t>
  </si>
  <si>
    <t>7.27% Power Finance Corp Ltd (22-Dec-2021) **</t>
  </si>
  <si>
    <t>INE895D08790</t>
  </si>
  <si>
    <t>8.25% Tata Sons Pvt Ltd (23-Mar-2022) **</t>
  </si>
  <si>
    <t>Franklin India Fixed Maturity Plans-Series 4 – Plan E As of -31-Oct-2019</t>
  </si>
  <si>
    <t>INE556F08JH3</t>
  </si>
  <si>
    <t>8.40% Small Industries Development Bank Of India (10-Aug-2021) **</t>
  </si>
  <si>
    <t>INE261F08AM9</t>
  </si>
  <si>
    <t>8.37% National Bank For Agriculture And Rural Development (03-Aug-2021) **</t>
  </si>
  <si>
    <t>INE660A07PT8</t>
  </si>
  <si>
    <t>0.00% Sundaram Finance Ltd (31-Aug-2021) **</t>
  </si>
  <si>
    <t>INE860H07FW4</t>
  </si>
  <si>
    <t>0.00% Aditya Birla Finance Ltd (26-Jul-2021) **</t>
  </si>
  <si>
    <t>Franklin India Fixed Maturity Plans – Series 4 – Plan D As of -31-Oct-2019</t>
  </si>
  <si>
    <t>INE377Y07045</t>
  </si>
  <si>
    <t>8.1352% Bajaj Housing Finance Ltd (04-Jun-2021) **</t>
  </si>
  <si>
    <t>Growth</t>
  </si>
  <si>
    <t>Dividend</t>
  </si>
  <si>
    <t>Quarterly Dividend</t>
  </si>
  <si>
    <t>Direct Growth</t>
  </si>
  <si>
    <t>Franklin India Fixed Maturity Plans – Series 4 – Plan C As of -31-Oct-2019</t>
  </si>
  <si>
    <t>INE115A07MX2</t>
  </si>
  <si>
    <t>0.00% LIC Housing Finance Ltd (25-Mar-2021) **</t>
  </si>
  <si>
    <t>INE891K07440</t>
  </si>
  <si>
    <t>0.00% Axis Finance Ltd (31-Aug-2021) **</t>
  </si>
  <si>
    <t>INE831R07201</t>
  </si>
  <si>
    <t>0.00% Aditya Birla Housing Finance Ltd (26-Jul-2021) **</t>
  </si>
  <si>
    <t>Direct Quarterly Dividend</t>
  </si>
  <si>
    <t>Franklin India Fixed Maturity Plans – Series 4 – Plan B As of -31-Oct-2019</t>
  </si>
  <si>
    <t>INE020B07IW2</t>
  </si>
  <si>
    <t>9.40% Rec Ltd (17-Jul-2021) **</t>
  </si>
  <si>
    <t>INE134E08DN3</t>
  </si>
  <si>
    <t>9.70% Power Finance Corp Ltd (09-Jun-2021) **</t>
  </si>
  <si>
    <t>INE535H07AK8</t>
  </si>
  <si>
    <t>0.00% Fullerton India Credit Co Ltd (15-Jul-2021) **</t>
  </si>
  <si>
    <t>INE027E07642</t>
  </si>
  <si>
    <t>8.25% L&amp;T Finance Ltd (21-Jun-2021) **</t>
  </si>
  <si>
    <t>INE134E08ID3</t>
  </si>
  <si>
    <t>8.05% Power Finance Corp Ltd (27-Apr-2021) **</t>
  </si>
  <si>
    <t>INE660A07PN1</t>
  </si>
  <si>
    <t>0.00% Sundaram Finance Ltd (15-Jun-2021) **</t>
  </si>
  <si>
    <t>INE071G08940</t>
  </si>
  <si>
    <t>8.22% ICICI Home Finance Company Ltd (27-May-2021) **</t>
  </si>
  <si>
    <t>INE377Y07029</t>
  </si>
  <si>
    <t>0.00% Bajaj Housing Finance Ltd (06-Apr-2021) **</t>
  </si>
  <si>
    <t>INE115A07MT0</t>
  </si>
  <si>
    <t>7.88% LIC Housing Finance Ltd (28-Jan-2021) **</t>
  </si>
  <si>
    <t>Franklin India Fixed Maturity Plans – Series 4 – Plan A As of -31-Oct-2019</t>
  </si>
  <si>
    <t>INE110L07112</t>
  </si>
  <si>
    <t>8.70% Reliance Jio Infocomm Ltd (15-Jun-2021) **</t>
  </si>
  <si>
    <t>INE891K07390</t>
  </si>
  <si>
    <t>0.00% Axis Finance Ltd (14-Jun-2021) **</t>
  </si>
  <si>
    <t>INE556F08JF7</t>
  </si>
  <si>
    <t>8.50% Small Industries Development Bank Of India (21-Jun-2021) **</t>
  </si>
  <si>
    <t>INE020B08AW7</t>
  </si>
  <si>
    <t>7.73% Rec Ltd (15-Jun-2021) **</t>
  </si>
  <si>
    <t>INE476M07BM9</t>
  </si>
  <si>
    <t>8.80% L&amp;T Housing Finance Ltd (23-Jun-2021) **</t>
  </si>
  <si>
    <t>Franklin India Fixed Maturity Plans - Series 3 - Plan F As of -31-Oct-2019</t>
  </si>
  <si>
    <t>INE031A08566</t>
  </si>
  <si>
    <t>7.73% Housing &amp; Urban Development Corp Ltd (15-Apr-2021) **</t>
  </si>
  <si>
    <t>INE774D07SB3</t>
  </si>
  <si>
    <t>8.10% Mahindra &amp; Mahindra Financial Services Ltd (19-Apr-2021) **</t>
  </si>
  <si>
    <t>INE883A07174</t>
  </si>
  <si>
    <t>10.09% MRF Ltd (27-May-2021) **</t>
  </si>
  <si>
    <t>INE134E08DM5</t>
  </si>
  <si>
    <t>9.18% Power Finance Corp Ltd (15-Apr-2021) **</t>
  </si>
  <si>
    <t>INE756I07BW1</t>
  </si>
  <si>
    <t>0.00% HDB Financial Services Limited (06-Apr-2021) **</t>
  </si>
  <si>
    <t>INE115A07IO9</t>
  </si>
  <si>
    <t>8.50% Lic Housing Finance Ltd (05-Jan-2021) **</t>
  </si>
  <si>
    <t>INE244N07065</t>
  </si>
  <si>
    <t>8.19% Mahindra Vehicle Manufactures Ltd (23-Feb-2021) **</t>
  </si>
  <si>
    <t>Franklin India Fixed Maturity Plans - Series 3 - Plan E As of -31-Oct-2019</t>
  </si>
  <si>
    <t>INE134E08JM2</t>
  </si>
  <si>
    <t>7.75% Power Finance Corp Ltd (15-Apr-2021) **</t>
  </si>
  <si>
    <t>INE031A08590</t>
  </si>
  <si>
    <t>7.68% Housing &amp; Urban Development Corp Ltd (05-Apr-2021) **</t>
  </si>
  <si>
    <t>INE916DA7PO3</t>
  </si>
  <si>
    <t>0.00% Kotak Mahindra Prime Ltd (27-May-2021) **</t>
  </si>
  <si>
    <t>INE261F08956</t>
  </si>
  <si>
    <t>7.40% National Bank For Agriculture And Rural Development (01-Feb-2021) **</t>
  </si>
  <si>
    <t>INE895D08899</t>
  </si>
  <si>
    <t>8.25% Tata Sons Pvt Ltd (24-Mar-2021) **</t>
  </si>
  <si>
    <t>Franklin India Fixed Maturity Plans - Series 3 - Plan D As of -31-Oct-2019</t>
  </si>
  <si>
    <t>INE916DA7PI5</t>
  </si>
  <si>
    <t>0.00% Kotak Mahindra Prime Ltd (26-Apr-2021) **</t>
  </si>
  <si>
    <t>Franklin India Fixed Maturity Plans - Series 3 - Plan C As of -31-Oct-2019</t>
  </si>
  <si>
    <t>INE134E08JK6</t>
  </si>
  <si>
    <t>7.73% Power Finance Corp Ltd (05-Apr-2021) **</t>
  </si>
  <si>
    <t>INE556F08JA8</t>
  </si>
  <si>
    <t>7.52% Small Industries Development Bank Of India (10-Feb-2021) **</t>
  </si>
  <si>
    <t>INE020B08AR7</t>
  </si>
  <si>
    <t>7.60% Rec Ltd (17-Apr-2021) **</t>
  </si>
  <si>
    <t>INE752E07GX6</t>
  </si>
  <si>
    <t>8.84% Power Grid Corp Of India Ltd (29-Mar-2021) **</t>
  </si>
  <si>
    <t>INE895D08881</t>
  </si>
  <si>
    <t>8.25% Tata Sons Pvt Ltd (23-Mar-2021) **</t>
  </si>
  <si>
    <t>Franklin India Fixed Maturity Plans - Series 3 - Plan B As of -31-Oct-2019</t>
  </si>
  <si>
    <t>INE296A07QB7</t>
  </si>
  <si>
    <t>7.50% Bajaj Finance Ltd (10-Aug-2020) **</t>
  </si>
  <si>
    <t>Franklin India Fixed Maturity Plans-Series 3-Plan A As of -31-Oct-2019</t>
  </si>
  <si>
    <t>INE115A07AL2</t>
  </si>
  <si>
    <t>9.60% LIC Housing Finance Ltd (07-Mar-2021) **</t>
  </si>
  <si>
    <t>INE031A08541</t>
  </si>
  <si>
    <t>7.14% Housing &amp; Urban Development Corp Ltd (22-Dec-2020) **</t>
  </si>
  <si>
    <t>Franklin India Fixed Maturity Plans – Series 2 – Plan C As of -31-Oct-2019</t>
  </si>
  <si>
    <t>INE756I07BU5</t>
  </si>
  <si>
    <t>7.94% HDB Financial Services Limited (15-Apr-2021) **</t>
  </si>
  <si>
    <t>Franklin India Fixed Maturity Plans – Series 2 – Plan B As of -31-Oct-2019</t>
  </si>
  <si>
    <t>INE477A07274</t>
  </si>
  <si>
    <t>7.64% Can Fin Homes Ltd (28-Feb-2021) **</t>
  </si>
  <si>
    <t>INE115A07JB4</t>
  </si>
  <si>
    <t>8.75% Lic Housing Finance Ltd (12-Feb-2021) **</t>
  </si>
  <si>
    <t>INE895D08725</t>
  </si>
  <si>
    <t>7.85% Tata Sons Pvt Ltd (31-Jan-2021) **</t>
  </si>
  <si>
    <t xml:space="preserve">Dividend Plan </t>
  </si>
  <si>
    <t>Franklin India Fixed Maturity Plans - Series 2 - Plan A As of -31-Oct-2019</t>
  </si>
  <si>
    <t>INE733E07JZ5</t>
  </si>
  <si>
    <t>8.33% NTPC Ltd (24-Feb-2021) **</t>
  </si>
  <si>
    <t>INE134E07505</t>
  </si>
  <si>
    <t>9.7% Power Finance Corp Ltd (30-Jan-2021) **</t>
  </si>
  <si>
    <t>INE537P07117</t>
  </si>
  <si>
    <t>8.62% India Infradebt Ltd (08-Mar-2021) **</t>
  </si>
  <si>
    <t>INE235P07167</t>
  </si>
  <si>
    <t>8.70% L&amp;T Infrastructure Debt Fund Ltd (24-Feb-2021) **</t>
  </si>
  <si>
    <t>INE848E07419</t>
  </si>
  <si>
    <t>8.78% NHPC Ltd (11-Feb-2021) **</t>
  </si>
  <si>
    <t>INE752E07ER3</t>
  </si>
  <si>
    <t>9.47% Power Grid Corp Of India Ltd (31-Mar-2021) **</t>
  </si>
  <si>
    <t>INE514E08951</t>
  </si>
  <si>
    <t>9.15% Export-Import Bank Of India (18-Mar-2021) **</t>
  </si>
  <si>
    <t>INE514E08928</t>
  </si>
  <si>
    <t>9.15% Export-Import Bank Of India (25-Feb-2021) **</t>
  </si>
  <si>
    <t>INE115A07LK1</t>
  </si>
  <si>
    <t>7.80% LIC Housing Finance Ltd (19-Mar-2020) **</t>
  </si>
  <si>
    <t>Franklin India Fixed Maturity Plans - Series 1 - Plan B As of -31-Oct-2019</t>
  </si>
  <si>
    <t>INE733E07CF2</t>
  </si>
  <si>
    <t>8.78% NTPC Ltd (09-Mar-2020) **</t>
  </si>
  <si>
    <t>INE134E08GX5</t>
  </si>
  <si>
    <t>8.36% Power Finance Corp Ltd (26-Feb-2020) **</t>
  </si>
  <si>
    <t>INE053F07959</t>
  </si>
  <si>
    <t>6.73% Indian Railway Finance Corp Ltd (23-Mar-2020) **</t>
  </si>
  <si>
    <t>Quarterly Direct Dividend Plan</t>
  </si>
  <si>
    <t>Franklin India Fixed Maturity Plans – Series 1 – Plan A As of -31-Oct-2019</t>
  </si>
  <si>
    <t>*** Effective October 21, 2019, scheme name of Franklin India Dynamic PE Ratio Fund of Funds was changed to Franklin India Dynamic Asset Allocation Fund of Funds</t>
  </si>
  <si>
    <t xml:space="preserve"> $$ Indicates securties below investment grade or default</t>
  </si>
  <si>
    <t>** Non - Traded Scrips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</si>
</sst>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(* #,##0.0000_);_(* \(#,##0.0000\);_(* &quot;-&quot;??_);_(@_)"/>
    <numFmt numFmtId="167" formatCode="_(* #,##0_);_(* \(#,##0\);_(* &quot;-&quot;??_);_(@_)"/>
    <numFmt numFmtId="168" formatCode="#,##0.000"/>
    <numFmt numFmtId="169" formatCode="_ * #,##0.0000_ ;_ * \-#,##0.0000_ ;_ * &quot;-&quot;??_ ;_ @_ "/>
  </numFmts>
  <fonts count="10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</cellStyleXfs>
  <cellXfs count="117">
    <xf numFmtId="0" fontId="0" fillId="0" borderId="0" xfId="0"/>
    <xf numFmtId="2" fontId="2" fillId="0" borderId="0" xfId="0" applyNumberFormat="1" applyFont="1"/>
    <xf numFmtId="0" fontId="2" fillId="0" borderId="0" xfId="0" applyFont="1"/>
    <xf numFmtId="2" fontId="3" fillId="0" borderId="1" xfId="0" applyNumberFormat="1" applyFont="1" applyBorder="1"/>
    <xf numFmtId="0" fontId="3" fillId="0" borderId="0" xfId="0" applyFont="1"/>
    <xf numFmtId="2" fontId="2" fillId="0" borderId="3" xfId="0" applyNumberFormat="1" applyFont="1" applyBorder="1"/>
    <xf numFmtId="2" fontId="3" fillId="0" borderId="2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165" fontId="2" fillId="0" borderId="0" xfId="0" applyNumberFormat="1" applyFont="1"/>
    <xf numFmtId="2" fontId="2" fillId="0" borderId="0" xfId="0" applyNumberFormat="1" applyFont="1" applyAlignment="1">
      <alignment horizontal="right"/>
    </xf>
    <xf numFmtId="2" fontId="5" fillId="0" borderId="0" xfId="0" applyNumberFormat="1" applyFont="1"/>
    <xf numFmtId="4" fontId="2" fillId="0" borderId="2" xfId="0" applyNumberFormat="1" applyFont="1" applyBorder="1"/>
    <xf numFmtId="3" fontId="2" fillId="0" borderId="2" xfId="0" applyNumberFormat="1" applyFont="1" applyBorder="1"/>
    <xf numFmtId="4" fontId="3" fillId="0" borderId="2" xfId="0" applyNumberFormat="1" applyFont="1" applyBorder="1"/>
    <xf numFmtId="4" fontId="3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4" xfId="2" applyFont="1" applyBorder="1"/>
    <xf numFmtId="0" fontId="2" fillId="0" borderId="5" xfId="2" applyFont="1" applyBorder="1"/>
    <xf numFmtId="0" fontId="3" fillId="0" borderId="6" xfId="2" applyFont="1" applyBorder="1" applyAlignment="1">
      <alignment horizontal="center"/>
    </xf>
    <xf numFmtId="0" fontId="7" fillId="0" borderId="4" xfId="3" applyFont="1" applyBorder="1" applyAlignment="1">
      <alignment vertical="center"/>
    </xf>
    <xf numFmtId="0" fontId="7" fillId="0" borderId="5" xfId="3" applyFont="1" applyBorder="1" applyAlignment="1">
      <alignment vertical="center"/>
    </xf>
    <xf numFmtId="166" fontId="7" fillId="0" borderId="3" xfId="3" applyNumberFormat="1" applyFont="1" applyBorder="1"/>
    <xf numFmtId="10" fontId="2" fillId="0" borderId="0" xfId="0" applyNumberFormat="1" applyFont="1"/>
    <xf numFmtId="164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/>
    <xf numFmtId="167" fontId="2" fillId="0" borderId="2" xfId="1" applyNumberFormat="1" applyFont="1" applyBorder="1"/>
    <xf numFmtId="4" fontId="2" fillId="0" borderId="2" xfId="0" applyNumberFormat="1" applyFont="1" applyBorder="1" applyAlignment="1">
      <alignment horizontal="right"/>
    </xf>
    <xf numFmtId="4" fontId="3" fillId="0" borderId="2" xfId="4" applyNumberFormat="1" applyFont="1" applyBorder="1"/>
    <xf numFmtId="0" fontId="2" fillId="0" borderId="2" xfId="0" applyFont="1" applyBorder="1"/>
    <xf numFmtId="4" fontId="2" fillId="0" borderId="2" xfId="1" applyNumberFormat="1" applyFont="1" applyBorder="1"/>
    <xf numFmtId="3" fontId="2" fillId="0" borderId="2" xfId="1" applyNumberFormat="1" applyFont="1" applyBorder="1"/>
    <xf numFmtId="168" fontId="2" fillId="0" borderId="2" xfId="0" applyNumberFormat="1" applyFont="1" applyBorder="1"/>
    <xf numFmtId="0" fontId="2" fillId="0" borderId="3" xfId="0" applyFont="1" applyBorder="1"/>
    <xf numFmtId="4" fontId="2" fillId="0" borderId="3" xfId="0" applyNumberFormat="1" applyFont="1" applyBorder="1"/>
    <xf numFmtId="3" fontId="2" fillId="0" borderId="3" xfId="0" applyNumberFormat="1" applyFont="1" applyBorder="1"/>
    <xf numFmtId="2" fontId="3" fillId="0" borderId="0" xfId="0" applyNumberFormat="1" applyFont="1" applyBorder="1"/>
    <xf numFmtId="2" fontId="2" fillId="0" borderId="0" xfId="0" applyNumberFormat="1" applyFont="1" applyBorder="1"/>
    <xf numFmtId="3" fontId="2" fillId="0" borderId="0" xfId="0" applyNumberFormat="1" applyFont="1" applyBorder="1"/>
    <xf numFmtId="4" fontId="3" fillId="0" borderId="0" xfId="0" applyNumberFormat="1" applyFont="1" applyBorder="1"/>
    <xf numFmtId="0" fontId="3" fillId="0" borderId="2" xfId="0" applyFont="1" applyBorder="1"/>
    <xf numFmtId="3" fontId="2" fillId="0" borderId="2" xfId="4" applyNumberFormat="1" applyFont="1" applyBorder="1"/>
    <xf numFmtId="4" fontId="2" fillId="0" borderId="2" xfId="4" applyNumberFormat="1" applyFont="1" applyBorder="1"/>
    <xf numFmtId="167" fontId="2" fillId="0" borderId="2" xfId="4" applyNumberFormat="1" applyFont="1" applyBorder="1"/>
    <xf numFmtId="4" fontId="3" fillId="0" borderId="2" xfId="1" applyNumberFormat="1" applyFont="1" applyBorder="1"/>
    <xf numFmtId="2" fontId="2" fillId="0" borderId="2" xfId="0" applyNumberFormat="1" applyFont="1" applyBorder="1" applyAlignment="1">
      <alignment wrapText="1"/>
    </xf>
    <xf numFmtId="0" fontId="3" fillId="0" borderId="2" xfId="0" applyNumberFormat="1" applyFont="1" applyBorder="1"/>
    <xf numFmtId="0" fontId="2" fillId="0" borderId="2" xfId="0" applyNumberFormat="1" applyFont="1" applyBorder="1"/>
    <xf numFmtId="2" fontId="2" fillId="0" borderId="2" xfId="0" applyNumberFormat="1" applyFont="1" applyBorder="1"/>
    <xf numFmtId="4" fontId="3" fillId="0" borderId="2" xfId="0" applyNumberFormat="1" applyFont="1" applyBorder="1"/>
    <xf numFmtId="4" fontId="3" fillId="0" borderId="3" xfId="0" applyNumberFormat="1" applyFont="1" applyBorder="1"/>
    <xf numFmtId="0" fontId="2" fillId="0" borderId="2" xfId="0" applyFont="1" applyBorder="1"/>
    <xf numFmtId="0" fontId="7" fillId="0" borderId="4" xfId="3" applyFont="1" applyBorder="1" applyAlignment="1">
      <alignment horizontal="left"/>
    </xf>
    <xf numFmtId="0" fontId="7" fillId="0" borderId="5" xfId="3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/>
    <xf numFmtId="0" fontId="3" fillId="0" borderId="3" xfId="0" applyFont="1" applyBorder="1"/>
    <xf numFmtId="0" fontId="9" fillId="0" borderId="0" xfId="0" applyFont="1"/>
    <xf numFmtId="4" fontId="2" fillId="0" borderId="0" xfId="0" applyNumberFormat="1" applyFont="1"/>
    <xf numFmtId="0" fontId="3" fillId="0" borderId="0" xfId="0" quotePrefix="1" applyFont="1"/>
    <xf numFmtId="0" fontId="2" fillId="0" borderId="0" xfId="0" quotePrefix="1" applyFont="1"/>
    <xf numFmtId="2" fontId="3" fillId="0" borderId="4" xfId="2" applyNumberFormat="1" applyFont="1" applyBorder="1"/>
    <xf numFmtId="2" fontId="3" fillId="0" borderId="5" xfId="2" applyNumberFormat="1" applyFont="1" applyBorder="1"/>
    <xf numFmtId="0" fontId="7" fillId="0" borderId="4" xfId="3" applyFont="1" applyBorder="1"/>
    <xf numFmtId="0" fontId="7" fillId="0" borderId="5" xfId="3" applyFont="1" applyBorder="1"/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8" fillId="0" borderId="0" xfId="6"/>
    <xf numFmtId="43" fontId="2" fillId="0" borderId="2" xfId="7" applyFont="1" applyBorder="1" applyAlignment="1">
      <alignment horizontal="right"/>
    </xf>
    <xf numFmtId="0" fontId="3" fillId="0" borderId="6" xfId="2" applyFont="1" applyBorder="1"/>
    <xf numFmtId="0" fontId="2" fillId="0" borderId="6" xfId="2" applyFont="1" applyBorder="1"/>
    <xf numFmtId="166" fontId="7" fillId="0" borderId="6" xfId="3" applyNumberFormat="1" applyFont="1" applyBorder="1"/>
    <xf numFmtId="0" fontId="3" fillId="0" borderId="7" xfId="2" applyFont="1" applyBorder="1"/>
    <xf numFmtId="0" fontId="2" fillId="0" borderId="8" xfId="2" applyFont="1" applyBorder="1"/>
    <xf numFmtId="0" fontId="7" fillId="0" borderId="0" xfId="3" applyFont="1" applyAlignment="1">
      <alignment vertical="center"/>
    </xf>
    <xf numFmtId="166" fontId="7" fillId="0" borderId="0" xfId="3" applyNumberFormat="1" applyFont="1"/>
    <xf numFmtId="0" fontId="2" fillId="0" borderId="2" xfId="0" applyFont="1" applyBorder="1" applyAlignment="1">
      <alignment horizontal="left"/>
    </xf>
    <xf numFmtId="4" fontId="3" fillId="0" borderId="2" xfId="7" applyNumberFormat="1" applyFont="1" applyBorder="1"/>
    <xf numFmtId="43" fontId="3" fillId="0" borderId="2" xfId="7" applyFont="1" applyBorder="1"/>
    <xf numFmtId="4" fontId="2" fillId="0" borderId="2" xfId="7" applyNumberFormat="1" applyFont="1" applyBorder="1"/>
    <xf numFmtId="4" fontId="2" fillId="0" borderId="2" xfId="7" applyNumberFormat="1" applyFont="1" applyBorder="1" applyAlignment="1">
      <alignment horizontal="right"/>
    </xf>
    <xf numFmtId="4" fontId="3" fillId="0" borderId="2" xfId="7" applyNumberFormat="1" applyFont="1" applyBorder="1" applyAlignment="1">
      <alignment horizontal="right"/>
    </xf>
    <xf numFmtId="43" fontId="3" fillId="0" borderId="2" xfId="7" applyFont="1" applyBorder="1" applyAlignment="1">
      <alignment horizontal="right"/>
    </xf>
    <xf numFmtId="164" fontId="2" fillId="0" borderId="0" xfId="0" applyNumberFormat="1" applyFont="1"/>
    <xf numFmtId="0" fontId="2" fillId="0" borderId="11" xfId="0" applyFont="1" applyBorder="1"/>
    <xf numFmtId="4" fontId="2" fillId="0" borderId="11" xfId="0" applyNumberFormat="1" applyFont="1" applyBorder="1"/>
    <xf numFmtId="2" fontId="3" fillId="0" borderId="11" xfId="0" applyNumberFormat="1" applyFont="1" applyBorder="1"/>
    <xf numFmtId="167" fontId="2" fillId="0" borderId="2" xfId="7" applyNumberFormat="1" applyFont="1" applyBorder="1" applyAlignment="1">
      <alignment horizontal="right"/>
    </xf>
    <xf numFmtId="0" fontId="2" fillId="0" borderId="10" xfId="0" applyFont="1" applyBorder="1"/>
    <xf numFmtId="43" fontId="2" fillId="0" borderId="2" xfId="7" applyFont="1" applyBorder="1"/>
    <xf numFmtId="10" fontId="2" fillId="0" borderId="0" xfId="5" applyNumberFormat="1" applyFont="1"/>
    <xf numFmtId="165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12" xfId="0" applyFont="1" applyBorder="1"/>
    <xf numFmtId="166" fontId="2" fillId="0" borderId="3" xfId="7" applyNumberFormat="1" applyFont="1" applyBorder="1" applyAlignment="1">
      <alignment horizontal="center"/>
    </xf>
    <xf numFmtId="169" fontId="2" fillId="0" borderId="3" xfId="7" applyNumberFormat="1" applyFont="1" applyBorder="1" applyAlignment="1">
      <alignment horizontal="center"/>
    </xf>
    <xf numFmtId="0" fontId="7" fillId="0" borderId="0" xfId="3" applyFont="1" applyAlignment="1">
      <alignment horizontal="left"/>
    </xf>
    <xf numFmtId="165" fontId="2" fillId="0" borderId="0" xfId="2" applyNumberFormat="1" applyFont="1" applyAlignment="1">
      <alignment horizontal="center"/>
    </xf>
    <xf numFmtId="0" fontId="2" fillId="0" borderId="13" xfId="0" applyFont="1" applyBorder="1"/>
    <xf numFmtId="3" fontId="2" fillId="0" borderId="2" xfId="7" applyNumberFormat="1" applyFont="1" applyBorder="1"/>
    <xf numFmtId="167" fontId="2" fillId="0" borderId="2" xfId="1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2" fontId="3" fillId="0" borderId="6" xfId="2" applyNumberFormat="1" applyFont="1" applyBorder="1" applyAlignment="1">
      <alignment horizontal="center"/>
    </xf>
    <xf numFmtId="0" fontId="7" fillId="0" borderId="6" xfId="3" applyFont="1" applyBorder="1" applyAlignment="1">
      <alignment horizontal="left"/>
    </xf>
    <xf numFmtId="0" fontId="7" fillId="0" borderId="9" xfId="3" applyFont="1" applyBorder="1" applyAlignment="1">
      <alignment horizontal="left"/>
    </xf>
    <xf numFmtId="0" fontId="7" fillId="0" borderId="10" xfId="3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3" fillId="0" borderId="5" xfId="2" applyFont="1" applyBorder="1" applyAlignment="1">
      <alignment horizontal="left"/>
    </xf>
    <xf numFmtId="2" fontId="1" fillId="2" borderId="0" xfId="0" applyNumberFormat="1" applyFont="1" applyFill="1" applyAlignment="1">
      <alignment horizontal="center"/>
    </xf>
    <xf numFmtId="2" fontId="3" fillId="0" borderId="4" xfId="2" applyNumberFormat="1" applyFont="1" applyBorder="1" applyAlignment="1">
      <alignment horizontal="center"/>
    </xf>
    <xf numFmtId="2" fontId="3" fillId="0" borderId="5" xfId="2" applyNumberFormat="1" applyFont="1" applyBorder="1" applyAlignment="1">
      <alignment horizontal="center"/>
    </xf>
    <xf numFmtId="0" fontId="7" fillId="0" borderId="4" xfId="3" applyFont="1" applyBorder="1" applyAlignment="1">
      <alignment horizontal="left"/>
    </xf>
    <xf numFmtId="0" fontId="7" fillId="0" borderId="5" xfId="3" applyFont="1" applyBorder="1" applyAlignment="1">
      <alignment horizontal="left"/>
    </xf>
    <xf numFmtId="4" fontId="1" fillId="2" borderId="0" xfId="0" applyNumberFormat="1" applyFont="1" applyFill="1" applyAlignment="1">
      <alignment horizontal="center"/>
    </xf>
    <xf numFmtId="2" fontId="3" fillId="0" borderId="1" xfId="0" applyNumberFormat="1" applyFont="1" applyBorder="1" applyAlignment="1">
      <alignment horizontal="left" vertical="top" wrapText="1"/>
    </xf>
    <xf numFmtId="2" fontId="3" fillId="0" borderId="3" xfId="0" applyNumberFormat="1" applyFont="1" applyBorder="1" applyAlignment="1">
      <alignment horizontal="left" vertical="top" wrapText="1"/>
    </xf>
  </cellXfs>
  <cellStyles count="8">
    <cellStyle name="Comma" xfId="1" builtinId="3"/>
    <cellStyle name="Comma 2" xfId="4" xr:uid="{E963B9D8-5381-45B3-8732-412CA0223118}"/>
    <cellStyle name="Comma 3" xfId="7" xr:uid="{6C4B2C26-85C2-4B7F-BEC9-2526F97BBBAB}"/>
    <cellStyle name="Hyperlink 2" xfId="6" xr:uid="{C954FC5E-07CF-41F0-A93A-815B1CF73762}"/>
    <cellStyle name="Normal" xfId="0" builtinId="0"/>
    <cellStyle name="Normal 2" xfId="3" xr:uid="{0737102A-6A18-4A78-A565-9B216530A8EA}"/>
    <cellStyle name="Normal 3" xfId="2" xr:uid="{38EA6D49-FFC5-4D37-A10B-C21DAB3BD0B3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591C-B7DD-405C-B97C-428D5340CC24}">
  <dimension ref="A1:F106"/>
  <sheetViews>
    <sheetView showGridLines="0" tabSelected="1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1.42578125" style="2" bestFit="1" customWidth="1"/>
    <col min="4" max="4" width="7.8554687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680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683</v>
      </c>
      <c r="B8" s="52" t="s">
        <v>684</v>
      </c>
      <c r="C8" s="52" t="s">
        <v>685</v>
      </c>
      <c r="D8" s="14">
        <v>2797</v>
      </c>
      <c r="E8" s="13">
        <v>23073.37601</v>
      </c>
      <c r="F8" s="49">
        <v>6.76598974233936</v>
      </c>
    </row>
    <row r="9" spans="1:6" x14ac:dyDescent="0.2">
      <c r="A9" s="52" t="s">
        <v>686</v>
      </c>
      <c r="B9" s="52" t="s">
        <v>687</v>
      </c>
      <c r="C9" s="52" t="s">
        <v>688</v>
      </c>
      <c r="D9" s="14">
        <v>1890</v>
      </c>
      <c r="E9" s="13">
        <v>19862.1234</v>
      </c>
      <c r="F9" s="49">
        <v>5.8243285736441601</v>
      </c>
    </row>
    <row r="10" spans="1:6" x14ac:dyDescent="0.2">
      <c r="A10" s="52" t="s">
        <v>689</v>
      </c>
      <c r="B10" s="52" t="s">
        <v>690</v>
      </c>
      <c r="C10" s="52" t="s">
        <v>691</v>
      </c>
      <c r="D10" s="14">
        <v>1910</v>
      </c>
      <c r="E10" s="13">
        <v>19138.734799999998</v>
      </c>
      <c r="F10" s="49">
        <v>5.6122035753255801</v>
      </c>
    </row>
    <row r="11" spans="1:6" x14ac:dyDescent="0.2">
      <c r="A11" s="52" t="s">
        <v>692</v>
      </c>
      <c r="B11" s="52" t="s">
        <v>693</v>
      </c>
      <c r="C11" s="52" t="s">
        <v>694</v>
      </c>
      <c r="D11" s="14">
        <v>1550</v>
      </c>
      <c r="E11" s="13">
        <v>14365.803</v>
      </c>
      <c r="F11" s="49">
        <v>4.2125987846920196</v>
      </c>
    </row>
    <row r="12" spans="1:6" x14ac:dyDescent="0.2">
      <c r="A12" s="52" t="s">
        <v>695</v>
      </c>
      <c r="B12" s="52" t="s">
        <v>696</v>
      </c>
      <c r="C12" s="52" t="s">
        <v>697</v>
      </c>
      <c r="D12" s="14">
        <v>12100</v>
      </c>
      <c r="E12" s="13">
        <v>11677.407499999999</v>
      </c>
      <c r="F12" s="49">
        <v>3.4242591690038799</v>
      </c>
    </row>
    <row r="13" spans="1:6" x14ac:dyDescent="0.2">
      <c r="A13" s="52" t="s">
        <v>698</v>
      </c>
      <c r="B13" s="52" t="s">
        <v>699</v>
      </c>
      <c r="C13" s="52" t="s">
        <v>700</v>
      </c>
      <c r="D13" s="14">
        <v>5858</v>
      </c>
      <c r="E13" s="13">
        <v>11261.911271999999</v>
      </c>
      <c r="F13" s="49">
        <v>3.3024199021618599</v>
      </c>
    </row>
    <row r="14" spans="1:6" x14ac:dyDescent="0.2">
      <c r="A14" s="52" t="s">
        <v>701</v>
      </c>
      <c r="B14" s="52" t="s">
        <v>702</v>
      </c>
      <c r="C14" s="52" t="s">
        <v>703</v>
      </c>
      <c r="D14" s="14">
        <v>1450</v>
      </c>
      <c r="E14" s="13">
        <v>11064.08</v>
      </c>
      <c r="F14" s="49">
        <v>3.2444082632718301</v>
      </c>
    </row>
    <row r="15" spans="1:6" x14ac:dyDescent="0.2">
      <c r="A15" s="52" t="s">
        <v>704</v>
      </c>
      <c r="B15" s="52" t="s">
        <v>705</v>
      </c>
      <c r="C15" s="52" t="s">
        <v>706</v>
      </c>
      <c r="D15" s="14">
        <v>1000</v>
      </c>
      <c r="E15" s="13">
        <v>9254.02</v>
      </c>
      <c r="F15" s="49">
        <v>2.7136299589738</v>
      </c>
    </row>
    <row r="16" spans="1:6" x14ac:dyDescent="0.2">
      <c r="A16" s="52" t="s">
        <v>707</v>
      </c>
      <c r="B16" s="52" t="s">
        <v>708</v>
      </c>
      <c r="C16" s="52" t="s">
        <v>709</v>
      </c>
      <c r="D16" s="14">
        <v>700</v>
      </c>
      <c r="E16" s="13">
        <v>6969.7740000000003</v>
      </c>
      <c r="F16" s="49">
        <v>2.0438023187411098</v>
      </c>
    </row>
    <row r="17" spans="1:6" x14ac:dyDescent="0.2">
      <c r="A17" s="52" t="s">
        <v>710</v>
      </c>
      <c r="B17" s="52" t="s">
        <v>711</v>
      </c>
      <c r="C17" s="52" t="s">
        <v>712</v>
      </c>
      <c r="D17" s="14">
        <v>610</v>
      </c>
      <c r="E17" s="13">
        <v>6349.3253000000004</v>
      </c>
      <c r="F17" s="49">
        <v>1.8618632068387899</v>
      </c>
    </row>
    <row r="18" spans="1:6" x14ac:dyDescent="0.2">
      <c r="A18" s="52" t="s">
        <v>713</v>
      </c>
      <c r="B18" s="52" t="s">
        <v>714</v>
      </c>
      <c r="C18" s="52" t="s">
        <v>700</v>
      </c>
      <c r="D18" s="14">
        <v>646</v>
      </c>
      <c r="E18" s="13">
        <v>6166.7547599999998</v>
      </c>
      <c r="F18" s="49">
        <v>1.8083265938889601</v>
      </c>
    </row>
    <row r="19" spans="1:6" x14ac:dyDescent="0.2">
      <c r="A19" s="52" t="s">
        <v>715</v>
      </c>
      <c r="B19" s="52" t="s">
        <v>716</v>
      </c>
      <c r="C19" s="52" t="s">
        <v>694</v>
      </c>
      <c r="D19" s="14">
        <v>620</v>
      </c>
      <c r="E19" s="13">
        <v>5878.5361999999996</v>
      </c>
      <c r="F19" s="49">
        <v>1.7238099709350101</v>
      </c>
    </row>
    <row r="20" spans="1:6" x14ac:dyDescent="0.2">
      <c r="A20" s="52" t="s">
        <v>717</v>
      </c>
      <c r="B20" s="52" t="s">
        <v>718</v>
      </c>
      <c r="C20" s="52" t="s">
        <v>697</v>
      </c>
      <c r="D20" s="14">
        <v>554</v>
      </c>
      <c r="E20" s="13">
        <v>5758.3314</v>
      </c>
      <c r="F20" s="49">
        <v>1.68856136044006</v>
      </c>
    </row>
    <row r="21" spans="1:6" x14ac:dyDescent="0.2">
      <c r="A21" s="52" t="s">
        <v>719</v>
      </c>
      <c r="B21" s="52" t="s">
        <v>720</v>
      </c>
      <c r="C21" s="52" t="s">
        <v>688</v>
      </c>
      <c r="D21" s="14">
        <v>550</v>
      </c>
      <c r="E21" s="13">
        <v>5713.8069999999998</v>
      </c>
      <c r="F21" s="49">
        <v>1.6755051161543</v>
      </c>
    </row>
    <row r="22" spans="1:6" x14ac:dyDescent="0.2">
      <c r="A22" s="52" t="s">
        <v>721</v>
      </c>
      <c r="B22" s="52" t="s">
        <v>722</v>
      </c>
      <c r="C22" s="52" t="s">
        <v>723</v>
      </c>
      <c r="D22" s="14">
        <v>550</v>
      </c>
      <c r="E22" s="13">
        <v>5516.1975000000002</v>
      </c>
      <c r="F22" s="49">
        <v>1.6175585092334299</v>
      </c>
    </row>
    <row r="23" spans="1:6" x14ac:dyDescent="0.2">
      <c r="A23" s="52" t="s">
        <v>724</v>
      </c>
      <c r="B23" s="52" t="s">
        <v>725</v>
      </c>
      <c r="C23" s="52" t="s">
        <v>726</v>
      </c>
      <c r="D23" s="14">
        <v>490</v>
      </c>
      <c r="E23" s="13">
        <v>5059.9654</v>
      </c>
      <c r="F23" s="49">
        <v>1.4837739383328401</v>
      </c>
    </row>
    <row r="24" spans="1:6" x14ac:dyDescent="0.2">
      <c r="A24" s="52" t="s">
        <v>727</v>
      </c>
      <c r="B24" s="52" t="s">
        <v>728</v>
      </c>
      <c r="C24" s="52" t="s">
        <v>729</v>
      </c>
      <c r="D24" s="14">
        <v>500</v>
      </c>
      <c r="E24" s="13">
        <v>4996.05</v>
      </c>
      <c r="F24" s="49">
        <v>1.46503151673878</v>
      </c>
    </row>
    <row r="25" spans="1:6" x14ac:dyDescent="0.2">
      <c r="A25" s="52" t="s">
        <v>730</v>
      </c>
      <c r="B25" s="52" t="s">
        <v>731</v>
      </c>
      <c r="C25" s="52" t="s">
        <v>700</v>
      </c>
      <c r="D25" s="14">
        <v>501</v>
      </c>
      <c r="E25" s="13">
        <v>4979.4440100000002</v>
      </c>
      <c r="F25" s="49">
        <v>1.4601620100852</v>
      </c>
    </row>
    <row r="26" spans="1:6" x14ac:dyDescent="0.2">
      <c r="A26" s="52" t="s">
        <v>732</v>
      </c>
      <c r="B26" s="52" t="s">
        <v>733</v>
      </c>
      <c r="C26" s="52" t="s">
        <v>729</v>
      </c>
      <c r="D26" s="14">
        <v>400</v>
      </c>
      <c r="E26" s="13">
        <v>4364.8519999999999</v>
      </c>
      <c r="F26" s="49">
        <v>1.2799403020186599</v>
      </c>
    </row>
    <row r="27" spans="1:6" x14ac:dyDescent="0.2">
      <c r="A27" s="52" t="s">
        <v>734</v>
      </c>
      <c r="B27" s="52" t="s">
        <v>735</v>
      </c>
      <c r="C27" s="52" t="s">
        <v>691</v>
      </c>
      <c r="D27" s="14">
        <v>400</v>
      </c>
      <c r="E27" s="13">
        <v>3944.7359999999999</v>
      </c>
      <c r="F27" s="49">
        <v>1.1567463426535101</v>
      </c>
    </row>
    <row r="28" spans="1:6" x14ac:dyDescent="0.2">
      <c r="A28" s="52" t="s">
        <v>736</v>
      </c>
      <c r="B28" s="52" t="s">
        <v>737</v>
      </c>
      <c r="C28" s="52" t="s">
        <v>729</v>
      </c>
      <c r="D28" s="14">
        <v>4000</v>
      </c>
      <c r="E28" s="13">
        <v>3862.5479999999998</v>
      </c>
      <c r="F28" s="49">
        <v>1.13264570108713</v>
      </c>
    </row>
    <row r="29" spans="1:6" x14ac:dyDescent="0.2">
      <c r="A29" s="52" t="s">
        <v>738</v>
      </c>
      <c r="B29" s="52" t="s">
        <v>739</v>
      </c>
      <c r="C29" s="52" t="s">
        <v>740</v>
      </c>
      <c r="D29" s="14">
        <v>400</v>
      </c>
      <c r="E29" s="13">
        <v>3753.924</v>
      </c>
      <c r="F29" s="49">
        <v>1.10079302077484</v>
      </c>
    </row>
    <row r="30" spans="1:6" x14ac:dyDescent="0.2">
      <c r="A30" s="52" t="s">
        <v>741</v>
      </c>
      <c r="B30" s="52" t="s">
        <v>742</v>
      </c>
      <c r="C30" s="52" t="s">
        <v>688</v>
      </c>
      <c r="D30" s="14">
        <v>350</v>
      </c>
      <c r="E30" s="13">
        <v>3651.62</v>
      </c>
      <c r="F30" s="49">
        <v>1.07079360437819</v>
      </c>
    </row>
    <row r="31" spans="1:6" x14ac:dyDescent="0.2">
      <c r="A31" s="52" t="s">
        <v>743</v>
      </c>
      <c r="B31" s="52" t="s">
        <v>744</v>
      </c>
      <c r="C31" s="52" t="s">
        <v>700</v>
      </c>
      <c r="D31" s="14">
        <v>350</v>
      </c>
      <c r="E31" s="13">
        <v>3357.4625000000001</v>
      </c>
      <c r="F31" s="49">
        <v>0.98453545876614301</v>
      </c>
    </row>
    <row r="32" spans="1:6" x14ac:dyDescent="0.2">
      <c r="A32" s="52" t="s">
        <v>745</v>
      </c>
      <c r="B32" s="52" t="s">
        <v>746</v>
      </c>
      <c r="C32" s="52" t="s">
        <v>688</v>
      </c>
      <c r="D32" s="14">
        <v>300</v>
      </c>
      <c r="E32" s="13">
        <v>3054.4740000000002</v>
      </c>
      <c r="F32" s="49">
        <v>0.895687728717523</v>
      </c>
    </row>
    <row r="33" spans="1:6" x14ac:dyDescent="0.2">
      <c r="A33" s="52" t="s">
        <v>747</v>
      </c>
      <c r="B33" s="52" t="s">
        <v>748</v>
      </c>
      <c r="C33" s="52" t="s">
        <v>700</v>
      </c>
      <c r="D33" s="14">
        <v>240</v>
      </c>
      <c r="E33" s="13">
        <v>2394.7224000000001</v>
      </c>
      <c r="F33" s="49">
        <v>0.702223514544558</v>
      </c>
    </row>
    <row r="34" spans="1:6" x14ac:dyDescent="0.2">
      <c r="A34" s="52" t="s">
        <v>749</v>
      </c>
      <c r="B34" s="52" t="s">
        <v>750</v>
      </c>
      <c r="C34" s="52" t="s">
        <v>688</v>
      </c>
      <c r="D34" s="14">
        <v>200</v>
      </c>
      <c r="E34" s="13">
        <v>2019.192</v>
      </c>
      <c r="F34" s="49">
        <v>0.59210374562840995</v>
      </c>
    </row>
    <row r="35" spans="1:6" x14ac:dyDescent="0.2">
      <c r="A35" s="52" t="s">
        <v>751</v>
      </c>
      <c r="B35" s="52" t="s">
        <v>752</v>
      </c>
      <c r="C35" s="52" t="s">
        <v>706</v>
      </c>
      <c r="D35" s="14">
        <v>200</v>
      </c>
      <c r="E35" s="13">
        <v>1979.3879999999999</v>
      </c>
      <c r="F35" s="49">
        <v>0.58043170181534398</v>
      </c>
    </row>
    <row r="36" spans="1:6" x14ac:dyDescent="0.2">
      <c r="A36" s="52" t="s">
        <v>753</v>
      </c>
      <c r="B36" s="52" t="s">
        <v>754</v>
      </c>
      <c r="C36" s="52" t="s">
        <v>729</v>
      </c>
      <c r="D36" s="14">
        <v>2000</v>
      </c>
      <c r="E36" s="13">
        <v>1939.028</v>
      </c>
      <c r="F36" s="49">
        <v>0.56859661769577396</v>
      </c>
    </row>
    <row r="37" spans="1:6" x14ac:dyDescent="0.2">
      <c r="A37" s="52" t="s">
        <v>755</v>
      </c>
      <c r="B37" s="52" t="s">
        <v>756</v>
      </c>
      <c r="C37" s="52" t="s">
        <v>685</v>
      </c>
      <c r="D37" s="14">
        <v>250</v>
      </c>
      <c r="E37" s="13">
        <v>1895.6424999999999</v>
      </c>
      <c r="F37" s="49">
        <v>0.55587434212417797</v>
      </c>
    </row>
    <row r="38" spans="1:6" x14ac:dyDescent="0.2">
      <c r="A38" s="52" t="s">
        <v>757</v>
      </c>
      <c r="B38" s="52" t="s">
        <v>758</v>
      </c>
      <c r="C38" s="52" t="s">
        <v>700</v>
      </c>
      <c r="D38" s="14">
        <v>150</v>
      </c>
      <c r="E38" s="13">
        <v>1481.6595</v>
      </c>
      <c r="F38" s="49">
        <v>0.43447881117591503</v>
      </c>
    </row>
    <row r="39" spans="1:6" x14ac:dyDescent="0.2">
      <c r="A39" s="52" t="s">
        <v>759</v>
      </c>
      <c r="B39" s="52" t="s">
        <v>739</v>
      </c>
      <c r="C39" s="52" t="s">
        <v>740</v>
      </c>
      <c r="D39" s="14">
        <v>150</v>
      </c>
      <c r="E39" s="13">
        <v>1407.7215000000001</v>
      </c>
      <c r="F39" s="49">
        <v>0.41279738279056399</v>
      </c>
    </row>
    <row r="40" spans="1:6" x14ac:dyDescent="0.2">
      <c r="A40" s="52" t="s">
        <v>760</v>
      </c>
      <c r="B40" s="52" t="s">
        <v>761</v>
      </c>
      <c r="C40" s="52" t="s">
        <v>706</v>
      </c>
      <c r="D40" s="14">
        <v>150</v>
      </c>
      <c r="E40" s="13">
        <v>1347</v>
      </c>
      <c r="F40" s="49">
        <v>0.39499153392122599</v>
      </c>
    </row>
    <row r="41" spans="1:6" x14ac:dyDescent="0.2">
      <c r="A41" s="52" t="s">
        <v>762</v>
      </c>
      <c r="B41" s="52" t="s">
        <v>763</v>
      </c>
      <c r="C41" s="52" t="s">
        <v>764</v>
      </c>
      <c r="D41" s="14">
        <v>50</v>
      </c>
      <c r="E41" s="13">
        <v>501.697</v>
      </c>
      <c r="F41" s="49">
        <v>0.14711660548899599</v>
      </c>
    </row>
    <row r="42" spans="1:6" x14ac:dyDescent="0.2">
      <c r="A42" s="52" t="s">
        <v>765</v>
      </c>
      <c r="B42" s="52" t="s">
        <v>739</v>
      </c>
      <c r="C42" s="52" t="s">
        <v>740</v>
      </c>
      <c r="D42" s="14">
        <v>40</v>
      </c>
      <c r="E42" s="13">
        <v>375.39240000000001</v>
      </c>
      <c r="F42" s="49">
        <v>0.110079302077484</v>
      </c>
    </row>
    <row r="43" spans="1:6" x14ac:dyDescent="0.2">
      <c r="A43" s="52" t="s">
        <v>766</v>
      </c>
      <c r="B43" s="52" t="s">
        <v>767</v>
      </c>
      <c r="C43" s="52" t="s">
        <v>726</v>
      </c>
      <c r="D43" s="14">
        <v>30</v>
      </c>
      <c r="E43" s="13">
        <v>310.4502</v>
      </c>
      <c r="F43" s="49">
        <v>9.1035783744730106E-2</v>
      </c>
    </row>
    <row r="44" spans="1:6" x14ac:dyDescent="0.2">
      <c r="A44" s="52" t="s">
        <v>768</v>
      </c>
      <c r="B44" s="52" t="s">
        <v>769</v>
      </c>
      <c r="C44" s="52" t="s">
        <v>685</v>
      </c>
      <c r="D44" s="14">
        <v>30</v>
      </c>
      <c r="E44" s="13">
        <v>310.4085</v>
      </c>
      <c r="F44" s="49">
        <v>9.1023555721742297E-2</v>
      </c>
    </row>
    <row r="45" spans="1:6" x14ac:dyDescent="0.2">
      <c r="A45" s="52" t="s">
        <v>770</v>
      </c>
      <c r="B45" s="52" t="s">
        <v>771</v>
      </c>
      <c r="C45" s="52" t="s">
        <v>726</v>
      </c>
      <c r="D45" s="14">
        <v>25</v>
      </c>
      <c r="E45" s="13">
        <v>253.54175000000001</v>
      </c>
      <c r="F45" s="49">
        <v>7.4348065883869399E-2</v>
      </c>
    </row>
    <row r="46" spans="1:6" x14ac:dyDescent="0.2">
      <c r="A46" s="41" t="s">
        <v>43</v>
      </c>
      <c r="B46" s="52"/>
      <c r="C46" s="52"/>
      <c r="D46" s="14"/>
      <c r="E46" s="50">
        <f>SUM(E8:E45)</f>
        <v>219291.10180200002</v>
      </c>
      <c r="F46" s="6">
        <f>SUM(F8:F45)</f>
        <v>64.304475631809751</v>
      </c>
    </row>
    <row r="47" spans="1:6" x14ac:dyDescent="0.2">
      <c r="A47" s="52"/>
      <c r="B47" s="52"/>
      <c r="C47" s="52"/>
      <c r="D47" s="14"/>
      <c r="E47" s="13"/>
      <c r="F47" s="49"/>
    </row>
    <row r="48" spans="1:6" x14ac:dyDescent="0.2">
      <c r="A48" s="41" t="s">
        <v>772</v>
      </c>
      <c r="B48" s="52"/>
      <c r="C48" s="52"/>
      <c r="D48" s="14"/>
      <c r="E48" s="13"/>
      <c r="F48" s="49"/>
    </row>
    <row r="49" spans="1:6" x14ac:dyDescent="0.2">
      <c r="A49" s="52" t="s">
        <v>773</v>
      </c>
      <c r="B49" s="52" t="s">
        <v>774</v>
      </c>
      <c r="C49" s="52" t="s">
        <v>775</v>
      </c>
      <c r="D49" s="14">
        <v>1400</v>
      </c>
      <c r="E49" s="13">
        <v>13671.378000000001</v>
      </c>
      <c r="F49" s="49">
        <v>4.0089670133904303</v>
      </c>
    </row>
    <row r="50" spans="1:6" x14ac:dyDescent="0.2">
      <c r="A50" s="52" t="s">
        <v>776</v>
      </c>
      <c r="B50" s="52" t="s">
        <v>777</v>
      </c>
      <c r="C50" s="52" t="s">
        <v>778</v>
      </c>
      <c r="D50" s="14">
        <v>1000</v>
      </c>
      <c r="E50" s="13">
        <v>11489.49</v>
      </c>
      <c r="F50" s="49">
        <v>3.3691546244042998</v>
      </c>
    </row>
    <row r="51" spans="1:6" x14ac:dyDescent="0.2">
      <c r="A51" s="52" t="s">
        <v>779</v>
      </c>
      <c r="B51" s="52" t="s">
        <v>780</v>
      </c>
      <c r="C51" s="52" t="s">
        <v>775</v>
      </c>
      <c r="D51" s="14">
        <v>100</v>
      </c>
      <c r="E51" s="13">
        <v>11401.52</v>
      </c>
      <c r="F51" s="49">
        <v>3.3433584809454602</v>
      </c>
    </row>
    <row r="52" spans="1:6" x14ac:dyDescent="0.2">
      <c r="A52" s="52" t="s">
        <v>781</v>
      </c>
      <c r="B52" s="52" t="s">
        <v>782</v>
      </c>
      <c r="C52" s="52" t="s">
        <v>783</v>
      </c>
      <c r="D52" s="14">
        <v>1000</v>
      </c>
      <c r="E52" s="13">
        <v>10070.93</v>
      </c>
      <c r="F52" s="49">
        <v>2.95317898196978</v>
      </c>
    </row>
    <row r="53" spans="1:6" x14ac:dyDescent="0.2">
      <c r="A53" s="52" t="s">
        <v>784</v>
      </c>
      <c r="B53" s="52" t="s">
        <v>785</v>
      </c>
      <c r="C53" s="52" t="s">
        <v>691</v>
      </c>
      <c r="D53" s="14">
        <v>1000</v>
      </c>
      <c r="E53" s="13">
        <v>9958.4</v>
      </c>
      <c r="F53" s="49">
        <v>2.9201809141805</v>
      </c>
    </row>
    <row r="54" spans="1:6" x14ac:dyDescent="0.2">
      <c r="A54" s="52" t="s">
        <v>786</v>
      </c>
      <c r="B54" s="52" t="s">
        <v>787</v>
      </c>
      <c r="C54" s="52" t="s">
        <v>788</v>
      </c>
      <c r="D54" s="14">
        <v>770</v>
      </c>
      <c r="E54" s="13">
        <v>6881.6979000000001</v>
      </c>
      <c r="F54" s="49">
        <v>2.01797506273458</v>
      </c>
    </row>
    <row r="55" spans="1:6" x14ac:dyDescent="0.2">
      <c r="A55" s="52" t="s">
        <v>789</v>
      </c>
      <c r="B55" s="52" t="s">
        <v>790</v>
      </c>
      <c r="C55" s="52" t="s">
        <v>791</v>
      </c>
      <c r="D55" s="14">
        <v>688</v>
      </c>
      <c r="E55" s="13">
        <v>6786.9961599999997</v>
      </c>
      <c r="F55" s="49">
        <v>1.9902049175618901</v>
      </c>
    </row>
    <row r="56" spans="1:6" x14ac:dyDescent="0.2">
      <c r="A56" s="52" t="s">
        <v>792</v>
      </c>
      <c r="B56" s="52" t="s">
        <v>793</v>
      </c>
      <c r="C56" s="52" t="s">
        <v>794</v>
      </c>
      <c r="D56" s="14">
        <v>44</v>
      </c>
      <c r="E56" s="13">
        <v>5396.2348000000002</v>
      </c>
      <c r="F56" s="49">
        <v>1.5823808916489199</v>
      </c>
    </row>
    <row r="57" spans="1:6" x14ac:dyDescent="0.2">
      <c r="A57" s="52" t="s">
        <v>795</v>
      </c>
      <c r="B57" s="52" t="s">
        <v>796</v>
      </c>
      <c r="C57" s="52" t="s">
        <v>797</v>
      </c>
      <c r="D57" s="14">
        <v>470</v>
      </c>
      <c r="E57" s="13">
        <v>4168.7354999999998</v>
      </c>
      <c r="F57" s="49">
        <v>1.2224314993740699</v>
      </c>
    </row>
    <row r="58" spans="1:6" x14ac:dyDescent="0.2">
      <c r="A58" s="52" t="s">
        <v>798</v>
      </c>
      <c r="B58" s="52" t="s">
        <v>799</v>
      </c>
      <c r="C58" s="52" t="s">
        <v>791</v>
      </c>
      <c r="D58" s="14">
        <v>400</v>
      </c>
      <c r="E58" s="13">
        <v>3998.3760000000002</v>
      </c>
      <c r="F58" s="49">
        <v>1.1724756268996399</v>
      </c>
    </row>
    <row r="59" spans="1:6" x14ac:dyDescent="0.2">
      <c r="A59" s="52" t="s">
        <v>800</v>
      </c>
      <c r="B59" s="52" t="s">
        <v>801</v>
      </c>
      <c r="C59" s="52" t="s">
        <v>802</v>
      </c>
      <c r="D59" s="14">
        <v>370</v>
      </c>
      <c r="E59" s="13">
        <v>3565.0906</v>
      </c>
      <c r="F59" s="49">
        <v>1.0454198995264601</v>
      </c>
    </row>
    <row r="60" spans="1:6" x14ac:dyDescent="0.2">
      <c r="A60" s="52" t="s">
        <v>803</v>
      </c>
      <c r="B60" s="52" t="s">
        <v>804</v>
      </c>
      <c r="C60" s="52" t="s">
        <v>805</v>
      </c>
      <c r="D60" s="14">
        <v>3559</v>
      </c>
      <c r="E60" s="13">
        <v>3434.349584</v>
      </c>
      <c r="F60" s="49">
        <v>1.00708167053147</v>
      </c>
    </row>
    <row r="61" spans="1:6" x14ac:dyDescent="0.2">
      <c r="A61" s="52" t="s">
        <v>806</v>
      </c>
      <c r="B61" s="52" t="s">
        <v>807</v>
      </c>
      <c r="C61" s="52" t="s">
        <v>805</v>
      </c>
      <c r="D61" s="14">
        <v>3473</v>
      </c>
      <c r="E61" s="13">
        <v>3351.3616480000001</v>
      </c>
      <c r="F61" s="49">
        <v>0.98274645736324295</v>
      </c>
    </row>
    <row r="62" spans="1:6" x14ac:dyDescent="0.2">
      <c r="A62" s="52" t="s">
        <v>808</v>
      </c>
      <c r="B62" s="52" t="s">
        <v>809</v>
      </c>
      <c r="C62" s="52" t="s">
        <v>810</v>
      </c>
      <c r="D62" s="14">
        <v>300</v>
      </c>
      <c r="E62" s="13">
        <v>2949.7080000000001</v>
      </c>
      <c r="F62" s="49">
        <v>0.86496636046006803</v>
      </c>
    </row>
    <row r="63" spans="1:6" x14ac:dyDescent="0.2">
      <c r="A63" s="52" t="s">
        <v>811</v>
      </c>
      <c r="B63" s="52" t="s">
        <v>812</v>
      </c>
      <c r="C63" s="52" t="s">
        <v>813</v>
      </c>
      <c r="D63" s="14">
        <v>677</v>
      </c>
      <c r="E63" s="13">
        <v>2708</v>
      </c>
      <c r="F63" s="49">
        <v>0.79408839930117303</v>
      </c>
    </row>
    <row r="64" spans="1:6" x14ac:dyDescent="0.2">
      <c r="A64" s="52" t="s">
        <v>814</v>
      </c>
      <c r="B64" s="52" t="s">
        <v>815</v>
      </c>
      <c r="C64" s="52" t="s">
        <v>788</v>
      </c>
      <c r="D64" s="14">
        <v>250</v>
      </c>
      <c r="E64" s="13">
        <v>2317.3000000000002</v>
      </c>
      <c r="F64" s="49">
        <v>0.679520327806724</v>
      </c>
    </row>
    <row r="65" spans="1:6" x14ac:dyDescent="0.2">
      <c r="A65" s="52" t="s">
        <v>816</v>
      </c>
      <c r="B65" s="52" t="s">
        <v>817</v>
      </c>
      <c r="C65" s="52" t="s">
        <v>818</v>
      </c>
      <c r="D65" s="14">
        <v>115</v>
      </c>
      <c r="E65" s="13">
        <v>1146.57185</v>
      </c>
      <c r="F65" s="49">
        <v>0.33621839182063701</v>
      </c>
    </row>
    <row r="66" spans="1:6" x14ac:dyDescent="0.2">
      <c r="A66" s="52" t="s">
        <v>819</v>
      </c>
      <c r="B66" s="52" t="s">
        <v>820</v>
      </c>
      <c r="C66" s="52" t="s">
        <v>788</v>
      </c>
      <c r="D66" s="14">
        <v>100</v>
      </c>
      <c r="E66" s="13">
        <v>1027.088</v>
      </c>
      <c r="F66" s="49">
        <v>0.30118119123391601</v>
      </c>
    </row>
    <row r="67" spans="1:6" x14ac:dyDescent="0.2">
      <c r="A67" s="52" t="s">
        <v>821</v>
      </c>
      <c r="B67" s="52" t="s">
        <v>822</v>
      </c>
      <c r="C67" s="52" t="s">
        <v>788</v>
      </c>
      <c r="D67" s="14">
        <v>110</v>
      </c>
      <c r="E67" s="13">
        <v>1020.7626</v>
      </c>
      <c r="F67" s="49">
        <v>0.299326343833273</v>
      </c>
    </row>
    <row r="68" spans="1:6" x14ac:dyDescent="0.2">
      <c r="A68" s="52" t="s">
        <v>823</v>
      </c>
      <c r="B68" s="52" t="s">
        <v>824</v>
      </c>
      <c r="C68" s="52" t="s">
        <v>802</v>
      </c>
      <c r="D68" s="14">
        <v>10</v>
      </c>
      <c r="E68" s="13">
        <v>1010.302</v>
      </c>
      <c r="F68" s="49">
        <v>0.29625889881490902</v>
      </c>
    </row>
    <row r="69" spans="1:6" x14ac:dyDescent="0.2">
      <c r="A69" s="52" t="s">
        <v>825</v>
      </c>
      <c r="B69" s="52" t="s">
        <v>826</v>
      </c>
      <c r="C69" s="52" t="s">
        <v>827</v>
      </c>
      <c r="D69" s="14">
        <v>100</v>
      </c>
      <c r="E69" s="13">
        <v>1004.648</v>
      </c>
      <c r="F69" s="49">
        <v>0.294600931381509</v>
      </c>
    </row>
    <row r="70" spans="1:6" x14ac:dyDescent="0.2">
      <c r="A70" s="52" t="s">
        <v>828</v>
      </c>
      <c r="B70" s="52" t="s">
        <v>829</v>
      </c>
      <c r="C70" s="52" t="s">
        <v>783</v>
      </c>
      <c r="D70" s="14">
        <v>50</v>
      </c>
      <c r="E70" s="13">
        <v>474.91399999999999</v>
      </c>
      <c r="F70" s="49">
        <v>0.13926281317050099</v>
      </c>
    </row>
    <row r="71" spans="1:6" x14ac:dyDescent="0.2">
      <c r="A71" s="52" t="s">
        <v>830</v>
      </c>
      <c r="B71" s="52" t="s">
        <v>831</v>
      </c>
      <c r="C71" s="52" t="s">
        <v>832</v>
      </c>
      <c r="D71" s="14">
        <v>40</v>
      </c>
      <c r="E71" s="13">
        <v>403.79840000000002</v>
      </c>
      <c r="F71" s="49">
        <v>0.11840901960722899</v>
      </c>
    </row>
    <row r="72" spans="1:6" x14ac:dyDescent="0.2">
      <c r="A72" s="41" t="s">
        <v>43</v>
      </c>
      <c r="B72" s="52"/>
      <c r="C72" s="52"/>
      <c r="D72" s="14"/>
      <c r="E72" s="50">
        <f>SUM(E49:E71)</f>
        <v>108237.65304200001</v>
      </c>
      <c r="F72" s="6">
        <f>SUM(F49:F71)</f>
        <v>31.739388717960686</v>
      </c>
    </row>
    <row r="73" spans="1:6" x14ac:dyDescent="0.2">
      <c r="A73" s="52"/>
      <c r="B73" s="52"/>
      <c r="C73" s="52"/>
      <c r="D73" s="14"/>
      <c r="E73" s="13"/>
      <c r="F73" s="49"/>
    </row>
    <row r="74" spans="1:6" x14ac:dyDescent="0.2">
      <c r="A74" s="41" t="s">
        <v>43</v>
      </c>
      <c r="B74" s="52"/>
      <c r="C74" s="52"/>
      <c r="D74" s="52"/>
      <c r="E74" s="50">
        <v>327528.75484400004</v>
      </c>
      <c r="F74" s="6">
        <v>96.043864349770487</v>
      </c>
    </row>
    <row r="75" spans="1:6" x14ac:dyDescent="0.2">
      <c r="A75" s="52"/>
      <c r="B75" s="52"/>
      <c r="C75" s="52"/>
      <c r="D75" s="52"/>
      <c r="E75" s="13"/>
      <c r="F75" s="49"/>
    </row>
    <row r="76" spans="1:6" x14ac:dyDescent="0.2">
      <c r="A76" s="41" t="s">
        <v>100</v>
      </c>
      <c r="B76" s="52"/>
      <c r="C76" s="52"/>
      <c r="D76" s="52"/>
      <c r="E76" s="50">
        <v>13491.2173466</v>
      </c>
      <c r="F76" s="6">
        <v>3.96</v>
      </c>
    </row>
    <row r="77" spans="1:6" x14ac:dyDescent="0.2">
      <c r="A77" s="52"/>
      <c r="B77" s="52"/>
      <c r="C77" s="52"/>
      <c r="D77" s="52"/>
      <c r="E77" s="13"/>
      <c r="F77" s="49"/>
    </row>
    <row r="78" spans="1:6" x14ac:dyDescent="0.2">
      <c r="A78" s="57" t="s">
        <v>101</v>
      </c>
      <c r="B78" s="34"/>
      <c r="C78" s="34"/>
      <c r="D78" s="34"/>
      <c r="E78" s="51">
        <v>341019.96734660002</v>
      </c>
      <c r="F78" s="8">
        <f xml:space="preserve"> ROUND(SUM(F74:F77),2)</f>
        <v>100</v>
      </c>
    </row>
    <row r="79" spans="1:6" x14ac:dyDescent="0.2">
      <c r="A79" s="58" t="s">
        <v>1964</v>
      </c>
    </row>
    <row r="80" spans="1:6" x14ac:dyDescent="0.2">
      <c r="A80" s="60" t="s">
        <v>1963</v>
      </c>
    </row>
    <row r="81" spans="1:4" x14ac:dyDescent="0.2">
      <c r="A81" s="61"/>
    </row>
    <row r="82" spans="1:4" x14ac:dyDescent="0.2">
      <c r="A82" s="4" t="s">
        <v>102</v>
      </c>
    </row>
    <row r="83" spans="1:4" x14ac:dyDescent="0.2">
      <c r="A83" s="4" t="s">
        <v>833</v>
      </c>
    </row>
    <row r="84" spans="1:4" x14ac:dyDescent="0.2">
      <c r="A84" s="4" t="s">
        <v>104</v>
      </c>
    </row>
    <row r="85" spans="1:4" x14ac:dyDescent="0.2">
      <c r="A85" s="2" t="s">
        <v>598</v>
      </c>
      <c r="D85" s="10">
        <v>22.162299999999998</v>
      </c>
    </row>
    <row r="86" spans="1:4" x14ac:dyDescent="0.2">
      <c r="A86" s="2" t="s">
        <v>599</v>
      </c>
      <c r="D86" s="10">
        <v>10.9186</v>
      </c>
    </row>
    <row r="87" spans="1:4" x14ac:dyDescent="0.2">
      <c r="A87" s="2" t="s">
        <v>600</v>
      </c>
      <c r="D87" s="10">
        <v>23.2896</v>
      </c>
    </row>
    <row r="88" spans="1:4" x14ac:dyDescent="0.2">
      <c r="A88" s="2" t="s">
        <v>601</v>
      </c>
      <c r="D88" s="10">
        <v>11.5779</v>
      </c>
    </row>
    <row r="89" spans="1:4" x14ac:dyDescent="0.2">
      <c r="D89" s="10"/>
    </row>
    <row r="90" spans="1:4" x14ac:dyDescent="0.2">
      <c r="A90" s="4" t="s">
        <v>105</v>
      </c>
    </row>
    <row r="91" spans="1:4" x14ac:dyDescent="0.2">
      <c r="A91" s="2" t="s">
        <v>598</v>
      </c>
      <c r="D91" s="10">
        <v>22.771100000000001</v>
      </c>
    </row>
    <row r="92" spans="1:4" x14ac:dyDescent="0.2">
      <c r="A92" s="2" t="s">
        <v>599</v>
      </c>
      <c r="D92" s="10">
        <v>10.775499999999999</v>
      </c>
    </row>
    <row r="93" spans="1:4" x14ac:dyDescent="0.2">
      <c r="A93" s="2" t="s">
        <v>600</v>
      </c>
      <c r="D93" s="10">
        <v>24.029599999999999</v>
      </c>
    </row>
    <row r="94" spans="1:4" x14ac:dyDescent="0.2">
      <c r="A94" s="2" t="s">
        <v>601</v>
      </c>
      <c r="D94" s="10">
        <v>11.502599999999999</v>
      </c>
    </row>
    <row r="96" spans="1:4" x14ac:dyDescent="0.2">
      <c r="A96" s="4" t="s">
        <v>106</v>
      </c>
      <c r="D96" s="17" t="s">
        <v>319</v>
      </c>
    </row>
    <row r="97" spans="1:6" x14ac:dyDescent="0.2">
      <c r="A97" s="18" t="s">
        <v>602</v>
      </c>
      <c r="B97" s="19"/>
      <c r="C97" s="62" t="s">
        <v>603</v>
      </c>
      <c r="D97" s="63"/>
    </row>
    <row r="98" spans="1:6" x14ac:dyDescent="0.2">
      <c r="A98" s="64"/>
      <c r="B98" s="65"/>
      <c r="C98" s="20" t="s">
        <v>604</v>
      </c>
      <c r="D98" s="20" t="s">
        <v>605</v>
      </c>
    </row>
    <row r="99" spans="1:6" x14ac:dyDescent="0.2">
      <c r="A99" s="21" t="s">
        <v>599</v>
      </c>
      <c r="B99" s="22"/>
      <c r="C99" s="23">
        <v>0.31694198800000001</v>
      </c>
      <c r="D99" s="23">
        <v>0.29348986040000002</v>
      </c>
    </row>
    <row r="100" spans="1:6" x14ac:dyDescent="0.2">
      <c r="A100" s="21" t="s">
        <v>601</v>
      </c>
      <c r="B100" s="22"/>
      <c r="C100" s="23">
        <v>0.31694198800000001</v>
      </c>
      <c r="D100" s="23">
        <v>0.29348986040000002</v>
      </c>
    </row>
    <row r="101" spans="1:6" x14ac:dyDescent="0.2">
      <c r="A101" s="4"/>
      <c r="D101" s="17"/>
    </row>
    <row r="102" spans="1:6" x14ac:dyDescent="0.2">
      <c r="A102" s="4" t="s">
        <v>834</v>
      </c>
      <c r="D102" s="59">
        <v>4.4782094244482566</v>
      </c>
      <c r="E102" s="59" t="s">
        <v>835</v>
      </c>
    </row>
    <row r="104" spans="1:6" x14ac:dyDescent="0.2">
      <c r="A104" s="4" t="s">
        <v>836</v>
      </c>
      <c r="D104" s="66">
        <v>1</v>
      </c>
      <c r="F104" s="67"/>
    </row>
    <row r="105" spans="1:6" x14ac:dyDescent="0.2">
      <c r="A105" s="4" t="s">
        <v>837</v>
      </c>
    </row>
    <row r="106" spans="1:6" ht="15" x14ac:dyDescent="0.25">
      <c r="A106" s="68" t="s">
        <v>838</v>
      </c>
    </row>
  </sheetData>
  <mergeCells count="1">
    <mergeCell ref="A1:F1"/>
  </mergeCells>
  <hyperlinks>
    <hyperlink ref="A105" r:id="rId1" display="https://www.franklintempletonindia.com/investor/reports" xr:uid="{F7ADCFD8-E310-4FB7-AF84-B06C18485C71}"/>
    <hyperlink ref="A106" r:id="rId2" xr:uid="{C362E77E-7A4D-4FF4-B528-9230676226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EFDC-B599-4207-B8F3-1DDB90288FA6}">
  <dimension ref="A1:F197"/>
  <sheetViews>
    <sheetView showGridLines="0" workbookViewId="0">
      <selection sqref="A1:F1"/>
    </sheetView>
  </sheetViews>
  <sheetFormatPr defaultRowHeight="11.25" x14ac:dyDescent="0.2"/>
  <cols>
    <col min="1" max="1" width="62.28515625" style="2" customWidth="1"/>
    <col min="2" max="2" width="69.140625" style="2" bestFit="1" customWidth="1"/>
    <col min="3" max="3" width="11.7109375" style="2" bestFit="1" customWidth="1"/>
    <col min="4" max="4" width="9.85546875" style="2" bestFit="1" customWidth="1"/>
    <col min="5" max="5" width="23" style="59" bestFit="1" customWidth="1"/>
    <col min="6" max="6" width="15.5703125" style="1" bestFit="1" customWidth="1"/>
    <col min="7" max="16384" width="9.140625" style="2"/>
  </cols>
  <sheetData>
    <row r="1" spans="1:6" x14ac:dyDescent="0.2">
      <c r="A1" s="102" t="s">
        <v>839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840</v>
      </c>
      <c r="B8" s="52" t="s">
        <v>841</v>
      </c>
      <c r="C8" s="52" t="s">
        <v>764</v>
      </c>
      <c r="D8" s="27">
        <v>7900</v>
      </c>
      <c r="E8" s="13">
        <v>79555.686000000002</v>
      </c>
      <c r="F8" s="49">
        <f>E8/$E$151*100</f>
        <v>3.9877924049263922</v>
      </c>
    </row>
    <row r="9" spans="1:6" x14ac:dyDescent="0.2">
      <c r="A9" s="52" t="s">
        <v>842</v>
      </c>
      <c r="B9" s="52" t="s">
        <v>843</v>
      </c>
      <c r="C9" s="52" t="s">
        <v>783</v>
      </c>
      <c r="D9" s="27">
        <v>6740</v>
      </c>
      <c r="E9" s="13">
        <v>67400</v>
      </c>
      <c r="F9" s="49">
        <f t="shared" ref="F9:F72" si="0">E9/$E$151*100</f>
        <v>3.3784789196844938</v>
      </c>
    </row>
    <row r="10" spans="1:6" x14ac:dyDescent="0.2">
      <c r="A10" s="52" t="s">
        <v>844</v>
      </c>
      <c r="B10" s="52" t="s">
        <v>845</v>
      </c>
      <c r="C10" s="52" t="s">
        <v>764</v>
      </c>
      <c r="D10" s="27">
        <v>5500</v>
      </c>
      <c r="E10" s="13">
        <v>55169.29</v>
      </c>
      <c r="F10" s="49">
        <f t="shared" si="0"/>
        <v>2.7654047964237471</v>
      </c>
    </row>
    <row r="11" spans="1:6" x14ac:dyDescent="0.2">
      <c r="A11" s="52" t="s">
        <v>846</v>
      </c>
      <c r="B11" s="52" t="s">
        <v>847</v>
      </c>
      <c r="C11" s="52" t="s">
        <v>848</v>
      </c>
      <c r="D11" s="27">
        <v>5400</v>
      </c>
      <c r="E11" s="13">
        <v>54054.108</v>
      </c>
      <c r="F11" s="49">
        <f t="shared" si="0"/>
        <v>2.7095054065333675</v>
      </c>
    </row>
    <row r="12" spans="1:6" x14ac:dyDescent="0.2">
      <c r="A12" s="52" t="s">
        <v>849</v>
      </c>
      <c r="B12" s="52" t="s">
        <v>850</v>
      </c>
      <c r="C12" s="52" t="s">
        <v>706</v>
      </c>
      <c r="D12" s="27">
        <v>4400</v>
      </c>
      <c r="E12" s="13">
        <v>44074.8</v>
      </c>
      <c r="F12" s="49">
        <f t="shared" si="0"/>
        <v>2.209284609633682</v>
      </c>
    </row>
    <row r="13" spans="1:6" x14ac:dyDescent="0.2">
      <c r="A13" s="52" t="s">
        <v>851</v>
      </c>
      <c r="B13" s="52" t="s">
        <v>852</v>
      </c>
      <c r="C13" s="52" t="s">
        <v>764</v>
      </c>
      <c r="D13" s="27">
        <v>4000</v>
      </c>
      <c r="E13" s="13">
        <v>40083.160000000003</v>
      </c>
      <c r="F13" s="49">
        <f t="shared" si="0"/>
        <v>2.0092004613403671</v>
      </c>
    </row>
    <row r="14" spans="1:6" x14ac:dyDescent="0.2">
      <c r="A14" s="52" t="s">
        <v>853</v>
      </c>
      <c r="B14" s="52" t="s">
        <v>854</v>
      </c>
      <c r="C14" s="52" t="s">
        <v>764</v>
      </c>
      <c r="D14" s="27">
        <v>3750</v>
      </c>
      <c r="E14" s="13">
        <v>37801.087500000001</v>
      </c>
      <c r="F14" s="49">
        <f t="shared" si="0"/>
        <v>1.8948097516305495</v>
      </c>
    </row>
    <row r="15" spans="1:6" x14ac:dyDescent="0.2">
      <c r="A15" s="52" t="s">
        <v>855</v>
      </c>
      <c r="B15" s="52" t="s">
        <v>856</v>
      </c>
      <c r="C15" s="52" t="s">
        <v>709</v>
      </c>
      <c r="D15" s="27">
        <v>7500</v>
      </c>
      <c r="E15" s="13">
        <v>37419.472500000003</v>
      </c>
      <c r="F15" s="49">
        <f t="shared" si="0"/>
        <v>1.8756809944653361</v>
      </c>
    </row>
    <row r="16" spans="1:6" x14ac:dyDescent="0.2">
      <c r="A16" s="52" t="s">
        <v>857</v>
      </c>
      <c r="B16" s="52" t="s">
        <v>858</v>
      </c>
      <c r="C16" s="52" t="s">
        <v>697</v>
      </c>
      <c r="D16" s="27">
        <v>3650</v>
      </c>
      <c r="E16" s="13">
        <v>36392.836000000003</v>
      </c>
      <c r="F16" s="49">
        <f t="shared" si="0"/>
        <v>1.8242200185984419</v>
      </c>
    </row>
    <row r="17" spans="1:6" x14ac:dyDescent="0.2">
      <c r="A17" s="52" t="s">
        <v>859</v>
      </c>
      <c r="B17" s="52" t="s">
        <v>860</v>
      </c>
      <c r="C17" s="52" t="s">
        <v>694</v>
      </c>
      <c r="D17" s="27">
        <v>2400</v>
      </c>
      <c r="E17" s="13">
        <v>27442.608</v>
      </c>
      <c r="F17" s="49">
        <f t="shared" si="0"/>
        <v>1.3755826799579385</v>
      </c>
    </row>
    <row r="18" spans="1:6" x14ac:dyDescent="0.2">
      <c r="A18" s="52" t="s">
        <v>861</v>
      </c>
      <c r="B18" s="52" t="s">
        <v>862</v>
      </c>
      <c r="C18" s="52" t="s">
        <v>863</v>
      </c>
      <c r="D18" s="27">
        <v>2500</v>
      </c>
      <c r="E18" s="13">
        <v>24994.400000000001</v>
      </c>
      <c r="F18" s="49">
        <f t="shared" si="0"/>
        <v>1.2528642954029989</v>
      </c>
    </row>
    <row r="19" spans="1:6" x14ac:dyDescent="0.2">
      <c r="A19" s="52" t="s">
        <v>864</v>
      </c>
      <c r="B19" s="52" t="s">
        <v>865</v>
      </c>
      <c r="C19" s="52" t="s">
        <v>700</v>
      </c>
      <c r="D19" s="27">
        <v>2244</v>
      </c>
      <c r="E19" s="13">
        <v>22430.822039999999</v>
      </c>
      <c r="F19" s="49">
        <f t="shared" si="0"/>
        <v>1.1243628993076311</v>
      </c>
    </row>
    <row r="20" spans="1:6" x14ac:dyDescent="0.2">
      <c r="A20" s="52" t="s">
        <v>866</v>
      </c>
      <c r="B20" s="52" t="s">
        <v>867</v>
      </c>
      <c r="C20" s="52" t="s">
        <v>848</v>
      </c>
      <c r="D20" s="27">
        <v>2000</v>
      </c>
      <c r="E20" s="13">
        <v>20618.96</v>
      </c>
      <c r="F20" s="49">
        <f t="shared" si="0"/>
        <v>1.0335418650714805</v>
      </c>
    </row>
    <row r="21" spans="1:6" x14ac:dyDescent="0.2">
      <c r="A21" s="52" t="s">
        <v>868</v>
      </c>
      <c r="B21" s="52" t="s">
        <v>869</v>
      </c>
      <c r="C21" s="52" t="s">
        <v>700</v>
      </c>
      <c r="D21" s="27">
        <v>2030</v>
      </c>
      <c r="E21" s="13">
        <v>20271.782999999999</v>
      </c>
      <c r="F21" s="49">
        <f t="shared" si="0"/>
        <v>1.0161393402065058</v>
      </c>
    </row>
    <row r="22" spans="1:6" x14ac:dyDescent="0.2">
      <c r="A22" s="52" t="s">
        <v>870</v>
      </c>
      <c r="B22" s="52" t="s">
        <v>871</v>
      </c>
      <c r="C22" s="52" t="s">
        <v>688</v>
      </c>
      <c r="D22" s="27">
        <v>1950</v>
      </c>
      <c r="E22" s="13">
        <v>20176.942500000001</v>
      </c>
      <c r="F22" s="49">
        <f t="shared" si="0"/>
        <v>1.0113853842720499</v>
      </c>
    </row>
    <row r="23" spans="1:6" x14ac:dyDescent="0.2">
      <c r="A23" s="52" t="s">
        <v>872</v>
      </c>
      <c r="B23" s="52" t="s">
        <v>873</v>
      </c>
      <c r="C23" s="52" t="s">
        <v>697</v>
      </c>
      <c r="D23" s="27">
        <v>2000</v>
      </c>
      <c r="E23" s="13">
        <v>19856.419999999998</v>
      </c>
      <c r="F23" s="49">
        <f t="shared" si="0"/>
        <v>0.99531893754305023</v>
      </c>
    </row>
    <row r="24" spans="1:6" x14ac:dyDescent="0.2">
      <c r="A24" s="52" t="s">
        <v>874</v>
      </c>
      <c r="B24" s="52" t="s">
        <v>875</v>
      </c>
      <c r="C24" s="52" t="s">
        <v>726</v>
      </c>
      <c r="D24" s="27">
        <v>2000</v>
      </c>
      <c r="E24" s="13">
        <v>19370.900000000001</v>
      </c>
      <c r="F24" s="49">
        <f t="shared" si="0"/>
        <v>0.970981859129323</v>
      </c>
    </row>
    <row r="25" spans="1:6" x14ac:dyDescent="0.2">
      <c r="A25" s="52" t="s">
        <v>876</v>
      </c>
      <c r="B25" s="52" t="s">
        <v>877</v>
      </c>
      <c r="C25" s="52" t="s">
        <v>726</v>
      </c>
      <c r="D25" s="27">
        <v>2000</v>
      </c>
      <c r="E25" s="13">
        <v>18532.599999999999</v>
      </c>
      <c r="F25" s="49">
        <f t="shared" si="0"/>
        <v>0.92896140099324709</v>
      </c>
    </row>
    <row r="26" spans="1:6" x14ac:dyDescent="0.2">
      <c r="A26" s="52" t="s">
        <v>878</v>
      </c>
      <c r="B26" s="52" t="s">
        <v>879</v>
      </c>
      <c r="C26" s="52" t="s">
        <v>697</v>
      </c>
      <c r="D26" s="27">
        <v>1500</v>
      </c>
      <c r="E26" s="13">
        <v>14922.15</v>
      </c>
      <c r="F26" s="49">
        <f t="shared" si="0"/>
        <v>0.74798470640014803</v>
      </c>
    </row>
    <row r="27" spans="1:6" x14ac:dyDescent="0.2">
      <c r="A27" s="52" t="s">
        <v>880</v>
      </c>
      <c r="B27" s="52" t="s">
        <v>881</v>
      </c>
      <c r="C27" s="52" t="s">
        <v>694</v>
      </c>
      <c r="D27" s="27">
        <v>1425</v>
      </c>
      <c r="E27" s="13">
        <v>14254.545749999999</v>
      </c>
      <c r="F27" s="49">
        <f t="shared" si="0"/>
        <v>0.7145205092886231</v>
      </c>
    </row>
    <row r="28" spans="1:6" x14ac:dyDescent="0.2">
      <c r="A28" s="52" t="s">
        <v>882</v>
      </c>
      <c r="B28" s="52" t="s">
        <v>883</v>
      </c>
      <c r="C28" s="52" t="s">
        <v>688</v>
      </c>
      <c r="D28" s="27">
        <v>1350</v>
      </c>
      <c r="E28" s="13">
        <v>13540.959000000001</v>
      </c>
      <c r="F28" s="49">
        <f t="shared" si="0"/>
        <v>0.6787514025788135</v>
      </c>
    </row>
    <row r="29" spans="1:6" x14ac:dyDescent="0.2">
      <c r="A29" s="52" t="s">
        <v>884</v>
      </c>
      <c r="B29" s="52" t="s">
        <v>885</v>
      </c>
      <c r="C29" s="52" t="s">
        <v>832</v>
      </c>
      <c r="D29" s="27">
        <v>26</v>
      </c>
      <c r="E29" s="13">
        <v>13227.343999999999</v>
      </c>
      <c r="F29" s="49">
        <f t="shared" si="0"/>
        <v>0.66303119981328151</v>
      </c>
    </row>
    <row r="30" spans="1:6" x14ac:dyDescent="0.2">
      <c r="A30" s="52" t="s">
        <v>886</v>
      </c>
      <c r="B30" s="52" t="s">
        <v>887</v>
      </c>
      <c r="C30" s="52" t="s">
        <v>706</v>
      </c>
      <c r="D30" s="27">
        <v>1230</v>
      </c>
      <c r="E30" s="13">
        <v>12755.1615</v>
      </c>
      <c r="F30" s="49">
        <f t="shared" si="0"/>
        <v>0.63936267425699189</v>
      </c>
    </row>
    <row r="31" spans="1:6" x14ac:dyDescent="0.2">
      <c r="A31" s="52" t="s">
        <v>888</v>
      </c>
      <c r="B31" s="52" t="s">
        <v>889</v>
      </c>
      <c r="C31" s="52" t="s">
        <v>832</v>
      </c>
      <c r="D31" s="27">
        <v>1600</v>
      </c>
      <c r="E31" s="13">
        <v>11868.24</v>
      </c>
      <c r="F31" s="49">
        <f t="shared" si="0"/>
        <v>0.59490502453644367</v>
      </c>
    </row>
    <row r="32" spans="1:6" x14ac:dyDescent="0.2">
      <c r="A32" s="52" t="s">
        <v>890</v>
      </c>
      <c r="B32" s="52" t="s">
        <v>891</v>
      </c>
      <c r="C32" s="52" t="s">
        <v>892</v>
      </c>
      <c r="D32" s="27">
        <v>1100</v>
      </c>
      <c r="E32" s="13">
        <v>11002.347400000001</v>
      </c>
      <c r="F32" s="49">
        <f t="shared" si="0"/>
        <v>0.55150146525141697</v>
      </c>
    </row>
    <row r="33" spans="1:6" x14ac:dyDescent="0.2">
      <c r="A33" s="52" t="s">
        <v>893</v>
      </c>
      <c r="B33" s="52" t="s">
        <v>894</v>
      </c>
      <c r="C33" s="52" t="s">
        <v>685</v>
      </c>
      <c r="D33" s="27">
        <v>1100</v>
      </c>
      <c r="E33" s="13">
        <v>10919.953</v>
      </c>
      <c r="F33" s="49">
        <f t="shared" si="0"/>
        <v>0.54737138003628261</v>
      </c>
    </row>
    <row r="34" spans="1:6" x14ac:dyDescent="0.2">
      <c r="A34" s="52" t="s">
        <v>895</v>
      </c>
      <c r="B34" s="52" t="s">
        <v>896</v>
      </c>
      <c r="C34" s="52" t="s">
        <v>706</v>
      </c>
      <c r="D34" s="27">
        <v>1103</v>
      </c>
      <c r="E34" s="13">
        <v>10816.757009999999</v>
      </c>
      <c r="F34" s="49">
        <f t="shared" si="0"/>
        <v>0.54219859848122365</v>
      </c>
    </row>
    <row r="35" spans="1:6" x14ac:dyDescent="0.2">
      <c r="A35" s="52" t="s">
        <v>897</v>
      </c>
      <c r="B35" s="52" t="s">
        <v>898</v>
      </c>
      <c r="C35" s="52" t="s">
        <v>899</v>
      </c>
      <c r="D35" s="27">
        <v>1070</v>
      </c>
      <c r="E35" s="13">
        <v>10740.456700000001</v>
      </c>
      <c r="F35" s="49">
        <f t="shared" si="0"/>
        <v>0.53837398440258299</v>
      </c>
    </row>
    <row r="36" spans="1:6" x14ac:dyDescent="0.2">
      <c r="A36" s="52" t="s">
        <v>900</v>
      </c>
      <c r="B36" s="52" t="s">
        <v>901</v>
      </c>
      <c r="C36" s="52" t="s">
        <v>892</v>
      </c>
      <c r="D36" s="27">
        <v>1050</v>
      </c>
      <c r="E36" s="13">
        <v>10605.294</v>
      </c>
      <c r="F36" s="49">
        <f t="shared" si="0"/>
        <v>0.53159884593555562</v>
      </c>
    </row>
    <row r="37" spans="1:6" x14ac:dyDescent="0.2">
      <c r="A37" s="52" t="s">
        <v>762</v>
      </c>
      <c r="B37" s="52" t="s">
        <v>763</v>
      </c>
      <c r="C37" s="52" t="s">
        <v>764</v>
      </c>
      <c r="D37" s="27">
        <v>1050</v>
      </c>
      <c r="E37" s="13">
        <v>10535.637000000001</v>
      </c>
      <c r="F37" s="49">
        <f t="shared" si="0"/>
        <v>0.52810723308528174</v>
      </c>
    </row>
    <row r="38" spans="1:6" x14ac:dyDescent="0.2">
      <c r="A38" s="52" t="s">
        <v>902</v>
      </c>
      <c r="B38" s="52" t="s">
        <v>903</v>
      </c>
      <c r="C38" s="52" t="s">
        <v>706</v>
      </c>
      <c r="D38" s="27">
        <v>1000</v>
      </c>
      <c r="E38" s="13">
        <v>10296.6</v>
      </c>
      <c r="F38" s="49">
        <f t="shared" si="0"/>
        <v>0.51612531223180069</v>
      </c>
    </row>
    <row r="39" spans="1:6" x14ac:dyDescent="0.2">
      <c r="A39" s="52" t="s">
        <v>904</v>
      </c>
      <c r="B39" s="52" t="s">
        <v>905</v>
      </c>
      <c r="C39" s="52" t="s">
        <v>706</v>
      </c>
      <c r="D39" s="27">
        <v>1000</v>
      </c>
      <c r="E39" s="13">
        <v>10296.6</v>
      </c>
      <c r="F39" s="49">
        <f t="shared" si="0"/>
        <v>0.51612531223180069</v>
      </c>
    </row>
    <row r="40" spans="1:6" x14ac:dyDescent="0.2">
      <c r="A40" s="52" t="s">
        <v>906</v>
      </c>
      <c r="B40" s="52" t="s">
        <v>907</v>
      </c>
      <c r="C40" s="52" t="s">
        <v>832</v>
      </c>
      <c r="D40" s="27">
        <v>1000</v>
      </c>
      <c r="E40" s="13">
        <v>10002.879999999999</v>
      </c>
      <c r="F40" s="49">
        <f t="shared" si="0"/>
        <v>0.5014023622571756</v>
      </c>
    </row>
    <row r="41" spans="1:6" x14ac:dyDescent="0.2">
      <c r="A41" s="52" t="s">
        <v>908</v>
      </c>
      <c r="B41" s="52" t="s">
        <v>909</v>
      </c>
      <c r="C41" s="52" t="s">
        <v>910</v>
      </c>
      <c r="D41" s="27">
        <v>1000</v>
      </c>
      <c r="E41" s="13">
        <v>9935.18</v>
      </c>
      <c r="F41" s="49">
        <f t="shared" si="0"/>
        <v>0.49800884559749248</v>
      </c>
    </row>
    <row r="42" spans="1:6" x14ac:dyDescent="0.2">
      <c r="A42" s="52" t="s">
        <v>911</v>
      </c>
      <c r="B42" s="52" t="s">
        <v>912</v>
      </c>
      <c r="C42" s="52" t="s">
        <v>910</v>
      </c>
      <c r="D42" s="27">
        <v>1000</v>
      </c>
      <c r="E42" s="13">
        <v>9923.5400000000009</v>
      </c>
      <c r="F42" s="49">
        <f t="shared" si="0"/>
        <v>0.49742538128554703</v>
      </c>
    </row>
    <row r="43" spans="1:6" x14ac:dyDescent="0.2">
      <c r="A43" s="52" t="s">
        <v>913</v>
      </c>
      <c r="B43" s="52" t="s">
        <v>914</v>
      </c>
      <c r="C43" s="52" t="s">
        <v>726</v>
      </c>
      <c r="D43" s="27">
        <v>1000</v>
      </c>
      <c r="E43" s="13">
        <v>9690.41</v>
      </c>
      <c r="F43" s="49">
        <f t="shared" si="0"/>
        <v>0.48573955353263826</v>
      </c>
    </row>
    <row r="44" spans="1:6" x14ac:dyDescent="0.2">
      <c r="A44" s="52" t="s">
        <v>915</v>
      </c>
      <c r="B44" s="52" t="s">
        <v>916</v>
      </c>
      <c r="C44" s="52" t="s">
        <v>726</v>
      </c>
      <c r="D44" s="27">
        <v>1000</v>
      </c>
      <c r="E44" s="13">
        <v>9590.65</v>
      </c>
      <c r="F44" s="49">
        <f t="shared" si="0"/>
        <v>0.4807390037251052</v>
      </c>
    </row>
    <row r="45" spans="1:6" x14ac:dyDescent="0.2">
      <c r="A45" s="52" t="s">
        <v>917</v>
      </c>
      <c r="B45" s="52" t="s">
        <v>918</v>
      </c>
      <c r="C45" s="52" t="s">
        <v>688</v>
      </c>
      <c r="D45" s="27">
        <v>950</v>
      </c>
      <c r="E45" s="13">
        <v>9509.0136000000002</v>
      </c>
      <c r="F45" s="49">
        <f t="shared" si="0"/>
        <v>0.47664691386636743</v>
      </c>
    </row>
    <row r="46" spans="1:6" x14ac:dyDescent="0.2">
      <c r="A46" s="52" t="s">
        <v>747</v>
      </c>
      <c r="B46" s="52" t="s">
        <v>748</v>
      </c>
      <c r="C46" s="52" t="s">
        <v>700</v>
      </c>
      <c r="D46" s="27">
        <v>938</v>
      </c>
      <c r="E46" s="13">
        <v>9359.3733800000009</v>
      </c>
      <c r="F46" s="49">
        <f t="shared" si="0"/>
        <v>0.46914607812739195</v>
      </c>
    </row>
    <row r="47" spans="1:6" x14ac:dyDescent="0.2">
      <c r="A47" s="52" t="s">
        <v>919</v>
      </c>
      <c r="B47" s="52" t="s">
        <v>920</v>
      </c>
      <c r="C47" s="52" t="s">
        <v>709</v>
      </c>
      <c r="D47" s="27">
        <v>840</v>
      </c>
      <c r="E47" s="13">
        <v>8697.1247999999996</v>
      </c>
      <c r="F47" s="49">
        <f t="shared" si="0"/>
        <v>0.43595033825912788</v>
      </c>
    </row>
    <row r="48" spans="1:6" x14ac:dyDescent="0.2">
      <c r="A48" s="52" t="s">
        <v>921</v>
      </c>
      <c r="B48" s="52" t="s">
        <v>922</v>
      </c>
      <c r="C48" s="52" t="s">
        <v>832</v>
      </c>
      <c r="D48" s="27">
        <v>840</v>
      </c>
      <c r="E48" s="13">
        <v>8420.4204000000009</v>
      </c>
      <c r="F48" s="49">
        <f t="shared" si="0"/>
        <v>0.42208030884690328</v>
      </c>
    </row>
    <row r="49" spans="1:6" x14ac:dyDescent="0.2">
      <c r="A49" s="52" t="s">
        <v>923</v>
      </c>
      <c r="B49" s="52" t="s">
        <v>924</v>
      </c>
      <c r="C49" s="52" t="s">
        <v>700</v>
      </c>
      <c r="D49" s="27">
        <v>1611</v>
      </c>
      <c r="E49" s="13">
        <v>8075.1374999999998</v>
      </c>
      <c r="F49" s="49">
        <f t="shared" si="0"/>
        <v>0.40477272725969954</v>
      </c>
    </row>
    <row r="50" spans="1:6" x14ac:dyDescent="0.2">
      <c r="A50" s="52" t="s">
        <v>925</v>
      </c>
      <c r="B50" s="52" t="s">
        <v>926</v>
      </c>
      <c r="C50" s="52" t="s">
        <v>832</v>
      </c>
      <c r="D50" s="27">
        <v>800</v>
      </c>
      <c r="E50" s="13">
        <v>8019.4480000000003</v>
      </c>
      <c r="F50" s="49">
        <f t="shared" si="0"/>
        <v>0.4019812465208602</v>
      </c>
    </row>
    <row r="51" spans="1:6" x14ac:dyDescent="0.2">
      <c r="A51" s="52" t="s">
        <v>927</v>
      </c>
      <c r="B51" s="52" t="s">
        <v>928</v>
      </c>
      <c r="C51" s="52" t="s">
        <v>832</v>
      </c>
      <c r="D51" s="27">
        <v>800</v>
      </c>
      <c r="E51" s="13">
        <v>8014.8639999999996</v>
      </c>
      <c r="F51" s="49">
        <f t="shared" si="0"/>
        <v>0.40175146985368165</v>
      </c>
    </row>
    <row r="52" spans="1:6" x14ac:dyDescent="0.2">
      <c r="A52" s="52" t="s">
        <v>929</v>
      </c>
      <c r="B52" s="52" t="s">
        <v>930</v>
      </c>
      <c r="C52" s="52" t="s">
        <v>892</v>
      </c>
      <c r="D52" s="27">
        <v>750</v>
      </c>
      <c r="E52" s="13">
        <v>7589.91</v>
      </c>
      <c r="F52" s="49">
        <f t="shared" si="0"/>
        <v>0.38045031064247092</v>
      </c>
    </row>
    <row r="53" spans="1:6" x14ac:dyDescent="0.2">
      <c r="A53" s="52" t="s">
        <v>931</v>
      </c>
      <c r="B53" s="52" t="s">
        <v>932</v>
      </c>
      <c r="C53" s="52" t="s">
        <v>910</v>
      </c>
      <c r="D53" s="27">
        <v>750</v>
      </c>
      <c r="E53" s="13">
        <v>7426.3725000000004</v>
      </c>
      <c r="F53" s="49">
        <f t="shared" si="0"/>
        <v>0.37225286262573648</v>
      </c>
    </row>
    <row r="54" spans="1:6" x14ac:dyDescent="0.2">
      <c r="A54" s="52" t="s">
        <v>933</v>
      </c>
      <c r="B54" s="52" t="s">
        <v>934</v>
      </c>
      <c r="C54" s="52" t="s">
        <v>726</v>
      </c>
      <c r="D54" s="27">
        <v>750</v>
      </c>
      <c r="E54" s="13">
        <v>7347.9825000000001</v>
      </c>
      <c r="F54" s="49">
        <f t="shared" si="0"/>
        <v>0.3683235011641034</v>
      </c>
    </row>
    <row r="55" spans="1:6" x14ac:dyDescent="0.2">
      <c r="A55" s="52" t="s">
        <v>935</v>
      </c>
      <c r="B55" s="52" t="s">
        <v>936</v>
      </c>
      <c r="C55" s="52" t="s">
        <v>726</v>
      </c>
      <c r="D55" s="27">
        <v>700</v>
      </c>
      <c r="E55" s="13">
        <v>6930.1610000000001</v>
      </c>
      <c r="F55" s="49">
        <f t="shared" si="0"/>
        <v>0.3473798642213593</v>
      </c>
    </row>
    <row r="56" spans="1:6" x14ac:dyDescent="0.2">
      <c r="A56" s="52" t="s">
        <v>937</v>
      </c>
      <c r="B56" s="52" t="s">
        <v>938</v>
      </c>
      <c r="C56" s="52" t="s">
        <v>726</v>
      </c>
      <c r="D56" s="27">
        <v>700</v>
      </c>
      <c r="E56" s="13">
        <v>6830.9359999999997</v>
      </c>
      <c r="F56" s="49">
        <f t="shared" si="0"/>
        <v>0.34240613171682371</v>
      </c>
    </row>
    <row r="57" spans="1:6" x14ac:dyDescent="0.2">
      <c r="A57" s="52" t="s">
        <v>939</v>
      </c>
      <c r="B57" s="52" t="s">
        <v>940</v>
      </c>
      <c r="C57" s="52" t="s">
        <v>706</v>
      </c>
      <c r="D57" s="27">
        <v>650</v>
      </c>
      <c r="E57" s="13">
        <v>6465.0235000000002</v>
      </c>
      <c r="F57" s="49">
        <f t="shared" si="0"/>
        <v>0.32406447492603663</v>
      </c>
    </row>
    <row r="58" spans="1:6" x14ac:dyDescent="0.2">
      <c r="A58" s="52" t="s">
        <v>941</v>
      </c>
      <c r="B58" s="52" t="s">
        <v>942</v>
      </c>
      <c r="C58" s="52" t="s">
        <v>706</v>
      </c>
      <c r="D58" s="27">
        <v>600</v>
      </c>
      <c r="E58" s="13">
        <v>6062.8919999999998</v>
      </c>
      <c r="F58" s="49">
        <f t="shared" si="0"/>
        <v>0.30390731178521901</v>
      </c>
    </row>
    <row r="59" spans="1:6" x14ac:dyDescent="0.2">
      <c r="A59" s="52" t="s">
        <v>943</v>
      </c>
      <c r="B59" s="52" t="s">
        <v>944</v>
      </c>
      <c r="C59" s="52" t="s">
        <v>899</v>
      </c>
      <c r="D59" s="27">
        <v>500</v>
      </c>
      <c r="E59" s="13">
        <v>5922.0249999999996</v>
      </c>
      <c r="F59" s="49">
        <f t="shared" si="0"/>
        <v>0.29684624071727839</v>
      </c>
    </row>
    <row r="60" spans="1:6" x14ac:dyDescent="0.2">
      <c r="A60" s="52" t="s">
        <v>945</v>
      </c>
      <c r="B60" s="52" t="s">
        <v>946</v>
      </c>
      <c r="C60" s="52" t="s">
        <v>863</v>
      </c>
      <c r="D60" s="27">
        <v>550</v>
      </c>
      <c r="E60" s="13">
        <v>5484.0884999999998</v>
      </c>
      <c r="F60" s="49">
        <f t="shared" si="0"/>
        <v>0.27489432330762847</v>
      </c>
    </row>
    <row r="61" spans="1:6" x14ac:dyDescent="0.2">
      <c r="A61" s="52" t="s">
        <v>947</v>
      </c>
      <c r="B61" s="52" t="s">
        <v>948</v>
      </c>
      <c r="C61" s="52" t="s">
        <v>694</v>
      </c>
      <c r="D61" s="27">
        <v>550</v>
      </c>
      <c r="E61" s="13">
        <v>5293.7169999999996</v>
      </c>
      <c r="F61" s="49">
        <f t="shared" si="0"/>
        <v>0.2653517995738196</v>
      </c>
    </row>
    <row r="62" spans="1:6" x14ac:dyDescent="0.2">
      <c r="A62" s="52" t="s">
        <v>949</v>
      </c>
      <c r="B62" s="52" t="s">
        <v>950</v>
      </c>
      <c r="C62" s="52" t="s">
        <v>726</v>
      </c>
      <c r="D62" s="27">
        <v>550</v>
      </c>
      <c r="E62" s="13">
        <v>5278.6085000000003</v>
      </c>
      <c r="F62" s="49">
        <f t="shared" si="0"/>
        <v>0.26459447392459035</v>
      </c>
    </row>
    <row r="63" spans="1:6" x14ac:dyDescent="0.2">
      <c r="A63" s="52" t="s">
        <v>951</v>
      </c>
      <c r="B63" s="52" t="s">
        <v>952</v>
      </c>
      <c r="C63" s="52" t="s">
        <v>953</v>
      </c>
      <c r="D63" s="27">
        <v>500</v>
      </c>
      <c r="E63" s="13">
        <v>5105.71</v>
      </c>
      <c r="F63" s="49">
        <f t="shared" si="0"/>
        <v>0.25592779829409967</v>
      </c>
    </row>
    <row r="64" spans="1:6" x14ac:dyDescent="0.2">
      <c r="A64" s="52" t="s">
        <v>954</v>
      </c>
      <c r="B64" s="52" t="s">
        <v>955</v>
      </c>
      <c r="C64" s="52" t="s">
        <v>706</v>
      </c>
      <c r="D64" s="27">
        <v>500</v>
      </c>
      <c r="E64" s="13">
        <v>5058.2550000000001</v>
      </c>
      <c r="F64" s="49">
        <f t="shared" si="0"/>
        <v>0.25354907845532182</v>
      </c>
    </row>
    <row r="65" spans="1:6" x14ac:dyDescent="0.2">
      <c r="A65" s="52" t="s">
        <v>956</v>
      </c>
      <c r="B65" s="52" t="s">
        <v>957</v>
      </c>
      <c r="C65" s="52" t="s">
        <v>740</v>
      </c>
      <c r="D65" s="27">
        <v>500</v>
      </c>
      <c r="E65" s="13">
        <v>5013.1099999999997</v>
      </c>
      <c r="F65" s="49">
        <f t="shared" si="0"/>
        <v>0.25128614921453313</v>
      </c>
    </row>
    <row r="66" spans="1:6" x14ac:dyDescent="0.2">
      <c r="A66" s="52" t="s">
        <v>958</v>
      </c>
      <c r="B66" s="52" t="s">
        <v>957</v>
      </c>
      <c r="C66" s="52" t="s">
        <v>740</v>
      </c>
      <c r="D66" s="27">
        <v>500</v>
      </c>
      <c r="E66" s="13">
        <v>4990.96</v>
      </c>
      <c r="F66" s="49">
        <f t="shared" si="0"/>
        <v>0.25017586274463682</v>
      </c>
    </row>
    <row r="67" spans="1:6" x14ac:dyDescent="0.2">
      <c r="A67" s="52" t="s">
        <v>768</v>
      </c>
      <c r="B67" s="52" t="s">
        <v>769</v>
      </c>
      <c r="C67" s="52" t="s">
        <v>685</v>
      </c>
      <c r="D67" s="27">
        <v>360</v>
      </c>
      <c r="E67" s="13">
        <v>3724.902</v>
      </c>
      <c r="F67" s="49">
        <f t="shared" si="0"/>
        <v>0.1867136926541634</v>
      </c>
    </row>
    <row r="68" spans="1:6" x14ac:dyDescent="0.2">
      <c r="A68" s="52" t="s">
        <v>959</v>
      </c>
      <c r="B68" s="52" t="s">
        <v>960</v>
      </c>
      <c r="C68" s="52" t="s">
        <v>832</v>
      </c>
      <c r="D68" s="27">
        <v>500</v>
      </c>
      <c r="E68" s="13">
        <v>3704.7550000000001</v>
      </c>
      <c r="F68" s="49">
        <f t="shared" si="0"/>
        <v>0.18570380816165769</v>
      </c>
    </row>
    <row r="69" spans="1:6" x14ac:dyDescent="0.2">
      <c r="A69" s="52" t="s">
        <v>961</v>
      </c>
      <c r="B69" s="52" t="s">
        <v>962</v>
      </c>
      <c r="C69" s="52" t="s">
        <v>688</v>
      </c>
      <c r="D69" s="27">
        <v>350</v>
      </c>
      <c r="E69" s="13">
        <v>3507.6765500000001</v>
      </c>
      <c r="F69" s="49">
        <f t="shared" si="0"/>
        <v>0.17582509319357026</v>
      </c>
    </row>
    <row r="70" spans="1:6" x14ac:dyDescent="0.2">
      <c r="A70" s="52" t="s">
        <v>963</v>
      </c>
      <c r="B70" s="52" t="s">
        <v>964</v>
      </c>
      <c r="C70" s="52" t="s">
        <v>688</v>
      </c>
      <c r="D70" s="27">
        <v>350</v>
      </c>
      <c r="E70" s="13">
        <v>3504.6517334999999</v>
      </c>
      <c r="F70" s="49">
        <f t="shared" si="0"/>
        <v>0.17567347184666868</v>
      </c>
    </row>
    <row r="71" spans="1:6" x14ac:dyDescent="0.2">
      <c r="A71" s="52" t="s">
        <v>965</v>
      </c>
      <c r="B71" s="52" t="s">
        <v>966</v>
      </c>
      <c r="C71" s="52" t="s">
        <v>706</v>
      </c>
      <c r="D71" s="27">
        <v>300</v>
      </c>
      <c r="E71" s="13">
        <v>3012.7289999999998</v>
      </c>
      <c r="F71" s="49">
        <f t="shared" si="0"/>
        <v>0.15101545129409713</v>
      </c>
    </row>
    <row r="72" spans="1:6" x14ac:dyDescent="0.2">
      <c r="A72" s="52" t="s">
        <v>967</v>
      </c>
      <c r="B72" s="52" t="s">
        <v>968</v>
      </c>
      <c r="C72" s="52" t="s">
        <v>694</v>
      </c>
      <c r="D72" s="27">
        <v>300000</v>
      </c>
      <c r="E72" s="13">
        <v>2901.828</v>
      </c>
      <c r="F72" s="49">
        <f t="shared" si="0"/>
        <v>0.14545644994881626</v>
      </c>
    </row>
    <row r="73" spans="1:6" x14ac:dyDescent="0.2">
      <c r="A73" s="52" t="s">
        <v>969</v>
      </c>
      <c r="B73" s="52" t="s">
        <v>970</v>
      </c>
      <c r="C73" s="52" t="s">
        <v>709</v>
      </c>
      <c r="D73" s="27">
        <v>280</v>
      </c>
      <c r="E73" s="13">
        <v>2787.5623999999998</v>
      </c>
      <c r="F73" s="49">
        <f t="shared" ref="F73:F91" si="1">E73/$E$151*100</f>
        <v>0.13972879533687116</v>
      </c>
    </row>
    <row r="74" spans="1:6" x14ac:dyDescent="0.2">
      <c r="A74" s="52" t="s">
        <v>745</v>
      </c>
      <c r="B74" s="52" t="s">
        <v>746</v>
      </c>
      <c r="C74" s="52" t="s">
        <v>688</v>
      </c>
      <c r="D74" s="27">
        <v>250</v>
      </c>
      <c r="E74" s="13">
        <v>2545.395</v>
      </c>
      <c r="F74" s="49">
        <f t="shared" si="1"/>
        <v>0.12758996067908476</v>
      </c>
    </row>
    <row r="75" spans="1:6" x14ac:dyDescent="0.2">
      <c r="A75" s="52" t="s">
        <v>971</v>
      </c>
      <c r="B75" s="52" t="s">
        <v>972</v>
      </c>
      <c r="C75" s="52" t="s">
        <v>706</v>
      </c>
      <c r="D75" s="27">
        <v>250</v>
      </c>
      <c r="E75" s="13">
        <v>2522.9250000000002</v>
      </c>
      <c r="F75" s="49">
        <f t="shared" si="1"/>
        <v>0.12646363395318996</v>
      </c>
    </row>
    <row r="76" spans="1:6" x14ac:dyDescent="0.2">
      <c r="A76" s="52" t="s">
        <v>973</v>
      </c>
      <c r="B76" s="52" t="s">
        <v>974</v>
      </c>
      <c r="C76" s="52" t="s">
        <v>764</v>
      </c>
      <c r="D76" s="27">
        <v>250</v>
      </c>
      <c r="E76" s="13">
        <v>2501.3249999999998</v>
      </c>
      <c r="F76" s="49">
        <f t="shared" si="1"/>
        <v>0.12538091667329104</v>
      </c>
    </row>
    <row r="77" spans="1:6" x14ac:dyDescent="0.2">
      <c r="A77" s="52" t="s">
        <v>975</v>
      </c>
      <c r="B77" s="52" t="s">
        <v>976</v>
      </c>
      <c r="C77" s="52" t="s">
        <v>726</v>
      </c>
      <c r="D77" s="27">
        <v>250</v>
      </c>
      <c r="E77" s="13">
        <v>2496.2474999999999</v>
      </c>
      <c r="F77" s="49">
        <f t="shared" si="1"/>
        <v>0.12512640292381483</v>
      </c>
    </row>
    <row r="78" spans="1:6" x14ac:dyDescent="0.2">
      <c r="A78" s="52" t="s">
        <v>977</v>
      </c>
      <c r="B78" s="52" t="s">
        <v>978</v>
      </c>
      <c r="C78" s="52" t="s">
        <v>863</v>
      </c>
      <c r="D78" s="27">
        <v>250</v>
      </c>
      <c r="E78" s="13">
        <v>2489.5875000000001</v>
      </c>
      <c r="F78" s="49">
        <f t="shared" si="1"/>
        <v>0.12479256509584601</v>
      </c>
    </row>
    <row r="79" spans="1:6" x14ac:dyDescent="0.2">
      <c r="A79" s="52" t="s">
        <v>979</v>
      </c>
      <c r="B79" s="52" t="s">
        <v>980</v>
      </c>
      <c r="C79" s="52" t="s">
        <v>697</v>
      </c>
      <c r="D79" s="27">
        <v>241</v>
      </c>
      <c r="E79" s="13">
        <v>2410.8314500000001</v>
      </c>
      <c r="F79" s="49">
        <f t="shared" si="1"/>
        <v>0.12084485508512467</v>
      </c>
    </row>
    <row r="80" spans="1:6" x14ac:dyDescent="0.2">
      <c r="A80" s="52" t="s">
        <v>981</v>
      </c>
      <c r="B80" s="52" t="s">
        <v>982</v>
      </c>
      <c r="C80" s="52" t="s">
        <v>810</v>
      </c>
      <c r="D80" s="27">
        <v>200</v>
      </c>
      <c r="E80" s="13">
        <v>1980.722</v>
      </c>
      <c r="F80" s="49">
        <f t="shared" si="1"/>
        <v>9.9285274818328051E-2</v>
      </c>
    </row>
    <row r="81" spans="1:6" x14ac:dyDescent="0.2">
      <c r="A81" s="52" t="s">
        <v>983</v>
      </c>
      <c r="B81" s="52" t="s">
        <v>984</v>
      </c>
      <c r="C81" s="52" t="s">
        <v>694</v>
      </c>
      <c r="D81" s="27">
        <v>200</v>
      </c>
      <c r="E81" s="13">
        <v>1944.0319999999999</v>
      </c>
      <c r="F81" s="49">
        <f t="shared" si="1"/>
        <v>9.7446159216499795E-2</v>
      </c>
    </row>
    <row r="82" spans="1:6" x14ac:dyDescent="0.2">
      <c r="A82" s="52" t="s">
        <v>985</v>
      </c>
      <c r="B82" s="52" t="s">
        <v>986</v>
      </c>
      <c r="C82" s="52" t="s">
        <v>706</v>
      </c>
      <c r="D82" s="27">
        <v>192500</v>
      </c>
      <c r="E82" s="13">
        <v>1909.6596750000001</v>
      </c>
      <c r="F82" s="49">
        <f t="shared" si="1"/>
        <v>9.5723218928175702E-2</v>
      </c>
    </row>
    <row r="83" spans="1:6" x14ac:dyDescent="0.2">
      <c r="A83" s="52" t="s">
        <v>987</v>
      </c>
      <c r="B83" s="52" t="s">
        <v>988</v>
      </c>
      <c r="C83" s="52" t="s">
        <v>810</v>
      </c>
      <c r="D83" s="27">
        <v>150</v>
      </c>
      <c r="E83" s="13">
        <v>1536.771</v>
      </c>
      <c r="F83" s="49">
        <f t="shared" si="1"/>
        <v>7.7031875784606227E-2</v>
      </c>
    </row>
    <row r="84" spans="1:6" x14ac:dyDescent="0.2">
      <c r="A84" s="52" t="s">
        <v>989</v>
      </c>
      <c r="B84" s="52" t="s">
        <v>990</v>
      </c>
      <c r="C84" s="52" t="s">
        <v>688</v>
      </c>
      <c r="D84" s="27">
        <v>141</v>
      </c>
      <c r="E84" s="13">
        <v>1417.24458</v>
      </c>
      <c r="F84" s="49">
        <f t="shared" si="1"/>
        <v>7.1040518361529748E-2</v>
      </c>
    </row>
    <row r="85" spans="1:6" x14ac:dyDescent="0.2">
      <c r="A85" s="52" t="s">
        <v>991</v>
      </c>
      <c r="B85" s="52" t="s">
        <v>992</v>
      </c>
      <c r="C85" s="52" t="s">
        <v>697</v>
      </c>
      <c r="D85" s="27">
        <v>80</v>
      </c>
      <c r="E85" s="13">
        <v>815.8904</v>
      </c>
      <c r="F85" s="49">
        <f t="shared" si="1"/>
        <v>4.0897159008500737E-2</v>
      </c>
    </row>
    <row r="86" spans="1:6" x14ac:dyDescent="0.2">
      <c r="A86" s="52" t="s">
        <v>993</v>
      </c>
      <c r="B86" s="52" t="s">
        <v>994</v>
      </c>
      <c r="C86" s="52" t="s">
        <v>726</v>
      </c>
      <c r="D86" s="27">
        <v>70</v>
      </c>
      <c r="E86" s="13">
        <v>708.13750000000005</v>
      </c>
      <c r="F86" s="49">
        <f t="shared" si="1"/>
        <v>3.5495958694185141E-2</v>
      </c>
    </row>
    <row r="87" spans="1:6" x14ac:dyDescent="0.2">
      <c r="A87" s="52" t="s">
        <v>995</v>
      </c>
      <c r="B87" s="52" t="s">
        <v>996</v>
      </c>
      <c r="C87" s="52" t="s">
        <v>709</v>
      </c>
      <c r="D87" s="27">
        <v>70</v>
      </c>
      <c r="E87" s="13">
        <v>675.24800000000005</v>
      </c>
      <c r="F87" s="49">
        <f t="shared" si="1"/>
        <v>3.3847346195239103E-2</v>
      </c>
    </row>
    <row r="88" spans="1:6" x14ac:dyDescent="0.2">
      <c r="A88" s="52" t="s">
        <v>730</v>
      </c>
      <c r="B88" s="52" t="s">
        <v>731</v>
      </c>
      <c r="C88" s="52" t="s">
        <v>700</v>
      </c>
      <c r="D88" s="27">
        <v>61</v>
      </c>
      <c r="E88" s="13">
        <v>606.27961000000005</v>
      </c>
      <c r="F88" s="49">
        <f t="shared" si="1"/>
        <v>3.0390250472099953E-2</v>
      </c>
    </row>
    <row r="89" spans="1:6" x14ac:dyDescent="0.2">
      <c r="A89" s="52" t="s">
        <v>997</v>
      </c>
      <c r="B89" s="52" t="s">
        <v>998</v>
      </c>
      <c r="C89" s="52" t="s">
        <v>726</v>
      </c>
      <c r="D89" s="27">
        <v>50</v>
      </c>
      <c r="E89" s="13">
        <v>497.18549999999999</v>
      </c>
      <c r="F89" s="49">
        <f t="shared" si="1"/>
        <v>2.4921820933572626E-2</v>
      </c>
    </row>
    <row r="90" spans="1:6" x14ac:dyDescent="0.2">
      <c r="A90" s="52" t="s">
        <v>999</v>
      </c>
      <c r="B90" s="52" t="s">
        <v>1000</v>
      </c>
      <c r="C90" s="52" t="s">
        <v>688</v>
      </c>
      <c r="D90" s="27">
        <v>50</v>
      </c>
      <c r="E90" s="13">
        <v>493.64249999999998</v>
      </c>
      <c r="F90" s="49">
        <f t="shared" si="1"/>
        <v>2.474422522418921E-2</v>
      </c>
    </row>
    <row r="91" spans="1:6" x14ac:dyDescent="0.2">
      <c r="A91" s="52" t="s">
        <v>1001</v>
      </c>
      <c r="B91" s="52" t="s">
        <v>1002</v>
      </c>
      <c r="C91" s="52" t="s">
        <v>688</v>
      </c>
      <c r="D91" s="27">
        <v>47</v>
      </c>
      <c r="E91" s="13">
        <v>474.05045999999999</v>
      </c>
      <c r="F91" s="49">
        <f t="shared" si="1"/>
        <v>2.3762158545648924E-2</v>
      </c>
    </row>
    <row r="92" spans="1:6" x14ac:dyDescent="0.2">
      <c r="A92" s="41" t="s">
        <v>43</v>
      </c>
      <c r="B92" s="52"/>
      <c r="C92" s="52"/>
      <c r="D92" s="13"/>
      <c r="E92" s="50">
        <f>SUM(E8:E91)</f>
        <v>1062634.9934384997</v>
      </c>
      <c r="F92" s="6">
        <f>SUM(F8:F91)</f>
        <v>53.265429149125282</v>
      </c>
    </row>
    <row r="93" spans="1:6" x14ac:dyDescent="0.2">
      <c r="A93" s="52"/>
      <c r="B93" s="52"/>
      <c r="C93" s="52"/>
      <c r="D93" s="13"/>
      <c r="E93" s="13"/>
      <c r="F93" s="49"/>
    </row>
    <row r="94" spans="1:6" x14ac:dyDescent="0.2">
      <c r="A94" s="41" t="s">
        <v>772</v>
      </c>
      <c r="B94" s="52"/>
      <c r="C94" s="52"/>
      <c r="D94" s="27"/>
      <c r="E94" s="13"/>
      <c r="F94" s="49"/>
    </row>
    <row r="95" spans="1:6" x14ac:dyDescent="0.2">
      <c r="A95" s="52" t="s">
        <v>795</v>
      </c>
      <c r="B95" s="52" t="s">
        <v>796</v>
      </c>
      <c r="C95" s="52" t="s">
        <v>797</v>
      </c>
      <c r="D95" s="27">
        <v>7990</v>
      </c>
      <c r="E95" s="13">
        <v>70868.503500000006</v>
      </c>
      <c r="F95" s="49">
        <f t="shared" ref="F95:F124" si="2">E95/$E$151*100</f>
        <v>3.5523404324085579</v>
      </c>
    </row>
    <row r="96" spans="1:6" x14ac:dyDescent="0.2">
      <c r="A96" s="52" t="s">
        <v>1003</v>
      </c>
      <c r="B96" s="52" t="s">
        <v>1004</v>
      </c>
      <c r="C96" s="52" t="s">
        <v>706</v>
      </c>
      <c r="D96" s="27">
        <v>3900</v>
      </c>
      <c r="E96" s="13">
        <v>39129.597000000002</v>
      </c>
      <c r="F96" s="49">
        <f t="shared" si="2"/>
        <v>1.9614023531194309</v>
      </c>
    </row>
    <row r="97" spans="1:6" x14ac:dyDescent="0.2">
      <c r="A97" s="52" t="s">
        <v>1005</v>
      </c>
      <c r="B97" s="52" t="s">
        <v>1006</v>
      </c>
      <c r="C97" s="52" t="s">
        <v>827</v>
      </c>
      <c r="D97" s="27">
        <v>3500</v>
      </c>
      <c r="E97" s="13">
        <v>35025.97</v>
      </c>
      <c r="F97" s="49">
        <f t="shared" si="2"/>
        <v>1.7557047668620402</v>
      </c>
    </row>
    <row r="98" spans="1:6" x14ac:dyDescent="0.2">
      <c r="A98" s="52" t="s">
        <v>1007</v>
      </c>
      <c r="B98" s="52" t="s">
        <v>1008</v>
      </c>
      <c r="C98" s="52" t="s">
        <v>827</v>
      </c>
      <c r="D98" s="27">
        <v>3450</v>
      </c>
      <c r="E98" s="13">
        <v>34532.567999999999</v>
      </c>
      <c r="F98" s="49">
        <f t="shared" si="2"/>
        <v>1.7309725968927498</v>
      </c>
    </row>
    <row r="99" spans="1:6" x14ac:dyDescent="0.2">
      <c r="A99" s="52" t="s">
        <v>1009</v>
      </c>
      <c r="B99" s="52" t="s">
        <v>1010</v>
      </c>
      <c r="C99" s="52" t="s">
        <v>706</v>
      </c>
      <c r="D99" s="27">
        <v>2350</v>
      </c>
      <c r="E99" s="13">
        <v>23546.271499999999</v>
      </c>
      <c r="F99" s="49">
        <f t="shared" si="2"/>
        <v>1.1802756958444776</v>
      </c>
    </row>
    <row r="100" spans="1:6" x14ac:dyDescent="0.2">
      <c r="A100" s="52" t="s">
        <v>1011</v>
      </c>
      <c r="B100" s="52" t="s">
        <v>1012</v>
      </c>
      <c r="C100" s="52" t="s">
        <v>827</v>
      </c>
      <c r="D100" s="27">
        <v>2350</v>
      </c>
      <c r="E100" s="13">
        <v>23526.484499999999</v>
      </c>
      <c r="F100" s="49">
        <f t="shared" si="2"/>
        <v>1.1792838566399704</v>
      </c>
    </row>
    <row r="101" spans="1:6" x14ac:dyDescent="0.2">
      <c r="A101" s="52" t="s">
        <v>1013</v>
      </c>
      <c r="B101" s="52" t="s">
        <v>1014</v>
      </c>
      <c r="C101" s="52" t="s">
        <v>832</v>
      </c>
      <c r="D101" s="27">
        <v>1700</v>
      </c>
      <c r="E101" s="13">
        <v>22347.264999999999</v>
      </c>
      <c r="F101" s="49">
        <f t="shared" si="2"/>
        <v>1.1201745358323902</v>
      </c>
    </row>
    <row r="102" spans="1:6" x14ac:dyDescent="0.2">
      <c r="A102" s="52" t="s">
        <v>1015</v>
      </c>
      <c r="B102" s="52" t="s">
        <v>1016</v>
      </c>
      <c r="C102" s="52" t="s">
        <v>706</v>
      </c>
      <c r="D102" s="27">
        <v>2000</v>
      </c>
      <c r="E102" s="13">
        <v>20039.080000000002</v>
      </c>
      <c r="F102" s="49">
        <f t="shared" si="2"/>
        <v>1.0044749161701954</v>
      </c>
    </row>
    <row r="103" spans="1:6" x14ac:dyDescent="0.2">
      <c r="A103" s="52" t="s">
        <v>806</v>
      </c>
      <c r="B103" s="52" t="s">
        <v>807</v>
      </c>
      <c r="C103" s="52" t="s">
        <v>805</v>
      </c>
      <c r="D103" s="27">
        <v>20127</v>
      </c>
      <c r="E103" s="13">
        <v>19422.071951999998</v>
      </c>
      <c r="F103" s="49">
        <f t="shared" si="2"/>
        <v>0.97354689416064499</v>
      </c>
    </row>
    <row r="104" spans="1:6" x14ac:dyDescent="0.2">
      <c r="A104" s="52" t="s">
        <v>1017</v>
      </c>
      <c r="B104" s="52" t="s">
        <v>1018</v>
      </c>
      <c r="C104" s="52" t="s">
        <v>832</v>
      </c>
      <c r="D104" s="27">
        <v>1150</v>
      </c>
      <c r="E104" s="13">
        <v>15117.2675</v>
      </c>
      <c r="F104" s="49">
        <f t="shared" si="2"/>
        <v>0.75776512718073463</v>
      </c>
    </row>
    <row r="105" spans="1:6" x14ac:dyDescent="0.2">
      <c r="A105" s="52" t="s">
        <v>1019</v>
      </c>
      <c r="B105" s="52" t="s">
        <v>1020</v>
      </c>
      <c r="C105" s="52" t="s">
        <v>827</v>
      </c>
      <c r="D105" s="27">
        <v>1500</v>
      </c>
      <c r="E105" s="13">
        <v>15015.03</v>
      </c>
      <c r="F105" s="49">
        <f t="shared" si="2"/>
        <v>0.75264039070371325</v>
      </c>
    </row>
    <row r="106" spans="1:6" x14ac:dyDescent="0.2">
      <c r="A106" s="52" t="s">
        <v>1021</v>
      </c>
      <c r="B106" s="52" t="s">
        <v>1022</v>
      </c>
      <c r="C106" s="52" t="s">
        <v>832</v>
      </c>
      <c r="D106" s="27">
        <v>890</v>
      </c>
      <c r="E106" s="13">
        <v>12426.838599999999</v>
      </c>
      <c r="F106" s="49">
        <f t="shared" si="2"/>
        <v>0.62290522623770872</v>
      </c>
    </row>
    <row r="107" spans="1:6" x14ac:dyDescent="0.2">
      <c r="A107" s="52" t="s">
        <v>1023</v>
      </c>
      <c r="B107" s="52" t="s">
        <v>1024</v>
      </c>
      <c r="C107" s="52" t="s">
        <v>729</v>
      </c>
      <c r="D107" s="27">
        <v>1190</v>
      </c>
      <c r="E107" s="13">
        <v>11748.6677</v>
      </c>
      <c r="F107" s="49">
        <f t="shared" si="2"/>
        <v>0.58891136734166338</v>
      </c>
    </row>
    <row r="108" spans="1:6" x14ac:dyDescent="0.2">
      <c r="A108" s="52" t="s">
        <v>1025</v>
      </c>
      <c r="B108" s="52" t="s">
        <v>1026</v>
      </c>
      <c r="C108" s="52" t="s">
        <v>848</v>
      </c>
      <c r="D108" s="27">
        <v>1150</v>
      </c>
      <c r="E108" s="13">
        <v>11479.621999999999</v>
      </c>
      <c r="F108" s="49">
        <f t="shared" si="2"/>
        <v>0.57542523639386278</v>
      </c>
    </row>
    <row r="109" spans="1:6" x14ac:dyDescent="0.2">
      <c r="A109" s="52" t="s">
        <v>1027</v>
      </c>
      <c r="B109" s="52" t="s">
        <v>1028</v>
      </c>
      <c r="C109" s="52" t="s">
        <v>1029</v>
      </c>
      <c r="D109" s="27">
        <v>650</v>
      </c>
      <c r="E109" s="13">
        <v>11297.799499999999</v>
      </c>
      <c r="F109" s="49">
        <f t="shared" si="2"/>
        <v>0.56631123812421391</v>
      </c>
    </row>
    <row r="110" spans="1:6" x14ac:dyDescent="0.2">
      <c r="A110" s="52" t="s">
        <v>825</v>
      </c>
      <c r="B110" s="52" t="s">
        <v>826</v>
      </c>
      <c r="C110" s="52" t="s">
        <v>827</v>
      </c>
      <c r="D110" s="27">
        <v>1100</v>
      </c>
      <c r="E110" s="13">
        <v>11051.128000000001</v>
      </c>
      <c r="F110" s="49">
        <f t="shared" si="2"/>
        <v>0.55394663185066861</v>
      </c>
    </row>
    <row r="111" spans="1:6" x14ac:dyDescent="0.2">
      <c r="A111" s="52" t="s">
        <v>1030</v>
      </c>
      <c r="B111" s="52" t="s">
        <v>1031</v>
      </c>
      <c r="C111" s="52" t="s">
        <v>706</v>
      </c>
      <c r="D111" s="27">
        <v>1000</v>
      </c>
      <c r="E111" s="13">
        <v>10071.959999999999</v>
      </c>
      <c r="F111" s="49">
        <f t="shared" si="2"/>
        <v>0.50486505252085212</v>
      </c>
    </row>
    <row r="112" spans="1:6" x14ac:dyDescent="0.2">
      <c r="A112" s="52" t="s">
        <v>1032</v>
      </c>
      <c r="B112" s="52" t="s">
        <v>1033</v>
      </c>
      <c r="C112" s="52" t="s">
        <v>706</v>
      </c>
      <c r="D112" s="27">
        <v>1000</v>
      </c>
      <c r="E112" s="13">
        <v>10066.18</v>
      </c>
      <c r="F112" s="49">
        <f t="shared" si="2"/>
        <v>0.50457532539687933</v>
      </c>
    </row>
    <row r="113" spans="1:6" x14ac:dyDescent="0.2">
      <c r="A113" s="52" t="s">
        <v>1034</v>
      </c>
      <c r="B113" s="52" t="s">
        <v>1035</v>
      </c>
      <c r="C113" s="52" t="s">
        <v>706</v>
      </c>
      <c r="D113" s="27">
        <v>1000</v>
      </c>
      <c r="E113" s="13">
        <v>10063.56</v>
      </c>
      <c r="F113" s="49">
        <f t="shared" si="2"/>
        <v>0.5044439958008915</v>
      </c>
    </row>
    <row r="114" spans="1:6" x14ac:dyDescent="0.2">
      <c r="A114" s="52" t="s">
        <v>1036</v>
      </c>
      <c r="B114" s="52" t="s">
        <v>1037</v>
      </c>
      <c r="C114" s="52" t="s">
        <v>706</v>
      </c>
      <c r="D114" s="27">
        <v>1000</v>
      </c>
      <c r="E114" s="13">
        <v>10045.26</v>
      </c>
      <c r="F114" s="49">
        <f t="shared" si="2"/>
        <v>0.50352669366097713</v>
      </c>
    </row>
    <row r="115" spans="1:6" x14ac:dyDescent="0.2">
      <c r="A115" s="52" t="s">
        <v>1038</v>
      </c>
      <c r="B115" s="52" t="s">
        <v>1039</v>
      </c>
      <c r="C115" s="52" t="s">
        <v>788</v>
      </c>
      <c r="D115" s="27">
        <v>1000</v>
      </c>
      <c r="E115" s="13">
        <v>9998.9453329999997</v>
      </c>
      <c r="F115" s="49">
        <f t="shared" si="2"/>
        <v>0.50120513392608534</v>
      </c>
    </row>
    <row r="116" spans="1:6" x14ac:dyDescent="0.2">
      <c r="A116" s="52" t="s">
        <v>1040</v>
      </c>
      <c r="B116" s="52" t="s">
        <v>1041</v>
      </c>
      <c r="C116" s="52" t="s">
        <v>848</v>
      </c>
      <c r="D116" s="27">
        <v>950</v>
      </c>
      <c r="E116" s="13">
        <v>9528.7185000000009</v>
      </c>
      <c r="F116" s="49">
        <f t="shared" si="2"/>
        <v>0.47763463774269527</v>
      </c>
    </row>
    <row r="117" spans="1:6" x14ac:dyDescent="0.2">
      <c r="A117" s="52" t="s">
        <v>1042</v>
      </c>
      <c r="B117" s="52" t="s">
        <v>1043</v>
      </c>
      <c r="C117" s="52" t="s">
        <v>706</v>
      </c>
      <c r="D117" s="27">
        <v>900</v>
      </c>
      <c r="E117" s="13">
        <v>9054.9629999999997</v>
      </c>
      <c r="F117" s="49">
        <f t="shared" si="2"/>
        <v>0.45388726430301285</v>
      </c>
    </row>
    <row r="118" spans="1:6" x14ac:dyDescent="0.2">
      <c r="A118" s="52" t="s">
        <v>1044</v>
      </c>
      <c r="B118" s="52" t="s">
        <v>1045</v>
      </c>
      <c r="C118" s="52" t="s">
        <v>783</v>
      </c>
      <c r="D118" s="27">
        <v>850</v>
      </c>
      <c r="E118" s="13">
        <v>8668.1725000000006</v>
      </c>
      <c r="F118" s="49">
        <f t="shared" si="2"/>
        <v>0.43449908105992352</v>
      </c>
    </row>
    <row r="119" spans="1:6" x14ac:dyDescent="0.2">
      <c r="A119" s="52" t="s">
        <v>1046</v>
      </c>
      <c r="B119" s="52" t="s">
        <v>1047</v>
      </c>
      <c r="C119" s="52" t="s">
        <v>691</v>
      </c>
      <c r="D119" s="27">
        <v>836</v>
      </c>
      <c r="E119" s="13">
        <v>8319.7883999999995</v>
      </c>
      <c r="F119" s="49">
        <f t="shared" si="2"/>
        <v>0.41703604934177418</v>
      </c>
    </row>
    <row r="120" spans="1:6" x14ac:dyDescent="0.2">
      <c r="A120" s="52" t="s">
        <v>1048</v>
      </c>
      <c r="B120" s="52" t="s">
        <v>1049</v>
      </c>
      <c r="C120" s="52" t="s">
        <v>775</v>
      </c>
      <c r="D120" s="27">
        <v>260</v>
      </c>
      <c r="E120" s="13">
        <v>4090.9076</v>
      </c>
      <c r="F120" s="49">
        <f t="shared" si="2"/>
        <v>0.20506001615693006</v>
      </c>
    </row>
    <row r="121" spans="1:6" x14ac:dyDescent="0.2">
      <c r="A121" s="52" t="s">
        <v>1050</v>
      </c>
      <c r="B121" s="52" t="s">
        <v>1051</v>
      </c>
      <c r="C121" s="52" t="s">
        <v>775</v>
      </c>
      <c r="D121" s="27">
        <v>257</v>
      </c>
      <c r="E121" s="13">
        <v>4062.10088</v>
      </c>
      <c r="F121" s="49">
        <f t="shared" si="2"/>
        <v>0.20361605627168891</v>
      </c>
    </row>
    <row r="122" spans="1:6" x14ac:dyDescent="0.2">
      <c r="A122" s="52" t="s">
        <v>1052</v>
      </c>
      <c r="B122" s="52" t="s">
        <v>1053</v>
      </c>
      <c r="C122" s="52" t="s">
        <v>775</v>
      </c>
      <c r="D122" s="27">
        <v>400</v>
      </c>
      <c r="E122" s="13">
        <v>4029.1959999999999</v>
      </c>
      <c r="F122" s="49">
        <f t="shared" si="2"/>
        <v>0.20196667283793895</v>
      </c>
    </row>
    <row r="123" spans="1:6" x14ac:dyDescent="0.2">
      <c r="A123" s="52" t="s">
        <v>1054</v>
      </c>
      <c r="B123" s="52" t="s">
        <v>1055</v>
      </c>
      <c r="C123" s="52" t="s">
        <v>729</v>
      </c>
      <c r="D123" s="27">
        <v>2500</v>
      </c>
      <c r="E123" s="13">
        <v>1764.9</v>
      </c>
      <c r="F123" s="49">
        <f t="shared" si="2"/>
        <v>8.8467024411738343E-2</v>
      </c>
    </row>
    <row r="124" spans="1:6" x14ac:dyDescent="0.2">
      <c r="A124" s="52" t="s">
        <v>1056</v>
      </c>
      <c r="B124" s="52" t="s">
        <v>1057</v>
      </c>
      <c r="C124" s="52" t="s">
        <v>764</v>
      </c>
      <c r="D124" s="27">
        <v>7</v>
      </c>
      <c r="E124" s="13">
        <v>867.21669999999995</v>
      </c>
      <c r="F124" s="49">
        <f t="shared" si="2"/>
        <v>4.3469930856800475E-2</v>
      </c>
    </row>
    <row r="125" spans="1:6" x14ac:dyDescent="0.2">
      <c r="A125" s="41" t="s">
        <v>43</v>
      </c>
      <c r="B125" s="52"/>
      <c r="C125" s="52"/>
      <c r="D125" s="27"/>
      <c r="E125" s="50">
        <f>SUM(E95:E124)</f>
        <v>477206.03366500011</v>
      </c>
      <c r="F125" s="6">
        <f>SUM(F95:F124)</f>
        <v>23.920334200051208</v>
      </c>
    </row>
    <row r="126" spans="1:6" x14ac:dyDescent="0.2">
      <c r="A126" s="52"/>
      <c r="B126" s="52"/>
      <c r="C126" s="52"/>
      <c r="D126" s="52"/>
      <c r="E126" s="13"/>
      <c r="F126" s="49"/>
    </row>
    <row r="127" spans="1:6" x14ac:dyDescent="0.2">
      <c r="A127" s="41" t="s">
        <v>1058</v>
      </c>
      <c r="B127" s="52"/>
      <c r="C127" s="52"/>
      <c r="D127" s="52"/>
      <c r="E127" s="13"/>
      <c r="F127" s="49"/>
    </row>
    <row r="128" spans="1:6" x14ac:dyDescent="0.2">
      <c r="A128" s="41" t="s">
        <v>1059</v>
      </c>
      <c r="B128" s="52"/>
      <c r="C128" s="52"/>
      <c r="D128" s="27"/>
      <c r="E128" s="13"/>
      <c r="F128" s="49"/>
    </row>
    <row r="129" spans="1:6" x14ac:dyDescent="0.2">
      <c r="A129" s="52" t="s">
        <v>1060</v>
      </c>
      <c r="B129" s="52" t="s">
        <v>1061</v>
      </c>
      <c r="C129" s="52" t="s">
        <v>1062</v>
      </c>
      <c r="D129" s="27">
        <v>400</v>
      </c>
      <c r="E129" s="13">
        <v>400.1712</v>
      </c>
      <c r="F129" s="49">
        <f t="shared" ref="F129" si="3">E129/$E$151*100</f>
        <v>2.005890153508676E-2</v>
      </c>
    </row>
    <row r="130" spans="1:6" x14ac:dyDescent="0.2">
      <c r="A130" s="52" t="s">
        <v>1063</v>
      </c>
      <c r="B130" s="52" t="s">
        <v>1064</v>
      </c>
      <c r="C130" s="52" t="s">
        <v>1065</v>
      </c>
      <c r="D130" s="27">
        <v>100</v>
      </c>
      <c r="E130" s="13">
        <v>98.61</v>
      </c>
      <c r="F130" s="69" t="s">
        <v>607</v>
      </c>
    </row>
    <row r="131" spans="1:6" x14ac:dyDescent="0.2">
      <c r="A131" s="41" t="s">
        <v>43</v>
      </c>
      <c r="B131" s="52"/>
      <c r="C131" s="52"/>
      <c r="D131" s="27"/>
      <c r="E131" s="50">
        <f>SUM(E129:E130)</f>
        <v>498.78120000000001</v>
      </c>
      <c r="F131" s="6">
        <f>SUM(F129:F130)</f>
        <v>2.005890153508676E-2</v>
      </c>
    </row>
    <row r="132" spans="1:6" x14ac:dyDescent="0.2">
      <c r="A132" s="52"/>
      <c r="B132" s="52"/>
      <c r="C132" s="52"/>
      <c r="D132" s="27"/>
      <c r="E132" s="13"/>
      <c r="F132" s="49"/>
    </row>
    <row r="133" spans="1:6" x14ac:dyDescent="0.2">
      <c r="A133" s="41" t="s">
        <v>1066</v>
      </c>
      <c r="B133" s="52"/>
      <c r="C133" s="52"/>
      <c r="D133" s="27"/>
      <c r="E133" s="13"/>
      <c r="F133" s="49"/>
    </row>
    <row r="134" spans="1:6" x14ac:dyDescent="0.2">
      <c r="A134" s="52" t="s">
        <v>1067</v>
      </c>
      <c r="B134" s="52" t="s">
        <v>1068</v>
      </c>
      <c r="C134" s="52" t="s">
        <v>1069</v>
      </c>
      <c r="D134" s="27">
        <v>9500</v>
      </c>
      <c r="E134" s="13">
        <v>46821.177499999998</v>
      </c>
      <c r="F134" s="49">
        <f t="shared" ref="F134:F144" si="4">E134/$E$151*100</f>
        <v>2.3469489789103255</v>
      </c>
    </row>
    <row r="135" spans="1:6" x14ac:dyDescent="0.2">
      <c r="A135" s="52" t="s">
        <v>1070</v>
      </c>
      <c r="B135" s="52" t="s">
        <v>1071</v>
      </c>
      <c r="C135" s="52" t="s">
        <v>1072</v>
      </c>
      <c r="D135" s="27">
        <v>4500</v>
      </c>
      <c r="E135" s="13">
        <v>22167.9</v>
      </c>
      <c r="F135" s="49">
        <f t="shared" si="4"/>
        <v>1.1111837217162299</v>
      </c>
    </row>
    <row r="136" spans="1:6" x14ac:dyDescent="0.2">
      <c r="A136" s="52" t="s">
        <v>1073</v>
      </c>
      <c r="B136" s="52" t="s">
        <v>1074</v>
      </c>
      <c r="C136" s="52" t="s">
        <v>1062</v>
      </c>
      <c r="D136" s="27">
        <v>3500</v>
      </c>
      <c r="E136" s="13">
        <v>16261.98</v>
      </c>
      <c r="F136" s="49">
        <f t="shared" si="4"/>
        <v>0.81514475700787614</v>
      </c>
    </row>
    <row r="137" spans="1:6" x14ac:dyDescent="0.2">
      <c r="A137" s="52" t="s">
        <v>1075</v>
      </c>
      <c r="B137" s="52" t="s">
        <v>1076</v>
      </c>
      <c r="C137" s="52" t="s">
        <v>1062</v>
      </c>
      <c r="D137" s="27">
        <v>2000</v>
      </c>
      <c r="E137" s="13">
        <v>9778.58</v>
      </c>
      <c r="F137" s="49">
        <f t="shared" si="4"/>
        <v>0.49015914531822552</v>
      </c>
    </row>
    <row r="138" spans="1:6" x14ac:dyDescent="0.2">
      <c r="A138" s="52" t="s">
        <v>1077</v>
      </c>
      <c r="B138" s="52" t="s">
        <v>1078</v>
      </c>
      <c r="C138" s="52" t="s">
        <v>1062</v>
      </c>
      <c r="D138" s="27">
        <v>2000</v>
      </c>
      <c r="E138" s="13">
        <v>9765.5300000000007</v>
      </c>
      <c r="F138" s="49">
        <f t="shared" si="4"/>
        <v>0.48950500362828664</v>
      </c>
    </row>
    <row r="139" spans="1:6" x14ac:dyDescent="0.2">
      <c r="A139" s="52" t="s">
        <v>1079</v>
      </c>
      <c r="B139" s="52" t="s">
        <v>1080</v>
      </c>
      <c r="C139" s="52" t="s">
        <v>1062</v>
      </c>
      <c r="D139" s="27">
        <v>2000</v>
      </c>
      <c r="E139" s="13">
        <v>9752.52</v>
      </c>
      <c r="F139" s="49">
        <f t="shared" si="4"/>
        <v>0.48885286697034752</v>
      </c>
    </row>
    <row r="140" spans="1:6" x14ac:dyDescent="0.2">
      <c r="A140" s="52" t="s">
        <v>1081</v>
      </c>
      <c r="B140" s="52" t="s">
        <v>1082</v>
      </c>
      <c r="C140" s="52" t="s">
        <v>1062</v>
      </c>
      <c r="D140" s="27">
        <v>1000</v>
      </c>
      <c r="E140" s="13">
        <v>4869.7650000000003</v>
      </c>
      <c r="F140" s="49">
        <f t="shared" si="4"/>
        <v>0.2441008664142042</v>
      </c>
    </row>
    <row r="141" spans="1:6" x14ac:dyDescent="0.2">
      <c r="A141" s="52" t="s">
        <v>1083</v>
      </c>
      <c r="B141" s="52" t="s">
        <v>1084</v>
      </c>
      <c r="C141" s="52" t="s">
        <v>1062</v>
      </c>
      <c r="D141" s="27">
        <v>700</v>
      </c>
      <c r="E141" s="13">
        <v>3256.6484999999998</v>
      </c>
      <c r="F141" s="49">
        <f t="shared" si="4"/>
        <v>0.16324211136605532</v>
      </c>
    </row>
    <row r="142" spans="1:6" x14ac:dyDescent="0.2">
      <c r="A142" s="52" t="s">
        <v>1085</v>
      </c>
      <c r="B142" s="52" t="s">
        <v>1086</v>
      </c>
      <c r="C142" s="52" t="s">
        <v>1062</v>
      </c>
      <c r="D142" s="27">
        <v>520</v>
      </c>
      <c r="E142" s="13">
        <v>2559.9652000000001</v>
      </c>
      <c r="F142" s="49">
        <f t="shared" si="4"/>
        <v>0.12832030361017654</v>
      </c>
    </row>
    <row r="143" spans="1:6" x14ac:dyDescent="0.2">
      <c r="A143" s="52" t="s">
        <v>1087</v>
      </c>
      <c r="B143" s="52" t="s">
        <v>1088</v>
      </c>
      <c r="C143" s="52" t="s">
        <v>1062</v>
      </c>
      <c r="D143" s="27">
        <v>500</v>
      </c>
      <c r="E143" s="13">
        <v>2454.59</v>
      </c>
      <c r="F143" s="49">
        <f t="shared" si="4"/>
        <v>0.12303828741050983</v>
      </c>
    </row>
    <row r="144" spans="1:6" x14ac:dyDescent="0.2">
      <c r="A144" s="52" t="s">
        <v>1089</v>
      </c>
      <c r="B144" s="52" t="s">
        <v>1090</v>
      </c>
      <c r="C144" s="52" t="s">
        <v>1065</v>
      </c>
      <c r="D144" s="27">
        <v>100</v>
      </c>
      <c r="E144" s="13">
        <v>492.23700000000002</v>
      </c>
      <c r="F144" s="49">
        <f t="shared" si="4"/>
        <v>2.4673773412295791E-2</v>
      </c>
    </row>
    <row r="145" spans="1:6" x14ac:dyDescent="0.2">
      <c r="A145" s="41" t="s">
        <v>43</v>
      </c>
      <c r="B145" s="52"/>
      <c r="C145" s="52"/>
      <c r="D145" s="27"/>
      <c r="E145" s="50">
        <f>SUM(E134:E144)</f>
        <v>128180.89319999999</v>
      </c>
      <c r="F145" s="6">
        <f>SUM(F134:F144)</f>
        <v>6.4251698157645327</v>
      </c>
    </row>
    <row r="146" spans="1:6" x14ac:dyDescent="0.2">
      <c r="A146" s="52"/>
      <c r="B146" s="52"/>
      <c r="C146" s="52"/>
      <c r="D146" s="27"/>
      <c r="E146" s="13"/>
      <c r="F146" s="49"/>
    </row>
    <row r="147" spans="1:6" x14ac:dyDescent="0.2">
      <c r="A147" s="41" t="s">
        <v>43</v>
      </c>
      <c r="B147" s="52"/>
      <c r="C147" s="52"/>
      <c r="D147" s="27"/>
      <c r="E147" s="50">
        <f>E92++E125+E131+E145</f>
        <v>1668520.7015035001</v>
      </c>
      <c r="F147" s="6">
        <f>F92++F125+F131+F145</f>
        <v>83.630992066476097</v>
      </c>
    </row>
    <row r="148" spans="1:6" x14ac:dyDescent="0.2">
      <c r="A148" s="52"/>
      <c r="B148" s="52"/>
      <c r="C148" s="52"/>
      <c r="D148" s="27"/>
      <c r="E148" s="13"/>
      <c r="F148" s="49"/>
    </row>
    <row r="149" spans="1:6" x14ac:dyDescent="0.2">
      <c r="A149" s="41" t="s">
        <v>100</v>
      </c>
      <c r="B149" s="52"/>
      <c r="C149" s="52"/>
      <c r="D149" s="52"/>
      <c r="E149" s="50">
        <v>326459.92742090003</v>
      </c>
      <c r="F149" s="6">
        <v>16.37</v>
      </c>
    </row>
    <row r="150" spans="1:6" x14ac:dyDescent="0.2">
      <c r="A150" s="52"/>
      <c r="B150" s="52"/>
      <c r="C150" s="52"/>
      <c r="D150" s="52"/>
      <c r="E150" s="13"/>
      <c r="F150" s="49"/>
    </row>
    <row r="151" spans="1:6" x14ac:dyDescent="0.2">
      <c r="A151" s="57" t="s">
        <v>101</v>
      </c>
      <c r="B151" s="34"/>
      <c r="C151" s="34"/>
      <c r="D151" s="34"/>
      <c r="E151" s="51">
        <f>E147+E149</f>
        <v>1994980.6289244001</v>
      </c>
      <c r="F151" s="8">
        <f>F147+F149</f>
        <v>100.0009920664761</v>
      </c>
    </row>
    <row r="152" spans="1:6" x14ac:dyDescent="0.2">
      <c r="A152" s="4" t="s">
        <v>1964</v>
      </c>
      <c r="F152" s="9" t="s">
        <v>1091</v>
      </c>
    </row>
    <row r="154" spans="1:6" x14ac:dyDescent="0.2">
      <c r="A154" s="4" t="s">
        <v>102</v>
      </c>
    </row>
    <row r="155" spans="1:6" x14ac:dyDescent="0.2">
      <c r="A155" s="4" t="s">
        <v>833</v>
      </c>
    </row>
    <row r="156" spans="1:6" x14ac:dyDescent="0.2">
      <c r="A156" s="4" t="s">
        <v>104</v>
      </c>
    </row>
    <row r="157" spans="1:6" x14ac:dyDescent="0.2">
      <c r="A157" s="2" t="s">
        <v>1092</v>
      </c>
      <c r="D157" s="10">
        <v>26.438099999999999</v>
      </c>
    </row>
    <row r="158" spans="1:6" x14ac:dyDescent="0.2">
      <c r="A158" s="2" t="s">
        <v>1093</v>
      </c>
      <c r="D158" s="10">
        <v>10.096399999999999</v>
      </c>
    </row>
    <row r="159" spans="1:6" x14ac:dyDescent="0.2">
      <c r="A159" s="2" t="s">
        <v>1094</v>
      </c>
      <c r="D159" s="10">
        <v>10.1021</v>
      </c>
    </row>
    <row r="160" spans="1:6" x14ac:dyDescent="0.2">
      <c r="A160" s="2" t="s">
        <v>1095</v>
      </c>
      <c r="D160" s="10">
        <v>26.555800000000001</v>
      </c>
    </row>
    <row r="161" spans="1:4" x14ac:dyDescent="0.2">
      <c r="A161" s="2" t="s">
        <v>1096</v>
      </c>
      <c r="D161" s="10">
        <v>10.077500000000001</v>
      </c>
    </row>
    <row r="162" spans="1:4" x14ac:dyDescent="0.2">
      <c r="A162" s="2" t="s">
        <v>1097</v>
      </c>
      <c r="D162" s="10">
        <v>10.0946</v>
      </c>
    </row>
    <row r="163" spans="1:4" x14ac:dyDescent="0.2">
      <c r="A163" s="2" t="s">
        <v>1098</v>
      </c>
      <c r="D163" s="10">
        <v>25.050699999999999</v>
      </c>
    </row>
    <row r="164" spans="1:4" x14ac:dyDescent="0.2">
      <c r="A164" s="2" t="s">
        <v>1099</v>
      </c>
      <c r="D164" s="10">
        <v>10.0678</v>
      </c>
    </row>
    <row r="165" spans="1:4" x14ac:dyDescent="0.2">
      <c r="A165" s="2" t="s">
        <v>1100</v>
      </c>
      <c r="D165" s="10">
        <v>10.1295</v>
      </c>
    </row>
    <row r="166" spans="1:4" x14ac:dyDescent="0.2">
      <c r="A166" s="2" t="s">
        <v>1101</v>
      </c>
      <c r="D166" s="10">
        <v>25.625900000000001</v>
      </c>
    </row>
    <row r="167" spans="1:4" x14ac:dyDescent="0.2">
      <c r="A167" s="2" t="s">
        <v>1102</v>
      </c>
      <c r="D167" s="10">
        <v>10</v>
      </c>
    </row>
    <row r="169" spans="1:4" x14ac:dyDescent="0.2">
      <c r="A169" s="4" t="s">
        <v>105</v>
      </c>
    </row>
    <row r="170" spans="1:4" x14ac:dyDescent="0.2">
      <c r="A170" s="2" t="s">
        <v>1092</v>
      </c>
      <c r="D170" s="10">
        <v>27.663399999999999</v>
      </c>
    </row>
    <row r="171" spans="1:4" x14ac:dyDescent="0.2">
      <c r="A171" s="2" t="s">
        <v>1093</v>
      </c>
      <c r="D171" s="10">
        <v>10.084199999999999</v>
      </c>
    </row>
    <row r="172" spans="1:4" x14ac:dyDescent="0.2">
      <c r="A172" s="2" t="s">
        <v>1094</v>
      </c>
      <c r="D172" s="10">
        <v>10.102499999999999</v>
      </c>
    </row>
    <row r="173" spans="1:4" x14ac:dyDescent="0.2">
      <c r="A173" s="2" t="s">
        <v>1095</v>
      </c>
      <c r="D173" s="10">
        <v>27.799299999999999</v>
      </c>
    </row>
    <row r="174" spans="1:4" x14ac:dyDescent="0.2">
      <c r="A174" s="2" t="s">
        <v>1096</v>
      </c>
      <c r="D174" s="10">
        <v>10.0655</v>
      </c>
    </row>
    <row r="175" spans="1:4" x14ac:dyDescent="0.2">
      <c r="A175" s="2" t="s">
        <v>1097</v>
      </c>
      <c r="D175" s="10">
        <v>10.0952</v>
      </c>
    </row>
    <row r="176" spans="1:4" x14ac:dyDescent="0.2">
      <c r="A176" s="2" t="s">
        <v>1098</v>
      </c>
      <c r="D176" s="10">
        <v>26.166799999999999</v>
      </c>
    </row>
    <row r="177" spans="1:4" x14ac:dyDescent="0.2">
      <c r="A177" s="2" t="s">
        <v>1099</v>
      </c>
      <c r="D177" s="10">
        <v>10.0549</v>
      </c>
    </row>
    <row r="178" spans="1:4" x14ac:dyDescent="0.2">
      <c r="A178" s="2" t="s">
        <v>1100</v>
      </c>
      <c r="D178" s="10">
        <v>10.129799999999999</v>
      </c>
    </row>
    <row r="179" spans="1:4" x14ac:dyDescent="0.2">
      <c r="A179" s="2" t="s">
        <v>1101</v>
      </c>
      <c r="D179" s="10">
        <v>26.794599999999999</v>
      </c>
    </row>
    <row r="180" spans="1:4" x14ac:dyDescent="0.2">
      <c r="A180" s="2" t="s">
        <v>1102</v>
      </c>
      <c r="D180" s="10">
        <v>10</v>
      </c>
    </row>
    <row r="183" spans="1:4" x14ac:dyDescent="0.2">
      <c r="A183" s="4" t="s">
        <v>106</v>
      </c>
      <c r="D183" s="17" t="s">
        <v>319</v>
      </c>
    </row>
    <row r="184" spans="1:4" x14ac:dyDescent="0.2">
      <c r="A184" s="70" t="s">
        <v>602</v>
      </c>
      <c r="B184" s="71"/>
      <c r="C184" s="103" t="s">
        <v>603</v>
      </c>
      <c r="D184" s="103"/>
    </row>
    <row r="185" spans="1:4" x14ac:dyDescent="0.2">
      <c r="A185" s="104"/>
      <c r="B185" s="104"/>
      <c r="C185" s="20" t="s">
        <v>604</v>
      </c>
      <c r="D185" s="20" t="s">
        <v>605</v>
      </c>
    </row>
    <row r="186" spans="1:4" x14ac:dyDescent="0.2">
      <c r="A186" s="21" t="s">
        <v>1103</v>
      </c>
      <c r="B186" s="22"/>
      <c r="C186" s="72">
        <v>0.33818857629999982</v>
      </c>
      <c r="D186" s="72">
        <v>0.31316430659999994</v>
      </c>
    </row>
    <row r="187" spans="1:4" x14ac:dyDescent="0.2">
      <c r="A187" s="21" t="s">
        <v>1094</v>
      </c>
      <c r="B187" s="22"/>
      <c r="C187" s="72">
        <v>0.32961966749999994</v>
      </c>
      <c r="D187" s="72">
        <v>0.30522945520000005</v>
      </c>
    </row>
    <row r="188" spans="1:4" x14ac:dyDescent="0.2">
      <c r="A188" s="21" t="s">
        <v>1104</v>
      </c>
      <c r="B188" s="22"/>
      <c r="C188" s="72">
        <v>0.34060329620000018</v>
      </c>
      <c r="D188" s="72">
        <v>0.31540034960000002</v>
      </c>
    </row>
    <row r="189" spans="1:4" x14ac:dyDescent="0.2">
      <c r="A189" s="21" t="s">
        <v>1097</v>
      </c>
      <c r="B189" s="22"/>
      <c r="C189" s="72">
        <v>0.33062811929999997</v>
      </c>
      <c r="D189" s="72">
        <v>0.30616328639999996</v>
      </c>
    </row>
    <row r="190" spans="1:4" x14ac:dyDescent="0.2">
      <c r="A190" s="21" t="s">
        <v>1099</v>
      </c>
      <c r="B190" s="22"/>
      <c r="C190" s="72">
        <v>0.32535072780000007</v>
      </c>
      <c r="D190" s="72">
        <v>0.30127639540000006</v>
      </c>
    </row>
    <row r="191" spans="1:4" x14ac:dyDescent="0.2">
      <c r="A191" s="21" t="s">
        <v>1100</v>
      </c>
      <c r="B191" s="22"/>
      <c r="C191" s="72">
        <v>0.31816653700000003</v>
      </c>
      <c r="D191" s="72">
        <v>0.29462379850000003</v>
      </c>
    </row>
    <row r="192" spans="1:4" x14ac:dyDescent="0.2">
      <c r="A192" s="21" t="s">
        <v>1105</v>
      </c>
      <c r="B192" s="22"/>
      <c r="C192" s="72">
        <v>0.32221274490000018</v>
      </c>
      <c r="D192" s="72">
        <v>0.29837060690000017</v>
      </c>
    </row>
    <row r="195" spans="1:5" x14ac:dyDescent="0.2">
      <c r="A195" s="4" t="s">
        <v>834</v>
      </c>
      <c r="D195" s="59">
        <v>0.57029048177113528</v>
      </c>
      <c r="E195" s="59" t="s">
        <v>1106</v>
      </c>
    </row>
    <row r="197" spans="1:5" x14ac:dyDescent="0.2">
      <c r="A197" s="4" t="s">
        <v>836</v>
      </c>
      <c r="D197" s="67" t="s">
        <v>107</v>
      </c>
    </row>
  </sheetData>
  <mergeCells count="3">
    <mergeCell ref="A1:F1"/>
    <mergeCell ref="C184:D184"/>
    <mergeCell ref="A185:B18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309B-9FC5-4A90-A30A-FF35CE90DC12}">
  <dimension ref="A1:F208"/>
  <sheetViews>
    <sheetView showGridLines="0" zoomScaleNormal="10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81.5703125" style="2" bestFit="1" customWidth="1"/>
    <col min="3" max="3" width="11.7109375" style="2" bestFit="1" customWidth="1"/>
    <col min="4" max="4" width="8.28515625" style="2" bestFit="1" customWidth="1"/>
    <col min="5" max="5" width="23" style="59" bestFit="1" customWidth="1"/>
    <col min="6" max="6" width="15.5703125" style="1" bestFit="1" customWidth="1"/>
    <col min="7" max="16384" width="9.140625" style="2"/>
  </cols>
  <sheetData>
    <row r="1" spans="1:6" x14ac:dyDescent="0.2">
      <c r="A1" s="102" t="s">
        <v>1107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749</v>
      </c>
      <c r="B8" s="52" t="s">
        <v>750</v>
      </c>
      <c r="C8" s="52" t="s">
        <v>688</v>
      </c>
      <c r="D8" s="14">
        <v>7700</v>
      </c>
      <c r="E8" s="13">
        <v>77738.892000000007</v>
      </c>
      <c r="F8" s="49">
        <f>E8/$E$165*100</f>
        <v>6.1937320771616182</v>
      </c>
    </row>
    <row r="9" spans="1:6" x14ac:dyDescent="0.2">
      <c r="A9" s="52" t="s">
        <v>715</v>
      </c>
      <c r="B9" s="52" t="s">
        <v>716</v>
      </c>
      <c r="C9" s="52" t="s">
        <v>694</v>
      </c>
      <c r="D9" s="14">
        <v>7200</v>
      </c>
      <c r="E9" s="13">
        <v>68266.872000000003</v>
      </c>
      <c r="F9" s="49">
        <f t="shared" ref="F9:F72" si="0">E9/$E$165*100</f>
        <v>5.4390627912973883</v>
      </c>
    </row>
    <row r="10" spans="1:6" x14ac:dyDescent="0.2">
      <c r="A10" s="52" t="s">
        <v>701</v>
      </c>
      <c r="B10" s="52" t="s">
        <v>702</v>
      </c>
      <c r="C10" s="52" t="s">
        <v>703</v>
      </c>
      <c r="D10" s="14">
        <v>5230</v>
      </c>
      <c r="E10" s="13">
        <v>39906.991999999998</v>
      </c>
      <c r="F10" s="49">
        <f t="shared" si="0"/>
        <v>3.1795309927163875</v>
      </c>
    </row>
    <row r="11" spans="1:6" x14ac:dyDescent="0.2">
      <c r="A11" s="52" t="s">
        <v>755</v>
      </c>
      <c r="B11" s="52" t="s">
        <v>756</v>
      </c>
      <c r="C11" s="52" t="s">
        <v>685</v>
      </c>
      <c r="D11" s="14">
        <v>4813</v>
      </c>
      <c r="E11" s="13">
        <v>36494.90941</v>
      </c>
      <c r="F11" s="49">
        <f t="shared" si="0"/>
        <v>2.9076783222717442</v>
      </c>
    </row>
    <row r="12" spans="1:6" x14ac:dyDescent="0.2">
      <c r="A12" s="52" t="s">
        <v>1108</v>
      </c>
      <c r="B12" s="52" t="s">
        <v>1109</v>
      </c>
      <c r="C12" s="52" t="s">
        <v>703</v>
      </c>
      <c r="D12" s="14">
        <v>3523</v>
      </c>
      <c r="E12" s="13">
        <v>30905.552729999999</v>
      </c>
      <c r="F12" s="49">
        <f t="shared" si="0"/>
        <v>2.4623545355677412</v>
      </c>
    </row>
    <row r="13" spans="1:6" x14ac:dyDescent="0.2">
      <c r="A13" s="52" t="s">
        <v>995</v>
      </c>
      <c r="B13" s="52" t="s">
        <v>996</v>
      </c>
      <c r="C13" s="52" t="s">
        <v>709</v>
      </c>
      <c r="D13" s="14">
        <v>3100</v>
      </c>
      <c r="E13" s="13">
        <v>29903.84</v>
      </c>
      <c r="F13" s="49">
        <f t="shared" si="0"/>
        <v>2.3825445446059179</v>
      </c>
    </row>
    <row r="14" spans="1:6" x14ac:dyDescent="0.2">
      <c r="A14" s="52" t="s">
        <v>857</v>
      </c>
      <c r="B14" s="52" t="s">
        <v>858</v>
      </c>
      <c r="C14" s="52" t="s">
        <v>697</v>
      </c>
      <c r="D14" s="14">
        <v>2800</v>
      </c>
      <c r="E14" s="13">
        <v>27917.792000000001</v>
      </c>
      <c r="F14" s="49">
        <f t="shared" si="0"/>
        <v>2.2243090862926884</v>
      </c>
    </row>
    <row r="15" spans="1:6" x14ac:dyDescent="0.2">
      <c r="A15" s="52" t="s">
        <v>1110</v>
      </c>
      <c r="B15" s="52" t="s">
        <v>1111</v>
      </c>
      <c r="C15" s="52" t="s">
        <v>848</v>
      </c>
      <c r="D15" s="14">
        <v>2700</v>
      </c>
      <c r="E15" s="13">
        <v>26997.191999999999</v>
      </c>
      <c r="F15" s="49">
        <f t="shared" si="0"/>
        <v>2.1509616329969172</v>
      </c>
    </row>
    <row r="16" spans="1:6" x14ac:dyDescent="0.2">
      <c r="A16" s="52" t="s">
        <v>1112</v>
      </c>
      <c r="B16" s="52" t="s">
        <v>1113</v>
      </c>
      <c r="C16" s="52" t="s">
        <v>848</v>
      </c>
      <c r="D16" s="14">
        <v>2500</v>
      </c>
      <c r="E16" s="13">
        <v>24997.4</v>
      </c>
      <c r="F16" s="49">
        <f t="shared" si="0"/>
        <v>1.9916311416638122</v>
      </c>
    </row>
    <row r="17" spans="1:6" x14ac:dyDescent="0.2">
      <c r="A17" s="52" t="s">
        <v>1114</v>
      </c>
      <c r="B17" s="52" t="s">
        <v>1115</v>
      </c>
      <c r="C17" s="52" t="s">
        <v>700</v>
      </c>
      <c r="D17" s="14">
        <v>11135</v>
      </c>
      <c r="E17" s="13">
        <v>21680.82488</v>
      </c>
      <c r="F17" s="49">
        <f t="shared" si="0"/>
        <v>1.7273878886591241</v>
      </c>
    </row>
    <row r="18" spans="1:6" x14ac:dyDescent="0.2">
      <c r="A18" s="52" t="s">
        <v>1116</v>
      </c>
      <c r="B18" s="52" t="s">
        <v>1117</v>
      </c>
      <c r="C18" s="52" t="s">
        <v>700</v>
      </c>
      <c r="D18" s="14">
        <v>10675</v>
      </c>
      <c r="E18" s="13">
        <v>21144.826499999999</v>
      </c>
      <c r="F18" s="49">
        <f t="shared" si="0"/>
        <v>1.6846830047316215</v>
      </c>
    </row>
    <row r="19" spans="1:6" x14ac:dyDescent="0.2">
      <c r="A19" s="52" t="s">
        <v>721</v>
      </c>
      <c r="B19" s="52" t="s">
        <v>722</v>
      </c>
      <c r="C19" s="52" t="s">
        <v>723</v>
      </c>
      <c r="D19" s="14">
        <v>2100</v>
      </c>
      <c r="E19" s="13">
        <v>21061.845000000001</v>
      </c>
      <c r="F19" s="49">
        <f t="shared" si="0"/>
        <v>1.6780715755597087</v>
      </c>
    </row>
    <row r="20" spans="1:6" x14ac:dyDescent="0.2">
      <c r="A20" s="52" t="s">
        <v>1118</v>
      </c>
      <c r="B20" s="52" t="s">
        <v>1119</v>
      </c>
      <c r="C20" s="52" t="s">
        <v>685</v>
      </c>
      <c r="D20" s="14">
        <v>1150</v>
      </c>
      <c r="E20" s="13">
        <v>17599.876</v>
      </c>
      <c r="F20" s="49">
        <f t="shared" si="0"/>
        <v>1.4022442786458402</v>
      </c>
    </row>
    <row r="21" spans="1:6" x14ac:dyDescent="0.2">
      <c r="A21" s="52" t="s">
        <v>1120</v>
      </c>
      <c r="B21" s="52" t="s">
        <v>1121</v>
      </c>
      <c r="C21" s="52" t="s">
        <v>688</v>
      </c>
      <c r="D21" s="14">
        <v>1450</v>
      </c>
      <c r="E21" s="13">
        <v>15146.323</v>
      </c>
      <c r="F21" s="49">
        <f t="shared" si="0"/>
        <v>1.2067610458887268</v>
      </c>
    </row>
    <row r="22" spans="1:6" x14ac:dyDescent="0.2">
      <c r="A22" s="52" t="s">
        <v>981</v>
      </c>
      <c r="B22" s="52" t="s">
        <v>982</v>
      </c>
      <c r="C22" s="52" t="s">
        <v>810</v>
      </c>
      <c r="D22" s="14">
        <v>1390</v>
      </c>
      <c r="E22" s="13">
        <v>13766.017900000001</v>
      </c>
      <c r="F22" s="49">
        <f t="shared" si="0"/>
        <v>1.096787263729087</v>
      </c>
    </row>
    <row r="23" spans="1:6" x14ac:dyDescent="0.2">
      <c r="A23" s="52" t="s">
        <v>747</v>
      </c>
      <c r="B23" s="52" t="s">
        <v>748</v>
      </c>
      <c r="C23" s="52" t="s">
        <v>700</v>
      </c>
      <c r="D23" s="14">
        <v>1349</v>
      </c>
      <c r="E23" s="13">
        <v>13460.335489999999</v>
      </c>
      <c r="F23" s="49">
        <f t="shared" si="0"/>
        <v>1.0724324665415854</v>
      </c>
    </row>
    <row r="24" spans="1:6" x14ac:dyDescent="0.2">
      <c r="A24" s="52" t="s">
        <v>745</v>
      </c>
      <c r="B24" s="52" t="s">
        <v>746</v>
      </c>
      <c r="C24" s="52" t="s">
        <v>688</v>
      </c>
      <c r="D24" s="14">
        <v>1300</v>
      </c>
      <c r="E24" s="13">
        <v>13236.054</v>
      </c>
      <c r="F24" s="49">
        <f t="shared" si="0"/>
        <v>1.0545631681352408</v>
      </c>
    </row>
    <row r="25" spans="1:6" x14ac:dyDescent="0.2">
      <c r="A25" s="52" t="s">
        <v>1122</v>
      </c>
      <c r="B25" s="52" t="s">
        <v>1123</v>
      </c>
      <c r="C25" s="52" t="s">
        <v>706</v>
      </c>
      <c r="D25" s="14">
        <v>1300</v>
      </c>
      <c r="E25" s="13">
        <v>12611.273999999999</v>
      </c>
      <c r="F25" s="49">
        <f t="shared" si="0"/>
        <v>1.0047847389910611</v>
      </c>
    </row>
    <row r="26" spans="1:6" x14ac:dyDescent="0.2">
      <c r="A26" s="52" t="s">
        <v>710</v>
      </c>
      <c r="B26" s="52" t="s">
        <v>711</v>
      </c>
      <c r="C26" s="52" t="s">
        <v>712</v>
      </c>
      <c r="D26" s="14">
        <v>1200</v>
      </c>
      <c r="E26" s="13">
        <v>12490.476000000001</v>
      </c>
      <c r="F26" s="49">
        <f t="shared" si="0"/>
        <v>0.99516033570709139</v>
      </c>
    </row>
    <row r="27" spans="1:6" x14ac:dyDescent="0.2">
      <c r="A27" s="52" t="s">
        <v>1124</v>
      </c>
      <c r="B27" s="52" t="s">
        <v>1125</v>
      </c>
      <c r="C27" s="52" t="s">
        <v>729</v>
      </c>
      <c r="D27" s="14">
        <v>12500</v>
      </c>
      <c r="E27" s="13">
        <v>12062.5875</v>
      </c>
      <c r="F27" s="49">
        <f t="shared" si="0"/>
        <v>0.96106894773234941</v>
      </c>
    </row>
    <row r="28" spans="1:6" x14ac:dyDescent="0.2">
      <c r="A28" s="52" t="s">
        <v>692</v>
      </c>
      <c r="B28" s="52" t="s">
        <v>693</v>
      </c>
      <c r="C28" s="52" t="s">
        <v>694</v>
      </c>
      <c r="D28" s="14">
        <v>1300</v>
      </c>
      <c r="E28" s="13">
        <v>12048.737999999999</v>
      </c>
      <c r="F28" s="49">
        <f t="shared" si="0"/>
        <v>0.95996550915487844</v>
      </c>
    </row>
    <row r="29" spans="1:6" x14ac:dyDescent="0.2">
      <c r="A29" s="52" t="s">
        <v>1126</v>
      </c>
      <c r="B29" s="52" t="s">
        <v>1127</v>
      </c>
      <c r="C29" s="52" t="s">
        <v>726</v>
      </c>
      <c r="D29" s="14">
        <v>1250</v>
      </c>
      <c r="E29" s="13">
        <v>11792.3375</v>
      </c>
      <c r="F29" s="49">
        <f t="shared" si="0"/>
        <v>0.93953717578668128</v>
      </c>
    </row>
    <row r="30" spans="1:6" x14ac:dyDescent="0.2">
      <c r="A30" s="52" t="s">
        <v>707</v>
      </c>
      <c r="B30" s="52" t="s">
        <v>708</v>
      </c>
      <c r="C30" s="52" t="s">
        <v>709</v>
      </c>
      <c r="D30" s="14">
        <v>1180</v>
      </c>
      <c r="E30" s="13">
        <v>11749.0476</v>
      </c>
      <c r="F30" s="49">
        <f t="shared" si="0"/>
        <v>0.93608811656614188</v>
      </c>
    </row>
    <row r="31" spans="1:6" x14ac:dyDescent="0.2">
      <c r="A31" s="52" t="s">
        <v>1128</v>
      </c>
      <c r="B31" s="52" t="s">
        <v>1129</v>
      </c>
      <c r="C31" s="52" t="s">
        <v>729</v>
      </c>
      <c r="D31" s="14">
        <v>1150</v>
      </c>
      <c r="E31" s="13">
        <v>11492.134</v>
      </c>
      <c r="F31" s="49">
        <f t="shared" si="0"/>
        <v>0.91561890270882229</v>
      </c>
    </row>
    <row r="32" spans="1:6" x14ac:dyDescent="0.2">
      <c r="A32" s="52" t="s">
        <v>1130</v>
      </c>
      <c r="B32" s="52" t="s">
        <v>1131</v>
      </c>
      <c r="C32" s="52" t="s">
        <v>797</v>
      </c>
      <c r="D32" s="14">
        <v>1000</v>
      </c>
      <c r="E32" s="13">
        <v>9789.73</v>
      </c>
      <c r="F32" s="49">
        <f t="shared" si="0"/>
        <v>0.77998236362503592</v>
      </c>
    </row>
    <row r="33" spans="1:6" x14ac:dyDescent="0.2">
      <c r="A33" s="52" t="s">
        <v>1132</v>
      </c>
      <c r="B33" s="52" t="s">
        <v>996</v>
      </c>
      <c r="C33" s="52" t="s">
        <v>709</v>
      </c>
      <c r="D33" s="14">
        <v>1000</v>
      </c>
      <c r="E33" s="13">
        <v>9654.56</v>
      </c>
      <c r="F33" s="49">
        <f t="shared" si="0"/>
        <v>0.76921289234327461</v>
      </c>
    </row>
    <row r="34" spans="1:6" x14ac:dyDescent="0.2">
      <c r="A34" s="52" t="s">
        <v>686</v>
      </c>
      <c r="B34" s="52" t="s">
        <v>687</v>
      </c>
      <c r="C34" s="52" t="s">
        <v>688</v>
      </c>
      <c r="D34" s="14">
        <v>885</v>
      </c>
      <c r="E34" s="13">
        <v>9300.5180999999993</v>
      </c>
      <c r="F34" s="49">
        <f t="shared" si="0"/>
        <v>0.74100512379559269</v>
      </c>
    </row>
    <row r="35" spans="1:6" x14ac:dyDescent="0.2">
      <c r="A35" s="52" t="s">
        <v>719</v>
      </c>
      <c r="B35" s="52" t="s">
        <v>720</v>
      </c>
      <c r="C35" s="52" t="s">
        <v>688</v>
      </c>
      <c r="D35" s="14">
        <v>890</v>
      </c>
      <c r="E35" s="13">
        <v>9245.9786000000004</v>
      </c>
      <c r="F35" s="49">
        <f t="shared" si="0"/>
        <v>0.73665976921268528</v>
      </c>
    </row>
    <row r="36" spans="1:6" x14ac:dyDescent="0.2">
      <c r="A36" s="52" t="s">
        <v>730</v>
      </c>
      <c r="B36" s="52" t="s">
        <v>731</v>
      </c>
      <c r="C36" s="52" t="s">
        <v>700</v>
      </c>
      <c r="D36" s="14">
        <v>879</v>
      </c>
      <c r="E36" s="13">
        <v>8736.3897899999993</v>
      </c>
      <c r="F36" s="49">
        <f t="shared" si="0"/>
        <v>0.69605902899812666</v>
      </c>
    </row>
    <row r="37" spans="1:6" x14ac:dyDescent="0.2">
      <c r="A37" s="52" t="s">
        <v>736</v>
      </c>
      <c r="B37" s="52" t="s">
        <v>737</v>
      </c>
      <c r="C37" s="52" t="s">
        <v>729</v>
      </c>
      <c r="D37" s="14">
        <v>8500</v>
      </c>
      <c r="E37" s="13">
        <v>8207.9145000000008</v>
      </c>
      <c r="F37" s="49">
        <f t="shared" si="0"/>
        <v>0.65395353622032537</v>
      </c>
    </row>
    <row r="38" spans="1:6" x14ac:dyDescent="0.2">
      <c r="A38" s="52" t="s">
        <v>1133</v>
      </c>
      <c r="B38" s="52" t="s">
        <v>1134</v>
      </c>
      <c r="C38" s="52" t="s">
        <v>700</v>
      </c>
      <c r="D38" s="14">
        <v>822</v>
      </c>
      <c r="E38" s="13">
        <v>8128.4209799999999</v>
      </c>
      <c r="F38" s="49">
        <f t="shared" si="0"/>
        <v>0.64762000673355957</v>
      </c>
    </row>
    <row r="39" spans="1:6" x14ac:dyDescent="0.2">
      <c r="A39" s="52" t="s">
        <v>1135</v>
      </c>
      <c r="B39" s="52" t="s">
        <v>1136</v>
      </c>
      <c r="C39" s="52" t="s">
        <v>700</v>
      </c>
      <c r="D39" s="14">
        <v>822</v>
      </c>
      <c r="E39" s="13">
        <v>7983.9215999999997</v>
      </c>
      <c r="F39" s="49">
        <f t="shared" si="0"/>
        <v>0.63610723079849785</v>
      </c>
    </row>
    <row r="40" spans="1:6" x14ac:dyDescent="0.2">
      <c r="A40" s="52" t="s">
        <v>1137</v>
      </c>
      <c r="B40" s="52" t="s">
        <v>1138</v>
      </c>
      <c r="C40" s="52" t="s">
        <v>709</v>
      </c>
      <c r="D40" s="14">
        <v>760</v>
      </c>
      <c r="E40" s="13">
        <v>7581.0835999999999</v>
      </c>
      <c r="F40" s="49">
        <f t="shared" si="0"/>
        <v>0.60401170462995368</v>
      </c>
    </row>
    <row r="41" spans="1:6" x14ac:dyDescent="0.2">
      <c r="A41" s="52" t="s">
        <v>919</v>
      </c>
      <c r="B41" s="52" t="s">
        <v>920</v>
      </c>
      <c r="C41" s="52" t="s">
        <v>709</v>
      </c>
      <c r="D41" s="14">
        <v>730</v>
      </c>
      <c r="E41" s="13">
        <v>7558.2156000000004</v>
      </c>
      <c r="F41" s="49">
        <f t="shared" si="0"/>
        <v>0.6021897303067214</v>
      </c>
    </row>
    <row r="42" spans="1:6" x14ac:dyDescent="0.2">
      <c r="A42" s="52" t="s">
        <v>1139</v>
      </c>
      <c r="B42" s="52" t="s">
        <v>1140</v>
      </c>
      <c r="C42" s="52" t="s">
        <v>729</v>
      </c>
      <c r="D42" s="14">
        <v>750</v>
      </c>
      <c r="E42" s="13">
        <v>7494.6975000000002</v>
      </c>
      <c r="F42" s="49">
        <f t="shared" si="0"/>
        <v>0.59712901895196779</v>
      </c>
    </row>
    <row r="43" spans="1:6" x14ac:dyDescent="0.2">
      <c r="A43" s="52" t="s">
        <v>1141</v>
      </c>
      <c r="B43" s="52" t="s">
        <v>1142</v>
      </c>
      <c r="C43" s="52" t="s">
        <v>700</v>
      </c>
      <c r="D43" s="14">
        <v>754</v>
      </c>
      <c r="E43" s="13">
        <v>7264.73722</v>
      </c>
      <c r="F43" s="49">
        <f t="shared" si="0"/>
        <v>0.57880727129046183</v>
      </c>
    </row>
    <row r="44" spans="1:6" x14ac:dyDescent="0.2">
      <c r="A44" s="52" t="s">
        <v>1143</v>
      </c>
      <c r="B44" s="52" t="s">
        <v>1144</v>
      </c>
      <c r="C44" s="52" t="s">
        <v>688</v>
      </c>
      <c r="D44" s="14">
        <v>700</v>
      </c>
      <c r="E44" s="13">
        <v>7251.1390000000001</v>
      </c>
      <c r="F44" s="49">
        <f t="shared" si="0"/>
        <v>0.57772385307803986</v>
      </c>
    </row>
    <row r="45" spans="1:6" x14ac:dyDescent="0.2">
      <c r="A45" s="52" t="s">
        <v>1145</v>
      </c>
      <c r="B45" s="52" t="s">
        <v>1146</v>
      </c>
      <c r="C45" s="52" t="s">
        <v>691</v>
      </c>
      <c r="D45" s="14">
        <v>680</v>
      </c>
      <c r="E45" s="13">
        <v>6916.7968000000001</v>
      </c>
      <c r="F45" s="49">
        <f t="shared" si="0"/>
        <v>0.55108562920306126</v>
      </c>
    </row>
    <row r="46" spans="1:6" x14ac:dyDescent="0.2">
      <c r="A46" s="52" t="s">
        <v>1147</v>
      </c>
      <c r="B46" s="52" t="s">
        <v>1148</v>
      </c>
      <c r="C46" s="52" t="s">
        <v>726</v>
      </c>
      <c r="D46" s="14">
        <v>700</v>
      </c>
      <c r="E46" s="13">
        <v>6667.759</v>
      </c>
      <c r="F46" s="49">
        <f t="shared" si="0"/>
        <v>0.53124390814681366</v>
      </c>
    </row>
    <row r="47" spans="1:6" x14ac:dyDescent="0.2">
      <c r="A47" s="52" t="s">
        <v>1149</v>
      </c>
      <c r="B47" s="52" t="s">
        <v>1150</v>
      </c>
      <c r="C47" s="52" t="s">
        <v>810</v>
      </c>
      <c r="D47" s="14">
        <v>690</v>
      </c>
      <c r="E47" s="13">
        <v>6621.0744000000004</v>
      </c>
      <c r="F47" s="49">
        <f t="shared" si="0"/>
        <v>0.52752438118816525</v>
      </c>
    </row>
    <row r="48" spans="1:6" x14ac:dyDescent="0.2">
      <c r="A48" s="52" t="s">
        <v>884</v>
      </c>
      <c r="B48" s="52" t="s">
        <v>885</v>
      </c>
      <c r="C48" s="52" t="s">
        <v>832</v>
      </c>
      <c r="D48" s="14">
        <v>13</v>
      </c>
      <c r="E48" s="13">
        <v>6613.6719999999996</v>
      </c>
      <c r="F48" s="49">
        <f t="shared" si="0"/>
        <v>0.52693460583700658</v>
      </c>
    </row>
    <row r="49" spans="1:6" x14ac:dyDescent="0.2">
      <c r="A49" s="52" t="s">
        <v>864</v>
      </c>
      <c r="B49" s="52" t="s">
        <v>865</v>
      </c>
      <c r="C49" s="52" t="s">
        <v>700</v>
      </c>
      <c r="D49" s="14">
        <v>650</v>
      </c>
      <c r="E49" s="13">
        <v>6497.3415000000005</v>
      </c>
      <c r="F49" s="49">
        <f t="shared" si="0"/>
        <v>0.51766614405596845</v>
      </c>
    </row>
    <row r="50" spans="1:6" x14ac:dyDescent="0.2">
      <c r="A50" s="52" t="s">
        <v>1151</v>
      </c>
      <c r="B50" s="52" t="s">
        <v>1152</v>
      </c>
      <c r="C50" s="52" t="s">
        <v>726</v>
      </c>
      <c r="D50" s="14">
        <v>570</v>
      </c>
      <c r="E50" s="13">
        <v>5912.9405999999999</v>
      </c>
      <c r="F50" s="49">
        <f t="shared" si="0"/>
        <v>0.47110486041621558</v>
      </c>
    </row>
    <row r="51" spans="1:6" x14ac:dyDescent="0.2">
      <c r="A51" s="52" t="s">
        <v>1153</v>
      </c>
      <c r="B51" s="52" t="s">
        <v>1154</v>
      </c>
      <c r="C51" s="52" t="s">
        <v>729</v>
      </c>
      <c r="D51" s="14">
        <v>6000</v>
      </c>
      <c r="E51" s="13">
        <v>5821.14</v>
      </c>
      <c r="F51" s="49">
        <f t="shared" si="0"/>
        <v>0.46379078240076504</v>
      </c>
    </row>
    <row r="52" spans="1:6" x14ac:dyDescent="0.2">
      <c r="A52" s="52" t="s">
        <v>1155</v>
      </c>
      <c r="B52" s="52" t="s">
        <v>1156</v>
      </c>
      <c r="C52" s="52" t="s">
        <v>832</v>
      </c>
      <c r="D52" s="14">
        <v>11</v>
      </c>
      <c r="E52" s="13">
        <v>5596.1840000000002</v>
      </c>
      <c r="F52" s="49">
        <f t="shared" si="0"/>
        <v>0.44586774340054403</v>
      </c>
    </row>
    <row r="53" spans="1:6" x14ac:dyDescent="0.2">
      <c r="A53" s="52" t="s">
        <v>1157</v>
      </c>
      <c r="B53" s="52" t="s">
        <v>1158</v>
      </c>
      <c r="C53" s="52" t="s">
        <v>706</v>
      </c>
      <c r="D53" s="14">
        <v>550</v>
      </c>
      <c r="E53" s="13">
        <v>5401.473</v>
      </c>
      <c r="F53" s="49">
        <f t="shared" si="0"/>
        <v>0.43035443036700843</v>
      </c>
    </row>
    <row r="54" spans="1:6" x14ac:dyDescent="0.2">
      <c r="A54" s="52" t="s">
        <v>1159</v>
      </c>
      <c r="B54" s="52" t="s">
        <v>1160</v>
      </c>
      <c r="C54" s="52" t="s">
        <v>729</v>
      </c>
      <c r="D54" s="14">
        <v>500</v>
      </c>
      <c r="E54" s="13">
        <v>4996.58</v>
      </c>
      <c r="F54" s="49">
        <f t="shared" si="0"/>
        <v>0.39809517509079229</v>
      </c>
    </row>
    <row r="55" spans="1:6" x14ac:dyDescent="0.2">
      <c r="A55" s="52" t="s">
        <v>1161</v>
      </c>
      <c r="B55" s="52" t="s">
        <v>1162</v>
      </c>
      <c r="C55" s="52" t="s">
        <v>740</v>
      </c>
      <c r="D55" s="14">
        <v>500</v>
      </c>
      <c r="E55" s="13">
        <v>4897.71</v>
      </c>
      <c r="F55" s="49">
        <f t="shared" si="0"/>
        <v>0.39021785301024386</v>
      </c>
    </row>
    <row r="56" spans="1:6" x14ac:dyDescent="0.2">
      <c r="A56" s="52" t="s">
        <v>1163</v>
      </c>
      <c r="B56" s="52" t="s">
        <v>1162</v>
      </c>
      <c r="C56" s="52" t="s">
        <v>740</v>
      </c>
      <c r="D56" s="14">
        <v>500</v>
      </c>
      <c r="E56" s="13">
        <v>4889.8850000000002</v>
      </c>
      <c r="F56" s="49">
        <f t="shared" si="0"/>
        <v>0.38959440762458303</v>
      </c>
    </row>
    <row r="57" spans="1:6" x14ac:dyDescent="0.2">
      <c r="A57" s="52" t="s">
        <v>915</v>
      </c>
      <c r="B57" s="52" t="s">
        <v>916</v>
      </c>
      <c r="C57" s="52" t="s">
        <v>726</v>
      </c>
      <c r="D57" s="14">
        <v>500</v>
      </c>
      <c r="E57" s="13">
        <v>4795.3249999999998</v>
      </c>
      <c r="F57" s="49">
        <f t="shared" si="0"/>
        <v>0.38206047846572122</v>
      </c>
    </row>
    <row r="58" spans="1:6" x14ac:dyDescent="0.2">
      <c r="A58" s="52" t="s">
        <v>1164</v>
      </c>
      <c r="B58" s="52" t="s">
        <v>1165</v>
      </c>
      <c r="C58" s="52" t="s">
        <v>740</v>
      </c>
      <c r="D58" s="14">
        <v>500</v>
      </c>
      <c r="E58" s="13">
        <v>4710.6450000000004</v>
      </c>
      <c r="F58" s="49">
        <f t="shared" si="0"/>
        <v>0.37531372380019246</v>
      </c>
    </row>
    <row r="59" spans="1:6" x14ac:dyDescent="0.2">
      <c r="A59" s="52" t="s">
        <v>1166</v>
      </c>
      <c r="B59" s="52" t="s">
        <v>1167</v>
      </c>
      <c r="C59" s="52" t="s">
        <v>740</v>
      </c>
      <c r="D59" s="14">
        <v>500</v>
      </c>
      <c r="E59" s="13">
        <v>4706.17</v>
      </c>
      <c r="F59" s="49">
        <f t="shared" si="0"/>
        <v>0.37495718474577289</v>
      </c>
    </row>
    <row r="60" spans="1:6" x14ac:dyDescent="0.2">
      <c r="A60" s="52" t="s">
        <v>1168</v>
      </c>
      <c r="B60" s="52" t="s">
        <v>739</v>
      </c>
      <c r="C60" s="52" t="s">
        <v>740</v>
      </c>
      <c r="D60" s="14">
        <v>500</v>
      </c>
      <c r="E60" s="13">
        <v>4692.4049999999997</v>
      </c>
      <c r="F60" s="49">
        <f t="shared" si="0"/>
        <v>0.37386047858173171</v>
      </c>
    </row>
    <row r="61" spans="1:6" x14ac:dyDescent="0.2">
      <c r="A61" s="52" t="s">
        <v>689</v>
      </c>
      <c r="B61" s="52" t="s">
        <v>690</v>
      </c>
      <c r="C61" s="52" t="s">
        <v>691</v>
      </c>
      <c r="D61" s="14">
        <v>460</v>
      </c>
      <c r="E61" s="13">
        <v>4609.3288000000002</v>
      </c>
      <c r="F61" s="49">
        <f t="shared" si="0"/>
        <v>0.36724150432636554</v>
      </c>
    </row>
    <row r="62" spans="1:6" x14ac:dyDescent="0.2">
      <c r="A62" s="52" t="s">
        <v>840</v>
      </c>
      <c r="B62" s="52" t="s">
        <v>841</v>
      </c>
      <c r="C62" s="52" t="s">
        <v>764</v>
      </c>
      <c r="D62" s="14">
        <v>450</v>
      </c>
      <c r="E62" s="13">
        <v>4531.6530000000002</v>
      </c>
      <c r="F62" s="49">
        <f t="shared" si="0"/>
        <v>0.36105279901166687</v>
      </c>
    </row>
    <row r="63" spans="1:6" x14ac:dyDescent="0.2">
      <c r="A63" s="52" t="s">
        <v>1169</v>
      </c>
      <c r="B63" s="52" t="s">
        <v>1170</v>
      </c>
      <c r="C63" s="52" t="s">
        <v>700</v>
      </c>
      <c r="D63" s="14">
        <v>2125</v>
      </c>
      <c r="E63" s="13">
        <v>4115.3217500000001</v>
      </c>
      <c r="F63" s="49">
        <f t="shared" si="0"/>
        <v>0.32788221796132466</v>
      </c>
    </row>
    <row r="64" spans="1:6" x14ac:dyDescent="0.2">
      <c r="A64" s="52" t="s">
        <v>959</v>
      </c>
      <c r="B64" s="52" t="s">
        <v>960</v>
      </c>
      <c r="C64" s="52" t="s">
        <v>832</v>
      </c>
      <c r="D64" s="14">
        <v>500</v>
      </c>
      <c r="E64" s="13">
        <v>3704.7550000000001</v>
      </c>
      <c r="F64" s="49">
        <f t="shared" si="0"/>
        <v>0.29517091498454712</v>
      </c>
    </row>
    <row r="65" spans="1:6" x14ac:dyDescent="0.2">
      <c r="A65" s="52" t="s">
        <v>1171</v>
      </c>
      <c r="B65" s="52" t="s">
        <v>1172</v>
      </c>
      <c r="C65" s="52" t="s">
        <v>709</v>
      </c>
      <c r="D65" s="14">
        <v>370</v>
      </c>
      <c r="E65" s="13">
        <v>3698.6161999999999</v>
      </c>
      <c r="F65" s="49">
        <f t="shared" si="0"/>
        <v>0.29468181510806207</v>
      </c>
    </row>
    <row r="66" spans="1:6" x14ac:dyDescent="0.2">
      <c r="A66" s="52" t="s">
        <v>1173</v>
      </c>
      <c r="B66" s="52" t="s">
        <v>1174</v>
      </c>
      <c r="C66" s="52" t="s">
        <v>700</v>
      </c>
      <c r="D66" s="14">
        <v>350</v>
      </c>
      <c r="E66" s="13">
        <v>3477.6035000000002</v>
      </c>
      <c r="F66" s="49">
        <f t="shared" si="0"/>
        <v>0.27707295274544835</v>
      </c>
    </row>
    <row r="67" spans="1:6" x14ac:dyDescent="0.2">
      <c r="A67" s="52" t="s">
        <v>759</v>
      </c>
      <c r="B67" s="52" t="s">
        <v>739</v>
      </c>
      <c r="C67" s="52" t="s">
        <v>740</v>
      </c>
      <c r="D67" s="14">
        <v>350</v>
      </c>
      <c r="E67" s="13">
        <v>3284.6835000000001</v>
      </c>
      <c r="F67" s="49">
        <f t="shared" si="0"/>
        <v>0.26170233500721224</v>
      </c>
    </row>
    <row r="68" spans="1:6" x14ac:dyDescent="0.2">
      <c r="A68" s="52" t="s">
        <v>991</v>
      </c>
      <c r="B68" s="52" t="s">
        <v>992</v>
      </c>
      <c r="C68" s="52" t="s">
        <v>697</v>
      </c>
      <c r="D68" s="14">
        <v>272</v>
      </c>
      <c r="E68" s="13">
        <v>2774.02736</v>
      </c>
      <c r="F68" s="49">
        <f t="shared" si="0"/>
        <v>0.2210165568420496</v>
      </c>
    </row>
    <row r="69" spans="1:6" x14ac:dyDescent="0.2">
      <c r="A69" s="52" t="s">
        <v>1175</v>
      </c>
      <c r="B69" s="52" t="s">
        <v>1176</v>
      </c>
      <c r="C69" s="52" t="s">
        <v>783</v>
      </c>
      <c r="D69" s="14">
        <v>272</v>
      </c>
      <c r="E69" s="13">
        <v>2744.8771200000001</v>
      </c>
      <c r="F69" s="49">
        <f t="shared" si="0"/>
        <v>0.21869405427094327</v>
      </c>
    </row>
    <row r="70" spans="1:6" x14ac:dyDescent="0.2">
      <c r="A70" s="52" t="s">
        <v>1177</v>
      </c>
      <c r="B70" s="52" t="s">
        <v>1178</v>
      </c>
      <c r="C70" s="52" t="s">
        <v>688</v>
      </c>
      <c r="D70" s="14">
        <v>250</v>
      </c>
      <c r="E70" s="13">
        <v>2614.9625000000001</v>
      </c>
      <c r="F70" s="49">
        <f t="shared" si="0"/>
        <v>0.20834329767428039</v>
      </c>
    </row>
    <row r="71" spans="1:6" x14ac:dyDescent="0.2">
      <c r="A71" s="52" t="s">
        <v>1179</v>
      </c>
      <c r="B71" s="52" t="s">
        <v>1180</v>
      </c>
      <c r="C71" s="52" t="s">
        <v>729</v>
      </c>
      <c r="D71" s="14">
        <v>2500</v>
      </c>
      <c r="E71" s="13">
        <v>2433.8474999999999</v>
      </c>
      <c r="F71" s="49">
        <f t="shared" si="0"/>
        <v>0.19391322597792632</v>
      </c>
    </row>
    <row r="72" spans="1:6" x14ac:dyDescent="0.2">
      <c r="A72" s="52" t="s">
        <v>874</v>
      </c>
      <c r="B72" s="52" t="s">
        <v>875</v>
      </c>
      <c r="C72" s="52" t="s">
        <v>726</v>
      </c>
      <c r="D72" s="14">
        <v>250</v>
      </c>
      <c r="E72" s="13">
        <v>2421.3625000000002</v>
      </c>
      <c r="F72" s="49">
        <f t="shared" si="0"/>
        <v>0.1929185019344789</v>
      </c>
    </row>
    <row r="73" spans="1:6" x14ac:dyDescent="0.2">
      <c r="A73" s="52" t="s">
        <v>1181</v>
      </c>
      <c r="B73" s="52" t="s">
        <v>1182</v>
      </c>
      <c r="C73" s="52" t="s">
        <v>709</v>
      </c>
      <c r="D73" s="14">
        <v>250</v>
      </c>
      <c r="E73" s="13">
        <v>2394.0500000000002</v>
      </c>
      <c r="F73" s="49">
        <f t="shared" ref="F73:F101" si="1">E73/$E$165*100</f>
        <v>0.19074241859954436</v>
      </c>
    </row>
    <row r="74" spans="1:6" x14ac:dyDescent="0.2">
      <c r="A74" s="52" t="s">
        <v>1183</v>
      </c>
      <c r="B74" s="52" t="s">
        <v>1184</v>
      </c>
      <c r="C74" s="52" t="s">
        <v>899</v>
      </c>
      <c r="D74" s="14">
        <v>240</v>
      </c>
      <c r="E74" s="13">
        <v>2234.3832000000002</v>
      </c>
      <c r="F74" s="49">
        <f t="shared" si="1"/>
        <v>0.17802120074609531</v>
      </c>
    </row>
    <row r="75" spans="1:6" x14ac:dyDescent="0.2">
      <c r="A75" s="52" t="s">
        <v>753</v>
      </c>
      <c r="B75" s="52" t="s">
        <v>754</v>
      </c>
      <c r="C75" s="52" t="s">
        <v>729</v>
      </c>
      <c r="D75" s="14">
        <v>2000</v>
      </c>
      <c r="E75" s="13">
        <v>1939.028</v>
      </c>
      <c r="F75" s="49">
        <f t="shared" si="1"/>
        <v>0.15448920885204456</v>
      </c>
    </row>
    <row r="76" spans="1:6" x14ac:dyDescent="0.2">
      <c r="A76" s="52" t="s">
        <v>1185</v>
      </c>
      <c r="B76" s="52" t="s">
        <v>1186</v>
      </c>
      <c r="C76" s="52" t="s">
        <v>709</v>
      </c>
      <c r="D76" s="14">
        <v>200</v>
      </c>
      <c r="E76" s="13">
        <v>1935.326</v>
      </c>
      <c r="F76" s="49">
        <f t="shared" si="1"/>
        <v>0.15419425743763987</v>
      </c>
    </row>
    <row r="77" spans="1:6" x14ac:dyDescent="0.2">
      <c r="A77" s="52" t="s">
        <v>727</v>
      </c>
      <c r="B77" s="52" t="s">
        <v>728</v>
      </c>
      <c r="C77" s="52" t="s">
        <v>729</v>
      </c>
      <c r="D77" s="14">
        <v>150</v>
      </c>
      <c r="E77" s="13">
        <v>1498.8150000000001</v>
      </c>
      <c r="F77" s="49">
        <f t="shared" si="1"/>
        <v>0.11941588443569519</v>
      </c>
    </row>
    <row r="78" spans="1:6" x14ac:dyDescent="0.2">
      <c r="A78" s="52" t="s">
        <v>751</v>
      </c>
      <c r="B78" s="52" t="s">
        <v>752</v>
      </c>
      <c r="C78" s="52" t="s">
        <v>706</v>
      </c>
      <c r="D78" s="14">
        <v>150</v>
      </c>
      <c r="E78" s="13">
        <v>1484.5409999999999</v>
      </c>
      <c r="F78" s="49">
        <f t="shared" si="1"/>
        <v>0.11827862444401167</v>
      </c>
    </row>
    <row r="79" spans="1:6" x14ac:dyDescent="0.2">
      <c r="A79" s="52" t="s">
        <v>1187</v>
      </c>
      <c r="B79" s="52" t="s">
        <v>1188</v>
      </c>
      <c r="C79" s="52" t="s">
        <v>783</v>
      </c>
      <c r="D79" s="14">
        <v>140</v>
      </c>
      <c r="E79" s="13">
        <v>1430.2385999999999</v>
      </c>
      <c r="F79" s="49">
        <f t="shared" si="1"/>
        <v>0.11395216045547348</v>
      </c>
    </row>
    <row r="80" spans="1:6" x14ac:dyDescent="0.2">
      <c r="A80" s="52" t="s">
        <v>1189</v>
      </c>
      <c r="B80" s="52" t="s">
        <v>1190</v>
      </c>
      <c r="C80" s="52" t="s">
        <v>832</v>
      </c>
      <c r="D80" s="14">
        <v>1400</v>
      </c>
      <c r="E80" s="13">
        <v>1357.1222</v>
      </c>
      <c r="F80" s="49">
        <f t="shared" si="1"/>
        <v>0.10812671864127088</v>
      </c>
    </row>
    <row r="81" spans="1:6" x14ac:dyDescent="0.2">
      <c r="A81" s="52" t="s">
        <v>1191</v>
      </c>
      <c r="B81" s="52" t="s">
        <v>1192</v>
      </c>
      <c r="C81" s="52" t="s">
        <v>688</v>
      </c>
      <c r="D81" s="14">
        <v>100</v>
      </c>
      <c r="E81" s="13">
        <v>1015.951</v>
      </c>
      <c r="F81" s="49">
        <f t="shared" si="1"/>
        <v>8.0944404218218358E-2</v>
      </c>
    </row>
    <row r="82" spans="1:6" x14ac:dyDescent="0.2">
      <c r="A82" s="52" t="s">
        <v>1193</v>
      </c>
      <c r="B82" s="52" t="s">
        <v>1194</v>
      </c>
      <c r="C82" s="52" t="s">
        <v>706</v>
      </c>
      <c r="D82" s="14">
        <v>100</v>
      </c>
      <c r="E82" s="13">
        <v>1012.02</v>
      </c>
      <c r="F82" s="49">
        <f t="shared" si="1"/>
        <v>8.0631207565051211E-2</v>
      </c>
    </row>
    <row r="83" spans="1:6" x14ac:dyDescent="0.2">
      <c r="A83" s="52" t="s">
        <v>1195</v>
      </c>
      <c r="B83" s="52" t="s">
        <v>1196</v>
      </c>
      <c r="C83" s="52" t="s">
        <v>892</v>
      </c>
      <c r="D83" s="14">
        <v>100</v>
      </c>
      <c r="E83" s="13">
        <v>1003.612</v>
      </c>
      <c r="F83" s="49">
        <f t="shared" si="1"/>
        <v>7.9961312510401159E-2</v>
      </c>
    </row>
    <row r="84" spans="1:6" x14ac:dyDescent="0.2">
      <c r="A84" s="52" t="s">
        <v>1197</v>
      </c>
      <c r="B84" s="52" t="s">
        <v>1198</v>
      </c>
      <c r="C84" s="52" t="s">
        <v>688</v>
      </c>
      <c r="D84" s="14">
        <v>80</v>
      </c>
      <c r="E84" s="13">
        <v>836.79920000000004</v>
      </c>
      <c r="F84" s="49">
        <f t="shared" si="1"/>
        <v>6.6670747599324925E-2</v>
      </c>
    </row>
    <row r="85" spans="1:6" x14ac:dyDescent="0.2">
      <c r="A85" s="52" t="s">
        <v>868</v>
      </c>
      <c r="B85" s="52" t="s">
        <v>869</v>
      </c>
      <c r="C85" s="52" t="s">
        <v>700</v>
      </c>
      <c r="D85" s="14">
        <v>76</v>
      </c>
      <c r="E85" s="13">
        <v>758.94359999999995</v>
      </c>
      <c r="F85" s="49">
        <f t="shared" si="1"/>
        <v>6.0467716983624041E-2</v>
      </c>
    </row>
    <row r="86" spans="1:6" x14ac:dyDescent="0.2">
      <c r="A86" s="52" t="s">
        <v>1199</v>
      </c>
      <c r="B86" s="52" t="s">
        <v>1200</v>
      </c>
      <c r="C86" s="52" t="s">
        <v>688</v>
      </c>
      <c r="D86" s="14">
        <v>63</v>
      </c>
      <c r="E86" s="13">
        <v>636.08327999999995</v>
      </c>
      <c r="F86" s="49">
        <f t="shared" si="1"/>
        <v>5.067900138173019E-2</v>
      </c>
    </row>
    <row r="87" spans="1:6" x14ac:dyDescent="0.2">
      <c r="A87" s="52" t="s">
        <v>743</v>
      </c>
      <c r="B87" s="52" t="s">
        <v>744</v>
      </c>
      <c r="C87" s="52" t="s">
        <v>700</v>
      </c>
      <c r="D87" s="14">
        <v>62</v>
      </c>
      <c r="E87" s="13">
        <v>594.75049999999999</v>
      </c>
      <c r="F87" s="49">
        <f t="shared" si="1"/>
        <v>4.7385872823578576E-2</v>
      </c>
    </row>
    <row r="88" spans="1:6" x14ac:dyDescent="0.2">
      <c r="A88" s="52" t="s">
        <v>713</v>
      </c>
      <c r="B88" s="52" t="s">
        <v>714</v>
      </c>
      <c r="C88" s="52" t="s">
        <v>700</v>
      </c>
      <c r="D88" s="14">
        <v>62</v>
      </c>
      <c r="E88" s="13">
        <v>591.85572000000002</v>
      </c>
      <c r="F88" s="49">
        <f t="shared" si="1"/>
        <v>4.7155235477443963E-2</v>
      </c>
    </row>
    <row r="89" spans="1:6" x14ac:dyDescent="0.2">
      <c r="A89" s="52" t="s">
        <v>1201</v>
      </c>
      <c r="B89" s="52" t="s">
        <v>1202</v>
      </c>
      <c r="C89" s="52" t="s">
        <v>685</v>
      </c>
      <c r="D89" s="14">
        <v>55</v>
      </c>
      <c r="E89" s="13">
        <v>548.08159999999998</v>
      </c>
      <c r="F89" s="49">
        <f t="shared" si="1"/>
        <v>4.3667596739378048E-2</v>
      </c>
    </row>
    <row r="90" spans="1:6" x14ac:dyDescent="0.2">
      <c r="A90" s="52" t="s">
        <v>762</v>
      </c>
      <c r="B90" s="52" t="s">
        <v>763</v>
      </c>
      <c r="C90" s="52" t="s">
        <v>764</v>
      </c>
      <c r="D90" s="14">
        <v>50</v>
      </c>
      <c r="E90" s="13">
        <v>501.697</v>
      </c>
      <c r="F90" s="49">
        <f t="shared" si="1"/>
        <v>3.9971971840243772E-2</v>
      </c>
    </row>
    <row r="91" spans="1:6" x14ac:dyDescent="0.2">
      <c r="A91" s="52" t="s">
        <v>969</v>
      </c>
      <c r="B91" s="52" t="s">
        <v>970</v>
      </c>
      <c r="C91" s="52" t="s">
        <v>709</v>
      </c>
      <c r="D91" s="14">
        <v>50</v>
      </c>
      <c r="E91" s="13">
        <v>497.779</v>
      </c>
      <c r="F91" s="49">
        <f t="shared" si="1"/>
        <v>3.9659810942988906E-2</v>
      </c>
    </row>
    <row r="92" spans="1:6" x14ac:dyDescent="0.2">
      <c r="A92" s="52" t="s">
        <v>1203</v>
      </c>
      <c r="B92" s="52" t="s">
        <v>1184</v>
      </c>
      <c r="C92" s="52" t="s">
        <v>899</v>
      </c>
      <c r="D92" s="14">
        <v>50</v>
      </c>
      <c r="E92" s="13">
        <v>465.49950000000001</v>
      </c>
      <c r="F92" s="49">
        <f t="shared" si="1"/>
        <v>3.7087989176031656E-2</v>
      </c>
    </row>
    <row r="93" spans="1:6" x14ac:dyDescent="0.2">
      <c r="A93" s="52" t="s">
        <v>1204</v>
      </c>
      <c r="B93" s="52" t="s">
        <v>1205</v>
      </c>
      <c r="C93" s="52" t="s">
        <v>688</v>
      </c>
      <c r="D93" s="14">
        <v>37</v>
      </c>
      <c r="E93" s="13">
        <v>372.96185000000003</v>
      </c>
      <c r="F93" s="49">
        <f t="shared" si="1"/>
        <v>2.9715187784031444E-2</v>
      </c>
    </row>
    <row r="94" spans="1:6" x14ac:dyDescent="0.2">
      <c r="A94" s="52" t="s">
        <v>1206</v>
      </c>
      <c r="B94" s="52" t="s">
        <v>1207</v>
      </c>
      <c r="C94" s="52" t="s">
        <v>1208</v>
      </c>
      <c r="D94" s="14">
        <v>36</v>
      </c>
      <c r="E94" s="13">
        <v>363.79331999999999</v>
      </c>
      <c r="F94" s="49">
        <f t="shared" si="1"/>
        <v>2.8984698618307044E-2</v>
      </c>
    </row>
    <row r="95" spans="1:6" x14ac:dyDescent="0.2">
      <c r="A95" s="52" t="s">
        <v>1209</v>
      </c>
      <c r="B95" s="52" t="s">
        <v>1210</v>
      </c>
      <c r="C95" s="52" t="s">
        <v>688</v>
      </c>
      <c r="D95" s="14">
        <v>30</v>
      </c>
      <c r="E95" s="13">
        <v>303.03480000000002</v>
      </c>
      <c r="F95" s="49">
        <f t="shared" si="1"/>
        <v>2.4143852748200415E-2</v>
      </c>
    </row>
    <row r="96" spans="1:6" x14ac:dyDescent="0.2">
      <c r="A96" s="52" t="s">
        <v>1211</v>
      </c>
      <c r="B96" s="52" t="s">
        <v>1212</v>
      </c>
      <c r="C96" s="52" t="s">
        <v>688</v>
      </c>
      <c r="D96" s="14">
        <v>28</v>
      </c>
      <c r="E96" s="13">
        <v>278.11027999999999</v>
      </c>
      <c r="F96" s="49">
        <f t="shared" si="1"/>
        <v>2.2158028213527907E-2</v>
      </c>
    </row>
    <row r="97" spans="1:6" x14ac:dyDescent="0.2">
      <c r="A97" s="52" t="s">
        <v>1213</v>
      </c>
      <c r="B97" s="52" t="s">
        <v>1214</v>
      </c>
      <c r="C97" s="52" t="s">
        <v>1215</v>
      </c>
      <c r="D97" s="14">
        <v>18</v>
      </c>
      <c r="E97" s="13">
        <v>205.46874</v>
      </c>
      <c r="F97" s="49">
        <f t="shared" si="1"/>
        <v>1.6370420172594949E-2</v>
      </c>
    </row>
    <row r="98" spans="1:6" x14ac:dyDescent="0.2">
      <c r="A98" s="52" t="s">
        <v>1216</v>
      </c>
      <c r="B98" s="52" t="s">
        <v>1217</v>
      </c>
      <c r="C98" s="52" t="s">
        <v>688</v>
      </c>
      <c r="D98" s="14">
        <v>17</v>
      </c>
      <c r="E98" s="13">
        <v>174.07371000000001</v>
      </c>
      <c r="F98" s="49">
        <f t="shared" si="1"/>
        <v>1.3869067254232656E-2</v>
      </c>
    </row>
    <row r="99" spans="1:6" x14ac:dyDescent="0.2">
      <c r="A99" s="52" t="s">
        <v>1218</v>
      </c>
      <c r="B99" s="52" t="s">
        <v>1219</v>
      </c>
      <c r="C99" s="52" t="s">
        <v>688</v>
      </c>
      <c r="D99" s="14">
        <v>12</v>
      </c>
      <c r="E99" s="13">
        <v>123.45528</v>
      </c>
      <c r="F99" s="49">
        <f t="shared" si="1"/>
        <v>9.8361181663223218E-3</v>
      </c>
    </row>
    <row r="100" spans="1:6" x14ac:dyDescent="0.2">
      <c r="A100" s="52" t="s">
        <v>1220</v>
      </c>
      <c r="B100" s="52" t="s">
        <v>1221</v>
      </c>
      <c r="C100" s="52" t="s">
        <v>688</v>
      </c>
      <c r="D100" s="14">
        <v>1</v>
      </c>
      <c r="E100" s="13">
        <v>100.703</v>
      </c>
      <c r="F100" s="49">
        <f t="shared" si="1"/>
        <v>8.0233636641799111E-3</v>
      </c>
    </row>
    <row r="101" spans="1:6" x14ac:dyDescent="0.2">
      <c r="A101" s="52" t="s">
        <v>1222</v>
      </c>
      <c r="B101" s="52" t="s">
        <v>1223</v>
      </c>
      <c r="C101" s="52" t="s">
        <v>685</v>
      </c>
      <c r="D101" s="14">
        <v>9</v>
      </c>
      <c r="E101" s="13">
        <v>92.959919999999997</v>
      </c>
      <c r="F101" s="49">
        <f t="shared" si="1"/>
        <v>7.4064451342370271E-3</v>
      </c>
    </row>
    <row r="102" spans="1:6" x14ac:dyDescent="0.2">
      <c r="A102" s="52" t="s">
        <v>967</v>
      </c>
      <c r="B102" s="52" t="s">
        <v>968</v>
      </c>
      <c r="C102" s="52" t="s">
        <v>694</v>
      </c>
      <c r="D102" s="14">
        <v>4000</v>
      </c>
      <c r="E102" s="13">
        <v>38.691040000000001</v>
      </c>
      <c r="F102" s="69" t="s">
        <v>607</v>
      </c>
    </row>
    <row r="103" spans="1:6" x14ac:dyDescent="0.2">
      <c r="A103" s="41" t="s">
        <v>43</v>
      </c>
      <c r="B103" s="52"/>
      <c r="C103" s="52"/>
      <c r="D103" s="14"/>
      <c r="E103" s="50">
        <f>SUM(E8:E102)</f>
        <v>847607.4143700006</v>
      </c>
      <c r="F103" s="6">
        <f>SUM(F8:F102)</f>
        <v>67.528793557900727</v>
      </c>
    </row>
    <row r="104" spans="1:6" x14ac:dyDescent="0.2">
      <c r="A104" s="52"/>
      <c r="B104" s="52"/>
      <c r="C104" s="52"/>
      <c r="D104" s="14"/>
      <c r="E104" s="13"/>
      <c r="F104" s="49"/>
    </row>
    <row r="105" spans="1:6" x14ac:dyDescent="0.2">
      <c r="A105" s="41" t="s">
        <v>772</v>
      </c>
      <c r="B105" s="52"/>
      <c r="C105" s="52"/>
      <c r="D105" s="14"/>
      <c r="E105" s="13"/>
      <c r="F105" s="49"/>
    </row>
    <row r="106" spans="1:6" x14ac:dyDescent="0.2">
      <c r="A106" s="52" t="s">
        <v>779</v>
      </c>
      <c r="B106" s="52" t="s">
        <v>780</v>
      </c>
      <c r="C106" s="52" t="s">
        <v>775</v>
      </c>
      <c r="D106" s="14">
        <v>480</v>
      </c>
      <c r="E106" s="13">
        <v>54727.296000000002</v>
      </c>
      <c r="F106" s="49">
        <f t="shared" ref="F106:F157" si="2">E106/$E$165*100</f>
        <v>4.3603169534692965</v>
      </c>
    </row>
    <row r="107" spans="1:6" x14ac:dyDescent="0.2">
      <c r="A107" s="52" t="s">
        <v>823</v>
      </c>
      <c r="B107" s="52" t="s">
        <v>824</v>
      </c>
      <c r="C107" s="52" t="s">
        <v>802</v>
      </c>
      <c r="D107" s="14">
        <v>350</v>
      </c>
      <c r="E107" s="13">
        <v>35360.57</v>
      </c>
      <c r="F107" s="49">
        <f t="shared" si="2"/>
        <v>2.8173014953148385</v>
      </c>
    </row>
    <row r="108" spans="1:6" x14ac:dyDescent="0.2">
      <c r="A108" s="52" t="s">
        <v>1224</v>
      </c>
      <c r="B108" s="52" t="s">
        <v>785</v>
      </c>
      <c r="C108" s="52" t="s">
        <v>691</v>
      </c>
      <c r="D108" s="14">
        <v>2450</v>
      </c>
      <c r="E108" s="13">
        <v>24447.766</v>
      </c>
      <c r="F108" s="49">
        <f t="shared" si="2"/>
        <v>1.9478398597338016</v>
      </c>
    </row>
    <row r="109" spans="1:6" x14ac:dyDescent="0.2">
      <c r="A109" s="52" t="s">
        <v>828</v>
      </c>
      <c r="B109" s="52" t="s">
        <v>829</v>
      </c>
      <c r="C109" s="52" t="s">
        <v>783</v>
      </c>
      <c r="D109" s="14">
        <v>2560</v>
      </c>
      <c r="E109" s="13">
        <v>24315.596799999999</v>
      </c>
      <c r="F109" s="49">
        <f t="shared" si="2"/>
        <v>1.9373094727860072</v>
      </c>
    </row>
    <row r="110" spans="1:6" x14ac:dyDescent="0.2">
      <c r="A110" s="52" t="s">
        <v>1225</v>
      </c>
      <c r="B110" s="52" t="s">
        <v>1226</v>
      </c>
      <c r="C110" s="52" t="s">
        <v>788</v>
      </c>
      <c r="D110" s="14">
        <v>1660</v>
      </c>
      <c r="E110" s="13">
        <v>14813.956200000001</v>
      </c>
      <c r="F110" s="49">
        <f t="shared" si="2"/>
        <v>1.1802802091082956</v>
      </c>
    </row>
    <row r="111" spans="1:6" x14ac:dyDescent="0.2">
      <c r="A111" s="52" t="s">
        <v>800</v>
      </c>
      <c r="B111" s="52" t="s">
        <v>801</v>
      </c>
      <c r="C111" s="52" t="s">
        <v>802</v>
      </c>
      <c r="D111" s="14">
        <v>1480</v>
      </c>
      <c r="E111" s="13">
        <v>14260.3624</v>
      </c>
      <c r="F111" s="49">
        <f t="shared" si="2"/>
        <v>1.1361734359274045</v>
      </c>
    </row>
    <row r="112" spans="1:6" x14ac:dyDescent="0.2">
      <c r="A112" s="52" t="s">
        <v>1044</v>
      </c>
      <c r="B112" s="52" t="s">
        <v>1045</v>
      </c>
      <c r="C112" s="52" t="s">
        <v>783</v>
      </c>
      <c r="D112" s="14">
        <v>1150</v>
      </c>
      <c r="E112" s="13">
        <v>11727.5275</v>
      </c>
      <c r="F112" s="49">
        <f t="shared" si="2"/>
        <v>0.93437353419630664</v>
      </c>
    </row>
    <row r="113" spans="1:6" x14ac:dyDescent="0.2">
      <c r="A113" s="52" t="s">
        <v>786</v>
      </c>
      <c r="B113" s="52" t="s">
        <v>787</v>
      </c>
      <c r="C113" s="52" t="s">
        <v>788</v>
      </c>
      <c r="D113" s="14">
        <v>1280</v>
      </c>
      <c r="E113" s="13">
        <v>11439.705599999999</v>
      </c>
      <c r="F113" s="49">
        <f t="shared" si="2"/>
        <v>0.91144174691871571</v>
      </c>
    </row>
    <row r="114" spans="1:6" x14ac:dyDescent="0.2">
      <c r="A114" s="52" t="s">
        <v>1227</v>
      </c>
      <c r="B114" s="52" t="s">
        <v>1228</v>
      </c>
      <c r="C114" s="52" t="s">
        <v>1229</v>
      </c>
      <c r="D114" s="14">
        <v>80</v>
      </c>
      <c r="E114" s="13">
        <v>11303</v>
      </c>
      <c r="F114" s="49">
        <f t="shared" si="2"/>
        <v>0.90054992896165476</v>
      </c>
    </row>
    <row r="115" spans="1:6" x14ac:dyDescent="0.2">
      <c r="A115" s="52" t="s">
        <v>1230</v>
      </c>
      <c r="B115" s="52" t="s">
        <v>1231</v>
      </c>
      <c r="C115" s="52" t="s">
        <v>818</v>
      </c>
      <c r="D115" s="14">
        <v>1112</v>
      </c>
      <c r="E115" s="13">
        <v>10663.4128</v>
      </c>
      <c r="F115" s="49">
        <f t="shared" si="2"/>
        <v>0.84959175789868191</v>
      </c>
    </row>
    <row r="116" spans="1:6" x14ac:dyDescent="0.2">
      <c r="A116" s="52" t="s">
        <v>1232</v>
      </c>
      <c r="B116" s="52" t="s">
        <v>1233</v>
      </c>
      <c r="C116" s="52" t="s">
        <v>832</v>
      </c>
      <c r="D116" s="14">
        <v>1000</v>
      </c>
      <c r="E116" s="13">
        <v>10104.799999999999</v>
      </c>
      <c r="F116" s="49">
        <f t="shared" si="2"/>
        <v>0.8050851032621188</v>
      </c>
    </row>
    <row r="117" spans="1:6" x14ac:dyDescent="0.2">
      <c r="A117" s="52" t="s">
        <v>1234</v>
      </c>
      <c r="B117" s="52" t="s">
        <v>1235</v>
      </c>
      <c r="C117" s="52" t="s">
        <v>775</v>
      </c>
      <c r="D117" s="14">
        <v>1000</v>
      </c>
      <c r="E117" s="13">
        <v>9968.33</v>
      </c>
      <c r="F117" s="49">
        <f t="shared" si="2"/>
        <v>0.79421205638912973</v>
      </c>
    </row>
    <row r="118" spans="1:6" x14ac:dyDescent="0.2">
      <c r="A118" s="52" t="s">
        <v>1236</v>
      </c>
      <c r="B118" s="52" t="s">
        <v>1237</v>
      </c>
      <c r="C118" s="52" t="s">
        <v>794</v>
      </c>
      <c r="D118" s="14">
        <v>75</v>
      </c>
      <c r="E118" s="13">
        <v>9198.1275000000005</v>
      </c>
      <c r="F118" s="49">
        <f t="shared" si="2"/>
        <v>0.73284730307929258</v>
      </c>
    </row>
    <row r="119" spans="1:6" x14ac:dyDescent="0.2">
      <c r="A119" s="52" t="s">
        <v>1238</v>
      </c>
      <c r="B119" s="52" t="s">
        <v>1239</v>
      </c>
      <c r="C119" s="52" t="s">
        <v>775</v>
      </c>
      <c r="D119" s="14">
        <v>800</v>
      </c>
      <c r="E119" s="13">
        <v>7883.1279999999997</v>
      </c>
      <c r="F119" s="49">
        <f t="shared" si="2"/>
        <v>0.6280766487123447</v>
      </c>
    </row>
    <row r="120" spans="1:6" x14ac:dyDescent="0.2">
      <c r="A120" s="52" t="s">
        <v>1240</v>
      </c>
      <c r="B120" s="52" t="s">
        <v>1241</v>
      </c>
      <c r="C120" s="52" t="s">
        <v>783</v>
      </c>
      <c r="D120" s="14">
        <v>750</v>
      </c>
      <c r="E120" s="13">
        <v>7562.3924999999999</v>
      </c>
      <c r="F120" s="49">
        <f t="shared" si="2"/>
        <v>0.60252251868133688</v>
      </c>
    </row>
    <row r="121" spans="1:6" x14ac:dyDescent="0.2">
      <c r="A121" s="52" t="s">
        <v>1242</v>
      </c>
      <c r="B121" s="52" t="s">
        <v>1243</v>
      </c>
      <c r="C121" s="52" t="s">
        <v>832</v>
      </c>
      <c r="D121" s="14">
        <v>15</v>
      </c>
      <c r="E121" s="13">
        <v>7541.6175000000003</v>
      </c>
      <c r="F121" s="49">
        <f t="shared" si="2"/>
        <v>0.60086730105998165</v>
      </c>
    </row>
    <row r="122" spans="1:6" x14ac:dyDescent="0.2">
      <c r="A122" s="52" t="s">
        <v>795</v>
      </c>
      <c r="B122" s="52" t="s">
        <v>796</v>
      </c>
      <c r="C122" s="52" t="s">
        <v>797</v>
      </c>
      <c r="D122" s="14">
        <v>850</v>
      </c>
      <c r="E122" s="13">
        <v>7539.2025000000003</v>
      </c>
      <c r="F122" s="49">
        <f t="shared" si="2"/>
        <v>0.60067488948089276</v>
      </c>
    </row>
    <row r="123" spans="1:6" x14ac:dyDescent="0.2">
      <c r="A123" s="52" t="s">
        <v>1244</v>
      </c>
      <c r="B123" s="52" t="s">
        <v>1245</v>
      </c>
      <c r="C123" s="52" t="s">
        <v>813</v>
      </c>
      <c r="D123" s="14">
        <v>1873</v>
      </c>
      <c r="E123" s="13">
        <v>7492</v>
      </c>
      <c r="F123" s="49">
        <f t="shared" si="2"/>
        <v>0.59691409960016961</v>
      </c>
    </row>
    <row r="124" spans="1:6" x14ac:dyDescent="0.2">
      <c r="A124" s="52" t="s">
        <v>1246</v>
      </c>
      <c r="B124" s="52" t="s">
        <v>1247</v>
      </c>
      <c r="C124" s="52" t="s">
        <v>1248</v>
      </c>
      <c r="D124" s="14">
        <v>700</v>
      </c>
      <c r="E124" s="13">
        <v>6831.8950000000004</v>
      </c>
      <c r="F124" s="49">
        <f t="shared" si="2"/>
        <v>0.5443212029481983</v>
      </c>
    </row>
    <row r="125" spans="1:6" x14ac:dyDescent="0.2">
      <c r="A125" s="52" t="s">
        <v>784</v>
      </c>
      <c r="B125" s="52" t="s">
        <v>785</v>
      </c>
      <c r="C125" s="52" t="s">
        <v>691</v>
      </c>
      <c r="D125" s="14">
        <v>650</v>
      </c>
      <c r="E125" s="13">
        <v>6472.96</v>
      </c>
      <c r="F125" s="49">
        <f t="shared" si="2"/>
        <v>0.51572358384248729</v>
      </c>
    </row>
    <row r="126" spans="1:6" x14ac:dyDescent="0.2">
      <c r="A126" s="52" t="s">
        <v>1249</v>
      </c>
      <c r="B126" s="52" t="s">
        <v>1250</v>
      </c>
      <c r="C126" s="52" t="s">
        <v>775</v>
      </c>
      <c r="D126" s="14">
        <v>600</v>
      </c>
      <c r="E126" s="13">
        <v>5950.2</v>
      </c>
      <c r="F126" s="49">
        <f t="shared" si="2"/>
        <v>0.47407344840375459</v>
      </c>
    </row>
    <row r="127" spans="1:6" x14ac:dyDescent="0.2">
      <c r="A127" s="52" t="s">
        <v>792</v>
      </c>
      <c r="B127" s="52" t="s">
        <v>793</v>
      </c>
      <c r="C127" s="52" t="s">
        <v>794</v>
      </c>
      <c r="D127" s="14">
        <v>44</v>
      </c>
      <c r="E127" s="13">
        <v>5396.2348000000002</v>
      </c>
      <c r="F127" s="49">
        <f t="shared" si="2"/>
        <v>0.42993708447318496</v>
      </c>
    </row>
    <row r="128" spans="1:6" x14ac:dyDescent="0.2">
      <c r="A128" s="52" t="s">
        <v>1251</v>
      </c>
      <c r="B128" s="52" t="s">
        <v>1252</v>
      </c>
      <c r="C128" s="52" t="s">
        <v>791</v>
      </c>
      <c r="D128" s="14">
        <v>500</v>
      </c>
      <c r="E128" s="13">
        <v>4990.03</v>
      </c>
      <c r="F128" s="49">
        <f t="shared" si="2"/>
        <v>0.39757331345806657</v>
      </c>
    </row>
    <row r="129" spans="1:6" x14ac:dyDescent="0.2">
      <c r="A129" s="52" t="s">
        <v>776</v>
      </c>
      <c r="B129" s="52" t="s">
        <v>777</v>
      </c>
      <c r="C129" s="52" t="s">
        <v>778</v>
      </c>
      <c r="D129" s="14">
        <v>400</v>
      </c>
      <c r="E129" s="13">
        <v>4595.7960000000003</v>
      </c>
      <c r="F129" s="49">
        <f t="shared" si="2"/>
        <v>0.36616329835638839</v>
      </c>
    </row>
    <row r="130" spans="1:6" x14ac:dyDescent="0.2">
      <c r="A130" s="52" t="s">
        <v>816</v>
      </c>
      <c r="B130" s="52" t="s">
        <v>817</v>
      </c>
      <c r="C130" s="52" t="s">
        <v>818</v>
      </c>
      <c r="D130" s="14">
        <v>435</v>
      </c>
      <c r="E130" s="13">
        <v>4337.0326500000001</v>
      </c>
      <c r="F130" s="49">
        <f t="shared" si="2"/>
        <v>0.34554670838378104</v>
      </c>
    </row>
    <row r="131" spans="1:6" x14ac:dyDescent="0.2">
      <c r="A131" s="52" t="s">
        <v>1253</v>
      </c>
      <c r="B131" s="52" t="s">
        <v>1254</v>
      </c>
      <c r="C131" s="52" t="s">
        <v>1229</v>
      </c>
      <c r="D131" s="14">
        <v>31</v>
      </c>
      <c r="E131" s="13">
        <v>4335.2632000000003</v>
      </c>
      <c r="F131" s="49">
        <f t="shared" si="2"/>
        <v>0.34540573005309005</v>
      </c>
    </row>
    <row r="132" spans="1:6" x14ac:dyDescent="0.2">
      <c r="A132" s="52" t="s">
        <v>1255</v>
      </c>
      <c r="B132" s="52" t="s">
        <v>1256</v>
      </c>
      <c r="C132" s="52" t="s">
        <v>794</v>
      </c>
      <c r="D132" s="14">
        <v>34</v>
      </c>
      <c r="E132" s="13">
        <v>4169.8177999999998</v>
      </c>
      <c r="F132" s="49">
        <f t="shared" si="2"/>
        <v>0.33222411072927927</v>
      </c>
    </row>
    <row r="133" spans="1:6" x14ac:dyDescent="0.2">
      <c r="A133" s="52" t="s">
        <v>1257</v>
      </c>
      <c r="B133" s="52" t="s">
        <v>1258</v>
      </c>
      <c r="C133" s="52" t="s">
        <v>791</v>
      </c>
      <c r="D133" s="14">
        <v>394</v>
      </c>
      <c r="E133" s="13">
        <v>3968.0370400000002</v>
      </c>
      <c r="F133" s="49">
        <f t="shared" si="2"/>
        <v>0.31614752494817439</v>
      </c>
    </row>
    <row r="134" spans="1:6" x14ac:dyDescent="0.2">
      <c r="A134" s="52" t="s">
        <v>1259</v>
      </c>
      <c r="B134" s="52" t="s">
        <v>1260</v>
      </c>
      <c r="C134" s="52" t="s">
        <v>775</v>
      </c>
      <c r="D134" s="14">
        <v>375</v>
      </c>
      <c r="E134" s="13">
        <v>3754.9875000000002</v>
      </c>
      <c r="F134" s="49">
        <f t="shared" si="2"/>
        <v>0.29917311566636307</v>
      </c>
    </row>
    <row r="135" spans="1:6" x14ac:dyDescent="0.2">
      <c r="A135" s="52" t="s">
        <v>821</v>
      </c>
      <c r="B135" s="52" t="s">
        <v>822</v>
      </c>
      <c r="C135" s="52" t="s">
        <v>788</v>
      </c>
      <c r="D135" s="14">
        <v>385</v>
      </c>
      <c r="E135" s="13">
        <v>3572.6691000000001</v>
      </c>
      <c r="F135" s="49">
        <f t="shared" si="2"/>
        <v>0.28464716484194452</v>
      </c>
    </row>
    <row r="136" spans="1:6" x14ac:dyDescent="0.2">
      <c r="A136" s="52" t="s">
        <v>1261</v>
      </c>
      <c r="B136" s="52" t="s">
        <v>1262</v>
      </c>
      <c r="C136" s="52" t="s">
        <v>813</v>
      </c>
      <c r="D136" s="14">
        <v>877</v>
      </c>
      <c r="E136" s="13">
        <v>3508</v>
      </c>
      <c r="F136" s="49">
        <f t="shared" si="2"/>
        <v>0.27949474925218837</v>
      </c>
    </row>
    <row r="137" spans="1:6" x14ac:dyDescent="0.2">
      <c r="A137" s="52" t="s">
        <v>1263</v>
      </c>
      <c r="B137" s="52" t="s">
        <v>1264</v>
      </c>
      <c r="C137" s="52" t="s">
        <v>775</v>
      </c>
      <c r="D137" s="14">
        <v>350</v>
      </c>
      <c r="E137" s="13">
        <v>3501.6905000000002</v>
      </c>
      <c r="F137" s="49">
        <f t="shared" si="2"/>
        <v>0.27899204910383985</v>
      </c>
    </row>
    <row r="138" spans="1:6" x14ac:dyDescent="0.2">
      <c r="A138" s="52" t="s">
        <v>1023</v>
      </c>
      <c r="B138" s="52" t="s">
        <v>1024</v>
      </c>
      <c r="C138" s="52" t="s">
        <v>729</v>
      </c>
      <c r="D138" s="14">
        <v>310</v>
      </c>
      <c r="E138" s="13">
        <v>3060.5772999999999</v>
      </c>
      <c r="F138" s="49">
        <f t="shared" si="2"/>
        <v>0.24384700257424163</v>
      </c>
    </row>
    <row r="139" spans="1:6" x14ac:dyDescent="0.2">
      <c r="A139" s="52" t="s">
        <v>1265</v>
      </c>
      <c r="B139" s="52" t="s">
        <v>1266</v>
      </c>
      <c r="C139" s="52" t="s">
        <v>791</v>
      </c>
      <c r="D139" s="14">
        <v>300</v>
      </c>
      <c r="E139" s="13">
        <v>3005.826</v>
      </c>
      <c r="F139" s="49">
        <f t="shared" si="2"/>
        <v>0.23948477313731711</v>
      </c>
    </row>
    <row r="140" spans="1:6" x14ac:dyDescent="0.2">
      <c r="A140" s="52" t="s">
        <v>808</v>
      </c>
      <c r="B140" s="52" t="s">
        <v>809</v>
      </c>
      <c r="C140" s="52" t="s">
        <v>810</v>
      </c>
      <c r="D140" s="14">
        <v>300</v>
      </c>
      <c r="E140" s="13">
        <v>2949.7080000000001</v>
      </c>
      <c r="F140" s="49">
        <f t="shared" si="2"/>
        <v>0.23501365388459922</v>
      </c>
    </row>
    <row r="141" spans="1:6" x14ac:dyDescent="0.2">
      <c r="A141" s="52" t="s">
        <v>1267</v>
      </c>
      <c r="B141" s="52" t="s">
        <v>1268</v>
      </c>
      <c r="C141" s="52" t="s">
        <v>775</v>
      </c>
      <c r="D141" s="14">
        <v>250</v>
      </c>
      <c r="E141" s="13">
        <v>2519.0425</v>
      </c>
      <c r="F141" s="49">
        <f t="shared" si="2"/>
        <v>0.20070101251228784</v>
      </c>
    </row>
    <row r="142" spans="1:6" x14ac:dyDescent="0.2">
      <c r="A142" s="52" t="s">
        <v>1269</v>
      </c>
      <c r="B142" s="52" t="s">
        <v>1270</v>
      </c>
      <c r="C142" s="52" t="s">
        <v>791</v>
      </c>
      <c r="D142" s="14">
        <v>250</v>
      </c>
      <c r="E142" s="13">
        <v>2296.5625</v>
      </c>
      <c r="F142" s="49">
        <f t="shared" si="2"/>
        <v>0.18297524517659031</v>
      </c>
    </row>
    <row r="143" spans="1:6" x14ac:dyDescent="0.2">
      <c r="A143" s="52" t="s">
        <v>1271</v>
      </c>
      <c r="B143" s="52" t="s">
        <v>1272</v>
      </c>
      <c r="C143" s="52" t="s">
        <v>1273</v>
      </c>
      <c r="D143" s="14">
        <v>468</v>
      </c>
      <c r="E143" s="13">
        <v>2110.23072</v>
      </c>
      <c r="F143" s="49">
        <f t="shared" si="2"/>
        <v>0.16812953419346205</v>
      </c>
    </row>
    <row r="144" spans="1:6" x14ac:dyDescent="0.2">
      <c r="A144" s="52" t="s">
        <v>1274</v>
      </c>
      <c r="B144" s="52" t="s">
        <v>1275</v>
      </c>
      <c r="C144" s="52" t="s">
        <v>791</v>
      </c>
      <c r="D144" s="14">
        <v>200</v>
      </c>
      <c r="E144" s="13">
        <v>2005.5440000000001</v>
      </c>
      <c r="F144" s="49">
        <f t="shared" si="2"/>
        <v>0.15978877348752307</v>
      </c>
    </row>
    <row r="145" spans="1:6" x14ac:dyDescent="0.2">
      <c r="A145" s="52" t="s">
        <v>1276</v>
      </c>
      <c r="B145" s="52" t="s">
        <v>1277</v>
      </c>
      <c r="C145" s="52" t="s">
        <v>791</v>
      </c>
      <c r="D145" s="14">
        <v>200</v>
      </c>
      <c r="E145" s="13">
        <v>2001.87</v>
      </c>
      <c r="F145" s="49">
        <f t="shared" si="2"/>
        <v>0.15949605293200636</v>
      </c>
    </row>
    <row r="146" spans="1:6" x14ac:dyDescent="0.2">
      <c r="A146" s="52" t="s">
        <v>1056</v>
      </c>
      <c r="B146" s="52" t="s">
        <v>1057</v>
      </c>
      <c r="C146" s="52" t="s">
        <v>764</v>
      </c>
      <c r="D146" s="14">
        <v>15</v>
      </c>
      <c r="E146" s="13">
        <v>1858.3215</v>
      </c>
      <c r="F146" s="49">
        <f t="shared" si="2"/>
        <v>0.14805903696478068</v>
      </c>
    </row>
    <row r="147" spans="1:6" x14ac:dyDescent="0.2">
      <c r="A147" s="52" t="s">
        <v>814</v>
      </c>
      <c r="B147" s="52" t="s">
        <v>815</v>
      </c>
      <c r="C147" s="52" t="s">
        <v>788</v>
      </c>
      <c r="D147" s="14">
        <v>150</v>
      </c>
      <c r="E147" s="13">
        <v>1390.38</v>
      </c>
      <c r="F147" s="49">
        <f t="shared" si="2"/>
        <v>0.11077648502430379</v>
      </c>
    </row>
    <row r="148" spans="1:6" x14ac:dyDescent="0.2">
      <c r="A148" s="52" t="s">
        <v>819</v>
      </c>
      <c r="B148" s="52" t="s">
        <v>820</v>
      </c>
      <c r="C148" s="52" t="s">
        <v>788</v>
      </c>
      <c r="D148" s="14">
        <v>102</v>
      </c>
      <c r="E148" s="13">
        <v>1047.62976</v>
      </c>
      <c r="F148" s="49">
        <f t="shared" si="2"/>
        <v>8.3468362907733837E-2</v>
      </c>
    </row>
    <row r="149" spans="1:6" x14ac:dyDescent="0.2">
      <c r="A149" s="52" t="s">
        <v>1042</v>
      </c>
      <c r="B149" s="52" t="s">
        <v>1043</v>
      </c>
      <c r="C149" s="52" t="s">
        <v>706</v>
      </c>
      <c r="D149" s="14">
        <v>100</v>
      </c>
      <c r="E149" s="13">
        <v>1006.107</v>
      </c>
      <c r="F149" s="49">
        <f t="shared" si="2"/>
        <v>8.0160097972027208E-2</v>
      </c>
    </row>
    <row r="150" spans="1:6" x14ac:dyDescent="0.2">
      <c r="A150" s="52" t="s">
        <v>825</v>
      </c>
      <c r="B150" s="52" t="s">
        <v>826</v>
      </c>
      <c r="C150" s="52" t="s">
        <v>827</v>
      </c>
      <c r="D150" s="14">
        <v>100</v>
      </c>
      <c r="E150" s="13">
        <v>1004.648</v>
      </c>
      <c r="F150" s="49">
        <f t="shared" si="2"/>
        <v>8.0043854289256713E-2</v>
      </c>
    </row>
    <row r="151" spans="1:6" x14ac:dyDescent="0.2">
      <c r="A151" s="52" t="s">
        <v>1278</v>
      </c>
      <c r="B151" s="52" t="s">
        <v>1279</v>
      </c>
      <c r="C151" s="52" t="s">
        <v>791</v>
      </c>
      <c r="D151" s="14">
        <v>100</v>
      </c>
      <c r="E151" s="13">
        <v>1002.079</v>
      </c>
      <c r="F151" s="49">
        <f t="shared" si="2"/>
        <v>7.9839172986283818E-2</v>
      </c>
    </row>
    <row r="152" spans="1:6" x14ac:dyDescent="0.2">
      <c r="A152" s="52" t="s">
        <v>1280</v>
      </c>
      <c r="B152" s="52" t="s">
        <v>1281</v>
      </c>
      <c r="C152" s="52" t="s">
        <v>764</v>
      </c>
      <c r="D152" s="14">
        <v>5</v>
      </c>
      <c r="E152" s="13">
        <v>724.52800000000002</v>
      </c>
      <c r="F152" s="49">
        <f t="shared" si="2"/>
        <v>5.772570458557285E-2</v>
      </c>
    </row>
    <row r="153" spans="1:6" x14ac:dyDescent="0.2">
      <c r="A153" s="52" t="s">
        <v>1017</v>
      </c>
      <c r="B153" s="52" t="s">
        <v>1018</v>
      </c>
      <c r="C153" s="52" t="s">
        <v>832</v>
      </c>
      <c r="D153" s="14">
        <v>50</v>
      </c>
      <c r="E153" s="13">
        <v>657.27250000000004</v>
      </c>
      <c r="F153" s="49">
        <f t="shared" si="2"/>
        <v>5.2367221373391955E-2</v>
      </c>
    </row>
    <row r="154" spans="1:6" x14ac:dyDescent="0.2">
      <c r="A154" s="52" t="s">
        <v>1013</v>
      </c>
      <c r="B154" s="52" t="s">
        <v>1014</v>
      </c>
      <c r="C154" s="52" t="s">
        <v>832</v>
      </c>
      <c r="D154" s="14">
        <v>50</v>
      </c>
      <c r="E154" s="13">
        <v>657.27250000000004</v>
      </c>
      <c r="F154" s="49">
        <f t="shared" si="2"/>
        <v>5.2367221373391955E-2</v>
      </c>
    </row>
    <row r="155" spans="1:6" x14ac:dyDescent="0.2">
      <c r="A155" s="52" t="s">
        <v>830</v>
      </c>
      <c r="B155" s="52" t="s">
        <v>831</v>
      </c>
      <c r="C155" s="52" t="s">
        <v>832</v>
      </c>
      <c r="D155" s="14">
        <v>20</v>
      </c>
      <c r="E155" s="13">
        <v>201.89920000000001</v>
      </c>
      <c r="F155" s="49">
        <f t="shared" si="2"/>
        <v>1.6086022314201091E-2</v>
      </c>
    </row>
    <row r="156" spans="1:6" x14ac:dyDescent="0.2">
      <c r="A156" s="52" t="s">
        <v>1282</v>
      </c>
      <c r="B156" s="52" t="s">
        <v>1283</v>
      </c>
      <c r="C156" s="52" t="s">
        <v>688</v>
      </c>
      <c r="D156" s="14">
        <v>13</v>
      </c>
      <c r="E156" s="13">
        <v>129.90341000000001</v>
      </c>
      <c r="F156" s="49">
        <f t="shared" si="2"/>
        <v>1.0349863456372356E-2</v>
      </c>
    </row>
    <row r="157" spans="1:6" x14ac:dyDescent="0.2">
      <c r="A157" s="52" t="s">
        <v>1284</v>
      </c>
      <c r="B157" s="52" t="s">
        <v>1285</v>
      </c>
      <c r="C157" s="52" t="s">
        <v>813</v>
      </c>
      <c r="D157" s="14">
        <v>31</v>
      </c>
      <c r="E157" s="13">
        <v>124</v>
      </c>
      <c r="F157" s="49">
        <f t="shared" si="2"/>
        <v>9.8795179325174894E-3</v>
      </c>
    </row>
    <row r="158" spans="1:6" x14ac:dyDescent="0.2">
      <c r="A158" s="52" t="s">
        <v>1286</v>
      </c>
      <c r="B158" s="52" t="s">
        <v>1287</v>
      </c>
      <c r="C158" s="52" t="s">
        <v>688</v>
      </c>
      <c r="D158" s="14">
        <v>6</v>
      </c>
      <c r="E158" s="13">
        <v>60.316679999999998</v>
      </c>
      <c r="F158" s="69" t="s">
        <v>607</v>
      </c>
    </row>
    <row r="159" spans="1:6" x14ac:dyDescent="0.2">
      <c r="A159" s="41" t="s">
        <v>43</v>
      </c>
      <c r="B159" s="52"/>
      <c r="C159" s="52"/>
      <c r="D159" s="52"/>
      <c r="E159" s="50">
        <f>SUM(E106:E158)</f>
        <v>375547.12346000009</v>
      </c>
      <c r="F159" s="6">
        <f>SUM(F106:F158)</f>
        <v>29.916360008118868</v>
      </c>
    </row>
    <row r="160" spans="1:6" x14ac:dyDescent="0.2">
      <c r="A160" s="52"/>
      <c r="B160" s="52"/>
      <c r="C160" s="52"/>
      <c r="D160" s="52"/>
      <c r="E160" s="13"/>
      <c r="F160" s="49"/>
    </row>
    <row r="161" spans="1:6" x14ac:dyDescent="0.2">
      <c r="A161" s="41" t="s">
        <v>43</v>
      </c>
      <c r="B161" s="52"/>
      <c r="C161" s="52"/>
      <c r="D161" s="52"/>
      <c r="E161" s="50">
        <f>E103+E159</f>
        <v>1223154.5378300007</v>
      </c>
      <c r="F161" s="6">
        <f>F103+F159</f>
        <v>97.445153566019599</v>
      </c>
    </row>
    <row r="162" spans="1:6" x14ac:dyDescent="0.2">
      <c r="A162" s="52"/>
      <c r="B162" s="52"/>
      <c r="C162" s="52"/>
      <c r="D162" s="52"/>
      <c r="E162" s="13"/>
      <c r="F162" s="49"/>
    </row>
    <row r="163" spans="1:6" x14ac:dyDescent="0.2">
      <c r="A163" s="41" t="s">
        <v>100</v>
      </c>
      <c r="B163" s="52"/>
      <c r="C163" s="52"/>
      <c r="D163" s="52"/>
      <c r="E163" s="50">
        <v>31967.431146499999</v>
      </c>
      <c r="F163" s="6">
        <v>2.5499999999999998</v>
      </c>
    </row>
    <row r="164" spans="1:6" x14ac:dyDescent="0.2">
      <c r="A164" s="52"/>
      <c r="B164" s="52"/>
      <c r="C164" s="52"/>
      <c r="D164" s="52"/>
      <c r="E164" s="13"/>
      <c r="F164" s="49"/>
    </row>
    <row r="165" spans="1:6" x14ac:dyDescent="0.2">
      <c r="A165" s="57" t="s">
        <v>101</v>
      </c>
      <c r="B165" s="34"/>
      <c r="C165" s="34"/>
      <c r="D165" s="34"/>
      <c r="E165" s="51">
        <f>E161+E163</f>
        <v>1255121.9689765007</v>
      </c>
      <c r="F165" s="8">
        <f xml:space="preserve"> ROUND(SUM(F161:F164),2)</f>
        <v>100</v>
      </c>
    </row>
    <row r="166" spans="1:6" x14ac:dyDescent="0.2">
      <c r="A166" s="4" t="s">
        <v>1964</v>
      </c>
      <c r="F166" s="9" t="s">
        <v>1091</v>
      </c>
    </row>
    <row r="167" spans="1:6" x14ac:dyDescent="0.2">
      <c r="A167" s="60" t="s">
        <v>1963</v>
      </c>
    </row>
    <row r="168" spans="1:6" x14ac:dyDescent="0.2">
      <c r="A168" s="61"/>
    </row>
    <row r="169" spans="1:6" x14ac:dyDescent="0.2">
      <c r="A169" s="4" t="s">
        <v>102</v>
      </c>
    </row>
    <row r="170" spans="1:6" x14ac:dyDescent="0.2">
      <c r="A170" s="4" t="s">
        <v>833</v>
      </c>
    </row>
    <row r="171" spans="1:6" x14ac:dyDescent="0.2">
      <c r="A171" s="4" t="s">
        <v>104</v>
      </c>
    </row>
    <row r="172" spans="1:6" x14ac:dyDescent="0.2">
      <c r="A172" s="2" t="s">
        <v>1098</v>
      </c>
      <c r="D172" s="10">
        <v>3987.3389999999999</v>
      </c>
    </row>
    <row r="173" spans="1:6" x14ac:dyDescent="0.2">
      <c r="A173" s="2" t="s">
        <v>1100</v>
      </c>
      <c r="D173" s="10">
        <v>1078.2727</v>
      </c>
    </row>
    <row r="174" spans="1:6" x14ac:dyDescent="0.2">
      <c r="A174" s="2" t="s">
        <v>1288</v>
      </c>
      <c r="D174" s="10">
        <v>1206.6238000000001</v>
      </c>
    </row>
    <row r="175" spans="1:6" x14ac:dyDescent="0.2">
      <c r="A175" s="2" t="s">
        <v>1289</v>
      </c>
      <c r="D175" s="10">
        <v>1254.8779</v>
      </c>
    </row>
    <row r="176" spans="1:6" x14ac:dyDescent="0.2">
      <c r="A176" s="2" t="s">
        <v>1290</v>
      </c>
      <c r="D176" s="10">
        <v>4188.3406000000004</v>
      </c>
    </row>
    <row r="177" spans="1:4" x14ac:dyDescent="0.2">
      <c r="A177" s="2" t="s">
        <v>1291</v>
      </c>
      <c r="D177" s="10">
        <v>1080.0984000000001</v>
      </c>
    </row>
    <row r="178" spans="1:4" x14ac:dyDescent="0.2">
      <c r="A178" s="2" t="s">
        <v>1292</v>
      </c>
      <c r="D178" s="10">
        <v>1281.1873000000001</v>
      </c>
    </row>
    <row r="179" spans="1:4" x14ac:dyDescent="0.2">
      <c r="A179" s="2" t="s">
        <v>1293</v>
      </c>
      <c r="D179" s="10">
        <v>1334.0835999999999</v>
      </c>
    </row>
    <row r="180" spans="1:4" x14ac:dyDescent="0.2">
      <c r="A180" s="2" t="s">
        <v>1101</v>
      </c>
      <c r="D180" s="10">
        <v>3293.0297</v>
      </c>
    </row>
    <row r="182" spans="1:4" x14ac:dyDescent="0.2">
      <c r="A182" s="4" t="s">
        <v>105</v>
      </c>
    </row>
    <row r="183" spans="1:4" x14ac:dyDescent="0.2">
      <c r="A183" s="2" t="s">
        <v>1098</v>
      </c>
      <c r="D183" s="10">
        <v>4075.2341999999999</v>
      </c>
    </row>
    <row r="184" spans="1:4" x14ac:dyDescent="0.2">
      <c r="A184" s="2" t="s">
        <v>1100</v>
      </c>
      <c r="D184" s="10">
        <v>1063.6279999999999</v>
      </c>
    </row>
    <row r="185" spans="1:4" x14ac:dyDescent="0.2">
      <c r="A185" s="2" t="s">
        <v>1288</v>
      </c>
      <c r="D185" s="10">
        <v>1183.3558</v>
      </c>
    </row>
    <row r="186" spans="1:4" x14ac:dyDescent="0.2">
      <c r="A186" s="2" t="s">
        <v>1289</v>
      </c>
      <c r="D186" s="10">
        <v>1232.0909999999999</v>
      </c>
    </row>
    <row r="187" spans="1:4" x14ac:dyDescent="0.2">
      <c r="A187" s="2" t="s">
        <v>1290</v>
      </c>
      <c r="D187" s="10">
        <v>4297.1261999999997</v>
      </c>
    </row>
    <row r="188" spans="1:4" x14ac:dyDescent="0.2">
      <c r="A188" s="2" t="s">
        <v>1291</v>
      </c>
      <c r="D188" s="10">
        <v>1066.8933</v>
      </c>
    </row>
    <row r="189" spans="1:4" x14ac:dyDescent="0.2">
      <c r="A189" s="2" t="s">
        <v>1292</v>
      </c>
      <c r="D189" s="10">
        <v>1264.6289999999999</v>
      </c>
    </row>
    <row r="190" spans="1:4" x14ac:dyDescent="0.2">
      <c r="A190" s="2" t="s">
        <v>1293</v>
      </c>
      <c r="D190" s="10">
        <v>1318.3896999999999</v>
      </c>
    </row>
    <row r="191" spans="1:4" x14ac:dyDescent="0.2">
      <c r="A191" s="2" t="s">
        <v>1101</v>
      </c>
      <c r="D191" s="10">
        <v>3370.7242000000001</v>
      </c>
    </row>
    <row r="194" spans="1:5" x14ac:dyDescent="0.2">
      <c r="A194" s="4" t="s">
        <v>106</v>
      </c>
      <c r="D194" s="17" t="s">
        <v>319</v>
      </c>
    </row>
    <row r="195" spans="1:5" x14ac:dyDescent="0.2">
      <c r="A195" s="73" t="s">
        <v>602</v>
      </c>
      <c r="B195" s="74"/>
      <c r="C195" s="103" t="s">
        <v>603</v>
      </c>
      <c r="D195" s="103"/>
    </row>
    <row r="196" spans="1:5" x14ac:dyDescent="0.2">
      <c r="A196" s="105"/>
      <c r="B196" s="106"/>
      <c r="C196" s="20" t="s">
        <v>604</v>
      </c>
      <c r="D196" s="20" t="s">
        <v>605</v>
      </c>
    </row>
    <row r="197" spans="1:5" x14ac:dyDescent="0.2">
      <c r="A197" s="21" t="s">
        <v>1100</v>
      </c>
      <c r="B197" s="22"/>
      <c r="C197" s="72">
        <v>27.424774122999999</v>
      </c>
      <c r="D197" s="72">
        <v>25.395477512999999</v>
      </c>
    </row>
    <row r="198" spans="1:5" x14ac:dyDescent="0.2">
      <c r="A198" s="21" t="s">
        <v>1288</v>
      </c>
      <c r="B198" s="22"/>
      <c r="C198" s="72">
        <v>35.65597365</v>
      </c>
      <c r="D198" s="72">
        <v>33.017609298000004</v>
      </c>
    </row>
    <row r="199" spans="1:5" x14ac:dyDescent="0.2">
      <c r="A199" s="21" t="s">
        <v>1289</v>
      </c>
      <c r="B199" s="22"/>
      <c r="C199" s="72">
        <v>36.016134999999998</v>
      </c>
      <c r="D199" s="72">
        <v>33.3511205</v>
      </c>
    </row>
    <row r="200" spans="1:5" x14ac:dyDescent="0.2">
      <c r="A200" s="21" t="s">
        <v>1291</v>
      </c>
      <c r="B200" s="22"/>
      <c r="C200" s="72">
        <v>29.510972726999995</v>
      </c>
      <c r="D200" s="72">
        <v>27.327307820000005</v>
      </c>
    </row>
    <row r="201" spans="1:5" x14ac:dyDescent="0.2">
      <c r="A201" s="21" t="s">
        <v>1292</v>
      </c>
      <c r="B201" s="22"/>
      <c r="C201" s="72">
        <v>35.65597365</v>
      </c>
      <c r="D201" s="72">
        <v>33.017609298000004</v>
      </c>
    </row>
    <row r="202" spans="1:5" x14ac:dyDescent="0.2">
      <c r="A202" s="21" t="s">
        <v>1293</v>
      </c>
      <c r="B202" s="22"/>
      <c r="C202" s="72">
        <v>36.016134999999998</v>
      </c>
      <c r="D202" s="72">
        <v>33.3511205</v>
      </c>
    </row>
    <row r="203" spans="1:5" x14ac:dyDescent="0.2">
      <c r="A203" s="75"/>
      <c r="B203" s="75"/>
      <c r="C203" s="76"/>
      <c r="D203" s="76"/>
    </row>
    <row r="204" spans="1:5" x14ac:dyDescent="0.2">
      <c r="A204" s="4" t="s">
        <v>834</v>
      </c>
      <c r="D204" s="59">
        <v>2.7734277068420083</v>
      </c>
      <c r="E204" s="59" t="s">
        <v>1106</v>
      </c>
    </row>
    <row r="206" spans="1:5" x14ac:dyDescent="0.2">
      <c r="A206" s="4" t="s">
        <v>836</v>
      </c>
      <c r="D206" s="66">
        <v>3</v>
      </c>
    </row>
    <row r="207" spans="1:5" x14ac:dyDescent="0.2">
      <c r="A207" s="4" t="s">
        <v>837</v>
      </c>
    </row>
    <row r="208" spans="1:5" ht="15" x14ac:dyDescent="0.25">
      <c r="A208" s="68" t="s">
        <v>838</v>
      </c>
    </row>
  </sheetData>
  <mergeCells count="3">
    <mergeCell ref="A1:F1"/>
    <mergeCell ref="C195:D195"/>
    <mergeCell ref="A196:B196"/>
  </mergeCells>
  <hyperlinks>
    <hyperlink ref="A207" r:id="rId1" display="https://www.franklintempletonindia.com/investor/reports" xr:uid="{35643565-442F-4E35-A8AB-CF3BE4572FE8}"/>
    <hyperlink ref="A208" r:id="rId2" xr:uid="{9F555DF0-44DF-4F0E-A6CA-C6028BD970D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C520-6BCE-4FC5-95E5-D831A0640DA8}">
  <dimension ref="A1:F103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6.28515625" style="2" bestFit="1" customWidth="1"/>
    <col min="3" max="3" width="11.7109375" style="2" bestFit="1" customWidth="1"/>
    <col min="4" max="4" width="7.8554687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1294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1058</v>
      </c>
      <c r="B5" s="52"/>
      <c r="C5" s="52"/>
      <c r="D5" s="52"/>
      <c r="E5" s="13"/>
      <c r="F5" s="49"/>
    </row>
    <row r="6" spans="1:6" x14ac:dyDescent="0.2">
      <c r="A6" s="41" t="s">
        <v>1059</v>
      </c>
      <c r="B6" s="52"/>
      <c r="C6" s="52"/>
      <c r="D6" s="52"/>
      <c r="E6" s="13"/>
      <c r="F6" s="49"/>
    </row>
    <row r="7" spans="1:6" x14ac:dyDescent="0.2">
      <c r="A7" s="52" t="s">
        <v>1295</v>
      </c>
      <c r="B7" s="52" t="s">
        <v>1296</v>
      </c>
      <c r="C7" s="52" t="s">
        <v>1062</v>
      </c>
      <c r="D7" s="14">
        <v>20000</v>
      </c>
      <c r="E7" s="13">
        <v>19222.52</v>
      </c>
      <c r="F7" s="49">
        <v>5.3828276757740703</v>
      </c>
    </row>
    <row r="8" spans="1:6" x14ac:dyDescent="0.2">
      <c r="A8" s="52" t="s">
        <v>1297</v>
      </c>
      <c r="B8" s="52" t="s">
        <v>1298</v>
      </c>
      <c r="C8" s="52" t="s">
        <v>1065</v>
      </c>
      <c r="D8" s="14">
        <v>12500</v>
      </c>
      <c r="E8" s="13">
        <v>12135.0875</v>
      </c>
      <c r="F8" s="49">
        <v>3.3981540840087598</v>
      </c>
    </row>
    <row r="9" spans="1:6" x14ac:dyDescent="0.2">
      <c r="A9" s="52" t="s">
        <v>1299</v>
      </c>
      <c r="B9" s="52" t="s">
        <v>1300</v>
      </c>
      <c r="C9" s="52" t="s">
        <v>1065</v>
      </c>
      <c r="D9" s="14">
        <v>12500</v>
      </c>
      <c r="E9" s="13">
        <v>11970.3</v>
      </c>
      <c r="F9" s="49">
        <v>3.3520091084477199</v>
      </c>
    </row>
    <row r="10" spans="1:6" x14ac:dyDescent="0.2">
      <c r="A10" s="52" t="s">
        <v>1301</v>
      </c>
      <c r="B10" s="52" t="s">
        <v>1302</v>
      </c>
      <c r="C10" s="52" t="s">
        <v>1303</v>
      </c>
      <c r="D10" s="14">
        <v>10000</v>
      </c>
      <c r="E10" s="13">
        <v>9687.93</v>
      </c>
      <c r="F10" s="49">
        <v>2.7128835202128498</v>
      </c>
    </row>
    <row r="11" spans="1:6" x14ac:dyDescent="0.2">
      <c r="A11" s="52" t="s">
        <v>1304</v>
      </c>
      <c r="B11" s="52" t="s">
        <v>1305</v>
      </c>
      <c r="C11" s="52" t="s">
        <v>1065</v>
      </c>
      <c r="D11" s="14">
        <v>8000</v>
      </c>
      <c r="E11" s="13">
        <v>7860.2560000000003</v>
      </c>
      <c r="F11" s="49">
        <v>2.20108516133521</v>
      </c>
    </row>
    <row r="12" spans="1:6" x14ac:dyDescent="0.2">
      <c r="A12" s="52" t="s">
        <v>1306</v>
      </c>
      <c r="B12" s="52" t="s">
        <v>1307</v>
      </c>
      <c r="C12" s="52" t="s">
        <v>1303</v>
      </c>
      <c r="D12" s="14">
        <v>7500</v>
      </c>
      <c r="E12" s="13">
        <v>7357.0950000000003</v>
      </c>
      <c r="F12" s="49">
        <v>2.0601864156884302</v>
      </c>
    </row>
    <row r="13" spans="1:6" x14ac:dyDescent="0.2">
      <c r="A13" s="52" t="s">
        <v>1308</v>
      </c>
      <c r="B13" s="52" t="s">
        <v>1309</v>
      </c>
      <c r="C13" s="52" t="s">
        <v>1303</v>
      </c>
      <c r="D13" s="14">
        <v>7500</v>
      </c>
      <c r="E13" s="13">
        <v>7351.3050000000003</v>
      </c>
      <c r="F13" s="49">
        <v>2.0585650584344002</v>
      </c>
    </row>
    <row r="14" spans="1:6" x14ac:dyDescent="0.2">
      <c r="A14" s="52" t="s">
        <v>1310</v>
      </c>
      <c r="B14" s="52" t="s">
        <v>1311</v>
      </c>
      <c r="C14" s="52" t="s">
        <v>1065</v>
      </c>
      <c r="D14" s="14">
        <v>7500</v>
      </c>
      <c r="E14" s="13">
        <v>7345.74</v>
      </c>
      <c r="F14" s="49">
        <v>2.0570067072912699</v>
      </c>
    </row>
    <row r="15" spans="1:6" x14ac:dyDescent="0.2">
      <c r="A15" s="52" t="s">
        <v>1312</v>
      </c>
      <c r="B15" s="52" t="s">
        <v>1313</v>
      </c>
      <c r="C15" s="52" t="s">
        <v>1065</v>
      </c>
      <c r="D15" s="14">
        <v>7500</v>
      </c>
      <c r="E15" s="13">
        <v>7345.2375000000002</v>
      </c>
      <c r="F15" s="49">
        <v>2.05686599364358</v>
      </c>
    </row>
    <row r="16" spans="1:6" x14ac:dyDescent="0.2">
      <c r="A16" s="52" t="s">
        <v>1063</v>
      </c>
      <c r="B16" s="52" t="s">
        <v>1064</v>
      </c>
      <c r="C16" s="52" t="s">
        <v>1065</v>
      </c>
      <c r="D16" s="14">
        <v>7400</v>
      </c>
      <c r="E16" s="13">
        <v>7297.14</v>
      </c>
      <c r="F16" s="49">
        <v>2.0433973873351698</v>
      </c>
    </row>
    <row r="17" spans="1:6" x14ac:dyDescent="0.2">
      <c r="A17" s="52" t="s">
        <v>1314</v>
      </c>
      <c r="B17" s="52" t="s">
        <v>1315</v>
      </c>
      <c r="C17" s="52" t="s">
        <v>1303</v>
      </c>
      <c r="D17" s="14">
        <v>5000</v>
      </c>
      <c r="E17" s="13">
        <v>4845.88</v>
      </c>
      <c r="F17" s="49">
        <v>1.3569780121170401</v>
      </c>
    </row>
    <row r="18" spans="1:6" x14ac:dyDescent="0.2">
      <c r="A18" s="52" t="s">
        <v>1316</v>
      </c>
      <c r="B18" s="52" t="s">
        <v>1317</v>
      </c>
      <c r="C18" s="52" t="s">
        <v>1065</v>
      </c>
      <c r="D18" s="14">
        <v>5000</v>
      </c>
      <c r="E18" s="13">
        <v>4839.6149999999998</v>
      </c>
      <c r="F18" s="49">
        <v>1.3552236419622099</v>
      </c>
    </row>
    <row r="19" spans="1:6" x14ac:dyDescent="0.2">
      <c r="A19" s="52" t="s">
        <v>1318</v>
      </c>
      <c r="B19" s="52" t="s">
        <v>1319</v>
      </c>
      <c r="C19" s="52" t="s">
        <v>1065</v>
      </c>
      <c r="D19" s="14">
        <v>5000</v>
      </c>
      <c r="E19" s="13">
        <v>4788.7700000000004</v>
      </c>
      <c r="F19" s="49">
        <v>1.3409856610328199</v>
      </c>
    </row>
    <row r="20" spans="1:6" x14ac:dyDescent="0.2">
      <c r="A20" s="52" t="s">
        <v>1320</v>
      </c>
      <c r="B20" s="52" t="s">
        <v>1321</v>
      </c>
      <c r="C20" s="52" t="s">
        <v>1062</v>
      </c>
      <c r="D20" s="14">
        <v>5000</v>
      </c>
      <c r="E20" s="13">
        <v>4763.4449999999997</v>
      </c>
      <c r="F20" s="49">
        <v>1.3338939732161901</v>
      </c>
    </row>
    <row r="21" spans="1:6" x14ac:dyDescent="0.2">
      <c r="A21" s="52" t="s">
        <v>1322</v>
      </c>
      <c r="B21" s="52" t="s">
        <v>1323</v>
      </c>
      <c r="C21" s="52" t="s">
        <v>1303</v>
      </c>
      <c r="D21" s="14">
        <v>3500</v>
      </c>
      <c r="E21" s="13">
        <v>3432.5234999999998</v>
      </c>
      <c r="F21" s="49">
        <v>0.96119980593308696</v>
      </c>
    </row>
    <row r="22" spans="1:6" x14ac:dyDescent="0.2">
      <c r="A22" s="52" t="s">
        <v>1324</v>
      </c>
      <c r="B22" s="52" t="s">
        <v>1325</v>
      </c>
      <c r="C22" s="52" t="s">
        <v>1065</v>
      </c>
      <c r="D22" s="14">
        <v>2500</v>
      </c>
      <c r="E22" s="13">
        <v>2469.6</v>
      </c>
      <c r="F22" s="49">
        <v>0.69155507332501998</v>
      </c>
    </row>
    <row r="23" spans="1:6" x14ac:dyDescent="0.2">
      <c r="A23" s="52" t="s">
        <v>1326</v>
      </c>
      <c r="B23" s="52" t="s">
        <v>1327</v>
      </c>
      <c r="C23" s="52" t="s">
        <v>1065</v>
      </c>
      <c r="D23" s="14">
        <v>2500</v>
      </c>
      <c r="E23" s="13">
        <v>2463.5025000000001</v>
      </c>
      <c r="F23" s="49">
        <v>0.689847607719416</v>
      </c>
    </row>
    <row r="24" spans="1:6" x14ac:dyDescent="0.2">
      <c r="A24" s="52" t="s">
        <v>1328</v>
      </c>
      <c r="B24" s="52" t="s">
        <v>1329</v>
      </c>
      <c r="C24" s="52" t="s">
        <v>1065</v>
      </c>
      <c r="D24" s="14">
        <v>2500</v>
      </c>
      <c r="E24" s="13">
        <v>2455.9875000000002</v>
      </c>
      <c r="F24" s="49">
        <v>0.687743203615092</v>
      </c>
    </row>
    <row r="25" spans="1:6" x14ac:dyDescent="0.2">
      <c r="A25" s="52" t="s">
        <v>1330</v>
      </c>
      <c r="B25" s="52" t="s">
        <v>1331</v>
      </c>
      <c r="C25" s="52" t="s">
        <v>1303</v>
      </c>
      <c r="D25" s="14">
        <v>2500</v>
      </c>
      <c r="E25" s="13">
        <v>2426.5124999999998</v>
      </c>
      <c r="F25" s="49">
        <v>0.67948940308615802</v>
      </c>
    </row>
    <row r="26" spans="1:6" x14ac:dyDescent="0.2">
      <c r="A26" s="52" t="s">
        <v>1332</v>
      </c>
      <c r="B26" s="52" t="s">
        <v>1333</v>
      </c>
      <c r="C26" s="52" t="s">
        <v>1065</v>
      </c>
      <c r="D26" s="14">
        <v>2500</v>
      </c>
      <c r="E26" s="13">
        <v>2412.6424999999999</v>
      </c>
      <c r="F26" s="49">
        <v>0.67560542638263599</v>
      </c>
    </row>
    <row r="27" spans="1:6" x14ac:dyDescent="0.2">
      <c r="A27" s="41" t="s">
        <v>43</v>
      </c>
      <c r="B27" s="52"/>
      <c r="C27" s="52"/>
      <c r="D27" s="14"/>
      <c r="E27" s="50">
        <f>SUM(E7:E26)</f>
        <v>132471.08950000003</v>
      </c>
      <c r="F27" s="6">
        <f>SUM(F7:F26)</f>
        <v>37.095502920561124</v>
      </c>
    </row>
    <row r="28" spans="1:6" x14ac:dyDescent="0.2">
      <c r="A28" s="52"/>
      <c r="B28" s="52"/>
      <c r="C28" s="52"/>
      <c r="D28" s="14"/>
      <c r="E28" s="13"/>
      <c r="F28" s="49"/>
    </row>
    <row r="29" spans="1:6" x14ac:dyDescent="0.2">
      <c r="A29" s="41" t="s">
        <v>1066</v>
      </c>
      <c r="B29" s="52"/>
      <c r="C29" s="52"/>
      <c r="D29" s="14"/>
      <c r="E29" s="13"/>
      <c r="F29" s="49"/>
    </row>
    <row r="30" spans="1:6" x14ac:dyDescent="0.2">
      <c r="A30" s="52" t="s">
        <v>1334</v>
      </c>
      <c r="B30" s="52" t="s">
        <v>1335</v>
      </c>
      <c r="C30" s="52" t="s">
        <v>1065</v>
      </c>
      <c r="D30" s="14">
        <v>5000</v>
      </c>
      <c r="E30" s="13">
        <v>24700.625</v>
      </c>
      <c r="F30" s="49">
        <v>6.9168458588632999</v>
      </c>
    </row>
    <row r="31" spans="1:6" x14ac:dyDescent="0.2">
      <c r="A31" s="52" t="s">
        <v>1336</v>
      </c>
      <c r="B31" s="52" t="s">
        <v>1337</v>
      </c>
      <c r="C31" s="52" t="s">
        <v>1062</v>
      </c>
      <c r="D31" s="14">
        <v>5000</v>
      </c>
      <c r="E31" s="13">
        <v>24473.4</v>
      </c>
      <c r="F31" s="49">
        <v>6.85321668752532</v>
      </c>
    </row>
    <row r="32" spans="1:6" x14ac:dyDescent="0.2">
      <c r="A32" s="52" t="s">
        <v>1338</v>
      </c>
      <c r="B32" s="52" t="s">
        <v>1339</v>
      </c>
      <c r="C32" s="52" t="s">
        <v>1065</v>
      </c>
      <c r="D32" s="14">
        <v>3500</v>
      </c>
      <c r="E32" s="13">
        <v>17197.512500000001</v>
      </c>
      <c r="F32" s="49">
        <v>4.8157705773993502</v>
      </c>
    </row>
    <row r="33" spans="1:6" x14ac:dyDescent="0.2">
      <c r="A33" s="52" t="s">
        <v>1340</v>
      </c>
      <c r="B33" s="52" t="s">
        <v>1341</v>
      </c>
      <c r="C33" s="52" t="s">
        <v>1065</v>
      </c>
      <c r="D33" s="14">
        <v>3200</v>
      </c>
      <c r="E33" s="13">
        <v>15453.584000000001</v>
      </c>
      <c r="F33" s="49">
        <v>4.3274232330151996</v>
      </c>
    </row>
    <row r="34" spans="1:6" x14ac:dyDescent="0.2">
      <c r="A34" s="52" t="s">
        <v>1342</v>
      </c>
      <c r="B34" s="52" t="s">
        <v>1343</v>
      </c>
      <c r="C34" s="52" t="s">
        <v>1069</v>
      </c>
      <c r="D34" s="14">
        <v>2500</v>
      </c>
      <c r="E34" s="13">
        <v>12374.8125</v>
      </c>
      <c r="F34" s="49">
        <v>3.4652835948416199</v>
      </c>
    </row>
    <row r="35" spans="1:6" x14ac:dyDescent="0.2">
      <c r="A35" s="52" t="s">
        <v>1344</v>
      </c>
      <c r="B35" s="52" t="s">
        <v>1345</v>
      </c>
      <c r="C35" s="52" t="s">
        <v>1069</v>
      </c>
      <c r="D35" s="14">
        <v>2090</v>
      </c>
      <c r="E35" s="13">
        <v>10258.764999999999</v>
      </c>
      <c r="F35" s="49">
        <v>2.8727328238577701</v>
      </c>
    </row>
    <row r="36" spans="1:6" x14ac:dyDescent="0.2">
      <c r="A36" s="52" t="s">
        <v>1346</v>
      </c>
      <c r="B36" s="52" t="s">
        <v>1347</v>
      </c>
      <c r="C36" s="52" t="s">
        <v>1062</v>
      </c>
      <c r="D36" s="14">
        <v>2000</v>
      </c>
      <c r="E36" s="13">
        <v>9576.84</v>
      </c>
      <c r="F36" s="49">
        <v>2.68177530305393</v>
      </c>
    </row>
    <row r="37" spans="1:6" x14ac:dyDescent="0.2">
      <c r="A37" s="52" t="s">
        <v>1348</v>
      </c>
      <c r="B37" s="52" t="s">
        <v>1349</v>
      </c>
      <c r="C37" s="52" t="s">
        <v>1062</v>
      </c>
      <c r="D37" s="14">
        <v>2000</v>
      </c>
      <c r="E37" s="13">
        <v>9519.1</v>
      </c>
      <c r="F37" s="49">
        <v>2.66560653485916</v>
      </c>
    </row>
    <row r="38" spans="1:6" x14ac:dyDescent="0.2">
      <c r="A38" s="52" t="s">
        <v>1350</v>
      </c>
      <c r="B38" s="52" t="s">
        <v>1351</v>
      </c>
      <c r="C38" s="52" t="s">
        <v>1065</v>
      </c>
      <c r="D38" s="14">
        <v>1600</v>
      </c>
      <c r="E38" s="13">
        <v>7855.88</v>
      </c>
      <c r="F38" s="49">
        <v>2.1998597624848402</v>
      </c>
    </row>
    <row r="39" spans="1:6" x14ac:dyDescent="0.2">
      <c r="A39" s="52" t="s">
        <v>1067</v>
      </c>
      <c r="B39" s="52" t="s">
        <v>1068</v>
      </c>
      <c r="C39" s="52" t="s">
        <v>1069</v>
      </c>
      <c r="D39" s="14">
        <v>1500</v>
      </c>
      <c r="E39" s="13">
        <v>7392.8175000000001</v>
      </c>
      <c r="F39" s="49">
        <v>2.0701896858968998</v>
      </c>
    </row>
    <row r="40" spans="1:6" x14ac:dyDescent="0.2">
      <c r="A40" s="52" t="s">
        <v>1352</v>
      </c>
      <c r="B40" s="52" t="s">
        <v>1353</v>
      </c>
      <c r="C40" s="52" t="s">
        <v>1062</v>
      </c>
      <c r="D40" s="14">
        <v>1500</v>
      </c>
      <c r="E40" s="13">
        <v>7365.8774999999996</v>
      </c>
      <c r="F40" s="49">
        <v>2.06264575421753</v>
      </c>
    </row>
    <row r="41" spans="1:6" x14ac:dyDescent="0.2">
      <c r="A41" s="52" t="s">
        <v>1354</v>
      </c>
      <c r="B41" s="52" t="s">
        <v>1355</v>
      </c>
      <c r="C41" s="52" t="s">
        <v>1303</v>
      </c>
      <c r="D41" s="14">
        <v>1500</v>
      </c>
      <c r="E41" s="13">
        <v>7320.72</v>
      </c>
      <c r="F41" s="49">
        <v>2.0500004277583201</v>
      </c>
    </row>
    <row r="42" spans="1:6" x14ac:dyDescent="0.2">
      <c r="A42" s="52" t="s">
        <v>1356</v>
      </c>
      <c r="B42" s="52" t="s">
        <v>1357</v>
      </c>
      <c r="C42" s="52" t="s">
        <v>1065</v>
      </c>
      <c r="D42" s="14">
        <v>1500</v>
      </c>
      <c r="E42" s="13">
        <v>7141.8525</v>
      </c>
      <c r="F42" s="49">
        <v>1.9999126697902401</v>
      </c>
    </row>
    <row r="43" spans="1:6" x14ac:dyDescent="0.2">
      <c r="A43" s="52" t="s">
        <v>1358</v>
      </c>
      <c r="B43" s="52" t="s">
        <v>1359</v>
      </c>
      <c r="C43" s="52" t="s">
        <v>1062</v>
      </c>
      <c r="D43" s="14">
        <v>1000</v>
      </c>
      <c r="E43" s="13">
        <v>4960.3100000000004</v>
      </c>
      <c r="F43" s="49">
        <v>1.3890215199889999</v>
      </c>
    </row>
    <row r="44" spans="1:6" x14ac:dyDescent="0.2">
      <c r="A44" s="52" t="s">
        <v>1360</v>
      </c>
      <c r="B44" s="52" t="s">
        <v>1361</v>
      </c>
      <c r="C44" s="52" t="s">
        <v>1065</v>
      </c>
      <c r="D44" s="14">
        <v>1000</v>
      </c>
      <c r="E44" s="13">
        <v>4945.0450000000001</v>
      </c>
      <c r="F44" s="49">
        <v>1.3847469053978501</v>
      </c>
    </row>
    <row r="45" spans="1:6" x14ac:dyDescent="0.2">
      <c r="A45" s="52" t="s">
        <v>1362</v>
      </c>
      <c r="B45" s="52" t="s">
        <v>1363</v>
      </c>
      <c r="C45" s="52" t="s">
        <v>1069</v>
      </c>
      <c r="D45" s="14">
        <v>1000</v>
      </c>
      <c r="E45" s="13">
        <v>4913.7049999999999</v>
      </c>
      <c r="F45" s="49">
        <v>1.3759708542162801</v>
      </c>
    </row>
    <row r="46" spans="1:6" x14ac:dyDescent="0.2">
      <c r="A46" s="52" t="s">
        <v>1364</v>
      </c>
      <c r="B46" s="52" t="s">
        <v>1365</v>
      </c>
      <c r="C46" s="52" t="s">
        <v>1065</v>
      </c>
      <c r="D46" s="14">
        <v>1000</v>
      </c>
      <c r="E46" s="13">
        <v>4904.57</v>
      </c>
      <c r="F46" s="49">
        <v>1.3734128061134201</v>
      </c>
    </row>
    <row r="47" spans="1:6" x14ac:dyDescent="0.2">
      <c r="A47" s="52" t="s">
        <v>1366</v>
      </c>
      <c r="B47" s="52" t="s">
        <v>1367</v>
      </c>
      <c r="C47" s="52" t="s">
        <v>1065</v>
      </c>
      <c r="D47" s="14">
        <v>987</v>
      </c>
      <c r="E47" s="13">
        <v>4829.2133400000002</v>
      </c>
      <c r="F47" s="49">
        <v>1.3523108946573801</v>
      </c>
    </row>
    <row r="48" spans="1:6" x14ac:dyDescent="0.2">
      <c r="A48" s="52" t="s">
        <v>1368</v>
      </c>
      <c r="B48" s="52" t="s">
        <v>1369</v>
      </c>
      <c r="C48" s="52" t="s">
        <v>1069</v>
      </c>
      <c r="D48" s="14">
        <v>1000</v>
      </c>
      <c r="E48" s="13">
        <v>4823.7</v>
      </c>
      <c r="F48" s="49">
        <v>1.3507670097173201</v>
      </c>
    </row>
    <row r="49" spans="1:6" x14ac:dyDescent="0.2">
      <c r="A49" s="52" t="s">
        <v>1370</v>
      </c>
      <c r="B49" s="52" t="s">
        <v>1371</v>
      </c>
      <c r="C49" s="52" t="s">
        <v>1065</v>
      </c>
      <c r="D49" s="14">
        <v>1000</v>
      </c>
      <c r="E49" s="13">
        <v>4767.6000000000004</v>
      </c>
      <c r="F49" s="49">
        <v>1.3350574860642901</v>
      </c>
    </row>
    <row r="50" spans="1:6" x14ac:dyDescent="0.2">
      <c r="A50" s="52" t="s">
        <v>1372</v>
      </c>
      <c r="B50" s="52" t="s">
        <v>1373</v>
      </c>
      <c r="C50" s="52" t="s">
        <v>1069</v>
      </c>
      <c r="D50" s="14">
        <v>600</v>
      </c>
      <c r="E50" s="13">
        <v>2983.65</v>
      </c>
      <c r="F50" s="49">
        <v>0.83550303471258303</v>
      </c>
    </row>
    <row r="51" spans="1:6" x14ac:dyDescent="0.2">
      <c r="A51" s="52" t="s">
        <v>1374</v>
      </c>
      <c r="B51" s="52" t="s">
        <v>1375</v>
      </c>
      <c r="C51" s="52" t="s">
        <v>1062</v>
      </c>
      <c r="D51" s="14">
        <v>500</v>
      </c>
      <c r="E51" s="13">
        <v>2417.7849999999999</v>
      </c>
      <c r="F51" s="49">
        <v>0.67704546605083105</v>
      </c>
    </row>
    <row r="52" spans="1:6" x14ac:dyDescent="0.2">
      <c r="A52" s="52" t="s">
        <v>1085</v>
      </c>
      <c r="B52" s="52" t="s">
        <v>1086</v>
      </c>
      <c r="C52" s="52" t="s">
        <v>1062</v>
      </c>
      <c r="D52" s="14">
        <v>480</v>
      </c>
      <c r="E52" s="13">
        <v>2363.0448000000001</v>
      </c>
      <c r="F52" s="49">
        <v>0.66171672332940801</v>
      </c>
    </row>
    <row r="53" spans="1:6" x14ac:dyDescent="0.2">
      <c r="A53" s="52" t="s">
        <v>1376</v>
      </c>
      <c r="B53" s="52" t="s">
        <v>1377</v>
      </c>
      <c r="C53" s="52" t="s">
        <v>1065</v>
      </c>
      <c r="D53" s="14">
        <v>420</v>
      </c>
      <c r="E53" s="13">
        <v>2062.4688000000001</v>
      </c>
      <c r="F53" s="49">
        <v>0.57754727980829501</v>
      </c>
    </row>
    <row r="54" spans="1:6" x14ac:dyDescent="0.2">
      <c r="A54" s="52" t="s">
        <v>1378</v>
      </c>
      <c r="B54" s="52" t="s">
        <v>1379</v>
      </c>
      <c r="C54" s="52" t="s">
        <v>1065</v>
      </c>
      <c r="D54" s="14">
        <v>400</v>
      </c>
      <c r="E54" s="13">
        <v>1965.3240000000001</v>
      </c>
      <c r="F54" s="49">
        <v>0.550344097395295</v>
      </c>
    </row>
    <row r="55" spans="1:6" x14ac:dyDescent="0.2">
      <c r="A55" s="52" t="s">
        <v>1380</v>
      </c>
      <c r="B55" s="52" t="s">
        <v>1381</v>
      </c>
      <c r="C55" s="52" t="s">
        <v>1062</v>
      </c>
      <c r="D55" s="14">
        <v>400</v>
      </c>
      <c r="E55" s="13">
        <v>1938.4780000000001</v>
      </c>
      <c r="F55" s="49">
        <v>0.54282648826892499</v>
      </c>
    </row>
    <row r="56" spans="1:6" x14ac:dyDescent="0.2">
      <c r="A56" s="52" t="s">
        <v>1087</v>
      </c>
      <c r="B56" s="52" t="s">
        <v>1088</v>
      </c>
      <c r="C56" s="52" t="s">
        <v>1062</v>
      </c>
      <c r="D56" s="14">
        <v>95</v>
      </c>
      <c r="E56" s="13">
        <v>466.37209999999999</v>
      </c>
      <c r="F56" s="49">
        <v>0.13059685447531699</v>
      </c>
    </row>
    <row r="57" spans="1:6" x14ac:dyDescent="0.2">
      <c r="A57" s="41" t="s">
        <v>43</v>
      </c>
      <c r="B57" s="52"/>
      <c r="C57" s="52"/>
      <c r="D57" s="14"/>
      <c r="E57" s="50">
        <f>SUM(E30:E56)</f>
        <v>208973.05254000003</v>
      </c>
      <c r="F57" s="6">
        <f>SUM(F30:F56)</f>
        <v>58.51813033375965</v>
      </c>
    </row>
    <row r="58" spans="1:6" x14ac:dyDescent="0.2">
      <c r="A58" s="52"/>
      <c r="B58" s="52"/>
      <c r="C58" s="52"/>
      <c r="D58" s="14"/>
      <c r="E58" s="13"/>
      <c r="F58" s="49"/>
    </row>
    <row r="59" spans="1:6" x14ac:dyDescent="0.2">
      <c r="A59" s="41" t="s">
        <v>43</v>
      </c>
      <c r="B59" s="52"/>
      <c r="C59" s="52"/>
      <c r="D59" s="52"/>
      <c r="E59" s="50">
        <v>341444.14204000006</v>
      </c>
      <c r="F59" s="6">
        <v>95.613633254320789</v>
      </c>
    </row>
    <row r="60" spans="1:6" x14ac:dyDescent="0.2">
      <c r="A60" s="52"/>
      <c r="B60" s="52"/>
      <c r="C60" s="52"/>
      <c r="D60" s="52"/>
      <c r="E60" s="13"/>
      <c r="F60" s="49"/>
    </row>
    <row r="61" spans="1:6" x14ac:dyDescent="0.2">
      <c r="A61" s="41" t="s">
        <v>100</v>
      </c>
      <c r="B61" s="52"/>
      <c r="C61" s="52"/>
      <c r="D61" s="52"/>
      <c r="E61" s="50">
        <v>15664.0781678</v>
      </c>
      <c r="F61" s="6">
        <v>4.3899999999999997</v>
      </c>
    </row>
    <row r="62" spans="1:6" x14ac:dyDescent="0.2">
      <c r="A62" s="52"/>
      <c r="B62" s="52"/>
      <c r="C62" s="52"/>
      <c r="D62" s="52"/>
      <c r="E62" s="13"/>
      <c r="F62" s="49"/>
    </row>
    <row r="63" spans="1:6" x14ac:dyDescent="0.2">
      <c r="A63" s="57" t="s">
        <v>101</v>
      </c>
      <c r="B63" s="34"/>
      <c r="C63" s="34"/>
      <c r="D63" s="34"/>
      <c r="E63" s="51">
        <v>357108.21816779999</v>
      </c>
      <c r="F63" s="8">
        <f xml:space="preserve"> ROUND(SUM(F59:F62),2)</f>
        <v>100</v>
      </c>
    </row>
    <row r="64" spans="1:6" x14ac:dyDescent="0.2">
      <c r="A64" s="58" t="s">
        <v>1964</v>
      </c>
    </row>
    <row r="65" spans="1:4" x14ac:dyDescent="0.2">
      <c r="A65" s="58"/>
    </row>
    <row r="66" spans="1:4" x14ac:dyDescent="0.2">
      <c r="A66" s="4" t="s">
        <v>102</v>
      </c>
    </row>
    <row r="67" spans="1:4" x14ac:dyDescent="0.2">
      <c r="A67" s="4" t="s">
        <v>833</v>
      </c>
    </row>
    <row r="68" spans="1:4" x14ac:dyDescent="0.2">
      <c r="A68" s="4" t="s">
        <v>104</v>
      </c>
    </row>
    <row r="69" spans="1:4" x14ac:dyDescent="0.2">
      <c r="A69" s="2" t="s">
        <v>1098</v>
      </c>
      <c r="D69" s="10">
        <v>34.495199999999997</v>
      </c>
    </row>
    <row r="70" spans="1:4" x14ac:dyDescent="0.2">
      <c r="A70" s="2" t="s">
        <v>1099</v>
      </c>
      <c r="D70" s="10">
        <v>10.0259</v>
      </c>
    </row>
    <row r="71" spans="1:4" x14ac:dyDescent="0.2">
      <c r="A71" s="2" t="s">
        <v>1288</v>
      </c>
      <c r="D71" s="10">
        <v>10.1829</v>
      </c>
    </row>
    <row r="72" spans="1:4" x14ac:dyDescent="0.2">
      <c r="A72" s="2" t="s">
        <v>1289</v>
      </c>
      <c r="D72" s="10">
        <v>10.920299999999999</v>
      </c>
    </row>
    <row r="73" spans="1:4" x14ac:dyDescent="0.2">
      <c r="A73" s="2" t="s">
        <v>1290</v>
      </c>
      <c r="D73" s="10">
        <v>35.2986</v>
      </c>
    </row>
    <row r="74" spans="1:4" x14ac:dyDescent="0.2">
      <c r="A74" s="2" t="s">
        <v>1382</v>
      </c>
      <c r="D74" s="10">
        <v>10.0319</v>
      </c>
    </row>
    <row r="75" spans="1:4" x14ac:dyDescent="0.2">
      <c r="A75" s="2" t="s">
        <v>1292</v>
      </c>
      <c r="D75" s="10">
        <v>10.462400000000001</v>
      </c>
    </row>
    <row r="76" spans="1:4" x14ac:dyDescent="0.2">
      <c r="A76" s="2" t="s">
        <v>1293</v>
      </c>
      <c r="D76" s="10">
        <v>11.2418</v>
      </c>
    </row>
    <row r="77" spans="1:4" x14ac:dyDescent="0.2">
      <c r="A77" s="2" t="s">
        <v>1383</v>
      </c>
      <c r="D77" s="10">
        <v>10.3588</v>
      </c>
    </row>
    <row r="79" spans="1:4" x14ac:dyDescent="0.2">
      <c r="A79" s="4" t="s">
        <v>105</v>
      </c>
    </row>
    <row r="80" spans="1:4" x14ac:dyDescent="0.2">
      <c r="A80" s="2" t="s">
        <v>1098</v>
      </c>
      <c r="D80" s="10">
        <v>36.091099999999997</v>
      </c>
    </row>
    <row r="81" spans="1:4" x14ac:dyDescent="0.2">
      <c r="A81" s="2" t="s">
        <v>1099</v>
      </c>
      <c r="D81" s="10">
        <v>10.0761</v>
      </c>
    </row>
    <row r="82" spans="1:4" x14ac:dyDescent="0.2">
      <c r="A82" s="2" t="s">
        <v>1288</v>
      </c>
      <c r="D82" s="10">
        <v>10.2562</v>
      </c>
    </row>
    <row r="83" spans="1:4" x14ac:dyDescent="0.2">
      <c r="A83" s="2" t="s">
        <v>1289</v>
      </c>
      <c r="D83" s="10">
        <v>10.9764</v>
      </c>
    </row>
    <row r="84" spans="1:4" x14ac:dyDescent="0.2">
      <c r="A84" s="2" t="s">
        <v>1290</v>
      </c>
      <c r="D84" s="10">
        <v>36.956499999999998</v>
      </c>
    </row>
    <row r="85" spans="1:4" x14ac:dyDescent="0.2">
      <c r="A85" s="2" t="s">
        <v>1382</v>
      </c>
      <c r="D85" s="10">
        <v>10.0817</v>
      </c>
    </row>
    <row r="86" spans="1:4" x14ac:dyDescent="0.2">
      <c r="A86" s="2" t="s">
        <v>1292</v>
      </c>
      <c r="D86" s="10">
        <v>10.5557</v>
      </c>
    </row>
    <row r="87" spans="1:4" x14ac:dyDescent="0.2">
      <c r="A87" s="2" t="s">
        <v>1293</v>
      </c>
      <c r="D87" s="10">
        <v>11.3203</v>
      </c>
    </row>
    <row r="88" spans="1:4" x14ac:dyDescent="0.2">
      <c r="A88" s="2" t="s">
        <v>1383</v>
      </c>
      <c r="D88" s="10">
        <v>10.382899999999999</v>
      </c>
    </row>
    <row r="90" spans="1:4" x14ac:dyDescent="0.2">
      <c r="A90" s="4" t="s">
        <v>106</v>
      </c>
      <c r="D90" s="17" t="s">
        <v>319</v>
      </c>
    </row>
    <row r="91" spans="1:4" x14ac:dyDescent="0.2">
      <c r="A91" s="70" t="s">
        <v>602</v>
      </c>
      <c r="B91" s="71"/>
      <c r="C91" s="103" t="s">
        <v>603</v>
      </c>
      <c r="D91" s="103"/>
    </row>
    <row r="92" spans="1:4" x14ac:dyDescent="0.2">
      <c r="A92" s="104"/>
      <c r="B92" s="104"/>
      <c r="C92" s="20" t="s">
        <v>604</v>
      </c>
      <c r="D92" s="20" t="s">
        <v>605</v>
      </c>
    </row>
    <row r="93" spans="1:4" x14ac:dyDescent="0.2">
      <c r="A93" s="21" t="s">
        <v>1099</v>
      </c>
      <c r="B93" s="22"/>
      <c r="C93" s="72">
        <v>0.29122507710000001</v>
      </c>
      <c r="D93" s="72">
        <v>0.2696758728000001</v>
      </c>
    </row>
    <row r="94" spans="1:4" x14ac:dyDescent="0.2">
      <c r="A94" s="21" t="s">
        <v>1288</v>
      </c>
      <c r="B94" s="22"/>
      <c r="C94" s="72">
        <v>0.280925853</v>
      </c>
      <c r="D94" s="72">
        <v>0.2601387402</v>
      </c>
    </row>
    <row r="95" spans="1:4" x14ac:dyDescent="0.2">
      <c r="A95" s="21" t="s">
        <v>1289</v>
      </c>
      <c r="B95" s="22"/>
      <c r="C95" s="72">
        <v>0.31694198800000001</v>
      </c>
      <c r="D95" s="72">
        <v>0.29348986040000002</v>
      </c>
    </row>
    <row r="96" spans="1:4" x14ac:dyDescent="0.2">
      <c r="A96" s="21" t="s">
        <v>1382</v>
      </c>
      <c r="B96" s="22"/>
      <c r="C96" s="72">
        <v>0.29638078949999996</v>
      </c>
      <c r="D96" s="72">
        <v>0.27445008780000008</v>
      </c>
    </row>
    <row r="97" spans="1:5" x14ac:dyDescent="0.2">
      <c r="A97" s="21" t="s">
        <v>1292</v>
      </c>
      <c r="B97" s="22"/>
      <c r="C97" s="72">
        <v>0.280925853</v>
      </c>
      <c r="D97" s="72">
        <v>0.2601387402</v>
      </c>
    </row>
    <row r="98" spans="1:5" x14ac:dyDescent="0.2">
      <c r="A98" s="21" t="s">
        <v>1293</v>
      </c>
      <c r="B98" s="22"/>
      <c r="C98" s="72">
        <v>0.31694198800000001</v>
      </c>
      <c r="D98" s="72">
        <v>0.29348986040000002</v>
      </c>
    </row>
    <row r="99" spans="1:5" x14ac:dyDescent="0.2">
      <c r="A99" s="21" t="s">
        <v>1383</v>
      </c>
      <c r="B99" s="22"/>
      <c r="C99" s="72">
        <v>0.29979830789999995</v>
      </c>
      <c r="D99" s="72">
        <v>0.27761472749999994</v>
      </c>
    </row>
    <row r="101" spans="1:5" x14ac:dyDescent="0.2">
      <c r="A101" s="4" t="s">
        <v>834</v>
      </c>
      <c r="D101" s="59">
        <v>0.42591066745968331</v>
      </c>
      <c r="E101" s="59" t="s">
        <v>1106</v>
      </c>
    </row>
    <row r="103" spans="1:5" x14ac:dyDescent="0.2">
      <c r="A103" s="4" t="s">
        <v>836</v>
      </c>
      <c r="D103" s="67" t="s">
        <v>107</v>
      </c>
    </row>
  </sheetData>
  <mergeCells count="3">
    <mergeCell ref="A1:F1"/>
    <mergeCell ref="C91:D91"/>
    <mergeCell ref="A92:B9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B3A0-7799-4087-AC5B-D5C04CD005E2}">
  <dimension ref="A1:F33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14.85546875" style="2" bestFit="1" customWidth="1"/>
    <col min="3" max="3" width="11.7109375" style="2" bestFit="1" customWidth="1"/>
    <col min="4" max="4" width="8.285156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1384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100</v>
      </c>
      <c r="B5" s="52"/>
      <c r="C5" s="52"/>
      <c r="D5" s="52"/>
      <c r="E5" s="50">
        <v>20238.896608800002</v>
      </c>
      <c r="F5" s="6">
        <v>100</v>
      </c>
    </row>
    <row r="6" spans="1:6" x14ac:dyDescent="0.2">
      <c r="A6" s="52"/>
      <c r="B6" s="52"/>
      <c r="C6" s="52"/>
      <c r="D6" s="52"/>
      <c r="E6" s="13"/>
      <c r="F6" s="49"/>
    </row>
    <row r="7" spans="1:6" x14ac:dyDescent="0.2">
      <c r="A7" s="57" t="s">
        <v>101</v>
      </c>
      <c r="B7" s="34"/>
      <c r="C7" s="34"/>
      <c r="D7" s="34"/>
      <c r="E7" s="51">
        <v>20238.896608800002</v>
      </c>
      <c r="F7" s="8">
        <f xml:space="preserve"> ROUND(SUM(F5:F6),2)</f>
        <v>100</v>
      </c>
    </row>
    <row r="9" spans="1:6" x14ac:dyDescent="0.2">
      <c r="A9" s="4" t="s">
        <v>102</v>
      </c>
    </row>
    <row r="10" spans="1:6" x14ac:dyDescent="0.2">
      <c r="A10" s="4" t="s">
        <v>833</v>
      </c>
    </row>
    <row r="11" spans="1:6" x14ac:dyDescent="0.2">
      <c r="A11" s="4" t="s">
        <v>104</v>
      </c>
      <c r="D11" s="11" t="s">
        <v>1385</v>
      </c>
    </row>
    <row r="13" spans="1:6" x14ac:dyDescent="0.2">
      <c r="A13" s="4" t="s">
        <v>105</v>
      </c>
    </row>
    <row r="14" spans="1:6" x14ac:dyDescent="0.2">
      <c r="A14" s="2" t="s">
        <v>600</v>
      </c>
      <c r="D14" s="10">
        <v>1025.7678000000001</v>
      </c>
    </row>
    <row r="15" spans="1:6" x14ac:dyDescent="0.2">
      <c r="A15" s="2" t="s">
        <v>1386</v>
      </c>
      <c r="D15" s="10">
        <v>1000</v>
      </c>
    </row>
    <row r="16" spans="1:6" x14ac:dyDescent="0.2">
      <c r="A16" s="2" t="s">
        <v>1387</v>
      </c>
      <c r="D16" s="10">
        <v>1000.3837</v>
      </c>
    </row>
    <row r="17" spans="1:5" x14ac:dyDescent="0.2">
      <c r="A17" s="2" t="s">
        <v>598</v>
      </c>
      <c r="D17" s="10">
        <v>1025.5006000000001</v>
      </c>
    </row>
    <row r="18" spans="1:5" x14ac:dyDescent="0.2">
      <c r="A18" s="2" t="s">
        <v>1388</v>
      </c>
      <c r="D18" s="10">
        <v>1000</v>
      </c>
    </row>
    <row r="19" spans="1:5" x14ac:dyDescent="0.2">
      <c r="A19" s="2" t="s">
        <v>1389</v>
      </c>
      <c r="D19" s="10">
        <v>1000.381</v>
      </c>
    </row>
    <row r="21" spans="1:5" x14ac:dyDescent="0.2">
      <c r="A21" s="4" t="s">
        <v>106</v>
      </c>
      <c r="D21" s="17" t="s">
        <v>319</v>
      </c>
    </row>
    <row r="22" spans="1:5" x14ac:dyDescent="0.2">
      <c r="A22" s="70" t="s">
        <v>602</v>
      </c>
      <c r="B22" s="71"/>
      <c r="C22" s="103" t="s">
        <v>603</v>
      </c>
      <c r="D22" s="103"/>
    </row>
    <row r="23" spans="1:5" x14ac:dyDescent="0.2">
      <c r="A23" s="104"/>
      <c r="B23" s="104"/>
      <c r="C23" s="20" t="s">
        <v>604</v>
      </c>
      <c r="D23" s="20" t="s">
        <v>605</v>
      </c>
    </row>
    <row r="24" spans="1:5" x14ac:dyDescent="0.2">
      <c r="A24" s="21" t="s">
        <v>1386</v>
      </c>
      <c r="B24" s="22"/>
      <c r="C24" s="72">
        <v>18.316702085999999</v>
      </c>
      <c r="D24" s="72">
        <v>16.961357417000013</v>
      </c>
    </row>
    <row r="25" spans="1:5" x14ac:dyDescent="0.2">
      <c r="A25" s="21" t="s">
        <v>1387</v>
      </c>
      <c r="B25" s="22"/>
      <c r="C25" s="72">
        <v>18.091461619999997</v>
      </c>
      <c r="D25" s="72">
        <v>16.752783623000003</v>
      </c>
    </row>
    <row r="26" spans="1:5" x14ac:dyDescent="0.2">
      <c r="A26" s="21" t="s">
        <v>1388</v>
      </c>
      <c r="B26" s="22"/>
      <c r="C26" s="72">
        <v>18.162672070999996</v>
      </c>
      <c r="D26" s="72">
        <v>16.818724856000003</v>
      </c>
    </row>
    <row r="27" spans="1:5" x14ac:dyDescent="0.2">
      <c r="A27" s="21" t="s">
        <v>1389</v>
      </c>
      <c r="B27" s="22"/>
      <c r="C27" s="72">
        <v>17.947654777000004</v>
      </c>
      <c r="D27" s="72">
        <v>16.619617770000001</v>
      </c>
    </row>
    <row r="29" spans="1:5" x14ac:dyDescent="0.2">
      <c r="A29" s="4" t="s">
        <v>834</v>
      </c>
      <c r="D29" s="59">
        <f>1/366</f>
        <v>2.7322404371584699E-3</v>
      </c>
      <c r="E29" s="59" t="s">
        <v>1106</v>
      </c>
    </row>
    <row r="31" spans="1:5" x14ac:dyDescent="0.2">
      <c r="A31" s="9" t="s">
        <v>1390</v>
      </c>
    </row>
    <row r="33" spans="1:4" x14ac:dyDescent="0.2">
      <c r="A33" s="4" t="s">
        <v>836</v>
      </c>
      <c r="D33" s="67" t="s">
        <v>107</v>
      </c>
    </row>
  </sheetData>
  <mergeCells count="3">
    <mergeCell ref="A1:F1"/>
    <mergeCell ref="C22:D22"/>
    <mergeCell ref="A23:B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86F8-F9EE-4F66-B53E-7747F55794A2}">
  <dimension ref="A1:F134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7.7109375" style="2" bestFit="1" customWidth="1"/>
    <col min="3" max="3" width="11.7109375" style="2" bestFit="1" customWidth="1"/>
    <col min="4" max="4" width="8.285156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1391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1392</v>
      </c>
      <c r="B8" s="52" t="s">
        <v>1393</v>
      </c>
      <c r="C8" s="52" t="s">
        <v>764</v>
      </c>
      <c r="D8" s="14">
        <v>350</v>
      </c>
      <c r="E8" s="13">
        <v>3499.4381334999998</v>
      </c>
      <c r="F8" s="49">
        <v>0.29163810836131399</v>
      </c>
    </row>
    <row r="9" spans="1:6" x14ac:dyDescent="0.2">
      <c r="A9" s="52" t="s">
        <v>1394</v>
      </c>
      <c r="B9" s="52" t="s">
        <v>1395</v>
      </c>
      <c r="C9" s="52" t="s">
        <v>709</v>
      </c>
      <c r="D9" s="14">
        <v>250</v>
      </c>
      <c r="E9" s="13">
        <v>2502.9</v>
      </c>
      <c r="F9" s="49">
        <v>0.20858806287496101</v>
      </c>
    </row>
    <row r="10" spans="1:6" x14ac:dyDescent="0.2">
      <c r="A10" s="52" t="s">
        <v>917</v>
      </c>
      <c r="B10" s="52" t="s">
        <v>918</v>
      </c>
      <c r="C10" s="52" t="s">
        <v>688</v>
      </c>
      <c r="D10" s="14">
        <v>250</v>
      </c>
      <c r="E10" s="13">
        <v>2502.3719999999998</v>
      </c>
      <c r="F10" s="49">
        <v>0.20854406011927801</v>
      </c>
    </row>
    <row r="11" spans="1:6" x14ac:dyDescent="0.2">
      <c r="A11" s="41" t="s">
        <v>43</v>
      </c>
      <c r="B11" s="52"/>
      <c r="C11" s="52"/>
      <c r="D11" s="14"/>
      <c r="E11" s="50">
        <f>SUM(E8:E10)</f>
        <v>8504.7101334999988</v>
      </c>
      <c r="F11" s="6">
        <f>SUM(F8:F10)</f>
        <v>0.70877023135555306</v>
      </c>
    </row>
    <row r="12" spans="1:6" x14ac:dyDescent="0.2">
      <c r="A12" s="52"/>
      <c r="B12" s="52"/>
      <c r="C12" s="52"/>
      <c r="D12" s="14"/>
      <c r="E12" s="13"/>
      <c r="F12" s="49"/>
    </row>
    <row r="13" spans="1:6" x14ac:dyDescent="0.2">
      <c r="A13" s="41" t="s">
        <v>1058</v>
      </c>
      <c r="B13" s="52"/>
      <c r="C13" s="52"/>
      <c r="D13" s="14"/>
      <c r="E13" s="13"/>
      <c r="F13" s="49"/>
    </row>
    <row r="14" spans="1:6" x14ac:dyDescent="0.2">
      <c r="A14" s="41" t="s">
        <v>1059</v>
      </c>
      <c r="B14" s="52"/>
      <c r="C14" s="52"/>
      <c r="D14" s="14"/>
      <c r="E14" s="13"/>
      <c r="F14" s="49"/>
    </row>
    <row r="15" spans="1:6" x14ac:dyDescent="0.2">
      <c r="A15" s="52" t="s">
        <v>1396</v>
      </c>
      <c r="B15" s="52" t="s">
        <v>1397</v>
      </c>
      <c r="C15" s="52" t="s">
        <v>1065</v>
      </c>
      <c r="D15" s="14">
        <v>65000</v>
      </c>
      <c r="E15" s="13">
        <v>64895.48</v>
      </c>
      <c r="F15" s="49">
        <v>5.40829536239593</v>
      </c>
    </row>
    <row r="16" spans="1:6" x14ac:dyDescent="0.2">
      <c r="A16" s="52" t="s">
        <v>1398</v>
      </c>
      <c r="B16" s="52" t="s">
        <v>1399</v>
      </c>
      <c r="C16" s="52" t="s">
        <v>1065</v>
      </c>
      <c r="D16" s="14">
        <v>20000</v>
      </c>
      <c r="E16" s="13">
        <v>19894.88</v>
      </c>
      <c r="F16" s="49">
        <v>1.65801049995198</v>
      </c>
    </row>
    <row r="17" spans="1:6" x14ac:dyDescent="0.2">
      <c r="A17" s="52" t="s">
        <v>1400</v>
      </c>
      <c r="B17" s="52" t="s">
        <v>1401</v>
      </c>
      <c r="C17" s="52" t="s">
        <v>1065</v>
      </c>
      <c r="D17" s="14">
        <v>10000</v>
      </c>
      <c r="E17" s="13">
        <v>9921.2999999999993</v>
      </c>
      <c r="F17" s="49">
        <v>0.82682678021549005</v>
      </c>
    </row>
    <row r="18" spans="1:6" x14ac:dyDescent="0.2">
      <c r="A18" s="52" t="s">
        <v>1402</v>
      </c>
      <c r="B18" s="52" t="s">
        <v>1403</v>
      </c>
      <c r="C18" s="52" t="s">
        <v>1065</v>
      </c>
      <c r="D18" s="14">
        <v>7500</v>
      </c>
      <c r="E18" s="13">
        <v>7480.6274999999996</v>
      </c>
      <c r="F18" s="49">
        <v>0.62342466711181499</v>
      </c>
    </row>
    <row r="19" spans="1:6" x14ac:dyDescent="0.2">
      <c r="A19" s="52" t="s">
        <v>1404</v>
      </c>
      <c r="B19" s="52" t="s">
        <v>1405</v>
      </c>
      <c r="C19" s="52" t="s">
        <v>1065</v>
      </c>
      <c r="D19" s="14">
        <v>5000</v>
      </c>
      <c r="E19" s="13">
        <v>4991.0600000000004</v>
      </c>
      <c r="F19" s="49">
        <v>0.41594771548711601</v>
      </c>
    </row>
    <row r="20" spans="1:6" x14ac:dyDescent="0.2">
      <c r="A20" s="52" t="s">
        <v>1406</v>
      </c>
      <c r="B20" s="52" t="s">
        <v>1407</v>
      </c>
      <c r="C20" s="52" t="s">
        <v>1065</v>
      </c>
      <c r="D20" s="14">
        <v>5000</v>
      </c>
      <c r="E20" s="13">
        <v>4982.1149999999998</v>
      </c>
      <c r="F20" s="49">
        <v>0.415202252135637</v>
      </c>
    </row>
    <row r="21" spans="1:6" x14ac:dyDescent="0.2">
      <c r="A21" s="52" t="s">
        <v>1408</v>
      </c>
      <c r="B21" s="52" t="s">
        <v>1409</v>
      </c>
      <c r="C21" s="52" t="s">
        <v>1065</v>
      </c>
      <c r="D21" s="14">
        <v>2500</v>
      </c>
      <c r="E21" s="13">
        <v>2486.86</v>
      </c>
      <c r="F21" s="49">
        <v>0.207251312493997</v>
      </c>
    </row>
    <row r="22" spans="1:6" x14ac:dyDescent="0.2">
      <c r="A22" s="41" t="s">
        <v>43</v>
      </c>
      <c r="B22" s="52"/>
      <c r="C22" s="52"/>
      <c r="D22" s="14"/>
      <c r="E22" s="50">
        <f>SUM(E15:E21)</f>
        <v>114652.32250000001</v>
      </c>
      <c r="F22" s="6">
        <f>SUM(F15:F21)</f>
        <v>9.5549585897919656</v>
      </c>
    </row>
    <row r="23" spans="1:6" x14ac:dyDescent="0.2">
      <c r="A23" s="52"/>
      <c r="B23" s="52"/>
      <c r="C23" s="52"/>
      <c r="D23" s="14"/>
      <c r="E23" s="13"/>
      <c r="F23" s="49"/>
    </row>
    <row r="24" spans="1:6" x14ac:dyDescent="0.2">
      <c r="A24" s="41" t="s">
        <v>1066</v>
      </c>
      <c r="B24" s="52"/>
      <c r="C24" s="52"/>
      <c r="D24" s="14"/>
      <c r="E24" s="13"/>
      <c r="F24" s="49"/>
    </row>
    <row r="25" spans="1:6" x14ac:dyDescent="0.2">
      <c r="A25" s="52" t="s">
        <v>1410</v>
      </c>
      <c r="B25" s="52" t="s">
        <v>1411</v>
      </c>
      <c r="C25" s="52" t="s">
        <v>1065</v>
      </c>
      <c r="D25" s="14">
        <v>10000</v>
      </c>
      <c r="E25" s="13">
        <v>49706.7</v>
      </c>
      <c r="F25" s="49">
        <v>4.14248442403085</v>
      </c>
    </row>
    <row r="26" spans="1:6" x14ac:dyDescent="0.2">
      <c r="A26" s="52" t="s">
        <v>1412</v>
      </c>
      <c r="B26" s="52" t="s">
        <v>1413</v>
      </c>
      <c r="C26" s="52" t="s">
        <v>1065</v>
      </c>
      <c r="D26" s="14">
        <v>9000</v>
      </c>
      <c r="E26" s="13">
        <v>44698.86</v>
      </c>
      <c r="F26" s="49">
        <v>3.7251382876339698</v>
      </c>
    </row>
    <row r="27" spans="1:6" x14ac:dyDescent="0.2">
      <c r="A27" s="52" t="s">
        <v>1414</v>
      </c>
      <c r="B27" s="52" t="s">
        <v>1415</v>
      </c>
      <c r="C27" s="52" t="s">
        <v>1069</v>
      </c>
      <c r="D27" s="14">
        <v>8000</v>
      </c>
      <c r="E27" s="13">
        <v>39981.040000000001</v>
      </c>
      <c r="F27" s="49">
        <v>3.3319619982125999</v>
      </c>
    </row>
    <row r="28" spans="1:6" x14ac:dyDescent="0.2">
      <c r="A28" s="52" t="s">
        <v>1416</v>
      </c>
      <c r="B28" s="52" t="s">
        <v>1417</v>
      </c>
      <c r="C28" s="52" t="s">
        <v>1069</v>
      </c>
      <c r="D28" s="14">
        <v>8000</v>
      </c>
      <c r="E28" s="13">
        <v>39976.559999999998</v>
      </c>
      <c r="F28" s="49">
        <v>3.3315886414977198</v>
      </c>
    </row>
    <row r="29" spans="1:6" x14ac:dyDescent="0.2">
      <c r="A29" s="52" t="s">
        <v>1418</v>
      </c>
      <c r="B29" s="52" t="s">
        <v>1419</v>
      </c>
      <c r="C29" s="52" t="s">
        <v>1062</v>
      </c>
      <c r="D29" s="14">
        <v>8000</v>
      </c>
      <c r="E29" s="13">
        <v>39741.64</v>
      </c>
      <c r="F29" s="49">
        <v>3.3120107487610602</v>
      </c>
    </row>
    <row r="30" spans="1:6" x14ac:dyDescent="0.2">
      <c r="A30" s="52" t="s">
        <v>1372</v>
      </c>
      <c r="B30" s="52" t="s">
        <v>1373</v>
      </c>
      <c r="C30" s="52" t="s">
        <v>1069</v>
      </c>
      <c r="D30" s="14">
        <v>7400</v>
      </c>
      <c r="E30" s="13">
        <v>36798.35</v>
      </c>
      <c r="F30" s="49">
        <v>3.0667212207818202</v>
      </c>
    </row>
    <row r="31" spans="1:6" x14ac:dyDescent="0.2">
      <c r="A31" s="52" t="s">
        <v>1420</v>
      </c>
      <c r="B31" s="52" t="s">
        <v>1421</v>
      </c>
      <c r="C31" s="52" t="s">
        <v>1062</v>
      </c>
      <c r="D31" s="14">
        <v>6000</v>
      </c>
      <c r="E31" s="13">
        <v>29937.09</v>
      </c>
      <c r="F31" s="49">
        <v>2.4949137445416798</v>
      </c>
    </row>
    <row r="32" spans="1:6" x14ac:dyDescent="0.2">
      <c r="A32" s="52" t="s">
        <v>1422</v>
      </c>
      <c r="B32" s="52" t="s">
        <v>1423</v>
      </c>
      <c r="C32" s="52" t="s">
        <v>1069</v>
      </c>
      <c r="D32" s="14">
        <v>6000</v>
      </c>
      <c r="E32" s="13">
        <v>29883.57</v>
      </c>
      <c r="F32" s="49">
        <v>2.49045346521567</v>
      </c>
    </row>
    <row r="33" spans="1:6" x14ac:dyDescent="0.2">
      <c r="A33" s="52" t="s">
        <v>1424</v>
      </c>
      <c r="B33" s="52" t="s">
        <v>1425</v>
      </c>
      <c r="C33" s="52" t="s">
        <v>1062</v>
      </c>
      <c r="D33" s="14">
        <v>6000</v>
      </c>
      <c r="E33" s="13">
        <v>29864.31</v>
      </c>
      <c r="F33" s="49">
        <v>2.4888483646958801</v>
      </c>
    </row>
    <row r="34" spans="1:6" x14ac:dyDescent="0.2">
      <c r="A34" s="52" t="s">
        <v>1426</v>
      </c>
      <c r="B34" s="52" t="s">
        <v>1427</v>
      </c>
      <c r="C34" s="52" t="s">
        <v>1069</v>
      </c>
      <c r="D34" s="14">
        <v>6000</v>
      </c>
      <c r="E34" s="13">
        <v>29790.03</v>
      </c>
      <c r="F34" s="49">
        <v>2.4826579770214399</v>
      </c>
    </row>
    <row r="35" spans="1:6" x14ac:dyDescent="0.2">
      <c r="A35" s="52" t="s">
        <v>1428</v>
      </c>
      <c r="B35" s="52" t="s">
        <v>1429</v>
      </c>
      <c r="C35" s="52" t="s">
        <v>1062</v>
      </c>
      <c r="D35" s="14">
        <v>5500</v>
      </c>
      <c r="E35" s="13">
        <v>27500</v>
      </c>
      <c r="F35" s="49">
        <v>2.2918101918020799</v>
      </c>
    </row>
    <row r="36" spans="1:6" x14ac:dyDescent="0.2">
      <c r="A36" s="52" t="s">
        <v>1430</v>
      </c>
      <c r="B36" s="52" t="s">
        <v>1431</v>
      </c>
      <c r="C36" s="52" t="s">
        <v>1062</v>
      </c>
      <c r="D36" s="14">
        <v>5000</v>
      </c>
      <c r="E36" s="13">
        <v>24848.5</v>
      </c>
      <c r="F36" s="49">
        <v>2.07083802003614</v>
      </c>
    </row>
    <row r="37" spans="1:6" x14ac:dyDescent="0.2">
      <c r="A37" s="52" t="s">
        <v>1432</v>
      </c>
      <c r="B37" s="52" t="s">
        <v>1433</v>
      </c>
      <c r="C37" s="52" t="s">
        <v>1069</v>
      </c>
      <c r="D37" s="14">
        <v>5000</v>
      </c>
      <c r="E37" s="13">
        <v>24832.275000000001</v>
      </c>
      <c r="F37" s="49">
        <v>2.06948585202298</v>
      </c>
    </row>
    <row r="38" spans="1:6" x14ac:dyDescent="0.2">
      <c r="A38" s="52" t="s">
        <v>1434</v>
      </c>
      <c r="B38" s="52" t="s">
        <v>1435</v>
      </c>
      <c r="C38" s="52" t="s">
        <v>1062</v>
      </c>
      <c r="D38" s="14">
        <v>5000</v>
      </c>
      <c r="E38" s="13">
        <v>24701.05</v>
      </c>
      <c r="F38" s="49">
        <v>2.0585497504804602</v>
      </c>
    </row>
    <row r="39" spans="1:6" x14ac:dyDescent="0.2">
      <c r="A39" s="52" t="s">
        <v>1436</v>
      </c>
      <c r="B39" s="52" t="s">
        <v>1437</v>
      </c>
      <c r="C39" s="52" t="s">
        <v>1069</v>
      </c>
      <c r="D39" s="14">
        <v>4000</v>
      </c>
      <c r="E39" s="13">
        <v>19991.2</v>
      </c>
      <c r="F39" s="49">
        <v>1.6660376693219501</v>
      </c>
    </row>
    <row r="40" spans="1:6" x14ac:dyDescent="0.2">
      <c r="A40" s="52" t="s">
        <v>1438</v>
      </c>
      <c r="B40" s="52" t="s">
        <v>1439</v>
      </c>
      <c r="C40" s="52" t="s">
        <v>1065</v>
      </c>
      <c r="D40" s="14">
        <v>4000</v>
      </c>
      <c r="E40" s="13">
        <v>19916.52</v>
      </c>
      <c r="F40" s="49">
        <v>1.65981394622654</v>
      </c>
    </row>
    <row r="41" spans="1:6" x14ac:dyDescent="0.2">
      <c r="A41" s="52" t="s">
        <v>1440</v>
      </c>
      <c r="B41" s="52" t="s">
        <v>1441</v>
      </c>
      <c r="C41" s="52" t="s">
        <v>1062</v>
      </c>
      <c r="D41" s="14">
        <v>4000</v>
      </c>
      <c r="E41" s="13">
        <v>19825.12</v>
      </c>
      <c r="F41" s="49">
        <v>1.6521968025345199</v>
      </c>
    </row>
    <row r="42" spans="1:6" x14ac:dyDescent="0.2">
      <c r="A42" s="52" t="s">
        <v>1442</v>
      </c>
      <c r="B42" s="52" t="s">
        <v>1443</v>
      </c>
      <c r="C42" s="52" t="s">
        <v>1062</v>
      </c>
      <c r="D42" s="14">
        <v>4000</v>
      </c>
      <c r="E42" s="13">
        <v>19824.18</v>
      </c>
      <c r="F42" s="49">
        <v>1.65211846429523</v>
      </c>
    </row>
    <row r="43" spans="1:6" x14ac:dyDescent="0.2">
      <c r="A43" s="52" t="s">
        <v>1444</v>
      </c>
      <c r="B43" s="52" t="s">
        <v>1445</v>
      </c>
      <c r="C43" s="52" t="s">
        <v>1069</v>
      </c>
      <c r="D43" s="14">
        <v>4000</v>
      </c>
      <c r="E43" s="13">
        <v>19805.52</v>
      </c>
      <c r="F43" s="49">
        <v>1.65056336690691</v>
      </c>
    </row>
    <row r="44" spans="1:6" x14ac:dyDescent="0.2">
      <c r="A44" s="52" t="s">
        <v>1446</v>
      </c>
      <c r="B44" s="52" t="s">
        <v>1447</v>
      </c>
      <c r="C44" s="52" t="s">
        <v>1069</v>
      </c>
      <c r="D44" s="14">
        <v>4000</v>
      </c>
      <c r="E44" s="13">
        <v>19788.419999999998</v>
      </c>
      <c r="F44" s="49">
        <v>1.64913827766037</v>
      </c>
    </row>
    <row r="45" spans="1:6" x14ac:dyDescent="0.2">
      <c r="A45" s="52" t="s">
        <v>1448</v>
      </c>
      <c r="B45" s="52" t="s">
        <v>1449</v>
      </c>
      <c r="C45" s="52" t="s">
        <v>1069</v>
      </c>
      <c r="D45" s="14">
        <v>4000</v>
      </c>
      <c r="E45" s="13">
        <v>19776.98</v>
      </c>
      <c r="F45" s="49">
        <v>1.64818488462058</v>
      </c>
    </row>
    <row r="46" spans="1:6" x14ac:dyDescent="0.2">
      <c r="A46" s="52" t="s">
        <v>1450</v>
      </c>
      <c r="B46" s="52" t="s">
        <v>1451</v>
      </c>
      <c r="C46" s="52" t="s">
        <v>1062</v>
      </c>
      <c r="D46" s="14">
        <v>4000</v>
      </c>
      <c r="E46" s="13">
        <v>19758.439999999999</v>
      </c>
      <c r="F46" s="49">
        <v>1.6466397878585399</v>
      </c>
    </row>
    <row r="47" spans="1:6" x14ac:dyDescent="0.2">
      <c r="A47" s="52" t="s">
        <v>1452</v>
      </c>
      <c r="B47" s="52" t="s">
        <v>1453</v>
      </c>
      <c r="C47" s="52" t="s">
        <v>1062</v>
      </c>
      <c r="D47" s="14">
        <v>3600</v>
      </c>
      <c r="E47" s="13">
        <v>17940.689999999999</v>
      </c>
      <c r="F47" s="49">
        <v>1.49515113418042</v>
      </c>
    </row>
    <row r="48" spans="1:6" x14ac:dyDescent="0.2">
      <c r="A48" s="52" t="s">
        <v>1454</v>
      </c>
      <c r="B48" s="52" t="s">
        <v>1455</v>
      </c>
      <c r="C48" s="52" t="s">
        <v>1065</v>
      </c>
      <c r="D48" s="14">
        <v>3000</v>
      </c>
      <c r="E48" s="13">
        <v>14877.09</v>
      </c>
      <c r="F48" s="49">
        <v>1.2398351449584299</v>
      </c>
    </row>
    <row r="49" spans="1:6" x14ac:dyDescent="0.2">
      <c r="A49" s="52" t="s">
        <v>1456</v>
      </c>
      <c r="B49" s="52" t="s">
        <v>1457</v>
      </c>
      <c r="C49" s="52" t="s">
        <v>1069</v>
      </c>
      <c r="D49" s="14">
        <v>3000</v>
      </c>
      <c r="E49" s="13">
        <v>14831.7</v>
      </c>
      <c r="F49" s="49">
        <v>1.2360524080636699</v>
      </c>
    </row>
    <row r="50" spans="1:6" x14ac:dyDescent="0.2">
      <c r="A50" s="52" t="s">
        <v>1458</v>
      </c>
      <c r="B50" s="52" t="s">
        <v>1459</v>
      </c>
      <c r="C50" s="52" t="s">
        <v>1062</v>
      </c>
      <c r="D50" s="14">
        <v>2200</v>
      </c>
      <c r="E50" s="13">
        <v>10820.744000000001</v>
      </c>
      <c r="F50" s="49">
        <v>0.90178514116658903</v>
      </c>
    </row>
    <row r="51" spans="1:6" x14ac:dyDescent="0.2">
      <c r="A51" s="52" t="s">
        <v>1460</v>
      </c>
      <c r="B51" s="52" t="s">
        <v>1461</v>
      </c>
      <c r="C51" s="52" t="s">
        <v>1069</v>
      </c>
      <c r="D51" s="14">
        <v>2000</v>
      </c>
      <c r="E51" s="13">
        <v>9994.51</v>
      </c>
      <c r="F51" s="49">
        <v>0.83292799563882902</v>
      </c>
    </row>
    <row r="52" spans="1:6" x14ac:dyDescent="0.2">
      <c r="A52" s="52" t="s">
        <v>1462</v>
      </c>
      <c r="B52" s="52" t="s">
        <v>1463</v>
      </c>
      <c r="C52" s="52" t="s">
        <v>1069</v>
      </c>
      <c r="D52" s="14">
        <v>2000</v>
      </c>
      <c r="E52" s="13">
        <v>9947.9</v>
      </c>
      <c r="F52" s="49">
        <v>0.82904358571010495</v>
      </c>
    </row>
    <row r="53" spans="1:6" x14ac:dyDescent="0.2">
      <c r="A53" s="52" t="s">
        <v>1464</v>
      </c>
      <c r="B53" s="52" t="s">
        <v>1465</v>
      </c>
      <c r="C53" s="52" t="s">
        <v>1069</v>
      </c>
      <c r="D53" s="14">
        <v>2000</v>
      </c>
      <c r="E53" s="13">
        <v>9943.99</v>
      </c>
      <c r="F53" s="49">
        <v>0.82871773197010701</v>
      </c>
    </row>
    <row r="54" spans="1:6" x14ac:dyDescent="0.2">
      <c r="A54" s="52" t="s">
        <v>1466</v>
      </c>
      <c r="B54" s="52" t="s">
        <v>1467</v>
      </c>
      <c r="C54" s="52" t="s">
        <v>1069</v>
      </c>
      <c r="D54" s="14">
        <v>2000</v>
      </c>
      <c r="E54" s="13">
        <v>9940.51</v>
      </c>
      <c r="F54" s="49">
        <v>0.82842771380765401</v>
      </c>
    </row>
    <row r="55" spans="1:6" x14ac:dyDescent="0.2">
      <c r="A55" s="52" t="s">
        <v>1468</v>
      </c>
      <c r="B55" s="52" t="s">
        <v>1469</v>
      </c>
      <c r="C55" s="52" t="s">
        <v>1062</v>
      </c>
      <c r="D55" s="14">
        <v>2000</v>
      </c>
      <c r="E55" s="13">
        <v>9936.2199999999993</v>
      </c>
      <c r="F55" s="49">
        <v>0.82807019141773297</v>
      </c>
    </row>
    <row r="56" spans="1:6" x14ac:dyDescent="0.2">
      <c r="A56" s="52" t="s">
        <v>1470</v>
      </c>
      <c r="B56" s="52" t="s">
        <v>1471</v>
      </c>
      <c r="C56" s="52" t="s">
        <v>1062</v>
      </c>
      <c r="D56" s="14">
        <v>2000</v>
      </c>
      <c r="E56" s="13">
        <v>9906.64</v>
      </c>
      <c r="F56" s="49">
        <v>0.82560503703687804</v>
      </c>
    </row>
    <row r="57" spans="1:6" x14ac:dyDescent="0.2">
      <c r="A57" s="52" t="s">
        <v>1472</v>
      </c>
      <c r="B57" s="52" t="s">
        <v>1473</v>
      </c>
      <c r="C57" s="52" t="s">
        <v>1062</v>
      </c>
      <c r="D57" s="14">
        <v>1500</v>
      </c>
      <c r="E57" s="13">
        <v>7451.2725</v>
      </c>
      <c r="F57" s="49">
        <v>0.62097826390525701</v>
      </c>
    </row>
    <row r="58" spans="1:6" x14ac:dyDescent="0.2">
      <c r="A58" s="52" t="s">
        <v>1474</v>
      </c>
      <c r="B58" s="52" t="s">
        <v>1475</v>
      </c>
      <c r="C58" s="52" t="s">
        <v>1062</v>
      </c>
      <c r="D58" s="14">
        <v>1500</v>
      </c>
      <c r="E58" s="13">
        <v>7428.1575000000003</v>
      </c>
      <c r="F58" s="49">
        <v>0.61905189326585597</v>
      </c>
    </row>
    <row r="59" spans="1:6" x14ac:dyDescent="0.2">
      <c r="A59" s="52" t="s">
        <v>1342</v>
      </c>
      <c r="B59" s="52" t="s">
        <v>1343</v>
      </c>
      <c r="C59" s="52" t="s">
        <v>1069</v>
      </c>
      <c r="D59" s="14">
        <v>1500</v>
      </c>
      <c r="E59" s="13">
        <v>7424.8874999999998</v>
      </c>
      <c r="F59" s="49">
        <v>0.61877937619941303</v>
      </c>
    </row>
    <row r="60" spans="1:6" x14ac:dyDescent="0.2">
      <c r="A60" s="52" t="s">
        <v>1476</v>
      </c>
      <c r="B60" s="52" t="s">
        <v>1477</v>
      </c>
      <c r="C60" s="52" t="s">
        <v>1062</v>
      </c>
      <c r="D60" s="14">
        <v>1000</v>
      </c>
      <c r="E60" s="13">
        <v>4985.1149999999998</v>
      </c>
      <c r="F60" s="49">
        <v>0.41545226779292399</v>
      </c>
    </row>
    <row r="61" spans="1:6" x14ac:dyDescent="0.2">
      <c r="A61" s="52" t="s">
        <v>1478</v>
      </c>
      <c r="B61" s="52" t="s">
        <v>1479</v>
      </c>
      <c r="C61" s="52" t="s">
        <v>1065</v>
      </c>
      <c r="D61" s="14">
        <v>1000</v>
      </c>
      <c r="E61" s="13">
        <v>4975</v>
      </c>
      <c r="F61" s="49">
        <v>0.41460929833510302</v>
      </c>
    </row>
    <row r="62" spans="1:6" x14ac:dyDescent="0.2">
      <c r="A62" s="52" t="s">
        <v>1480</v>
      </c>
      <c r="B62" s="52" t="s">
        <v>1481</v>
      </c>
      <c r="C62" s="52" t="s">
        <v>1062</v>
      </c>
      <c r="D62" s="14">
        <v>1000</v>
      </c>
      <c r="E62" s="13">
        <v>4970.1400000000003</v>
      </c>
      <c r="F62" s="49">
        <v>0.41420427297029799</v>
      </c>
    </row>
    <row r="63" spans="1:6" x14ac:dyDescent="0.2">
      <c r="A63" s="52" t="s">
        <v>1482</v>
      </c>
      <c r="B63" s="52" t="s">
        <v>1483</v>
      </c>
      <c r="C63" s="52" t="s">
        <v>1065</v>
      </c>
      <c r="D63" s="14">
        <v>1000</v>
      </c>
      <c r="E63" s="13">
        <v>4964.0349999999999</v>
      </c>
      <c r="F63" s="49">
        <v>0.41369549110771803</v>
      </c>
    </row>
    <row r="64" spans="1:6" x14ac:dyDescent="0.2">
      <c r="A64" s="52" t="s">
        <v>1484</v>
      </c>
      <c r="B64" s="52" t="s">
        <v>1485</v>
      </c>
      <c r="C64" s="52" t="s">
        <v>1062</v>
      </c>
      <c r="D64" s="14">
        <v>1000</v>
      </c>
      <c r="E64" s="13">
        <v>4936.2349999999997</v>
      </c>
      <c r="F64" s="49">
        <v>0.41137867935018702</v>
      </c>
    </row>
    <row r="65" spans="1:6" x14ac:dyDescent="0.2">
      <c r="A65" s="52" t="s">
        <v>1486</v>
      </c>
      <c r="B65" s="52" t="s">
        <v>1487</v>
      </c>
      <c r="C65" s="52" t="s">
        <v>1065</v>
      </c>
      <c r="D65" s="14">
        <v>1000</v>
      </c>
      <c r="E65" s="13">
        <v>4929.7349999999997</v>
      </c>
      <c r="F65" s="49">
        <v>0.41083697875939701</v>
      </c>
    </row>
    <row r="66" spans="1:6" x14ac:dyDescent="0.2">
      <c r="A66" s="52" t="s">
        <v>1488</v>
      </c>
      <c r="B66" s="52" t="s">
        <v>1489</v>
      </c>
      <c r="C66" s="52" t="s">
        <v>1065</v>
      </c>
      <c r="D66" s="14">
        <v>900</v>
      </c>
      <c r="E66" s="13">
        <v>4500</v>
      </c>
      <c r="F66" s="49">
        <v>0.37502348593124901</v>
      </c>
    </row>
    <row r="67" spans="1:6" x14ac:dyDescent="0.2">
      <c r="A67" s="52" t="s">
        <v>1490</v>
      </c>
      <c r="B67" s="52" t="s">
        <v>1491</v>
      </c>
      <c r="C67" s="52" t="s">
        <v>1065</v>
      </c>
      <c r="D67" s="14">
        <v>800</v>
      </c>
      <c r="E67" s="13">
        <v>3976.3919999999998</v>
      </c>
      <c r="F67" s="49">
        <v>0.33138675317091798</v>
      </c>
    </row>
    <row r="68" spans="1:6" x14ac:dyDescent="0.2">
      <c r="A68" s="52" t="s">
        <v>1492</v>
      </c>
      <c r="B68" s="52" t="s">
        <v>1493</v>
      </c>
      <c r="C68" s="52" t="s">
        <v>1062</v>
      </c>
      <c r="D68" s="14">
        <v>700</v>
      </c>
      <c r="E68" s="13">
        <v>3469.6410000000001</v>
      </c>
      <c r="F68" s="49">
        <v>0.28915485838888599</v>
      </c>
    </row>
    <row r="69" spans="1:6" x14ac:dyDescent="0.2">
      <c r="A69" s="52" t="s">
        <v>1494</v>
      </c>
      <c r="B69" s="52" t="s">
        <v>1495</v>
      </c>
      <c r="C69" s="52" t="s">
        <v>1062</v>
      </c>
      <c r="D69" s="14">
        <v>500</v>
      </c>
      <c r="E69" s="13">
        <v>2496.2175000000002</v>
      </c>
      <c r="F69" s="49">
        <v>0.20803115299835301</v>
      </c>
    </row>
    <row r="70" spans="1:6" x14ac:dyDescent="0.2">
      <c r="A70" s="52" t="s">
        <v>1496</v>
      </c>
      <c r="B70" s="52" t="s">
        <v>1497</v>
      </c>
      <c r="C70" s="52" t="s">
        <v>1062</v>
      </c>
      <c r="D70" s="14">
        <v>500</v>
      </c>
      <c r="E70" s="13">
        <v>2467.7424999999998</v>
      </c>
      <c r="F70" s="49">
        <v>0.20565808771793201</v>
      </c>
    </row>
    <row r="71" spans="1:6" x14ac:dyDescent="0.2">
      <c r="A71" s="41" t="s">
        <v>43</v>
      </c>
      <c r="B71" s="52"/>
      <c r="C71" s="52"/>
      <c r="D71" s="14"/>
      <c r="E71" s="50">
        <f>SUM(E25:E70)</f>
        <v>818060.91949999984</v>
      </c>
      <c r="F71" s="6">
        <f>SUM(F25:F70)</f>
        <v>68.176012830002918</v>
      </c>
    </row>
    <row r="72" spans="1:6" x14ac:dyDescent="0.2">
      <c r="A72" s="52"/>
      <c r="B72" s="52"/>
      <c r="C72" s="52"/>
      <c r="D72" s="14"/>
      <c r="E72" s="13"/>
      <c r="F72" s="49"/>
    </row>
    <row r="73" spans="1:6" x14ac:dyDescent="0.2">
      <c r="A73" s="41" t="s">
        <v>43</v>
      </c>
      <c r="B73" s="52"/>
      <c r="C73" s="52"/>
      <c r="D73" s="52"/>
      <c r="E73" s="50">
        <v>941217.9521334999</v>
      </c>
      <c r="F73" s="6">
        <v>78.439741651150442</v>
      </c>
    </row>
    <row r="74" spans="1:6" x14ac:dyDescent="0.2">
      <c r="A74" s="52"/>
      <c r="B74" s="52"/>
      <c r="C74" s="52"/>
      <c r="D74" s="52"/>
      <c r="E74" s="13"/>
      <c r="F74" s="49"/>
    </row>
    <row r="75" spans="1:6" x14ac:dyDescent="0.2">
      <c r="A75" s="41" t="s">
        <v>100</v>
      </c>
      <c r="B75" s="52"/>
      <c r="C75" s="52"/>
      <c r="D75" s="52"/>
      <c r="E75" s="50">
        <v>258706.89972660001</v>
      </c>
      <c r="F75" s="6">
        <v>21.56</v>
      </c>
    </row>
    <row r="76" spans="1:6" x14ac:dyDescent="0.2">
      <c r="A76" s="52"/>
      <c r="B76" s="52"/>
      <c r="C76" s="52"/>
      <c r="D76" s="52"/>
      <c r="E76" s="13"/>
      <c r="F76" s="49"/>
    </row>
    <row r="77" spans="1:6" x14ac:dyDescent="0.2">
      <c r="A77" s="57" t="s">
        <v>101</v>
      </c>
      <c r="B77" s="34"/>
      <c r="C77" s="34"/>
      <c r="D77" s="34"/>
      <c r="E77" s="51">
        <v>1199924.8497266001</v>
      </c>
      <c r="F77" s="8">
        <f xml:space="preserve"> ROUND(SUM(F73:F76),2)</f>
        <v>100</v>
      </c>
    </row>
    <row r="78" spans="1:6" x14ac:dyDescent="0.2">
      <c r="A78" s="4" t="s">
        <v>1964</v>
      </c>
    </row>
    <row r="80" spans="1:6" x14ac:dyDescent="0.2">
      <c r="A80" s="4" t="s">
        <v>102</v>
      </c>
    </row>
    <row r="81" spans="1:4" x14ac:dyDescent="0.2">
      <c r="A81" s="4" t="s">
        <v>833</v>
      </c>
    </row>
    <row r="82" spans="1:4" x14ac:dyDescent="0.2">
      <c r="A82" s="4" t="s">
        <v>104</v>
      </c>
    </row>
    <row r="83" spans="1:4" x14ac:dyDescent="0.2">
      <c r="A83" s="2" t="s">
        <v>1092</v>
      </c>
      <c r="D83" s="10">
        <v>2804.5893999999998</v>
      </c>
    </row>
    <row r="84" spans="1:4" x14ac:dyDescent="0.2">
      <c r="A84" s="2" t="s">
        <v>1103</v>
      </c>
      <c r="D84" s="10">
        <v>1000.7051</v>
      </c>
    </row>
    <row r="85" spans="1:4" x14ac:dyDescent="0.2">
      <c r="A85" s="2" t="s">
        <v>1094</v>
      </c>
      <c r="D85" s="10">
        <v>1021.2997</v>
      </c>
    </row>
    <row r="86" spans="1:4" x14ac:dyDescent="0.2">
      <c r="A86" s="2" t="s">
        <v>1498</v>
      </c>
      <c r="D86" s="10">
        <v>2815.1421</v>
      </c>
    </row>
    <row r="87" spans="1:4" x14ac:dyDescent="0.2">
      <c r="A87" s="2" t="s">
        <v>1499</v>
      </c>
      <c r="D87" s="10">
        <v>1001.8422</v>
      </c>
    </row>
    <row r="88" spans="1:4" x14ac:dyDescent="0.2">
      <c r="A88" s="2" t="s">
        <v>1500</v>
      </c>
      <c r="D88" s="10">
        <v>1021.5659000000001</v>
      </c>
    </row>
    <row r="89" spans="1:4" x14ac:dyDescent="0.2">
      <c r="A89" s="2" t="s">
        <v>1101</v>
      </c>
      <c r="D89" s="10">
        <v>2850.4553999999998</v>
      </c>
    </row>
    <row r="90" spans="1:4" x14ac:dyDescent="0.2">
      <c r="A90" s="2" t="s">
        <v>1105</v>
      </c>
      <c r="D90" s="10">
        <v>1000.6505</v>
      </c>
    </row>
    <row r="91" spans="1:4" x14ac:dyDescent="0.2">
      <c r="A91" s="2" t="s">
        <v>1501</v>
      </c>
      <c r="D91" s="10">
        <v>1054.8849</v>
      </c>
    </row>
    <row r="92" spans="1:4" x14ac:dyDescent="0.2">
      <c r="A92" s="2" t="s">
        <v>1502</v>
      </c>
      <c r="D92" s="10">
        <v>4395.3675000000003</v>
      </c>
    </row>
    <row r="93" spans="1:4" x14ac:dyDescent="0.2">
      <c r="A93" s="2" t="s">
        <v>1503</v>
      </c>
      <c r="D93" s="10">
        <v>1512.2955999999999</v>
      </c>
    </row>
    <row r="94" spans="1:4" x14ac:dyDescent="0.2">
      <c r="A94" s="2" t="s">
        <v>1504</v>
      </c>
      <c r="D94" s="10">
        <v>1244.5141000000001</v>
      </c>
    </row>
    <row r="95" spans="1:4" x14ac:dyDescent="0.2">
      <c r="A95" s="2" t="s">
        <v>1505</v>
      </c>
      <c r="D95" s="10">
        <v>11.9011</v>
      </c>
    </row>
    <row r="96" spans="1:4" x14ac:dyDescent="0.2">
      <c r="A96" s="2" t="s">
        <v>1506</v>
      </c>
      <c r="D96" s="10">
        <v>11.9011</v>
      </c>
    </row>
    <row r="97" spans="1:4" x14ac:dyDescent="0.2">
      <c r="A97" s="2" t="s">
        <v>1507</v>
      </c>
      <c r="D97" s="11" t="s">
        <v>1385</v>
      </c>
    </row>
    <row r="98" spans="1:4" x14ac:dyDescent="0.2">
      <c r="A98" s="2" t="s">
        <v>1508</v>
      </c>
      <c r="D98" s="11" t="s">
        <v>1385</v>
      </c>
    </row>
    <row r="100" spans="1:4" x14ac:dyDescent="0.2">
      <c r="A100" s="4" t="s">
        <v>105</v>
      </c>
    </row>
    <row r="101" spans="1:4" x14ac:dyDescent="0.2">
      <c r="A101" s="2" t="s">
        <v>1092</v>
      </c>
      <c r="D101" s="10">
        <v>2898.8254000000002</v>
      </c>
    </row>
    <row r="102" spans="1:4" x14ac:dyDescent="0.2">
      <c r="A102" s="2" t="s">
        <v>1103</v>
      </c>
      <c r="D102" s="10">
        <v>1000.7051</v>
      </c>
    </row>
    <row r="103" spans="1:4" x14ac:dyDescent="0.2">
      <c r="A103" s="2" t="s">
        <v>1094</v>
      </c>
      <c r="D103" s="10">
        <v>1021.6718</v>
      </c>
    </row>
    <row r="104" spans="1:4" x14ac:dyDescent="0.2">
      <c r="A104" s="2" t="s">
        <v>1498</v>
      </c>
      <c r="D104" s="10">
        <v>2910.6462000000001</v>
      </c>
    </row>
    <row r="105" spans="1:4" x14ac:dyDescent="0.2">
      <c r="A105" s="2" t="s">
        <v>1499</v>
      </c>
      <c r="D105" s="10">
        <v>1001.8422</v>
      </c>
    </row>
    <row r="106" spans="1:4" x14ac:dyDescent="0.2">
      <c r="A106" s="2" t="s">
        <v>1500</v>
      </c>
      <c r="D106" s="10">
        <v>1021.9426</v>
      </c>
    </row>
    <row r="107" spans="1:4" x14ac:dyDescent="0.2">
      <c r="A107" s="2" t="s">
        <v>1101</v>
      </c>
      <c r="D107" s="10">
        <v>2939.8505</v>
      </c>
    </row>
    <row r="108" spans="1:4" x14ac:dyDescent="0.2">
      <c r="A108" s="2" t="s">
        <v>1105</v>
      </c>
      <c r="D108" s="10">
        <v>1000.6505</v>
      </c>
    </row>
    <row r="109" spans="1:4" x14ac:dyDescent="0.2">
      <c r="A109" s="2" t="s">
        <v>1501</v>
      </c>
      <c r="D109" s="10">
        <v>1055.2612999999999</v>
      </c>
    </row>
    <row r="110" spans="1:4" x14ac:dyDescent="0.2">
      <c r="A110" s="2" t="s">
        <v>1502</v>
      </c>
      <c r="D110" s="10">
        <v>4527.5205999999998</v>
      </c>
    </row>
    <row r="111" spans="1:4" x14ac:dyDescent="0.2">
      <c r="A111" s="2" t="s">
        <v>1503</v>
      </c>
      <c r="D111" s="10">
        <v>1512.2955999999999</v>
      </c>
    </row>
    <row r="112" spans="1:4" x14ac:dyDescent="0.2">
      <c r="A112" s="2" t="s">
        <v>1504</v>
      </c>
      <c r="D112" s="10">
        <v>1244.9236000000001</v>
      </c>
    </row>
    <row r="113" spans="1:4" x14ac:dyDescent="0.2">
      <c r="A113" s="2" t="s">
        <v>1505</v>
      </c>
      <c r="D113" s="10">
        <v>12.2881</v>
      </c>
    </row>
    <row r="114" spans="1:4" x14ac:dyDescent="0.2">
      <c r="A114" s="2" t="s">
        <v>1506</v>
      </c>
      <c r="D114" s="10">
        <v>12.2881</v>
      </c>
    </row>
    <row r="115" spans="1:4" x14ac:dyDescent="0.2">
      <c r="A115" s="2" t="s">
        <v>1507</v>
      </c>
      <c r="D115" s="10">
        <v>10</v>
      </c>
    </row>
    <row r="116" spans="1:4" x14ac:dyDescent="0.2">
      <c r="A116" s="2" t="s">
        <v>1508</v>
      </c>
      <c r="D116" s="10">
        <v>10</v>
      </c>
    </row>
    <row r="118" spans="1:4" x14ac:dyDescent="0.2">
      <c r="A118" s="4" t="s">
        <v>106</v>
      </c>
      <c r="D118" s="17" t="s">
        <v>319</v>
      </c>
    </row>
    <row r="119" spans="1:4" x14ac:dyDescent="0.2">
      <c r="A119" s="70" t="s">
        <v>602</v>
      </c>
      <c r="B119" s="71"/>
      <c r="C119" s="103" t="s">
        <v>603</v>
      </c>
      <c r="D119" s="103"/>
    </row>
    <row r="120" spans="1:4" x14ac:dyDescent="0.2">
      <c r="A120" s="104"/>
      <c r="B120" s="104"/>
      <c r="C120" s="20" t="s">
        <v>604</v>
      </c>
      <c r="D120" s="20" t="s">
        <v>605</v>
      </c>
    </row>
    <row r="121" spans="1:4" x14ac:dyDescent="0.2">
      <c r="A121" s="21" t="s">
        <v>1103</v>
      </c>
      <c r="B121" s="22"/>
      <c r="C121" s="72">
        <v>23.825277086000014</v>
      </c>
      <c r="D121" s="72">
        <v>22.062325324999996</v>
      </c>
    </row>
    <row r="122" spans="1:4" x14ac:dyDescent="0.2">
      <c r="A122" s="21" t="s">
        <v>1094</v>
      </c>
      <c r="B122" s="22"/>
      <c r="C122" s="72">
        <v>24.055984101</v>
      </c>
      <c r="D122" s="72">
        <v>22.275961163000002</v>
      </c>
    </row>
    <row r="123" spans="1:4" x14ac:dyDescent="0.2">
      <c r="A123" s="21" t="s">
        <v>1509</v>
      </c>
      <c r="B123" s="22"/>
      <c r="C123" s="72">
        <v>24.059300507999989</v>
      </c>
      <c r="D123" s="72">
        <v>22.279032174999998</v>
      </c>
    </row>
    <row r="124" spans="1:4" x14ac:dyDescent="0.2">
      <c r="A124" s="21" t="s">
        <v>1097</v>
      </c>
      <c r="B124" s="22"/>
      <c r="C124" s="72">
        <v>24.270242607000004</v>
      </c>
      <c r="D124" s="72">
        <v>22.474365605999999</v>
      </c>
    </row>
    <row r="125" spans="1:4" x14ac:dyDescent="0.2">
      <c r="A125" s="21" t="s">
        <v>1105</v>
      </c>
      <c r="B125" s="22"/>
      <c r="C125" s="72">
        <v>22.259297784999994</v>
      </c>
      <c r="D125" s="72">
        <v>20.612220677000003</v>
      </c>
    </row>
    <row r="126" spans="1:4" x14ac:dyDescent="0.2">
      <c r="A126" s="21" t="s">
        <v>1501</v>
      </c>
      <c r="B126" s="22"/>
      <c r="C126" s="72">
        <v>23.297358271</v>
      </c>
      <c r="D126" s="72">
        <v>21.573469862000003</v>
      </c>
    </row>
    <row r="127" spans="1:4" x14ac:dyDescent="0.2">
      <c r="A127" s="21" t="s">
        <v>1510</v>
      </c>
      <c r="B127" s="22"/>
      <c r="C127" s="72">
        <v>32.271345602000011</v>
      </c>
      <c r="D127" s="72">
        <v>29.883426857000028</v>
      </c>
    </row>
    <row r="128" spans="1:4" x14ac:dyDescent="0.2">
      <c r="A128" s="21" t="s">
        <v>1504</v>
      </c>
      <c r="B128" s="22"/>
      <c r="C128" s="72">
        <v>26.271944948999991</v>
      </c>
      <c r="D128" s="72">
        <v>24.327951950000003</v>
      </c>
    </row>
    <row r="130" spans="1:5" x14ac:dyDescent="0.2">
      <c r="A130" s="4" t="s">
        <v>834</v>
      </c>
      <c r="D130" s="59">
        <v>7.3192167736331748E-2</v>
      </c>
      <c r="E130" s="59" t="s">
        <v>1106</v>
      </c>
    </row>
    <row r="132" spans="1:5" x14ac:dyDescent="0.2">
      <c r="A132" s="9" t="s">
        <v>1511</v>
      </c>
    </row>
    <row r="134" spans="1:5" x14ac:dyDescent="0.2">
      <c r="A134" s="4" t="s">
        <v>836</v>
      </c>
      <c r="D134" s="67" t="s">
        <v>107</v>
      </c>
    </row>
  </sheetData>
  <mergeCells count="3">
    <mergeCell ref="A1:F1"/>
    <mergeCell ref="C119:D119"/>
    <mergeCell ref="A120:B1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17C2-E276-42E6-AE42-AD194C40055A}">
  <dimension ref="A1:F142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76" style="2" bestFit="1" customWidth="1"/>
    <col min="3" max="3" width="11.7109375" style="2" bestFit="1" customWidth="1"/>
    <col min="4" max="4" width="7.8554687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1512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842</v>
      </c>
      <c r="B8" s="52" t="s">
        <v>843</v>
      </c>
      <c r="C8" s="52" t="s">
        <v>783</v>
      </c>
      <c r="D8" s="14">
        <v>2170</v>
      </c>
      <c r="E8" s="13">
        <v>21700</v>
      </c>
      <c r="F8" s="49">
        <v>3.8045035647776899</v>
      </c>
    </row>
    <row r="9" spans="1:6" x14ac:dyDescent="0.2">
      <c r="A9" s="52" t="s">
        <v>1513</v>
      </c>
      <c r="B9" s="52" t="s">
        <v>1514</v>
      </c>
      <c r="C9" s="52" t="s">
        <v>685</v>
      </c>
      <c r="D9" s="14">
        <v>2500</v>
      </c>
      <c r="E9" s="13">
        <v>20002.424999999999</v>
      </c>
      <c r="F9" s="49">
        <v>3.5068800560690501</v>
      </c>
    </row>
    <row r="10" spans="1:6" x14ac:dyDescent="0.2">
      <c r="A10" s="52" t="s">
        <v>1130</v>
      </c>
      <c r="B10" s="52" t="s">
        <v>1131</v>
      </c>
      <c r="C10" s="52" t="s">
        <v>797</v>
      </c>
      <c r="D10" s="14">
        <v>2000</v>
      </c>
      <c r="E10" s="13">
        <v>19579.46</v>
      </c>
      <c r="F10" s="49">
        <v>3.4327246712637001</v>
      </c>
    </row>
    <row r="11" spans="1:6" x14ac:dyDescent="0.2">
      <c r="A11" s="52" t="s">
        <v>721</v>
      </c>
      <c r="B11" s="52" t="s">
        <v>722</v>
      </c>
      <c r="C11" s="52" t="s">
        <v>723</v>
      </c>
      <c r="D11" s="14">
        <v>1450</v>
      </c>
      <c r="E11" s="13">
        <v>14542.702499999999</v>
      </c>
      <c r="F11" s="49">
        <v>2.54966652086412</v>
      </c>
    </row>
    <row r="12" spans="1:6" x14ac:dyDescent="0.2">
      <c r="A12" s="52" t="s">
        <v>1515</v>
      </c>
      <c r="B12" s="52" t="s">
        <v>1516</v>
      </c>
      <c r="C12" s="52" t="s">
        <v>709</v>
      </c>
      <c r="D12" s="14">
        <v>1500</v>
      </c>
      <c r="E12" s="13">
        <v>14537.805</v>
      </c>
      <c r="F12" s="49">
        <v>2.5488078777208698</v>
      </c>
    </row>
    <row r="13" spans="1:6" x14ac:dyDescent="0.2">
      <c r="A13" s="52" t="s">
        <v>1185</v>
      </c>
      <c r="B13" s="52" t="s">
        <v>1186</v>
      </c>
      <c r="C13" s="52" t="s">
        <v>709</v>
      </c>
      <c r="D13" s="14">
        <v>1300</v>
      </c>
      <c r="E13" s="13">
        <v>12579.619000000001</v>
      </c>
      <c r="F13" s="49">
        <v>2.20549333313572</v>
      </c>
    </row>
    <row r="14" spans="1:6" x14ac:dyDescent="0.2">
      <c r="A14" s="52" t="s">
        <v>701</v>
      </c>
      <c r="B14" s="52" t="s">
        <v>702</v>
      </c>
      <c r="C14" s="52" t="s">
        <v>703</v>
      </c>
      <c r="D14" s="14">
        <v>1510</v>
      </c>
      <c r="E14" s="13">
        <v>11521.904</v>
      </c>
      <c r="F14" s="49">
        <v>2.0200518359920001</v>
      </c>
    </row>
    <row r="15" spans="1:6" x14ac:dyDescent="0.2">
      <c r="A15" s="52" t="s">
        <v>864</v>
      </c>
      <c r="B15" s="52" t="s">
        <v>865</v>
      </c>
      <c r="C15" s="52" t="s">
        <v>700</v>
      </c>
      <c r="D15" s="14">
        <v>1102</v>
      </c>
      <c r="E15" s="13">
        <v>11015.492819999999</v>
      </c>
      <c r="F15" s="49">
        <v>1.9312664378558999</v>
      </c>
    </row>
    <row r="16" spans="1:6" x14ac:dyDescent="0.2">
      <c r="A16" s="52" t="s">
        <v>1517</v>
      </c>
      <c r="B16" s="52" t="s">
        <v>1518</v>
      </c>
      <c r="C16" s="52" t="s">
        <v>685</v>
      </c>
      <c r="D16" s="14">
        <v>1250</v>
      </c>
      <c r="E16" s="13">
        <v>10003.987499999999</v>
      </c>
      <c r="F16" s="49">
        <v>1.75392654865168</v>
      </c>
    </row>
    <row r="17" spans="1:6" x14ac:dyDescent="0.2">
      <c r="A17" s="52" t="s">
        <v>880</v>
      </c>
      <c r="B17" s="52" t="s">
        <v>881</v>
      </c>
      <c r="C17" s="52" t="s">
        <v>694</v>
      </c>
      <c r="D17" s="14">
        <v>1000</v>
      </c>
      <c r="E17" s="13">
        <v>10003.19</v>
      </c>
      <c r="F17" s="49">
        <v>1.7537867287626101</v>
      </c>
    </row>
    <row r="18" spans="1:6" x14ac:dyDescent="0.2">
      <c r="A18" s="52" t="s">
        <v>855</v>
      </c>
      <c r="B18" s="52" t="s">
        <v>856</v>
      </c>
      <c r="C18" s="52" t="s">
        <v>709</v>
      </c>
      <c r="D18" s="14">
        <v>2000</v>
      </c>
      <c r="E18" s="13">
        <v>9978.5259999999998</v>
      </c>
      <c r="F18" s="49">
        <v>1.7494625685818801</v>
      </c>
    </row>
    <row r="19" spans="1:6" x14ac:dyDescent="0.2">
      <c r="A19" s="52" t="s">
        <v>931</v>
      </c>
      <c r="B19" s="52" t="s">
        <v>932</v>
      </c>
      <c r="C19" s="52" t="s">
        <v>910</v>
      </c>
      <c r="D19" s="14">
        <v>1000</v>
      </c>
      <c r="E19" s="13">
        <v>9901.83</v>
      </c>
      <c r="F19" s="49">
        <v>1.73601601533745</v>
      </c>
    </row>
    <row r="20" spans="1:6" x14ac:dyDescent="0.2">
      <c r="A20" s="52" t="s">
        <v>878</v>
      </c>
      <c r="B20" s="52" t="s">
        <v>879</v>
      </c>
      <c r="C20" s="52" t="s">
        <v>697</v>
      </c>
      <c r="D20" s="14">
        <v>915</v>
      </c>
      <c r="E20" s="13">
        <v>9102.5115000000005</v>
      </c>
      <c r="F20" s="49">
        <v>1.5958773018516099</v>
      </c>
    </row>
    <row r="21" spans="1:6" x14ac:dyDescent="0.2">
      <c r="A21" s="52" t="s">
        <v>717</v>
      </c>
      <c r="B21" s="52" t="s">
        <v>718</v>
      </c>
      <c r="C21" s="52" t="s">
        <v>697</v>
      </c>
      <c r="D21" s="14">
        <v>780</v>
      </c>
      <c r="E21" s="13">
        <v>8107.3980000000001</v>
      </c>
      <c r="F21" s="49">
        <v>1.4214112715240299</v>
      </c>
    </row>
    <row r="22" spans="1:6" x14ac:dyDescent="0.2">
      <c r="A22" s="52" t="s">
        <v>749</v>
      </c>
      <c r="B22" s="52" t="s">
        <v>750</v>
      </c>
      <c r="C22" s="52" t="s">
        <v>688</v>
      </c>
      <c r="D22" s="14">
        <v>800</v>
      </c>
      <c r="E22" s="13">
        <v>8076.768</v>
      </c>
      <c r="F22" s="49">
        <v>1.4160411358471201</v>
      </c>
    </row>
    <row r="23" spans="1:6" x14ac:dyDescent="0.2">
      <c r="A23" s="52" t="s">
        <v>1519</v>
      </c>
      <c r="B23" s="52" t="s">
        <v>1520</v>
      </c>
      <c r="C23" s="52" t="s">
        <v>706</v>
      </c>
      <c r="D23" s="14">
        <v>784</v>
      </c>
      <c r="E23" s="13">
        <v>7678.9428799999996</v>
      </c>
      <c r="F23" s="49">
        <v>1.3462933438103399</v>
      </c>
    </row>
    <row r="24" spans="1:6" x14ac:dyDescent="0.2">
      <c r="A24" s="52" t="s">
        <v>1521</v>
      </c>
      <c r="B24" s="52" t="s">
        <v>1522</v>
      </c>
      <c r="C24" s="52" t="s">
        <v>778</v>
      </c>
      <c r="D24" s="14">
        <v>600</v>
      </c>
      <c r="E24" s="13">
        <v>6974.4840000000004</v>
      </c>
      <c r="F24" s="49">
        <v>1.22278567928502</v>
      </c>
    </row>
    <row r="25" spans="1:6" x14ac:dyDescent="0.2">
      <c r="A25" s="52" t="s">
        <v>846</v>
      </c>
      <c r="B25" s="52" t="s">
        <v>847</v>
      </c>
      <c r="C25" s="52" t="s">
        <v>848</v>
      </c>
      <c r="D25" s="14">
        <v>500</v>
      </c>
      <c r="E25" s="13">
        <v>5005.01</v>
      </c>
      <c r="F25" s="49">
        <v>0.87749209155520702</v>
      </c>
    </row>
    <row r="26" spans="1:6" x14ac:dyDescent="0.2">
      <c r="A26" s="52" t="s">
        <v>1523</v>
      </c>
      <c r="B26" s="52" t="s">
        <v>1524</v>
      </c>
      <c r="C26" s="52" t="s">
        <v>694</v>
      </c>
      <c r="D26" s="14">
        <v>500</v>
      </c>
      <c r="E26" s="13">
        <v>4929.0749999999998</v>
      </c>
      <c r="F26" s="49">
        <v>0.86417895891965901</v>
      </c>
    </row>
    <row r="27" spans="1:6" x14ac:dyDescent="0.2">
      <c r="A27" s="52" t="s">
        <v>1525</v>
      </c>
      <c r="B27" s="52" t="s">
        <v>1526</v>
      </c>
      <c r="C27" s="52" t="s">
        <v>694</v>
      </c>
      <c r="D27" s="14">
        <v>500</v>
      </c>
      <c r="E27" s="13">
        <v>4712.4650000000001</v>
      </c>
      <c r="F27" s="49">
        <v>0.82620229914240195</v>
      </c>
    </row>
    <row r="28" spans="1:6" x14ac:dyDescent="0.2">
      <c r="A28" s="52" t="s">
        <v>840</v>
      </c>
      <c r="B28" s="52" t="s">
        <v>841</v>
      </c>
      <c r="C28" s="52" t="s">
        <v>764</v>
      </c>
      <c r="D28" s="14">
        <v>450</v>
      </c>
      <c r="E28" s="13">
        <v>4531.6530000000002</v>
      </c>
      <c r="F28" s="49">
        <v>0.79450184298781201</v>
      </c>
    </row>
    <row r="29" spans="1:6" x14ac:dyDescent="0.2">
      <c r="A29" s="52" t="s">
        <v>897</v>
      </c>
      <c r="B29" s="52" t="s">
        <v>898</v>
      </c>
      <c r="C29" s="52" t="s">
        <v>899</v>
      </c>
      <c r="D29" s="14">
        <v>430</v>
      </c>
      <c r="E29" s="13">
        <v>4316.2583000000004</v>
      </c>
      <c r="F29" s="49">
        <v>0.756738252942457</v>
      </c>
    </row>
    <row r="30" spans="1:6" x14ac:dyDescent="0.2">
      <c r="A30" s="52" t="s">
        <v>745</v>
      </c>
      <c r="B30" s="52" t="s">
        <v>746</v>
      </c>
      <c r="C30" s="52" t="s">
        <v>688</v>
      </c>
      <c r="D30" s="14">
        <v>400</v>
      </c>
      <c r="E30" s="13">
        <v>4072.6320000000001</v>
      </c>
      <c r="F30" s="49">
        <v>0.71402502129159895</v>
      </c>
    </row>
    <row r="31" spans="1:6" x14ac:dyDescent="0.2">
      <c r="A31" s="52" t="s">
        <v>1112</v>
      </c>
      <c r="B31" s="52" t="s">
        <v>1113</v>
      </c>
      <c r="C31" s="52" t="s">
        <v>848</v>
      </c>
      <c r="D31" s="14">
        <v>350</v>
      </c>
      <c r="E31" s="13">
        <v>3499.636</v>
      </c>
      <c r="F31" s="49">
        <v>0.61356578974305698</v>
      </c>
    </row>
    <row r="32" spans="1:6" x14ac:dyDescent="0.2">
      <c r="A32" s="52" t="s">
        <v>1527</v>
      </c>
      <c r="B32" s="52" t="s">
        <v>1528</v>
      </c>
      <c r="C32" s="52" t="s">
        <v>764</v>
      </c>
      <c r="D32" s="14">
        <v>324</v>
      </c>
      <c r="E32" s="13">
        <v>3248.6151599999998</v>
      </c>
      <c r="F32" s="49">
        <v>0.569556127041975</v>
      </c>
    </row>
    <row r="33" spans="1:6" x14ac:dyDescent="0.2">
      <c r="A33" s="52" t="s">
        <v>1173</v>
      </c>
      <c r="B33" s="52" t="s">
        <v>1174</v>
      </c>
      <c r="C33" s="52" t="s">
        <v>700</v>
      </c>
      <c r="D33" s="14">
        <v>300</v>
      </c>
      <c r="E33" s="13">
        <v>2980.8029999999999</v>
      </c>
      <c r="F33" s="49">
        <v>0.52260256402765204</v>
      </c>
    </row>
    <row r="34" spans="1:6" x14ac:dyDescent="0.2">
      <c r="A34" s="52" t="s">
        <v>888</v>
      </c>
      <c r="B34" s="52" t="s">
        <v>889</v>
      </c>
      <c r="C34" s="52" t="s">
        <v>832</v>
      </c>
      <c r="D34" s="14">
        <v>400</v>
      </c>
      <c r="E34" s="13">
        <v>2967.06</v>
      </c>
      <c r="F34" s="49">
        <v>0.520193103544207</v>
      </c>
    </row>
    <row r="35" spans="1:6" x14ac:dyDescent="0.2">
      <c r="A35" s="52" t="s">
        <v>1529</v>
      </c>
      <c r="B35" s="52" t="s">
        <v>1530</v>
      </c>
      <c r="C35" s="52" t="s">
        <v>899</v>
      </c>
      <c r="D35" s="14">
        <v>300</v>
      </c>
      <c r="E35" s="13">
        <v>2937.759</v>
      </c>
      <c r="F35" s="49">
        <v>0.51505597179528795</v>
      </c>
    </row>
    <row r="36" spans="1:6" x14ac:dyDescent="0.2">
      <c r="A36" s="52" t="s">
        <v>1531</v>
      </c>
      <c r="B36" s="52" t="s">
        <v>1532</v>
      </c>
      <c r="C36" s="52" t="s">
        <v>694</v>
      </c>
      <c r="D36" s="14">
        <v>250</v>
      </c>
      <c r="E36" s="13">
        <v>2743.3425000000002</v>
      </c>
      <c r="F36" s="49">
        <v>0.480970337357426</v>
      </c>
    </row>
    <row r="37" spans="1:6" x14ac:dyDescent="0.2">
      <c r="A37" s="52" t="s">
        <v>727</v>
      </c>
      <c r="B37" s="52" t="s">
        <v>728</v>
      </c>
      <c r="C37" s="52" t="s">
        <v>729</v>
      </c>
      <c r="D37" s="14">
        <v>250</v>
      </c>
      <c r="E37" s="13">
        <v>2498.0250000000001</v>
      </c>
      <c r="F37" s="49">
        <v>0.43796059988035901</v>
      </c>
    </row>
    <row r="38" spans="1:6" x14ac:dyDescent="0.2">
      <c r="A38" s="52" t="s">
        <v>969</v>
      </c>
      <c r="B38" s="52" t="s">
        <v>970</v>
      </c>
      <c r="C38" s="52" t="s">
        <v>709</v>
      </c>
      <c r="D38" s="14">
        <v>250</v>
      </c>
      <c r="E38" s="13">
        <v>2488.895</v>
      </c>
      <c r="F38" s="49">
        <v>0.43635990321923401</v>
      </c>
    </row>
    <row r="39" spans="1:6" x14ac:dyDescent="0.2">
      <c r="A39" s="52" t="s">
        <v>1137</v>
      </c>
      <c r="B39" s="52" t="s">
        <v>1138</v>
      </c>
      <c r="C39" s="52" t="s">
        <v>709</v>
      </c>
      <c r="D39" s="14">
        <v>240</v>
      </c>
      <c r="E39" s="13">
        <v>2394.0264000000002</v>
      </c>
      <c r="F39" s="49">
        <v>0.41972727986045699</v>
      </c>
    </row>
    <row r="40" spans="1:6" x14ac:dyDescent="0.2">
      <c r="A40" s="52" t="s">
        <v>692</v>
      </c>
      <c r="B40" s="52" t="s">
        <v>693</v>
      </c>
      <c r="C40" s="52" t="s">
        <v>694</v>
      </c>
      <c r="D40" s="14">
        <v>250</v>
      </c>
      <c r="E40" s="13">
        <v>2317.0650000000001</v>
      </c>
      <c r="F40" s="49">
        <v>0.40623419595952198</v>
      </c>
    </row>
    <row r="41" spans="1:6" x14ac:dyDescent="0.2">
      <c r="A41" s="52" t="s">
        <v>995</v>
      </c>
      <c r="B41" s="52" t="s">
        <v>996</v>
      </c>
      <c r="C41" s="52" t="s">
        <v>709</v>
      </c>
      <c r="D41" s="14">
        <v>200</v>
      </c>
      <c r="E41" s="13">
        <v>1929.28</v>
      </c>
      <c r="F41" s="49">
        <v>0.33824666532047498</v>
      </c>
    </row>
    <row r="42" spans="1:6" x14ac:dyDescent="0.2">
      <c r="A42" s="52" t="s">
        <v>747</v>
      </c>
      <c r="B42" s="52" t="s">
        <v>748</v>
      </c>
      <c r="C42" s="52" t="s">
        <v>700</v>
      </c>
      <c r="D42" s="14">
        <v>176</v>
      </c>
      <c r="E42" s="13">
        <v>1756.12976</v>
      </c>
      <c r="F42" s="49">
        <v>0.30788948996000898</v>
      </c>
    </row>
    <row r="43" spans="1:6" x14ac:dyDescent="0.2">
      <c r="A43" s="52" t="s">
        <v>868</v>
      </c>
      <c r="B43" s="52" t="s">
        <v>869</v>
      </c>
      <c r="C43" s="52" t="s">
        <v>700</v>
      </c>
      <c r="D43" s="14">
        <v>174</v>
      </c>
      <c r="E43" s="13">
        <v>1737.5814</v>
      </c>
      <c r="F43" s="49">
        <v>0.30463754057103298</v>
      </c>
    </row>
    <row r="44" spans="1:6" x14ac:dyDescent="0.2">
      <c r="A44" s="52" t="s">
        <v>1183</v>
      </c>
      <c r="B44" s="52" t="s">
        <v>1184</v>
      </c>
      <c r="C44" s="52" t="s">
        <v>899</v>
      </c>
      <c r="D44" s="14">
        <v>150</v>
      </c>
      <c r="E44" s="13">
        <v>1396.4894999999999</v>
      </c>
      <c r="F44" s="49">
        <v>0.24483637239284001</v>
      </c>
    </row>
    <row r="45" spans="1:6" x14ac:dyDescent="0.2">
      <c r="A45" s="52" t="s">
        <v>1533</v>
      </c>
      <c r="B45" s="52" t="s">
        <v>1534</v>
      </c>
      <c r="C45" s="52" t="s">
        <v>685</v>
      </c>
      <c r="D45" s="14">
        <v>150</v>
      </c>
      <c r="E45" s="13">
        <v>1137.0239999999999</v>
      </c>
      <c r="F45" s="49">
        <v>0.19934616872063601</v>
      </c>
    </row>
    <row r="46" spans="1:6" x14ac:dyDescent="0.2">
      <c r="A46" s="52" t="s">
        <v>1535</v>
      </c>
      <c r="B46" s="52" t="s">
        <v>1536</v>
      </c>
      <c r="C46" s="52" t="s">
        <v>694</v>
      </c>
      <c r="D46" s="14">
        <v>115</v>
      </c>
      <c r="E46" s="13">
        <v>930.42819999999995</v>
      </c>
      <c r="F46" s="49">
        <v>0.163125225975562</v>
      </c>
    </row>
    <row r="47" spans="1:6" x14ac:dyDescent="0.2">
      <c r="A47" s="52" t="s">
        <v>1537</v>
      </c>
      <c r="B47" s="52" t="s">
        <v>1538</v>
      </c>
      <c r="C47" s="52" t="s">
        <v>688</v>
      </c>
      <c r="D47" s="14">
        <v>73</v>
      </c>
      <c r="E47" s="13">
        <v>734.97933</v>
      </c>
      <c r="F47" s="49">
        <v>0.12885859359552601</v>
      </c>
    </row>
    <row r="48" spans="1:6" x14ac:dyDescent="0.2">
      <c r="A48" s="52" t="s">
        <v>1133</v>
      </c>
      <c r="B48" s="52" t="s">
        <v>1134</v>
      </c>
      <c r="C48" s="52" t="s">
        <v>700</v>
      </c>
      <c r="D48" s="14">
        <v>62</v>
      </c>
      <c r="E48" s="13">
        <v>613.09258</v>
      </c>
      <c r="F48" s="49">
        <v>0.10748907401607199</v>
      </c>
    </row>
    <row r="49" spans="1:6" x14ac:dyDescent="0.2">
      <c r="A49" s="52" t="s">
        <v>1135</v>
      </c>
      <c r="B49" s="52" t="s">
        <v>1136</v>
      </c>
      <c r="C49" s="52" t="s">
        <v>700</v>
      </c>
      <c r="D49" s="14">
        <v>62</v>
      </c>
      <c r="E49" s="13">
        <v>602.19359999999995</v>
      </c>
      <c r="F49" s="49">
        <v>0.10557823492563601</v>
      </c>
    </row>
    <row r="50" spans="1:6" x14ac:dyDescent="0.2">
      <c r="A50" s="52" t="s">
        <v>730</v>
      </c>
      <c r="B50" s="52" t="s">
        <v>731</v>
      </c>
      <c r="C50" s="52" t="s">
        <v>700</v>
      </c>
      <c r="D50" s="14">
        <v>55</v>
      </c>
      <c r="E50" s="13">
        <v>546.64554999999996</v>
      </c>
      <c r="F50" s="49">
        <v>9.5839398324647995E-2</v>
      </c>
    </row>
    <row r="51" spans="1:6" x14ac:dyDescent="0.2">
      <c r="A51" s="52" t="s">
        <v>923</v>
      </c>
      <c r="B51" s="52" t="s">
        <v>924</v>
      </c>
      <c r="C51" s="52" t="s">
        <v>700</v>
      </c>
      <c r="D51" s="14">
        <v>88</v>
      </c>
      <c r="E51" s="13">
        <v>441.1</v>
      </c>
      <c r="F51" s="49">
        <v>7.7334862784490296E-2</v>
      </c>
    </row>
    <row r="52" spans="1:6" x14ac:dyDescent="0.2">
      <c r="A52" s="52" t="s">
        <v>870</v>
      </c>
      <c r="B52" s="52" t="s">
        <v>871</v>
      </c>
      <c r="C52" s="52" t="s">
        <v>688</v>
      </c>
      <c r="D52" s="14">
        <v>42</v>
      </c>
      <c r="E52" s="13">
        <v>434.58030000000002</v>
      </c>
      <c r="F52" s="49">
        <v>7.6191811084431293E-2</v>
      </c>
    </row>
    <row r="53" spans="1:6" x14ac:dyDescent="0.2">
      <c r="A53" s="52" t="s">
        <v>1143</v>
      </c>
      <c r="B53" s="52" t="s">
        <v>1144</v>
      </c>
      <c r="C53" s="52" t="s">
        <v>688</v>
      </c>
      <c r="D53" s="14">
        <v>20</v>
      </c>
      <c r="E53" s="13">
        <v>207.1754</v>
      </c>
      <c r="F53" s="49">
        <v>3.6322559808029703E-2</v>
      </c>
    </row>
    <row r="54" spans="1:6" x14ac:dyDescent="0.2">
      <c r="A54" s="41" t="s">
        <v>43</v>
      </c>
      <c r="B54" s="52"/>
      <c r="C54" s="52"/>
      <c r="D54" s="14"/>
      <c r="E54" s="50">
        <f>SUM(E8:E53)</f>
        <v>273416.06617999991</v>
      </c>
      <c r="F54" s="6">
        <f>SUM(F8:F53)</f>
        <v>47.936055228078487</v>
      </c>
    </row>
    <row r="55" spans="1:6" x14ac:dyDescent="0.2">
      <c r="A55" s="52"/>
      <c r="B55" s="52"/>
      <c r="C55" s="52"/>
      <c r="D55" s="14"/>
      <c r="E55" s="13"/>
      <c r="F55" s="49"/>
    </row>
    <row r="56" spans="1:6" x14ac:dyDescent="0.2">
      <c r="A56" s="41" t="s">
        <v>772</v>
      </c>
      <c r="B56" s="52"/>
      <c r="C56" s="52"/>
      <c r="D56" s="14"/>
      <c r="E56" s="13"/>
      <c r="F56" s="49"/>
    </row>
    <row r="57" spans="1:6" x14ac:dyDescent="0.2">
      <c r="A57" s="52" t="s">
        <v>1539</v>
      </c>
      <c r="B57" s="52" t="s">
        <v>1540</v>
      </c>
      <c r="C57" s="52" t="s">
        <v>788</v>
      </c>
      <c r="D57" s="14">
        <v>30000</v>
      </c>
      <c r="E57" s="13">
        <v>30008.85</v>
      </c>
      <c r="F57" s="49">
        <v>5.2612339539114803</v>
      </c>
    </row>
    <row r="58" spans="1:6" x14ac:dyDescent="0.2">
      <c r="A58" s="52" t="s">
        <v>1023</v>
      </c>
      <c r="B58" s="52" t="s">
        <v>1024</v>
      </c>
      <c r="C58" s="52" t="s">
        <v>729</v>
      </c>
      <c r="D58" s="14">
        <v>2500</v>
      </c>
      <c r="E58" s="13">
        <v>24682.075000000001</v>
      </c>
      <c r="F58" s="49">
        <v>4.3273291393368796</v>
      </c>
    </row>
    <row r="59" spans="1:6" x14ac:dyDescent="0.2">
      <c r="A59" s="52" t="s">
        <v>795</v>
      </c>
      <c r="B59" s="52" t="s">
        <v>796</v>
      </c>
      <c r="C59" s="52" t="s">
        <v>797</v>
      </c>
      <c r="D59" s="14">
        <v>1970</v>
      </c>
      <c r="E59" s="13">
        <v>17473.210500000001</v>
      </c>
      <c r="F59" s="49">
        <v>3.0634512274359902</v>
      </c>
    </row>
    <row r="60" spans="1:6" x14ac:dyDescent="0.2">
      <c r="A60" s="52" t="s">
        <v>819</v>
      </c>
      <c r="B60" s="52" t="s">
        <v>820</v>
      </c>
      <c r="C60" s="52" t="s">
        <v>788</v>
      </c>
      <c r="D60" s="14">
        <v>1498</v>
      </c>
      <c r="E60" s="13">
        <v>15385.77824</v>
      </c>
      <c r="F60" s="49">
        <v>2.6974768737769201</v>
      </c>
    </row>
    <row r="61" spans="1:6" x14ac:dyDescent="0.2">
      <c r="A61" s="52" t="s">
        <v>1253</v>
      </c>
      <c r="B61" s="52" t="s">
        <v>1254</v>
      </c>
      <c r="C61" s="52" t="s">
        <v>1229</v>
      </c>
      <c r="D61" s="14">
        <v>110</v>
      </c>
      <c r="E61" s="13">
        <v>15383.191999999999</v>
      </c>
      <c r="F61" s="49">
        <v>2.6970234470810901</v>
      </c>
    </row>
    <row r="62" spans="1:6" x14ac:dyDescent="0.2">
      <c r="A62" s="52" t="s">
        <v>1003</v>
      </c>
      <c r="B62" s="52" t="s">
        <v>1004</v>
      </c>
      <c r="C62" s="52" t="s">
        <v>706</v>
      </c>
      <c r="D62" s="14">
        <v>850</v>
      </c>
      <c r="E62" s="13">
        <v>8528.2455000000009</v>
      </c>
      <c r="F62" s="49">
        <v>1.49519541041702</v>
      </c>
    </row>
    <row r="63" spans="1:6" x14ac:dyDescent="0.2">
      <c r="A63" s="52" t="s">
        <v>1227</v>
      </c>
      <c r="B63" s="52" t="s">
        <v>1228</v>
      </c>
      <c r="C63" s="52" t="s">
        <v>1229</v>
      </c>
      <c r="D63" s="14">
        <v>57</v>
      </c>
      <c r="E63" s="13">
        <v>8053.3874999999998</v>
      </c>
      <c r="F63" s="49">
        <v>1.4119420024095</v>
      </c>
    </row>
    <row r="64" spans="1:6" x14ac:dyDescent="0.2">
      <c r="A64" s="52" t="s">
        <v>1009</v>
      </c>
      <c r="B64" s="52" t="s">
        <v>1010</v>
      </c>
      <c r="C64" s="52" t="s">
        <v>706</v>
      </c>
      <c r="D64" s="14">
        <v>650</v>
      </c>
      <c r="E64" s="13">
        <v>6512.7984999999999</v>
      </c>
      <c r="F64" s="49">
        <v>1.14184171013497</v>
      </c>
    </row>
    <row r="65" spans="1:6" x14ac:dyDescent="0.2">
      <c r="A65" s="52" t="s">
        <v>1242</v>
      </c>
      <c r="B65" s="52" t="s">
        <v>1243</v>
      </c>
      <c r="C65" s="52" t="s">
        <v>832</v>
      </c>
      <c r="D65" s="14">
        <v>12</v>
      </c>
      <c r="E65" s="13">
        <v>6033.2939999999999</v>
      </c>
      <c r="F65" s="49">
        <v>1.0577736649931699</v>
      </c>
    </row>
    <row r="66" spans="1:6" x14ac:dyDescent="0.2">
      <c r="A66" s="52" t="s">
        <v>1224</v>
      </c>
      <c r="B66" s="52" t="s">
        <v>785</v>
      </c>
      <c r="C66" s="52" t="s">
        <v>691</v>
      </c>
      <c r="D66" s="14">
        <v>600</v>
      </c>
      <c r="E66" s="13">
        <v>5987.2079999999996</v>
      </c>
      <c r="F66" s="49">
        <v>1.0496937409707601</v>
      </c>
    </row>
    <row r="67" spans="1:6" x14ac:dyDescent="0.2">
      <c r="A67" s="52" t="s">
        <v>1541</v>
      </c>
      <c r="B67" s="52" t="s">
        <v>1542</v>
      </c>
      <c r="C67" s="52" t="s">
        <v>832</v>
      </c>
      <c r="D67" s="14">
        <v>500</v>
      </c>
      <c r="E67" s="13">
        <v>5052.3999999999996</v>
      </c>
      <c r="F67" s="49">
        <v>0.88580063643699603</v>
      </c>
    </row>
    <row r="68" spans="1:6" x14ac:dyDescent="0.2">
      <c r="A68" s="52" t="s">
        <v>806</v>
      </c>
      <c r="B68" s="52" t="s">
        <v>807</v>
      </c>
      <c r="C68" s="52" t="s">
        <v>805</v>
      </c>
      <c r="D68" s="14">
        <v>5150</v>
      </c>
      <c r="E68" s="13">
        <v>4969.6264000000001</v>
      </c>
      <c r="F68" s="49">
        <v>0.87128854167803405</v>
      </c>
    </row>
    <row r="69" spans="1:6" x14ac:dyDescent="0.2">
      <c r="A69" s="52" t="s">
        <v>1244</v>
      </c>
      <c r="B69" s="52" t="s">
        <v>1245</v>
      </c>
      <c r="C69" s="52" t="s">
        <v>813</v>
      </c>
      <c r="D69" s="14">
        <v>1214</v>
      </c>
      <c r="E69" s="13">
        <v>4856</v>
      </c>
      <c r="F69" s="49">
        <v>0.85136724933458396</v>
      </c>
    </row>
    <row r="70" spans="1:6" x14ac:dyDescent="0.2">
      <c r="A70" s="52" t="s">
        <v>1021</v>
      </c>
      <c r="B70" s="52" t="s">
        <v>1022</v>
      </c>
      <c r="C70" s="52" t="s">
        <v>832</v>
      </c>
      <c r="D70" s="14">
        <v>310</v>
      </c>
      <c r="E70" s="13">
        <v>4328.4494000000004</v>
      </c>
      <c r="F70" s="49">
        <v>0.75887563005805803</v>
      </c>
    </row>
    <row r="71" spans="1:6" x14ac:dyDescent="0.2">
      <c r="A71" s="52" t="s">
        <v>830</v>
      </c>
      <c r="B71" s="52" t="s">
        <v>831</v>
      </c>
      <c r="C71" s="52" t="s">
        <v>832</v>
      </c>
      <c r="D71" s="14">
        <v>240</v>
      </c>
      <c r="E71" s="13">
        <v>2422.7903999999999</v>
      </c>
      <c r="F71" s="49">
        <v>0.424770263295354</v>
      </c>
    </row>
    <row r="72" spans="1:6" x14ac:dyDescent="0.2">
      <c r="A72" s="52" t="s">
        <v>1255</v>
      </c>
      <c r="B72" s="52" t="s">
        <v>1256</v>
      </c>
      <c r="C72" s="52" t="s">
        <v>794</v>
      </c>
      <c r="D72" s="14">
        <v>16</v>
      </c>
      <c r="E72" s="13">
        <v>1962.2672</v>
      </c>
      <c r="F72" s="49">
        <v>0.34403007177172101</v>
      </c>
    </row>
    <row r="73" spans="1:6" x14ac:dyDescent="0.2">
      <c r="A73" s="52" t="s">
        <v>786</v>
      </c>
      <c r="B73" s="52" t="s">
        <v>787</v>
      </c>
      <c r="C73" s="52" t="s">
        <v>788</v>
      </c>
      <c r="D73" s="14">
        <v>180</v>
      </c>
      <c r="E73" s="13">
        <v>1608.7085999999999</v>
      </c>
      <c r="F73" s="49">
        <v>0.28204320752942502</v>
      </c>
    </row>
    <row r="74" spans="1:6" x14ac:dyDescent="0.2">
      <c r="A74" s="52" t="s">
        <v>1284</v>
      </c>
      <c r="B74" s="52" t="s">
        <v>1285</v>
      </c>
      <c r="C74" s="52" t="s">
        <v>813</v>
      </c>
      <c r="D74" s="14">
        <v>365</v>
      </c>
      <c r="E74" s="13">
        <v>1460</v>
      </c>
      <c r="F74" s="49">
        <v>0.25597120758412101</v>
      </c>
    </row>
    <row r="75" spans="1:6" x14ac:dyDescent="0.2">
      <c r="A75" s="52" t="s">
        <v>814</v>
      </c>
      <c r="B75" s="52" t="s">
        <v>815</v>
      </c>
      <c r="C75" s="52" t="s">
        <v>788</v>
      </c>
      <c r="D75" s="14">
        <v>120</v>
      </c>
      <c r="E75" s="13">
        <v>1112.3040000000001</v>
      </c>
      <c r="F75" s="49">
        <v>0.195012190466198</v>
      </c>
    </row>
    <row r="76" spans="1:6" x14ac:dyDescent="0.2">
      <c r="A76" s="52" t="s">
        <v>1543</v>
      </c>
      <c r="B76" s="52" t="s">
        <v>1544</v>
      </c>
      <c r="C76" s="52" t="s">
        <v>788</v>
      </c>
      <c r="D76" s="14">
        <v>320</v>
      </c>
      <c r="E76" s="13">
        <v>531.52804900000001</v>
      </c>
      <c r="F76" s="49">
        <v>9.3188956552987701E-2</v>
      </c>
    </row>
    <row r="77" spans="1:6" x14ac:dyDescent="0.2">
      <c r="A77" s="52" t="s">
        <v>1007</v>
      </c>
      <c r="B77" s="52" t="s">
        <v>1008</v>
      </c>
      <c r="C77" s="52" t="s">
        <v>827</v>
      </c>
      <c r="D77" s="14">
        <v>50</v>
      </c>
      <c r="E77" s="13">
        <v>500.47199999999998</v>
      </c>
      <c r="F77" s="49">
        <v>8.7744124795918005E-2</v>
      </c>
    </row>
    <row r="78" spans="1:6" x14ac:dyDescent="0.2">
      <c r="A78" s="52" t="s">
        <v>1225</v>
      </c>
      <c r="B78" s="52" t="s">
        <v>1226</v>
      </c>
      <c r="C78" s="52" t="s">
        <v>788</v>
      </c>
      <c r="D78" s="14">
        <v>40</v>
      </c>
      <c r="E78" s="13">
        <v>356.96280000000002</v>
      </c>
      <c r="F78" s="49">
        <v>6.2583697930554197E-2</v>
      </c>
    </row>
    <row r="79" spans="1:6" x14ac:dyDescent="0.2">
      <c r="A79" s="41" t="s">
        <v>43</v>
      </c>
      <c r="B79" s="52"/>
      <c r="C79" s="52"/>
      <c r="D79" s="14"/>
      <c r="E79" s="50">
        <f>SUM(E57:E78)</f>
        <v>167209.54808900005</v>
      </c>
      <c r="F79" s="6">
        <f>SUM(F57:F78)</f>
        <v>29.31563694790173</v>
      </c>
    </row>
    <row r="80" spans="1:6" x14ac:dyDescent="0.2">
      <c r="A80" s="52"/>
      <c r="B80" s="52"/>
      <c r="C80" s="52"/>
      <c r="D80" s="14"/>
      <c r="E80" s="13"/>
      <c r="F80" s="49"/>
    </row>
    <row r="81" spans="1:6" x14ac:dyDescent="0.2">
      <c r="A81" s="41" t="s">
        <v>1058</v>
      </c>
      <c r="B81" s="52"/>
      <c r="C81" s="52"/>
      <c r="D81" s="14"/>
      <c r="E81" s="13"/>
      <c r="F81" s="49"/>
    </row>
    <row r="82" spans="1:6" x14ac:dyDescent="0.2">
      <c r="A82" s="41" t="s">
        <v>1059</v>
      </c>
      <c r="B82" s="52"/>
      <c r="C82" s="52"/>
      <c r="D82" s="14"/>
      <c r="E82" s="13"/>
      <c r="F82" s="49"/>
    </row>
    <row r="83" spans="1:6" x14ac:dyDescent="0.2">
      <c r="A83" s="52" t="s">
        <v>1545</v>
      </c>
      <c r="B83" s="52" t="s">
        <v>1546</v>
      </c>
      <c r="C83" s="52" t="s">
        <v>1065</v>
      </c>
      <c r="D83" s="14">
        <v>7500</v>
      </c>
      <c r="E83" s="13">
        <v>7169.0924999999997</v>
      </c>
      <c r="F83" s="49">
        <v>1.25690497568991</v>
      </c>
    </row>
    <row r="84" spans="1:6" x14ac:dyDescent="0.2">
      <c r="A84" s="52" t="s">
        <v>1304</v>
      </c>
      <c r="B84" s="52" t="s">
        <v>1305</v>
      </c>
      <c r="C84" s="52" t="s">
        <v>1065</v>
      </c>
      <c r="D84" s="14">
        <v>2000</v>
      </c>
      <c r="E84" s="13">
        <v>1965.0640000000001</v>
      </c>
      <c r="F84" s="49">
        <v>0.34452041442471498</v>
      </c>
    </row>
    <row r="85" spans="1:6" x14ac:dyDescent="0.2">
      <c r="A85" s="52" t="s">
        <v>1322</v>
      </c>
      <c r="B85" s="52" t="s">
        <v>1323</v>
      </c>
      <c r="C85" s="52" t="s">
        <v>1303</v>
      </c>
      <c r="D85" s="14">
        <v>2000</v>
      </c>
      <c r="E85" s="13">
        <v>1961.442</v>
      </c>
      <c r="F85" s="49">
        <v>0.34388539544261199</v>
      </c>
    </row>
    <row r="86" spans="1:6" x14ac:dyDescent="0.2">
      <c r="A86" s="41" t="s">
        <v>43</v>
      </c>
      <c r="B86" s="52"/>
      <c r="C86" s="52"/>
      <c r="D86" s="14"/>
      <c r="E86" s="50">
        <f>SUM(E83:E85)</f>
        <v>11095.5985</v>
      </c>
      <c r="F86" s="6">
        <f>SUM(F83:F85)</f>
        <v>1.9453107855572369</v>
      </c>
    </row>
    <row r="87" spans="1:6" x14ac:dyDescent="0.2">
      <c r="A87" s="52"/>
      <c r="B87" s="52"/>
      <c r="C87" s="52"/>
      <c r="D87" s="14"/>
      <c r="E87" s="13"/>
      <c r="F87" s="49"/>
    </row>
    <row r="88" spans="1:6" x14ac:dyDescent="0.2">
      <c r="A88" s="41" t="s">
        <v>1066</v>
      </c>
      <c r="B88" s="52"/>
      <c r="C88" s="52"/>
      <c r="D88" s="14"/>
      <c r="E88" s="13"/>
      <c r="F88" s="49"/>
    </row>
    <row r="89" spans="1:6" x14ac:dyDescent="0.2">
      <c r="A89" s="52" t="s">
        <v>1547</v>
      </c>
      <c r="B89" s="52" t="s">
        <v>1548</v>
      </c>
      <c r="C89" s="52" t="s">
        <v>1303</v>
      </c>
      <c r="D89" s="14">
        <v>4000</v>
      </c>
      <c r="E89" s="13">
        <v>19030.7</v>
      </c>
      <c r="F89" s="49">
        <v>3.3365145617610499</v>
      </c>
    </row>
    <row r="90" spans="1:6" x14ac:dyDescent="0.2">
      <c r="A90" s="52" t="s">
        <v>1089</v>
      </c>
      <c r="B90" s="52" t="s">
        <v>1090</v>
      </c>
      <c r="C90" s="52" t="s">
        <v>1065</v>
      </c>
      <c r="D90" s="14">
        <v>3400</v>
      </c>
      <c r="E90" s="13">
        <v>16736.058000000001</v>
      </c>
      <c r="F90" s="49">
        <v>2.9342116277108898</v>
      </c>
    </row>
    <row r="91" spans="1:6" x14ac:dyDescent="0.2">
      <c r="A91" s="52" t="s">
        <v>1549</v>
      </c>
      <c r="B91" s="52" t="s">
        <v>1550</v>
      </c>
      <c r="C91" s="52" t="s">
        <v>1062</v>
      </c>
      <c r="D91" s="14">
        <v>3000</v>
      </c>
      <c r="E91" s="13">
        <v>14589.885</v>
      </c>
      <c r="F91" s="49">
        <v>2.5579386862763398</v>
      </c>
    </row>
    <row r="92" spans="1:6" x14ac:dyDescent="0.2">
      <c r="A92" s="52" t="s">
        <v>1070</v>
      </c>
      <c r="B92" s="52" t="s">
        <v>1071</v>
      </c>
      <c r="C92" s="52" t="s">
        <v>1072</v>
      </c>
      <c r="D92" s="14">
        <v>2500</v>
      </c>
      <c r="E92" s="13">
        <v>12315.5</v>
      </c>
      <c r="F92" s="49">
        <v>2.1591872650700301</v>
      </c>
    </row>
    <row r="93" spans="1:6" x14ac:dyDescent="0.2">
      <c r="A93" s="52" t="s">
        <v>1551</v>
      </c>
      <c r="B93" s="52" t="s">
        <v>1552</v>
      </c>
      <c r="C93" s="52" t="s">
        <v>1065</v>
      </c>
      <c r="D93" s="14">
        <v>2000</v>
      </c>
      <c r="E93" s="13">
        <v>9822.74</v>
      </c>
      <c r="F93" s="49">
        <v>1.72214973944168</v>
      </c>
    </row>
    <row r="94" spans="1:6" x14ac:dyDescent="0.2">
      <c r="A94" s="52" t="s">
        <v>1081</v>
      </c>
      <c r="B94" s="52" t="s">
        <v>1082</v>
      </c>
      <c r="C94" s="52" t="s">
        <v>1062</v>
      </c>
      <c r="D94" s="14">
        <v>2000</v>
      </c>
      <c r="E94" s="13">
        <v>9739.5300000000007</v>
      </c>
      <c r="F94" s="49">
        <v>1.7075611338368299</v>
      </c>
    </row>
    <row r="95" spans="1:6" x14ac:dyDescent="0.2">
      <c r="A95" s="52" t="s">
        <v>1356</v>
      </c>
      <c r="B95" s="52" t="s">
        <v>1357</v>
      </c>
      <c r="C95" s="52" t="s">
        <v>1065</v>
      </c>
      <c r="D95" s="14">
        <v>2000</v>
      </c>
      <c r="E95" s="13">
        <v>9522.4699999999993</v>
      </c>
      <c r="F95" s="49">
        <v>1.66950557882436</v>
      </c>
    </row>
    <row r="96" spans="1:6" x14ac:dyDescent="0.2">
      <c r="A96" s="52" t="s">
        <v>1340</v>
      </c>
      <c r="B96" s="52" t="s">
        <v>1341</v>
      </c>
      <c r="C96" s="52" t="s">
        <v>1065</v>
      </c>
      <c r="D96" s="14">
        <v>1000</v>
      </c>
      <c r="E96" s="13">
        <v>4829.2449999999999</v>
      </c>
      <c r="F96" s="49">
        <v>0.846676489294233</v>
      </c>
    </row>
    <row r="97" spans="1:6" x14ac:dyDescent="0.2">
      <c r="A97" s="52" t="s">
        <v>1083</v>
      </c>
      <c r="B97" s="52" t="s">
        <v>1084</v>
      </c>
      <c r="C97" s="52" t="s">
        <v>1062</v>
      </c>
      <c r="D97" s="14">
        <v>800</v>
      </c>
      <c r="E97" s="13">
        <v>3721.884</v>
      </c>
      <c r="F97" s="49">
        <v>0.652530919156178</v>
      </c>
    </row>
    <row r="98" spans="1:6" x14ac:dyDescent="0.2">
      <c r="A98" s="52" t="s">
        <v>1087</v>
      </c>
      <c r="B98" s="52" t="s">
        <v>1088</v>
      </c>
      <c r="C98" s="52" t="s">
        <v>1062</v>
      </c>
      <c r="D98" s="14">
        <v>500</v>
      </c>
      <c r="E98" s="13">
        <v>2454.59</v>
      </c>
      <c r="F98" s="49">
        <v>0.43034545645473199</v>
      </c>
    </row>
    <row r="99" spans="1:6" x14ac:dyDescent="0.2">
      <c r="A99" s="52" t="s">
        <v>1350</v>
      </c>
      <c r="B99" s="52" t="s">
        <v>1351</v>
      </c>
      <c r="C99" s="52" t="s">
        <v>1065</v>
      </c>
      <c r="D99" s="14">
        <v>400</v>
      </c>
      <c r="E99" s="13">
        <v>1963.97</v>
      </c>
      <c r="F99" s="49">
        <v>0.34432861134177201</v>
      </c>
    </row>
    <row r="100" spans="1:6" x14ac:dyDescent="0.2">
      <c r="A100" s="52" t="s">
        <v>1344</v>
      </c>
      <c r="B100" s="52" t="s">
        <v>1345</v>
      </c>
      <c r="C100" s="52" t="s">
        <v>1069</v>
      </c>
      <c r="D100" s="14">
        <v>400</v>
      </c>
      <c r="E100" s="13">
        <v>1963.4</v>
      </c>
      <c r="F100" s="49">
        <v>0.344228677377167</v>
      </c>
    </row>
    <row r="101" spans="1:6" x14ac:dyDescent="0.2">
      <c r="A101" s="52" t="s">
        <v>1380</v>
      </c>
      <c r="B101" s="52" t="s">
        <v>1381</v>
      </c>
      <c r="C101" s="52" t="s">
        <v>1062</v>
      </c>
      <c r="D101" s="14">
        <v>100</v>
      </c>
      <c r="E101" s="13">
        <v>484.61950000000002</v>
      </c>
      <c r="F101" s="49">
        <v>8.4964820982063705E-2</v>
      </c>
    </row>
    <row r="102" spans="1:6" x14ac:dyDescent="0.2">
      <c r="A102" s="41" t="s">
        <v>43</v>
      </c>
      <c r="B102" s="52"/>
      <c r="C102" s="52"/>
      <c r="D102" s="52"/>
      <c r="E102" s="50">
        <f>SUM(E89:E101)</f>
        <v>107174.59149999999</v>
      </c>
      <c r="F102" s="6">
        <f>SUM(F89:F101)</f>
        <v>18.790143567527323</v>
      </c>
    </row>
    <row r="103" spans="1:6" x14ac:dyDescent="0.2">
      <c r="A103" s="52"/>
      <c r="B103" s="52"/>
      <c r="C103" s="52"/>
      <c r="D103" s="52"/>
      <c r="E103" s="13"/>
      <c r="F103" s="49"/>
    </row>
    <row r="104" spans="1:6" x14ac:dyDescent="0.2">
      <c r="A104" s="41" t="s">
        <v>43</v>
      </c>
      <c r="B104" s="52"/>
      <c r="C104" s="52"/>
      <c r="D104" s="52"/>
      <c r="E104" s="50">
        <f>E54+E79+E86+E102</f>
        <v>558895.80426899996</v>
      </c>
      <c r="F104" s="6">
        <f>F54+F79+F86+F102</f>
        <v>97.987146529064788</v>
      </c>
    </row>
    <row r="105" spans="1:6" x14ac:dyDescent="0.2">
      <c r="A105" s="52"/>
      <c r="B105" s="52"/>
      <c r="C105" s="52"/>
      <c r="D105" s="52"/>
      <c r="E105" s="13"/>
      <c r="F105" s="49"/>
    </row>
    <row r="106" spans="1:6" x14ac:dyDescent="0.2">
      <c r="A106" s="41" t="s">
        <v>100</v>
      </c>
      <c r="B106" s="52"/>
      <c r="C106" s="52"/>
      <c r="D106" s="52"/>
      <c r="E106" s="50">
        <v>11480.850475499999</v>
      </c>
      <c r="F106" s="6">
        <v>2.0099999999999998</v>
      </c>
    </row>
    <row r="107" spans="1:6" x14ac:dyDescent="0.2">
      <c r="A107" s="52"/>
      <c r="B107" s="52"/>
      <c r="C107" s="52"/>
      <c r="D107" s="52"/>
      <c r="E107" s="13"/>
      <c r="F107" s="49"/>
    </row>
    <row r="108" spans="1:6" x14ac:dyDescent="0.2">
      <c r="A108" s="57" t="s">
        <v>101</v>
      </c>
      <c r="B108" s="34"/>
      <c r="C108" s="34"/>
      <c r="D108" s="34"/>
      <c r="E108" s="51">
        <f>E104+E106</f>
        <v>570376.65474449995</v>
      </c>
      <c r="F108" s="8">
        <f>F104+F106</f>
        <v>99.997146529064793</v>
      </c>
    </row>
    <row r="109" spans="1:6" x14ac:dyDescent="0.2">
      <c r="A109" s="4" t="s">
        <v>1964</v>
      </c>
    </row>
    <row r="110" spans="1:6" x14ac:dyDescent="0.2">
      <c r="A110" s="60" t="s">
        <v>1963</v>
      </c>
    </row>
    <row r="111" spans="1:6" x14ac:dyDescent="0.2">
      <c r="A111" s="60"/>
    </row>
    <row r="112" spans="1:6" x14ac:dyDescent="0.2">
      <c r="A112" s="4" t="s">
        <v>102</v>
      </c>
    </row>
    <row r="113" spans="1:4" x14ac:dyDescent="0.2">
      <c r="A113" s="4" t="s">
        <v>833</v>
      </c>
    </row>
    <row r="114" spans="1:4" x14ac:dyDescent="0.2">
      <c r="A114" s="4" t="s">
        <v>104</v>
      </c>
    </row>
    <row r="115" spans="1:4" x14ac:dyDescent="0.2">
      <c r="A115" s="2" t="s">
        <v>598</v>
      </c>
      <c r="D115" s="10">
        <v>21.772600000000001</v>
      </c>
    </row>
    <row r="116" spans="1:4" x14ac:dyDescent="0.2">
      <c r="A116" s="2" t="s">
        <v>1553</v>
      </c>
      <c r="D116" s="10">
        <v>10.5977</v>
      </c>
    </row>
    <row r="117" spans="1:4" x14ac:dyDescent="0.2">
      <c r="A117" s="2" t="s">
        <v>1554</v>
      </c>
      <c r="D117" s="10">
        <v>10.3995</v>
      </c>
    </row>
    <row r="118" spans="1:4" x14ac:dyDescent="0.2">
      <c r="A118" s="2" t="s">
        <v>600</v>
      </c>
      <c r="D118" s="10">
        <v>22.209299999999999</v>
      </c>
    </row>
    <row r="119" spans="1:4" x14ac:dyDescent="0.2">
      <c r="A119" s="2" t="s">
        <v>1555</v>
      </c>
      <c r="D119" s="10">
        <v>10.879300000000001</v>
      </c>
    </row>
    <row r="120" spans="1:4" x14ac:dyDescent="0.2">
      <c r="A120" s="2" t="s">
        <v>1556</v>
      </c>
      <c r="D120" s="10">
        <v>10.681800000000001</v>
      </c>
    </row>
    <row r="122" spans="1:4" x14ac:dyDescent="0.2">
      <c r="A122" s="4" t="s">
        <v>105</v>
      </c>
    </row>
    <row r="123" spans="1:4" x14ac:dyDescent="0.2">
      <c r="A123" s="2" t="s">
        <v>598</v>
      </c>
      <c r="D123" s="10">
        <v>22.435700000000001</v>
      </c>
    </row>
    <row r="124" spans="1:4" x14ac:dyDescent="0.2">
      <c r="A124" s="2" t="s">
        <v>1553</v>
      </c>
      <c r="D124" s="10">
        <v>10.485200000000001</v>
      </c>
    </row>
    <row r="125" spans="1:4" x14ac:dyDescent="0.2">
      <c r="A125" s="2" t="s">
        <v>1554</v>
      </c>
      <c r="D125" s="10">
        <v>10.311400000000001</v>
      </c>
    </row>
    <row r="126" spans="1:4" x14ac:dyDescent="0.2">
      <c r="A126" s="2" t="s">
        <v>600</v>
      </c>
      <c r="D126" s="10">
        <v>22.929500000000001</v>
      </c>
    </row>
    <row r="127" spans="1:4" x14ac:dyDescent="0.2">
      <c r="A127" s="2" t="s">
        <v>1555</v>
      </c>
      <c r="D127" s="10">
        <v>10.7965</v>
      </c>
    </row>
    <row r="128" spans="1:4" x14ac:dyDescent="0.2">
      <c r="A128" s="2" t="s">
        <v>1556</v>
      </c>
      <c r="D128" s="10">
        <v>10.623100000000001</v>
      </c>
    </row>
    <row r="130" spans="1:5" x14ac:dyDescent="0.2">
      <c r="A130" s="4" t="s">
        <v>106</v>
      </c>
      <c r="D130" s="17" t="s">
        <v>319</v>
      </c>
    </row>
    <row r="131" spans="1:5" x14ac:dyDescent="0.2">
      <c r="A131" s="107" t="s">
        <v>602</v>
      </c>
      <c r="B131" s="108"/>
      <c r="C131" s="103" t="s">
        <v>603</v>
      </c>
      <c r="D131" s="103"/>
    </row>
    <row r="132" spans="1:5" x14ac:dyDescent="0.2">
      <c r="A132" s="104"/>
      <c r="B132" s="104"/>
      <c r="C132" s="20" t="s">
        <v>604</v>
      </c>
      <c r="D132" s="20" t="s">
        <v>605</v>
      </c>
    </row>
    <row r="133" spans="1:5" x14ac:dyDescent="0.2">
      <c r="A133" s="21" t="s">
        <v>1553</v>
      </c>
      <c r="B133" s="22"/>
      <c r="C133" s="72">
        <v>0.30973876100000008</v>
      </c>
      <c r="D133" s="72">
        <v>0.28681963630000007</v>
      </c>
    </row>
    <row r="134" spans="1:5" x14ac:dyDescent="0.2">
      <c r="A134" s="21" t="s">
        <v>1554</v>
      </c>
      <c r="B134" s="22"/>
      <c r="C134" s="72">
        <v>0.28812908000000004</v>
      </c>
      <c r="D134" s="72">
        <v>0.26680896400000004</v>
      </c>
    </row>
    <row r="135" spans="1:5" x14ac:dyDescent="0.2">
      <c r="A135" s="21" t="s">
        <v>1555</v>
      </c>
      <c r="B135" s="22"/>
      <c r="C135" s="72">
        <v>0.30973876100000008</v>
      </c>
      <c r="D135" s="72">
        <v>0.28681963630000007</v>
      </c>
    </row>
    <row r="136" spans="1:5" x14ac:dyDescent="0.2">
      <c r="A136" s="21" t="s">
        <v>1556</v>
      </c>
      <c r="B136" s="22"/>
      <c r="C136" s="72">
        <v>0.28812908000000004</v>
      </c>
      <c r="D136" s="72">
        <v>0.26680896400000004</v>
      </c>
    </row>
    <row r="138" spans="1:5" x14ac:dyDescent="0.2">
      <c r="A138" s="4" t="s">
        <v>834</v>
      </c>
      <c r="D138" s="59">
        <v>1.1807650322414853</v>
      </c>
      <c r="E138" s="59" t="s">
        <v>1106</v>
      </c>
    </row>
    <row r="140" spans="1:5" x14ac:dyDescent="0.2">
      <c r="A140" s="4" t="s">
        <v>836</v>
      </c>
      <c r="D140" s="66">
        <v>2</v>
      </c>
    </row>
    <row r="141" spans="1:5" x14ac:dyDescent="0.2">
      <c r="A141" s="4" t="s">
        <v>837</v>
      </c>
    </row>
    <row r="142" spans="1:5" ht="15" x14ac:dyDescent="0.25">
      <c r="A142" s="68" t="s">
        <v>838</v>
      </c>
    </row>
  </sheetData>
  <mergeCells count="4">
    <mergeCell ref="A1:F1"/>
    <mergeCell ref="A131:B131"/>
    <mergeCell ref="C131:D131"/>
    <mergeCell ref="A132:B132"/>
  </mergeCells>
  <hyperlinks>
    <hyperlink ref="A141" r:id="rId1" display="https://www.franklintempletonindia.com/investor/reports" xr:uid="{4572E2AB-EA58-4D11-B1E6-6128535F90D6}"/>
    <hyperlink ref="A142" r:id="rId2" xr:uid="{7D6F5EEE-6013-48A7-B666-FD0DA61E602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D61C-6C73-4AF4-9B8F-99EAB1DD374C}">
  <dimension ref="A1:F39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22.42578125" style="2" bestFit="1" customWidth="1"/>
    <col min="3" max="3" width="11.7109375" style="2" bestFit="1" customWidth="1"/>
    <col min="4" max="4" width="10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1557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1558</v>
      </c>
      <c r="B5" s="52"/>
      <c r="C5" s="52"/>
      <c r="D5" s="52"/>
      <c r="E5" s="13"/>
      <c r="F5" s="49"/>
    </row>
    <row r="6" spans="1:6" x14ac:dyDescent="0.2">
      <c r="A6" s="52" t="s">
        <v>1559</v>
      </c>
      <c r="B6" s="52" t="s">
        <v>1560</v>
      </c>
      <c r="C6" s="52" t="s">
        <v>1561</v>
      </c>
      <c r="D6" s="14">
        <v>8100000</v>
      </c>
      <c r="E6" s="13">
        <v>8441.01</v>
      </c>
      <c r="F6" s="49">
        <v>35.520823239774799</v>
      </c>
    </row>
    <row r="7" spans="1:6" x14ac:dyDescent="0.2">
      <c r="A7" s="52" t="s">
        <v>1562</v>
      </c>
      <c r="B7" s="52" t="s">
        <v>1563</v>
      </c>
      <c r="C7" s="52" t="s">
        <v>1561</v>
      </c>
      <c r="D7" s="14">
        <v>7500000</v>
      </c>
      <c r="E7" s="13">
        <v>7877.25</v>
      </c>
      <c r="F7" s="49">
        <v>33.148450821112199</v>
      </c>
    </row>
    <row r="8" spans="1:6" x14ac:dyDescent="0.2">
      <c r="A8" s="52" t="s">
        <v>1564</v>
      </c>
      <c r="B8" s="52" t="s">
        <v>1565</v>
      </c>
      <c r="C8" s="52" t="s">
        <v>1561</v>
      </c>
      <c r="D8" s="14">
        <v>2700000</v>
      </c>
      <c r="E8" s="13">
        <v>2699.5275000000001</v>
      </c>
      <c r="F8" s="49">
        <v>11.359948532037199</v>
      </c>
    </row>
    <row r="9" spans="1:6" x14ac:dyDescent="0.2">
      <c r="A9" s="41" t="s">
        <v>43</v>
      </c>
      <c r="B9" s="52"/>
      <c r="C9" s="52"/>
      <c r="D9" s="14"/>
      <c r="E9" s="50">
        <f>SUM(E6:E8)</f>
        <v>19017.787499999999</v>
      </c>
      <c r="F9" s="6">
        <f>SUM(F6:F8)</f>
        <v>80.029222592924199</v>
      </c>
    </row>
    <row r="10" spans="1:6" x14ac:dyDescent="0.2">
      <c r="A10" s="52"/>
      <c r="B10" s="52"/>
      <c r="C10" s="52"/>
      <c r="D10" s="52"/>
      <c r="E10" s="13"/>
      <c r="F10" s="49"/>
    </row>
    <row r="11" spans="1:6" x14ac:dyDescent="0.2">
      <c r="A11" s="41" t="s">
        <v>43</v>
      </c>
      <c r="B11" s="52"/>
      <c r="C11" s="52"/>
      <c r="D11" s="52"/>
      <c r="E11" s="50">
        <v>19017.787499999999</v>
      </c>
      <c r="F11" s="6">
        <v>80.029222592924199</v>
      </c>
    </row>
    <row r="12" spans="1:6" x14ac:dyDescent="0.2">
      <c r="A12" s="52"/>
      <c r="B12" s="52"/>
      <c r="C12" s="52"/>
      <c r="D12" s="52"/>
      <c r="E12" s="13"/>
      <c r="F12" s="49"/>
    </row>
    <row r="13" spans="1:6" x14ac:dyDescent="0.2">
      <c r="A13" s="41" t="s">
        <v>100</v>
      </c>
      <c r="B13" s="52"/>
      <c r="C13" s="52"/>
      <c r="D13" s="52"/>
      <c r="E13" s="50">
        <v>4745.7639667000003</v>
      </c>
      <c r="F13" s="6">
        <v>19.97</v>
      </c>
    </row>
    <row r="14" spans="1:6" x14ac:dyDescent="0.2">
      <c r="A14" s="52"/>
      <c r="B14" s="52"/>
      <c r="C14" s="52"/>
      <c r="D14" s="52"/>
      <c r="E14" s="13"/>
      <c r="F14" s="49"/>
    </row>
    <row r="15" spans="1:6" x14ac:dyDescent="0.2">
      <c r="A15" s="57" t="s">
        <v>101</v>
      </c>
      <c r="B15" s="34"/>
      <c r="C15" s="34"/>
      <c r="D15" s="34"/>
      <c r="E15" s="51">
        <v>23763.553966700001</v>
      </c>
      <c r="F15" s="8">
        <f xml:space="preserve"> ROUND(SUM(F11:F14),2)</f>
        <v>100</v>
      </c>
    </row>
    <row r="17" spans="1:4" x14ac:dyDescent="0.2">
      <c r="A17" s="4" t="s">
        <v>102</v>
      </c>
    </row>
    <row r="18" spans="1:4" x14ac:dyDescent="0.2">
      <c r="A18" s="4" t="s">
        <v>833</v>
      </c>
    </row>
    <row r="19" spans="1:4" x14ac:dyDescent="0.2">
      <c r="A19" s="4" t="s">
        <v>104</v>
      </c>
    </row>
    <row r="20" spans="1:4" x14ac:dyDescent="0.2">
      <c r="A20" s="2" t="s">
        <v>1566</v>
      </c>
      <c r="D20" s="10">
        <v>41.3795</v>
      </c>
    </row>
    <row r="21" spans="1:4" x14ac:dyDescent="0.2">
      <c r="A21" s="2" t="s">
        <v>1567</v>
      </c>
      <c r="D21" s="10">
        <v>10.737</v>
      </c>
    </row>
    <row r="22" spans="1:4" x14ac:dyDescent="0.2">
      <c r="A22" s="2" t="s">
        <v>1568</v>
      </c>
      <c r="D22" s="10">
        <v>44.013199999999998</v>
      </c>
    </row>
    <row r="23" spans="1:4" x14ac:dyDescent="0.2">
      <c r="A23" s="2" t="s">
        <v>1569</v>
      </c>
      <c r="D23" s="10">
        <v>11.6067</v>
      </c>
    </row>
    <row r="25" spans="1:4" x14ac:dyDescent="0.2">
      <c r="A25" s="4" t="s">
        <v>105</v>
      </c>
    </row>
    <row r="26" spans="1:4" x14ac:dyDescent="0.2">
      <c r="A26" s="2" t="s">
        <v>1566</v>
      </c>
      <c r="D26" s="10">
        <v>43.711300000000001</v>
      </c>
    </row>
    <row r="27" spans="1:4" x14ac:dyDescent="0.2">
      <c r="A27" s="2" t="s">
        <v>1567</v>
      </c>
      <c r="D27" s="10">
        <v>10.8964</v>
      </c>
    </row>
    <row r="28" spans="1:4" x14ac:dyDescent="0.2">
      <c r="A28" s="2" t="s">
        <v>1568</v>
      </c>
      <c r="D28" s="10">
        <v>46.5961</v>
      </c>
    </row>
    <row r="29" spans="1:4" x14ac:dyDescent="0.2">
      <c r="A29" s="2" t="s">
        <v>1569</v>
      </c>
      <c r="D29" s="10">
        <v>11.8416</v>
      </c>
    </row>
    <row r="31" spans="1:4" x14ac:dyDescent="0.2">
      <c r="A31" s="4" t="s">
        <v>106</v>
      </c>
      <c r="D31" s="17" t="s">
        <v>319</v>
      </c>
    </row>
    <row r="32" spans="1:4" x14ac:dyDescent="0.2">
      <c r="A32" s="70" t="s">
        <v>602</v>
      </c>
      <c r="B32" s="71"/>
      <c r="C32" s="103" t="s">
        <v>603</v>
      </c>
      <c r="D32" s="103"/>
    </row>
    <row r="33" spans="1:5" x14ac:dyDescent="0.2">
      <c r="A33" s="104"/>
      <c r="B33" s="104"/>
      <c r="C33" s="20" t="s">
        <v>604</v>
      </c>
      <c r="D33" s="20" t="s">
        <v>605</v>
      </c>
    </row>
    <row r="34" spans="1:5" x14ac:dyDescent="0.2">
      <c r="A34" s="21" t="s">
        <v>1567</v>
      </c>
      <c r="B34" s="22"/>
      <c r="C34" s="72">
        <v>0.31694198800000001</v>
      </c>
      <c r="D34" s="72">
        <v>0.29348986040000002</v>
      </c>
    </row>
    <row r="35" spans="1:5" x14ac:dyDescent="0.2">
      <c r="A35" s="21" t="s">
        <v>1569</v>
      </c>
      <c r="B35" s="22"/>
      <c r="C35" s="72">
        <v>0.31694198800000001</v>
      </c>
      <c r="D35" s="72">
        <v>0.29348986040000002</v>
      </c>
    </row>
    <row r="37" spans="1:5" x14ac:dyDescent="0.2">
      <c r="A37" s="4" t="s">
        <v>834</v>
      </c>
      <c r="D37" s="59">
        <v>7.9166045718397422</v>
      </c>
      <c r="E37" s="59" t="s">
        <v>1106</v>
      </c>
    </row>
    <row r="39" spans="1:5" x14ac:dyDescent="0.2">
      <c r="A39" s="4" t="s">
        <v>836</v>
      </c>
      <c r="D39" s="67" t="s">
        <v>107</v>
      </c>
    </row>
  </sheetData>
  <mergeCells count="3">
    <mergeCell ref="A1:F1"/>
    <mergeCell ref="C32:D32"/>
    <mergeCell ref="A33:B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7578-E16A-4D4E-A2D7-B5538BCEBDCE}">
  <dimension ref="A1:G58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8.7109375" style="2" bestFit="1" customWidth="1"/>
    <col min="3" max="3" width="11.7109375" style="2" bestFit="1" customWidth="1"/>
    <col min="4" max="4" width="11.285156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1570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749</v>
      </c>
      <c r="B8" s="52" t="s">
        <v>750</v>
      </c>
      <c r="C8" s="52" t="s">
        <v>688</v>
      </c>
      <c r="D8" s="14">
        <v>200</v>
      </c>
      <c r="E8" s="13">
        <v>2019.192</v>
      </c>
      <c r="F8" s="49">
        <f>E8/$E$33*100</f>
        <v>8.0163041211893251</v>
      </c>
    </row>
    <row r="9" spans="1:6" x14ac:dyDescent="0.2">
      <c r="A9" s="52" t="s">
        <v>999</v>
      </c>
      <c r="B9" s="52" t="s">
        <v>1000</v>
      </c>
      <c r="C9" s="52" t="s">
        <v>688</v>
      </c>
      <c r="D9" s="14">
        <v>200</v>
      </c>
      <c r="E9" s="13">
        <v>1974.57</v>
      </c>
      <c r="F9" s="49">
        <f t="shared" ref="F9:F17" si="0">E9/$E$33*100</f>
        <v>7.8391523087337918</v>
      </c>
    </row>
    <row r="10" spans="1:6" x14ac:dyDescent="0.2">
      <c r="A10" s="52" t="s">
        <v>762</v>
      </c>
      <c r="B10" s="52" t="s">
        <v>763</v>
      </c>
      <c r="C10" s="52" t="s">
        <v>764</v>
      </c>
      <c r="D10" s="14">
        <v>100</v>
      </c>
      <c r="E10" s="13">
        <v>1003.394</v>
      </c>
      <c r="F10" s="49">
        <f t="shared" si="0"/>
        <v>3.9835297769487208</v>
      </c>
    </row>
    <row r="11" spans="1:6" x14ac:dyDescent="0.2">
      <c r="A11" s="52" t="s">
        <v>1571</v>
      </c>
      <c r="B11" s="52" t="s">
        <v>1572</v>
      </c>
      <c r="C11" s="52" t="s">
        <v>1573</v>
      </c>
      <c r="D11" s="14">
        <v>100</v>
      </c>
      <c r="E11" s="13">
        <v>1002.599</v>
      </c>
      <c r="F11" s="49">
        <f t="shared" si="0"/>
        <v>3.9803735828986526</v>
      </c>
    </row>
    <row r="12" spans="1:6" x14ac:dyDescent="0.2">
      <c r="A12" s="52" t="s">
        <v>849</v>
      </c>
      <c r="B12" s="52" t="s">
        <v>850</v>
      </c>
      <c r="C12" s="52" t="s">
        <v>706</v>
      </c>
      <c r="D12" s="14">
        <v>100</v>
      </c>
      <c r="E12" s="13">
        <v>1001.7</v>
      </c>
      <c r="F12" s="49">
        <f t="shared" si="0"/>
        <v>3.9768045030860595</v>
      </c>
    </row>
    <row r="13" spans="1:6" x14ac:dyDescent="0.2">
      <c r="A13" s="52" t="s">
        <v>846</v>
      </c>
      <c r="B13" s="52" t="s">
        <v>847</v>
      </c>
      <c r="C13" s="52" t="s">
        <v>848</v>
      </c>
      <c r="D13" s="14">
        <v>100</v>
      </c>
      <c r="E13" s="13">
        <v>1001.002</v>
      </c>
      <c r="F13" s="49">
        <f t="shared" si="0"/>
        <v>3.9740334044106533</v>
      </c>
    </row>
    <row r="14" spans="1:6" x14ac:dyDescent="0.2">
      <c r="A14" s="52" t="s">
        <v>937</v>
      </c>
      <c r="B14" s="52" t="s">
        <v>938</v>
      </c>
      <c r="C14" s="52" t="s">
        <v>726</v>
      </c>
      <c r="D14" s="14">
        <v>100</v>
      </c>
      <c r="E14" s="13">
        <v>975.84799999999996</v>
      </c>
      <c r="F14" s="49">
        <f t="shared" si="0"/>
        <v>3.87417063065541</v>
      </c>
    </row>
    <row r="15" spans="1:6" x14ac:dyDescent="0.2">
      <c r="A15" s="52" t="s">
        <v>878</v>
      </c>
      <c r="B15" s="52" t="s">
        <v>879</v>
      </c>
      <c r="C15" s="52" t="s">
        <v>697</v>
      </c>
      <c r="D15" s="14">
        <v>85</v>
      </c>
      <c r="E15" s="13">
        <v>845.58849999999995</v>
      </c>
      <c r="F15" s="49">
        <f t="shared" si="0"/>
        <v>3.3570331981209804</v>
      </c>
    </row>
    <row r="16" spans="1:6" x14ac:dyDescent="0.2">
      <c r="A16" s="52" t="s">
        <v>880</v>
      </c>
      <c r="B16" s="52" t="s">
        <v>881</v>
      </c>
      <c r="C16" s="52" t="s">
        <v>694</v>
      </c>
      <c r="D16" s="14">
        <v>75</v>
      </c>
      <c r="E16" s="13">
        <v>750.23924999999997</v>
      </c>
      <c r="F16" s="49">
        <f t="shared" si="0"/>
        <v>2.9784913924247856</v>
      </c>
    </row>
    <row r="17" spans="1:7" x14ac:dyDescent="0.2">
      <c r="A17" s="52" t="s">
        <v>921</v>
      </c>
      <c r="B17" s="52" t="s">
        <v>922</v>
      </c>
      <c r="C17" s="52" t="s">
        <v>832</v>
      </c>
      <c r="D17" s="14">
        <v>60</v>
      </c>
      <c r="E17" s="13">
        <v>601.45860000000005</v>
      </c>
      <c r="F17" s="49">
        <f t="shared" si="0"/>
        <v>2.3878239681539752</v>
      </c>
    </row>
    <row r="18" spans="1:7" x14ac:dyDescent="0.2">
      <c r="A18" s="41" t="s">
        <v>43</v>
      </c>
      <c r="B18" s="52"/>
      <c r="C18" s="52"/>
      <c r="D18" s="14"/>
      <c r="E18" s="50">
        <f>SUM(E8:E17)</f>
        <v>11175.591350000001</v>
      </c>
      <c r="F18" s="6">
        <f>SUM(F8:F17)</f>
        <v>44.367716886622361</v>
      </c>
    </row>
    <row r="19" spans="1:7" x14ac:dyDescent="0.2">
      <c r="A19" s="41"/>
      <c r="B19" s="52"/>
      <c r="C19" s="52"/>
      <c r="D19" s="14"/>
      <c r="E19" s="50"/>
      <c r="F19" s="6"/>
    </row>
    <row r="20" spans="1:7" x14ac:dyDescent="0.2">
      <c r="A20" s="41" t="s">
        <v>1558</v>
      </c>
      <c r="B20" s="52"/>
      <c r="C20" s="77"/>
      <c r="D20" s="14"/>
      <c r="E20" s="78"/>
      <c r="F20" s="79"/>
    </row>
    <row r="21" spans="1:7" x14ac:dyDescent="0.2">
      <c r="A21" s="52" t="s">
        <v>1574</v>
      </c>
      <c r="B21" s="52" t="s">
        <v>1575</v>
      </c>
      <c r="C21" s="77" t="s">
        <v>1561</v>
      </c>
      <c r="D21" s="100">
        <v>10500000</v>
      </c>
      <c r="E21" s="81">
        <v>10497.9</v>
      </c>
      <c r="F21" s="49">
        <f t="shared" ref="F21" si="1">E21/$E$33*100</f>
        <v>41.677244676996246</v>
      </c>
    </row>
    <row r="22" spans="1:7" x14ac:dyDescent="0.2">
      <c r="A22" s="41" t="s">
        <v>43</v>
      </c>
      <c r="B22" s="52"/>
      <c r="C22" s="77"/>
      <c r="D22" s="100"/>
      <c r="E22" s="82">
        <f>E21</f>
        <v>10497.9</v>
      </c>
      <c r="F22" s="83">
        <f>F21</f>
        <v>41.677244676996246</v>
      </c>
      <c r="G22" s="84"/>
    </row>
    <row r="23" spans="1:7" x14ac:dyDescent="0.2">
      <c r="A23" s="52"/>
      <c r="B23" s="52"/>
      <c r="C23" s="77"/>
      <c r="D23" s="100"/>
      <c r="E23" s="81"/>
      <c r="F23" s="49"/>
    </row>
    <row r="24" spans="1:7" x14ac:dyDescent="0.2">
      <c r="A24" s="41" t="s">
        <v>1058</v>
      </c>
      <c r="B24" s="52"/>
      <c r="C24" s="77"/>
      <c r="D24" s="100"/>
      <c r="E24" s="81"/>
      <c r="F24" s="49"/>
    </row>
    <row r="25" spans="1:7" x14ac:dyDescent="0.2">
      <c r="A25" s="41" t="s">
        <v>1576</v>
      </c>
      <c r="B25" s="52"/>
      <c r="C25" s="77"/>
      <c r="D25" s="100"/>
      <c r="E25" s="81"/>
      <c r="F25" s="49"/>
    </row>
    <row r="26" spans="1:7" x14ac:dyDescent="0.2">
      <c r="A26" s="52" t="s">
        <v>1060</v>
      </c>
      <c r="B26" s="52" t="s">
        <v>1061</v>
      </c>
      <c r="C26" s="77" t="s">
        <v>1062</v>
      </c>
      <c r="D26" s="100">
        <v>2100</v>
      </c>
      <c r="E26" s="81">
        <v>2100.8987999999999</v>
      </c>
      <c r="F26" s="49">
        <f t="shared" ref="F26" si="2">E26/$E$33*100</f>
        <v>8.3406846444724945</v>
      </c>
    </row>
    <row r="27" spans="1:7" x14ac:dyDescent="0.2">
      <c r="A27" s="41" t="s">
        <v>43</v>
      </c>
      <c r="B27" s="52"/>
      <c r="C27" s="77"/>
      <c r="D27" s="100"/>
      <c r="E27" s="82">
        <f>E26</f>
        <v>2100.8987999999999</v>
      </c>
      <c r="F27" s="83">
        <f>F26</f>
        <v>8.3406846444724945</v>
      </c>
    </row>
    <row r="28" spans="1:7" x14ac:dyDescent="0.2">
      <c r="A28" s="41"/>
      <c r="B28" s="52"/>
      <c r="C28" s="52"/>
      <c r="D28" s="52"/>
      <c r="E28" s="50"/>
      <c r="F28" s="6"/>
    </row>
    <row r="29" spans="1:7" x14ac:dyDescent="0.2">
      <c r="A29" s="41" t="s">
        <v>43</v>
      </c>
      <c r="B29" s="52"/>
      <c r="C29" s="52"/>
      <c r="D29" s="52"/>
      <c r="E29" s="50">
        <f>E18+E22+E27</f>
        <v>23774.390149999999</v>
      </c>
      <c r="F29" s="6">
        <f>F18+F22+F27</f>
        <v>94.385646208091103</v>
      </c>
    </row>
    <row r="30" spans="1:7" x14ac:dyDescent="0.2">
      <c r="A30" s="52"/>
      <c r="B30" s="52"/>
      <c r="C30" s="52"/>
      <c r="D30" s="52"/>
      <c r="E30" s="13"/>
      <c r="F30" s="49"/>
    </row>
    <row r="31" spans="1:7" x14ac:dyDescent="0.2">
      <c r="A31" s="41" t="s">
        <v>100</v>
      </c>
      <c r="B31" s="52"/>
      <c r="C31" s="52"/>
      <c r="D31" s="52"/>
      <c r="E31" s="50">
        <v>1414.1751723</v>
      </c>
      <c r="F31" s="6">
        <f t="shared" ref="F31" si="3">E31/$E$33*100</f>
        <v>5.6143537919088988</v>
      </c>
    </row>
    <row r="32" spans="1:7" x14ac:dyDescent="0.2">
      <c r="A32" s="52"/>
      <c r="B32" s="52"/>
      <c r="C32" s="52"/>
      <c r="D32" s="52"/>
      <c r="E32" s="13"/>
      <c r="F32" s="49"/>
    </row>
    <row r="33" spans="1:6" x14ac:dyDescent="0.2">
      <c r="A33" s="57" t="s">
        <v>101</v>
      </c>
      <c r="B33" s="34"/>
      <c r="C33" s="34"/>
      <c r="D33" s="34"/>
      <c r="E33" s="51">
        <f>E29+E31</f>
        <v>25188.565322300001</v>
      </c>
      <c r="F33" s="8">
        <f xml:space="preserve"> ROUND(SUM(F29:F32),2)</f>
        <v>100</v>
      </c>
    </row>
    <row r="34" spans="1:6" x14ac:dyDescent="0.2">
      <c r="A34" s="58" t="s">
        <v>1964</v>
      </c>
    </row>
    <row r="35" spans="1:6" x14ac:dyDescent="0.2">
      <c r="A35" s="58"/>
    </row>
    <row r="36" spans="1:6" x14ac:dyDescent="0.2">
      <c r="A36" s="4" t="s">
        <v>102</v>
      </c>
    </row>
    <row r="37" spans="1:6" x14ac:dyDescent="0.2">
      <c r="A37" s="4" t="s">
        <v>833</v>
      </c>
    </row>
    <row r="38" spans="1:6" x14ac:dyDescent="0.2">
      <c r="A38" s="4" t="s">
        <v>104</v>
      </c>
    </row>
    <row r="39" spans="1:6" x14ac:dyDescent="0.2">
      <c r="A39" s="2" t="s">
        <v>598</v>
      </c>
      <c r="D39" s="10">
        <v>27.993500000000001</v>
      </c>
    </row>
    <row r="40" spans="1:6" x14ac:dyDescent="0.2">
      <c r="A40" s="2" t="s">
        <v>599</v>
      </c>
      <c r="D40" s="10">
        <v>10</v>
      </c>
    </row>
    <row r="41" spans="1:6" x14ac:dyDescent="0.2">
      <c r="A41" s="2" t="s">
        <v>600</v>
      </c>
      <c r="D41" s="10">
        <v>29.296399999999998</v>
      </c>
    </row>
    <row r="42" spans="1:6" x14ac:dyDescent="0.2">
      <c r="A42" s="2" t="s">
        <v>601</v>
      </c>
      <c r="D42" s="10">
        <v>10.008100000000001</v>
      </c>
    </row>
    <row r="44" spans="1:6" x14ac:dyDescent="0.2">
      <c r="A44" s="4" t="s">
        <v>105</v>
      </c>
    </row>
    <row r="45" spans="1:6" x14ac:dyDescent="0.2">
      <c r="A45" s="2" t="s">
        <v>598</v>
      </c>
      <c r="D45" s="10">
        <v>29.112400000000001</v>
      </c>
    </row>
    <row r="46" spans="1:6" x14ac:dyDescent="0.2">
      <c r="A46" s="2" t="s">
        <v>599</v>
      </c>
      <c r="D46" s="10">
        <v>10.0337</v>
      </c>
    </row>
    <row r="47" spans="1:6" x14ac:dyDescent="0.2">
      <c r="A47" s="2" t="s">
        <v>600</v>
      </c>
      <c r="D47" s="10">
        <v>30.546299999999999</v>
      </c>
    </row>
    <row r="48" spans="1:6" x14ac:dyDescent="0.2">
      <c r="A48" s="2" t="s">
        <v>601</v>
      </c>
      <c r="D48" s="10">
        <v>10.048999999999999</v>
      </c>
    </row>
    <row r="50" spans="1:5" x14ac:dyDescent="0.2">
      <c r="A50" s="4" t="s">
        <v>106</v>
      </c>
      <c r="D50" s="17" t="s">
        <v>319</v>
      </c>
    </row>
    <row r="51" spans="1:5" x14ac:dyDescent="0.2">
      <c r="A51" s="70" t="s">
        <v>602</v>
      </c>
      <c r="B51" s="71"/>
      <c r="C51" s="103" t="s">
        <v>603</v>
      </c>
      <c r="D51" s="103"/>
    </row>
    <row r="52" spans="1:5" x14ac:dyDescent="0.2">
      <c r="A52" s="104"/>
      <c r="B52" s="104"/>
      <c r="C52" s="20" t="s">
        <v>604</v>
      </c>
      <c r="D52" s="20" t="s">
        <v>605</v>
      </c>
    </row>
    <row r="53" spans="1:5" x14ac:dyDescent="0.2">
      <c r="A53" s="21" t="s">
        <v>599</v>
      </c>
      <c r="B53" s="22"/>
      <c r="C53" s="72">
        <v>0.25842468160000004</v>
      </c>
      <c r="D53" s="72">
        <v>0.23930254279999999</v>
      </c>
    </row>
    <row r="54" spans="1:5" x14ac:dyDescent="0.2">
      <c r="A54" s="21" t="s">
        <v>601</v>
      </c>
      <c r="B54" s="22"/>
      <c r="C54" s="72">
        <v>0.2718837273000001</v>
      </c>
      <c r="D54" s="72">
        <v>0.2517656868999999</v>
      </c>
    </row>
    <row r="56" spans="1:5" x14ac:dyDescent="0.2">
      <c r="A56" s="4" t="s">
        <v>834</v>
      </c>
      <c r="D56" s="59">
        <v>1.1390592891146145</v>
      </c>
      <c r="E56" s="59" t="s">
        <v>1106</v>
      </c>
    </row>
    <row r="58" spans="1:5" x14ac:dyDescent="0.2">
      <c r="A58" s="4" t="s">
        <v>836</v>
      </c>
      <c r="D58" s="67" t="s">
        <v>107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FDA7-BD98-4C09-A922-57AD9671AB62}">
  <dimension ref="A1:F13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1.4257812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1577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715</v>
      </c>
      <c r="B8" s="52" t="s">
        <v>716</v>
      </c>
      <c r="C8" s="52" t="s">
        <v>694</v>
      </c>
      <c r="D8" s="14">
        <v>2750</v>
      </c>
      <c r="E8" s="13">
        <v>26074.1525</v>
      </c>
      <c r="F8" s="49">
        <v>6.47034359461599</v>
      </c>
    </row>
    <row r="9" spans="1:6" x14ac:dyDescent="0.2">
      <c r="A9" s="52" t="s">
        <v>844</v>
      </c>
      <c r="B9" s="52" t="s">
        <v>845</v>
      </c>
      <c r="C9" s="52" t="s">
        <v>764</v>
      </c>
      <c r="D9" s="14">
        <v>1550</v>
      </c>
      <c r="E9" s="13">
        <v>15547.709000000001</v>
      </c>
      <c r="F9" s="49">
        <v>3.8581894210791101</v>
      </c>
    </row>
    <row r="10" spans="1:6" x14ac:dyDescent="0.2">
      <c r="A10" s="52" t="s">
        <v>749</v>
      </c>
      <c r="B10" s="52" t="s">
        <v>750</v>
      </c>
      <c r="C10" s="52" t="s">
        <v>688</v>
      </c>
      <c r="D10" s="14">
        <v>1200</v>
      </c>
      <c r="E10" s="13">
        <v>12115.152</v>
      </c>
      <c r="F10" s="49">
        <v>3.0063947865994498</v>
      </c>
    </row>
    <row r="11" spans="1:6" x14ac:dyDescent="0.2">
      <c r="A11" s="52" t="s">
        <v>730</v>
      </c>
      <c r="B11" s="52" t="s">
        <v>731</v>
      </c>
      <c r="C11" s="52" t="s">
        <v>700</v>
      </c>
      <c r="D11" s="14">
        <v>1112</v>
      </c>
      <c r="E11" s="13">
        <v>11052.179120000001</v>
      </c>
      <c r="F11" s="49">
        <v>2.7426163276310001</v>
      </c>
    </row>
    <row r="12" spans="1:6" x14ac:dyDescent="0.2">
      <c r="A12" s="52" t="s">
        <v>1112</v>
      </c>
      <c r="B12" s="52" t="s">
        <v>1113</v>
      </c>
      <c r="C12" s="52" t="s">
        <v>848</v>
      </c>
      <c r="D12" s="14">
        <v>1000</v>
      </c>
      <c r="E12" s="13">
        <v>9998.9599999999991</v>
      </c>
      <c r="F12" s="49">
        <v>2.4812582801616099</v>
      </c>
    </row>
    <row r="13" spans="1:6" x14ac:dyDescent="0.2">
      <c r="A13" s="52" t="s">
        <v>857</v>
      </c>
      <c r="B13" s="52" t="s">
        <v>858</v>
      </c>
      <c r="C13" s="52" t="s">
        <v>697</v>
      </c>
      <c r="D13" s="14">
        <v>1000</v>
      </c>
      <c r="E13" s="13">
        <v>9970.64</v>
      </c>
      <c r="F13" s="49">
        <v>2.4742306258361402</v>
      </c>
    </row>
    <row r="14" spans="1:6" x14ac:dyDescent="0.2">
      <c r="A14" s="52" t="s">
        <v>1578</v>
      </c>
      <c r="B14" s="52" t="s">
        <v>1579</v>
      </c>
      <c r="C14" s="52" t="s">
        <v>729</v>
      </c>
      <c r="D14" s="14">
        <v>1000</v>
      </c>
      <c r="E14" s="13">
        <v>9883.0300000000007</v>
      </c>
      <c r="F14" s="49">
        <v>2.4524900610248999</v>
      </c>
    </row>
    <row r="15" spans="1:6" x14ac:dyDescent="0.2">
      <c r="A15" s="52" t="s">
        <v>1580</v>
      </c>
      <c r="B15" s="52" t="s">
        <v>1581</v>
      </c>
      <c r="C15" s="52" t="s">
        <v>709</v>
      </c>
      <c r="D15" s="14">
        <v>1000</v>
      </c>
      <c r="E15" s="13">
        <v>9873.9699999999993</v>
      </c>
      <c r="F15" s="49">
        <v>2.4502418072046801</v>
      </c>
    </row>
    <row r="16" spans="1:6" x14ac:dyDescent="0.2">
      <c r="A16" s="52" t="s">
        <v>745</v>
      </c>
      <c r="B16" s="52" t="s">
        <v>746</v>
      </c>
      <c r="C16" s="52" t="s">
        <v>688</v>
      </c>
      <c r="D16" s="14">
        <v>950</v>
      </c>
      <c r="E16" s="13">
        <v>9672.5010000000002</v>
      </c>
      <c r="F16" s="49">
        <v>2.4002469452944499</v>
      </c>
    </row>
    <row r="17" spans="1:6" x14ac:dyDescent="0.2">
      <c r="A17" s="52" t="s">
        <v>686</v>
      </c>
      <c r="B17" s="52" t="s">
        <v>687</v>
      </c>
      <c r="C17" s="52" t="s">
        <v>688</v>
      </c>
      <c r="D17" s="14">
        <v>915</v>
      </c>
      <c r="E17" s="13">
        <v>9615.7898999999998</v>
      </c>
      <c r="F17" s="49">
        <v>2.3861739930622101</v>
      </c>
    </row>
    <row r="18" spans="1:6" x14ac:dyDescent="0.2">
      <c r="A18" s="52" t="s">
        <v>1582</v>
      </c>
      <c r="B18" s="52" t="s">
        <v>1583</v>
      </c>
      <c r="C18" s="52" t="s">
        <v>700</v>
      </c>
      <c r="D18" s="14">
        <v>4810</v>
      </c>
      <c r="E18" s="13">
        <v>9284.5217400000001</v>
      </c>
      <c r="F18" s="49">
        <v>2.3039692572743</v>
      </c>
    </row>
    <row r="19" spans="1:6" x14ac:dyDescent="0.2">
      <c r="A19" s="52" t="s">
        <v>1120</v>
      </c>
      <c r="B19" s="52" t="s">
        <v>1121</v>
      </c>
      <c r="C19" s="52" t="s">
        <v>688</v>
      </c>
      <c r="D19" s="14">
        <v>810</v>
      </c>
      <c r="E19" s="13">
        <v>8461.0493999999999</v>
      </c>
      <c r="F19" s="49">
        <v>2.0996232490785398</v>
      </c>
    </row>
    <row r="20" spans="1:6" x14ac:dyDescent="0.2">
      <c r="A20" s="52" t="s">
        <v>701</v>
      </c>
      <c r="B20" s="52" t="s">
        <v>702</v>
      </c>
      <c r="C20" s="52" t="s">
        <v>703</v>
      </c>
      <c r="D20" s="14">
        <v>940</v>
      </c>
      <c r="E20" s="13">
        <v>7172.576</v>
      </c>
      <c r="F20" s="49">
        <v>1.7798864672014301</v>
      </c>
    </row>
    <row r="21" spans="1:6" x14ac:dyDescent="0.2">
      <c r="A21" s="52" t="s">
        <v>755</v>
      </c>
      <c r="B21" s="52" t="s">
        <v>756</v>
      </c>
      <c r="C21" s="52" t="s">
        <v>685</v>
      </c>
      <c r="D21" s="14">
        <v>937</v>
      </c>
      <c r="E21" s="13">
        <v>7104.8680899999999</v>
      </c>
      <c r="F21" s="49">
        <v>1.76308463857926</v>
      </c>
    </row>
    <row r="22" spans="1:6" x14ac:dyDescent="0.2">
      <c r="A22" s="52" t="s">
        <v>721</v>
      </c>
      <c r="B22" s="52" t="s">
        <v>722</v>
      </c>
      <c r="C22" s="52" t="s">
        <v>723</v>
      </c>
      <c r="D22" s="14">
        <v>650</v>
      </c>
      <c r="E22" s="13">
        <v>6519.1424999999999</v>
      </c>
      <c r="F22" s="49">
        <v>1.61773587529887</v>
      </c>
    </row>
    <row r="23" spans="1:6" x14ac:dyDescent="0.2">
      <c r="A23" s="52" t="s">
        <v>1108</v>
      </c>
      <c r="B23" s="52" t="s">
        <v>1109</v>
      </c>
      <c r="C23" s="52" t="s">
        <v>703</v>
      </c>
      <c r="D23" s="14">
        <v>682</v>
      </c>
      <c r="E23" s="13">
        <v>5982.8518199999999</v>
      </c>
      <c r="F23" s="49">
        <v>1.4846544657999401</v>
      </c>
    </row>
    <row r="24" spans="1:6" x14ac:dyDescent="0.2">
      <c r="A24" s="52" t="s">
        <v>884</v>
      </c>
      <c r="B24" s="52" t="s">
        <v>885</v>
      </c>
      <c r="C24" s="52" t="s">
        <v>832</v>
      </c>
      <c r="D24" s="14">
        <v>11</v>
      </c>
      <c r="E24" s="13">
        <v>5596.1840000000002</v>
      </c>
      <c r="F24" s="49">
        <v>1.3887022137610201</v>
      </c>
    </row>
    <row r="25" spans="1:6" x14ac:dyDescent="0.2">
      <c r="A25" s="52" t="s">
        <v>1139</v>
      </c>
      <c r="B25" s="52" t="s">
        <v>1140</v>
      </c>
      <c r="C25" s="52" t="s">
        <v>729</v>
      </c>
      <c r="D25" s="14">
        <v>560</v>
      </c>
      <c r="E25" s="13">
        <v>5596.0407999999998</v>
      </c>
      <c r="F25" s="49">
        <v>1.38866667844678</v>
      </c>
    </row>
    <row r="26" spans="1:6" x14ac:dyDescent="0.2">
      <c r="A26" s="52" t="s">
        <v>765</v>
      </c>
      <c r="B26" s="52" t="s">
        <v>739</v>
      </c>
      <c r="C26" s="52" t="s">
        <v>740</v>
      </c>
      <c r="D26" s="14">
        <v>560</v>
      </c>
      <c r="E26" s="13">
        <v>5255.4935999999998</v>
      </c>
      <c r="F26" s="49">
        <v>1.30415933370434</v>
      </c>
    </row>
    <row r="27" spans="1:6" x14ac:dyDescent="0.2">
      <c r="A27" s="52" t="s">
        <v>1584</v>
      </c>
      <c r="B27" s="52" t="s">
        <v>1585</v>
      </c>
      <c r="C27" s="52" t="s">
        <v>740</v>
      </c>
      <c r="D27" s="14">
        <v>500</v>
      </c>
      <c r="E27" s="13">
        <v>4889.8850000000002</v>
      </c>
      <c r="F27" s="49">
        <v>1.21343296155681</v>
      </c>
    </row>
    <row r="28" spans="1:6" x14ac:dyDescent="0.2">
      <c r="A28" s="52" t="s">
        <v>683</v>
      </c>
      <c r="B28" s="52" t="s">
        <v>684</v>
      </c>
      <c r="C28" s="52" t="s">
        <v>685</v>
      </c>
      <c r="D28" s="14">
        <v>585</v>
      </c>
      <c r="E28" s="13">
        <v>4825.8580499999998</v>
      </c>
      <c r="F28" s="49">
        <v>1.1975445691799</v>
      </c>
    </row>
    <row r="29" spans="1:6" x14ac:dyDescent="0.2">
      <c r="A29" s="52" t="s">
        <v>719</v>
      </c>
      <c r="B29" s="52" t="s">
        <v>720</v>
      </c>
      <c r="C29" s="52" t="s">
        <v>688</v>
      </c>
      <c r="D29" s="14">
        <v>445</v>
      </c>
      <c r="E29" s="13">
        <v>4622.9893000000002</v>
      </c>
      <c r="F29" s="49">
        <v>1.1472023570174801</v>
      </c>
    </row>
    <row r="30" spans="1:6" x14ac:dyDescent="0.2">
      <c r="A30" s="52" t="s">
        <v>1132</v>
      </c>
      <c r="B30" s="52" t="s">
        <v>996</v>
      </c>
      <c r="C30" s="52" t="s">
        <v>709</v>
      </c>
      <c r="D30" s="14">
        <v>450</v>
      </c>
      <c r="E30" s="13">
        <v>4344.5519999999997</v>
      </c>
      <c r="F30" s="49">
        <v>1.0781076855585601</v>
      </c>
    </row>
    <row r="31" spans="1:6" x14ac:dyDescent="0.2">
      <c r="A31" s="52" t="s">
        <v>1586</v>
      </c>
      <c r="B31" s="52" t="s">
        <v>1587</v>
      </c>
      <c r="C31" s="52" t="s">
        <v>706</v>
      </c>
      <c r="D31" s="14">
        <v>450</v>
      </c>
      <c r="E31" s="13">
        <v>4088.268</v>
      </c>
      <c r="F31" s="49">
        <v>1.0145103917327101</v>
      </c>
    </row>
    <row r="32" spans="1:6" x14ac:dyDescent="0.2">
      <c r="A32" s="52" t="s">
        <v>1155</v>
      </c>
      <c r="B32" s="52" t="s">
        <v>1156</v>
      </c>
      <c r="C32" s="52" t="s">
        <v>832</v>
      </c>
      <c r="D32" s="14">
        <v>8</v>
      </c>
      <c r="E32" s="13">
        <v>4069.9520000000002</v>
      </c>
      <c r="F32" s="49">
        <v>1.00996524637165</v>
      </c>
    </row>
    <row r="33" spans="1:6" x14ac:dyDescent="0.2">
      <c r="A33" s="52" t="s">
        <v>710</v>
      </c>
      <c r="B33" s="52" t="s">
        <v>711</v>
      </c>
      <c r="C33" s="52" t="s">
        <v>712</v>
      </c>
      <c r="D33" s="14">
        <v>390</v>
      </c>
      <c r="E33" s="13">
        <v>4059.4047</v>
      </c>
      <c r="F33" s="49">
        <v>1.00734791662352</v>
      </c>
    </row>
    <row r="34" spans="1:6" x14ac:dyDescent="0.2">
      <c r="A34" s="52" t="s">
        <v>1533</v>
      </c>
      <c r="B34" s="52" t="s">
        <v>1534</v>
      </c>
      <c r="C34" s="52" t="s">
        <v>685</v>
      </c>
      <c r="D34" s="14">
        <v>475</v>
      </c>
      <c r="E34" s="13">
        <v>3600.576</v>
      </c>
      <c r="F34" s="49">
        <v>0.89348882417283004</v>
      </c>
    </row>
    <row r="35" spans="1:6" x14ac:dyDescent="0.2">
      <c r="A35" s="52" t="s">
        <v>757</v>
      </c>
      <c r="B35" s="52" t="s">
        <v>758</v>
      </c>
      <c r="C35" s="52" t="s">
        <v>700</v>
      </c>
      <c r="D35" s="14">
        <v>300</v>
      </c>
      <c r="E35" s="13">
        <v>2963.319</v>
      </c>
      <c r="F35" s="49">
        <v>0.73535245720657105</v>
      </c>
    </row>
    <row r="36" spans="1:6" x14ac:dyDescent="0.2">
      <c r="A36" s="52" t="s">
        <v>1588</v>
      </c>
      <c r="B36" s="52" t="s">
        <v>1589</v>
      </c>
      <c r="C36" s="52" t="s">
        <v>832</v>
      </c>
      <c r="D36" s="14">
        <v>300</v>
      </c>
      <c r="E36" s="13">
        <v>2947.02</v>
      </c>
      <c r="F36" s="49">
        <v>0.73130783369489005</v>
      </c>
    </row>
    <row r="37" spans="1:6" x14ac:dyDescent="0.2">
      <c r="A37" s="52" t="s">
        <v>1521</v>
      </c>
      <c r="B37" s="52" t="s">
        <v>1522</v>
      </c>
      <c r="C37" s="52" t="s">
        <v>778</v>
      </c>
      <c r="D37" s="14">
        <v>250</v>
      </c>
      <c r="E37" s="13">
        <v>2906.0349999999999</v>
      </c>
      <c r="F37" s="49">
        <v>0.72113733890218901</v>
      </c>
    </row>
    <row r="38" spans="1:6" x14ac:dyDescent="0.2">
      <c r="A38" s="52" t="s">
        <v>1590</v>
      </c>
      <c r="B38" s="52" t="s">
        <v>1591</v>
      </c>
      <c r="C38" s="52" t="s">
        <v>700</v>
      </c>
      <c r="D38" s="14">
        <v>270</v>
      </c>
      <c r="E38" s="13">
        <v>2648.0574000000001</v>
      </c>
      <c r="F38" s="49">
        <v>0.65711977546597</v>
      </c>
    </row>
    <row r="39" spans="1:6" x14ac:dyDescent="0.2">
      <c r="A39" s="52" t="s">
        <v>1177</v>
      </c>
      <c r="B39" s="52" t="s">
        <v>1178</v>
      </c>
      <c r="C39" s="52" t="s">
        <v>688</v>
      </c>
      <c r="D39" s="14">
        <v>250</v>
      </c>
      <c r="E39" s="13">
        <v>2614.9625000000001</v>
      </c>
      <c r="F39" s="49">
        <v>0.648907221894787</v>
      </c>
    </row>
    <row r="40" spans="1:6" x14ac:dyDescent="0.2">
      <c r="A40" s="52" t="s">
        <v>1145</v>
      </c>
      <c r="B40" s="52" t="s">
        <v>1146</v>
      </c>
      <c r="C40" s="52" t="s">
        <v>691</v>
      </c>
      <c r="D40" s="14">
        <v>250</v>
      </c>
      <c r="E40" s="13">
        <v>2542.94</v>
      </c>
      <c r="F40" s="49">
        <v>0.63103472070636901</v>
      </c>
    </row>
    <row r="41" spans="1:6" x14ac:dyDescent="0.2">
      <c r="A41" s="52" t="s">
        <v>1128</v>
      </c>
      <c r="B41" s="52" t="s">
        <v>1129</v>
      </c>
      <c r="C41" s="52" t="s">
        <v>729</v>
      </c>
      <c r="D41" s="14">
        <v>250</v>
      </c>
      <c r="E41" s="13">
        <v>2498.29</v>
      </c>
      <c r="F41" s="49">
        <v>0.61995475016851198</v>
      </c>
    </row>
    <row r="42" spans="1:6" x14ac:dyDescent="0.2">
      <c r="A42" s="52" t="s">
        <v>1592</v>
      </c>
      <c r="B42" s="52" t="s">
        <v>1593</v>
      </c>
      <c r="C42" s="52" t="s">
        <v>764</v>
      </c>
      <c r="D42" s="14">
        <v>250</v>
      </c>
      <c r="E42" s="13">
        <v>2471.7275</v>
      </c>
      <c r="F42" s="49">
        <v>0.61336322234293805</v>
      </c>
    </row>
    <row r="43" spans="1:6" x14ac:dyDescent="0.2">
      <c r="A43" s="52" t="s">
        <v>1161</v>
      </c>
      <c r="B43" s="52" t="s">
        <v>1162</v>
      </c>
      <c r="C43" s="52" t="s">
        <v>740</v>
      </c>
      <c r="D43" s="14">
        <v>250</v>
      </c>
      <c r="E43" s="13">
        <v>2448.855</v>
      </c>
      <c r="F43" s="49">
        <v>0.607687374053417</v>
      </c>
    </row>
    <row r="44" spans="1:6" x14ac:dyDescent="0.2">
      <c r="A44" s="52" t="s">
        <v>1122</v>
      </c>
      <c r="B44" s="52" t="s">
        <v>1123</v>
      </c>
      <c r="C44" s="52" t="s">
        <v>706</v>
      </c>
      <c r="D44" s="14">
        <v>250</v>
      </c>
      <c r="E44" s="13">
        <v>2425.2449999999999</v>
      </c>
      <c r="F44" s="49">
        <v>0.60182851393250303</v>
      </c>
    </row>
    <row r="45" spans="1:6" x14ac:dyDescent="0.2">
      <c r="A45" s="52" t="s">
        <v>995</v>
      </c>
      <c r="B45" s="52" t="s">
        <v>996</v>
      </c>
      <c r="C45" s="52" t="s">
        <v>709</v>
      </c>
      <c r="D45" s="14">
        <v>250</v>
      </c>
      <c r="E45" s="13">
        <v>2411.6</v>
      </c>
      <c r="F45" s="49">
        <v>0.59844248486219898</v>
      </c>
    </row>
    <row r="46" spans="1:6" x14ac:dyDescent="0.2">
      <c r="A46" s="52" t="s">
        <v>919</v>
      </c>
      <c r="B46" s="52" t="s">
        <v>920</v>
      </c>
      <c r="C46" s="52" t="s">
        <v>709</v>
      </c>
      <c r="D46" s="14">
        <v>211</v>
      </c>
      <c r="E46" s="13">
        <v>2184.63492</v>
      </c>
      <c r="F46" s="49">
        <v>0.54212072899383401</v>
      </c>
    </row>
    <row r="47" spans="1:6" x14ac:dyDescent="0.2">
      <c r="A47" s="52" t="s">
        <v>1157</v>
      </c>
      <c r="B47" s="52" t="s">
        <v>1158</v>
      </c>
      <c r="C47" s="52" t="s">
        <v>706</v>
      </c>
      <c r="D47" s="14">
        <v>200</v>
      </c>
      <c r="E47" s="13">
        <v>1964.172</v>
      </c>
      <c r="F47" s="49">
        <v>0.48741249476561399</v>
      </c>
    </row>
    <row r="48" spans="1:6" x14ac:dyDescent="0.2">
      <c r="A48" s="52" t="s">
        <v>1594</v>
      </c>
      <c r="B48" s="52" t="s">
        <v>1595</v>
      </c>
      <c r="C48" s="52" t="s">
        <v>832</v>
      </c>
      <c r="D48" s="14">
        <v>200</v>
      </c>
      <c r="E48" s="13">
        <v>1963.7159999999999</v>
      </c>
      <c r="F48" s="49">
        <v>0.48729933761969502</v>
      </c>
    </row>
    <row r="49" spans="1:6" x14ac:dyDescent="0.2">
      <c r="A49" s="52" t="s">
        <v>886</v>
      </c>
      <c r="B49" s="52" t="s">
        <v>887</v>
      </c>
      <c r="C49" s="52" t="s">
        <v>706</v>
      </c>
      <c r="D49" s="14">
        <v>170</v>
      </c>
      <c r="E49" s="13">
        <v>1762.9085</v>
      </c>
      <c r="F49" s="49">
        <v>0.43746862801654202</v>
      </c>
    </row>
    <row r="50" spans="1:6" x14ac:dyDescent="0.2">
      <c r="A50" s="52" t="s">
        <v>689</v>
      </c>
      <c r="B50" s="52" t="s">
        <v>690</v>
      </c>
      <c r="C50" s="52" t="s">
        <v>691</v>
      </c>
      <c r="D50" s="14">
        <v>170</v>
      </c>
      <c r="E50" s="13">
        <v>1703.4476</v>
      </c>
      <c r="F50" s="49">
        <v>0.42271330841621702</v>
      </c>
    </row>
    <row r="51" spans="1:6" x14ac:dyDescent="0.2">
      <c r="A51" s="52" t="s">
        <v>747</v>
      </c>
      <c r="B51" s="52" t="s">
        <v>748</v>
      </c>
      <c r="C51" s="52" t="s">
        <v>700</v>
      </c>
      <c r="D51" s="14">
        <v>160</v>
      </c>
      <c r="E51" s="13">
        <v>1596.4816000000001</v>
      </c>
      <c r="F51" s="49">
        <v>0.39616952054270099</v>
      </c>
    </row>
    <row r="52" spans="1:6" x14ac:dyDescent="0.2">
      <c r="A52" s="52" t="s">
        <v>840</v>
      </c>
      <c r="B52" s="52" t="s">
        <v>841</v>
      </c>
      <c r="C52" s="52" t="s">
        <v>764</v>
      </c>
      <c r="D52" s="14">
        <v>150</v>
      </c>
      <c r="E52" s="13">
        <v>1510.5509999999999</v>
      </c>
      <c r="F52" s="49">
        <v>0.37484570158860497</v>
      </c>
    </row>
    <row r="53" spans="1:6" x14ac:dyDescent="0.2">
      <c r="A53" s="52" t="s">
        <v>1171</v>
      </c>
      <c r="B53" s="52" t="s">
        <v>1172</v>
      </c>
      <c r="C53" s="52" t="s">
        <v>709</v>
      </c>
      <c r="D53" s="14">
        <v>140</v>
      </c>
      <c r="E53" s="13">
        <v>1399.4764</v>
      </c>
      <c r="F53" s="49">
        <v>0.34728235790429801</v>
      </c>
    </row>
    <row r="54" spans="1:6" x14ac:dyDescent="0.2">
      <c r="A54" s="52" t="s">
        <v>1209</v>
      </c>
      <c r="B54" s="52" t="s">
        <v>1210</v>
      </c>
      <c r="C54" s="52" t="s">
        <v>688</v>
      </c>
      <c r="D54" s="14">
        <v>100</v>
      </c>
      <c r="E54" s="13">
        <v>1010.116</v>
      </c>
      <c r="F54" s="49">
        <v>0.250661937733896</v>
      </c>
    </row>
    <row r="55" spans="1:6" x14ac:dyDescent="0.2">
      <c r="A55" s="52" t="s">
        <v>751</v>
      </c>
      <c r="B55" s="52" t="s">
        <v>752</v>
      </c>
      <c r="C55" s="52" t="s">
        <v>706</v>
      </c>
      <c r="D55" s="14">
        <v>100</v>
      </c>
      <c r="E55" s="13">
        <v>989.69399999999996</v>
      </c>
      <c r="F55" s="49">
        <v>0.24559418502786901</v>
      </c>
    </row>
    <row r="56" spans="1:6" x14ac:dyDescent="0.2">
      <c r="A56" s="52" t="s">
        <v>991</v>
      </c>
      <c r="B56" s="52" t="s">
        <v>992</v>
      </c>
      <c r="C56" s="52" t="s">
        <v>697</v>
      </c>
      <c r="D56" s="14">
        <v>58</v>
      </c>
      <c r="E56" s="13">
        <v>591.52053999999998</v>
      </c>
      <c r="F56" s="49">
        <v>0.146786789602185</v>
      </c>
    </row>
    <row r="57" spans="1:6" x14ac:dyDescent="0.2">
      <c r="A57" s="52" t="s">
        <v>1193</v>
      </c>
      <c r="B57" s="52" t="s">
        <v>1194</v>
      </c>
      <c r="C57" s="52" t="s">
        <v>706</v>
      </c>
      <c r="D57" s="14">
        <v>50</v>
      </c>
      <c r="E57" s="13">
        <v>506.01</v>
      </c>
      <c r="F57" s="49">
        <v>0.12556720922421699</v>
      </c>
    </row>
    <row r="58" spans="1:6" x14ac:dyDescent="0.2">
      <c r="A58" s="52" t="s">
        <v>717</v>
      </c>
      <c r="B58" s="52" t="s">
        <v>718</v>
      </c>
      <c r="C58" s="52" t="s">
        <v>697</v>
      </c>
      <c r="D58" s="14">
        <v>40</v>
      </c>
      <c r="E58" s="13">
        <v>415.76400000000001</v>
      </c>
      <c r="F58" s="49">
        <v>0.103172516701048</v>
      </c>
    </row>
    <row r="59" spans="1:6" x14ac:dyDescent="0.2">
      <c r="A59" s="52" t="s">
        <v>842</v>
      </c>
      <c r="B59" s="52" t="s">
        <v>843</v>
      </c>
      <c r="C59" s="52" t="s">
        <v>783</v>
      </c>
      <c r="D59" s="14">
        <v>40</v>
      </c>
      <c r="E59" s="13">
        <v>400</v>
      </c>
      <c r="F59" s="49">
        <v>9.9260654314513003E-2</v>
      </c>
    </row>
    <row r="60" spans="1:6" x14ac:dyDescent="0.2">
      <c r="A60" s="52" t="s">
        <v>768</v>
      </c>
      <c r="B60" s="52" t="s">
        <v>769</v>
      </c>
      <c r="C60" s="52" t="s">
        <v>685</v>
      </c>
      <c r="D60" s="14">
        <v>20</v>
      </c>
      <c r="E60" s="13">
        <v>206.93899999999999</v>
      </c>
      <c r="F60" s="49">
        <v>5.1352251357977503E-2</v>
      </c>
    </row>
    <row r="61" spans="1:6" x14ac:dyDescent="0.2">
      <c r="A61" s="41" t="s">
        <v>43</v>
      </c>
      <c r="B61" s="52"/>
      <c r="C61" s="52"/>
      <c r="D61" s="13"/>
      <c r="E61" s="50">
        <f>SUM(E8:E60)</f>
        <v>266361.77948000003</v>
      </c>
      <c r="F61" s="6">
        <f>SUM(F8:F60)</f>
        <v>66.098111288907063</v>
      </c>
    </row>
    <row r="62" spans="1:6" x14ac:dyDescent="0.2">
      <c r="A62" s="52"/>
      <c r="B62" s="52"/>
      <c r="C62" s="52"/>
      <c r="D62" s="13"/>
      <c r="E62" s="13"/>
      <c r="F62" s="49"/>
    </row>
    <row r="63" spans="1:6" x14ac:dyDescent="0.2">
      <c r="A63" s="41" t="s">
        <v>772</v>
      </c>
      <c r="B63" s="52"/>
      <c r="C63" s="52"/>
      <c r="D63" s="13"/>
      <c r="E63" s="13"/>
      <c r="F63" s="49"/>
    </row>
    <row r="64" spans="1:6" x14ac:dyDescent="0.2">
      <c r="A64" s="52" t="s">
        <v>779</v>
      </c>
      <c r="B64" s="52" t="s">
        <v>780</v>
      </c>
      <c r="C64" s="52" t="s">
        <v>775</v>
      </c>
      <c r="D64" s="14">
        <v>120</v>
      </c>
      <c r="E64" s="13">
        <v>13681.824000000001</v>
      </c>
      <c r="F64" s="49">
        <v>3.3951670061400199</v>
      </c>
    </row>
    <row r="65" spans="1:6" x14ac:dyDescent="0.2">
      <c r="A65" s="52" t="s">
        <v>1596</v>
      </c>
      <c r="B65" s="52" t="s">
        <v>1597</v>
      </c>
      <c r="C65" s="52" t="s">
        <v>832</v>
      </c>
      <c r="D65" s="14">
        <v>1000</v>
      </c>
      <c r="E65" s="13">
        <v>10094.959999999999</v>
      </c>
      <c r="F65" s="49">
        <v>2.5050808371970898</v>
      </c>
    </row>
    <row r="66" spans="1:6" x14ac:dyDescent="0.2">
      <c r="A66" s="52" t="s">
        <v>1242</v>
      </c>
      <c r="B66" s="52" t="s">
        <v>1243</v>
      </c>
      <c r="C66" s="52" t="s">
        <v>832</v>
      </c>
      <c r="D66" s="14">
        <v>18</v>
      </c>
      <c r="E66" s="13">
        <v>9049.9410000000007</v>
      </c>
      <c r="F66" s="49">
        <v>2.2457576629193401</v>
      </c>
    </row>
    <row r="67" spans="1:6" x14ac:dyDescent="0.2">
      <c r="A67" s="52" t="s">
        <v>795</v>
      </c>
      <c r="B67" s="52" t="s">
        <v>796</v>
      </c>
      <c r="C67" s="52" t="s">
        <v>797</v>
      </c>
      <c r="D67" s="14">
        <v>950</v>
      </c>
      <c r="E67" s="13">
        <v>8426.1674999999996</v>
      </c>
      <c r="F67" s="49">
        <v>2.0909672485342101</v>
      </c>
    </row>
    <row r="68" spans="1:6" x14ac:dyDescent="0.2">
      <c r="A68" s="52" t="s">
        <v>806</v>
      </c>
      <c r="B68" s="52" t="s">
        <v>807</v>
      </c>
      <c r="C68" s="52" t="s">
        <v>805</v>
      </c>
      <c r="D68" s="14">
        <v>6878</v>
      </c>
      <c r="E68" s="13">
        <v>6637.1049279999997</v>
      </c>
      <c r="F68" s="49">
        <v>1.6470084447683999</v>
      </c>
    </row>
    <row r="69" spans="1:6" x14ac:dyDescent="0.2">
      <c r="A69" s="52" t="s">
        <v>773</v>
      </c>
      <c r="B69" s="52" t="s">
        <v>774</v>
      </c>
      <c r="C69" s="52" t="s">
        <v>775</v>
      </c>
      <c r="D69" s="14">
        <v>600</v>
      </c>
      <c r="E69" s="13">
        <v>5859.1620000000003</v>
      </c>
      <c r="F69" s="49">
        <v>1.4539606346368299</v>
      </c>
    </row>
    <row r="70" spans="1:6" x14ac:dyDescent="0.2">
      <c r="A70" s="52" t="s">
        <v>776</v>
      </c>
      <c r="B70" s="52" t="s">
        <v>777</v>
      </c>
      <c r="C70" s="52" t="s">
        <v>778</v>
      </c>
      <c r="D70" s="14">
        <v>500</v>
      </c>
      <c r="E70" s="13">
        <v>5744.7449999999999</v>
      </c>
      <c r="F70" s="49">
        <v>1.4255678689250699</v>
      </c>
    </row>
    <row r="71" spans="1:6" x14ac:dyDescent="0.2">
      <c r="A71" s="52" t="s">
        <v>784</v>
      </c>
      <c r="B71" s="52" t="s">
        <v>785</v>
      </c>
      <c r="C71" s="52" t="s">
        <v>691</v>
      </c>
      <c r="D71" s="14">
        <v>550</v>
      </c>
      <c r="E71" s="13">
        <v>5477.12</v>
      </c>
      <c r="F71" s="49">
        <v>1.3591562873977601</v>
      </c>
    </row>
    <row r="72" spans="1:6" x14ac:dyDescent="0.2">
      <c r="A72" s="52" t="s">
        <v>1246</v>
      </c>
      <c r="B72" s="52" t="s">
        <v>1247</v>
      </c>
      <c r="C72" s="52" t="s">
        <v>1248</v>
      </c>
      <c r="D72" s="14">
        <v>470</v>
      </c>
      <c r="E72" s="13">
        <v>4587.1295</v>
      </c>
      <c r="F72" s="49">
        <v>1.1383036889885101</v>
      </c>
    </row>
    <row r="73" spans="1:6" x14ac:dyDescent="0.2">
      <c r="A73" s="52" t="s">
        <v>1224</v>
      </c>
      <c r="B73" s="52" t="s">
        <v>785</v>
      </c>
      <c r="C73" s="52" t="s">
        <v>691</v>
      </c>
      <c r="D73" s="14">
        <v>450</v>
      </c>
      <c r="E73" s="13">
        <v>4490.4059999999999</v>
      </c>
      <c r="F73" s="49">
        <v>1.11430159424454</v>
      </c>
    </row>
    <row r="74" spans="1:6" x14ac:dyDescent="0.2">
      <c r="A74" s="52" t="s">
        <v>821</v>
      </c>
      <c r="B74" s="52" t="s">
        <v>822</v>
      </c>
      <c r="C74" s="52" t="s">
        <v>788</v>
      </c>
      <c r="D74" s="14">
        <v>440</v>
      </c>
      <c r="E74" s="13">
        <v>4083.0504000000001</v>
      </c>
      <c r="F74" s="49">
        <v>1.0132156357578299</v>
      </c>
    </row>
    <row r="75" spans="1:6" x14ac:dyDescent="0.2">
      <c r="A75" s="52" t="s">
        <v>786</v>
      </c>
      <c r="B75" s="52" t="s">
        <v>787</v>
      </c>
      <c r="C75" s="52" t="s">
        <v>788</v>
      </c>
      <c r="D75" s="14">
        <v>450</v>
      </c>
      <c r="E75" s="13">
        <v>4021.7714999999998</v>
      </c>
      <c r="F75" s="49">
        <v>0.99800917648365095</v>
      </c>
    </row>
    <row r="76" spans="1:6" x14ac:dyDescent="0.2">
      <c r="A76" s="52" t="s">
        <v>828</v>
      </c>
      <c r="B76" s="52" t="s">
        <v>829</v>
      </c>
      <c r="C76" s="52" t="s">
        <v>783</v>
      </c>
      <c r="D76" s="14">
        <v>400</v>
      </c>
      <c r="E76" s="13">
        <v>3799.3119999999999</v>
      </c>
      <c r="F76" s="49">
        <v>0.94280548766245198</v>
      </c>
    </row>
    <row r="77" spans="1:6" x14ac:dyDescent="0.2">
      <c r="A77" s="52" t="s">
        <v>1598</v>
      </c>
      <c r="B77" s="52" t="s">
        <v>1599</v>
      </c>
      <c r="C77" s="52" t="s">
        <v>802</v>
      </c>
      <c r="D77" s="14">
        <v>390</v>
      </c>
      <c r="E77" s="13">
        <v>3747.9857999999999</v>
      </c>
      <c r="F77" s="49">
        <v>0.93006880717375795</v>
      </c>
    </row>
    <row r="78" spans="1:6" x14ac:dyDescent="0.2">
      <c r="A78" s="52" t="s">
        <v>1230</v>
      </c>
      <c r="B78" s="52" t="s">
        <v>1231</v>
      </c>
      <c r="C78" s="52" t="s">
        <v>818</v>
      </c>
      <c r="D78" s="14">
        <v>338</v>
      </c>
      <c r="E78" s="13">
        <v>3241.2172</v>
      </c>
      <c r="F78" s="49">
        <v>0.80431335011863403</v>
      </c>
    </row>
    <row r="79" spans="1:6" x14ac:dyDescent="0.2">
      <c r="A79" s="52" t="s">
        <v>1600</v>
      </c>
      <c r="B79" s="52" t="s">
        <v>1601</v>
      </c>
      <c r="C79" s="52" t="s">
        <v>788</v>
      </c>
      <c r="D79" s="14">
        <v>400</v>
      </c>
      <c r="E79" s="13">
        <v>3086.2159999999999</v>
      </c>
      <c r="F79" s="49">
        <v>0.76584954878979705</v>
      </c>
    </row>
    <row r="80" spans="1:6" x14ac:dyDescent="0.2">
      <c r="A80" s="52" t="s">
        <v>792</v>
      </c>
      <c r="B80" s="52" t="s">
        <v>793</v>
      </c>
      <c r="C80" s="52" t="s">
        <v>794</v>
      </c>
      <c r="D80" s="14">
        <v>22</v>
      </c>
      <c r="E80" s="13">
        <v>2698.1174000000001</v>
      </c>
      <c r="F80" s="49">
        <v>0.66954224635343096</v>
      </c>
    </row>
    <row r="81" spans="1:6" x14ac:dyDescent="0.2">
      <c r="A81" s="52" t="s">
        <v>1257</v>
      </c>
      <c r="B81" s="52" t="s">
        <v>1258</v>
      </c>
      <c r="C81" s="52" t="s">
        <v>791</v>
      </c>
      <c r="D81" s="14">
        <v>250</v>
      </c>
      <c r="E81" s="13">
        <v>2517.79</v>
      </c>
      <c r="F81" s="49">
        <v>0.62479370706634396</v>
      </c>
    </row>
    <row r="82" spans="1:6" x14ac:dyDescent="0.2">
      <c r="A82" s="52" t="s">
        <v>1234</v>
      </c>
      <c r="B82" s="52" t="s">
        <v>1235</v>
      </c>
      <c r="C82" s="52" t="s">
        <v>775</v>
      </c>
      <c r="D82" s="14">
        <v>250</v>
      </c>
      <c r="E82" s="13">
        <v>2492.0825</v>
      </c>
      <c r="F82" s="49">
        <v>0.61841434888936797</v>
      </c>
    </row>
    <row r="83" spans="1:6" x14ac:dyDescent="0.2">
      <c r="A83" s="52" t="s">
        <v>789</v>
      </c>
      <c r="B83" s="52" t="s">
        <v>790</v>
      </c>
      <c r="C83" s="52" t="s">
        <v>791</v>
      </c>
      <c r="D83" s="14">
        <v>250</v>
      </c>
      <c r="E83" s="13">
        <v>2466.2049999999999</v>
      </c>
      <c r="F83" s="49">
        <v>0.61199280493430896</v>
      </c>
    </row>
    <row r="84" spans="1:6" x14ac:dyDescent="0.2">
      <c r="A84" s="52" t="s">
        <v>1276</v>
      </c>
      <c r="B84" s="52" t="s">
        <v>1277</v>
      </c>
      <c r="C84" s="52" t="s">
        <v>791</v>
      </c>
      <c r="D84" s="14">
        <v>230</v>
      </c>
      <c r="E84" s="13">
        <v>2302.1505000000002</v>
      </c>
      <c r="F84" s="49">
        <v>0.57128241240120803</v>
      </c>
    </row>
    <row r="85" spans="1:6" x14ac:dyDescent="0.2">
      <c r="A85" s="52" t="s">
        <v>1602</v>
      </c>
      <c r="B85" s="52" t="s">
        <v>1603</v>
      </c>
      <c r="C85" s="52" t="s">
        <v>788</v>
      </c>
      <c r="D85" s="14">
        <v>200</v>
      </c>
      <c r="E85" s="13">
        <v>2012.5360000000001</v>
      </c>
      <c r="F85" s="49">
        <v>0.49941410047878199</v>
      </c>
    </row>
    <row r="86" spans="1:6" x14ac:dyDescent="0.2">
      <c r="A86" s="52" t="s">
        <v>1253</v>
      </c>
      <c r="B86" s="52" t="s">
        <v>1254</v>
      </c>
      <c r="C86" s="52" t="s">
        <v>1229</v>
      </c>
      <c r="D86" s="14">
        <v>14</v>
      </c>
      <c r="E86" s="13">
        <v>1957.8607999999999</v>
      </c>
      <c r="F86" s="49">
        <v>0.48584636016184002</v>
      </c>
    </row>
    <row r="87" spans="1:6" x14ac:dyDescent="0.2">
      <c r="A87" s="52" t="s">
        <v>1054</v>
      </c>
      <c r="B87" s="52" t="s">
        <v>1055</v>
      </c>
      <c r="C87" s="52" t="s">
        <v>729</v>
      </c>
      <c r="D87" s="14">
        <v>2500</v>
      </c>
      <c r="E87" s="13">
        <v>1764.9</v>
      </c>
      <c r="F87" s="49">
        <v>0.43796282199920999</v>
      </c>
    </row>
    <row r="88" spans="1:6" x14ac:dyDescent="0.2">
      <c r="A88" s="52" t="s">
        <v>1604</v>
      </c>
      <c r="B88" s="52" t="s">
        <v>1605</v>
      </c>
      <c r="C88" s="52" t="s">
        <v>791</v>
      </c>
      <c r="D88" s="14">
        <v>230</v>
      </c>
      <c r="E88" s="13">
        <v>1729.6505999999999</v>
      </c>
      <c r="F88" s="49">
        <v>0.42921562572872501</v>
      </c>
    </row>
    <row r="89" spans="1:6" x14ac:dyDescent="0.2">
      <c r="A89" s="52" t="s">
        <v>1240</v>
      </c>
      <c r="B89" s="52" t="s">
        <v>1241</v>
      </c>
      <c r="C89" s="52" t="s">
        <v>783</v>
      </c>
      <c r="D89" s="14">
        <v>160</v>
      </c>
      <c r="E89" s="13">
        <v>1613.3104000000001</v>
      </c>
      <c r="F89" s="49">
        <v>0.40034561479102199</v>
      </c>
    </row>
    <row r="90" spans="1:6" x14ac:dyDescent="0.2">
      <c r="A90" s="52" t="s">
        <v>1040</v>
      </c>
      <c r="B90" s="52" t="s">
        <v>1041</v>
      </c>
      <c r="C90" s="52" t="s">
        <v>848</v>
      </c>
      <c r="D90" s="14">
        <v>150</v>
      </c>
      <c r="E90" s="13">
        <v>1504.5345</v>
      </c>
      <c r="F90" s="49">
        <v>0.37335269727189702</v>
      </c>
    </row>
    <row r="91" spans="1:6" x14ac:dyDescent="0.2">
      <c r="A91" s="52" t="s">
        <v>1011</v>
      </c>
      <c r="B91" s="52" t="s">
        <v>1012</v>
      </c>
      <c r="C91" s="52" t="s">
        <v>827</v>
      </c>
      <c r="D91" s="14">
        <v>150</v>
      </c>
      <c r="E91" s="13">
        <v>1501.6904999999999</v>
      </c>
      <c r="F91" s="49">
        <v>0.37264695401971998</v>
      </c>
    </row>
    <row r="92" spans="1:6" x14ac:dyDescent="0.2">
      <c r="A92" s="52" t="s">
        <v>811</v>
      </c>
      <c r="B92" s="52" t="s">
        <v>812</v>
      </c>
      <c r="C92" s="52" t="s">
        <v>813</v>
      </c>
      <c r="D92" s="14">
        <v>359</v>
      </c>
      <c r="E92" s="13">
        <v>1436</v>
      </c>
      <c r="F92" s="49">
        <v>0.35634574898910198</v>
      </c>
    </row>
    <row r="93" spans="1:6" x14ac:dyDescent="0.2">
      <c r="A93" s="52" t="s">
        <v>819</v>
      </c>
      <c r="B93" s="52" t="s">
        <v>820</v>
      </c>
      <c r="C93" s="52" t="s">
        <v>788</v>
      </c>
      <c r="D93" s="14">
        <v>100</v>
      </c>
      <c r="E93" s="13">
        <v>1027.088</v>
      </c>
      <c r="F93" s="49">
        <v>0.25487356729646099</v>
      </c>
    </row>
    <row r="94" spans="1:6" x14ac:dyDescent="0.2">
      <c r="A94" s="52" t="s">
        <v>823</v>
      </c>
      <c r="B94" s="52" t="s">
        <v>824</v>
      </c>
      <c r="C94" s="52" t="s">
        <v>802</v>
      </c>
      <c r="D94" s="14">
        <v>10</v>
      </c>
      <c r="E94" s="13">
        <v>1010.302</v>
      </c>
      <c r="F94" s="49">
        <v>0.25070809393815302</v>
      </c>
    </row>
    <row r="95" spans="1:6" x14ac:dyDescent="0.2">
      <c r="A95" s="52" t="s">
        <v>800</v>
      </c>
      <c r="B95" s="52" t="s">
        <v>801</v>
      </c>
      <c r="C95" s="52" t="s">
        <v>802</v>
      </c>
      <c r="D95" s="14">
        <v>100</v>
      </c>
      <c r="E95" s="13">
        <v>963.53800000000001</v>
      </c>
      <c r="F95" s="49">
        <v>0.23910353084224301</v>
      </c>
    </row>
    <row r="96" spans="1:6" x14ac:dyDescent="0.2">
      <c r="A96" s="52" t="s">
        <v>1017</v>
      </c>
      <c r="B96" s="52" t="s">
        <v>1018</v>
      </c>
      <c r="C96" s="52" t="s">
        <v>832</v>
      </c>
      <c r="D96" s="14">
        <v>50</v>
      </c>
      <c r="E96" s="13">
        <v>657.27250000000004</v>
      </c>
      <c r="F96" s="49">
        <v>0.163103246032339</v>
      </c>
    </row>
    <row r="97" spans="1:6" x14ac:dyDescent="0.2">
      <c r="A97" s="52" t="s">
        <v>814</v>
      </c>
      <c r="B97" s="52" t="s">
        <v>815</v>
      </c>
      <c r="C97" s="52" t="s">
        <v>788</v>
      </c>
      <c r="D97" s="14">
        <v>50</v>
      </c>
      <c r="E97" s="13">
        <v>463.46</v>
      </c>
      <c r="F97" s="49">
        <v>0.11500835712151</v>
      </c>
    </row>
    <row r="98" spans="1:6" x14ac:dyDescent="0.2">
      <c r="A98" s="41" t="s">
        <v>43</v>
      </c>
      <c r="B98" s="52"/>
      <c r="C98" s="52"/>
      <c r="D98" s="52"/>
      <c r="E98" s="50">
        <f>SUM(E64:E97)</f>
        <v>126146.60152800001</v>
      </c>
      <c r="F98" s="6">
        <f>SUM(F64:F97)</f>
        <v>31.303485518053563</v>
      </c>
    </row>
    <row r="99" spans="1:6" x14ac:dyDescent="0.2">
      <c r="A99" s="52"/>
      <c r="B99" s="52"/>
      <c r="C99" s="52"/>
      <c r="D99" s="52"/>
      <c r="E99" s="13"/>
      <c r="F99" s="49"/>
    </row>
    <row r="100" spans="1:6" x14ac:dyDescent="0.2">
      <c r="A100" s="41" t="s">
        <v>43</v>
      </c>
      <c r="B100" s="52"/>
      <c r="C100" s="52"/>
      <c r="D100" s="52"/>
      <c r="E100" s="50">
        <f>E61+E98</f>
        <v>392508.38100800005</v>
      </c>
      <c r="F100" s="6">
        <f>F61+F98</f>
        <v>97.401596806960626</v>
      </c>
    </row>
    <row r="101" spans="1:6" x14ac:dyDescent="0.2">
      <c r="A101" s="52"/>
      <c r="B101" s="52"/>
      <c r="C101" s="52"/>
      <c r="D101" s="52"/>
      <c r="E101" s="13"/>
      <c r="F101" s="49"/>
    </row>
    <row r="102" spans="1:6" x14ac:dyDescent="0.2">
      <c r="A102" s="41" t="s">
        <v>100</v>
      </c>
      <c r="B102" s="52"/>
      <c r="C102" s="52"/>
      <c r="D102" s="52"/>
      <c r="E102" s="50">
        <v>10471.0308878</v>
      </c>
      <c r="F102" s="6">
        <v>2.6</v>
      </c>
    </row>
    <row r="103" spans="1:6" x14ac:dyDescent="0.2">
      <c r="A103" s="52"/>
      <c r="B103" s="52"/>
      <c r="C103" s="52"/>
      <c r="D103" s="52"/>
      <c r="E103" s="13"/>
      <c r="F103" s="49"/>
    </row>
    <row r="104" spans="1:6" x14ac:dyDescent="0.2">
      <c r="A104" s="57" t="s">
        <v>101</v>
      </c>
      <c r="B104" s="34"/>
      <c r="C104" s="34"/>
      <c r="D104" s="34"/>
      <c r="E104" s="51">
        <f>E100+E102</f>
        <v>402979.41189580003</v>
      </c>
      <c r="F104" s="8">
        <f xml:space="preserve"> ROUND(SUM(F100:F103),2)</f>
        <v>100</v>
      </c>
    </row>
    <row r="105" spans="1:6" x14ac:dyDescent="0.2">
      <c r="A105" s="4" t="s">
        <v>1964</v>
      </c>
    </row>
    <row r="106" spans="1:6" x14ac:dyDescent="0.2">
      <c r="A106" s="60" t="s">
        <v>1963</v>
      </c>
    </row>
    <row r="107" spans="1:6" x14ac:dyDescent="0.2">
      <c r="A107" s="60"/>
    </row>
    <row r="108" spans="1:6" x14ac:dyDescent="0.2">
      <c r="A108" s="4" t="s">
        <v>102</v>
      </c>
    </row>
    <row r="109" spans="1:6" x14ac:dyDescent="0.2">
      <c r="A109" s="4" t="s">
        <v>833</v>
      </c>
    </row>
    <row r="110" spans="1:6" x14ac:dyDescent="0.2">
      <c r="A110" s="4" t="s">
        <v>104</v>
      </c>
    </row>
    <row r="111" spans="1:6" x14ac:dyDescent="0.2">
      <c r="A111" s="2" t="s">
        <v>598</v>
      </c>
      <c r="D111" s="10">
        <v>66.658699999999996</v>
      </c>
    </row>
    <row r="112" spans="1:6" x14ac:dyDescent="0.2">
      <c r="A112" s="2" t="s">
        <v>599</v>
      </c>
      <c r="D112" s="10">
        <v>11.9009</v>
      </c>
    </row>
    <row r="113" spans="1:5" x14ac:dyDescent="0.2">
      <c r="A113" s="2" t="s">
        <v>600</v>
      </c>
      <c r="D113" s="10">
        <v>70.1554</v>
      </c>
    </row>
    <row r="114" spans="1:5" x14ac:dyDescent="0.2">
      <c r="A114" s="2" t="s">
        <v>601</v>
      </c>
      <c r="D114" s="10">
        <v>12.7033</v>
      </c>
    </row>
    <row r="116" spans="1:5" x14ac:dyDescent="0.2">
      <c r="A116" s="4" t="s">
        <v>105</v>
      </c>
    </row>
    <row r="117" spans="1:5" x14ac:dyDescent="0.2">
      <c r="A117" s="2" t="s">
        <v>598</v>
      </c>
      <c r="D117" s="10">
        <v>68.781099999999995</v>
      </c>
    </row>
    <row r="118" spans="1:5" x14ac:dyDescent="0.2">
      <c r="A118" s="2" t="s">
        <v>599</v>
      </c>
      <c r="D118" s="10">
        <v>11.8239</v>
      </c>
    </row>
    <row r="119" spans="1:5" x14ac:dyDescent="0.2">
      <c r="A119" s="2" t="s">
        <v>600</v>
      </c>
      <c r="D119" s="10">
        <v>72.701800000000006</v>
      </c>
    </row>
    <row r="120" spans="1:5" x14ac:dyDescent="0.2">
      <c r="A120" s="2" t="s">
        <v>601</v>
      </c>
      <c r="D120" s="10">
        <v>12.707800000000001</v>
      </c>
    </row>
    <row r="122" spans="1:5" x14ac:dyDescent="0.2">
      <c r="A122" s="4" t="s">
        <v>106</v>
      </c>
      <c r="D122" s="17" t="s">
        <v>319</v>
      </c>
    </row>
    <row r="123" spans="1:5" x14ac:dyDescent="0.2">
      <c r="A123" s="70" t="s">
        <v>602</v>
      </c>
      <c r="B123" s="71"/>
      <c r="C123" s="103" t="s">
        <v>603</v>
      </c>
      <c r="D123" s="103"/>
    </row>
    <row r="124" spans="1:5" x14ac:dyDescent="0.2">
      <c r="A124" s="104"/>
      <c r="B124" s="104"/>
      <c r="C124" s="20" t="s">
        <v>604</v>
      </c>
      <c r="D124" s="20" t="s">
        <v>605</v>
      </c>
    </row>
    <row r="125" spans="1:5" x14ac:dyDescent="0.2">
      <c r="A125" s="21" t="s">
        <v>599</v>
      </c>
      <c r="B125" s="22"/>
      <c r="C125" s="72">
        <v>0.32414521499999999</v>
      </c>
      <c r="D125" s="72">
        <v>0.30016008459999999</v>
      </c>
    </row>
    <row r="126" spans="1:5" x14ac:dyDescent="0.2">
      <c r="A126" s="21" t="s">
        <v>601</v>
      </c>
      <c r="B126" s="22"/>
      <c r="C126" s="72">
        <v>0.32414521499999999</v>
      </c>
      <c r="D126" s="72">
        <v>0.30016008459999999</v>
      </c>
    </row>
    <row r="128" spans="1:5" x14ac:dyDescent="0.2">
      <c r="A128" s="4" t="s">
        <v>834</v>
      </c>
      <c r="D128" s="59">
        <v>3.0127307227047186</v>
      </c>
      <c r="E128" s="59" t="s">
        <v>1106</v>
      </c>
    </row>
    <row r="130" spans="1:4" x14ac:dyDescent="0.2">
      <c r="A130" s="4" t="s">
        <v>836</v>
      </c>
      <c r="D130" s="66">
        <v>1</v>
      </c>
    </row>
    <row r="131" spans="1:4" x14ac:dyDescent="0.2">
      <c r="A131" s="4" t="s">
        <v>837</v>
      </c>
    </row>
    <row r="132" spans="1:4" ht="15" x14ac:dyDescent="0.25">
      <c r="A132" s="68" t="s">
        <v>838</v>
      </c>
    </row>
  </sheetData>
  <mergeCells count="3">
    <mergeCell ref="A1:F1"/>
    <mergeCell ref="C123:D123"/>
    <mergeCell ref="A124:B124"/>
  </mergeCells>
  <hyperlinks>
    <hyperlink ref="A131" r:id="rId1" display="https://www.franklintempletonindia.com/investor/reports" xr:uid="{8B9A7FFD-D879-4886-B4C4-258839AD24B3}"/>
    <hyperlink ref="A132" r:id="rId2" xr:uid="{3E989F7C-D7BE-47D3-A368-3A89B9B8E40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F741-C6E1-4231-8DA0-8847E489F45C}">
  <dimension ref="A1:F150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76" style="2" bestFit="1" customWidth="1"/>
    <col min="3" max="3" width="11.7109375" style="2" bestFit="1" customWidth="1"/>
    <col min="4" max="4" width="7.85546875" style="2" bestFit="1" customWidth="1"/>
    <col min="5" max="5" width="23" style="59" bestFit="1" customWidth="1"/>
    <col min="6" max="6" width="15.5703125" style="1" bestFit="1" customWidth="1"/>
    <col min="7" max="16384" width="9.140625" style="2"/>
  </cols>
  <sheetData>
    <row r="1" spans="1:6" x14ac:dyDescent="0.2">
      <c r="A1" s="102" t="s">
        <v>1606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715</v>
      </c>
      <c r="B8" s="52" t="s">
        <v>716</v>
      </c>
      <c r="C8" s="52" t="s">
        <v>694</v>
      </c>
      <c r="D8" s="14">
        <v>3930</v>
      </c>
      <c r="E8" s="13">
        <v>37262.334300000002</v>
      </c>
      <c r="F8" s="49">
        <f t="shared" ref="F8:F71" si="0">E8/$E$122*100</f>
        <v>5.6254645792512772</v>
      </c>
    </row>
    <row r="9" spans="1:6" x14ac:dyDescent="0.2">
      <c r="A9" s="52" t="s">
        <v>701</v>
      </c>
      <c r="B9" s="52" t="s">
        <v>702</v>
      </c>
      <c r="C9" s="52" t="s">
        <v>703</v>
      </c>
      <c r="D9" s="14">
        <v>3370</v>
      </c>
      <c r="E9" s="13">
        <v>25714.448</v>
      </c>
      <c r="F9" s="49">
        <f t="shared" si="0"/>
        <v>3.8820894910762163</v>
      </c>
    </row>
    <row r="10" spans="1:6" x14ac:dyDescent="0.2">
      <c r="A10" s="52" t="s">
        <v>1110</v>
      </c>
      <c r="B10" s="52" t="s">
        <v>1111</v>
      </c>
      <c r="C10" s="52" t="s">
        <v>848</v>
      </c>
      <c r="D10" s="14">
        <v>2300</v>
      </c>
      <c r="E10" s="13">
        <v>22997.608</v>
      </c>
      <c r="F10" s="49">
        <f t="shared" si="0"/>
        <v>3.4719303457997746</v>
      </c>
    </row>
    <row r="11" spans="1:6" x14ac:dyDescent="0.2">
      <c r="A11" s="52" t="s">
        <v>1169</v>
      </c>
      <c r="B11" s="52" t="s">
        <v>1170</v>
      </c>
      <c r="C11" s="52" t="s">
        <v>700</v>
      </c>
      <c r="D11" s="14">
        <v>10140</v>
      </c>
      <c r="E11" s="13">
        <v>19637.34708</v>
      </c>
      <c r="F11" s="49">
        <f t="shared" si="0"/>
        <v>2.9646344627691099</v>
      </c>
    </row>
    <row r="12" spans="1:6" x14ac:dyDescent="0.2">
      <c r="A12" s="52" t="s">
        <v>745</v>
      </c>
      <c r="B12" s="52" t="s">
        <v>746</v>
      </c>
      <c r="C12" s="52" t="s">
        <v>688</v>
      </c>
      <c r="D12" s="14">
        <v>1900</v>
      </c>
      <c r="E12" s="13">
        <v>19345.002</v>
      </c>
      <c r="F12" s="49">
        <f t="shared" si="0"/>
        <v>2.9204993616447994</v>
      </c>
    </row>
    <row r="13" spans="1:6" x14ac:dyDescent="0.2">
      <c r="A13" s="52" t="s">
        <v>755</v>
      </c>
      <c r="B13" s="52" t="s">
        <v>756</v>
      </c>
      <c r="C13" s="52" t="s">
        <v>685</v>
      </c>
      <c r="D13" s="14">
        <v>2125</v>
      </c>
      <c r="E13" s="13">
        <v>16112.96125</v>
      </c>
      <c r="F13" s="49">
        <f t="shared" si="0"/>
        <v>2.4325607743453519</v>
      </c>
    </row>
    <row r="14" spans="1:6" x14ac:dyDescent="0.2">
      <c r="A14" s="52" t="s">
        <v>1108</v>
      </c>
      <c r="B14" s="52" t="s">
        <v>1109</v>
      </c>
      <c r="C14" s="52" t="s">
        <v>703</v>
      </c>
      <c r="D14" s="14">
        <v>1695</v>
      </c>
      <c r="E14" s="13">
        <v>14869.40445</v>
      </c>
      <c r="F14" s="49">
        <f t="shared" si="0"/>
        <v>2.2448220064419395</v>
      </c>
    </row>
    <row r="15" spans="1:6" x14ac:dyDescent="0.2">
      <c r="A15" s="52" t="s">
        <v>686</v>
      </c>
      <c r="B15" s="52" t="s">
        <v>687</v>
      </c>
      <c r="C15" s="52" t="s">
        <v>688</v>
      </c>
      <c r="D15" s="14">
        <v>1410</v>
      </c>
      <c r="E15" s="13">
        <v>14817.774600000001</v>
      </c>
      <c r="F15" s="49">
        <f t="shared" si="0"/>
        <v>2.2370274895963576</v>
      </c>
    </row>
    <row r="16" spans="1:6" x14ac:dyDescent="0.2">
      <c r="A16" s="52" t="s">
        <v>749</v>
      </c>
      <c r="B16" s="52" t="s">
        <v>750</v>
      </c>
      <c r="C16" s="52" t="s">
        <v>688</v>
      </c>
      <c r="D16" s="14">
        <v>1350</v>
      </c>
      <c r="E16" s="13">
        <v>13629.546</v>
      </c>
      <c r="F16" s="49">
        <f t="shared" si="0"/>
        <v>2.0576415754574966</v>
      </c>
    </row>
    <row r="17" spans="1:6" x14ac:dyDescent="0.2">
      <c r="A17" s="52" t="s">
        <v>689</v>
      </c>
      <c r="B17" s="52" t="s">
        <v>690</v>
      </c>
      <c r="C17" s="52" t="s">
        <v>691</v>
      </c>
      <c r="D17" s="14">
        <v>1150</v>
      </c>
      <c r="E17" s="13">
        <v>11523.322</v>
      </c>
      <c r="F17" s="49">
        <f t="shared" si="0"/>
        <v>1.7396666356006305</v>
      </c>
    </row>
    <row r="18" spans="1:6" x14ac:dyDescent="0.2">
      <c r="A18" s="52" t="s">
        <v>1112</v>
      </c>
      <c r="B18" s="52" t="s">
        <v>1113</v>
      </c>
      <c r="C18" s="52" t="s">
        <v>848</v>
      </c>
      <c r="D18" s="14">
        <v>1150</v>
      </c>
      <c r="E18" s="13">
        <v>11498.804</v>
      </c>
      <c r="F18" s="49">
        <f t="shared" si="0"/>
        <v>1.7359651728998873</v>
      </c>
    </row>
    <row r="19" spans="1:6" x14ac:dyDescent="0.2">
      <c r="A19" s="52" t="s">
        <v>717</v>
      </c>
      <c r="B19" s="52" t="s">
        <v>718</v>
      </c>
      <c r="C19" s="52" t="s">
        <v>697</v>
      </c>
      <c r="D19" s="14">
        <v>1060</v>
      </c>
      <c r="E19" s="13">
        <v>11017.745999999999</v>
      </c>
      <c r="F19" s="49">
        <f t="shared" si="0"/>
        <v>1.6633402343284605</v>
      </c>
    </row>
    <row r="20" spans="1:6" x14ac:dyDescent="0.2">
      <c r="A20" s="52" t="s">
        <v>710</v>
      </c>
      <c r="B20" s="52" t="s">
        <v>711</v>
      </c>
      <c r="C20" s="52" t="s">
        <v>712</v>
      </c>
      <c r="D20" s="14">
        <v>1050</v>
      </c>
      <c r="E20" s="13">
        <v>10929.166499999999</v>
      </c>
      <c r="F20" s="49">
        <f t="shared" si="0"/>
        <v>1.6499674586004032</v>
      </c>
    </row>
    <row r="21" spans="1:6" x14ac:dyDescent="0.2">
      <c r="A21" s="52" t="s">
        <v>1582</v>
      </c>
      <c r="B21" s="52" t="s">
        <v>1583</v>
      </c>
      <c r="C21" s="52" t="s">
        <v>700</v>
      </c>
      <c r="D21" s="14">
        <v>5580</v>
      </c>
      <c r="E21" s="13">
        <v>10770.81732</v>
      </c>
      <c r="F21" s="49">
        <f t="shared" si="0"/>
        <v>1.6260616105107015</v>
      </c>
    </row>
    <row r="22" spans="1:6" x14ac:dyDescent="0.2">
      <c r="A22" s="52" t="s">
        <v>1521</v>
      </c>
      <c r="B22" s="52" t="s">
        <v>1522</v>
      </c>
      <c r="C22" s="52" t="s">
        <v>778</v>
      </c>
      <c r="D22" s="14">
        <v>850</v>
      </c>
      <c r="E22" s="13">
        <v>9880.5190000000002</v>
      </c>
      <c r="F22" s="49">
        <f t="shared" si="0"/>
        <v>1.4916539906389934</v>
      </c>
    </row>
    <row r="23" spans="1:6" x14ac:dyDescent="0.2">
      <c r="A23" s="52" t="s">
        <v>692</v>
      </c>
      <c r="B23" s="52" t="s">
        <v>693</v>
      </c>
      <c r="C23" s="52" t="s">
        <v>694</v>
      </c>
      <c r="D23" s="14">
        <v>1000</v>
      </c>
      <c r="E23" s="13">
        <v>9268.26</v>
      </c>
      <c r="F23" s="49">
        <f t="shared" si="0"/>
        <v>1.399221742833525</v>
      </c>
    </row>
    <row r="24" spans="1:6" x14ac:dyDescent="0.2">
      <c r="A24" s="52" t="s">
        <v>1143</v>
      </c>
      <c r="B24" s="52" t="s">
        <v>1144</v>
      </c>
      <c r="C24" s="52" t="s">
        <v>688</v>
      </c>
      <c r="D24" s="14">
        <v>750</v>
      </c>
      <c r="E24" s="13">
        <v>7769.0775000000003</v>
      </c>
      <c r="F24" s="49">
        <f t="shared" si="0"/>
        <v>1.1728913690119531</v>
      </c>
    </row>
    <row r="25" spans="1:6" x14ac:dyDescent="0.2">
      <c r="A25" s="52" t="s">
        <v>760</v>
      </c>
      <c r="B25" s="52" t="s">
        <v>761</v>
      </c>
      <c r="C25" s="52" t="s">
        <v>706</v>
      </c>
      <c r="D25" s="14">
        <v>850</v>
      </c>
      <c r="E25" s="13">
        <v>7633</v>
      </c>
      <c r="F25" s="49">
        <f t="shared" si="0"/>
        <v>1.1523478585029225</v>
      </c>
    </row>
    <row r="26" spans="1:6" x14ac:dyDescent="0.2">
      <c r="A26" s="52" t="s">
        <v>721</v>
      </c>
      <c r="B26" s="52" t="s">
        <v>722</v>
      </c>
      <c r="C26" s="52" t="s">
        <v>723</v>
      </c>
      <c r="D26" s="14">
        <v>750</v>
      </c>
      <c r="E26" s="13">
        <v>7522.0874999999996</v>
      </c>
      <c r="F26" s="49">
        <f t="shared" si="0"/>
        <v>1.1356034877632124</v>
      </c>
    </row>
    <row r="27" spans="1:6" x14ac:dyDescent="0.2">
      <c r="A27" s="52" t="s">
        <v>1519</v>
      </c>
      <c r="B27" s="52" t="s">
        <v>1520</v>
      </c>
      <c r="C27" s="52" t="s">
        <v>706</v>
      </c>
      <c r="D27" s="14">
        <v>750</v>
      </c>
      <c r="E27" s="13">
        <v>7345.9274999999998</v>
      </c>
      <c r="F27" s="49">
        <f t="shared" si="0"/>
        <v>1.1090087545319962</v>
      </c>
    </row>
    <row r="28" spans="1:6" x14ac:dyDescent="0.2">
      <c r="A28" s="52" t="s">
        <v>1147</v>
      </c>
      <c r="B28" s="52" t="s">
        <v>1148</v>
      </c>
      <c r="C28" s="52" t="s">
        <v>726</v>
      </c>
      <c r="D28" s="14">
        <v>700</v>
      </c>
      <c r="E28" s="13">
        <v>6667.759</v>
      </c>
      <c r="F28" s="49">
        <f t="shared" si="0"/>
        <v>1.0066262026285324</v>
      </c>
    </row>
    <row r="29" spans="1:6" x14ac:dyDescent="0.2">
      <c r="A29" s="52" t="s">
        <v>732</v>
      </c>
      <c r="B29" s="52" t="s">
        <v>733</v>
      </c>
      <c r="C29" s="52" t="s">
        <v>729</v>
      </c>
      <c r="D29" s="14">
        <v>600</v>
      </c>
      <c r="E29" s="13">
        <v>6547.2780000000002</v>
      </c>
      <c r="F29" s="49">
        <f t="shared" si="0"/>
        <v>0.98843728315515489</v>
      </c>
    </row>
    <row r="30" spans="1:6" x14ac:dyDescent="0.2">
      <c r="A30" s="52" t="s">
        <v>840</v>
      </c>
      <c r="B30" s="52" t="s">
        <v>841</v>
      </c>
      <c r="C30" s="52" t="s">
        <v>764</v>
      </c>
      <c r="D30" s="14">
        <v>650</v>
      </c>
      <c r="E30" s="13">
        <v>6545.7209999999995</v>
      </c>
      <c r="F30" s="49">
        <f t="shared" si="0"/>
        <v>0.98820222411995384</v>
      </c>
    </row>
    <row r="31" spans="1:6" x14ac:dyDescent="0.2">
      <c r="A31" s="52" t="s">
        <v>1607</v>
      </c>
      <c r="B31" s="52" t="s">
        <v>1608</v>
      </c>
      <c r="C31" s="52" t="s">
        <v>810</v>
      </c>
      <c r="D31" s="14">
        <v>650</v>
      </c>
      <c r="E31" s="13">
        <v>6407.3945000000003</v>
      </c>
      <c r="F31" s="49">
        <f t="shared" si="0"/>
        <v>0.96731918389341076</v>
      </c>
    </row>
    <row r="32" spans="1:6" x14ac:dyDescent="0.2">
      <c r="A32" s="52" t="s">
        <v>1609</v>
      </c>
      <c r="B32" s="52" t="s">
        <v>1610</v>
      </c>
      <c r="C32" s="52" t="s">
        <v>810</v>
      </c>
      <c r="D32" s="14">
        <v>650</v>
      </c>
      <c r="E32" s="13">
        <v>6342.1670000000004</v>
      </c>
      <c r="F32" s="49">
        <f t="shared" si="0"/>
        <v>0.95747184078578595</v>
      </c>
    </row>
    <row r="33" spans="1:6" x14ac:dyDescent="0.2">
      <c r="A33" s="52" t="s">
        <v>743</v>
      </c>
      <c r="B33" s="52" t="s">
        <v>744</v>
      </c>
      <c r="C33" s="52" t="s">
        <v>700</v>
      </c>
      <c r="D33" s="14">
        <v>648</v>
      </c>
      <c r="E33" s="13">
        <v>6216.1019999999999</v>
      </c>
      <c r="F33" s="49">
        <f t="shared" si="0"/>
        <v>0.93843990933259958</v>
      </c>
    </row>
    <row r="34" spans="1:6" x14ac:dyDescent="0.2">
      <c r="A34" s="52" t="s">
        <v>707</v>
      </c>
      <c r="B34" s="52" t="s">
        <v>708</v>
      </c>
      <c r="C34" s="52" t="s">
        <v>709</v>
      </c>
      <c r="D34" s="14">
        <v>620</v>
      </c>
      <c r="E34" s="13">
        <v>6173.2284</v>
      </c>
      <c r="F34" s="49">
        <f t="shared" si="0"/>
        <v>0.9319673164927843</v>
      </c>
    </row>
    <row r="35" spans="1:6" x14ac:dyDescent="0.2">
      <c r="A35" s="52" t="s">
        <v>1611</v>
      </c>
      <c r="B35" s="52" t="s">
        <v>1184</v>
      </c>
      <c r="C35" s="52" t="s">
        <v>899</v>
      </c>
      <c r="D35" s="14">
        <v>650</v>
      </c>
      <c r="E35" s="13">
        <v>6051.4544999999998</v>
      </c>
      <c r="F35" s="49">
        <f t="shared" si="0"/>
        <v>0.91358320894836531</v>
      </c>
    </row>
    <row r="36" spans="1:6" x14ac:dyDescent="0.2">
      <c r="A36" s="52" t="s">
        <v>1612</v>
      </c>
      <c r="B36" s="52" t="s">
        <v>1184</v>
      </c>
      <c r="C36" s="52" t="s">
        <v>899</v>
      </c>
      <c r="D36" s="14">
        <v>650</v>
      </c>
      <c r="E36" s="13">
        <v>6051.4544999999998</v>
      </c>
      <c r="F36" s="49">
        <f t="shared" si="0"/>
        <v>0.91358320894836531</v>
      </c>
    </row>
    <row r="37" spans="1:6" x14ac:dyDescent="0.2">
      <c r="A37" s="52" t="s">
        <v>730</v>
      </c>
      <c r="B37" s="52" t="s">
        <v>731</v>
      </c>
      <c r="C37" s="52" t="s">
        <v>700</v>
      </c>
      <c r="D37" s="14">
        <v>606</v>
      </c>
      <c r="E37" s="13">
        <v>6023.0400600000003</v>
      </c>
      <c r="F37" s="49">
        <f t="shared" si="0"/>
        <v>0.90929350384099483</v>
      </c>
    </row>
    <row r="38" spans="1:6" x14ac:dyDescent="0.2">
      <c r="A38" s="52" t="s">
        <v>727</v>
      </c>
      <c r="B38" s="52" t="s">
        <v>728</v>
      </c>
      <c r="C38" s="52" t="s">
        <v>729</v>
      </c>
      <c r="D38" s="14">
        <v>600</v>
      </c>
      <c r="E38" s="13">
        <v>5995.26</v>
      </c>
      <c r="F38" s="49">
        <f t="shared" si="0"/>
        <v>0.90509957057097223</v>
      </c>
    </row>
    <row r="39" spans="1:6" x14ac:dyDescent="0.2">
      <c r="A39" s="52" t="s">
        <v>719</v>
      </c>
      <c r="B39" s="52" t="s">
        <v>720</v>
      </c>
      <c r="C39" s="52" t="s">
        <v>688</v>
      </c>
      <c r="D39" s="14">
        <v>570</v>
      </c>
      <c r="E39" s="13">
        <v>5921.5817999999999</v>
      </c>
      <c r="F39" s="49">
        <f t="shared" si="0"/>
        <v>0.89397643209483557</v>
      </c>
    </row>
    <row r="40" spans="1:6" x14ac:dyDescent="0.2">
      <c r="A40" s="52" t="s">
        <v>857</v>
      </c>
      <c r="B40" s="52" t="s">
        <v>858</v>
      </c>
      <c r="C40" s="52" t="s">
        <v>697</v>
      </c>
      <c r="D40" s="14">
        <v>550</v>
      </c>
      <c r="E40" s="13">
        <v>5483.8519999999999</v>
      </c>
      <c r="F40" s="49">
        <f t="shared" si="0"/>
        <v>0.82789271695885869</v>
      </c>
    </row>
    <row r="41" spans="1:6" x14ac:dyDescent="0.2">
      <c r="A41" s="52" t="s">
        <v>757</v>
      </c>
      <c r="B41" s="52" t="s">
        <v>758</v>
      </c>
      <c r="C41" s="52" t="s">
        <v>700</v>
      </c>
      <c r="D41" s="14">
        <v>550</v>
      </c>
      <c r="E41" s="13">
        <v>5432.7515000000003</v>
      </c>
      <c r="F41" s="49">
        <f t="shared" si="0"/>
        <v>0.82017811565616927</v>
      </c>
    </row>
    <row r="42" spans="1:6" x14ac:dyDescent="0.2">
      <c r="A42" s="52" t="s">
        <v>1179</v>
      </c>
      <c r="B42" s="52" t="s">
        <v>1180</v>
      </c>
      <c r="C42" s="52" t="s">
        <v>729</v>
      </c>
      <c r="D42" s="14">
        <v>5500</v>
      </c>
      <c r="E42" s="13">
        <v>5354.4645</v>
      </c>
      <c r="F42" s="49">
        <f t="shared" si="0"/>
        <v>0.80835919035830217</v>
      </c>
    </row>
    <row r="43" spans="1:6" x14ac:dyDescent="0.2">
      <c r="A43" s="52" t="s">
        <v>1132</v>
      </c>
      <c r="B43" s="52" t="s">
        <v>996</v>
      </c>
      <c r="C43" s="52" t="s">
        <v>709</v>
      </c>
      <c r="D43" s="14">
        <v>550</v>
      </c>
      <c r="E43" s="13">
        <v>5310.0079999999998</v>
      </c>
      <c r="F43" s="49">
        <f t="shared" si="0"/>
        <v>0.80164762838115888</v>
      </c>
    </row>
    <row r="44" spans="1:6" x14ac:dyDescent="0.2">
      <c r="A44" s="52" t="s">
        <v>1145</v>
      </c>
      <c r="B44" s="52" t="s">
        <v>1146</v>
      </c>
      <c r="C44" s="52" t="s">
        <v>691</v>
      </c>
      <c r="D44" s="14">
        <v>520</v>
      </c>
      <c r="E44" s="13">
        <v>5289.3152</v>
      </c>
      <c r="F44" s="49">
        <f t="shared" si="0"/>
        <v>0.79852365304165562</v>
      </c>
    </row>
    <row r="45" spans="1:6" x14ac:dyDescent="0.2">
      <c r="A45" s="52" t="s">
        <v>1120</v>
      </c>
      <c r="B45" s="52" t="s">
        <v>1121</v>
      </c>
      <c r="C45" s="52" t="s">
        <v>688</v>
      </c>
      <c r="D45" s="14">
        <v>500</v>
      </c>
      <c r="E45" s="13">
        <v>5222.87</v>
      </c>
      <c r="F45" s="49">
        <f t="shared" si="0"/>
        <v>0.78849247474638529</v>
      </c>
    </row>
    <row r="46" spans="1:6" x14ac:dyDescent="0.2">
      <c r="A46" s="52" t="s">
        <v>1586</v>
      </c>
      <c r="B46" s="52" t="s">
        <v>1587</v>
      </c>
      <c r="C46" s="52" t="s">
        <v>706</v>
      </c>
      <c r="D46" s="14">
        <v>550</v>
      </c>
      <c r="E46" s="13">
        <v>4996.7719999999999</v>
      </c>
      <c r="F46" s="49">
        <f t="shared" si="0"/>
        <v>0.75435864190061108</v>
      </c>
    </row>
    <row r="47" spans="1:6" x14ac:dyDescent="0.2">
      <c r="A47" s="52" t="s">
        <v>1580</v>
      </c>
      <c r="B47" s="52" t="s">
        <v>1581</v>
      </c>
      <c r="C47" s="52" t="s">
        <v>709</v>
      </c>
      <c r="D47" s="14">
        <v>500</v>
      </c>
      <c r="E47" s="13">
        <v>4936.9849999999997</v>
      </c>
      <c r="F47" s="49">
        <f t="shared" si="0"/>
        <v>0.7453326466934429</v>
      </c>
    </row>
    <row r="48" spans="1:6" x14ac:dyDescent="0.2">
      <c r="A48" s="52" t="s">
        <v>1613</v>
      </c>
      <c r="B48" s="52" t="s">
        <v>1614</v>
      </c>
      <c r="C48" s="52" t="s">
        <v>729</v>
      </c>
      <c r="D48" s="14">
        <v>5000</v>
      </c>
      <c r="E48" s="13">
        <v>4834.5450000000001</v>
      </c>
      <c r="F48" s="49">
        <f t="shared" si="0"/>
        <v>0.72986736245067618</v>
      </c>
    </row>
    <row r="49" spans="1:6" x14ac:dyDescent="0.2">
      <c r="A49" s="52" t="s">
        <v>1529</v>
      </c>
      <c r="B49" s="52" t="s">
        <v>1530</v>
      </c>
      <c r="C49" s="52" t="s">
        <v>899</v>
      </c>
      <c r="D49" s="14">
        <v>450</v>
      </c>
      <c r="E49" s="13">
        <v>4406.6385</v>
      </c>
      <c r="F49" s="49">
        <f t="shared" si="0"/>
        <v>0.66526666299902137</v>
      </c>
    </row>
    <row r="50" spans="1:6" x14ac:dyDescent="0.2">
      <c r="A50" s="52" t="s">
        <v>981</v>
      </c>
      <c r="B50" s="52" t="s">
        <v>982</v>
      </c>
      <c r="C50" s="52" t="s">
        <v>810</v>
      </c>
      <c r="D50" s="14">
        <v>400</v>
      </c>
      <c r="E50" s="13">
        <v>3961.444</v>
      </c>
      <c r="F50" s="49">
        <f t="shared" si="0"/>
        <v>0.59805600811990711</v>
      </c>
    </row>
    <row r="51" spans="1:6" x14ac:dyDescent="0.2">
      <c r="A51" s="52" t="s">
        <v>995</v>
      </c>
      <c r="B51" s="52" t="s">
        <v>996</v>
      </c>
      <c r="C51" s="52" t="s">
        <v>709</v>
      </c>
      <c r="D51" s="14">
        <v>380</v>
      </c>
      <c r="E51" s="13">
        <v>3665.6320000000001</v>
      </c>
      <c r="F51" s="49">
        <f t="shared" si="0"/>
        <v>0.55339750887721528</v>
      </c>
    </row>
    <row r="52" spans="1:6" x14ac:dyDescent="0.2">
      <c r="A52" s="52" t="s">
        <v>747</v>
      </c>
      <c r="B52" s="52" t="s">
        <v>748</v>
      </c>
      <c r="C52" s="52" t="s">
        <v>700</v>
      </c>
      <c r="D52" s="14">
        <v>351</v>
      </c>
      <c r="E52" s="13">
        <v>3502.2815099999998</v>
      </c>
      <c r="F52" s="49">
        <f t="shared" si="0"/>
        <v>0.52873661704741004</v>
      </c>
    </row>
    <row r="53" spans="1:6" x14ac:dyDescent="0.2">
      <c r="A53" s="52" t="s">
        <v>1173</v>
      </c>
      <c r="B53" s="52" t="s">
        <v>1174</v>
      </c>
      <c r="C53" s="52" t="s">
        <v>700</v>
      </c>
      <c r="D53" s="14">
        <v>350</v>
      </c>
      <c r="E53" s="13">
        <v>3477.6035000000002</v>
      </c>
      <c r="F53" s="49">
        <f t="shared" si="0"/>
        <v>0.52501099776592008</v>
      </c>
    </row>
    <row r="54" spans="1:6" x14ac:dyDescent="0.2">
      <c r="A54" s="52" t="s">
        <v>713</v>
      </c>
      <c r="B54" s="52" t="s">
        <v>714</v>
      </c>
      <c r="C54" s="52" t="s">
        <v>700</v>
      </c>
      <c r="D54" s="14">
        <v>352</v>
      </c>
      <c r="E54" s="13">
        <v>3360.2131199999999</v>
      </c>
      <c r="F54" s="49">
        <f t="shared" si="0"/>
        <v>0.50728866670318662</v>
      </c>
    </row>
    <row r="55" spans="1:6" x14ac:dyDescent="0.2">
      <c r="A55" s="52" t="s">
        <v>1592</v>
      </c>
      <c r="B55" s="52" t="s">
        <v>1593</v>
      </c>
      <c r="C55" s="52" t="s">
        <v>764</v>
      </c>
      <c r="D55" s="14">
        <v>300</v>
      </c>
      <c r="E55" s="13">
        <v>2966.0729999999999</v>
      </c>
      <c r="F55" s="49">
        <f t="shared" si="0"/>
        <v>0.44778565042753027</v>
      </c>
    </row>
    <row r="56" spans="1:6" x14ac:dyDescent="0.2">
      <c r="A56" s="52" t="s">
        <v>1141</v>
      </c>
      <c r="B56" s="52" t="s">
        <v>1142</v>
      </c>
      <c r="C56" s="52" t="s">
        <v>700</v>
      </c>
      <c r="D56" s="14">
        <v>306</v>
      </c>
      <c r="E56" s="13">
        <v>2948.2885799999999</v>
      </c>
      <c r="F56" s="49">
        <f t="shared" si="0"/>
        <v>0.4451007508727397</v>
      </c>
    </row>
    <row r="57" spans="1:6" x14ac:dyDescent="0.2">
      <c r="A57" s="52" t="s">
        <v>969</v>
      </c>
      <c r="B57" s="52" t="s">
        <v>970</v>
      </c>
      <c r="C57" s="52" t="s">
        <v>709</v>
      </c>
      <c r="D57" s="14">
        <v>270</v>
      </c>
      <c r="E57" s="13">
        <v>2688.0066000000002</v>
      </c>
      <c r="F57" s="49">
        <f t="shared" si="0"/>
        <v>0.40580619011551444</v>
      </c>
    </row>
    <row r="58" spans="1:6" x14ac:dyDescent="0.2">
      <c r="A58" s="52" t="s">
        <v>766</v>
      </c>
      <c r="B58" s="52" t="s">
        <v>767</v>
      </c>
      <c r="C58" s="52" t="s">
        <v>726</v>
      </c>
      <c r="D58" s="14">
        <v>253</v>
      </c>
      <c r="E58" s="13">
        <v>2618.1300200000001</v>
      </c>
      <c r="F58" s="49">
        <f t="shared" si="0"/>
        <v>0.39525697914702129</v>
      </c>
    </row>
    <row r="59" spans="1:6" x14ac:dyDescent="0.2">
      <c r="A59" s="52" t="s">
        <v>895</v>
      </c>
      <c r="B59" s="52" t="s">
        <v>896</v>
      </c>
      <c r="C59" s="52" t="s">
        <v>706</v>
      </c>
      <c r="D59" s="14">
        <v>252</v>
      </c>
      <c r="E59" s="13">
        <v>2471.2808399999999</v>
      </c>
      <c r="F59" s="49">
        <f t="shared" si="0"/>
        <v>0.37308727678937548</v>
      </c>
    </row>
    <row r="60" spans="1:6" x14ac:dyDescent="0.2">
      <c r="A60" s="52" t="s">
        <v>1157</v>
      </c>
      <c r="B60" s="52" t="s">
        <v>1158</v>
      </c>
      <c r="C60" s="52" t="s">
        <v>706</v>
      </c>
      <c r="D60" s="14">
        <v>250</v>
      </c>
      <c r="E60" s="13">
        <v>2455.2150000000001</v>
      </c>
      <c r="F60" s="49">
        <f t="shared" si="0"/>
        <v>0.37066182987216728</v>
      </c>
    </row>
    <row r="61" spans="1:6" x14ac:dyDescent="0.2">
      <c r="A61" s="52" t="s">
        <v>1163</v>
      </c>
      <c r="B61" s="52" t="s">
        <v>1162</v>
      </c>
      <c r="C61" s="52" t="s">
        <v>740</v>
      </c>
      <c r="D61" s="14">
        <v>250</v>
      </c>
      <c r="E61" s="13">
        <v>2444.9425000000001</v>
      </c>
      <c r="F61" s="49">
        <f t="shared" si="0"/>
        <v>0.36911099882585896</v>
      </c>
    </row>
    <row r="62" spans="1:6" x14ac:dyDescent="0.2">
      <c r="A62" s="52" t="s">
        <v>1183</v>
      </c>
      <c r="B62" s="52" t="s">
        <v>1184</v>
      </c>
      <c r="C62" s="52" t="s">
        <v>899</v>
      </c>
      <c r="D62" s="14">
        <v>260</v>
      </c>
      <c r="E62" s="13">
        <v>2420.5817999999999</v>
      </c>
      <c r="F62" s="49">
        <f t="shared" si="0"/>
        <v>0.36543328357934612</v>
      </c>
    </row>
    <row r="63" spans="1:6" x14ac:dyDescent="0.2">
      <c r="A63" s="52" t="s">
        <v>919</v>
      </c>
      <c r="B63" s="52" t="s">
        <v>920</v>
      </c>
      <c r="C63" s="52" t="s">
        <v>709</v>
      </c>
      <c r="D63" s="14">
        <v>219</v>
      </c>
      <c r="E63" s="13">
        <v>2267.46468</v>
      </c>
      <c r="F63" s="49">
        <f t="shared" si="0"/>
        <v>0.34231731537128446</v>
      </c>
    </row>
    <row r="64" spans="1:6" x14ac:dyDescent="0.2">
      <c r="A64" s="52" t="s">
        <v>844</v>
      </c>
      <c r="B64" s="52" t="s">
        <v>845</v>
      </c>
      <c r="C64" s="52" t="s">
        <v>764</v>
      </c>
      <c r="D64" s="14">
        <v>200</v>
      </c>
      <c r="E64" s="13">
        <v>2006.1559999999999</v>
      </c>
      <c r="F64" s="49">
        <f t="shared" si="0"/>
        <v>0.3028677545424851</v>
      </c>
    </row>
    <row r="65" spans="1:6" x14ac:dyDescent="0.2">
      <c r="A65" s="52" t="s">
        <v>1153</v>
      </c>
      <c r="B65" s="52" t="s">
        <v>1154</v>
      </c>
      <c r="C65" s="52" t="s">
        <v>729</v>
      </c>
      <c r="D65" s="14">
        <v>2000</v>
      </c>
      <c r="E65" s="13">
        <v>1940.38</v>
      </c>
      <c r="F65" s="49">
        <f t="shared" si="0"/>
        <v>0.29293760483190107</v>
      </c>
    </row>
    <row r="66" spans="1:6" x14ac:dyDescent="0.2">
      <c r="A66" s="52" t="s">
        <v>1139</v>
      </c>
      <c r="B66" s="52" t="s">
        <v>1140</v>
      </c>
      <c r="C66" s="52" t="s">
        <v>729</v>
      </c>
      <c r="D66" s="14">
        <v>190</v>
      </c>
      <c r="E66" s="13">
        <v>1898.6567</v>
      </c>
      <c r="F66" s="49">
        <f t="shared" si="0"/>
        <v>0.28663867185604947</v>
      </c>
    </row>
    <row r="67" spans="1:6" x14ac:dyDescent="0.2">
      <c r="A67" s="52" t="s">
        <v>991</v>
      </c>
      <c r="B67" s="52" t="s">
        <v>992</v>
      </c>
      <c r="C67" s="52" t="s">
        <v>697</v>
      </c>
      <c r="D67" s="14">
        <v>179</v>
      </c>
      <c r="E67" s="13">
        <v>1825.55477</v>
      </c>
      <c r="F67" s="49">
        <f t="shared" si="0"/>
        <v>0.27560253239739224</v>
      </c>
    </row>
    <row r="68" spans="1:6" x14ac:dyDescent="0.2">
      <c r="A68" s="52" t="s">
        <v>1133</v>
      </c>
      <c r="B68" s="52" t="s">
        <v>1134</v>
      </c>
      <c r="C68" s="52" t="s">
        <v>700</v>
      </c>
      <c r="D68" s="14">
        <v>176</v>
      </c>
      <c r="E68" s="13">
        <v>1740.39184</v>
      </c>
      <c r="F68" s="49">
        <f t="shared" si="0"/>
        <v>0.26274555348879353</v>
      </c>
    </row>
    <row r="69" spans="1:6" x14ac:dyDescent="0.2">
      <c r="A69" s="52" t="s">
        <v>1135</v>
      </c>
      <c r="B69" s="52" t="s">
        <v>1136</v>
      </c>
      <c r="C69" s="52" t="s">
        <v>700</v>
      </c>
      <c r="D69" s="14">
        <v>176</v>
      </c>
      <c r="E69" s="13">
        <v>1709.4528</v>
      </c>
      <c r="F69" s="49">
        <f t="shared" si="0"/>
        <v>0.25807471155401868</v>
      </c>
    </row>
    <row r="70" spans="1:6" x14ac:dyDescent="0.2">
      <c r="A70" s="52" t="s">
        <v>751</v>
      </c>
      <c r="B70" s="52" t="s">
        <v>752</v>
      </c>
      <c r="C70" s="52" t="s">
        <v>706</v>
      </c>
      <c r="D70" s="14">
        <v>150</v>
      </c>
      <c r="E70" s="13">
        <v>1484.5409999999999</v>
      </c>
      <c r="F70" s="49">
        <f t="shared" si="0"/>
        <v>0.22411995836627627</v>
      </c>
    </row>
    <row r="71" spans="1:6" x14ac:dyDescent="0.2">
      <c r="A71" s="52" t="s">
        <v>1187</v>
      </c>
      <c r="B71" s="52" t="s">
        <v>1188</v>
      </c>
      <c r="C71" s="52" t="s">
        <v>783</v>
      </c>
      <c r="D71" s="14">
        <v>110</v>
      </c>
      <c r="E71" s="13">
        <v>1123.7589</v>
      </c>
      <c r="F71" s="49">
        <f t="shared" si="0"/>
        <v>0.16965297548651903</v>
      </c>
    </row>
    <row r="72" spans="1:6" x14ac:dyDescent="0.2">
      <c r="A72" s="52" t="s">
        <v>741</v>
      </c>
      <c r="B72" s="52" t="s">
        <v>742</v>
      </c>
      <c r="C72" s="52" t="s">
        <v>688</v>
      </c>
      <c r="D72" s="14">
        <v>100</v>
      </c>
      <c r="E72" s="13">
        <v>1043.32</v>
      </c>
      <c r="F72" s="49">
        <f t="shared" ref="F72:F81" si="1">E72/$E$122*100</f>
        <v>0.15750917957988589</v>
      </c>
    </row>
    <row r="73" spans="1:6" x14ac:dyDescent="0.2">
      <c r="A73" s="52" t="s">
        <v>886</v>
      </c>
      <c r="B73" s="52" t="s">
        <v>887</v>
      </c>
      <c r="C73" s="52" t="s">
        <v>706</v>
      </c>
      <c r="D73" s="14">
        <v>100</v>
      </c>
      <c r="E73" s="13">
        <v>1037.0050000000001</v>
      </c>
      <c r="F73" s="49">
        <f t="shared" si="1"/>
        <v>0.156555809119196</v>
      </c>
    </row>
    <row r="74" spans="1:6" x14ac:dyDescent="0.2">
      <c r="A74" s="52" t="s">
        <v>1128</v>
      </c>
      <c r="B74" s="52" t="s">
        <v>1129</v>
      </c>
      <c r="C74" s="52" t="s">
        <v>729</v>
      </c>
      <c r="D74" s="14">
        <v>100</v>
      </c>
      <c r="E74" s="13">
        <v>999.31600000000003</v>
      </c>
      <c r="F74" s="49">
        <f t="shared" si="1"/>
        <v>0.15086593116306909</v>
      </c>
    </row>
    <row r="75" spans="1:6" x14ac:dyDescent="0.2">
      <c r="A75" s="52" t="s">
        <v>1171</v>
      </c>
      <c r="B75" s="52" t="s">
        <v>1172</v>
      </c>
      <c r="C75" s="52" t="s">
        <v>709</v>
      </c>
      <c r="D75" s="14">
        <v>90</v>
      </c>
      <c r="E75" s="13">
        <v>899.66340000000002</v>
      </c>
      <c r="F75" s="49">
        <f t="shared" si="1"/>
        <v>0.13582145845191382</v>
      </c>
    </row>
    <row r="76" spans="1:6" x14ac:dyDescent="0.2">
      <c r="A76" s="52" t="s">
        <v>683</v>
      </c>
      <c r="B76" s="52" t="s">
        <v>684</v>
      </c>
      <c r="C76" s="52" t="s">
        <v>685</v>
      </c>
      <c r="D76" s="14">
        <v>95</v>
      </c>
      <c r="E76" s="13">
        <v>783.68634999999995</v>
      </c>
      <c r="F76" s="49">
        <f t="shared" si="1"/>
        <v>0.11831249668026617</v>
      </c>
    </row>
    <row r="77" spans="1:6" x14ac:dyDescent="0.2">
      <c r="A77" s="52" t="s">
        <v>1615</v>
      </c>
      <c r="B77" s="52" t="s">
        <v>1616</v>
      </c>
      <c r="C77" s="52" t="s">
        <v>712</v>
      </c>
      <c r="D77" s="14">
        <v>74</v>
      </c>
      <c r="E77" s="13">
        <v>740.42402000000004</v>
      </c>
      <c r="F77" s="49">
        <f t="shared" si="1"/>
        <v>0.11178121758563146</v>
      </c>
    </row>
    <row r="78" spans="1:6" x14ac:dyDescent="0.2">
      <c r="A78" s="52" t="s">
        <v>1193</v>
      </c>
      <c r="B78" s="52" t="s">
        <v>1194</v>
      </c>
      <c r="C78" s="52" t="s">
        <v>706</v>
      </c>
      <c r="D78" s="14">
        <v>50</v>
      </c>
      <c r="E78" s="13">
        <v>506.01</v>
      </c>
      <c r="F78" s="49">
        <f t="shared" si="1"/>
        <v>7.6391921902405832E-2</v>
      </c>
    </row>
    <row r="79" spans="1:6" x14ac:dyDescent="0.2">
      <c r="A79" s="52" t="s">
        <v>768</v>
      </c>
      <c r="B79" s="52" t="s">
        <v>769</v>
      </c>
      <c r="C79" s="52" t="s">
        <v>685</v>
      </c>
      <c r="D79" s="14">
        <v>40</v>
      </c>
      <c r="E79" s="13">
        <v>413.87799999999999</v>
      </c>
      <c r="F79" s="49">
        <f t="shared" si="1"/>
        <v>6.2482828112337546E-2</v>
      </c>
    </row>
    <row r="80" spans="1:6" x14ac:dyDescent="0.2">
      <c r="A80" s="52" t="s">
        <v>695</v>
      </c>
      <c r="B80" s="52" t="s">
        <v>696</v>
      </c>
      <c r="C80" s="52" t="s">
        <v>697</v>
      </c>
      <c r="D80" s="14">
        <v>400</v>
      </c>
      <c r="E80" s="13">
        <v>386.03</v>
      </c>
      <c r="F80" s="49">
        <f t="shared" si="1"/>
        <v>5.827863799526832E-2</v>
      </c>
    </row>
    <row r="81" spans="1:6" x14ac:dyDescent="0.2">
      <c r="A81" s="52" t="s">
        <v>1617</v>
      </c>
      <c r="B81" s="52" t="s">
        <v>1618</v>
      </c>
      <c r="C81" s="52" t="s">
        <v>688</v>
      </c>
      <c r="D81" s="14">
        <v>3</v>
      </c>
      <c r="E81" s="13">
        <v>307.09739999999999</v>
      </c>
      <c r="F81" s="49">
        <f t="shared" si="1"/>
        <v>4.6362246985695715E-2</v>
      </c>
    </row>
    <row r="82" spans="1:6" x14ac:dyDescent="0.2">
      <c r="A82" s="52" t="s">
        <v>1619</v>
      </c>
      <c r="B82" s="52" t="s">
        <v>1620</v>
      </c>
      <c r="C82" s="52" t="s">
        <v>688</v>
      </c>
      <c r="D82" s="14">
        <v>1</v>
      </c>
      <c r="E82" s="13">
        <v>10.19145</v>
      </c>
      <c r="F82" s="69" t="s">
        <v>607</v>
      </c>
    </row>
    <row r="83" spans="1:6" x14ac:dyDescent="0.2">
      <c r="A83" s="41" t="s">
        <v>43</v>
      </c>
      <c r="B83" s="52"/>
      <c r="C83" s="52"/>
      <c r="D83" s="13"/>
      <c r="E83" s="50">
        <f>SUM(E8:E82)</f>
        <v>477858.46624000021</v>
      </c>
      <c r="F83" s="6">
        <f>SUM(F8:F82)</f>
        <v>72.140368943216643</v>
      </c>
    </row>
    <row r="84" spans="1:6" x14ac:dyDescent="0.2">
      <c r="A84" s="52"/>
      <c r="B84" s="52"/>
      <c r="C84" s="52"/>
      <c r="D84" s="13"/>
      <c r="E84" s="13"/>
      <c r="F84" s="49"/>
    </row>
    <row r="85" spans="1:6" x14ac:dyDescent="0.2">
      <c r="A85" s="41" t="s">
        <v>772</v>
      </c>
      <c r="B85" s="52"/>
      <c r="C85" s="52"/>
      <c r="D85" s="13"/>
      <c r="E85" s="13"/>
      <c r="F85" s="49"/>
    </row>
    <row r="86" spans="1:6" x14ac:dyDescent="0.2">
      <c r="A86" s="52" t="s">
        <v>779</v>
      </c>
      <c r="B86" s="52" t="s">
        <v>780</v>
      </c>
      <c r="C86" s="52" t="s">
        <v>775</v>
      </c>
      <c r="D86" s="14">
        <v>300</v>
      </c>
      <c r="E86" s="13">
        <v>34204.559999999998</v>
      </c>
      <c r="F86" s="49">
        <f t="shared" ref="F86:F115" si="2">E86/$E$122*100</f>
        <v>5.1638348574655728</v>
      </c>
    </row>
    <row r="87" spans="1:6" x14ac:dyDescent="0.2">
      <c r="A87" s="52" t="s">
        <v>823</v>
      </c>
      <c r="B87" s="52" t="s">
        <v>824</v>
      </c>
      <c r="C87" s="52" t="s">
        <v>802</v>
      </c>
      <c r="D87" s="14">
        <v>230</v>
      </c>
      <c r="E87" s="13">
        <v>23236.946</v>
      </c>
      <c r="F87" s="49">
        <f t="shared" si="2"/>
        <v>3.5080630107753237</v>
      </c>
    </row>
    <row r="88" spans="1:6" x14ac:dyDescent="0.2">
      <c r="A88" s="52" t="s">
        <v>1242</v>
      </c>
      <c r="B88" s="52" t="s">
        <v>1243</v>
      </c>
      <c r="C88" s="52" t="s">
        <v>832</v>
      </c>
      <c r="D88" s="14">
        <v>30</v>
      </c>
      <c r="E88" s="13">
        <v>15083.235000000001</v>
      </c>
      <c r="F88" s="49">
        <f t="shared" si="2"/>
        <v>2.277103832247652</v>
      </c>
    </row>
    <row r="89" spans="1:6" x14ac:dyDescent="0.2">
      <c r="A89" s="52" t="s">
        <v>1621</v>
      </c>
      <c r="B89" s="52" t="s">
        <v>785</v>
      </c>
      <c r="C89" s="52" t="s">
        <v>691</v>
      </c>
      <c r="D89" s="14">
        <v>1250</v>
      </c>
      <c r="E89" s="13">
        <v>12471.012500000001</v>
      </c>
      <c r="F89" s="49">
        <f t="shared" si="2"/>
        <v>1.8827387066341121</v>
      </c>
    </row>
    <row r="90" spans="1:6" x14ac:dyDescent="0.2">
      <c r="A90" s="52" t="s">
        <v>1600</v>
      </c>
      <c r="B90" s="52" t="s">
        <v>1601</v>
      </c>
      <c r="C90" s="52" t="s">
        <v>788</v>
      </c>
      <c r="D90" s="14">
        <v>1000</v>
      </c>
      <c r="E90" s="13">
        <v>7715.54</v>
      </c>
      <c r="F90" s="49">
        <f t="shared" si="2"/>
        <v>1.1648088557832619</v>
      </c>
    </row>
    <row r="91" spans="1:6" x14ac:dyDescent="0.2">
      <c r="A91" s="52" t="s">
        <v>1622</v>
      </c>
      <c r="B91" s="52" t="s">
        <v>1623</v>
      </c>
      <c r="C91" s="52" t="s">
        <v>791</v>
      </c>
      <c r="D91" s="14">
        <v>750</v>
      </c>
      <c r="E91" s="13">
        <v>7443.2924999999996</v>
      </c>
      <c r="F91" s="49">
        <f t="shared" si="2"/>
        <v>1.1237078701147469</v>
      </c>
    </row>
    <row r="92" spans="1:6" x14ac:dyDescent="0.2">
      <c r="A92" s="52" t="s">
        <v>1246</v>
      </c>
      <c r="B92" s="52" t="s">
        <v>1247</v>
      </c>
      <c r="C92" s="52" t="s">
        <v>1248</v>
      </c>
      <c r="D92" s="14">
        <v>580</v>
      </c>
      <c r="E92" s="13">
        <v>5660.7129999999997</v>
      </c>
      <c r="F92" s="49">
        <f t="shared" si="2"/>
        <v>0.85459327959513331</v>
      </c>
    </row>
    <row r="93" spans="1:6" x14ac:dyDescent="0.2">
      <c r="A93" s="52" t="s">
        <v>784</v>
      </c>
      <c r="B93" s="52" t="s">
        <v>785</v>
      </c>
      <c r="C93" s="52" t="s">
        <v>691</v>
      </c>
      <c r="D93" s="14">
        <v>550</v>
      </c>
      <c r="E93" s="13">
        <v>5477.12</v>
      </c>
      <c r="F93" s="49">
        <f t="shared" si="2"/>
        <v>0.82687639234423249</v>
      </c>
    </row>
    <row r="94" spans="1:6" x14ac:dyDescent="0.2">
      <c r="A94" s="52" t="s">
        <v>821</v>
      </c>
      <c r="B94" s="52" t="s">
        <v>822</v>
      </c>
      <c r="C94" s="52" t="s">
        <v>788</v>
      </c>
      <c r="D94" s="14">
        <v>580</v>
      </c>
      <c r="E94" s="13">
        <v>5382.2028</v>
      </c>
      <c r="F94" s="49">
        <f t="shared" si="2"/>
        <v>0.81254681915477966</v>
      </c>
    </row>
    <row r="95" spans="1:6" x14ac:dyDescent="0.2">
      <c r="A95" s="52" t="s">
        <v>1244</v>
      </c>
      <c r="B95" s="52" t="s">
        <v>1245</v>
      </c>
      <c r="C95" s="52" t="s">
        <v>813</v>
      </c>
      <c r="D95" s="14">
        <v>1093</v>
      </c>
      <c r="E95" s="13">
        <v>4372</v>
      </c>
      <c r="F95" s="49">
        <f t="shared" si="2"/>
        <v>0.66003731656947162</v>
      </c>
    </row>
    <row r="96" spans="1:6" x14ac:dyDescent="0.2">
      <c r="A96" s="52" t="s">
        <v>1253</v>
      </c>
      <c r="B96" s="52" t="s">
        <v>1254</v>
      </c>
      <c r="C96" s="52" t="s">
        <v>1229</v>
      </c>
      <c r="D96" s="14">
        <v>31</v>
      </c>
      <c r="E96" s="13">
        <v>4335.2632000000003</v>
      </c>
      <c r="F96" s="49">
        <f t="shared" si="2"/>
        <v>0.65449119147995893</v>
      </c>
    </row>
    <row r="97" spans="1:6" x14ac:dyDescent="0.2">
      <c r="A97" s="52" t="s">
        <v>1624</v>
      </c>
      <c r="B97" s="52" t="s">
        <v>1625</v>
      </c>
      <c r="C97" s="52" t="s">
        <v>791</v>
      </c>
      <c r="D97" s="14">
        <v>644</v>
      </c>
      <c r="E97" s="13">
        <v>4314.1559999999999</v>
      </c>
      <c r="F97" s="49">
        <f t="shared" si="2"/>
        <v>0.65130465450642394</v>
      </c>
    </row>
    <row r="98" spans="1:6" x14ac:dyDescent="0.2">
      <c r="A98" s="52" t="s">
        <v>1602</v>
      </c>
      <c r="B98" s="52" t="s">
        <v>1603</v>
      </c>
      <c r="C98" s="52" t="s">
        <v>788</v>
      </c>
      <c r="D98" s="14">
        <v>422</v>
      </c>
      <c r="E98" s="13">
        <v>4246.4509600000001</v>
      </c>
      <c r="F98" s="49">
        <f t="shared" si="2"/>
        <v>0.64108327918166896</v>
      </c>
    </row>
    <row r="99" spans="1:6" x14ac:dyDescent="0.2">
      <c r="A99" s="52" t="s">
        <v>1227</v>
      </c>
      <c r="B99" s="52" t="s">
        <v>1228</v>
      </c>
      <c r="C99" s="52" t="s">
        <v>1229</v>
      </c>
      <c r="D99" s="14">
        <v>28</v>
      </c>
      <c r="E99" s="13">
        <v>3956.05</v>
      </c>
      <c r="F99" s="49">
        <f t="shared" si="2"/>
        <v>0.59724168028697577</v>
      </c>
    </row>
    <row r="100" spans="1:6" x14ac:dyDescent="0.2">
      <c r="A100" s="52" t="s">
        <v>811</v>
      </c>
      <c r="B100" s="52" t="s">
        <v>812</v>
      </c>
      <c r="C100" s="52" t="s">
        <v>813</v>
      </c>
      <c r="D100" s="14">
        <v>955</v>
      </c>
      <c r="E100" s="13">
        <v>3820</v>
      </c>
      <c r="F100" s="49">
        <f t="shared" si="2"/>
        <v>0.57670232143078259</v>
      </c>
    </row>
    <row r="101" spans="1:6" x14ac:dyDescent="0.2">
      <c r="A101" s="52" t="s">
        <v>1276</v>
      </c>
      <c r="B101" s="52" t="s">
        <v>1277</v>
      </c>
      <c r="C101" s="52" t="s">
        <v>791</v>
      </c>
      <c r="D101" s="14">
        <v>320</v>
      </c>
      <c r="E101" s="13">
        <v>3202.9920000000002</v>
      </c>
      <c r="F101" s="49">
        <f t="shared" si="2"/>
        <v>0.48355312092257208</v>
      </c>
    </row>
    <row r="102" spans="1:6" x14ac:dyDescent="0.2">
      <c r="A102" s="52" t="s">
        <v>1261</v>
      </c>
      <c r="B102" s="52" t="s">
        <v>1262</v>
      </c>
      <c r="C102" s="52" t="s">
        <v>813</v>
      </c>
      <c r="D102" s="14">
        <v>716</v>
      </c>
      <c r="E102" s="13">
        <v>2864</v>
      </c>
      <c r="F102" s="49">
        <f t="shared" si="2"/>
        <v>0.43237577187899512</v>
      </c>
    </row>
    <row r="103" spans="1:6" x14ac:dyDescent="0.2">
      <c r="A103" s="52" t="s">
        <v>1604</v>
      </c>
      <c r="B103" s="52" t="s">
        <v>1605</v>
      </c>
      <c r="C103" s="52" t="s">
        <v>791</v>
      </c>
      <c r="D103" s="14">
        <v>370</v>
      </c>
      <c r="E103" s="13">
        <v>2782.4814000000001</v>
      </c>
      <c r="F103" s="49">
        <f t="shared" si="2"/>
        <v>0.42006897453350106</v>
      </c>
    </row>
    <row r="104" spans="1:6" x14ac:dyDescent="0.2">
      <c r="A104" s="52" t="s">
        <v>819</v>
      </c>
      <c r="B104" s="52" t="s">
        <v>820</v>
      </c>
      <c r="C104" s="52" t="s">
        <v>788</v>
      </c>
      <c r="D104" s="14">
        <v>200</v>
      </c>
      <c r="E104" s="13">
        <v>2054.1759999999999</v>
      </c>
      <c r="F104" s="49">
        <f t="shared" si="2"/>
        <v>0.31011729524277465</v>
      </c>
    </row>
    <row r="105" spans="1:6" x14ac:dyDescent="0.2">
      <c r="A105" s="52" t="s">
        <v>830</v>
      </c>
      <c r="B105" s="52" t="s">
        <v>831</v>
      </c>
      <c r="C105" s="52" t="s">
        <v>832</v>
      </c>
      <c r="D105" s="14">
        <v>200</v>
      </c>
      <c r="E105" s="13">
        <v>2018.992</v>
      </c>
      <c r="F105" s="49">
        <f t="shared" si="2"/>
        <v>0.30480559511784783</v>
      </c>
    </row>
    <row r="106" spans="1:6" x14ac:dyDescent="0.2">
      <c r="A106" s="52" t="s">
        <v>795</v>
      </c>
      <c r="B106" s="52" t="s">
        <v>796</v>
      </c>
      <c r="C106" s="52" t="s">
        <v>797</v>
      </c>
      <c r="D106" s="14">
        <v>220</v>
      </c>
      <c r="E106" s="13">
        <v>1951.3230000000001</v>
      </c>
      <c r="F106" s="49">
        <f t="shared" si="2"/>
        <v>0.29458966072284792</v>
      </c>
    </row>
    <row r="107" spans="1:6" x14ac:dyDescent="0.2">
      <c r="A107" s="52" t="s">
        <v>828</v>
      </c>
      <c r="B107" s="52" t="s">
        <v>829</v>
      </c>
      <c r="C107" s="52" t="s">
        <v>783</v>
      </c>
      <c r="D107" s="14">
        <v>200</v>
      </c>
      <c r="E107" s="13">
        <v>1899.6559999999999</v>
      </c>
      <c r="F107" s="49">
        <f t="shared" si="2"/>
        <v>0.28678953537170543</v>
      </c>
    </row>
    <row r="108" spans="1:6" x14ac:dyDescent="0.2">
      <c r="A108" s="52" t="s">
        <v>792</v>
      </c>
      <c r="B108" s="52" t="s">
        <v>793</v>
      </c>
      <c r="C108" s="52" t="s">
        <v>794</v>
      </c>
      <c r="D108" s="14">
        <v>15</v>
      </c>
      <c r="E108" s="13">
        <v>1839.6255000000001</v>
      </c>
      <c r="F108" s="49">
        <f t="shared" si="2"/>
        <v>0.27772677916577598</v>
      </c>
    </row>
    <row r="109" spans="1:6" x14ac:dyDescent="0.2">
      <c r="A109" s="52" t="s">
        <v>1263</v>
      </c>
      <c r="B109" s="52" t="s">
        <v>1264</v>
      </c>
      <c r="C109" s="52" t="s">
        <v>775</v>
      </c>
      <c r="D109" s="14">
        <v>150</v>
      </c>
      <c r="E109" s="13">
        <v>1500.7245</v>
      </c>
      <c r="F109" s="49">
        <f t="shared" si="2"/>
        <v>0.22656316831886139</v>
      </c>
    </row>
    <row r="110" spans="1:6" x14ac:dyDescent="0.2">
      <c r="A110" s="52" t="s">
        <v>1626</v>
      </c>
      <c r="B110" s="52" t="s">
        <v>1627</v>
      </c>
      <c r="C110" s="52" t="s">
        <v>791</v>
      </c>
      <c r="D110" s="14">
        <v>750</v>
      </c>
      <c r="E110" s="13">
        <v>1251.1777162999999</v>
      </c>
      <c r="F110" s="49">
        <f t="shared" si="2"/>
        <v>0.18888929149546468</v>
      </c>
    </row>
    <row r="111" spans="1:6" x14ac:dyDescent="0.2">
      <c r="A111" s="52" t="s">
        <v>814</v>
      </c>
      <c r="B111" s="52" t="s">
        <v>815</v>
      </c>
      <c r="C111" s="52" t="s">
        <v>788</v>
      </c>
      <c r="D111" s="14">
        <v>130</v>
      </c>
      <c r="E111" s="13">
        <v>1204.9960000000001</v>
      </c>
      <c r="F111" s="49">
        <f t="shared" si="2"/>
        <v>0.18191727500387628</v>
      </c>
    </row>
    <row r="112" spans="1:6" x14ac:dyDescent="0.2">
      <c r="A112" s="52" t="s">
        <v>1598</v>
      </c>
      <c r="B112" s="52" t="s">
        <v>1599</v>
      </c>
      <c r="C112" s="52" t="s">
        <v>802</v>
      </c>
      <c r="D112" s="14">
        <v>110</v>
      </c>
      <c r="E112" s="13">
        <v>1057.1242</v>
      </c>
      <c r="F112" s="49">
        <f t="shared" si="2"/>
        <v>0.15959318852896831</v>
      </c>
    </row>
    <row r="113" spans="1:6" x14ac:dyDescent="0.2">
      <c r="A113" s="52" t="s">
        <v>1240</v>
      </c>
      <c r="B113" s="52" t="s">
        <v>1241</v>
      </c>
      <c r="C113" s="52" t="s">
        <v>783</v>
      </c>
      <c r="D113" s="14">
        <v>90</v>
      </c>
      <c r="E113" s="13">
        <v>907.48710000000005</v>
      </c>
      <c r="F113" s="49">
        <f t="shared" si="2"/>
        <v>0.13700259613573007</v>
      </c>
    </row>
    <row r="114" spans="1:6" x14ac:dyDescent="0.2">
      <c r="A114" s="52" t="s">
        <v>1543</v>
      </c>
      <c r="B114" s="52" t="s">
        <v>1544</v>
      </c>
      <c r="C114" s="52" t="s">
        <v>788</v>
      </c>
      <c r="D114" s="14">
        <v>323</v>
      </c>
      <c r="E114" s="13">
        <v>536.51112439999997</v>
      </c>
      <c r="F114" s="49">
        <f t="shared" si="2"/>
        <v>8.099665207196842E-2</v>
      </c>
    </row>
    <row r="115" spans="1:6" x14ac:dyDescent="0.2">
      <c r="A115" s="52" t="s">
        <v>800</v>
      </c>
      <c r="B115" s="52" t="s">
        <v>801</v>
      </c>
      <c r="C115" s="52" t="s">
        <v>802</v>
      </c>
      <c r="D115" s="14">
        <v>50</v>
      </c>
      <c r="E115" s="13">
        <v>481.76900000000001</v>
      </c>
      <c r="F115" s="49">
        <f t="shared" si="2"/>
        <v>7.273227766842584E-2</v>
      </c>
    </row>
    <row r="116" spans="1:6" x14ac:dyDescent="0.2">
      <c r="A116" s="41" t="s">
        <v>43</v>
      </c>
      <c r="B116" s="52"/>
      <c r="C116" s="52"/>
      <c r="D116" s="52"/>
      <c r="E116" s="50">
        <f>SUM(E86:E115)</f>
        <v>167271.57750069999</v>
      </c>
      <c r="F116" s="6">
        <f>SUM(F86:F115)</f>
        <v>25.25285524974942</v>
      </c>
    </row>
    <row r="117" spans="1:6" x14ac:dyDescent="0.2">
      <c r="A117" s="52"/>
      <c r="B117" s="52"/>
      <c r="C117" s="52"/>
      <c r="D117" s="52"/>
      <c r="E117" s="13"/>
      <c r="F117" s="49"/>
    </row>
    <row r="118" spans="1:6" x14ac:dyDescent="0.2">
      <c r="A118" s="41" t="s">
        <v>43</v>
      </c>
      <c r="B118" s="52"/>
      <c r="C118" s="52"/>
      <c r="D118" s="52"/>
      <c r="E118" s="50">
        <f>E83+E116</f>
        <v>645130.04374070023</v>
      </c>
      <c r="F118" s="6">
        <f>F83+F116</f>
        <v>97.393224192966059</v>
      </c>
    </row>
    <row r="119" spans="1:6" x14ac:dyDescent="0.2">
      <c r="A119" s="52"/>
      <c r="B119" s="52"/>
      <c r="C119" s="52"/>
      <c r="D119" s="52"/>
      <c r="E119" s="13"/>
      <c r="F119" s="49"/>
    </row>
    <row r="120" spans="1:6" x14ac:dyDescent="0.2">
      <c r="A120" s="41" t="s">
        <v>100</v>
      </c>
      <c r="B120" s="52"/>
      <c r="C120" s="52"/>
      <c r="D120" s="52"/>
      <c r="E120" s="50">
        <v>17256.747164299999</v>
      </c>
      <c r="F120" s="6">
        <v>2.61</v>
      </c>
    </row>
    <row r="121" spans="1:6" x14ac:dyDescent="0.2">
      <c r="A121" s="52"/>
      <c r="B121" s="52"/>
      <c r="C121" s="52"/>
      <c r="D121" s="52"/>
      <c r="E121" s="13"/>
      <c r="F121" s="49"/>
    </row>
    <row r="122" spans="1:6" x14ac:dyDescent="0.2">
      <c r="A122" s="57" t="s">
        <v>101</v>
      </c>
      <c r="B122" s="34"/>
      <c r="C122" s="34"/>
      <c r="D122" s="34"/>
      <c r="E122" s="51">
        <f>E118+E120</f>
        <v>662386.79090500018</v>
      </c>
      <c r="F122" s="8">
        <f>F118+F120</f>
        <v>100.00322419296606</v>
      </c>
    </row>
    <row r="123" spans="1:6" x14ac:dyDescent="0.2">
      <c r="A123" s="4" t="s">
        <v>1964</v>
      </c>
      <c r="F123" s="9" t="s">
        <v>1091</v>
      </c>
    </row>
    <row r="124" spans="1:6" x14ac:dyDescent="0.2">
      <c r="A124" s="60" t="s">
        <v>1963</v>
      </c>
    </row>
    <row r="125" spans="1:6" x14ac:dyDescent="0.2">
      <c r="A125" s="60"/>
    </row>
    <row r="126" spans="1:6" x14ac:dyDescent="0.2">
      <c r="A126" s="4" t="s">
        <v>102</v>
      </c>
    </row>
    <row r="127" spans="1:6" x14ac:dyDescent="0.2">
      <c r="A127" s="4" t="s">
        <v>833</v>
      </c>
    </row>
    <row r="128" spans="1:6" x14ac:dyDescent="0.2">
      <c r="A128" s="4" t="s">
        <v>104</v>
      </c>
    </row>
    <row r="129" spans="1:4" x14ac:dyDescent="0.2">
      <c r="A129" s="2" t="s">
        <v>598</v>
      </c>
      <c r="D129" s="10">
        <v>19.464600000000001</v>
      </c>
    </row>
    <row r="130" spans="1:4" x14ac:dyDescent="0.2">
      <c r="A130" s="2" t="s">
        <v>599</v>
      </c>
      <c r="D130" s="10">
        <v>11.0884</v>
      </c>
    </row>
    <row r="131" spans="1:4" x14ac:dyDescent="0.2">
      <c r="A131" s="2" t="s">
        <v>600</v>
      </c>
      <c r="D131" s="10">
        <v>20.4892</v>
      </c>
    </row>
    <row r="132" spans="1:4" x14ac:dyDescent="0.2">
      <c r="A132" s="2" t="s">
        <v>601</v>
      </c>
      <c r="D132" s="10">
        <v>11.876099999999999</v>
      </c>
    </row>
    <row r="134" spans="1:4" x14ac:dyDescent="0.2">
      <c r="A134" s="4" t="s">
        <v>105</v>
      </c>
    </row>
    <row r="135" spans="1:4" x14ac:dyDescent="0.2">
      <c r="A135" s="2" t="s">
        <v>598</v>
      </c>
      <c r="D135" s="10">
        <v>19.814</v>
      </c>
    </row>
    <row r="136" spans="1:4" x14ac:dyDescent="0.2">
      <c r="A136" s="2" t="s">
        <v>599</v>
      </c>
      <c r="D136" s="10">
        <v>10.8444</v>
      </c>
    </row>
    <row r="137" spans="1:4" x14ac:dyDescent="0.2">
      <c r="A137" s="2" t="s">
        <v>600</v>
      </c>
      <c r="D137" s="10">
        <v>20.93</v>
      </c>
    </row>
    <row r="138" spans="1:4" x14ac:dyDescent="0.2">
      <c r="A138" s="2" t="s">
        <v>601</v>
      </c>
      <c r="D138" s="10">
        <v>11.688499999999999</v>
      </c>
    </row>
    <row r="140" spans="1:4" x14ac:dyDescent="0.2">
      <c r="A140" s="4" t="s">
        <v>106</v>
      </c>
      <c r="D140" s="17" t="s">
        <v>319</v>
      </c>
    </row>
    <row r="141" spans="1:4" x14ac:dyDescent="0.2">
      <c r="A141" s="70" t="s">
        <v>602</v>
      </c>
      <c r="B141" s="71"/>
      <c r="C141" s="103" t="s">
        <v>603</v>
      </c>
      <c r="D141" s="103"/>
    </row>
    <row r="142" spans="1:4" x14ac:dyDescent="0.2">
      <c r="A142" s="104"/>
      <c r="B142" s="104"/>
      <c r="C142" s="20" t="s">
        <v>604</v>
      </c>
      <c r="D142" s="20" t="s">
        <v>605</v>
      </c>
    </row>
    <row r="143" spans="1:4" x14ac:dyDescent="0.2">
      <c r="A143" s="21" t="s">
        <v>599</v>
      </c>
      <c r="B143" s="22"/>
      <c r="C143" s="72">
        <v>0.31694198800000001</v>
      </c>
      <c r="D143" s="72">
        <v>0.29348986040000002</v>
      </c>
    </row>
    <row r="144" spans="1:4" x14ac:dyDescent="0.2">
      <c r="A144" s="21" t="s">
        <v>601</v>
      </c>
      <c r="B144" s="22"/>
      <c r="C144" s="72">
        <v>0.31694198800000001</v>
      </c>
      <c r="D144" s="72">
        <v>0.29348986040000002</v>
      </c>
    </row>
    <row r="146" spans="1:5" x14ac:dyDescent="0.2">
      <c r="A146" s="4" t="s">
        <v>834</v>
      </c>
      <c r="D146" s="59">
        <v>3.2641844858127183</v>
      </c>
      <c r="E146" s="59" t="s">
        <v>1106</v>
      </c>
    </row>
    <row r="148" spans="1:5" x14ac:dyDescent="0.2">
      <c r="A148" s="4" t="s">
        <v>836</v>
      </c>
      <c r="D148" s="66">
        <v>3</v>
      </c>
    </row>
    <row r="149" spans="1:5" x14ac:dyDescent="0.2">
      <c r="A149" s="4" t="s">
        <v>837</v>
      </c>
    </row>
    <row r="150" spans="1:5" ht="15" x14ac:dyDescent="0.25">
      <c r="A150" s="68" t="s">
        <v>838</v>
      </c>
    </row>
  </sheetData>
  <mergeCells count="3">
    <mergeCell ref="A1:F1"/>
    <mergeCell ref="C141:D141"/>
    <mergeCell ref="A142:B142"/>
  </mergeCells>
  <hyperlinks>
    <hyperlink ref="A149" r:id="rId1" display="https://www.franklintempletonindia.com/investor/reports" xr:uid="{60C66101-D4DA-43BF-BC13-5087385EB1C2}"/>
    <hyperlink ref="A150" r:id="rId2" xr:uid="{831E4F14-3906-46ED-A726-CF5A2F01AC5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03DE-90A1-4C90-8136-8035EEB45AEF}">
  <dimension ref="A1:F128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5.85546875" style="2" bestFit="1" customWidth="1"/>
    <col min="3" max="3" width="12.5703125" style="2" bestFit="1" customWidth="1"/>
    <col min="4" max="4" width="10" style="2" bestFit="1" customWidth="1"/>
    <col min="5" max="5" width="23" style="59" bestFit="1" customWidth="1"/>
    <col min="6" max="6" width="15.5703125" style="1" bestFit="1" customWidth="1"/>
    <col min="7" max="16384" width="9.140625" style="2"/>
  </cols>
  <sheetData>
    <row r="1" spans="1:6" x14ac:dyDescent="0.2">
      <c r="A1" s="102" t="s">
        <v>1628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1629</v>
      </c>
      <c r="B8" s="52" t="s">
        <v>1630</v>
      </c>
      <c r="C8" s="52" t="s">
        <v>688</v>
      </c>
      <c r="D8" s="14">
        <v>680</v>
      </c>
      <c r="E8" s="13">
        <v>7152.2943999999998</v>
      </c>
      <c r="F8" s="49">
        <f>E8/$E$84*100</f>
        <v>6.4153976078561978</v>
      </c>
    </row>
    <row r="9" spans="1:6" x14ac:dyDescent="0.2">
      <c r="A9" s="52" t="s">
        <v>710</v>
      </c>
      <c r="B9" s="52" t="s">
        <v>711</v>
      </c>
      <c r="C9" s="52" t="s">
        <v>712</v>
      </c>
      <c r="D9" s="14">
        <v>660</v>
      </c>
      <c r="E9" s="13">
        <v>6869.7618000000002</v>
      </c>
      <c r="F9" s="49">
        <f t="shared" ref="F9:F67" si="0">E9/$E$84*100</f>
        <v>6.1619741796788858</v>
      </c>
    </row>
    <row r="10" spans="1:6" x14ac:dyDescent="0.2">
      <c r="A10" s="52" t="s">
        <v>749</v>
      </c>
      <c r="B10" s="52" t="s">
        <v>750</v>
      </c>
      <c r="C10" s="52" t="s">
        <v>688</v>
      </c>
      <c r="D10" s="14">
        <v>670</v>
      </c>
      <c r="E10" s="13">
        <v>6764.2932000000001</v>
      </c>
      <c r="F10" s="49">
        <f t="shared" si="0"/>
        <v>6.0673719490794378</v>
      </c>
    </row>
    <row r="11" spans="1:6" x14ac:dyDescent="0.2">
      <c r="A11" s="52" t="s">
        <v>1631</v>
      </c>
      <c r="B11" s="52" t="s">
        <v>1632</v>
      </c>
      <c r="C11" s="52" t="s">
        <v>688</v>
      </c>
      <c r="D11" s="14">
        <v>500</v>
      </c>
      <c r="E11" s="13">
        <v>5117.08</v>
      </c>
      <c r="F11" s="49">
        <f t="shared" si="0"/>
        <v>4.5898701808483713</v>
      </c>
    </row>
    <row r="12" spans="1:6" x14ac:dyDescent="0.2">
      <c r="A12" s="52" t="s">
        <v>870</v>
      </c>
      <c r="B12" s="52" t="s">
        <v>871</v>
      </c>
      <c r="C12" s="52" t="s">
        <v>688</v>
      </c>
      <c r="D12" s="14">
        <v>467</v>
      </c>
      <c r="E12" s="13">
        <v>4832.1190500000002</v>
      </c>
      <c r="F12" s="49">
        <f t="shared" si="0"/>
        <v>4.3342685941795631</v>
      </c>
    </row>
    <row r="13" spans="1:6" x14ac:dyDescent="0.2">
      <c r="A13" s="52" t="s">
        <v>715</v>
      </c>
      <c r="B13" s="52" t="s">
        <v>716</v>
      </c>
      <c r="C13" s="52" t="s">
        <v>694</v>
      </c>
      <c r="D13" s="14">
        <v>500</v>
      </c>
      <c r="E13" s="13">
        <v>4740.7550000000001</v>
      </c>
      <c r="F13" s="49">
        <f t="shared" si="0"/>
        <v>4.2523177298787243</v>
      </c>
    </row>
    <row r="14" spans="1:6" x14ac:dyDescent="0.2">
      <c r="A14" s="52" t="s">
        <v>1633</v>
      </c>
      <c r="B14" s="52" t="s">
        <v>1634</v>
      </c>
      <c r="C14" s="52" t="s">
        <v>1635</v>
      </c>
      <c r="D14" s="14">
        <v>447</v>
      </c>
      <c r="E14" s="13">
        <v>4511.4905399999998</v>
      </c>
      <c r="F14" s="49">
        <f t="shared" si="0"/>
        <v>4.0466742557719471</v>
      </c>
    </row>
    <row r="15" spans="1:6" x14ac:dyDescent="0.2">
      <c r="A15" s="52" t="s">
        <v>1636</v>
      </c>
      <c r="B15" s="52" t="s">
        <v>1637</v>
      </c>
      <c r="C15" s="52" t="s">
        <v>694</v>
      </c>
      <c r="D15" s="14">
        <v>450</v>
      </c>
      <c r="E15" s="13">
        <v>4506.8580000000002</v>
      </c>
      <c r="F15" s="49">
        <f t="shared" si="0"/>
        <v>4.0425190037126502</v>
      </c>
    </row>
    <row r="16" spans="1:6" x14ac:dyDescent="0.2">
      <c r="A16" s="52" t="s">
        <v>993</v>
      </c>
      <c r="B16" s="52" t="s">
        <v>994</v>
      </c>
      <c r="C16" s="52" t="s">
        <v>726</v>
      </c>
      <c r="D16" s="14">
        <v>430</v>
      </c>
      <c r="E16" s="13">
        <v>4349.9875000000002</v>
      </c>
      <c r="F16" s="49">
        <f t="shared" si="0"/>
        <v>3.9018107814052461</v>
      </c>
    </row>
    <row r="17" spans="1:6" x14ac:dyDescent="0.2">
      <c r="A17" s="52" t="s">
        <v>745</v>
      </c>
      <c r="B17" s="52" t="s">
        <v>746</v>
      </c>
      <c r="C17" s="52" t="s">
        <v>688</v>
      </c>
      <c r="D17" s="14">
        <v>400</v>
      </c>
      <c r="E17" s="13">
        <v>4072.6320000000001</v>
      </c>
      <c r="F17" s="49">
        <f t="shared" si="0"/>
        <v>3.6530310595825872</v>
      </c>
    </row>
    <row r="18" spans="1:6" x14ac:dyDescent="0.2">
      <c r="A18" s="52" t="s">
        <v>683</v>
      </c>
      <c r="B18" s="52" t="s">
        <v>684</v>
      </c>
      <c r="C18" s="52" t="s">
        <v>685</v>
      </c>
      <c r="D18" s="14">
        <v>405</v>
      </c>
      <c r="E18" s="13">
        <v>3340.97865</v>
      </c>
      <c r="F18" s="49">
        <f t="shared" si="0"/>
        <v>2.9967595348296387</v>
      </c>
    </row>
    <row r="19" spans="1:6" x14ac:dyDescent="0.2">
      <c r="A19" s="52" t="s">
        <v>770</v>
      </c>
      <c r="B19" s="52" t="s">
        <v>771</v>
      </c>
      <c r="C19" s="52" t="s">
        <v>726</v>
      </c>
      <c r="D19" s="14">
        <v>315</v>
      </c>
      <c r="E19" s="13">
        <v>3194.6260499999999</v>
      </c>
      <c r="F19" s="49">
        <f t="shared" si="0"/>
        <v>2.865485559314378</v>
      </c>
    </row>
    <row r="20" spans="1:6" x14ac:dyDescent="0.2">
      <c r="A20" s="52" t="s">
        <v>1638</v>
      </c>
      <c r="B20" s="52" t="s">
        <v>1639</v>
      </c>
      <c r="C20" s="52" t="s">
        <v>688</v>
      </c>
      <c r="D20" s="14">
        <v>310</v>
      </c>
      <c r="E20" s="13">
        <v>3157.8274000000001</v>
      </c>
      <c r="F20" s="49">
        <f t="shared" si="0"/>
        <v>2.8324782531298989</v>
      </c>
    </row>
    <row r="21" spans="1:6" x14ac:dyDescent="0.2">
      <c r="A21" s="52" t="s">
        <v>1640</v>
      </c>
      <c r="B21" s="52" t="s">
        <v>1641</v>
      </c>
      <c r="C21" s="52" t="s">
        <v>688</v>
      </c>
      <c r="D21" s="14">
        <v>300</v>
      </c>
      <c r="E21" s="13">
        <v>3139.596</v>
      </c>
      <c r="F21" s="49">
        <f t="shared" si="0"/>
        <v>2.8161252238211683</v>
      </c>
    </row>
    <row r="22" spans="1:6" x14ac:dyDescent="0.2">
      <c r="A22" s="52" t="s">
        <v>689</v>
      </c>
      <c r="B22" s="52" t="s">
        <v>690</v>
      </c>
      <c r="C22" s="52" t="s">
        <v>691</v>
      </c>
      <c r="D22" s="14">
        <v>310</v>
      </c>
      <c r="E22" s="13">
        <v>3106.2867999999999</v>
      </c>
      <c r="F22" s="49">
        <f t="shared" si="0"/>
        <v>2.7862478516034357</v>
      </c>
    </row>
    <row r="23" spans="1:6" x14ac:dyDescent="0.2">
      <c r="A23" s="52" t="s">
        <v>1642</v>
      </c>
      <c r="B23" s="52" t="s">
        <v>1643</v>
      </c>
      <c r="C23" s="52" t="s">
        <v>694</v>
      </c>
      <c r="D23" s="14">
        <v>300</v>
      </c>
      <c r="E23" s="13">
        <v>2939.8710000000001</v>
      </c>
      <c r="F23" s="49">
        <f t="shared" si="0"/>
        <v>2.6369777760834072</v>
      </c>
    </row>
    <row r="24" spans="1:6" x14ac:dyDescent="0.2">
      <c r="A24" s="52" t="s">
        <v>1644</v>
      </c>
      <c r="B24" s="52" t="s">
        <v>1645</v>
      </c>
      <c r="C24" s="52" t="s">
        <v>1208</v>
      </c>
      <c r="D24" s="14">
        <v>264</v>
      </c>
      <c r="E24" s="13">
        <v>2676.7883999999999</v>
      </c>
      <c r="F24" s="49">
        <f t="shared" si="0"/>
        <v>2.4010004255553601</v>
      </c>
    </row>
    <row r="25" spans="1:6" x14ac:dyDescent="0.2">
      <c r="A25" s="52" t="s">
        <v>1201</v>
      </c>
      <c r="B25" s="52" t="s">
        <v>1202</v>
      </c>
      <c r="C25" s="52" t="s">
        <v>685</v>
      </c>
      <c r="D25" s="14">
        <v>209</v>
      </c>
      <c r="E25" s="13">
        <v>2082.7100799999998</v>
      </c>
      <c r="F25" s="49">
        <f t="shared" si="0"/>
        <v>1.8681296543232324</v>
      </c>
    </row>
    <row r="26" spans="1:6" x14ac:dyDescent="0.2">
      <c r="A26" s="52" t="s">
        <v>1646</v>
      </c>
      <c r="B26" s="52" t="s">
        <v>1647</v>
      </c>
      <c r="C26" s="52" t="s">
        <v>688</v>
      </c>
      <c r="D26" s="14">
        <v>190</v>
      </c>
      <c r="E26" s="13">
        <v>2015.6225999999999</v>
      </c>
      <c r="F26" s="49">
        <f t="shared" si="0"/>
        <v>1.807954158931278</v>
      </c>
    </row>
    <row r="27" spans="1:6" x14ac:dyDescent="0.2">
      <c r="A27" s="52" t="s">
        <v>1199</v>
      </c>
      <c r="B27" s="52" t="s">
        <v>1200</v>
      </c>
      <c r="C27" s="52" t="s">
        <v>688</v>
      </c>
      <c r="D27" s="14">
        <v>187</v>
      </c>
      <c r="E27" s="13">
        <v>1888.05672</v>
      </c>
      <c r="F27" s="49">
        <f t="shared" si="0"/>
        <v>1.6935313184234726</v>
      </c>
    </row>
    <row r="28" spans="1:6" x14ac:dyDescent="0.2">
      <c r="A28" s="52" t="s">
        <v>1648</v>
      </c>
      <c r="B28" s="52" t="s">
        <v>1649</v>
      </c>
      <c r="C28" s="52" t="s">
        <v>688</v>
      </c>
      <c r="D28" s="14">
        <v>166</v>
      </c>
      <c r="E28" s="13">
        <v>1878.36968</v>
      </c>
      <c r="F28" s="49">
        <f t="shared" si="0"/>
        <v>1.6848423286017999</v>
      </c>
    </row>
    <row r="29" spans="1:6" x14ac:dyDescent="0.2">
      <c r="A29" s="52" t="s">
        <v>1650</v>
      </c>
      <c r="B29" s="52" t="s">
        <v>1651</v>
      </c>
      <c r="C29" s="52" t="s">
        <v>712</v>
      </c>
      <c r="D29" s="14">
        <v>173</v>
      </c>
      <c r="E29" s="13">
        <v>1792.87339</v>
      </c>
      <c r="F29" s="49">
        <f t="shared" si="0"/>
        <v>1.6081546723517186</v>
      </c>
    </row>
    <row r="30" spans="1:6" x14ac:dyDescent="0.2">
      <c r="A30" s="52" t="s">
        <v>1120</v>
      </c>
      <c r="B30" s="52" t="s">
        <v>1121</v>
      </c>
      <c r="C30" s="52" t="s">
        <v>688</v>
      </c>
      <c r="D30" s="14">
        <v>160</v>
      </c>
      <c r="E30" s="13">
        <v>1671.3184000000001</v>
      </c>
      <c r="F30" s="49">
        <f t="shared" si="0"/>
        <v>1.4991234232928177</v>
      </c>
    </row>
    <row r="31" spans="1:6" x14ac:dyDescent="0.2">
      <c r="A31" s="52" t="s">
        <v>1652</v>
      </c>
      <c r="B31" s="52" t="s">
        <v>1653</v>
      </c>
      <c r="C31" s="52" t="s">
        <v>688</v>
      </c>
      <c r="D31" s="14">
        <v>130</v>
      </c>
      <c r="E31" s="13">
        <v>1426.4549</v>
      </c>
      <c r="F31" s="49">
        <f t="shared" si="0"/>
        <v>1.2794880693354502</v>
      </c>
    </row>
    <row r="32" spans="1:6" x14ac:dyDescent="0.2">
      <c r="A32" s="52" t="s">
        <v>1654</v>
      </c>
      <c r="B32" s="52" t="s">
        <v>1655</v>
      </c>
      <c r="C32" s="52" t="s">
        <v>712</v>
      </c>
      <c r="D32" s="14">
        <v>120</v>
      </c>
      <c r="E32" s="13">
        <v>1225.8384000000001</v>
      </c>
      <c r="F32" s="49">
        <f t="shared" si="0"/>
        <v>1.0995409723316576</v>
      </c>
    </row>
    <row r="33" spans="1:6" x14ac:dyDescent="0.2">
      <c r="A33" s="52" t="s">
        <v>1218</v>
      </c>
      <c r="B33" s="52" t="s">
        <v>1219</v>
      </c>
      <c r="C33" s="52" t="s">
        <v>688</v>
      </c>
      <c r="D33" s="14">
        <v>118</v>
      </c>
      <c r="E33" s="13">
        <v>1213.9769200000001</v>
      </c>
      <c r="F33" s="49">
        <f t="shared" si="0"/>
        <v>1.0889015738167371</v>
      </c>
    </row>
    <row r="34" spans="1:6" x14ac:dyDescent="0.2">
      <c r="A34" s="52" t="s">
        <v>1656</v>
      </c>
      <c r="B34" s="52" t="s">
        <v>1657</v>
      </c>
      <c r="C34" s="52" t="s">
        <v>712</v>
      </c>
      <c r="D34" s="14">
        <v>100</v>
      </c>
      <c r="E34" s="13">
        <v>1061.4680000000001</v>
      </c>
      <c r="F34" s="49">
        <f t="shared" si="0"/>
        <v>0.95210556042210781</v>
      </c>
    </row>
    <row r="35" spans="1:6" x14ac:dyDescent="0.2">
      <c r="A35" s="52" t="s">
        <v>1658</v>
      </c>
      <c r="B35" s="52" t="s">
        <v>1659</v>
      </c>
      <c r="C35" s="52" t="s">
        <v>688</v>
      </c>
      <c r="D35" s="14">
        <v>100</v>
      </c>
      <c r="E35" s="13">
        <v>1011.056</v>
      </c>
      <c r="F35" s="49">
        <f t="shared" si="0"/>
        <v>0.90688747988458862</v>
      </c>
    </row>
    <row r="36" spans="1:6" x14ac:dyDescent="0.2">
      <c r="A36" s="52" t="s">
        <v>1660</v>
      </c>
      <c r="B36" s="52" t="s">
        <v>1661</v>
      </c>
      <c r="C36" s="52" t="s">
        <v>691</v>
      </c>
      <c r="D36" s="14">
        <v>100</v>
      </c>
      <c r="E36" s="13">
        <v>1002.162</v>
      </c>
      <c r="F36" s="49">
        <f t="shared" si="0"/>
        <v>0.89890982360630778</v>
      </c>
    </row>
    <row r="37" spans="1:6" x14ac:dyDescent="0.2">
      <c r="A37" s="52" t="s">
        <v>1197</v>
      </c>
      <c r="B37" s="52" t="s">
        <v>1198</v>
      </c>
      <c r="C37" s="52" t="s">
        <v>688</v>
      </c>
      <c r="D37" s="14">
        <v>80</v>
      </c>
      <c r="E37" s="13">
        <v>836.79920000000004</v>
      </c>
      <c r="F37" s="49">
        <f t="shared" si="0"/>
        <v>0.75058425809988749</v>
      </c>
    </row>
    <row r="38" spans="1:6" x14ac:dyDescent="0.2">
      <c r="A38" s="52" t="s">
        <v>1662</v>
      </c>
      <c r="B38" s="52" t="s">
        <v>1663</v>
      </c>
      <c r="C38" s="52" t="s">
        <v>688</v>
      </c>
      <c r="D38" s="14">
        <v>76</v>
      </c>
      <c r="E38" s="13">
        <v>790.84460000000001</v>
      </c>
      <c r="F38" s="49">
        <f t="shared" si="0"/>
        <v>0.7093643341954704</v>
      </c>
    </row>
    <row r="39" spans="1:6" x14ac:dyDescent="0.2">
      <c r="A39" s="52" t="s">
        <v>1664</v>
      </c>
      <c r="B39" s="52" t="s">
        <v>1665</v>
      </c>
      <c r="C39" s="52" t="s">
        <v>1208</v>
      </c>
      <c r="D39" s="14">
        <v>70</v>
      </c>
      <c r="E39" s="13">
        <v>744.89589999999998</v>
      </c>
      <c r="F39" s="49">
        <f t="shared" si="0"/>
        <v>0.66814970241743543</v>
      </c>
    </row>
    <row r="40" spans="1:6" x14ac:dyDescent="0.2">
      <c r="A40" s="52" t="s">
        <v>1666</v>
      </c>
      <c r="B40" s="52" t="s">
        <v>1667</v>
      </c>
      <c r="C40" s="52" t="s">
        <v>1208</v>
      </c>
      <c r="D40" s="14">
        <v>59</v>
      </c>
      <c r="E40" s="13">
        <v>606.76013</v>
      </c>
      <c r="F40" s="49">
        <f t="shared" si="0"/>
        <v>0.54424598161738358</v>
      </c>
    </row>
    <row r="41" spans="1:6" x14ac:dyDescent="0.2">
      <c r="A41" s="52" t="s">
        <v>1668</v>
      </c>
      <c r="B41" s="52" t="s">
        <v>1669</v>
      </c>
      <c r="C41" s="52" t="s">
        <v>783</v>
      </c>
      <c r="D41" s="14">
        <v>60</v>
      </c>
      <c r="E41" s="13">
        <v>598.90920000000006</v>
      </c>
      <c r="F41" s="49">
        <f t="shared" si="0"/>
        <v>0.53720392843491871</v>
      </c>
    </row>
    <row r="42" spans="1:6" x14ac:dyDescent="0.2">
      <c r="A42" s="52" t="s">
        <v>1670</v>
      </c>
      <c r="B42" s="52" t="s">
        <v>1671</v>
      </c>
      <c r="C42" s="52" t="s">
        <v>1208</v>
      </c>
      <c r="D42" s="14">
        <v>50</v>
      </c>
      <c r="E42" s="13">
        <v>508.99299999999999</v>
      </c>
      <c r="F42" s="49">
        <f t="shared" si="0"/>
        <v>0.45655174297852585</v>
      </c>
    </row>
    <row r="43" spans="1:6" x14ac:dyDescent="0.2">
      <c r="A43" s="52" t="s">
        <v>1672</v>
      </c>
      <c r="B43" s="52" t="s">
        <v>1673</v>
      </c>
      <c r="C43" s="52" t="s">
        <v>712</v>
      </c>
      <c r="D43" s="14">
        <v>44</v>
      </c>
      <c r="E43" s="13">
        <v>492.51708000000002</v>
      </c>
      <c r="F43" s="49">
        <f t="shared" si="0"/>
        <v>0.44177332757168386</v>
      </c>
    </row>
    <row r="44" spans="1:6" x14ac:dyDescent="0.2">
      <c r="A44" s="52" t="s">
        <v>719</v>
      </c>
      <c r="B44" s="52" t="s">
        <v>720</v>
      </c>
      <c r="C44" s="52" t="s">
        <v>688</v>
      </c>
      <c r="D44" s="14">
        <v>45</v>
      </c>
      <c r="E44" s="13">
        <v>467.49329999999998</v>
      </c>
      <c r="F44" s="49">
        <f t="shared" si="0"/>
        <v>0.41932773328077766</v>
      </c>
    </row>
    <row r="45" spans="1:6" x14ac:dyDescent="0.2">
      <c r="A45" s="52" t="s">
        <v>1674</v>
      </c>
      <c r="B45" s="52" t="s">
        <v>1675</v>
      </c>
      <c r="C45" s="52" t="s">
        <v>688</v>
      </c>
      <c r="D45" s="14">
        <v>42</v>
      </c>
      <c r="E45" s="13">
        <v>421.96812</v>
      </c>
      <c r="F45" s="49">
        <f t="shared" si="0"/>
        <v>0.37849298647991575</v>
      </c>
    </row>
    <row r="46" spans="1:6" x14ac:dyDescent="0.2">
      <c r="A46" s="52" t="s">
        <v>1676</v>
      </c>
      <c r="B46" s="52" t="s">
        <v>1677</v>
      </c>
      <c r="C46" s="52" t="s">
        <v>688</v>
      </c>
      <c r="D46" s="14">
        <v>31</v>
      </c>
      <c r="E46" s="13">
        <v>340.26871</v>
      </c>
      <c r="F46" s="49">
        <f t="shared" si="0"/>
        <v>0.30521101985990878</v>
      </c>
    </row>
    <row r="47" spans="1:6" x14ac:dyDescent="0.2">
      <c r="A47" s="52" t="s">
        <v>1678</v>
      </c>
      <c r="B47" s="52" t="s">
        <v>1679</v>
      </c>
      <c r="C47" s="52" t="s">
        <v>688</v>
      </c>
      <c r="D47" s="14">
        <v>33</v>
      </c>
      <c r="E47" s="13">
        <v>334.26722999999998</v>
      </c>
      <c r="F47" s="49">
        <f t="shared" si="0"/>
        <v>0.29982786890409846</v>
      </c>
    </row>
    <row r="48" spans="1:6" x14ac:dyDescent="0.2">
      <c r="A48" s="52" t="s">
        <v>1143</v>
      </c>
      <c r="B48" s="52" t="s">
        <v>1144</v>
      </c>
      <c r="C48" s="52" t="s">
        <v>688</v>
      </c>
      <c r="D48" s="14">
        <v>20</v>
      </c>
      <c r="E48" s="13">
        <v>207.1754</v>
      </c>
      <c r="F48" s="49">
        <f t="shared" si="0"/>
        <v>0.18583023729653117</v>
      </c>
    </row>
    <row r="49" spans="1:6" x14ac:dyDescent="0.2">
      <c r="A49" s="52" t="s">
        <v>1680</v>
      </c>
      <c r="B49" s="52" t="s">
        <v>1681</v>
      </c>
      <c r="C49" s="52" t="s">
        <v>712</v>
      </c>
      <c r="D49" s="14">
        <v>19</v>
      </c>
      <c r="E49" s="13">
        <v>196.81701000000001</v>
      </c>
      <c r="F49" s="49">
        <f t="shared" si="0"/>
        <v>0.17653906628052246</v>
      </c>
    </row>
    <row r="50" spans="1:6" x14ac:dyDescent="0.2">
      <c r="A50" s="52" t="s">
        <v>1619</v>
      </c>
      <c r="B50" s="52" t="s">
        <v>1620</v>
      </c>
      <c r="C50" s="52" t="s">
        <v>688</v>
      </c>
      <c r="D50" s="14">
        <v>18</v>
      </c>
      <c r="E50" s="13">
        <v>183.4461</v>
      </c>
      <c r="F50" s="49">
        <f t="shared" si="0"/>
        <v>0.16454575347325592</v>
      </c>
    </row>
    <row r="51" spans="1:6" x14ac:dyDescent="0.2">
      <c r="A51" s="52" t="s">
        <v>1682</v>
      </c>
      <c r="B51" s="52" t="s">
        <v>1683</v>
      </c>
      <c r="C51" s="52" t="s">
        <v>688</v>
      </c>
      <c r="D51" s="14">
        <v>15</v>
      </c>
      <c r="E51" s="13">
        <v>171.18434999999999</v>
      </c>
      <c r="F51" s="49">
        <f t="shared" si="0"/>
        <v>0.15354732454698986</v>
      </c>
    </row>
    <row r="52" spans="1:6" x14ac:dyDescent="0.2">
      <c r="A52" s="52" t="s">
        <v>1684</v>
      </c>
      <c r="B52" s="52" t="s">
        <v>1685</v>
      </c>
      <c r="C52" s="52" t="s">
        <v>1029</v>
      </c>
      <c r="D52" s="14">
        <v>15</v>
      </c>
      <c r="E52" s="13">
        <v>150.53729999999999</v>
      </c>
      <c r="F52" s="49">
        <f t="shared" si="0"/>
        <v>0.13502752827304351</v>
      </c>
    </row>
    <row r="53" spans="1:6" x14ac:dyDescent="0.2">
      <c r="A53" s="52" t="s">
        <v>1686</v>
      </c>
      <c r="B53" s="52" t="s">
        <v>1687</v>
      </c>
      <c r="C53" s="52" t="s">
        <v>688</v>
      </c>
      <c r="D53" s="14">
        <v>11</v>
      </c>
      <c r="E53" s="13">
        <v>113.78125</v>
      </c>
      <c r="F53" s="49">
        <f t="shared" si="0"/>
        <v>0.10205843303498358</v>
      </c>
    </row>
    <row r="54" spans="1:6" x14ac:dyDescent="0.2">
      <c r="A54" s="52" t="s">
        <v>1688</v>
      </c>
      <c r="B54" s="52" t="s">
        <v>1689</v>
      </c>
      <c r="C54" s="52" t="s">
        <v>953</v>
      </c>
      <c r="D54" s="14">
        <v>10</v>
      </c>
      <c r="E54" s="13">
        <v>107.4943</v>
      </c>
      <c r="F54" s="49">
        <f t="shared" si="0"/>
        <v>9.6419223889634142E-2</v>
      </c>
    </row>
    <row r="55" spans="1:6" x14ac:dyDescent="0.2">
      <c r="A55" s="52" t="s">
        <v>1690</v>
      </c>
      <c r="B55" s="52" t="s">
        <v>1691</v>
      </c>
      <c r="C55" s="52" t="s">
        <v>688</v>
      </c>
      <c r="D55" s="14">
        <v>10</v>
      </c>
      <c r="E55" s="13">
        <v>101.3772</v>
      </c>
      <c r="F55" s="49">
        <f t="shared" si="0"/>
        <v>9.0932365196147322E-2</v>
      </c>
    </row>
    <row r="56" spans="1:6" x14ac:dyDescent="0.2">
      <c r="A56" s="52" t="s">
        <v>1692</v>
      </c>
      <c r="B56" s="52" t="s">
        <v>1693</v>
      </c>
      <c r="C56" s="52" t="s">
        <v>688</v>
      </c>
      <c r="D56" s="14">
        <v>10</v>
      </c>
      <c r="E56" s="13">
        <v>101.2153</v>
      </c>
      <c r="F56" s="49">
        <f t="shared" si="0"/>
        <v>9.0787145660341864E-2</v>
      </c>
    </row>
    <row r="57" spans="1:6" x14ac:dyDescent="0.2">
      <c r="A57" s="52" t="s">
        <v>1694</v>
      </c>
      <c r="B57" s="52" t="s">
        <v>1695</v>
      </c>
      <c r="C57" s="52" t="s">
        <v>712</v>
      </c>
      <c r="D57" s="14">
        <v>70</v>
      </c>
      <c r="E57" s="13">
        <v>72.326520000000002</v>
      </c>
      <c r="F57" s="49">
        <f t="shared" si="0"/>
        <v>6.4874760103913437E-2</v>
      </c>
    </row>
    <row r="58" spans="1:6" x14ac:dyDescent="0.2">
      <c r="A58" s="52" t="s">
        <v>1696</v>
      </c>
      <c r="B58" s="52" t="s">
        <v>1697</v>
      </c>
      <c r="C58" s="52" t="s">
        <v>688</v>
      </c>
      <c r="D58" s="14">
        <v>5</v>
      </c>
      <c r="E58" s="13">
        <v>51.338850000000001</v>
      </c>
      <c r="F58" s="49">
        <f t="shared" si="0"/>
        <v>4.604943771331451E-2</v>
      </c>
    </row>
    <row r="59" spans="1:6" x14ac:dyDescent="0.2">
      <c r="A59" s="52" t="s">
        <v>1698</v>
      </c>
      <c r="B59" s="52" t="s">
        <v>1699</v>
      </c>
      <c r="C59" s="52" t="s">
        <v>688</v>
      </c>
      <c r="D59" s="14">
        <v>5</v>
      </c>
      <c r="E59" s="13">
        <v>50.243549999999999</v>
      </c>
      <c r="F59" s="49">
        <f t="shared" si="0"/>
        <v>4.5066985844458986E-2</v>
      </c>
    </row>
    <row r="60" spans="1:6" x14ac:dyDescent="0.2">
      <c r="A60" s="52" t="s">
        <v>1700</v>
      </c>
      <c r="B60" s="52" t="s">
        <v>1701</v>
      </c>
      <c r="C60" s="52" t="s">
        <v>723</v>
      </c>
      <c r="D60" s="14">
        <v>5</v>
      </c>
      <c r="E60" s="13">
        <v>50.175800000000002</v>
      </c>
      <c r="F60" s="49">
        <f t="shared" si="0"/>
        <v>4.5006216088122858E-2</v>
      </c>
    </row>
    <row r="61" spans="1:6" x14ac:dyDescent="0.2">
      <c r="A61" s="52" t="s">
        <v>1702</v>
      </c>
      <c r="B61" s="52" t="s">
        <v>1703</v>
      </c>
      <c r="C61" s="52" t="s">
        <v>688</v>
      </c>
      <c r="D61" s="14">
        <v>4</v>
      </c>
      <c r="E61" s="13">
        <v>42.068280000000001</v>
      </c>
      <c r="F61" s="49">
        <f t="shared" si="0"/>
        <v>3.7734009226273561E-2</v>
      </c>
    </row>
    <row r="62" spans="1:6" x14ac:dyDescent="0.2">
      <c r="A62" s="52" t="s">
        <v>1704</v>
      </c>
      <c r="B62" s="52" t="s">
        <v>1705</v>
      </c>
      <c r="C62" s="52" t="s">
        <v>1208</v>
      </c>
      <c r="D62" s="14">
        <v>3</v>
      </c>
      <c r="E62" s="13">
        <v>33.441420000000001</v>
      </c>
      <c r="F62" s="49">
        <f t="shared" si="0"/>
        <v>2.9995969666924565E-2</v>
      </c>
    </row>
    <row r="63" spans="1:6" x14ac:dyDescent="0.2">
      <c r="A63" s="52" t="s">
        <v>1706</v>
      </c>
      <c r="B63" s="52" t="s">
        <v>1707</v>
      </c>
      <c r="C63" s="52" t="s">
        <v>688</v>
      </c>
      <c r="D63" s="14">
        <v>3</v>
      </c>
      <c r="E63" s="13">
        <v>30.650130000000001</v>
      </c>
      <c r="F63" s="49">
        <f t="shared" si="0"/>
        <v>2.7492264675581794E-2</v>
      </c>
    </row>
    <row r="64" spans="1:6" x14ac:dyDescent="0.2">
      <c r="A64" s="52" t="s">
        <v>1708</v>
      </c>
      <c r="B64" s="52" t="s">
        <v>1709</v>
      </c>
      <c r="C64" s="52" t="s">
        <v>688</v>
      </c>
      <c r="D64" s="14">
        <v>2</v>
      </c>
      <c r="E64" s="13">
        <v>20.193999999999999</v>
      </c>
      <c r="F64" s="49">
        <f t="shared" si="0"/>
        <v>1.8113423755745858E-2</v>
      </c>
    </row>
    <row r="65" spans="1:6" x14ac:dyDescent="0.2">
      <c r="A65" s="52" t="s">
        <v>1710</v>
      </c>
      <c r="B65" s="52" t="s">
        <v>1711</v>
      </c>
      <c r="C65" s="52" t="s">
        <v>688</v>
      </c>
      <c r="D65" s="14">
        <v>1</v>
      </c>
      <c r="E65" s="13">
        <v>10.29979</v>
      </c>
      <c r="F65" s="49">
        <f t="shared" si="0"/>
        <v>9.2386085404176296E-3</v>
      </c>
    </row>
    <row r="66" spans="1:6" x14ac:dyDescent="0.2">
      <c r="A66" s="52" t="s">
        <v>1712</v>
      </c>
      <c r="B66" s="52" t="s">
        <v>1713</v>
      </c>
      <c r="C66" s="52" t="s">
        <v>712</v>
      </c>
      <c r="D66" s="14">
        <v>1</v>
      </c>
      <c r="E66" s="13">
        <v>10.17529</v>
      </c>
      <c r="F66" s="49">
        <f t="shared" si="0"/>
        <v>9.1269357040508706E-3</v>
      </c>
    </row>
    <row r="67" spans="1:6" x14ac:dyDescent="0.2">
      <c r="A67" s="52" t="s">
        <v>1714</v>
      </c>
      <c r="B67" s="52" t="s">
        <v>1715</v>
      </c>
      <c r="C67" s="52" t="s">
        <v>688</v>
      </c>
      <c r="D67" s="14">
        <v>1</v>
      </c>
      <c r="E67" s="13">
        <v>10.06204</v>
      </c>
      <c r="F67" s="49">
        <f t="shared" si="0"/>
        <v>9.0253537866329132E-3</v>
      </c>
    </row>
    <row r="68" spans="1:6" x14ac:dyDescent="0.2">
      <c r="A68" s="41" t="s">
        <v>43</v>
      </c>
      <c r="B68" s="52"/>
      <c r="C68" s="52"/>
      <c r="D68" s="13"/>
      <c r="E68" s="50">
        <f>SUM(E8:E67)</f>
        <v>100600.87322999998</v>
      </c>
      <c r="F68" s="6">
        <f>SUM(F8:F67)</f>
        <v>90.236022928248985</v>
      </c>
    </row>
    <row r="69" spans="1:6" x14ac:dyDescent="0.2">
      <c r="A69" s="52"/>
      <c r="B69" s="52"/>
      <c r="C69" s="52"/>
      <c r="D69" s="13"/>
      <c r="E69" s="13"/>
      <c r="F69" s="49"/>
    </row>
    <row r="70" spans="1:6" x14ac:dyDescent="0.2">
      <c r="A70" s="41" t="s">
        <v>772</v>
      </c>
      <c r="B70" s="52"/>
      <c r="C70" s="52"/>
      <c r="D70" s="13"/>
      <c r="E70" s="13"/>
      <c r="F70" s="49"/>
    </row>
    <row r="71" spans="1:6" x14ac:dyDescent="0.2">
      <c r="A71" s="52" t="s">
        <v>1230</v>
      </c>
      <c r="B71" s="52" t="s">
        <v>1231</v>
      </c>
      <c r="C71" s="52" t="s">
        <v>818</v>
      </c>
      <c r="D71" s="14">
        <v>250</v>
      </c>
      <c r="E71" s="13">
        <v>2397.35</v>
      </c>
      <c r="F71" s="49">
        <f t="shared" ref="F71:F73" si="1">E71/$E$84*100</f>
        <v>2.1503524037257269</v>
      </c>
    </row>
    <row r="72" spans="1:6" x14ac:dyDescent="0.2">
      <c r="A72" s="52" t="s">
        <v>1271</v>
      </c>
      <c r="B72" s="52" t="s">
        <v>1272</v>
      </c>
      <c r="C72" s="52" t="s">
        <v>1273</v>
      </c>
      <c r="D72" s="14">
        <v>200</v>
      </c>
      <c r="E72" s="13">
        <v>901.80799999999999</v>
      </c>
      <c r="F72" s="49">
        <f t="shared" si="1"/>
        <v>0.80889523870068636</v>
      </c>
    </row>
    <row r="73" spans="1:6" x14ac:dyDescent="0.2">
      <c r="A73" s="52" t="s">
        <v>1716</v>
      </c>
      <c r="B73" s="52" t="s">
        <v>1717</v>
      </c>
      <c r="C73" s="52" t="s">
        <v>688</v>
      </c>
      <c r="D73" s="14">
        <v>49</v>
      </c>
      <c r="E73" s="13">
        <v>490.23667</v>
      </c>
      <c r="F73" s="49">
        <f t="shared" si="1"/>
        <v>0.43972786690679122</v>
      </c>
    </row>
    <row r="74" spans="1:6" x14ac:dyDescent="0.2">
      <c r="A74" s="41" t="s">
        <v>43</v>
      </c>
      <c r="B74" s="52"/>
      <c r="C74" s="52"/>
      <c r="D74" s="14"/>
      <c r="E74" s="50">
        <f>SUM(E71:E73)</f>
        <v>3789.3946699999997</v>
      </c>
      <c r="F74" s="6">
        <f>SUM(F71:F73)</f>
        <v>3.3989755093332046</v>
      </c>
    </row>
    <row r="75" spans="1:6" x14ac:dyDescent="0.2">
      <c r="A75" s="52"/>
      <c r="B75" s="52"/>
      <c r="C75" s="52"/>
      <c r="D75" s="14"/>
      <c r="E75" s="13"/>
      <c r="F75" s="49"/>
    </row>
    <row r="76" spans="1:6" x14ac:dyDescent="0.2">
      <c r="A76" s="41" t="s">
        <v>1558</v>
      </c>
      <c r="B76" s="52"/>
      <c r="C76" s="52"/>
      <c r="D76" s="14"/>
      <c r="E76" s="13"/>
      <c r="F76" s="49"/>
    </row>
    <row r="77" spans="1:6" x14ac:dyDescent="0.2">
      <c r="A77" s="52" t="s">
        <v>1718</v>
      </c>
      <c r="B77" s="52" t="s">
        <v>1719</v>
      </c>
      <c r="C77" s="52" t="s">
        <v>1561</v>
      </c>
      <c r="D77" s="14">
        <v>3000000</v>
      </c>
      <c r="E77" s="13">
        <v>3120.9</v>
      </c>
      <c r="F77" s="49">
        <f t="shared" ref="F77" si="2">E77/$E$84*100</f>
        <v>2.7993554619841166</v>
      </c>
    </row>
    <row r="78" spans="1:6" x14ac:dyDescent="0.2">
      <c r="A78" s="41" t="s">
        <v>43</v>
      </c>
      <c r="B78" s="52"/>
      <c r="C78" s="52"/>
      <c r="D78" s="52"/>
      <c r="E78" s="50">
        <f>SUM(E77:E77)</f>
        <v>3120.9</v>
      </c>
      <c r="F78" s="6">
        <f>SUM(F77:F77)</f>
        <v>2.7993554619841166</v>
      </c>
    </row>
    <row r="79" spans="1:6" x14ac:dyDescent="0.2">
      <c r="A79" s="52"/>
      <c r="B79" s="52"/>
      <c r="C79" s="52"/>
      <c r="D79" s="52"/>
      <c r="E79" s="13"/>
      <c r="F79" s="49"/>
    </row>
    <row r="80" spans="1:6" x14ac:dyDescent="0.2">
      <c r="A80" s="41" t="s">
        <v>43</v>
      </c>
      <c r="B80" s="52"/>
      <c r="C80" s="52"/>
      <c r="D80" s="52"/>
      <c r="E80" s="50">
        <f>E68+E74+E78</f>
        <v>107511.16789999997</v>
      </c>
      <c r="F80" s="6">
        <f>F68+F74+F78</f>
        <v>96.434353899566304</v>
      </c>
    </row>
    <row r="81" spans="1:6" x14ac:dyDescent="0.2">
      <c r="A81" s="52"/>
      <c r="B81" s="52"/>
      <c r="C81" s="52"/>
      <c r="D81" s="52"/>
      <c r="E81" s="13"/>
      <c r="F81" s="49"/>
    </row>
    <row r="82" spans="1:6" x14ac:dyDescent="0.2">
      <c r="A82" s="41" t="s">
        <v>100</v>
      </c>
      <c r="B82" s="52"/>
      <c r="C82" s="52"/>
      <c r="D82" s="52"/>
      <c r="E82" s="50">
        <v>3975.2096744999999</v>
      </c>
      <c r="F82" s="6">
        <v>3.57</v>
      </c>
    </row>
    <row r="83" spans="1:6" x14ac:dyDescent="0.2">
      <c r="A83" s="52"/>
      <c r="B83" s="52"/>
      <c r="C83" s="52"/>
      <c r="D83" s="52"/>
      <c r="E83" s="13"/>
      <c r="F83" s="49"/>
    </row>
    <row r="84" spans="1:6" x14ac:dyDescent="0.2">
      <c r="A84" s="57" t="s">
        <v>101</v>
      </c>
      <c r="B84" s="34"/>
      <c r="C84" s="34"/>
      <c r="D84" s="34"/>
      <c r="E84" s="51">
        <f>E80+E82</f>
        <v>111486.37757449997</v>
      </c>
      <c r="F84" s="8">
        <f>F80+F82</f>
        <v>100.0043538995663</v>
      </c>
    </row>
    <row r="85" spans="1:6" x14ac:dyDescent="0.2">
      <c r="A85" s="4" t="s">
        <v>1964</v>
      </c>
      <c r="F85" s="9"/>
    </row>
    <row r="86" spans="1:6" x14ac:dyDescent="0.2">
      <c r="A86" s="60" t="s">
        <v>1963</v>
      </c>
    </row>
    <row r="87" spans="1:6" x14ac:dyDescent="0.2">
      <c r="A87" s="60"/>
    </row>
    <row r="88" spans="1:6" x14ac:dyDescent="0.2">
      <c r="A88" s="4" t="s">
        <v>102</v>
      </c>
    </row>
    <row r="89" spans="1:6" x14ac:dyDescent="0.2">
      <c r="A89" s="4" t="s">
        <v>833</v>
      </c>
    </row>
    <row r="90" spans="1:6" x14ac:dyDescent="0.2">
      <c r="A90" s="4" t="s">
        <v>104</v>
      </c>
    </row>
    <row r="91" spans="1:6" x14ac:dyDescent="0.2">
      <c r="A91" s="2" t="s">
        <v>598</v>
      </c>
      <c r="D91" s="10">
        <v>65.988699999999994</v>
      </c>
    </row>
    <row r="92" spans="1:6" x14ac:dyDescent="0.2">
      <c r="A92" s="2" t="s">
        <v>1553</v>
      </c>
      <c r="D92" s="10">
        <v>15.8146</v>
      </c>
    </row>
    <row r="93" spans="1:6" x14ac:dyDescent="0.2">
      <c r="A93" s="2" t="s">
        <v>1554</v>
      </c>
      <c r="D93" s="10">
        <v>13.311400000000001</v>
      </c>
    </row>
    <row r="94" spans="1:6" x14ac:dyDescent="0.2">
      <c r="A94" s="2" t="s">
        <v>1720</v>
      </c>
      <c r="D94" s="10">
        <v>13.7531</v>
      </c>
    </row>
    <row r="95" spans="1:6" x14ac:dyDescent="0.2">
      <c r="A95" s="2" t="s">
        <v>1721</v>
      </c>
      <c r="D95" s="10">
        <v>17.1812</v>
      </c>
    </row>
    <row r="96" spans="1:6" x14ac:dyDescent="0.2">
      <c r="A96" s="2" t="s">
        <v>600</v>
      </c>
      <c r="D96" s="10">
        <v>69.073099999999997</v>
      </c>
    </row>
    <row r="97" spans="1:4" x14ac:dyDescent="0.2">
      <c r="A97" s="2" t="s">
        <v>1555</v>
      </c>
      <c r="D97" s="10">
        <v>16.8049</v>
      </c>
    </row>
    <row r="98" spans="1:4" x14ac:dyDescent="0.2">
      <c r="A98" s="2" t="s">
        <v>1556</v>
      </c>
      <c r="D98" s="10">
        <v>14.1676</v>
      </c>
    </row>
    <row r="99" spans="1:4" x14ac:dyDescent="0.2">
      <c r="A99" s="2" t="s">
        <v>1722</v>
      </c>
      <c r="D99" s="10">
        <v>14.901</v>
      </c>
    </row>
    <row r="100" spans="1:4" x14ac:dyDescent="0.2">
      <c r="A100" s="2" t="s">
        <v>1723</v>
      </c>
      <c r="D100" s="10">
        <v>18.315799999999999</v>
      </c>
    </row>
    <row r="102" spans="1:4" x14ac:dyDescent="0.2">
      <c r="A102" s="4" t="s">
        <v>105</v>
      </c>
    </row>
    <row r="103" spans="1:4" x14ac:dyDescent="0.2">
      <c r="A103" s="2" t="s">
        <v>598</v>
      </c>
      <c r="D103" s="10">
        <v>69.661699999999996</v>
      </c>
    </row>
    <row r="104" spans="1:4" x14ac:dyDescent="0.2">
      <c r="A104" s="2" t="s">
        <v>1553</v>
      </c>
      <c r="D104" s="10">
        <v>16.082000000000001</v>
      </c>
    </row>
    <row r="105" spans="1:4" x14ac:dyDescent="0.2">
      <c r="A105" s="2" t="s">
        <v>1554</v>
      </c>
      <c r="D105" s="10">
        <v>13.49</v>
      </c>
    </row>
    <row r="106" spans="1:4" x14ac:dyDescent="0.2">
      <c r="A106" s="2" t="s">
        <v>1720</v>
      </c>
      <c r="D106" s="10">
        <v>13.9589</v>
      </c>
    </row>
    <row r="107" spans="1:4" x14ac:dyDescent="0.2">
      <c r="A107" s="2" t="s">
        <v>1721</v>
      </c>
      <c r="D107" s="10">
        <v>18.137499999999999</v>
      </c>
    </row>
    <row r="108" spans="1:4" x14ac:dyDescent="0.2">
      <c r="A108" s="2" t="s">
        <v>600</v>
      </c>
      <c r="D108" s="10">
        <v>73.122699999999995</v>
      </c>
    </row>
    <row r="109" spans="1:4" x14ac:dyDescent="0.2">
      <c r="A109" s="2" t="s">
        <v>1555</v>
      </c>
      <c r="D109" s="10">
        <v>17.176600000000001</v>
      </c>
    </row>
    <row r="110" spans="1:4" x14ac:dyDescent="0.2">
      <c r="A110" s="2" t="s">
        <v>1556</v>
      </c>
      <c r="D110" s="10">
        <v>14.4353</v>
      </c>
    </row>
    <row r="111" spans="1:4" x14ac:dyDescent="0.2">
      <c r="A111" s="2" t="s">
        <v>1722</v>
      </c>
      <c r="D111" s="10">
        <v>15.215999999999999</v>
      </c>
    </row>
    <row r="112" spans="1:4" x14ac:dyDescent="0.2">
      <c r="A112" s="2" t="s">
        <v>1723</v>
      </c>
      <c r="D112" s="10">
        <v>19.3901</v>
      </c>
    </row>
    <row r="114" spans="1:5" x14ac:dyDescent="0.2">
      <c r="A114" s="4" t="s">
        <v>106</v>
      </c>
      <c r="D114" s="17" t="s">
        <v>319</v>
      </c>
    </row>
    <row r="115" spans="1:5" x14ac:dyDescent="0.2">
      <c r="A115" s="70" t="s">
        <v>602</v>
      </c>
      <c r="B115" s="71"/>
      <c r="C115" s="103" t="s">
        <v>603</v>
      </c>
      <c r="D115" s="103"/>
    </row>
    <row r="116" spans="1:5" x14ac:dyDescent="0.2">
      <c r="A116" s="104"/>
      <c r="B116" s="104"/>
      <c r="C116" s="20" t="s">
        <v>604</v>
      </c>
      <c r="D116" s="20" t="s">
        <v>605</v>
      </c>
    </row>
    <row r="117" spans="1:5" x14ac:dyDescent="0.2">
      <c r="A117" s="21" t="s">
        <v>1553</v>
      </c>
      <c r="B117" s="22"/>
      <c r="C117" s="72">
        <v>0.43219362000000006</v>
      </c>
      <c r="D117" s="72">
        <v>0.40021344600000003</v>
      </c>
    </row>
    <row r="118" spans="1:5" x14ac:dyDescent="0.2">
      <c r="A118" s="21" t="s">
        <v>1554</v>
      </c>
      <c r="B118" s="22"/>
      <c r="C118" s="72">
        <v>0.396177485</v>
      </c>
      <c r="D118" s="72">
        <v>0.36686232560000004</v>
      </c>
    </row>
    <row r="119" spans="1:5" x14ac:dyDescent="0.2">
      <c r="A119" s="21" t="s">
        <v>1720</v>
      </c>
      <c r="B119" s="22"/>
      <c r="C119" s="72">
        <v>0.396177485</v>
      </c>
      <c r="D119" s="72">
        <v>0.36686232550000003</v>
      </c>
    </row>
    <row r="120" spans="1:5" x14ac:dyDescent="0.2">
      <c r="A120" s="21" t="s">
        <v>1555</v>
      </c>
      <c r="B120" s="22"/>
      <c r="C120" s="72">
        <v>0.43219362000000006</v>
      </c>
      <c r="D120" s="72">
        <v>0.40021344600000003</v>
      </c>
    </row>
    <row r="121" spans="1:5" x14ac:dyDescent="0.2">
      <c r="A121" s="21" t="s">
        <v>1556</v>
      </c>
      <c r="B121" s="22"/>
      <c r="C121" s="72">
        <v>0.396177485</v>
      </c>
      <c r="D121" s="72">
        <v>0.36686232560000004</v>
      </c>
    </row>
    <row r="122" spans="1:5" x14ac:dyDescent="0.2">
      <c r="A122" s="21" t="s">
        <v>1722</v>
      </c>
      <c r="B122" s="22"/>
      <c r="C122" s="72">
        <v>0.396177485</v>
      </c>
      <c r="D122" s="72">
        <v>0.36686232550000003</v>
      </c>
    </row>
    <row r="124" spans="1:5" x14ac:dyDescent="0.2">
      <c r="A124" s="4" t="s">
        <v>834</v>
      </c>
      <c r="D124" s="59">
        <v>3.9286457028411728</v>
      </c>
      <c r="E124" s="59" t="s">
        <v>1106</v>
      </c>
    </row>
    <row r="126" spans="1:5" x14ac:dyDescent="0.2">
      <c r="A126" s="4" t="s">
        <v>836</v>
      </c>
      <c r="D126" s="67" t="s">
        <v>107</v>
      </c>
    </row>
    <row r="127" spans="1:5" x14ac:dyDescent="0.2">
      <c r="A127" s="4"/>
    </row>
    <row r="128" spans="1:5" ht="15" x14ac:dyDescent="0.25">
      <c r="A128" s="68"/>
    </row>
  </sheetData>
  <mergeCells count="3">
    <mergeCell ref="A1:F1"/>
    <mergeCell ref="C115:D115"/>
    <mergeCell ref="A116:B1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C99D-A35A-48C2-8C6E-BCE64E98C402}">
  <dimension ref="A1:F88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4.7109375" style="2" bestFit="1" customWidth="1"/>
    <col min="3" max="3" width="12.5703125" style="2" bestFit="1" customWidth="1"/>
    <col min="4" max="4" width="10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1724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1629</v>
      </c>
      <c r="B8" s="52" t="s">
        <v>1630</v>
      </c>
      <c r="C8" s="52" t="s">
        <v>688</v>
      </c>
      <c r="D8" s="14">
        <v>360</v>
      </c>
      <c r="E8" s="13">
        <v>3786.5088000000001</v>
      </c>
      <c r="F8" s="49">
        <v>6.6078929465817904</v>
      </c>
    </row>
    <row r="9" spans="1:6" x14ac:dyDescent="0.2">
      <c r="A9" s="52" t="s">
        <v>1633</v>
      </c>
      <c r="B9" s="52" t="s">
        <v>1634</v>
      </c>
      <c r="C9" s="52" t="s">
        <v>1635</v>
      </c>
      <c r="D9" s="14">
        <v>300</v>
      </c>
      <c r="E9" s="13">
        <v>3027.846</v>
      </c>
      <c r="F9" s="49">
        <v>5.2839391860744804</v>
      </c>
    </row>
    <row r="10" spans="1:6" x14ac:dyDescent="0.2">
      <c r="A10" s="52" t="s">
        <v>1725</v>
      </c>
      <c r="B10" s="52" t="s">
        <v>1726</v>
      </c>
      <c r="C10" s="52" t="s">
        <v>712</v>
      </c>
      <c r="D10" s="14">
        <v>250</v>
      </c>
      <c r="E10" s="13">
        <v>2556.2075</v>
      </c>
      <c r="F10" s="49">
        <v>4.4608758097299201</v>
      </c>
    </row>
    <row r="11" spans="1:6" x14ac:dyDescent="0.2">
      <c r="A11" s="52" t="s">
        <v>993</v>
      </c>
      <c r="B11" s="52" t="s">
        <v>994</v>
      </c>
      <c r="C11" s="52" t="s">
        <v>726</v>
      </c>
      <c r="D11" s="14">
        <v>250</v>
      </c>
      <c r="E11" s="13">
        <v>2529.0625</v>
      </c>
      <c r="F11" s="49">
        <v>4.4135046656208701</v>
      </c>
    </row>
    <row r="12" spans="1:6" x14ac:dyDescent="0.2">
      <c r="A12" s="52" t="s">
        <v>1727</v>
      </c>
      <c r="B12" s="52" t="s">
        <v>1728</v>
      </c>
      <c r="C12" s="52" t="s">
        <v>688</v>
      </c>
      <c r="D12" s="14">
        <v>250</v>
      </c>
      <c r="E12" s="13">
        <v>2515.895</v>
      </c>
      <c r="F12" s="49">
        <v>4.3905258651030703</v>
      </c>
    </row>
    <row r="13" spans="1:6" x14ac:dyDescent="0.2">
      <c r="A13" s="52" t="s">
        <v>1729</v>
      </c>
      <c r="B13" s="52" t="s">
        <v>1730</v>
      </c>
      <c r="C13" s="52" t="s">
        <v>688</v>
      </c>
      <c r="D13" s="14">
        <v>250</v>
      </c>
      <c r="E13" s="13">
        <v>2495.1550000000002</v>
      </c>
      <c r="F13" s="49">
        <v>4.3543321819635699</v>
      </c>
    </row>
    <row r="14" spans="1:6" x14ac:dyDescent="0.2">
      <c r="A14" s="52" t="s">
        <v>1638</v>
      </c>
      <c r="B14" s="52" t="s">
        <v>1639</v>
      </c>
      <c r="C14" s="52" t="s">
        <v>688</v>
      </c>
      <c r="D14" s="14">
        <v>240</v>
      </c>
      <c r="E14" s="13">
        <v>2444.7696000000001</v>
      </c>
      <c r="F14" s="49">
        <v>4.2664038694053898</v>
      </c>
    </row>
    <row r="15" spans="1:6" x14ac:dyDescent="0.2">
      <c r="A15" s="52" t="s">
        <v>1690</v>
      </c>
      <c r="B15" s="52" t="s">
        <v>1691</v>
      </c>
      <c r="C15" s="52" t="s">
        <v>688</v>
      </c>
      <c r="D15" s="14">
        <v>240</v>
      </c>
      <c r="E15" s="13">
        <v>2433.0527999999999</v>
      </c>
      <c r="F15" s="49">
        <v>4.2459567070809596</v>
      </c>
    </row>
    <row r="16" spans="1:6" x14ac:dyDescent="0.2">
      <c r="A16" s="52" t="s">
        <v>1656</v>
      </c>
      <c r="B16" s="52" t="s">
        <v>1657</v>
      </c>
      <c r="C16" s="52" t="s">
        <v>712</v>
      </c>
      <c r="D16" s="14">
        <v>200</v>
      </c>
      <c r="E16" s="13">
        <v>2122.9360000000001</v>
      </c>
      <c r="F16" s="49">
        <v>3.7047672569636001</v>
      </c>
    </row>
    <row r="17" spans="1:6" x14ac:dyDescent="0.2">
      <c r="A17" s="52" t="s">
        <v>870</v>
      </c>
      <c r="B17" s="52" t="s">
        <v>871</v>
      </c>
      <c r="C17" s="52" t="s">
        <v>688</v>
      </c>
      <c r="D17" s="14">
        <v>200</v>
      </c>
      <c r="E17" s="13">
        <v>2069.4299999999998</v>
      </c>
      <c r="F17" s="49">
        <v>3.61139313883141</v>
      </c>
    </row>
    <row r="18" spans="1:6" x14ac:dyDescent="0.2">
      <c r="A18" s="52" t="s">
        <v>1670</v>
      </c>
      <c r="B18" s="52" t="s">
        <v>1671</v>
      </c>
      <c r="C18" s="52" t="s">
        <v>1208</v>
      </c>
      <c r="D18" s="14">
        <v>200</v>
      </c>
      <c r="E18" s="13">
        <v>2035.972</v>
      </c>
      <c r="F18" s="49">
        <v>3.5530050843241199</v>
      </c>
    </row>
    <row r="19" spans="1:6" x14ac:dyDescent="0.2">
      <c r="A19" s="52" t="s">
        <v>1664</v>
      </c>
      <c r="B19" s="52" t="s">
        <v>1665</v>
      </c>
      <c r="C19" s="52" t="s">
        <v>1208</v>
      </c>
      <c r="D19" s="14">
        <v>180</v>
      </c>
      <c r="E19" s="13">
        <v>1915.4466</v>
      </c>
      <c r="F19" s="49">
        <v>3.3426744122961098</v>
      </c>
    </row>
    <row r="20" spans="1:6" x14ac:dyDescent="0.2">
      <c r="A20" s="52" t="s">
        <v>1731</v>
      </c>
      <c r="B20" s="52" t="s">
        <v>1732</v>
      </c>
      <c r="C20" s="52" t="s">
        <v>688</v>
      </c>
      <c r="D20" s="14">
        <v>150</v>
      </c>
      <c r="E20" s="13">
        <v>1538.2425000000001</v>
      </c>
      <c r="F20" s="49">
        <v>2.6844099149808698</v>
      </c>
    </row>
    <row r="21" spans="1:6" x14ac:dyDescent="0.2">
      <c r="A21" s="52" t="s">
        <v>1700</v>
      </c>
      <c r="B21" s="52" t="s">
        <v>1701</v>
      </c>
      <c r="C21" s="52" t="s">
        <v>723</v>
      </c>
      <c r="D21" s="14">
        <v>145</v>
      </c>
      <c r="E21" s="13">
        <v>1455.0981999999999</v>
      </c>
      <c r="F21" s="49">
        <v>2.5393135577458201</v>
      </c>
    </row>
    <row r="22" spans="1:6" x14ac:dyDescent="0.2">
      <c r="A22" s="52" t="s">
        <v>1733</v>
      </c>
      <c r="B22" s="52" t="s">
        <v>1734</v>
      </c>
      <c r="C22" s="52" t="s">
        <v>697</v>
      </c>
      <c r="D22" s="14">
        <v>140</v>
      </c>
      <c r="E22" s="13">
        <v>1381.6320000000001</v>
      </c>
      <c r="F22" s="49">
        <v>2.4111065970774099</v>
      </c>
    </row>
    <row r="23" spans="1:6" x14ac:dyDescent="0.2">
      <c r="A23" s="52" t="s">
        <v>1143</v>
      </c>
      <c r="B23" s="52" t="s">
        <v>1144</v>
      </c>
      <c r="C23" s="52" t="s">
        <v>688</v>
      </c>
      <c r="D23" s="14">
        <v>130</v>
      </c>
      <c r="E23" s="13">
        <v>1346.6401000000001</v>
      </c>
      <c r="F23" s="49">
        <v>2.3500417108166198</v>
      </c>
    </row>
    <row r="24" spans="1:6" x14ac:dyDescent="0.2">
      <c r="A24" s="52" t="s">
        <v>1654</v>
      </c>
      <c r="B24" s="52" t="s">
        <v>1655</v>
      </c>
      <c r="C24" s="52" t="s">
        <v>712</v>
      </c>
      <c r="D24" s="14">
        <v>130</v>
      </c>
      <c r="E24" s="13">
        <v>1327.9916000000001</v>
      </c>
      <c r="F24" s="49">
        <v>2.3174979355019198</v>
      </c>
    </row>
    <row r="25" spans="1:6" x14ac:dyDescent="0.2">
      <c r="A25" s="52" t="s">
        <v>1652</v>
      </c>
      <c r="B25" s="52" t="s">
        <v>1653</v>
      </c>
      <c r="C25" s="52" t="s">
        <v>688</v>
      </c>
      <c r="D25" s="14">
        <v>120</v>
      </c>
      <c r="E25" s="13">
        <v>1316.7275999999999</v>
      </c>
      <c r="F25" s="49">
        <v>2.2978409612066799</v>
      </c>
    </row>
    <row r="26" spans="1:6" x14ac:dyDescent="0.2">
      <c r="A26" s="52" t="s">
        <v>749</v>
      </c>
      <c r="B26" s="52" t="s">
        <v>750</v>
      </c>
      <c r="C26" s="52" t="s">
        <v>688</v>
      </c>
      <c r="D26" s="14">
        <v>130</v>
      </c>
      <c r="E26" s="13">
        <v>1312.4748</v>
      </c>
      <c r="F26" s="49">
        <v>2.2904193365366901</v>
      </c>
    </row>
    <row r="27" spans="1:6" x14ac:dyDescent="0.2">
      <c r="A27" s="52" t="s">
        <v>1646</v>
      </c>
      <c r="B27" s="52" t="s">
        <v>1647</v>
      </c>
      <c r="C27" s="52" t="s">
        <v>688</v>
      </c>
      <c r="D27" s="14">
        <v>110</v>
      </c>
      <c r="E27" s="13">
        <v>1166.9394</v>
      </c>
      <c r="F27" s="49">
        <v>2.0364433407228302</v>
      </c>
    </row>
    <row r="28" spans="1:6" x14ac:dyDescent="0.2">
      <c r="A28" s="52" t="s">
        <v>1735</v>
      </c>
      <c r="B28" s="52" t="s">
        <v>1736</v>
      </c>
      <c r="C28" s="52" t="s">
        <v>688</v>
      </c>
      <c r="D28" s="14">
        <v>100</v>
      </c>
      <c r="E28" s="13">
        <v>1028.4570000000001</v>
      </c>
      <c r="F28" s="49">
        <v>1.7947756403372599</v>
      </c>
    </row>
    <row r="29" spans="1:6" x14ac:dyDescent="0.2">
      <c r="A29" s="52" t="s">
        <v>1737</v>
      </c>
      <c r="B29" s="52" t="s">
        <v>1738</v>
      </c>
      <c r="C29" s="52" t="s">
        <v>712</v>
      </c>
      <c r="D29" s="14">
        <v>100</v>
      </c>
      <c r="E29" s="13">
        <v>1019.41</v>
      </c>
      <c r="F29" s="49">
        <v>1.77898758578745</v>
      </c>
    </row>
    <row r="30" spans="1:6" x14ac:dyDescent="0.2">
      <c r="A30" s="52" t="s">
        <v>1739</v>
      </c>
      <c r="B30" s="52" t="s">
        <v>1740</v>
      </c>
      <c r="C30" s="52" t="s">
        <v>709</v>
      </c>
      <c r="D30" s="14">
        <v>100</v>
      </c>
      <c r="E30" s="13">
        <v>1014.25</v>
      </c>
      <c r="F30" s="49">
        <v>1.7699827928752101</v>
      </c>
    </row>
    <row r="31" spans="1:6" x14ac:dyDescent="0.2">
      <c r="A31" s="52" t="s">
        <v>1201</v>
      </c>
      <c r="B31" s="52" t="s">
        <v>1202</v>
      </c>
      <c r="C31" s="52" t="s">
        <v>685</v>
      </c>
      <c r="D31" s="14">
        <v>95</v>
      </c>
      <c r="E31" s="13">
        <v>946.68640000000005</v>
      </c>
      <c r="F31" s="49">
        <v>1.65207654744785</v>
      </c>
    </row>
    <row r="32" spans="1:6" x14ac:dyDescent="0.2">
      <c r="A32" s="52" t="s">
        <v>1197</v>
      </c>
      <c r="B32" s="52" t="s">
        <v>1198</v>
      </c>
      <c r="C32" s="52" t="s">
        <v>688</v>
      </c>
      <c r="D32" s="14">
        <v>90</v>
      </c>
      <c r="E32" s="13">
        <v>941.39909999999998</v>
      </c>
      <c r="F32" s="49">
        <v>1.64284960140815</v>
      </c>
    </row>
    <row r="33" spans="1:6" x14ac:dyDescent="0.2">
      <c r="A33" s="52" t="s">
        <v>1222</v>
      </c>
      <c r="B33" s="52" t="s">
        <v>1223</v>
      </c>
      <c r="C33" s="52" t="s">
        <v>685</v>
      </c>
      <c r="D33" s="14">
        <v>88</v>
      </c>
      <c r="E33" s="13">
        <v>908.94143999999994</v>
      </c>
      <c r="F33" s="49">
        <v>1.5862072551454001</v>
      </c>
    </row>
    <row r="34" spans="1:6" x14ac:dyDescent="0.2">
      <c r="A34" s="52" t="s">
        <v>719</v>
      </c>
      <c r="B34" s="52" t="s">
        <v>720</v>
      </c>
      <c r="C34" s="52" t="s">
        <v>688</v>
      </c>
      <c r="D34" s="14">
        <v>70</v>
      </c>
      <c r="E34" s="13">
        <v>727.21180000000004</v>
      </c>
      <c r="F34" s="49">
        <v>1.26906815161529</v>
      </c>
    </row>
    <row r="35" spans="1:6" x14ac:dyDescent="0.2">
      <c r="A35" s="52" t="s">
        <v>991</v>
      </c>
      <c r="B35" s="52" t="s">
        <v>992</v>
      </c>
      <c r="C35" s="52" t="s">
        <v>697</v>
      </c>
      <c r="D35" s="14">
        <v>62</v>
      </c>
      <c r="E35" s="13">
        <v>632.31506000000002</v>
      </c>
      <c r="F35" s="49">
        <v>1.10346243616057</v>
      </c>
    </row>
    <row r="36" spans="1:6" x14ac:dyDescent="0.2">
      <c r="A36" s="52" t="s">
        <v>1741</v>
      </c>
      <c r="B36" s="52" t="s">
        <v>1742</v>
      </c>
      <c r="C36" s="52" t="s">
        <v>712</v>
      </c>
      <c r="D36" s="14">
        <v>50</v>
      </c>
      <c r="E36" s="13">
        <v>523.84649999999999</v>
      </c>
      <c r="F36" s="49">
        <v>0.91417233532946096</v>
      </c>
    </row>
    <row r="37" spans="1:6" x14ac:dyDescent="0.2">
      <c r="A37" s="52" t="s">
        <v>1644</v>
      </c>
      <c r="B37" s="52" t="s">
        <v>1645</v>
      </c>
      <c r="C37" s="52" t="s">
        <v>1208</v>
      </c>
      <c r="D37" s="14">
        <v>50</v>
      </c>
      <c r="E37" s="13">
        <v>506.96749999999997</v>
      </c>
      <c r="F37" s="49">
        <v>0.88471654083999496</v>
      </c>
    </row>
    <row r="38" spans="1:6" x14ac:dyDescent="0.2">
      <c r="A38" s="52" t="s">
        <v>1658</v>
      </c>
      <c r="B38" s="52" t="s">
        <v>1659</v>
      </c>
      <c r="C38" s="52" t="s">
        <v>688</v>
      </c>
      <c r="D38" s="14">
        <v>50</v>
      </c>
      <c r="E38" s="13">
        <v>505.52800000000002</v>
      </c>
      <c r="F38" s="49">
        <v>0.882204447933568</v>
      </c>
    </row>
    <row r="39" spans="1:6" x14ac:dyDescent="0.2">
      <c r="A39" s="52" t="s">
        <v>1684</v>
      </c>
      <c r="B39" s="52" t="s">
        <v>1685</v>
      </c>
      <c r="C39" s="52" t="s">
        <v>1029</v>
      </c>
      <c r="D39" s="14">
        <v>35</v>
      </c>
      <c r="E39" s="13">
        <v>351.25369999999998</v>
      </c>
      <c r="F39" s="49">
        <v>0.61297806747227301</v>
      </c>
    </row>
    <row r="40" spans="1:6" x14ac:dyDescent="0.2">
      <c r="A40" s="52" t="s">
        <v>1688</v>
      </c>
      <c r="B40" s="52" t="s">
        <v>1689</v>
      </c>
      <c r="C40" s="52" t="s">
        <v>953</v>
      </c>
      <c r="D40" s="14">
        <v>27</v>
      </c>
      <c r="E40" s="13">
        <v>290.23460999999998</v>
      </c>
      <c r="F40" s="49">
        <v>0.50649274399492095</v>
      </c>
    </row>
    <row r="41" spans="1:6" x14ac:dyDescent="0.2">
      <c r="A41" s="52" t="s">
        <v>1708</v>
      </c>
      <c r="B41" s="52" t="s">
        <v>1709</v>
      </c>
      <c r="C41" s="52" t="s">
        <v>688</v>
      </c>
      <c r="D41" s="14">
        <v>23</v>
      </c>
      <c r="E41" s="13">
        <v>232.23099999999999</v>
      </c>
      <c r="F41" s="49">
        <v>0.40526977961272198</v>
      </c>
    </row>
    <row r="42" spans="1:6" x14ac:dyDescent="0.2">
      <c r="A42" s="52" t="s">
        <v>710</v>
      </c>
      <c r="B42" s="52" t="s">
        <v>711</v>
      </c>
      <c r="C42" s="52" t="s">
        <v>712</v>
      </c>
      <c r="D42" s="14">
        <v>20</v>
      </c>
      <c r="E42" s="13">
        <v>208.1746</v>
      </c>
      <c r="F42" s="49">
        <v>0.36328859740072</v>
      </c>
    </row>
    <row r="43" spans="1:6" x14ac:dyDescent="0.2">
      <c r="A43" s="52" t="s">
        <v>1209</v>
      </c>
      <c r="B43" s="52" t="s">
        <v>1210</v>
      </c>
      <c r="C43" s="52" t="s">
        <v>688</v>
      </c>
      <c r="D43" s="14">
        <v>20</v>
      </c>
      <c r="E43" s="13">
        <v>202.0232</v>
      </c>
      <c r="F43" s="49">
        <v>0.35255369757119798</v>
      </c>
    </row>
    <row r="44" spans="1:6" x14ac:dyDescent="0.2">
      <c r="A44" s="52" t="s">
        <v>1619</v>
      </c>
      <c r="B44" s="52" t="s">
        <v>1620</v>
      </c>
      <c r="C44" s="52" t="s">
        <v>688</v>
      </c>
      <c r="D44" s="14">
        <v>10</v>
      </c>
      <c r="E44" s="13">
        <v>101.9145</v>
      </c>
      <c r="F44" s="49">
        <v>0.17785251303374999</v>
      </c>
    </row>
    <row r="45" spans="1:6" x14ac:dyDescent="0.2">
      <c r="A45" s="52" t="s">
        <v>770</v>
      </c>
      <c r="B45" s="52" t="s">
        <v>771</v>
      </c>
      <c r="C45" s="52" t="s">
        <v>726</v>
      </c>
      <c r="D45" s="14">
        <v>10</v>
      </c>
      <c r="E45" s="13">
        <v>101.41670000000001</v>
      </c>
      <c r="F45" s="49">
        <v>0.176983794833806</v>
      </c>
    </row>
    <row r="46" spans="1:6" x14ac:dyDescent="0.2">
      <c r="A46" s="52" t="s">
        <v>1743</v>
      </c>
      <c r="B46" s="52" t="s">
        <v>1744</v>
      </c>
      <c r="C46" s="52" t="s">
        <v>712</v>
      </c>
      <c r="D46" s="14">
        <v>5</v>
      </c>
      <c r="E46" s="13">
        <v>51.409199999999998</v>
      </c>
      <c r="F46" s="49">
        <v>8.9714961198403206E-2</v>
      </c>
    </row>
    <row r="47" spans="1:6" x14ac:dyDescent="0.2">
      <c r="A47" s="52" t="s">
        <v>1745</v>
      </c>
      <c r="B47" s="52" t="s">
        <v>1746</v>
      </c>
      <c r="C47" s="52" t="s">
        <v>688</v>
      </c>
      <c r="D47" s="14">
        <v>1</v>
      </c>
      <c r="E47" s="13">
        <v>10.245710000000001</v>
      </c>
      <c r="F47" s="49">
        <v>1.7879941238145899E-2</v>
      </c>
    </row>
    <row r="48" spans="1:6" x14ac:dyDescent="0.2">
      <c r="A48" s="41" t="s">
        <v>43</v>
      </c>
      <c r="B48" s="52"/>
      <c r="C48" s="52"/>
      <c r="D48" s="14"/>
      <c r="E48" s="50">
        <f>SUM(E8:E47)</f>
        <v>51081.944020000017</v>
      </c>
      <c r="F48" s="6">
        <f>SUM(F8:F47)</f>
        <v>89.143861909800265</v>
      </c>
    </row>
    <row r="49" spans="1:6" x14ac:dyDescent="0.2">
      <c r="A49" s="52"/>
      <c r="B49" s="52"/>
      <c r="C49" s="52"/>
      <c r="D49" s="14"/>
      <c r="E49" s="13"/>
      <c r="F49" s="49"/>
    </row>
    <row r="50" spans="1:6" x14ac:dyDescent="0.2">
      <c r="A50" s="41" t="s">
        <v>1066</v>
      </c>
      <c r="B50" s="52"/>
      <c r="C50" s="52"/>
      <c r="D50" s="14"/>
      <c r="E50" s="13"/>
      <c r="F50" s="49"/>
    </row>
    <row r="51" spans="1:6" x14ac:dyDescent="0.2">
      <c r="A51" s="52" t="s">
        <v>1376</v>
      </c>
      <c r="B51" s="52" t="s">
        <v>1377</v>
      </c>
      <c r="C51" s="52" t="s">
        <v>1065</v>
      </c>
      <c r="D51" s="14">
        <v>80</v>
      </c>
      <c r="E51" s="13">
        <v>392.85120000000001</v>
      </c>
      <c r="F51" s="49">
        <v>0.68557048475265403</v>
      </c>
    </row>
    <row r="52" spans="1:6" x14ac:dyDescent="0.2">
      <c r="A52" s="41" t="s">
        <v>43</v>
      </c>
      <c r="B52" s="52"/>
      <c r="C52" s="52"/>
      <c r="D52" s="14"/>
      <c r="E52" s="50">
        <f>SUM(E51:E51)</f>
        <v>392.85120000000001</v>
      </c>
      <c r="F52" s="6">
        <f>SUM(F51:F51)</f>
        <v>0.68557048475265403</v>
      </c>
    </row>
    <row r="53" spans="1:6" x14ac:dyDescent="0.2">
      <c r="A53" s="52"/>
      <c r="B53" s="52"/>
      <c r="C53" s="52"/>
      <c r="D53" s="14"/>
      <c r="E53" s="13"/>
      <c r="F53" s="49"/>
    </row>
    <row r="54" spans="1:6" x14ac:dyDescent="0.2">
      <c r="A54" s="41" t="s">
        <v>1558</v>
      </c>
      <c r="B54" s="52"/>
      <c r="C54" s="52"/>
      <c r="D54" s="14"/>
      <c r="E54" s="13"/>
      <c r="F54" s="49"/>
    </row>
    <row r="55" spans="1:6" x14ac:dyDescent="0.2">
      <c r="A55" s="52" t="s">
        <v>1718</v>
      </c>
      <c r="B55" s="2" t="s">
        <v>1719</v>
      </c>
      <c r="C55" s="52" t="s">
        <v>1561</v>
      </c>
      <c r="D55" s="14">
        <v>3000000</v>
      </c>
      <c r="E55" s="13">
        <v>3120.9</v>
      </c>
      <c r="F55" s="49">
        <v>5.4463291084882997</v>
      </c>
    </row>
    <row r="56" spans="1:6" x14ac:dyDescent="0.2">
      <c r="A56" s="52" t="s">
        <v>1559</v>
      </c>
      <c r="B56" s="2" t="s">
        <v>1560</v>
      </c>
      <c r="C56" s="52" t="s">
        <v>1561</v>
      </c>
      <c r="D56" s="14">
        <v>2000000</v>
      </c>
      <c r="E56" s="13">
        <v>2084.1999999999998</v>
      </c>
      <c r="F56" s="49">
        <v>3.6371684859852298</v>
      </c>
    </row>
    <row r="57" spans="1:6" x14ac:dyDescent="0.2">
      <c r="A57" s="41" t="s">
        <v>43</v>
      </c>
      <c r="B57" s="52"/>
      <c r="C57" s="52"/>
      <c r="D57" s="13"/>
      <c r="E57" s="50">
        <f>SUM(E55:E56)</f>
        <v>5205.1000000000004</v>
      </c>
      <c r="F57" s="6">
        <f>SUM(F55:F56)</f>
        <v>9.0834975944735294</v>
      </c>
    </row>
    <row r="58" spans="1:6" x14ac:dyDescent="0.2">
      <c r="A58" s="52"/>
      <c r="B58" s="52"/>
      <c r="C58" s="52"/>
      <c r="D58" s="52"/>
      <c r="E58" s="13"/>
      <c r="F58" s="49"/>
    </row>
    <row r="59" spans="1:6" x14ac:dyDescent="0.2">
      <c r="A59" s="41" t="s">
        <v>43</v>
      </c>
      <c r="B59" s="52"/>
      <c r="C59" s="52"/>
      <c r="D59" s="52"/>
      <c r="E59" s="50">
        <f>E48+E52+E57</f>
        <v>56679.895220000013</v>
      </c>
      <c r="F59" s="6">
        <f>F48+F52+F57</f>
        <v>98.912929989026452</v>
      </c>
    </row>
    <row r="60" spans="1:6" x14ac:dyDescent="0.2">
      <c r="A60" s="52"/>
      <c r="B60" s="52"/>
      <c r="C60" s="52"/>
      <c r="D60" s="52"/>
      <c r="E60" s="13"/>
      <c r="F60" s="49"/>
    </row>
    <row r="61" spans="1:6" x14ac:dyDescent="0.2">
      <c r="A61" s="41" t="s">
        <v>100</v>
      </c>
      <c r="B61" s="52"/>
      <c r="C61" s="52"/>
      <c r="D61" s="52"/>
      <c r="E61" s="50">
        <v>622.91695860000004</v>
      </c>
      <c r="F61" s="6">
        <v>1.0900000000000001</v>
      </c>
    </row>
    <row r="62" spans="1:6" x14ac:dyDescent="0.2">
      <c r="A62" s="52"/>
      <c r="B62" s="52"/>
      <c r="C62" s="52"/>
      <c r="D62" s="52"/>
      <c r="E62" s="13"/>
      <c r="F62" s="49"/>
    </row>
    <row r="63" spans="1:6" x14ac:dyDescent="0.2">
      <c r="A63" s="57" t="s">
        <v>101</v>
      </c>
      <c r="B63" s="34"/>
      <c r="C63" s="34"/>
      <c r="D63" s="34"/>
      <c r="E63" s="51">
        <f>E59+E61</f>
        <v>57302.812178600012</v>
      </c>
      <c r="F63" s="8">
        <f>F59+F61</f>
        <v>100.00292998902646</v>
      </c>
    </row>
    <row r="64" spans="1:6" x14ac:dyDescent="0.2">
      <c r="A64" s="4" t="s">
        <v>1964</v>
      </c>
    </row>
    <row r="65" spans="1:4" x14ac:dyDescent="0.2">
      <c r="A65" s="4"/>
    </row>
    <row r="66" spans="1:4" x14ac:dyDescent="0.2">
      <c r="A66" s="4" t="s">
        <v>102</v>
      </c>
    </row>
    <row r="67" spans="1:4" x14ac:dyDescent="0.2">
      <c r="A67" s="4" t="s">
        <v>833</v>
      </c>
    </row>
    <row r="68" spans="1:4" x14ac:dyDescent="0.2">
      <c r="A68" s="4" t="s">
        <v>104</v>
      </c>
    </row>
    <row r="69" spans="1:4" x14ac:dyDescent="0.2">
      <c r="A69" s="2" t="s">
        <v>598</v>
      </c>
      <c r="D69" s="10">
        <v>14.851800000000001</v>
      </c>
    </row>
    <row r="70" spans="1:4" x14ac:dyDescent="0.2">
      <c r="A70" s="2" t="s">
        <v>599</v>
      </c>
      <c r="D70" s="10">
        <v>10.454000000000001</v>
      </c>
    </row>
    <row r="71" spans="1:4" x14ac:dyDescent="0.2">
      <c r="A71" s="2" t="s">
        <v>600</v>
      </c>
      <c r="D71" s="10">
        <v>15.202199999999999</v>
      </c>
    </row>
    <row r="72" spans="1:4" x14ac:dyDescent="0.2">
      <c r="A72" s="2" t="s">
        <v>601</v>
      </c>
      <c r="D72" s="10">
        <v>10.7371</v>
      </c>
    </row>
    <row r="74" spans="1:4" x14ac:dyDescent="0.2">
      <c r="A74" s="4" t="s">
        <v>105</v>
      </c>
    </row>
    <row r="75" spans="1:4" x14ac:dyDescent="0.2">
      <c r="A75" s="2" t="s">
        <v>598</v>
      </c>
      <c r="D75" s="10">
        <v>15.829499999999999</v>
      </c>
    </row>
    <row r="76" spans="1:4" x14ac:dyDescent="0.2">
      <c r="A76" s="2" t="s">
        <v>599</v>
      </c>
      <c r="D76" s="10">
        <v>10.7303</v>
      </c>
    </row>
    <row r="77" spans="1:4" x14ac:dyDescent="0.2">
      <c r="A77" s="2" t="s">
        <v>600</v>
      </c>
      <c r="D77" s="10">
        <v>16.2303</v>
      </c>
    </row>
    <row r="78" spans="1:4" x14ac:dyDescent="0.2">
      <c r="A78" s="2" t="s">
        <v>601</v>
      </c>
      <c r="D78" s="10">
        <v>11.050700000000001</v>
      </c>
    </row>
    <row r="80" spans="1:4" x14ac:dyDescent="0.2">
      <c r="A80" s="4" t="s">
        <v>106</v>
      </c>
      <c r="D80" s="17"/>
    </row>
    <row r="81" spans="1:5" x14ac:dyDescent="0.2">
      <c r="A81" s="70" t="s">
        <v>602</v>
      </c>
      <c r="B81" s="71"/>
      <c r="C81" s="103" t="s">
        <v>603</v>
      </c>
      <c r="D81" s="103"/>
    </row>
    <row r="82" spans="1:5" x14ac:dyDescent="0.2">
      <c r="A82" s="104"/>
      <c r="B82" s="104"/>
      <c r="C82" s="20" t="s">
        <v>604</v>
      </c>
      <c r="D82" s="20" t="s">
        <v>605</v>
      </c>
    </row>
    <row r="83" spans="1:5" x14ac:dyDescent="0.2">
      <c r="A83" s="21" t="s">
        <v>1747</v>
      </c>
      <c r="B83" s="22"/>
      <c r="C83" s="72">
        <v>0.28812908000000004</v>
      </c>
      <c r="D83" s="72">
        <v>0.26680896400000004</v>
      </c>
    </row>
    <row r="84" spans="1:5" x14ac:dyDescent="0.2">
      <c r="A84" s="21" t="s">
        <v>1748</v>
      </c>
      <c r="B84" s="22"/>
      <c r="C84" s="72">
        <v>0.28812908000000004</v>
      </c>
      <c r="D84" s="72">
        <v>0.26680896400000004</v>
      </c>
    </row>
    <row r="86" spans="1:5" x14ac:dyDescent="0.2">
      <c r="A86" s="4" t="s">
        <v>834</v>
      </c>
      <c r="D86" s="59">
        <v>4.041703121995444</v>
      </c>
      <c r="E86" s="59" t="s">
        <v>1106</v>
      </c>
    </row>
    <row r="88" spans="1:5" x14ac:dyDescent="0.2">
      <c r="A88" s="4" t="s">
        <v>836</v>
      </c>
      <c r="D88" s="67" t="s">
        <v>107</v>
      </c>
    </row>
  </sheetData>
  <mergeCells count="3">
    <mergeCell ref="A1:F1"/>
    <mergeCell ref="C81:D81"/>
    <mergeCell ref="A82:B8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EA5D-2C44-43E4-979F-B6A60E850B1A}">
  <dimension ref="A1:G113"/>
  <sheetViews>
    <sheetView showGridLines="0" zoomScaleNormal="100" workbookViewId="0">
      <selection sqref="A1:G1"/>
    </sheetView>
  </sheetViews>
  <sheetFormatPr defaultRowHeight="11.25" x14ac:dyDescent="0.2"/>
  <cols>
    <col min="1" max="1" width="59" style="1" bestFit="1" customWidth="1"/>
    <col min="2" max="2" width="38.28515625" style="1" bestFit="1" customWidth="1"/>
    <col min="3" max="3" width="33.85546875" style="1" bestFit="1" customWidth="1"/>
    <col min="4" max="4" width="11.140625" style="1" bestFit="1" customWidth="1"/>
    <col min="5" max="5" width="24" style="59" bestFit="1" customWidth="1"/>
    <col min="6" max="6" width="14.140625" style="1" bestFit="1" customWidth="1"/>
    <col min="7" max="7" width="19.42578125" style="2" customWidth="1"/>
    <col min="8" max="16384" width="9.140625" style="2"/>
  </cols>
  <sheetData>
    <row r="1" spans="1:7" x14ac:dyDescent="0.2">
      <c r="A1" s="109" t="s">
        <v>1749</v>
      </c>
      <c r="B1" s="109"/>
      <c r="C1" s="109"/>
      <c r="D1" s="109"/>
      <c r="E1" s="109"/>
      <c r="F1" s="109"/>
      <c r="G1" s="109"/>
    </row>
    <row r="3" spans="1:7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56" t="s">
        <v>5</v>
      </c>
      <c r="F3" s="3" t="s">
        <v>6</v>
      </c>
      <c r="G3" s="3" t="s">
        <v>1750</v>
      </c>
    </row>
    <row r="4" spans="1:7" x14ac:dyDescent="0.2">
      <c r="A4" s="5"/>
      <c r="B4" s="5"/>
      <c r="C4" s="5"/>
      <c r="D4" s="5"/>
      <c r="E4" s="35"/>
      <c r="F4" s="5"/>
      <c r="G4" s="5"/>
    </row>
    <row r="5" spans="1:7" x14ac:dyDescent="0.2">
      <c r="A5" s="6" t="s">
        <v>7</v>
      </c>
      <c r="B5" s="49"/>
      <c r="C5" s="49"/>
      <c r="D5" s="49"/>
      <c r="E5" s="13"/>
      <c r="F5" s="49"/>
      <c r="G5" s="85"/>
    </row>
    <row r="6" spans="1:7" x14ac:dyDescent="0.2">
      <c r="A6" s="6" t="s">
        <v>8</v>
      </c>
      <c r="B6" s="49"/>
      <c r="C6" s="49"/>
      <c r="D6" s="49"/>
      <c r="E6" s="13"/>
      <c r="F6" s="49"/>
      <c r="G6" s="85"/>
    </row>
    <row r="7" spans="1:7" x14ac:dyDescent="0.2">
      <c r="A7" s="6"/>
      <c r="B7" s="49"/>
      <c r="C7" s="49"/>
      <c r="D7" s="49"/>
      <c r="E7" s="13"/>
      <c r="F7" s="49"/>
      <c r="G7" s="85"/>
    </row>
    <row r="8" spans="1:7" x14ac:dyDescent="0.2">
      <c r="A8" s="49" t="s">
        <v>370</v>
      </c>
      <c r="B8" s="49" t="s">
        <v>371</v>
      </c>
      <c r="C8" s="49" t="s">
        <v>117</v>
      </c>
      <c r="D8" s="27">
        <v>157500</v>
      </c>
      <c r="E8" s="13">
        <v>2306.3512500000002</v>
      </c>
      <c r="F8" s="49">
        <f>E8/$E$77*100</f>
        <v>8.5505113238487382</v>
      </c>
      <c r="G8" s="86">
        <v>-8.5872977624325806</v>
      </c>
    </row>
    <row r="9" spans="1:7" x14ac:dyDescent="0.2">
      <c r="A9" s="49" t="s">
        <v>121</v>
      </c>
      <c r="B9" s="49" t="s">
        <v>122</v>
      </c>
      <c r="C9" s="49" t="s">
        <v>11</v>
      </c>
      <c r="D9" s="27">
        <v>195000</v>
      </c>
      <c r="E9" s="13">
        <v>1435.8824999999999</v>
      </c>
      <c r="F9" s="49">
        <f>E9/$E$77*100</f>
        <v>5.323356351711924</v>
      </c>
      <c r="G9" s="86">
        <v>-1.9714194442518287</v>
      </c>
    </row>
    <row r="10" spans="1:7" x14ac:dyDescent="0.2">
      <c r="A10" s="49" t="s">
        <v>293</v>
      </c>
      <c r="B10" s="49" t="s">
        <v>294</v>
      </c>
      <c r="C10" s="49" t="s">
        <v>30</v>
      </c>
      <c r="D10" s="27">
        <v>58500</v>
      </c>
      <c r="E10" s="13">
        <v>1247.1614999999999</v>
      </c>
      <c r="F10" s="49">
        <f>E10/$E$77*100</f>
        <v>4.6236966413585865</v>
      </c>
      <c r="G10" s="86">
        <v>-4.6369264126950887</v>
      </c>
    </row>
    <row r="11" spans="1:7" x14ac:dyDescent="0.2">
      <c r="A11" s="49" t="s">
        <v>372</v>
      </c>
      <c r="B11" s="49" t="s">
        <v>373</v>
      </c>
      <c r="C11" s="49" t="s">
        <v>36</v>
      </c>
      <c r="D11" s="27">
        <v>56100</v>
      </c>
      <c r="E11" s="13">
        <v>1220.3713499999999</v>
      </c>
      <c r="F11" s="49">
        <f>E11/$E$77*100</f>
        <v>4.5243754816078301</v>
      </c>
      <c r="G11" s="86">
        <v>-4.5404942257099119</v>
      </c>
    </row>
    <row r="12" spans="1:7" x14ac:dyDescent="0.2">
      <c r="A12" s="49" t="s">
        <v>374</v>
      </c>
      <c r="B12" s="49" t="s">
        <v>375</v>
      </c>
      <c r="C12" s="49" t="s">
        <v>30</v>
      </c>
      <c r="D12" s="27">
        <v>25000</v>
      </c>
      <c r="E12" s="13">
        <v>1006.8875</v>
      </c>
      <c r="F12" s="49">
        <f>E12/$E$77*100</f>
        <v>3.7329105749142708</v>
      </c>
      <c r="G12" s="86">
        <v>-3.7497327936166323</v>
      </c>
    </row>
    <row r="13" spans="1:7" x14ac:dyDescent="0.2">
      <c r="A13" s="49" t="s">
        <v>376</v>
      </c>
      <c r="B13" s="49" t="s">
        <v>377</v>
      </c>
      <c r="C13" s="49" t="s">
        <v>92</v>
      </c>
      <c r="D13" s="27">
        <v>58500</v>
      </c>
      <c r="E13" s="13">
        <v>778.75199999999995</v>
      </c>
      <c r="F13" s="49">
        <f>E13/$E$77*100</f>
        <v>2.8871264923197852</v>
      </c>
      <c r="G13" s="86">
        <v>-2.9002478229076276</v>
      </c>
    </row>
    <row r="14" spans="1:7" x14ac:dyDescent="0.2">
      <c r="A14" s="49" t="s">
        <v>185</v>
      </c>
      <c r="B14" s="49" t="s">
        <v>186</v>
      </c>
      <c r="C14" s="49" t="s">
        <v>78</v>
      </c>
      <c r="D14" s="27">
        <v>82195</v>
      </c>
      <c r="E14" s="13">
        <v>563.52891999999997</v>
      </c>
      <c r="F14" s="49">
        <f>E14/$E$77*100</f>
        <v>2.0892136060265103</v>
      </c>
      <c r="G14" s="86">
        <v>-0.76525802169649471</v>
      </c>
    </row>
    <row r="15" spans="1:7" x14ac:dyDescent="0.2">
      <c r="A15" s="49" t="s">
        <v>9</v>
      </c>
      <c r="B15" s="49" t="s">
        <v>10</v>
      </c>
      <c r="C15" s="49" t="s">
        <v>11</v>
      </c>
      <c r="D15" s="27">
        <v>44878</v>
      </c>
      <c r="E15" s="13">
        <v>552.15647300000001</v>
      </c>
      <c r="F15" s="49">
        <f>E15/$E$77*100</f>
        <v>2.0470516687008886</v>
      </c>
      <c r="G15" s="86"/>
    </row>
    <row r="16" spans="1:7" x14ac:dyDescent="0.2">
      <c r="A16" s="49" t="s">
        <v>183</v>
      </c>
      <c r="B16" s="49" t="s">
        <v>184</v>
      </c>
      <c r="C16" s="49" t="s">
        <v>57</v>
      </c>
      <c r="D16" s="27">
        <v>63712</v>
      </c>
      <c r="E16" s="13">
        <v>489.786</v>
      </c>
      <c r="F16" s="49">
        <f>E16/$E$77*100</f>
        <v>1.8158208725850316</v>
      </c>
      <c r="G16" s="86"/>
    </row>
    <row r="17" spans="1:7" x14ac:dyDescent="0.2">
      <c r="A17" s="49" t="s">
        <v>20</v>
      </c>
      <c r="B17" s="49" t="s">
        <v>21</v>
      </c>
      <c r="C17" s="49" t="s">
        <v>11</v>
      </c>
      <c r="D17" s="27">
        <v>29128</v>
      </c>
      <c r="E17" s="13">
        <v>458.62036000000001</v>
      </c>
      <c r="F17" s="49">
        <f>E17/$E$77*100</f>
        <v>1.7002781261213291</v>
      </c>
      <c r="G17" s="86"/>
    </row>
    <row r="18" spans="1:7" x14ac:dyDescent="0.2">
      <c r="A18" s="49" t="s">
        <v>109</v>
      </c>
      <c r="B18" s="49" t="s">
        <v>110</v>
      </c>
      <c r="C18" s="49" t="s">
        <v>11</v>
      </c>
      <c r="D18" s="27">
        <v>95061</v>
      </c>
      <c r="E18" s="13">
        <v>440.17996049999999</v>
      </c>
      <c r="F18" s="49">
        <f>E18/$E$77*100</f>
        <v>1.6319126311686218</v>
      </c>
      <c r="G18" s="86"/>
    </row>
    <row r="19" spans="1:7" x14ac:dyDescent="0.2">
      <c r="A19" s="49" t="s">
        <v>191</v>
      </c>
      <c r="B19" s="49" t="s">
        <v>192</v>
      </c>
      <c r="C19" s="49" t="s">
        <v>57</v>
      </c>
      <c r="D19" s="27">
        <v>215000</v>
      </c>
      <c r="E19" s="13">
        <v>434.94499999999999</v>
      </c>
      <c r="F19" s="49">
        <f>E19/$E$77*100</f>
        <v>1.612504664131879</v>
      </c>
      <c r="G19" s="86">
        <v>-1.6200769796579559</v>
      </c>
    </row>
    <row r="20" spans="1:7" x14ac:dyDescent="0.2">
      <c r="A20" s="49" t="s">
        <v>378</v>
      </c>
      <c r="B20" s="49" t="s">
        <v>379</v>
      </c>
      <c r="C20" s="49" t="s">
        <v>36</v>
      </c>
      <c r="D20" s="27">
        <v>24000</v>
      </c>
      <c r="E20" s="13">
        <v>434.30399999999997</v>
      </c>
      <c r="F20" s="49">
        <f>E20/$E$77*100</f>
        <v>1.6101282361014189</v>
      </c>
      <c r="G20" s="86">
        <v>-1.6167570244297542</v>
      </c>
    </row>
    <row r="21" spans="1:7" x14ac:dyDescent="0.2">
      <c r="A21" s="49" t="s">
        <v>113</v>
      </c>
      <c r="B21" s="49" t="s">
        <v>114</v>
      </c>
      <c r="C21" s="49" t="s">
        <v>42</v>
      </c>
      <c r="D21" s="27">
        <v>108461</v>
      </c>
      <c r="E21" s="13">
        <v>405.91529250000002</v>
      </c>
      <c r="F21" s="49">
        <f>E21/$E$77*100</f>
        <v>1.5048806226044809</v>
      </c>
      <c r="G21" s="86">
        <v>-0.25778429111202361</v>
      </c>
    </row>
    <row r="22" spans="1:7" x14ac:dyDescent="0.2">
      <c r="A22" s="49" t="s">
        <v>209</v>
      </c>
      <c r="B22" s="49" t="s">
        <v>210</v>
      </c>
      <c r="C22" s="49" t="s">
        <v>30</v>
      </c>
      <c r="D22" s="27">
        <v>86040</v>
      </c>
      <c r="E22" s="13">
        <v>392.51447999999999</v>
      </c>
      <c r="F22" s="49">
        <f>E22/$E$77*100</f>
        <v>1.4551987716591732</v>
      </c>
      <c r="G22" s="86"/>
    </row>
    <row r="23" spans="1:7" x14ac:dyDescent="0.2">
      <c r="A23" s="49" t="s">
        <v>193</v>
      </c>
      <c r="B23" s="49" t="s">
        <v>194</v>
      </c>
      <c r="C23" s="49" t="s">
        <v>178</v>
      </c>
      <c r="D23" s="27">
        <v>148800</v>
      </c>
      <c r="E23" s="13">
        <v>374.60399999999998</v>
      </c>
      <c r="F23" s="49">
        <f>E23/$E$77*100</f>
        <v>1.3887978875546527</v>
      </c>
      <c r="G23" s="86">
        <v>-1.3943144630762205</v>
      </c>
    </row>
    <row r="24" spans="1:7" x14ac:dyDescent="0.2">
      <c r="A24" s="49" t="s">
        <v>236</v>
      </c>
      <c r="B24" s="49" t="s">
        <v>237</v>
      </c>
      <c r="C24" s="49" t="s">
        <v>117</v>
      </c>
      <c r="D24" s="27">
        <v>110000</v>
      </c>
      <c r="E24" s="13">
        <v>357.77499999999998</v>
      </c>
      <c r="F24" s="49">
        <f>E24/$E$77*100</f>
        <v>1.326406456471009</v>
      </c>
      <c r="G24" s="86"/>
    </row>
    <row r="25" spans="1:7" x14ac:dyDescent="0.2">
      <c r="A25" s="49" t="s">
        <v>129</v>
      </c>
      <c r="B25" s="49" t="s">
        <v>130</v>
      </c>
      <c r="C25" s="49" t="s">
        <v>131</v>
      </c>
      <c r="D25" s="27">
        <v>123156</v>
      </c>
      <c r="E25" s="13">
        <v>352.71878400000003</v>
      </c>
      <c r="F25" s="49">
        <f>E25/$E$77*100</f>
        <v>1.3076611625077303</v>
      </c>
      <c r="G25" s="86"/>
    </row>
    <row r="26" spans="1:7" x14ac:dyDescent="0.2">
      <c r="A26" s="49" t="s">
        <v>1751</v>
      </c>
      <c r="B26" s="49" t="s">
        <v>1752</v>
      </c>
      <c r="C26" s="49" t="s">
        <v>11</v>
      </c>
      <c r="D26" s="27">
        <v>342000</v>
      </c>
      <c r="E26" s="13">
        <v>332.42399999999998</v>
      </c>
      <c r="F26" s="49">
        <f>E26/$E$77*100</f>
        <v>1.2324207669231184</v>
      </c>
      <c r="G26" s="86">
        <v>-1.2374924573219792</v>
      </c>
    </row>
    <row r="27" spans="1:7" x14ac:dyDescent="0.2">
      <c r="A27" s="49" t="s">
        <v>223</v>
      </c>
      <c r="B27" s="49" t="s">
        <v>224</v>
      </c>
      <c r="C27" s="49" t="s">
        <v>36</v>
      </c>
      <c r="D27" s="27">
        <v>20287</v>
      </c>
      <c r="E27" s="13">
        <v>314.286204</v>
      </c>
      <c r="F27" s="49">
        <f>E27/$E$77*100</f>
        <v>1.1651771369306538</v>
      </c>
      <c r="G27" s="86"/>
    </row>
    <row r="28" spans="1:7" x14ac:dyDescent="0.2">
      <c r="A28" s="49" t="s">
        <v>380</v>
      </c>
      <c r="B28" s="49" t="s">
        <v>381</v>
      </c>
      <c r="C28" s="49" t="s">
        <v>36</v>
      </c>
      <c r="D28" s="27">
        <v>120000</v>
      </c>
      <c r="E28" s="13">
        <v>309.18</v>
      </c>
      <c r="F28" s="49">
        <f>E28/$E$77*100</f>
        <v>1.1462465186547595</v>
      </c>
      <c r="G28" s="86">
        <v>-1.150472927320477</v>
      </c>
    </row>
    <row r="29" spans="1:7" x14ac:dyDescent="0.2">
      <c r="A29" s="49" t="s">
        <v>111</v>
      </c>
      <c r="B29" s="49" t="s">
        <v>112</v>
      </c>
      <c r="C29" s="49" t="s">
        <v>11</v>
      </c>
      <c r="D29" s="27">
        <v>97218</v>
      </c>
      <c r="E29" s="13">
        <v>303.70903199999998</v>
      </c>
      <c r="F29" s="49">
        <f>E29/$E$77*100</f>
        <v>1.1259635830713723</v>
      </c>
      <c r="G29" s="86"/>
    </row>
    <row r="30" spans="1:7" x14ac:dyDescent="0.2">
      <c r="A30" s="49" t="s">
        <v>207</v>
      </c>
      <c r="B30" s="49" t="s">
        <v>208</v>
      </c>
      <c r="C30" s="49" t="s">
        <v>120</v>
      </c>
      <c r="D30" s="27">
        <v>145523</v>
      </c>
      <c r="E30" s="13">
        <v>288.64487050000002</v>
      </c>
      <c r="F30" s="49">
        <f>E30/$E$77*100</f>
        <v>1.0701150719263177</v>
      </c>
      <c r="G30" s="86"/>
    </row>
    <row r="31" spans="1:7" x14ac:dyDescent="0.2">
      <c r="A31" s="49" t="s">
        <v>238</v>
      </c>
      <c r="B31" s="49" t="s">
        <v>239</v>
      </c>
      <c r="C31" s="49" t="s">
        <v>36</v>
      </c>
      <c r="D31" s="27">
        <v>1902</v>
      </c>
      <c r="E31" s="13">
        <v>284.29194000000001</v>
      </c>
      <c r="F31" s="49">
        <f>E31/$E$77*100</f>
        <v>1.0539771217627523</v>
      </c>
      <c r="G31" s="86"/>
    </row>
    <row r="32" spans="1:7" x14ac:dyDescent="0.2">
      <c r="A32" s="49" t="s">
        <v>22</v>
      </c>
      <c r="B32" s="49" t="s">
        <v>23</v>
      </c>
      <c r="C32" s="49" t="s">
        <v>24</v>
      </c>
      <c r="D32" s="27">
        <v>150335</v>
      </c>
      <c r="E32" s="13">
        <v>282.479465</v>
      </c>
      <c r="F32" s="49">
        <f>E32/$E$77*100</f>
        <v>1.0472575954062651</v>
      </c>
      <c r="G32" s="86"/>
    </row>
    <row r="33" spans="1:7" x14ac:dyDescent="0.2">
      <c r="A33" s="49" t="s">
        <v>216</v>
      </c>
      <c r="B33" s="49" t="s">
        <v>217</v>
      </c>
      <c r="C33" s="49" t="s">
        <v>131</v>
      </c>
      <c r="D33" s="27">
        <v>132933</v>
      </c>
      <c r="E33" s="13">
        <v>278.16230250000001</v>
      </c>
      <c r="F33" s="49">
        <f>E33/$E$77*100</f>
        <v>1.0312522506682746</v>
      </c>
      <c r="G33" s="86"/>
    </row>
    <row r="34" spans="1:7" x14ac:dyDescent="0.2">
      <c r="A34" s="49" t="s">
        <v>198</v>
      </c>
      <c r="B34" s="49" t="s">
        <v>199</v>
      </c>
      <c r="C34" s="49" t="s">
        <v>33</v>
      </c>
      <c r="D34" s="27">
        <v>40438</v>
      </c>
      <c r="E34" s="13">
        <v>245.23625100000001</v>
      </c>
      <c r="F34" s="49">
        <f>E34/$E$77*100</f>
        <v>0.90918299681963521</v>
      </c>
      <c r="G34" s="86"/>
    </row>
    <row r="35" spans="1:7" x14ac:dyDescent="0.2">
      <c r="A35" s="49" t="s">
        <v>200</v>
      </c>
      <c r="B35" s="49" t="s">
        <v>201</v>
      </c>
      <c r="C35" s="49" t="s">
        <v>36</v>
      </c>
      <c r="D35" s="27">
        <v>18456</v>
      </c>
      <c r="E35" s="13">
        <v>235.52624399999999</v>
      </c>
      <c r="F35" s="49">
        <f>E35/$E$77*100</f>
        <v>0.87318434968895597</v>
      </c>
      <c r="G35" s="86"/>
    </row>
    <row r="36" spans="1:7" x14ac:dyDescent="0.2">
      <c r="A36" s="49" t="s">
        <v>118</v>
      </c>
      <c r="B36" s="49" t="s">
        <v>119</v>
      </c>
      <c r="C36" s="49" t="s">
        <v>120</v>
      </c>
      <c r="D36" s="27">
        <v>183537</v>
      </c>
      <c r="E36" s="13">
        <v>224.64928800000001</v>
      </c>
      <c r="F36" s="49">
        <f>E36/$E$77*100</f>
        <v>0.83285938381612801</v>
      </c>
      <c r="G36" s="86"/>
    </row>
    <row r="37" spans="1:7" x14ac:dyDescent="0.2">
      <c r="A37" s="49" t="s">
        <v>176</v>
      </c>
      <c r="B37" s="49" t="s">
        <v>177</v>
      </c>
      <c r="C37" s="49" t="s">
        <v>178</v>
      </c>
      <c r="D37" s="27">
        <v>7942</v>
      </c>
      <c r="E37" s="13">
        <v>221.04174399999999</v>
      </c>
      <c r="F37" s="49">
        <f>E37/$E$77*100</f>
        <v>0.81948486169020163</v>
      </c>
      <c r="G37" s="86"/>
    </row>
    <row r="38" spans="1:7" x14ac:dyDescent="0.2">
      <c r="A38" s="49" t="s">
        <v>252</v>
      </c>
      <c r="B38" s="49" t="s">
        <v>253</v>
      </c>
      <c r="C38" s="49" t="s">
        <v>78</v>
      </c>
      <c r="D38" s="27">
        <v>29733</v>
      </c>
      <c r="E38" s="13">
        <v>219.72686999999999</v>
      </c>
      <c r="F38" s="49">
        <f>E38/$E$77*100</f>
        <v>0.81461012934991561</v>
      </c>
      <c r="G38" s="86"/>
    </row>
    <row r="39" spans="1:7" x14ac:dyDescent="0.2">
      <c r="A39" s="49" t="s">
        <v>285</v>
      </c>
      <c r="B39" s="49" t="s">
        <v>286</v>
      </c>
      <c r="C39" s="49" t="s">
        <v>36</v>
      </c>
      <c r="D39" s="27">
        <v>41250</v>
      </c>
      <c r="E39" s="13">
        <v>190.55437499999999</v>
      </c>
      <c r="F39" s="49">
        <f>E39/$E$77*100</f>
        <v>0.70645672086869638</v>
      </c>
      <c r="G39" s="86">
        <v>-0.70729783180381456</v>
      </c>
    </row>
    <row r="40" spans="1:7" x14ac:dyDescent="0.2">
      <c r="A40" s="49" t="s">
        <v>205</v>
      </c>
      <c r="B40" s="49" t="s">
        <v>206</v>
      </c>
      <c r="C40" s="49" t="s">
        <v>120</v>
      </c>
      <c r="D40" s="27">
        <v>317938</v>
      </c>
      <c r="E40" s="13">
        <v>188.53723400000001</v>
      </c>
      <c r="F40" s="49">
        <f>E40/$E$77*100</f>
        <v>0.69897842069117588</v>
      </c>
      <c r="G40" s="86"/>
    </row>
    <row r="41" spans="1:7" x14ac:dyDescent="0.2">
      <c r="A41" s="49" t="s">
        <v>15</v>
      </c>
      <c r="B41" s="49" t="s">
        <v>16</v>
      </c>
      <c r="C41" s="49" t="s">
        <v>1753</v>
      </c>
      <c r="D41" s="27">
        <v>122059</v>
      </c>
      <c r="E41" s="13">
        <v>185.52968000000001</v>
      </c>
      <c r="F41" s="49">
        <f>E41/$E$77*100</f>
        <v>0.68782828710502475</v>
      </c>
      <c r="G41" s="86"/>
    </row>
    <row r="42" spans="1:7" x14ac:dyDescent="0.2">
      <c r="A42" s="49" t="s">
        <v>115</v>
      </c>
      <c r="B42" s="49" t="s">
        <v>116</v>
      </c>
      <c r="C42" s="49" t="s">
        <v>117</v>
      </c>
      <c r="D42" s="27">
        <v>121901</v>
      </c>
      <c r="E42" s="13">
        <v>178.95066800000001</v>
      </c>
      <c r="F42" s="49">
        <f>E42/$E$77*100</f>
        <v>0.66343741576409754</v>
      </c>
      <c r="G42" s="86"/>
    </row>
    <row r="43" spans="1:7" x14ac:dyDescent="0.2">
      <c r="A43" s="49" t="s">
        <v>231</v>
      </c>
      <c r="B43" s="49" t="s">
        <v>232</v>
      </c>
      <c r="C43" s="49" t="s">
        <v>233</v>
      </c>
      <c r="D43" s="27">
        <v>92685</v>
      </c>
      <c r="E43" s="13">
        <v>176.37955500000001</v>
      </c>
      <c r="F43" s="49">
        <f>E43/$E$77*100</f>
        <v>0.65390533307660803</v>
      </c>
      <c r="G43" s="86"/>
    </row>
    <row r="44" spans="1:7" x14ac:dyDescent="0.2">
      <c r="A44" s="49" t="s">
        <v>31</v>
      </c>
      <c r="B44" s="49" t="s">
        <v>32</v>
      </c>
      <c r="C44" s="49" t="s">
        <v>33</v>
      </c>
      <c r="D44" s="27">
        <v>96169</v>
      </c>
      <c r="E44" s="13">
        <v>170.892313</v>
      </c>
      <c r="F44" s="49">
        <f>E44/$E$77*100</f>
        <v>0.6335620636558299</v>
      </c>
      <c r="G44" s="86"/>
    </row>
    <row r="45" spans="1:7" x14ac:dyDescent="0.2">
      <c r="A45" s="49" t="s">
        <v>262</v>
      </c>
      <c r="B45" s="49" t="s">
        <v>263</v>
      </c>
      <c r="C45" s="49" t="s">
        <v>264</v>
      </c>
      <c r="D45" s="27">
        <v>38144</v>
      </c>
      <c r="E45" s="13">
        <v>145.156992</v>
      </c>
      <c r="F45" s="49">
        <f>E45/$E$77*100</f>
        <v>0.53815155164757356</v>
      </c>
      <c r="G45" s="86"/>
    </row>
    <row r="46" spans="1:7" x14ac:dyDescent="0.2">
      <c r="A46" s="49" t="s">
        <v>254</v>
      </c>
      <c r="B46" s="49" t="s">
        <v>255</v>
      </c>
      <c r="C46" s="49" t="s">
        <v>11</v>
      </c>
      <c r="D46" s="27">
        <v>100633</v>
      </c>
      <c r="E46" s="13">
        <v>133.84189000000001</v>
      </c>
      <c r="F46" s="49">
        <f>E46/$E$77*100</f>
        <v>0.49620221379996532</v>
      </c>
      <c r="G46" s="86"/>
    </row>
    <row r="47" spans="1:7" x14ac:dyDescent="0.2">
      <c r="A47" s="49" t="s">
        <v>269</v>
      </c>
      <c r="B47" s="49" t="s">
        <v>270</v>
      </c>
      <c r="C47" s="49" t="s">
        <v>248</v>
      </c>
      <c r="D47" s="27">
        <v>76471</v>
      </c>
      <c r="E47" s="13">
        <v>117.80357549999999</v>
      </c>
      <c r="F47" s="49">
        <f>E47/$E$77*100</f>
        <v>0.4367421511804066</v>
      </c>
      <c r="G47" s="86"/>
    </row>
    <row r="48" spans="1:7" x14ac:dyDescent="0.2">
      <c r="A48" s="49" t="s">
        <v>225</v>
      </c>
      <c r="B48" s="49" t="s">
        <v>226</v>
      </c>
      <c r="C48" s="49" t="s">
        <v>30</v>
      </c>
      <c r="D48" s="27">
        <v>21957</v>
      </c>
      <c r="E48" s="13">
        <v>117.7663695</v>
      </c>
      <c r="F48" s="49">
        <f>E48/$E$77*100</f>
        <v>0.43660421454811127</v>
      </c>
      <c r="G48" s="86"/>
    </row>
    <row r="49" spans="1:7" x14ac:dyDescent="0.2">
      <c r="A49" s="49" t="s">
        <v>343</v>
      </c>
      <c r="B49" s="49" t="s">
        <v>344</v>
      </c>
      <c r="C49" s="49" t="s">
        <v>33</v>
      </c>
      <c r="D49" s="27">
        <v>3091</v>
      </c>
      <c r="E49" s="13">
        <v>100.37558850000001</v>
      </c>
      <c r="F49" s="49">
        <f>E49/$E$77*100</f>
        <v>0.37213005005513849</v>
      </c>
      <c r="G49" s="86"/>
    </row>
    <row r="50" spans="1:7" x14ac:dyDescent="0.2">
      <c r="A50" s="49" t="s">
        <v>234</v>
      </c>
      <c r="B50" s="49" t="s">
        <v>235</v>
      </c>
      <c r="C50" s="49" t="s">
        <v>39</v>
      </c>
      <c r="D50" s="27">
        <v>64953</v>
      </c>
      <c r="E50" s="13">
        <v>97.884170999999995</v>
      </c>
      <c r="F50" s="49">
        <f>E50/$E$77*100</f>
        <v>0.3628934285534548</v>
      </c>
      <c r="G50" s="86"/>
    </row>
    <row r="51" spans="1:7" x14ac:dyDescent="0.2">
      <c r="A51" s="49" t="s">
        <v>136</v>
      </c>
      <c r="B51" s="49" t="s">
        <v>137</v>
      </c>
      <c r="C51" s="49" t="s">
        <v>131</v>
      </c>
      <c r="D51" s="27">
        <v>47372</v>
      </c>
      <c r="E51" s="13">
        <v>65.065442000000004</v>
      </c>
      <c r="F51" s="49">
        <f>E51/$E$77*100</f>
        <v>0.24122205956799656</v>
      </c>
      <c r="G51" s="86"/>
    </row>
    <row r="52" spans="1:7" x14ac:dyDescent="0.2">
      <c r="A52" s="49" t="s">
        <v>382</v>
      </c>
      <c r="B52" s="49" t="s">
        <v>383</v>
      </c>
      <c r="C52" s="49" t="s">
        <v>30</v>
      </c>
      <c r="D52" s="27">
        <v>500</v>
      </c>
      <c r="E52" s="13">
        <v>40.671750000000003</v>
      </c>
      <c r="F52" s="49">
        <f>E52/$E$77*100</f>
        <v>0.1507854707455098</v>
      </c>
      <c r="G52" s="86">
        <v>-0.15145187158556475</v>
      </c>
    </row>
    <row r="53" spans="1:7" x14ac:dyDescent="0.2">
      <c r="A53" s="49" t="s">
        <v>145</v>
      </c>
      <c r="B53" s="49" t="s">
        <v>146</v>
      </c>
      <c r="C53" s="49" t="s">
        <v>30</v>
      </c>
      <c r="D53" s="27">
        <v>2500</v>
      </c>
      <c r="E53" s="13">
        <v>8.8249999999999993</v>
      </c>
      <c r="F53" s="49">
        <f>E53/$E$77*100</f>
        <v>3.2717593399082257E-2</v>
      </c>
      <c r="G53" s="86">
        <v>-3.2884425320097416E-2</v>
      </c>
    </row>
    <row r="54" spans="1:7" x14ac:dyDescent="0.2">
      <c r="A54" s="6" t="s">
        <v>43</v>
      </c>
      <c r="B54" s="49"/>
      <c r="C54" s="49"/>
      <c r="D54" s="27"/>
      <c r="E54" s="50">
        <f>SUM(E8:E53)</f>
        <v>18710.047184499999</v>
      </c>
      <c r="F54" s="6">
        <f>SUM(F8:F53)</f>
        <v>69.365180312760856</v>
      </c>
      <c r="G54" s="6">
        <f>SUM(G8:G53)</f>
        <v>-35.319908754938055</v>
      </c>
    </row>
    <row r="55" spans="1:7" x14ac:dyDescent="0.2">
      <c r="A55" s="6"/>
      <c r="B55" s="49"/>
      <c r="C55" s="49"/>
      <c r="D55" s="27"/>
      <c r="E55" s="50"/>
      <c r="F55" s="6"/>
      <c r="G55" s="87"/>
    </row>
    <row r="56" spans="1:7" x14ac:dyDescent="0.2">
      <c r="A56" s="41" t="s">
        <v>1754</v>
      </c>
      <c r="B56" s="52"/>
      <c r="C56" s="77"/>
      <c r="D56" s="101"/>
      <c r="E56" s="82"/>
      <c r="F56" s="83"/>
      <c r="G56" s="87"/>
    </row>
    <row r="57" spans="1:7" x14ac:dyDescent="0.2">
      <c r="A57" s="52" t="s">
        <v>630</v>
      </c>
      <c r="B57" s="52" t="s">
        <v>631</v>
      </c>
      <c r="C57" s="77"/>
      <c r="D57" s="27">
        <v>62000</v>
      </c>
      <c r="E57" s="81">
        <v>256.09100000000001</v>
      </c>
      <c r="F57" s="49">
        <f>E57/$E$77*100</f>
        <v>0.94942563299313021</v>
      </c>
      <c r="G57" s="87"/>
    </row>
    <row r="58" spans="1:7" x14ac:dyDescent="0.2">
      <c r="A58" s="41" t="s">
        <v>43</v>
      </c>
      <c r="B58" s="52"/>
      <c r="C58" s="77"/>
      <c r="D58" s="101"/>
      <c r="E58" s="82">
        <f>SUM(E57)</f>
        <v>256.09100000000001</v>
      </c>
      <c r="F58" s="83">
        <f>SUM(F57)</f>
        <v>0.94942563299313021</v>
      </c>
      <c r="G58" s="87"/>
    </row>
    <row r="59" spans="1:7" x14ac:dyDescent="0.2">
      <c r="A59" s="41"/>
      <c r="B59" s="52"/>
      <c r="C59" s="77"/>
      <c r="D59" s="101"/>
      <c r="E59" s="82"/>
      <c r="F59" s="83"/>
      <c r="G59" s="87"/>
    </row>
    <row r="60" spans="1:7" x14ac:dyDescent="0.2">
      <c r="A60" s="6" t="s">
        <v>682</v>
      </c>
      <c r="B60" s="49"/>
      <c r="C60" s="49"/>
      <c r="D60" s="27"/>
      <c r="E60" s="13"/>
      <c r="F60" s="49"/>
      <c r="G60" s="85"/>
    </row>
    <row r="61" spans="1:7" x14ac:dyDescent="0.2">
      <c r="A61" s="6" t="s">
        <v>8</v>
      </c>
      <c r="B61" s="49"/>
      <c r="C61" s="49"/>
      <c r="D61" s="27"/>
      <c r="E61" s="13"/>
      <c r="F61" s="49"/>
      <c r="G61" s="85"/>
    </row>
    <row r="62" spans="1:7" x14ac:dyDescent="0.2">
      <c r="A62" s="49" t="s">
        <v>1145</v>
      </c>
      <c r="B62" s="52" t="s">
        <v>1146</v>
      </c>
      <c r="C62" s="49" t="s">
        <v>691</v>
      </c>
      <c r="D62" s="27">
        <v>100</v>
      </c>
      <c r="E62" s="13">
        <v>1017.176</v>
      </c>
      <c r="F62" s="49">
        <f t="shared" ref="F62:F64" si="0">E62/$E$77*100</f>
        <v>3.7710539131223677</v>
      </c>
      <c r="G62" s="85"/>
    </row>
    <row r="63" spans="1:7" x14ac:dyDescent="0.2">
      <c r="A63" s="49" t="s">
        <v>1755</v>
      </c>
      <c r="B63" s="52" t="s">
        <v>1756</v>
      </c>
      <c r="C63" s="49" t="s">
        <v>848</v>
      </c>
      <c r="D63" s="27">
        <v>80</v>
      </c>
      <c r="E63" s="13">
        <v>784.41679999999997</v>
      </c>
      <c r="F63" s="49">
        <f t="shared" si="0"/>
        <v>2.9081280360123767</v>
      </c>
      <c r="G63" s="85"/>
    </row>
    <row r="64" spans="1:7" x14ac:dyDescent="0.2">
      <c r="A64" s="49" t="s">
        <v>719</v>
      </c>
      <c r="B64" s="52" t="s">
        <v>720</v>
      </c>
      <c r="C64" s="49" t="s">
        <v>688</v>
      </c>
      <c r="D64" s="27">
        <v>50</v>
      </c>
      <c r="E64" s="13">
        <v>519.43700000000001</v>
      </c>
      <c r="F64" s="49">
        <f t="shared" si="0"/>
        <v>1.9257482790299252</v>
      </c>
      <c r="G64" s="85"/>
    </row>
    <row r="65" spans="1:7" x14ac:dyDescent="0.2">
      <c r="A65" s="6" t="s">
        <v>43</v>
      </c>
      <c r="B65" s="49"/>
      <c r="C65" s="49"/>
      <c r="D65" s="27"/>
      <c r="E65" s="50">
        <f>SUM(E62:E64)</f>
        <v>2321.0297999999998</v>
      </c>
      <c r="F65" s="6">
        <f>SUM(F62:F64)</f>
        <v>8.6049302281646689</v>
      </c>
      <c r="G65" s="85"/>
    </row>
    <row r="66" spans="1:7" x14ac:dyDescent="0.2">
      <c r="A66" s="6"/>
      <c r="B66" s="49"/>
      <c r="C66" s="49"/>
      <c r="D66" s="27"/>
      <c r="E66" s="50"/>
      <c r="F66" s="6"/>
      <c r="G66" s="85"/>
    </row>
    <row r="67" spans="1:7" x14ac:dyDescent="0.2">
      <c r="A67" s="41" t="s">
        <v>1558</v>
      </c>
      <c r="B67" s="52"/>
      <c r="C67" s="52"/>
      <c r="D67" s="27"/>
      <c r="E67" s="13"/>
      <c r="F67" s="49"/>
      <c r="G67" s="85"/>
    </row>
    <row r="68" spans="1:7" x14ac:dyDescent="0.2">
      <c r="A68" s="52" t="s">
        <v>1559</v>
      </c>
      <c r="B68" s="2" t="s">
        <v>1560</v>
      </c>
      <c r="C68" s="52" t="s">
        <v>1561</v>
      </c>
      <c r="D68" s="27">
        <v>1200000</v>
      </c>
      <c r="E68" s="13">
        <v>1250.52</v>
      </c>
      <c r="F68" s="49">
        <f t="shared" ref="F68:F69" si="1">E68/$E$77*100</f>
        <v>4.6361478637303506</v>
      </c>
      <c r="G68" s="85"/>
    </row>
    <row r="69" spans="1:7" x14ac:dyDescent="0.2">
      <c r="A69" s="52" t="s">
        <v>1564</v>
      </c>
      <c r="B69" s="2" t="s">
        <v>1565</v>
      </c>
      <c r="C69" s="52" t="s">
        <v>1561</v>
      </c>
      <c r="D69" s="27">
        <v>200000</v>
      </c>
      <c r="E69" s="13">
        <v>199.965</v>
      </c>
      <c r="F69" s="49">
        <f t="shared" si="1"/>
        <v>0.74134544635098965</v>
      </c>
      <c r="G69" s="85"/>
    </row>
    <row r="70" spans="1:7" x14ac:dyDescent="0.2">
      <c r="A70" s="41" t="s">
        <v>43</v>
      </c>
      <c r="B70" s="52"/>
      <c r="C70" s="52"/>
      <c r="D70" s="52"/>
      <c r="E70" s="50">
        <f>SUM(E68:E69)</f>
        <v>1450.4849999999999</v>
      </c>
      <c r="F70" s="6">
        <f>SUM(F68:F69)</f>
        <v>5.3774933100813405</v>
      </c>
      <c r="G70" s="85"/>
    </row>
    <row r="71" spans="1:7" x14ac:dyDescent="0.2">
      <c r="A71" s="49"/>
      <c r="B71" s="49"/>
      <c r="C71" s="49"/>
      <c r="D71" s="49"/>
      <c r="E71" s="13"/>
      <c r="F71" s="49"/>
      <c r="G71" s="85"/>
    </row>
    <row r="72" spans="1:7" x14ac:dyDescent="0.2">
      <c r="A72" s="6" t="s">
        <v>43</v>
      </c>
      <c r="B72" s="49"/>
      <c r="C72" s="49"/>
      <c r="D72" s="49"/>
      <c r="E72" s="50">
        <f>E54+E58+E65+E70</f>
        <v>22737.6529845</v>
      </c>
      <c r="F72" s="6">
        <f>F54+F58+F65+F70</f>
        <v>84.297029483999992</v>
      </c>
      <c r="G72" s="85"/>
    </row>
    <row r="73" spans="1:7" x14ac:dyDescent="0.2">
      <c r="A73" s="49"/>
      <c r="B73" s="49"/>
      <c r="C73" s="49"/>
      <c r="D73" s="49"/>
      <c r="E73" s="13"/>
      <c r="F73" s="49"/>
      <c r="G73" s="85"/>
    </row>
    <row r="74" spans="1:7" x14ac:dyDescent="0.2">
      <c r="A74" s="6" t="s">
        <v>624</v>
      </c>
      <c r="B74" s="49" t="s">
        <v>319</v>
      </c>
      <c r="C74" s="49"/>
      <c r="D74" s="49"/>
      <c r="E74" s="50">
        <v>2907.0446269999998</v>
      </c>
      <c r="F74" s="6">
        <f t="shared" ref="F74:F75" si="2">E74/$E$77*100</f>
        <v>10.777507546648469</v>
      </c>
      <c r="G74" s="85"/>
    </row>
    <row r="75" spans="1:7" x14ac:dyDescent="0.2">
      <c r="A75" s="6" t="s">
        <v>1757</v>
      </c>
      <c r="B75" s="49" t="s">
        <v>319</v>
      </c>
      <c r="C75" s="49"/>
      <c r="D75" s="49"/>
      <c r="E75" s="50">
        <v>1328.5577021000058</v>
      </c>
      <c r="F75" s="6">
        <f t="shared" si="2"/>
        <v>4.9254629693515062</v>
      </c>
      <c r="G75" s="85"/>
    </row>
    <row r="76" spans="1:7" x14ac:dyDescent="0.2">
      <c r="A76" s="49"/>
      <c r="B76" s="49"/>
      <c r="C76" s="49"/>
      <c r="D76" s="49"/>
      <c r="E76" s="13"/>
      <c r="F76" s="49"/>
      <c r="G76" s="85"/>
    </row>
    <row r="77" spans="1:7" x14ac:dyDescent="0.2">
      <c r="A77" s="8" t="s">
        <v>101</v>
      </c>
      <c r="B77" s="5"/>
      <c r="C77" s="5"/>
      <c r="D77" s="5"/>
      <c r="E77" s="51">
        <f>E72+E75+E74</f>
        <v>26973.255313600006</v>
      </c>
      <c r="F77" s="8">
        <f xml:space="preserve"> ROUND(SUM(F72:F76),2)</f>
        <v>100</v>
      </c>
      <c r="G77" s="89"/>
    </row>
    <row r="78" spans="1:7" x14ac:dyDescent="0.2">
      <c r="A78" s="4" t="s">
        <v>1964</v>
      </c>
      <c r="B78" s="2"/>
      <c r="C78" s="2"/>
      <c r="D78" s="2"/>
    </row>
    <row r="79" spans="1:7" x14ac:dyDescent="0.2">
      <c r="A79" s="2"/>
      <c r="B79" s="2"/>
      <c r="C79" s="2"/>
      <c r="D79" s="2"/>
    </row>
    <row r="80" spans="1:7" x14ac:dyDescent="0.2">
      <c r="A80" s="4" t="s">
        <v>102</v>
      </c>
      <c r="B80" s="2"/>
      <c r="C80" s="2"/>
      <c r="D80" s="2"/>
    </row>
    <row r="81" spans="1:4" x14ac:dyDescent="0.2">
      <c r="A81" s="4" t="s">
        <v>833</v>
      </c>
      <c r="B81" s="2"/>
      <c r="C81" s="2"/>
      <c r="D81" s="2"/>
    </row>
    <row r="82" spans="1:4" x14ac:dyDescent="0.2">
      <c r="A82" s="4" t="s">
        <v>104</v>
      </c>
      <c r="B82" s="2"/>
      <c r="C82" s="2"/>
      <c r="D82" s="2"/>
    </row>
    <row r="83" spans="1:4" x14ac:dyDescent="0.2">
      <c r="A83" s="2" t="s">
        <v>599</v>
      </c>
      <c r="B83" s="2"/>
      <c r="C83" s="2"/>
      <c r="D83" s="10">
        <v>10.2272</v>
      </c>
    </row>
    <row r="84" spans="1:4" x14ac:dyDescent="0.2">
      <c r="A84" s="2" t="s">
        <v>598</v>
      </c>
      <c r="B84" s="2"/>
      <c r="C84" s="2"/>
      <c r="D84" s="10">
        <v>10.2272</v>
      </c>
    </row>
    <row r="85" spans="1:4" x14ac:dyDescent="0.2">
      <c r="A85" s="2" t="s">
        <v>1553</v>
      </c>
      <c r="B85" s="2"/>
      <c r="C85" s="2"/>
      <c r="D85" s="10">
        <v>10.167199999999999</v>
      </c>
    </row>
    <row r="86" spans="1:4" x14ac:dyDescent="0.2">
      <c r="A86" s="2" t="s">
        <v>1554</v>
      </c>
      <c r="B86" s="2"/>
      <c r="C86" s="2"/>
      <c r="D86" s="10">
        <v>10.2272</v>
      </c>
    </row>
    <row r="87" spans="1:4" x14ac:dyDescent="0.2">
      <c r="A87" s="2" t="s">
        <v>601</v>
      </c>
      <c r="B87" s="2"/>
      <c r="C87" s="2"/>
      <c r="D87" s="10">
        <v>10.353199999999999</v>
      </c>
    </row>
    <row r="88" spans="1:4" x14ac:dyDescent="0.2">
      <c r="A88" s="2" t="s">
        <v>600</v>
      </c>
      <c r="B88" s="2"/>
      <c r="C88" s="2"/>
      <c r="D88" s="10">
        <v>10.353199999999999</v>
      </c>
    </row>
    <row r="89" spans="1:4" x14ac:dyDescent="0.2">
      <c r="A89" s="2" t="s">
        <v>1555</v>
      </c>
      <c r="B89" s="2"/>
      <c r="C89" s="2"/>
      <c r="D89" s="10">
        <v>10.293200000000001</v>
      </c>
    </row>
    <row r="90" spans="1:4" x14ac:dyDescent="0.2">
      <c r="A90" s="2" t="s">
        <v>1556</v>
      </c>
      <c r="B90" s="2"/>
      <c r="C90" s="2"/>
      <c r="D90" s="10">
        <v>10.353199999999999</v>
      </c>
    </row>
    <row r="91" spans="1:4" x14ac:dyDescent="0.2">
      <c r="A91" s="2"/>
      <c r="B91" s="2"/>
      <c r="C91" s="2"/>
      <c r="D91" s="2"/>
    </row>
    <row r="92" spans="1:4" x14ac:dyDescent="0.2">
      <c r="A92" s="4" t="s">
        <v>105</v>
      </c>
      <c r="B92" s="2"/>
      <c r="C92" s="2"/>
      <c r="D92" s="2"/>
    </row>
    <row r="93" spans="1:4" x14ac:dyDescent="0.2">
      <c r="A93" s="2" t="s">
        <v>599</v>
      </c>
      <c r="B93" s="2"/>
      <c r="C93" s="2"/>
      <c r="D93" s="10">
        <v>10.3233</v>
      </c>
    </row>
    <row r="94" spans="1:4" x14ac:dyDescent="0.2">
      <c r="A94" s="2" t="s">
        <v>598</v>
      </c>
      <c r="B94" s="2"/>
      <c r="C94" s="2"/>
      <c r="D94" s="10">
        <v>10.3233</v>
      </c>
    </row>
    <row r="95" spans="1:4" x14ac:dyDescent="0.2">
      <c r="A95" s="2" t="s">
        <v>1553</v>
      </c>
      <c r="B95" s="2"/>
      <c r="C95" s="2"/>
      <c r="D95" s="10">
        <v>10.2608</v>
      </c>
    </row>
    <row r="96" spans="1:4" x14ac:dyDescent="0.2">
      <c r="A96" s="2" t="s">
        <v>1554</v>
      </c>
      <c r="B96" s="2"/>
      <c r="C96" s="2"/>
      <c r="D96" s="10">
        <v>10.3233</v>
      </c>
    </row>
    <row r="97" spans="1:5" x14ac:dyDescent="0.2">
      <c r="A97" s="2" t="s">
        <v>601</v>
      </c>
      <c r="B97" s="2"/>
      <c r="C97" s="2"/>
      <c r="D97" s="10">
        <v>10.542899999999999</v>
      </c>
    </row>
    <row r="98" spans="1:5" x14ac:dyDescent="0.2">
      <c r="A98" s="2" t="s">
        <v>600</v>
      </c>
      <c r="B98" s="2"/>
      <c r="C98" s="2"/>
      <c r="D98" s="10">
        <v>10.542899999999999</v>
      </c>
    </row>
    <row r="99" spans="1:5" x14ac:dyDescent="0.2">
      <c r="A99" s="2" t="s">
        <v>1555</v>
      </c>
      <c r="B99" s="2"/>
      <c r="C99" s="2"/>
      <c r="D99" s="10">
        <v>10.481400000000001</v>
      </c>
    </row>
    <row r="100" spans="1:5" x14ac:dyDescent="0.2">
      <c r="A100" s="2" t="s">
        <v>1556</v>
      </c>
      <c r="B100" s="2"/>
      <c r="C100" s="2"/>
      <c r="D100" s="10">
        <v>10.542899999999999</v>
      </c>
    </row>
    <row r="101" spans="1:5" x14ac:dyDescent="0.2">
      <c r="A101" s="2"/>
      <c r="B101" s="2"/>
      <c r="C101" s="2"/>
      <c r="D101" s="2"/>
    </row>
    <row r="102" spans="1:5" x14ac:dyDescent="0.2">
      <c r="A102" s="4" t="s">
        <v>106</v>
      </c>
      <c r="B102" s="2"/>
      <c r="C102" s="2"/>
      <c r="D102" s="66" t="s">
        <v>107</v>
      </c>
    </row>
    <row r="103" spans="1:5" x14ac:dyDescent="0.2">
      <c r="A103" s="4"/>
      <c r="B103" s="2"/>
      <c r="C103" s="2"/>
      <c r="D103" s="17"/>
    </row>
    <row r="104" spans="1:5" x14ac:dyDescent="0.2">
      <c r="A104" s="4" t="s">
        <v>834</v>
      </c>
      <c r="B104" s="2"/>
      <c r="C104" s="2"/>
      <c r="D104" s="59">
        <v>4.5418107883683216</v>
      </c>
      <c r="E104" s="59" t="s">
        <v>1106</v>
      </c>
    </row>
    <row r="105" spans="1:5" x14ac:dyDescent="0.2">
      <c r="A105" s="2"/>
      <c r="B105" s="2"/>
      <c r="C105" s="2"/>
      <c r="D105" s="2"/>
    </row>
    <row r="106" spans="1:5" x14ac:dyDescent="0.2">
      <c r="A106" s="4" t="s">
        <v>1758</v>
      </c>
      <c r="B106" s="2"/>
      <c r="C106" s="2"/>
      <c r="D106" s="24">
        <v>2.7589964747498006</v>
      </c>
    </row>
    <row r="107" spans="1:5" x14ac:dyDescent="0.2">
      <c r="A107" s="2"/>
      <c r="B107" s="2"/>
      <c r="C107" s="2"/>
      <c r="D107" s="2"/>
    </row>
    <row r="108" spans="1:5" x14ac:dyDescent="0.2">
      <c r="A108" s="4" t="s">
        <v>1759</v>
      </c>
      <c r="B108" s="2"/>
      <c r="C108" s="2"/>
      <c r="D108" s="67" t="s">
        <v>107</v>
      </c>
    </row>
    <row r="109" spans="1:5" x14ac:dyDescent="0.2">
      <c r="A109" s="2"/>
      <c r="B109" s="2"/>
      <c r="C109" s="2"/>
      <c r="D109" s="2"/>
    </row>
    <row r="110" spans="1:5" x14ac:dyDescent="0.2">
      <c r="A110" s="2"/>
      <c r="B110" s="2"/>
      <c r="C110" s="2"/>
      <c r="D110" s="2"/>
    </row>
    <row r="111" spans="1:5" x14ac:dyDescent="0.2">
      <c r="A111" s="2"/>
      <c r="B111" s="2"/>
      <c r="C111" s="2"/>
      <c r="D111" s="2"/>
    </row>
    <row r="112" spans="1:5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</sheetData>
  <mergeCells count="1">
    <mergeCell ref="A1:G1"/>
  </mergeCells>
  <pageMargins left="0.7" right="0.7" top="0.75" bottom="0.75" header="0.3" footer="0.3"/>
  <pageSetup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74CD-E403-4254-AF07-1774FAAF95AF}">
  <dimension ref="A1:F11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2.5703125" style="2" customWidth="1"/>
    <col min="3" max="3" width="35.7109375" style="2" bestFit="1" customWidth="1"/>
    <col min="4" max="4" width="11.140625" style="2" bestFit="1" customWidth="1"/>
    <col min="5" max="5" width="23" style="59" bestFit="1" customWidth="1"/>
    <col min="6" max="6" width="15.5703125" style="1" bestFit="1" customWidth="1"/>
    <col min="7" max="16384" width="9.140625" style="2"/>
  </cols>
  <sheetData>
    <row r="1" spans="1:6" x14ac:dyDescent="0.2">
      <c r="A1" s="102" t="s">
        <v>1760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1761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7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52" t="s">
        <v>121</v>
      </c>
      <c r="B7" s="52" t="s">
        <v>122</v>
      </c>
      <c r="C7" s="52" t="s">
        <v>11</v>
      </c>
      <c r="D7" s="27">
        <v>2000862</v>
      </c>
      <c r="E7" s="13">
        <v>14733.347336999999</v>
      </c>
      <c r="F7" s="49">
        <f>E7/$E$88*100</f>
        <v>7.9709180712677821</v>
      </c>
    </row>
    <row r="8" spans="1:6" x14ac:dyDescent="0.2">
      <c r="A8" s="52" t="s">
        <v>9</v>
      </c>
      <c r="B8" s="52" t="s">
        <v>10</v>
      </c>
      <c r="C8" s="52" t="s">
        <v>11</v>
      </c>
      <c r="D8" s="27">
        <v>988868</v>
      </c>
      <c r="E8" s="13">
        <v>12166.537437999999</v>
      </c>
      <c r="F8" s="49">
        <f t="shared" ref="F8:F43" si="0">E8/$E$88*100</f>
        <v>6.5822430511610381</v>
      </c>
    </row>
    <row r="9" spans="1:6" x14ac:dyDescent="0.2">
      <c r="A9" s="52" t="s">
        <v>109</v>
      </c>
      <c r="B9" s="52" t="s">
        <v>110</v>
      </c>
      <c r="C9" s="52" t="s">
        <v>11</v>
      </c>
      <c r="D9" s="27">
        <v>1656302</v>
      </c>
      <c r="E9" s="13">
        <v>7669.5064110000003</v>
      </c>
      <c r="F9" s="49">
        <f t="shared" si="0"/>
        <v>4.1492951907554705</v>
      </c>
    </row>
    <row r="10" spans="1:6" x14ac:dyDescent="0.2">
      <c r="A10" s="52" t="s">
        <v>20</v>
      </c>
      <c r="B10" s="52" t="s">
        <v>21</v>
      </c>
      <c r="C10" s="52" t="s">
        <v>11</v>
      </c>
      <c r="D10" s="27">
        <v>459760</v>
      </c>
      <c r="E10" s="13">
        <v>7238.9211999999998</v>
      </c>
      <c r="F10" s="49">
        <f t="shared" si="0"/>
        <v>3.9163434140087605</v>
      </c>
    </row>
    <row r="11" spans="1:6" x14ac:dyDescent="0.2">
      <c r="A11" s="52" t="s">
        <v>22</v>
      </c>
      <c r="B11" s="52" t="s">
        <v>23</v>
      </c>
      <c r="C11" s="52" t="s">
        <v>24</v>
      </c>
      <c r="D11" s="27">
        <v>3044188</v>
      </c>
      <c r="E11" s="13">
        <v>5720.0292520000003</v>
      </c>
      <c r="F11" s="49">
        <f t="shared" si="0"/>
        <v>3.0946046061404373</v>
      </c>
    </row>
    <row r="12" spans="1:6" x14ac:dyDescent="0.2">
      <c r="A12" s="52" t="s">
        <v>185</v>
      </c>
      <c r="B12" s="52" t="s">
        <v>186</v>
      </c>
      <c r="C12" s="52" t="s">
        <v>78</v>
      </c>
      <c r="D12" s="27">
        <v>763784</v>
      </c>
      <c r="E12" s="13">
        <v>5236.5031040000003</v>
      </c>
      <c r="F12" s="49">
        <f t="shared" si="0"/>
        <v>2.8330111458854992</v>
      </c>
    </row>
    <row r="13" spans="1:6" x14ac:dyDescent="0.2">
      <c r="A13" s="52" t="s">
        <v>198</v>
      </c>
      <c r="B13" s="52" t="s">
        <v>199</v>
      </c>
      <c r="C13" s="52" t="s">
        <v>33</v>
      </c>
      <c r="D13" s="27">
        <v>821320</v>
      </c>
      <c r="E13" s="13">
        <v>4980.8951399999996</v>
      </c>
      <c r="F13" s="49">
        <f t="shared" si="0"/>
        <v>2.6947241637893837</v>
      </c>
    </row>
    <row r="14" spans="1:6" x14ac:dyDescent="0.2">
      <c r="A14" s="52" t="s">
        <v>207</v>
      </c>
      <c r="B14" s="52" t="s">
        <v>208</v>
      </c>
      <c r="C14" s="52" t="s">
        <v>120</v>
      </c>
      <c r="D14" s="27">
        <v>2508769</v>
      </c>
      <c r="E14" s="13">
        <v>4976.1433115</v>
      </c>
      <c r="F14" s="49">
        <f t="shared" si="0"/>
        <v>2.6921533674322591</v>
      </c>
    </row>
    <row r="15" spans="1:6" x14ac:dyDescent="0.2">
      <c r="A15" s="52" t="s">
        <v>113</v>
      </c>
      <c r="B15" s="52" t="s">
        <v>114</v>
      </c>
      <c r="C15" s="52" t="s">
        <v>42</v>
      </c>
      <c r="D15" s="27">
        <v>1264520</v>
      </c>
      <c r="E15" s="13">
        <v>4732.4660999999996</v>
      </c>
      <c r="F15" s="49">
        <f t="shared" si="0"/>
        <v>2.5603210659006379</v>
      </c>
    </row>
    <row r="16" spans="1:6" x14ac:dyDescent="0.2">
      <c r="A16" s="52" t="s">
        <v>183</v>
      </c>
      <c r="B16" s="52" t="s">
        <v>184</v>
      </c>
      <c r="C16" s="52" t="s">
        <v>57</v>
      </c>
      <c r="D16" s="27">
        <v>600350</v>
      </c>
      <c r="E16" s="13">
        <v>4615.1906250000002</v>
      </c>
      <c r="F16" s="49">
        <f t="shared" si="0"/>
        <v>2.4968736237401963</v>
      </c>
    </row>
    <row r="17" spans="1:6" x14ac:dyDescent="0.2">
      <c r="A17" s="52" t="s">
        <v>176</v>
      </c>
      <c r="B17" s="52" t="s">
        <v>177</v>
      </c>
      <c r="C17" s="52" t="s">
        <v>178</v>
      </c>
      <c r="D17" s="27">
        <v>154688</v>
      </c>
      <c r="E17" s="13">
        <v>4305.2764159999997</v>
      </c>
      <c r="F17" s="49">
        <f t="shared" si="0"/>
        <v>2.3292063100906311</v>
      </c>
    </row>
    <row r="18" spans="1:6" x14ac:dyDescent="0.2">
      <c r="A18" s="52" t="s">
        <v>238</v>
      </c>
      <c r="B18" s="52" t="s">
        <v>239</v>
      </c>
      <c r="C18" s="52" t="s">
        <v>36</v>
      </c>
      <c r="D18" s="27">
        <v>28764</v>
      </c>
      <c r="E18" s="13">
        <v>4299.3550800000003</v>
      </c>
      <c r="F18" s="49">
        <f t="shared" si="0"/>
        <v>2.3260027961131984</v>
      </c>
    </row>
    <row r="19" spans="1:6" x14ac:dyDescent="0.2">
      <c r="A19" s="52" t="s">
        <v>223</v>
      </c>
      <c r="B19" s="52" t="s">
        <v>224</v>
      </c>
      <c r="C19" s="52" t="s">
        <v>36</v>
      </c>
      <c r="D19" s="27">
        <v>276850</v>
      </c>
      <c r="E19" s="13">
        <v>4288.9602000000004</v>
      </c>
      <c r="F19" s="49">
        <f t="shared" si="0"/>
        <v>2.3203790410393883</v>
      </c>
    </row>
    <row r="20" spans="1:6" x14ac:dyDescent="0.2">
      <c r="A20" s="52" t="s">
        <v>129</v>
      </c>
      <c r="B20" s="52" t="s">
        <v>130</v>
      </c>
      <c r="C20" s="52" t="s">
        <v>131</v>
      </c>
      <c r="D20" s="27">
        <v>1446976</v>
      </c>
      <c r="E20" s="13">
        <v>4144.1392640000004</v>
      </c>
      <c r="F20" s="49">
        <f t="shared" si="0"/>
        <v>2.2420291732560256</v>
      </c>
    </row>
    <row r="21" spans="1:6" x14ac:dyDescent="0.2">
      <c r="A21" s="52" t="s">
        <v>115</v>
      </c>
      <c r="B21" s="52" t="s">
        <v>116</v>
      </c>
      <c r="C21" s="52" t="s">
        <v>117</v>
      </c>
      <c r="D21" s="27">
        <v>2568360</v>
      </c>
      <c r="E21" s="13">
        <v>3770.35248</v>
      </c>
      <c r="F21" s="49">
        <f t="shared" si="0"/>
        <v>2.0398060284921455</v>
      </c>
    </row>
    <row r="22" spans="1:6" x14ac:dyDescent="0.2">
      <c r="A22" s="52" t="s">
        <v>236</v>
      </c>
      <c r="B22" s="52" t="s">
        <v>237</v>
      </c>
      <c r="C22" s="52" t="s">
        <v>117</v>
      </c>
      <c r="D22" s="27">
        <v>998372</v>
      </c>
      <c r="E22" s="13">
        <v>3247.2049299999999</v>
      </c>
      <c r="F22" s="49">
        <f t="shared" si="0"/>
        <v>1.756776913325466</v>
      </c>
    </row>
    <row r="23" spans="1:6" x14ac:dyDescent="0.2">
      <c r="A23" s="52" t="s">
        <v>252</v>
      </c>
      <c r="B23" s="52" t="s">
        <v>253</v>
      </c>
      <c r="C23" s="52" t="s">
        <v>78</v>
      </c>
      <c r="D23" s="27">
        <v>429717</v>
      </c>
      <c r="E23" s="13">
        <v>3175.6086300000002</v>
      </c>
      <c r="F23" s="49">
        <f t="shared" si="0"/>
        <v>1.7180424541117927</v>
      </c>
    </row>
    <row r="24" spans="1:6" x14ac:dyDescent="0.2">
      <c r="A24" s="52" t="s">
        <v>216</v>
      </c>
      <c r="B24" s="52" t="s">
        <v>217</v>
      </c>
      <c r="C24" s="52" t="s">
        <v>131</v>
      </c>
      <c r="D24" s="27">
        <v>1516102</v>
      </c>
      <c r="E24" s="13">
        <v>3172.4434350000001</v>
      </c>
      <c r="F24" s="49">
        <f t="shared" si="0"/>
        <v>1.7163300455567303</v>
      </c>
    </row>
    <row r="25" spans="1:6" x14ac:dyDescent="0.2">
      <c r="A25" s="52" t="s">
        <v>118</v>
      </c>
      <c r="B25" s="52" t="s">
        <v>119</v>
      </c>
      <c r="C25" s="52" t="s">
        <v>120</v>
      </c>
      <c r="D25" s="27">
        <v>2512015</v>
      </c>
      <c r="E25" s="13">
        <v>3074.7063600000001</v>
      </c>
      <c r="F25" s="49">
        <f t="shared" si="0"/>
        <v>1.6634531127368606</v>
      </c>
    </row>
    <row r="26" spans="1:6" x14ac:dyDescent="0.2">
      <c r="A26" s="52" t="s">
        <v>15</v>
      </c>
      <c r="B26" s="52" t="s">
        <v>16</v>
      </c>
      <c r="C26" s="52" t="s">
        <v>1753</v>
      </c>
      <c r="D26" s="27">
        <v>1583382</v>
      </c>
      <c r="E26" s="13">
        <v>2406.74064</v>
      </c>
      <c r="F26" s="49">
        <f t="shared" si="0"/>
        <v>1.3020756262260778</v>
      </c>
    </row>
    <row r="27" spans="1:6" x14ac:dyDescent="0.2">
      <c r="A27" s="52" t="s">
        <v>200</v>
      </c>
      <c r="B27" s="52" t="s">
        <v>201</v>
      </c>
      <c r="C27" s="52" t="s">
        <v>36</v>
      </c>
      <c r="D27" s="27">
        <v>178251</v>
      </c>
      <c r="E27" s="13">
        <v>2274.7501364999998</v>
      </c>
      <c r="F27" s="49">
        <f t="shared" si="0"/>
        <v>1.2306671767054604</v>
      </c>
    </row>
    <row r="28" spans="1:6" x14ac:dyDescent="0.2">
      <c r="A28" s="52" t="s">
        <v>376</v>
      </c>
      <c r="B28" s="52" t="s">
        <v>377</v>
      </c>
      <c r="C28" s="52" t="s">
        <v>92</v>
      </c>
      <c r="D28" s="27">
        <v>147561</v>
      </c>
      <c r="E28" s="13">
        <v>1964.332032</v>
      </c>
      <c r="F28" s="49">
        <f t="shared" si="0"/>
        <v>1.0627272495312763</v>
      </c>
    </row>
    <row r="29" spans="1:6" x14ac:dyDescent="0.2">
      <c r="A29" s="52" t="s">
        <v>283</v>
      </c>
      <c r="B29" s="52" t="s">
        <v>284</v>
      </c>
      <c r="C29" s="52" t="s">
        <v>92</v>
      </c>
      <c r="D29" s="27">
        <v>274626</v>
      </c>
      <c r="E29" s="13">
        <v>1945.7252100000001</v>
      </c>
      <c r="F29" s="49">
        <f t="shared" si="0"/>
        <v>1.0526607350905151</v>
      </c>
    </row>
    <row r="30" spans="1:6" x14ac:dyDescent="0.2">
      <c r="A30" s="52" t="s">
        <v>111</v>
      </c>
      <c r="B30" s="52" t="s">
        <v>112</v>
      </c>
      <c r="C30" s="52" t="s">
        <v>11</v>
      </c>
      <c r="D30" s="27">
        <v>615662</v>
      </c>
      <c r="E30" s="13">
        <v>1923.328088</v>
      </c>
      <c r="F30" s="49">
        <f t="shared" si="0"/>
        <v>1.0405436227730815</v>
      </c>
    </row>
    <row r="31" spans="1:6" x14ac:dyDescent="0.2">
      <c r="A31" s="52" t="s">
        <v>31</v>
      </c>
      <c r="B31" s="52" t="s">
        <v>32</v>
      </c>
      <c r="C31" s="52" t="s">
        <v>33</v>
      </c>
      <c r="D31" s="27">
        <v>1081483</v>
      </c>
      <c r="E31" s="13">
        <v>1921.7952909999999</v>
      </c>
      <c r="F31" s="49">
        <f t="shared" si="0"/>
        <v>1.0397143611648789</v>
      </c>
    </row>
    <row r="32" spans="1:6" x14ac:dyDescent="0.2">
      <c r="A32" s="52" t="s">
        <v>240</v>
      </c>
      <c r="B32" s="52" t="s">
        <v>241</v>
      </c>
      <c r="C32" s="52" t="s">
        <v>233</v>
      </c>
      <c r="D32" s="27">
        <v>205000</v>
      </c>
      <c r="E32" s="13">
        <v>1813.635</v>
      </c>
      <c r="F32" s="49">
        <f t="shared" si="0"/>
        <v>0.98119834315447163</v>
      </c>
    </row>
    <row r="33" spans="1:6" x14ac:dyDescent="0.2">
      <c r="A33" s="52" t="s">
        <v>225</v>
      </c>
      <c r="B33" s="52" t="s">
        <v>226</v>
      </c>
      <c r="C33" s="52" t="s">
        <v>30</v>
      </c>
      <c r="D33" s="27">
        <v>336933</v>
      </c>
      <c r="E33" s="13">
        <v>1807.1401455</v>
      </c>
      <c r="F33" s="49">
        <f t="shared" si="0"/>
        <v>0.9776845487722341</v>
      </c>
    </row>
    <row r="34" spans="1:6" x14ac:dyDescent="0.2">
      <c r="A34" s="52" t="s">
        <v>262</v>
      </c>
      <c r="B34" s="52" t="s">
        <v>263</v>
      </c>
      <c r="C34" s="52" t="s">
        <v>264</v>
      </c>
      <c r="D34" s="27">
        <v>385077</v>
      </c>
      <c r="E34" s="13">
        <v>1465.4105235</v>
      </c>
      <c r="F34" s="49">
        <f t="shared" si="0"/>
        <v>0.79280471412347397</v>
      </c>
    </row>
    <row r="35" spans="1:6" x14ac:dyDescent="0.2">
      <c r="A35" s="52" t="s">
        <v>269</v>
      </c>
      <c r="B35" s="52" t="s">
        <v>270</v>
      </c>
      <c r="C35" s="52" t="s">
        <v>248</v>
      </c>
      <c r="D35" s="27">
        <v>921918</v>
      </c>
      <c r="E35" s="13">
        <v>1420.2146789999999</v>
      </c>
      <c r="F35" s="49">
        <f t="shared" si="0"/>
        <v>0.7683532187890395</v>
      </c>
    </row>
    <row r="36" spans="1:6" x14ac:dyDescent="0.2">
      <c r="A36" s="52" t="s">
        <v>256</v>
      </c>
      <c r="B36" s="52" t="s">
        <v>257</v>
      </c>
      <c r="C36" s="52" t="s">
        <v>14</v>
      </c>
      <c r="D36" s="27">
        <v>649104</v>
      </c>
      <c r="E36" s="13">
        <v>1377.398688</v>
      </c>
      <c r="F36" s="49">
        <f t="shared" si="0"/>
        <v>0.74518925281478521</v>
      </c>
    </row>
    <row r="37" spans="1:6" x14ac:dyDescent="0.2">
      <c r="A37" s="52" t="s">
        <v>343</v>
      </c>
      <c r="B37" s="52" t="s">
        <v>344</v>
      </c>
      <c r="C37" s="52" t="s">
        <v>33</v>
      </c>
      <c r="D37" s="27">
        <v>36783</v>
      </c>
      <c r="E37" s="13">
        <v>1194.4727505000001</v>
      </c>
      <c r="F37" s="49">
        <f t="shared" si="0"/>
        <v>0.64622412102422178</v>
      </c>
    </row>
    <row r="38" spans="1:6" x14ac:dyDescent="0.2">
      <c r="A38" s="52" t="s">
        <v>123</v>
      </c>
      <c r="B38" s="52" t="s">
        <v>124</v>
      </c>
      <c r="C38" s="52" t="s">
        <v>117</v>
      </c>
      <c r="D38" s="27">
        <v>198568</v>
      </c>
      <c r="E38" s="13">
        <v>1045.6590880000001</v>
      </c>
      <c r="F38" s="49">
        <f t="shared" si="0"/>
        <v>0.56571414019359789</v>
      </c>
    </row>
    <row r="39" spans="1:6" x14ac:dyDescent="0.2">
      <c r="A39" s="52" t="s">
        <v>193</v>
      </c>
      <c r="B39" s="52" t="s">
        <v>194</v>
      </c>
      <c r="C39" s="52" t="s">
        <v>178</v>
      </c>
      <c r="D39" s="27">
        <v>374001</v>
      </c>
      <c r="E39" s="13">
        <v>941.54751750000003</v>
      </c>
      <c r="F39" s="49">
        <f t="shared" si="0"/>
        <v>0.50938852865775408</v>
      </c>
    </row>
    <row r="40" spans="1:6" x14ac:dyDescent="0.2">
      <c r="A40" s="52" t="s">
        <v>209</v>
      </c>
      <c r="B40" s="52" t="s">
        <v>210</v>
      </c>
      <c r="C40" s="52" t="s">
        <v>30</v>
      </c>
      <c r="D40" s="27">
        <v>195421</v>
      </c>
      <c r="E40" s="13">
        <v>891.51060199999995</v>
      </c>
      <c r="F40" s="49">
        <f t="shared" si="0"/>
        <v>0.48231795570059333</v>
      </c>
    </row>
    <row r="41" spans="1:6" x14ac:dyDescent="0.2">
      <c r="A41" s="52" t="s">
        <v>231</v>
      </c>
      <c r="B41" s="52" t="s">
        <v>232</v>
      </c>
      <c r="C41" s="52" t="s">
        <v>233</v>
      </c>
      <c r="D41" s="27">
        <v>414842</v>
      </c>
      <c r="E41" s="13">
        <v>789.44432600000005</v>
      </c>
      <c r="F41" s="49">
        <f t="shared" si="0"/>
        <v>0.42709887308300654</v>
      </c>
    </row>
    <row r="42" spans="1:6" x14ac:dyDescent="0.2">
      <c r="A42" s="52" t="s">
        <v>271</v>
      </c>
      <c r="B42" s="52" t="s">
        <v>272</v>
      </c>
      <c r="C42" s="52" t="s">
        <v>70</v>
      </c>
      <c r="D42" s="27">
        <v>1265151</v>
      </c>
      <c r="E42" s="13">
        <v>712.91258849999997</v>
      </c>
      <c r="F42" s="49">
        <f t="shared" si="0"/>
        <v>0.38569428283539164</v>
      </c>
    </row>
    <row r="43" spans="1:6" x14ac:dyDescent="0.2">
      <c r="A43" s="52" t="s">
        <v>234</v>
      </c>
      <c r="B43" s="52" t="s">
        <v>235</v>
      </c>
      <c r="C43" s="52" t="s">
        <v>39</v>
      </c>
      <c r="D43" s="27">
        <v>377910</v>
      </c>
      <c r="E43" s="13">
        <v>569.51036999999997</v>
      </c>
      <c r="F43" s="49">
        <f t="shared" si="0"/>
        <v>0.30811195827897569</v>
      </c>
    </row>
    <row r="44" spans="1:6" x14ac:dyDescent="0.2">
      <c r="A44" s="41" t="s">
        <v>43</v>
      </c>
      <c r="B44" s="52"/>
      <c r="C44" s="52"/>
      <c r="D44" s="27"/>
      <c r="E44" s="50">
        <f>SUM(E7:E43)</f>
        <v>132013.1143895</v>
      </c>
      <c r="F44" s="6">
        <f>SUM(F7:F43)</f>
        <v>71.420682283722542</v>
      </c>
    </row>
    <row r="45" spans="1:6" x14ac:dyDescent="0.2">
      <c r="A45" s="41"/>
      <c r="B45" s="52"/>
      <c r="C45" s="52"/>
      <c r="D45" s="27"/>
      <c r="E45" s="50"/>
      <c r="F45" s="6"/>
    </row>
    <row r="46" spans="1:6" x14ac:dyDescent="0.2">
      <c r="A46" s="6" t="s">
        <v>1762</v>
      </c>
      <c r="B46" s="52"/>
      <c r="C46" s="52"/>
      <c r="D46" s="27"/>
      <c r="E46" s="80"/>
      <c r="F46" s="90"/>
    </row>
    <row r="47" spans="1:6" x14ac:dyDescent="0.2">
      <c r="A47" s="52" t="s">
        <v>589</v>
      </c>
      <c r="B47" s="52" t="s">
        <v>590</v>
      </c>
      <c r="C47" s="52" t="s">
        <v>78</v>
      </c>
      <c r="D47" s="27">
        <v>270000</v>
      </c>
      <c r="E47" s="80">
        <v>2.7E-2</v>
      </c>
      <c r="F47" s="69" t="s">
        <v>607</v>
      </c>
    </row>
    <row r="48" spans="1:6" x14ac:dyDescent="0.2">
      <c r="A48" s="52" t="s">
        <v>319</v>
      </c>
      <c r="B48" s="52" t="s">
        <v>322</v>
      </c>
      <c r="C48" s="52" t="s">
        <v>30</v>
      </c>
      <c r="D48" s="27">
        <v>27500</v>
      </c>
      <c r="E48" s="59">
        <v>2.7499999999999998E-3</v>
      </c>
      <c r="F48" s="69" t="s">
        <v>607</v>
      </c>
    </row>
    <row r="49" spans="1:6" x14ac:dyDescent="0.2">
      <c r="A49" s="41" t="s">
        <v>43</v>
      </c>
      <c r="B49" s="52"/>
      <c r="C49" s="52"/>
      <c r="D49" s="27"/>
      <c r="E49" s="78">
        <f>SUM(E47:E48)</f>
        <v>2.9749999999999999E-2</v>
      </c>
      <c r="F49" s="78">
        <v>0</v>
      </c>
    </row>
    <row r="50" spans="1:6" x14ac:dyDescent="0.2">
      <c r="A50" s="41"/>
      <c r="B50" s="52"/>
      <c r="C50" s="52"/>
      <c r="D50" s="27"/>
      <c r="E50" s="50"/>
      <c r="F50" s="6"/>
    </row>
    <row r="51" spans="1:6" x14ac:dyDescent="0.2">
      <c r="A51" s="41" t="s">
        <v>1763</v>
      </c>
      <c r="B51" s="52"/>
      <c r="C51" s="77"/>
      <c r="D51" s="101"/>
      <c r="E51" s="82"/>
      <c r="F51" s="83"/>
    </row>
    <row r="52" spans="1:6" x14ac:dyDescent="0.2">
      <c r="A52" s="52" t="s">
        <v>630</v>
      </c>
      <c r="B52" s="52" t="s">
        <v>631</v>
      </c>
      <c r="C52" s="77"/>
      <c r="D52" s="27">
        <v>739200</v>
      </c>
      <c r="E52" s="81">
        <v>3053.2656000000002</v>
      </c>
      <c r="F52" s="49">
        <f t="shared" ref="F52" si="1">E52/$E$88*100</f>
        <v>1.6518534037612549</v>
      </c>
    </row>
    <row r="53" spans="1:6" x14ac:dyDescent="0.2">
      <c r="A53" s="41" t="s">
        <v>43</v>
      </c>
      <c r="B53" s="52"/>
      <c r="C53" s="77"/>
      <c r="D53" s="88"/>
      <c r="E53" s="82">
        <f>SUM(E52)</f>
        <v>3053.2656000000002</v>
      </c>
      <c r="F53" s="83">
        <f>SUM(F52)</f>
        <v>1.6518534037612549</v>
      </c>
    </row>
    <row r="54" spans="1:6" x14ac:dyDescent="0.2">
      <c r="A54" s="41"/>
      <c r="B54" s="52"/>
      <c r="C54" s="52"/>
      <c r="D54" s="52"/>
      <c r="E54" s="50"/>
      <c r="F54" s="6"/>
    </row>
    <row r="55" spans="1:6" x14ac:dyDescent="0.2">
      <c r="A55" s="41" t="s">
        <v>682</v>
      </c>
      <c r="B55" s="52"/>
      <c r="C55" s="52"/>
      <c r="D55" s="52"/>
      <c r="E55" s="13"/>
      <c r="F55" s="49"/>
    </row>
    <row r="56" spans="1:6" x14ac:dyDescent="0.2">
      <c r="A56" s="41" t="s">
        <v>8</v>
      </c>
      <c r="B56" s="52"/>
      <c r="C56" s="52"/>
      <c r="D56" s="52"/>
      <c r="E56" s="13"/>
      <c r="F56" s="49"/>
    </row>
    <row r="57" spans="1:6" x14ac:dyDescent="0.2">
      <c r="A57" s="41"/>
      <c r="B57" s="52"/>
      <c r="C57" s="52"/>
      <c r="D57" s="27"/>
      <c r="E57" s="13"/>
      <c r="F57" s="49"/>
    </row>
    <row r="58" spans="1:6" x14ac:dyDescent="0.2">
      <c r="A58" s="52" t="s">
        <v>1684</v>
      </c>
      <c r="B58" s="52" t="s">
        <v>1685</v>
      </c>
      <c r="C58" s="52" t="s">
        <v>1029</v>
      </c>
      <c r="D58" s="27">
        <v>900</v>
      </c>
      <c r="E58" s="13">
        <v>9032.2379999999994</v>
      </c>
      <c r="F58" s="49">
        <f t="shared" ref="F58:F70" si="2">E58/$E$88*100</f>
        <v>4.8865493666459114</v>
      </c>
    </row>
    <row r="59" spans="1:6" x14ac:dyDescent="0.2">
      <c r="A59" s="52" t="s">
        <v>1145</v>
      </c>
      <c r="B59" s="52" t="s">
        <v>1146</v>
      </c>
      <c r="C59" s="52" t="s">
        <v>691</v>
      </c>
      <c r="D59" s="27">
        <v>700</v>
      </c>
      <c r="E59" s="13">
        <v>7120.232</v>
      </c>
      <c r="F59" s="49">
        <f t="shared" si="2"/>
        <v>3.8521311296239045</v>
      </c>
    </row>
    <row r="60" spans="1:6" x14ac:dyDescent="0.2">
      <c r="A60" s="52" t="s">
        <v>849</v>
      </c>
      <c r="B60" s="52" t="s">
        <v>850</v>
      </c>
      <c r="C60" s="52" t="s">
        <v>706</v>
      </c>
      <c r="D60" s="27">
        <v>450</v>
      </c>
      <c r="E60" s="13">
        <v>4507.6499999999996</v>
      </c>
      <c r="F60" s="49">
        <f t="shared" si="2"/>
        <v>2.4386928524869962</v>
      </c>
    </row>
    <row r="61" spans="1:6" x14ac:dyDescent="0.2">
      <c r="A61" s="52" t="s">
        <v>1764</v>
      </c>
      <c r="B61" s="52" t="s">
        <v>1765</v>
      </c>
      <c r="C61" s="52" t="s">
        <v>694</v>
      </c>
      <c r="D61" s="27">
        <v>350</v>
      </c>
      <c r="E61" s="13">
        <v>3538.8150000000001</v>
      </c>
      <c r="F61" s="49">
        <f t="shared" si="2"/>
        <v>1.9145414676768984</v>
      </c>
    </row>
    <row r="62" spans="1:6" x14ac:dyDescent="0.2">
      <c r="A62" s="52" t="s">
        <v>1766</v>
      </c>
      <c r="B62" s="52" t="s">
        <v>1767</v>
      </c>
      <c r="C62" s="52" t="s">
        <v>709</v>
      </c>
      <c r="D62" s="27">
        <v>250</v>
      </c>
      <c r="E62" s="13">
        <v>2394.0675000000001</v>
      </c>
      <c r="F62" s="49">
        <f t="shared" si="2"/>
        <v>1.2952193050972041</v>
      </c>
    </row>
    <row r="63" spans="1:6" x14ac:dyDescent="0.2">
      <c r="A63" s="52" t="s">
        <v>1768</v>
      </c>
      <c r="B63" s="52" t="s">
        <v>1769</v>
      </c>
      <c r="C63" s="52" t="s">
        <v>688</v>
      </c>
      <c r="D63" s="27">
        <v>210</v>
      </c>
      <c r="E63" s="13">
        <v>2075.4614999999999</v>
      </c>
      <c r="F63" s="49">
        <f t="shared" si="2"/>
        <v>1.1228496280017173</v>
      </c>
    </row>
    <row r="64" spans="1:6" x14ac:dyDescent="0.2">
      <c r="A64" s="52" t="s">
        <v>1120</v>
      </c>
      <c r="B64" s="52" t="s">
        <v>1121</v>
      </c>
      <c r="C64" s="52" t="s">
        <v>688</v>
      </c>
      <c r="D64" s="27">
        <v>60</v>
      </c>
      <c r="E64" s="13">
        <v>626.74440000000004</v>
      </c>
      <c r="F64" s="49">
        <f t="shared" si="2"/>
        <v>0.33907625672273828</v>
      </c>
    </row>
    <row r="65" spans="1:6" x14ac:dyDescent="0.2">
      <c r="A65" s="52" t="s">
        <v>719</v>
      </c>
      <c r="B65" s="52" t="s">
        <v>720</v>
      </c>
      <c r="C65" s="52" t="s">
        <v>688</v>
      </c>
      <c r="D65" s="27">
        <v>60</v>
      </c>
      <c r="E65" s="13">
        <v>623.32439999999997</v>
      </c>
      <c r="F65" s="49">
        <f t="shared" si="2"/>
        <v>0.33722599559875888</v>
      </c>
    </row>
    <row r="66" spans="1:6" x14ac:dyDescent="0.2">
      <c r="A66" s="52" t="s">
        <v>749</v>
      </c>
      <c r="B66" s="52" t="s">
        <v>750</v>
      </c>
      <c r="C66" s="52" t="s">
        <v>688</v>
      </c>
      <c r="D66" s="27">
        <v>50</v>
      </c>
      <c r="E66" s="13">
        <v>504.798</v>
      </c>
      <c r="F66" s="49">
        <f t="shared" si="2"/>
        <v>0.27310178797149975</v>
      </c>
    </row>
    <row r="67" spans="1:6" x14ac:dyDescent="0.2">
      <c r="A67" s="52" t="s">
        <v>710</v>
      </c>
      <c r="B67" s="52" t="s">
        <v>711</v>
      </c>
      <c r="C67" s="52" t="s">
        <v>712</v>
      </c>
      <c r="D67" s="27">
        <v>30</v>
      </c>
      <c r="E67" s="13">
        <v>312.26190000000003</v>
      </c>
      <c r="F67" s="49">
        <f t="shared" si="2"/>
        <v>0.16893744271050531</v>
      </c>
    </row>
    <row r="68" spans="1:6" x14ac:dyDescent="0.2">
      <c r="A68" s="52" t="s">
        <v>1143</v>
      </c>
      <c r="B68" s="52" t="s">
        <v>1144</v>
      </c>
      <c r="C68" s="52" t="s">
        <v>688</v>
      </c>
      <c r="D68" s="27">
        <v>30</v>
      </c>
      <c r="E68" s="13">
        <v>310.76310000000001</v>
      </c>
      <c r="F68" s="49">
        <f t="shared" si="2"/>
        <v>0.16812657388810173</v>
      </c>
    </row>
    <row r="69" spans="1:6" x14ac:dyDescent="0.2">
      <c r="A69" s="52" t="s">
        <v>1755</v>
      </c>
      <c r="B69" s="52" t="s">
        <v>1756</v>
      </c>
      <c r="C69" s="52" t="s">
        <v>848</v>
      </c>
      <c r="D69" s="27">
        <v>20</v>
      </c>
      <c r="E69" s="13">
        <v>196.10419999999999</v>
      </c>
      <c r="F69" s="49">
        <f t="shared" si="2"/>
        <v>0.10609473026581043</v>
      </c>
    </row>
    <row r="70" spans="1:6" x14ac:dyDescent="0.2">
      <c r="A70" s="52" t="s">
        <v>991</v>
      </c>
      <c r="B70" s="52" t="s">
        <v>992</v>
      </c>
      <c r="C70" s="52" t="s">
        <v>697</v>
      </c>
      <c r="D70" s="27">
        <v>8</v>
      </c>
      <c r="E70" s="13">
        <v>81.589039999999997</v>
      </c>
      <c r="F70" s="49">
        <f t="shared" si="2"/>
        <v>4.4140651711928755E-2</v>
      </c>
    </row>
    <row r="71" spans="1:6" x14ac:dyDescent="0.2">
      <c r="A71" s="41" t="s">
        <v>43</v>
      </c>
      <c r="B71" s="52"/>
      <c r="C71" s="52"/>
      <c r="D71" s="27"/>
      <c r="E71" s="50">
        <f>SUM(E58:E70)</f>
        <v>31324.049040000002</v>
      </c>
      <c r="F71" s="6">
        <f>SUM(F58:F70)</f>
        <v>16.946687188401967</v>
      </c>
    </row>
    <row r="72" spans="1:6" x14ac:dyDescent="0.2">
      <c r="A72" s="52"/>
      <c r="B72" s="52"/>
      <c r="C72" s="52"/>
      <c r="D72" s="27"/>
      <c r="E72" s="13"/>
      <c r="F72" s="49"/>
    </row>
    <row r="73" spans="1:6" x14ac:dyDescent="0.2">
      <c r="A73" s="41" t="s">
        <v>772</v>
      </c>
      <c r="B73" s="52"/>
      <c r="C73" s="52"/>
      <c r="D73" s="27"/>
      <c r="E73" s="13"/>
      <c r="F73" s="49"/>
    </row>
    <row r="74" spans="1:6" x14ac:dyDescent="0.2">
      <c r="A74" s="52" t="s">
        <v>1003</v>
      </c>
      <c r="B74" s="52" t="s">
        <v>1004</v>
      </c>
      <c r="C74" s="52" t="s">
        <v>706</v>
      </c>
      <c r="D74" s="27">
        <v>250</v>
      </c>
      <c r="E74" s="13">
        <v>2508.3074999999999</v>
      </c>
      <c r="F74" s="49">
        <f t="shared" ref="F74:F75" si="3">E74/$E$88*100</f>
        <v>1.357024518782409</v>
      </c>
    </row>
    <row r="75" spans="1:6" x14ac:dyDescent="0.2">
      <c r="A75" s="52" t="s">
        <v>1056</v>
      </c>
      <c r="B75" s="52" t="s">
        <v>1057</v>
      </c>
      <c r="C75" s="52" t="s">
        <v>764</v>
      </c>
      <c r="D75" s="27">
        <v>14</v>
      </c>
      <c r="E75" s="13">
        <v>1734.4333999999999</v>
      </c>
      <c r="F75" s="49">
        <f t="shared" si="3"/>
        <v>0.93834932519044723</v>
      </c>
    </row>
    <row r="76" spans="1:6" x14ac:dyDescent="0.2">
      <c r="A76" s="41" t="s">
        <v>43</v>
      </c>
      <c r="B76" s="52"/>
      <c r="C76" s="52"/>
      <c r="D76" s="27"/>
      <c r="E76" s="50">
        <f>SUM(E74:E75)</f>
        <v>4242.7408999999998</v>
      </c>
      <c r="F76" s="6">
        <f>SUM(F74:F75)</f>
        <v>2.2953738439728562</v>
      </c>
    </row>
    <row r="77" spans="1:6" x14ac:dyDescent="0.2">
      <c r="A77" s="52"/>
      <c r="B77" s="52"/>
      <c r="C77" s="52"/>
      <c r="D77" s="27"/>
      <c r="E77" s="13"/>
      <c r="F77" s="49"/>
    </row>
    <row r="78" spans="1:6" x14ac:dyDescent="0.2">
      <c r="A78" s="41" t="s">
        <v>1558</v>
      </c>
      <c r="B78" s="52"/>
      <c r="C78" s="52"/>
      <c r="D78" s="27"/>
      <c r="E78" s="13"/>
      <c r="F78" s="49"/>
    </row>
    <row r="79" spans="1:6" x14ac:dyDescent="0.2">
      <c r="A79" s="52" t="s">
        <v>1559</v>
      </c>
      <c r="B79" s="2" t="s">
        <v>1560</v>
      </c>
      <c r="C79" s="52" t="s">
        <v>1561</v>
      </c>
      <c r="D79" s="27">
        <v>7350000</v>
      </c>
      <c r="E79" s="13">
        <v>7659.4350000000004</v>
      </c>
      <c r="F79" s="49">
        <f t="shared" ref="F79:F81" si="4">E79/$E$88*100</f>
        <v>4.1438464363002314</v>
      </c>
    </row>
    <row r="80" spans="1:6" x14ac:dyDescent="0.2">
      <c r="A80" s="52" t="s">
        <v>1562</v>
      </c>
      <c r="B80" s="2" t="s">
        <v>1563</v>
      </c>
      <c r="C80" s="52" t="s">
        <v>1561</v>
      </c>
      <c r="D80" s="27">
        <v>2800000</v>
      </c>
      <c r="E80" s="13">
        <v>2940.84</v>
      </c>
      <c r="F80" s="49">
        <f t="shared" si="4"/>
        <v>1.5910298022934033</v>
      </c>
    </row>
    <row r="81" spans="1:6" x14ac:dyDescent="0.2">
      <c r="A81" s="52" t="s">
        <v>1564</v>
      </c>
      <c r="B81" s="2" t="s">
        <v>1565</v>
      </c>
      <c r="C81" s="52" t="s">
        <v>1561</v>
      </c>
      <c r="D81" s="27">
        <v>900000</v>
      </c>
      <c r="E81" s="13">
        <v>899.84249999999997</v>
      </c>
      <c r="F81" s="49">
        <f t="shared" si="4"/>
        <v>0.48682561270596214</v>
      </c>
    </row>
    <row r="82" spans="1:6" x14ac:dyDescent="0.2">
      <c r="A82" s="41" t="s">
        <v>43</v>
      </c>
      <c r="B82" s="52"/>
      <c r="C82" s="52"/>
      <c r="D82" s="27"/>
      <c r="E82" s="50">
        <f>SUM(E79:E81)</f>
        <v>11500.117500000002</v>
      </c>
      <c r="F82" s="6">
        <f>SUM(F79:F81)</f>
        <v>6.2217018512995965</v>
      </c>
    </row>
    <row r="83" spans="1:6" x14ac:dyDescent="0.2">
      <c r="A83" s="52"/>
      <c r="B83" s="52"/>
      <c r="C83" s="52"/>
      <c r="D83" s="27"/>
      <c r="E83" s="13"/>
      <c r="F83" s="49"/>
    </row>
    <row r="84" spans="1:6" x14ac:dyDescent="0.2">
      <c r="A84" s="41" t="s">
        <v>43</v>
      </c>
      <c r="B84" s="52"/>
      <c r="C84" s="52"/>
      <c r="D84" s="27"/>
      <c r="E84" s="50">
        <f>E44++E49+E53+E71+E76+E82</f>
        <v>182133.31717950001</v>
      </c>
      <c r="F84" s="6">
        <f>F44++F49+F53+F71+F76+F82</f>
        <v>98.536298571158213</v>
      </c>
    </row>
    <row r="85" spans="1:6" x14ac:dyDescent="0.2">
      <c r="A85" s="52"/>
      <c r="B85" s="52"/>
      <c r="C85" s="52"/>
      <c r="D85" s="52"/>
      <c r="E85" s="13"/>
      <c r="F85" s="49"/>
    </row>
    <row r="86" spans="1:6" x14ac:dyDescent="0.2">
      <c r="A86" s="41" t="s">
        <v>100</v>
      </c>
      <c r="B86" s="52"/>
      <c r="C86" s="52"/>
      <c r="D86" s="52"/>
      <c r="E86" s="50">
        <v>2705.458044</v>
      </c>
      <c r="F86" s="6">
        <f t="shared" ref="F86" si="5">E86/$E$88*100</f>
        <v>1.463685333734041</v>
      </c>
    </row>
    <row r="87" spans="1:6" x14ac:dyDescent="0.2">
      <c r="A87" s="52"/>
      <c r="B87" s="52"/>
      <c r="C87" s="52"/>
      <c r="D87" s="52"/>
      <c r="E87" s="13"/>
      <c r="F87" s="49"/>
    </row>
    <row r="88" spans="1:6" x14ac:dyDescent="0.2">
      <c r="A88" s="57" t="s">
        <v>101</v>
      </c>
      <c r="B88" s="34"/>
      <c r="C88" s="34"/>
      <c r="D88" s="34"/>
      <c r="E88" s="51">
        <f>E84+E86</f>
        <v>184838.77522350001</v>
      </c>
      <c r="F88" s="8">
        <f xml:space="preserve"> ROUND(SUM(F84:F87),2)</f>
        <v>100</v>
      </c>
    </row>
    <row r="89" spans="1:6" x14ac:dyDescent="0.2">
      <c r="A89" s="4" t="s">
        <v>1964</v>
      </c>
      <c r="F89" s="9" t="s">
        <v>1091</v>
      </c>
    </row>
    <row r="90" spans="1:6" x14ac:dyDescent="0.2">
      <c r="A90" s="4"/>
      <c r="F90" s="9"/>
    </row>
    <row r="91" spans="1:6" x14ac:dyDescent="0.2">
      <c r="A91" s="4" t="s">
        <v>102</v>
      </c>
    </row>
    <row r="92" spans="1:6" x14ac:dyDescent="0.2">
      <c r="A92" s="4" t="s">
        <v>833</v>
      </c>
    </row>
    <row r="93" spans="1:6" x14ac:dyDescent="0.2">
      <c r="A93" s="4" t="s">
        <v>104</v>
      </c>
    </row>
    <row r="94" spans="1:6" x14ac:dyDescent="0.2">
      <c r="A94" s="2" t="s">
        <v>598</v>
      </c>
      <c r="D94" s="10">
        <v>120.8314</v>
      </c>
    </row>
    <row r="95" spans="1:6" x14ac:dyDescent="0.2">
      <c r="A95" s="2" t="s">
        <v>599</v>
      </c>
      <c r="D95" s="10">
        <v>22.4099</v>
      </c>
    </row>
    <row r="96" spans="1:6" x14ac:dyDescent="0.2">
      <c r="A96" s="2" t="s">
        <v>600</v>
      </c>
      <c r="D96" s="10">
        <v>129.47909999999999</v>
      </c>
    </row>
    <row r="97" spans="1:5" x14ac:dyDescent="0.2">
      <c r="A97" s="2" t="s">
        <v>601</v>
      </c>
      <c r="D97" s="10">
        <v>24.3706</v>
      </c>
    </row>
    <row r="99" spans="1:5" x14ac:dyDescent="0.2">
      <c r="A99" s="4" t="s">
        <v>105</v>
      </c>
    </row>
    <row r="100" spans="1:5" x14ac:dyDescent="0.2">
      <c r="A100" s="2" t="s">
        <v>598</v>
      </c>
      <c r="D100" s="10">
        <v>122.7833</v>
      </c>
    </row>
    <row r="101" spans="1:5" x14ac:dyDescent="0.2">
      <c r="A101" s="2" t="s">
        <v>599</v>
      </c>
      <c r="D101" s="10">
        <v>20.985299999999999</v>
      </c>
    </row>
    <row r="102" spans="1:5" x14ac:dyDescent="0.2">
      <c r="A102" s="2" t="s">
        <v>600</v>
      </c>
      <c r="D102" s="10">
        <v>132.2799</v>
      </c>
    </row>
    <row r="103" spans="1:5" x14ac:dyDescent="0.2">
      <c r="A103" s="2" t="s">
        <v>601</v>
      </c>
      <c r="D103" s="10">
        <v>23.102</v>
      </c>
    </row>
    <row r="105" spans="1:5" x14ac:dyDescent="0.2">
      <c r="A105" s="4" t="s">
        <v>106</v>
      </c>
      <c r="D105" s="17" t="s">
        <v>319</v>
      </c>
    </row>
    <row r="106" spans="1:5" x14ac:dyDescent="0.2">
      <c r="A106" s="70" t="s">
        <v>602</v>
      </c>
      <c r="B106" s="71"/>
      <c r="C106" s="103" t="s">
        <v>603</v>
      </c>
      <c r="D106" s="103"/>
    </row>
    <row r="107" spans="1:5" x14ac:dyDescent="0.2">
      <c r="A107" s="104"/>
      <c r="B107" s="104"/>
      <c r="C107" s="20" t="s">
        <v>604</v>
      </c>
      <c r="D107" s="20" t="s">
        <v>605</v>
      </c>
    </row>
    <row r="108" spans="1:5" x14ac:dyDescent="0.2">
      <c r="A108" s="21" t="s">
        <v>599</v>
      </c>
      <c r="B108" s="22"/>
      <c r="C108" s="72">
        <v>1.5494648225000001</v>
      </c>
      <c r="D108" s="72">
        <v>1.5494648225000001</v>
      </c>
    </row>
    <row r="109" spans="1:5" x14ac:dyDescent="0.2">
      <c r="A109" s="21" t="s">
        <v>601</v>
      </c>
      <c r="B109" s="22"/>
      <c r="C109" s="72">
        <v>1.5494648225000001</v>
      </c>
      <c r="D109" s="72">
        <v>1.5494648225000001</v>
      </c>
    </row>
    <row r="110" spans="1:5" x14ac:dyDescent="0.2">
      <c r="A110" s="75"/>
      <c r="B110" s="75"/>
      <c r="C110" s="76"/>
      <c r="D110" s="76"/>
    </row>
    <row r="111" spans="1:5" x14ac:dyDescent="0.2">
      <c r="A111" s="4" t="s">
        <v>834</v>
      </c>
      <c r="D111" s="59">
        <v>4.1618804852896689</v>
      </c>
      <c r="E111" s="59" t="s">
        <v>1106</v>
      </c>
    </row>
    <row r="113" spans="1:4" x14ac:dyDescent="0.2">
      <c r="A113" s="9" t="s">
        <v>1758</v>
      </c>
      <c r="B113" s="91"/>
      <c r="D113" s="91">
        <v>0.33573850015149437</v>
      </c>
    </row>
    <row r="115" spans="1:4" x14ac:dyDescent="0.2">
      <c r="A115" s="4" t="s">
        <v>1759</v>
      </c>
      <c r="D115" s="67" t="s">
        <v>107</v>
      </c>
    </row>
  </sheetData>
  <mergeCells count="3">
    <mergeCell ref="A1:F1"/>
    <mergeCell ref="C106:D106"/>
    <mergeCell ref="A107:B10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8DB8-D1C0-432B-9C18-0DEAEC347A91}">
  <dimension ref="A1:F9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1.28515625" style="2" bestFit="1" customWidth="1"/>
    <col min="3" max="3" width="18" style="2" bestFit="1" customWidth="1"/>
    <col min="4" max="4" width="10" style="2" bestFit="1" customWidth="1"/>
    <col min="5" max="5" width="23" style="59" bestFit="1" customWidth="1"/>
    <col min="6" max="6" width="15.5703125" style="1" bestFit="1" customWidth="1"/>
    <col min="7" max="16384" width="9.140625" style="2"/>
  </cols>
  <sheetData>
    <row r="1" spans="1:6" x14ac:dyDescent="0.2">
      <c r="A1" s="102" t="s">
        <v>1770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1761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7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52" t="s">
        <v>9</v>
      </c>
      <c r="B7" s="52" t="s">
        <v>10</v>
      </c>
      <c r="C7" s="52" t="s">
        <v>11</v>
      </c>
      <c r="D7" s="14">
        <v>59486</v>
      </c>
      <c r="E7" s="13">
        <v>731.88600099999996</v>
      </c>
      <c r="F7" s="49">
        <f>E7/$E$65*100</f>
        <v>2.3612960274536623</v>
      </c>
    </row>
    <row r="8" spans="1:6" x14ac:dyDescent="0.2">
      <c r="A8" s="52" t="s">
        <v>121</v>
      </c>
      <c r="B8" s="52" t="s">
        <v>122</v>
      </c>
      <c r="C8" s="52" t="s">
        <v>11</v>
      </c>
      <c r="D8" s="14">
        <v>95488</v>
      </c>
      <c r="E8" s="13">
        <v>703.12588800000003</v>
      </c>
      <c r="F8" s="49">
        <f t="shared" ref="F8:F32" si="0">E8/$E$65*100</f>
        <v>2.2685067945905812</v>
      </c>
    </row>
    <row r="9" spans="1:6" x14ac:dyDescent="0.2">
      <c r="A9" s="52" t="s">
        <v>20</v>
      </c>
      <c r="B9" s="52" t="s">
        <v>21</v>
      </c>
      <c r="C9" s="52" t="s">
        <v>11</v>
      </c>
      <c r="D9" s="14">
        <v>30909</v>
      </c>
      <c r="E9" s="13">
        <v>486.66220499999997</v>
      </c>
      <c r="F9" s="49">
        <f t="shared" si="0"/>
        <v>1.5701263992045393</v>
      </c>
    </row>
    <row r="10" spans="1:6" x14ac:dyDescent="0.2">
      <c r="A10" s="52" t="s">
        <v>185</v>
      </c>
      <c r="B10" s="52" t="s">
        <v>186</v>
      </c>
      <c r="C10" s="52" t="s">
        <v>78</v>
      </c>
      <c r="D10" s="14">
        <v>63338</v>
      </c>
      <c r="E10" s="13">
        <v>434.24532799999997</v>
      </c>
      <c r="F10" s="49">
        <f t="shared" si="0"/>
        <v>1.4010129535825246</v>
      </c>
    </row>
    <row r="11" spans="1:6" x14ac:dyDescent="0.2">
      <c r="A11" s="52" t="s">
        <v>211</v>
      </c>
      <c r="B11" s="52" t="s">
        <v>212</v>
      </c>
      <c r="C11" s="52" t="s">
        <v>36</v>
      </c>
      <c r="D11" s="14">
        <v>67697</v>
      </c>
      <c r="E11" s="13">
        <v>375.98913800000003</v>
      </c>
      <c r="F11" s="49">
        <f t="shared" si="0"/>
        <v>1.2130600349126324</v>
      </c>
    </row>
    <row r="12" spans="1:6" x14ac:dyDescent="0.2">
      <c r="A12" s="52" t="s">
        <v>216</v>
      </c>
      <c r="B12" s="52" t="s">
        <v>217</v>
      </c>
      <c r="C12" s="52" t="s">
        <v>131</v>
      </c>
      <c r="D12" s="14">
        <v>170586</v>
      </c>
      <c r="E12" s="13">
        <v>356.95120500000002</v>
      </c>
      <c r="F12" s="49">
        <f t="shared" si="0"/>
        <v>1.1516376337430423</v>
      </c>
    </row>
    <row r="13" spans="1:6" x14ac:dyDescent="0.2">
      <c r="A13" s="52" t="s">
        <v>123</v>
      </c>
      <c r="B13" s="52" t="s">
        <v>124</v>
      </c>
      <c r="C13" s="52" t="s">
        <v>117</v>
      </c>
      <c r="D13" s="14">
        <v>60000</v>
      </c>
      <c r="E13" s="13">
        <v>315.95999999999998</v>
      </c>
      <c r="F13" s="49">
        <f t="shared" si="0"/>
        <v>1.0193870245022751</v>
      </c>
    </row>
    <row r="14" spans="1:6" x14ac:dyDescent="0.2">
      <c r="A14" s="52" t="s">
        <v>198</v>
      </c>
      <c r="B14" s="52" t="s">
        <v>199</v>
      </c>
      <c r="C14" s="52" t="s">
        <v>33</v>
      </c>
      <c r="D14" s="14">
        <v>47341</v>
      </c>
      <c r="E14" s="13">
        <v>287.09949449999999</v>
      </c>
      <c r="F14" s="49">
        <f t="shared" si="0"/>
        <v>0.92627389363989843</v>
      </c>
    </row>
    <row r="15" spans="1:6" x14ac:dyDescent="0.2">
      <c r="A15" s="52" t="s">
        <v>176</v>
      </c>
      <c r="B15" s="52" t="s">
        <v>177</v>
      </c>
      <c r="C15" s="52" t="s">
        <v>178</v>
      </c>
      <c r="D15" s="14">
        <v>10300</v>
      </c>
      <c r="E15" s="13">
        <v>286.6696</v>
      </c>
      <c r="F15" s="49">
        <f t="shared" si="0"/>
        <v>0.92488691783535071</v>
      </c>
    </row>
    <row r="16" spans="1:6" x14ac:dyDescent="0.2">
      <c r="A16" s="52" t="s">
        <v>113</v>
      </c>
      <c r="B16" s="52" t="s">
        <v>114</v>
      </c>
      <c r="C16" s="52" t="s">
        <v>42</v>
      </c>
      <c r="D16" s="14">
        <v>76153</v>
      </c>
      <c r="E16" s="13">
        <v>285.00260250000002</v>
      </c>
      <c r="F16" s="49">
        <f t="shared" si="0"/>
        <v>0.91950865596239928</v>
      </c>
    </row>
    <row r="17" spans="1:6" x14ac:dyDescent="0.2">
      <c r="A17" s="52" t="s">
        <v>283</v>
      </c>
      <c r="B17" s="52" t="s">
        <v>284</v>
      </c>
      <c r="C17" s="52" t="s">
        <v>92</v>
      </c>
      <c r="D17" s="14">
        <v>40000</v>
      </c>
      <c r="E17" s="13">
        <v>283.39999999999998</v>
      </c>
      <c r="F17" s="49">
        <f t="shared" si="0"/>
        <v>0.91433815275333818</v>
      </c>
    </row>
    <row r="18" spans="1:6" x14ac:dyDescent="0.2">
      <c r="A18" s="52" t="s">
        <v>109</v>
      </c>
      <c r="B18" s="52" t="s">
        <v>110</v>
      </c>
      <c r="C18" s="52" t="s">
        <v>11</v>
      </c>
      <c r="D18" s="14">
        <v>60374</v>
      </c>
      <c r="E18" s="13">
        <v>279.56180699999999</v>
      </c>
      <c r="F18" s="49">
        <f t="shared" si="0"/>
        <v>0.90195492657997622</v>
      </c>
    </row>
    <row r="19" spans="1:6" x14ac:dyDescent="0.2">
      <c r="A19" s="52" t="s">
        <v>207</v>
      </c>
      <c r="B19" s="52" t="s">
        <v>208</v>
      </c>
      <c r="C19" s="52" t="s">
        <v>120</v>
      </c>
      <c r="D19" s="14">
        <v>138926</v>
      </c>
      <c r="E19" s="13">
        <v>275.55972100000002</v>
      </c>
      <c r="F19" s="49">
        <f t="shared" si="0"/>
        <v>0.88904292968371679</v>
      </c>
    </row>
    <row r="20" spans="1:6" x14ac:dyDescent="0.2">
      <c r="A20" s="52" t="s">
        <v>183</v>
      </c>
      <c r="B20" s="52" t="s">
        <v>184</v>
      </c>
      <c r="C20" s="52" t="s">
        <v>57</v>
      </c>
      <c r="D20" s="14">
        <v>34754</v>
      </c>
      <c r="E20" s="13">
        <v>267.17137500000001</v>
      </c>
      <c r="F20" s="49">
        <f t="shared" si="0"/>
        <v>0.86197946889932753</v>
      </c>
    </row>
    <row r="21" spans="1:6" x14ac:dyDescent="0.2">
      <c r="A21" s="52" t="s">
        <v>240</v>
      </c>
      <c r="B21" s="52" t="s">
        <v>241</v>
      </c>
      <c r="C21" s="52" t="s">
        <v>233</v>
      </c>
      <c r="D21" s="14">
        <v>26000</v>
      </c>
      <c r="E21" s="13">
        <v>230.02199999999999</v>
      </c>
      <c r="F21" s="49">
        <f t="shared" si="0"/>
        <v>0.74212381994576004</v>
      </c>
    </row>
    <row r="22" spans="1:6" x14ac:dyDescent="0.2">
      <c r="A22" s="52" t="s">
        <v>22</v>
      </c>
      <c r="B22" s="52" t="s">
        <v>23</v>
      </c>
      <c r="C22" s="52" t="s">
        <v>24</v>
      </c>
      <c r="D22" s="14">
        <v>96457</v>
      </c>
      <c r="E22" s="13">
        <v>181.24270300000001</v>
      </c>
      <c r="F22" s="49">
        <f t="shared" si="0"/>
        <v>0.5847463594249892</v>
      </c>
    </row>
    <row r="23" spans="1:6" x14ac:dyDescent="0.2">
      <c r="A23" s="52" t="s">
        <v>223</v>
      </c>
      <c r="B23" s="52" t="s">
        <v>224</v>
      </c>
      <c r="C23" s="52" t="s">
        <v>36</v>
      </c>
      <c r="D23" s="14">
        <v>9526</v>
      </c>
      <c r="E23" s="13">
        <v>147.57679200000001</v>
      </c>
      <c r="F23" s="49">
        <f t="shared" si="0"/>
        <v>0.4761294685481427</v>
      </c>
    </row>
    <row r="24" spans="1:6" x14ac:dyDescent="0.2">
      <c r="A24" s="52" t="s">
        <v>200</v>
      </c>
      <c r="B24" s="52" t="s">
        <v>201</v>
      </c>
      <c r="C24" s="52" t="s">
        <v>36</v>
      </c>
      <c r="D24" s="14">
        <v>10000</v>
      </c>
      <c r="E24" s="13">
        <v>127.61499999999999</v>
      </c>
      <c r="F24" s="49">
        <f t="shared" si="0"/>
        <v>0.41172640565849422</v>
      </c>
    </row>
    <row r="25" spans="1:6" x14ac:dyDescent="0.2">
      <c r="A25" s="52" t="s">
        <v>289</v>
      </c>
      <c r="B25" s="52" t="s">
        <v>290</v>
      </c>
      <c r="C25" s="52" t="s">
        <v>33</v>
      </c>
      <c r="D25" s="14">
        <v>25761</v>
      </c>
      <c r="E25" s="13">
        <v>125.36590649999999</v>
      </c>
      <c r="F25" s="49">
        <f t="shared" si="0"/>
        <v>0.40447011773979441</v>
      </c>
    </row>
    <row r="26" spans="1:6" x14ac:dyDescent="0.2">
      <c r="A26" s="52" t="s">
        <v>193</v>
      </c>
      <c r="B26" s="52" t="s">
        <v>194</v>
      </c>
      <c r="C26" s="52" t="s">
        <v>178</v>
      </c>
      <c r="D26" s="14">
        <v>45000</v>
      </c>
      <c r="E26" s="13">
        <v>113.28749999999999</v>
      </c>
      <c r="F26" s="49">
        <f t="shared" si="0"/>
        <v>0.36550135314059212</v>
      </c>
    </row>
    <row r="27" spans="1:6" x14ac:dyDescent="0.2">
      <c r="A27" s="52" t="s">
        <v>37</v>
      </c>
      <c r="B27" s="52" t="s">
        <v>38</v>
      </c>
      <c r="C27" s="52" t="s">
        <v>39</v>
      </c>
      <c r="D27" s="14">
        <v>20015</v>
      </c>
      <c r="E27" s="13">
        <v>108.87159250000001</v>
      </c>
      <c r="F27" s="49">
        <f t="shared" si="0"/>
        <v>0.35125423702810238</v>
      </c>
    </row>
    <row r="28" spans="1:6" x14ac:dyDescent="0.2">
      <c r="A28" s="52" t="s">
        <v>111</v>
      </c>
      <c r="B28" s="52" t="s">
        <v>112</v>
      </c>
      <c r="C28" s="52" t="s">
        <v>11</v>
      </c>
      <c r="D28" s="14">
        <v>29755</v>
      </c>
      <c r="E28" s="13">
        <v>92.954620000000006</v>
      </c>
      <c r="F28" s="49">
        <f t="shared" si="0"/>
        <v>0.29990104283940905</v>
      </c>
    </row>
    <row r="29" spans="1:6" x14ac:dyDescent="0.2">
      <c r="A29" s="52" t="s">
        <v>256</v>
      </c>
      <c r="B29" s="52" t="s">
        <v>257</v>
      </c>
      <c r="C29" s="52" t="s">
        <v>14</v>
      </c>
      <c r="D29" s="14">
        <v>35367</v>
      </c>
      <c r="E29" s="13">
        <v>75.048773999999995</v>
      </c>
      <c r="F29" s="49">
        <f t="shared" si="0"/>
        <v>0.24213111286366537</v>
      </c>
    </row>
    <row r="30" spans="1:6" x14ac:dyDescent="0.2">
      <c r="A30" s="52" t="s">
        <v>31</v>
      </c>
      <c r="B30" s="52" t="s">
        <v>32</v>
      </c>
      <c r="C30" s="52" t="s">
        <v>33</v>
      </c>
      <c r="D30" s="14">
        <v>40000</v>
      </c>
      <c r="E30" s="13">
        <v>71.08</v>
      </c>
      <c r="F30" s="49">
        <f t="shared" si="0"/>
        <v>0.22932659102931291</v>
      </c>
    </row>
    <row r="31" spans="1:6" x14ac:dyDescent="0.2">
      <c r="A31" s="52" t="s">
        <v>271</v>
      </c>
      <c r="B31" s="52" t="s">
        <v>272</v>
      </c>
      <c r="C31" s="52" t="s">
        <v>70</v>
      </c>
      <c r="D31" s="14">
        <v>97694</v>
      </c>
      <c r="E31" s="13">
        <v>55.050569000000003</v>
      </c>
      <c r="F31" s="49">
        <f t="shared" si="0"/>
        <v>0.17761057010402326</v>
      </c>
    </row>
    <row r="32" spans="1:6" x14ac:dyDescent="0.2">
      <c r="A32" s="52" t="s">
        <v>309</v>
      </c>
      <c r="B32" s="52" t="s">
        <v>310</v>
      </c>
      <c r="C32" s="52" t="s">
        <v>11</v>
      </c>
      <c r="D32" s="14">
        <v>77000</v>
      </c>
      <c r="E32" s="13">
        <v>42.234499999999997</v>
      </c>
      <c r="F32" s="49">
        <f t="shared" si="0"/>
        <v>0.13626187266217665</v>
      </c>
    </row>
    <row r="33" spans="1:6" x14ac:dyDescent="0.2">
      <c r="A33" s="52" t="s">
        <v>325</v>
      </c>
      <c r="B33" s="52" t="s">
        <v>326</v>
      </c>
      <c r="C33" s="52" t="s">
        <v>327</v>
      </c>
      <c r="D33" s="14">
        <v>581</v>
      </c>
      <c r="E33" s="13">
        <v>1.2058655</v>
      </c>
      <c r="F33" s="69" t="s">
        <v>607</v>
      </c>
    </row>
    <row r="34" spans="1:6" x14ac:dyDescent="0.2">
      <c r="A34" s="41" t="s">
        <v>43</v>
      </c>
      <c r="B34" s="52"/>
      <c r="C34" s="52"/>
      <c r="D34" s="14"/>
      <c r="E34" s="50">
        <f>SUM(E7:E33)</f>
        <v>6740.8401874999981</v>
      </c>
      <c r="F34" s="6">
        <f>SUM(F7:F33)</f>
        <v>21.744194764327727</v>
      </c>
    </row>
    <row r="35" spans="1:6" x14ac:dyDescent="0.2">
      <c r="A35" s="52"/>
      <c r="B35" s="52"/>
      <c r="C35" s="52"/>
      <c r="D35" s="14"/>
      <c r="E35" s="13"/>
      <c r="F35" s="49"/>
    </row>
    <row r="36" spans="1:6" x14ac:dyDescent="0.2">
      <c r="A36" s="41" t="s">
        <v>682</v>
      </c>
      <c r="B36" s="52"/>
      <c r="C36" s="52"/>
      <c r="D36" s="14"/>
      <c r="E36" s="13"/>
      <c r="F36" s="49"/>
    </row>
    <row r="37" spans="1:6" x14ac:dyDescent="0.2">
      <c r="A37" s="41" t="s">
        <v>8</v>
      </c>
      <c r="B37" s="52"/>
      <c r="C37" s="52"/>
      <c r="D37" s="14"/>
      <c r="E37" s="13"/>
      <c r="F37" s="49"/>
    </row>
    <row r="38" spans="1:6" x14ac:dyDescent="0.2">
      <c r="A38" s="41"/>
      <c r="B38" s="52"/>
      <c r="C38" s="52"/>
      <c r="D38" s="14"/>
      <c r="E38" s="13"/>
      <c r="F38" s="49"/>
    </row>
    <row r="39" spans="1:6" x14ac:dyDescent="0.2">
      <c r="A39" s="52" t="s">
        <v>749</v>
      </c>
      <c r="B39" s="52" t="s">
        <v>750</v>
      </c>
      <c r="C39" s="52" t="s">
        <v>688</v>
      </c>
      <c r="D39" s="14">
        <v>300</v>
      </c>
      <c r="E39" s="13">
        <v>3028.788</v>
      </c>
      <c r="F39" s="49">
        <f t="shared" ref="F39:F52" si="1">E39/$E$65*100</f>
        <v>9.7718293048746574</v>
      </c>
    </row>
    <row r="40" spans="1:6" x14ac:dyDescent="0.2">
      <c r="A40" s="52" t="s">
        <v>1684</v>
      </c>
      <c r="B40" s="52" t="s">
        <v>1685</v>
      </c>
      <c r="C40" s="52" t="s">
        <v>1029</v>
      </c>
      <c r="D40" s="14">
        <v>250</v>
      </c>
      <c r="E40" s="13">
        <v>2508.9549999999999</v>
      </c>
      <c r="F40" s="49">
        <f t="shared" si="1"/>
        <v>8.0946834158124616</v>
      </c>
    </row>
    <row r="41" spans="1:6" x14ac:dyDescent="0.2">
      <c r="A41" s="52" t="s">
        <v>1629</v>
      </c>
      <c r="B41" s="52" t="s">
        <v>1630</v>
      </c>
      <c r="C41" s="52" t="s">
        <v>688</v>
      </c>
      <c r="D41" s="14">
        <v>210</v>
      </c>
      <c r="E41" s="13">
        <v>2208.7968000000001</v>
      </c>
      <c r="F41" s="49">
        <f t="shared" si="1"/>
        <v>7.1262780025387604</v>
      </c>
    </row>
    <row r="42" spans="1:6" x14ac:dyDescent="0.2">
      <c r="A42" s="52" t="s">
        <v>1764</v>
      </c>
      <c r="B42" s="52" t="s">
        <v>1765</v>
      </c>
      <c r="C42" s="52" t="s">
        <v>694</v>
      </c>
      <c r="D42" s="14">
        <v>200</v>
      </c>
      <c r="E42" s="13">
        <v>2022.18</v>
      </c>
      <c r="F42" s="49">
        <f t="shared" si="1"/>
        <v>6.5241931042157573</v>
      </c>
    </row>
    <row r="43" spans="1:6" x14ac:dyDescent="0.2">
      <c r="A43" s="52" t="s">
        <v>1143</v>
      </c>
      <c r="B43" s="52" t="s">
        <v>1144</v>
      </c>
      <c r="C43" s="52" t="s">
        <v>688</v>
      </c>
      <c r="D43" s="14">
        <v>100</v>
      </c>
      <c r="E43" s="13">
        <v>1035.877</v>
      </c>
      <c r="F43" s="49">
        <f t="shared" si="1"/>
        <v>3.3420672641484468</v>
      </c>
    </row>
    <row r="44" spans="1:6" x14ac:dyDescent="0.2">
      <c r="A44" s="52" t="s">
        <v>1145</v>
      </c>
      <c r="B44" s="52" t="s">
        <v>1146</v>
      </c>
      <c r="C44" s="52" t="s">
        <v>691</v>
      </c>
      <c r="D44" s="14">
        <v>100</v>
      </c>
      <c r="E44" s="13">
        <v>1017.176</v>
      </c>
      <c r="F44" s="49">
        <f t="shared" si="1"/>
        <v>3.2817319155435065</v>
      </c>
    </row>
    <row r="45" spans="1:6" x14ac:dyDescent="0.2">
      <c r="A45" s="52" t="s">
        <v>1571</v>
      </c>
      <c r="B45" s="52" t="s">
        <v>1572</v>
      </c>
      <c r="C45" s="52" t="s">
        <v>1573</v>
      </c>
      <c r="D45" s="14">
        <v>100</v>
      </c>
      <c r="E45" s="13">
        <v>1002.599</v>
      </c>
      <c r="F45" s="49">
        <f t="shared" si="1"/>
        <v>3.2347018970089776</v>
      </c>
    </row>
    <row r="46" spans="1:6" x14ac:dyDescent="0.2">
      <c r="A46" s="52" t="s">
        <v>1768</v>
      </c>
      <c r="B46" s="52" t="s">
        <v>1769</v>
      </c>
      <c r="C46" s="52" t="s">
        <v>688</v>
      </c>
      <c r="D46" s="14">
        <v>90</v>
      </c>
      <c r="E46" s="13">
        <v>889.48350000000005</v>
      </c>
      <c r="F46" s="49">
        <f t="shared" si="1"/>
        <v>2.8697554703407695</v>
      </c>
    </row>
    <row r="47" spans="1:6" x14ac:dyDescent="0.2">
      <c r="A47" s="52" t="s">
        <v>766</v>
      </c>
      <c r="B47" s="52" t="s">
        <v>767</v>
      </c>
      <c r="C47" s="52" t="s">
        <v>726</v>
      </c>
      <c r="D47" s="14">
        <v>70</v>
      </c>
      <c r="E47" s="13">
        <v>724.38379999999995</v>
      </c>
      <c r="F47" s="49">
        <f t="shared" si="1"/>
        <v>2.3370915510813113</v>
      </c>
    </row>
    <row r="48" spans="1:6" x14ac:dyDescent="0.2">
      <c r="A48" s="52" t="s">
        <v>1120</v>
      </c>
      <c r="B48" s="52" t="s">
        <v>1121</v>
      </c>
      <c r="C48" s="52" t="s">
        <v>688</v>
      </c>
      <c r="D48" s="14">
        <v>65</v>
      </c>
      <c r="E48" s="13">
        <v>678.97310000000004</v>
      </c>
      <c r="F48" s="49">
        <f t="shared" si="1"/>
        <v>2.1905822513168935</v>
      </c>
    </row>
    <row r="49" spans="1:6" x14ac:dyDescent="0.2">
      <c r="A49" s="52" t="s">
        <v>719</v>
      </c>
      <c r="B49" s="52" t="s">
        <v>720</v>
      </c>
      <c r="C49" s="52" t="s">
        <v>688</v>
      </c>
      <c r="D49" s="14">
        <v>60</v>
      </c>
      <c r="E49" s="13">
        <v>623.32439999999997</v>
      </c>
      <c r="F49" s="49">
        <f t="shared" si="1"/>
        <v>2.0110419211788391</v>
      </c>
    </row>
    <row r="50" spans="1:6" x14ac:dyDescent="0.2">
      <c r="A50" s="52" t="s">
        <v>710</v>
      </c>
      <c r="B50" s="52" t="s">
        <v>711</v>
      </c>
      <c r="C50" s="52" t="s">
        <v>712</v>
      </c>
      <c r="D50" s="14">
        <v>55</v>
      </c>
      <c r="E50" s="13">
        <v>572.48014999999998</v>
      </c>
      <c r="F50" s="49">
        <f t="shared" si="1"/>
        <v>1.8470022683096472</v>
      </c>
    </row>
    <row r="51" spans="1:6" x14ac:dyDescent="0.2">
      <c r="A51" s="52" t="s">
        <v>1771</v>
      </c>
      <c r="B51" s="52" t="s">
        <v>1772</v>
      </c>
      <c r="C51" s="52" t="s">
        <v>703</v>
      </c>
      <c r="D51" s="14">
        <v>50</v>
      </c>
      <c r="E51" s="13">
        <v>497.06349999999998</v>
      </c>
      <c r="F51" s="49">
        <f t="shared" si="1"/>
        <v>1.6036842709636874</v>
      </c>
    </row>
    <row r="52" spans="1:6" x14ac:dyDescent="0.2">
      <c r="A52" s="52" t="s">
        <v>1755</v>
      </c>
      <c r="B52" s="52" t="s">
        <v>1756</v>
      </c>
      <c r="C52" s="52" t="s">
        <v>848</v>
      </c>
      <c r="D52" s="14">
        <v>50</v>
      </c>
      <c r="E52" s="13">
        <v>490.26049999999998</v>
      </c>
      <c r="F52" s="49">
        <f t="shared" si="1"/>
        <v>1.5817356384542272</v>
      </c>
    </row>
    <row r="53" spans="1:6" x14ac:dyDescent="0.2">
      <c r="A53" s="41" t="s">
        <v>43</v>
      </c>
      <c r="B53" s="52"/>
      <c r="C53" s="52"/>
      <c r="D53" s="14"/>
      <c r="E53" s="50">
        <f>SUM(E39:E52)</f>
        <v>17300.340749999999</v>
      </c>
      <c r="F53" s="6">
        <f>SUM(F39:F52)</f>
        <v>55.81637827578794</v>
      </c>
    </row>
    <row r="54" spans="1:6" x14ac:dyDescent="0.2">
      <c r="A54" s="52"/>
      <c r="B54" s="52"/>
      <c r="C54" s="52"/>
      <c r="D54" s="14"/>
      <c r="E54" s="13"/>
      <c r="F54" s="49"/>
    </row>
    <row r="55" spans="1:6" x14ac:dyDescent="0.2">
      <c r="A55" s="41" t="s">
        <v>1558</v>
      </c>
      <c r="B55" s="52"/>
      <c r="C55" s="52"/>
      <c r="D55" s="14"/>
      <c r="E55" s="13"/>
      <c r="F55" s="49"/>
    </row>
    <row r="56" spans="1:6" x14ac:dyDescent="0.2">
      <c r="A56" s="52" t="s">
        <v>1559</v>
      </c>
      <c r="B56" s="52" t="s">
        <v>1560</v>
      </c>
      <c r="C56" s="52" t="s">
        <v>1561</v>
      </c>
      <c r="D56" s="14">
        <v>2450000</v>
      </c>
      <c r="E56" s="13">
        <v>2553.145</v>
      </c>
      <c r="F56" s="49">
        <f t="shared" ref="F56:F58" si="2">E56/$E$65*100</f>
        <v>8.2372543507813045</v>
      </c>
    </row>
    <row r="57" spans="1:6" x14ac:dyDescent="0.2">
      <c r="A57" s="52" t="s">
        <v>1562</v>
      </c>
      <c r="B57" s="52" t="s">
        <v>1563</v>
      </c>
      <c r="C57" s="52" t="s">
        <v>1561</v>
      </c>
      <c r="D57" s="14">
        <v>1500000</v>
      </c>
      <c r="E57" s="13">
        <v>1575.45</v>
      </c>
      <c r="F57" s="49">
        <f t="shared" si="2"/>
        <v>5.0829006448667853</v>
      </c>
    </row>
    <row r="58" spans="1:6" x14ac:dyDescent="0.2">
      <c r="A58" s="52" t="s">
        <v>1564</v>
      </c>
      <c r="B58" s="52" t="s">
        <v>1565</v>
      </c>
      <c r="C58" s="52" t="s">
        <v>1561</v>
      </c>
      <c r="D58" s="14">
        <v>1000000</v>
      </c>
      <c r="E58" s="13">
        <v>999.82500000000005</v>
      </c>
      <c r="F58" s="49">
        <f t="shared" si="2"/>
        <v>3.2257520944834388</v>
      </c>
    </row>
    <row r="59" spans="1:6" x14ac:dyDescent="0.2">
      <c r="A59" s="41" t="s">
        <v>43</v>
      </c>
      <c r="B59" s="52"/>
      <c r="C59" s="52"/>
      <c r="D59" s="52"/>
      <c r="E59" s="50">
        <f>SUM(E56:E58)</f>
        <v>5128.42</v>
      </c>
      <c r="F59" s="6">
        <f>SUM(F56:F58)</f>
        <v>16.545907090131529</v>
      </c>
    </row>
    <row r="60" spans="1:6" x14ac:dyDescent="0.2">
      <c r="A60" s="52"/>
      <c r="B60" s="52"/>
      <c r="C60" s="52"/>
      <c r="D60" s="52"/>
      <c r="E60" s="13"/>
      <c r="F60" s="49"/>
    </row>
    <row r="61" spans="1:6" x14ac:dyDescent="0.2">
      <c r="A61" s="41" t="s">
        <v>43</v>
      </c>
      <c r="B61" s="52"/>
      <c r="C61" s="52"/>
      <c r="D61" s="52"/>
      <c r="E61" s="50">
        <f>E34+E53+E59</f>
        <v>29169.600937499999</v>
      </c>
      <c r="F61" s="6">
        <f>F34+F53+F59</f>
        <v>94.106480130247206</v>
      </c>
    </row>
    <row r="62" spans="1:6" x14ac:dyDescent="0.2">
      <c r="A62" s="52"/>
      <c r="B62" s="52"/>
      <c r="C62" s="52"/>
      <c r="D62" s="52"/>
      <c r="E62" s="13"/>
      <c r="F62" s="49"/>
    </row>
    <row r="63" spans="1:6" x14ac:dyDescent="0.2">
      <c r="A63" s="41" t="s">
        <v>100</v>
      </c>
      <c r="B63" s="52"/>
      <c r="C63" s="52"/>
      <c r="D63" s="52"/>
      <c r="E63" s="50">
        <v>1825.4963519</v>
      </c>
      <c r="F63" s="6">
        <v>5.89</v>
      </c>
    </row>
    <row r="64" spans="1:6" x14ac:dyDescent="0.2">
      <c r="A64" s="52"/>
      <c r="B64" s="52"/>
      <c r="C64" s="52"/>
      <c r="D64" s="52"/>
      <c r="E64" s="13"/>
      <c r="F64" s="49"/>
    </row>
    <row r="65" spans="1:6" x14ac:dyDescent="0.2">
      <c r="A65" s="57" t="s">
        <v>101</v>
      </c>
      <c r="B65" s="34"/>
      <c r="C65" s="34"/>
      <c r="D65" s="34"/>
      <c r="E65" s="51">
        <f>E61+E63</f>
        <v>30995.097289400001</v>
      </c>
      <c r="F65" s="8">
        <f>F61+F63</f>
        <v>99.996480130247207</v>
      </c>
    </row>
    <row r="66" spans="1:6" x14ac:dyDescent="0.2">
      <c r="A66" s="4" t="s">
        <v>1964</v>
      </c>
      <c r="F66" s="9" t="s">
        <v>1091</v>
      </c>
    </row>
    <row r="68" spans="1:6" x14ac:dyDescent="0.2">
      <c r="A68" s="4" t="s">
        <v>102</v>
      </c>
    </row>
    <row r="69" spans="1:6" x14ac:dyDescent="0.2">
      <c r="A69" s="4" t="s">
        <v>833</v>
      </c>
    </row>
    <row r="70" spans="1:6" x14ac:dyDescent="0.2">
      <c r="A70" s="4" t="s">
        <v>104</v>
      </c>
    </row>
    <row r="71" spans="1:6" x14ac:dyDescent="0.2">
      <c r="A71" s="2" t="s">
        <v>598</v>
      </c>
      <c r="D71" s="10">
        <v>55.537300000000002</v>
      </c>
    </row>
    <row r="72" spans="1:6" x14ac:dyDescent="0.2">
      <c r="A72" s="2" t="s">
        <v>1553</v>
      </c>
      <c r="D72" s="10">
        <v>13.226599999999999</v>
      </c>
    </row>
    <row r="73" spans="1:6" x14ac:dyDescent="0.2">
      <c r="A73" s="2" t="s">
        <v>1554</v>
      </c>
      <c r="D73" s="10">
        <v>12.7661</v>
      </c>
    </row>
    <row r="74" spans="1:6" x14ac:dyDescent="0.2">
      <c r="A74" s="2" t="s">
        <v>600</v>
      </c>
      <c r="D74" s="10">
        <v>58.202100000000002</v>
      </c>
    </row>
    <row r="75" spans="1:6" x14ac:dyDescent="0.2">
      <c r="A75" s="2" t="s">
        <v>1555</v>
      </c>
      <c r="D75" s="10">
        <v>14.018700000000001</v>
      </c>
    </row>
    <row r="76" spans="1:6" x14ac:dyDescent="0.2">
      <c r="A76" s="2" t="s">
        <v>1556</v>
      </c>
      <c r="D76" s="10">
        <v>13.5299</v>
      </c>
    </row>
    <row r="78" spans="1:6" x14ac:dyDescent="0.2">
      <c r="A78" s="4" t="s">
        <v>105</v>
      </c>
    </row>
    <row r="79" spans="1:6" x14ac:dyDescent="0.2">
      <c r="A79" s="2" t="s">
        <v>598</v>
      </c>
      <c r="D79" s="10">
        <v>57.972000000000001</v>
      </c>
    </row>
    <row r="80" spans="1:6" x14ac:dyDescent="0.2">
      <c r="A80" s="2" t="s">
        <v>1553</v>
      </c>
      <c r="D80" s="10">
        <v>13.2843</v>
      </c>
    </row>
    <row r="81" spans="1:5" x14ac:dyDescent="0.2">
      <c r="A81" s="2" t="s">
        <v>1554</v>
      </c>
      <c r="D81" s="10">
        <v>12.7941</v>
      </c>
    </row>
    <row r="82" spans="1:5" x14ac:dyDescent="0.2">
      <c r="A82" s="2" t="s">
        <v>600</v>
      </c>
      <c r="D82" s="10">
        <v>60.9636</v>
      </c>
    </row>
    <row r="83" spans="1:5" x14ac:dyDescent="0.2">
      <c r="A83" s="2" t="s">
        <v>1555</v>
      </c>
      <c r="D83" s="10">
        <v>14.1526</v>
      </c>
    </row>
    <row r="84" spans="1:5" x14ac:dyDescent="0.2">
      <c r="A84" s="2" t="s">
        <v>1556</v>
      </c>
      <c r="D84" s="10">
        <v>13.631500000000001</v>
      </c>
    </row>
    <row r="86" spans="1:5" x14ac:dyDescent="0.2">
      <c r="A86" s="4" t="s">
        <v>106</v>
      </c>
      <c r="D86" s="17" t="s">
        <v>319</v>
      </c>
    </row>
    <row r="87" spans="1:5" x14ac:dyDescent="0.2">
      <c r="A87" s="70" t="s">
        <v>602</v>
      </c>
      <c r="B87" s="71"/>
      <c r="C87" s="103" t="s">
        <v>603</v>
      </c>
      <c r="D87" s="103"/>
    </row>
    <row r="88" spans="1:5" x14ac:dyDescent="0.2">
      <c r="A88" s="104"/>
      <c r="B88" s="104"/>
      <c r="C88" s="20" t="s">
        <v>604</v>
      </c>
      <c r="D88" s="20" t="s">
        <v>605</v>
      </c>
    </row>
    <row r="89" spans="1:5" x14ac:dyDescent="0.2">
      <c r="A89" s="21" t="s">
        <v>1553</v>
      </c>
      <c r="B89" s="22"/>
      <c r="C89" s="72">
        <v>0.36736457699999997</v>
      </c>
      <c r="D89" s="72">
        <v>0.34018142940000001</v>
      </c>
    </row>
    <row r="90" spans="1:5" x14ac:dyDescent="0.2">
      <c r="A90" s="21" t="s">
        <v>1554</v>
      </c>
      <c r="B90" s="22"/>
      <c r="C90" s="72">
        <v>0.374567804</v>
      </c>
      <c r="D90" s="72">
        <v>0.3468516532</v>
      </c>
    </row>
    <row r="91" spans="1:5" x14ac:dyDescent="0.2">
      <c r="A91" s="21" t="s">
        <v>1555</v>
      </c>
      <c r="B91" s="22"/>
      <c r="C91" s="72">
        <v>0.36736457699999997</v>
      </c>
      <c r="D91" s="72">
        <v>0.34018142940000001</v>
      </c>
    </row>
    <row r="92" spans="1:5" x14ac:dyDescent="0.2">
      <c r="A92" s="21" t="s">
        <v>1556</v>
      </c>
      <c r="B92" s="22"/>
      <c r="C92" s="72">
        <v>0.374567804</v>
      </c>
      <c r="D92" s="72">
        <v>0.3468516532</v>
      </c>
    </row>
    <row r="93" spans="1:5" x14ac:dyDescent="0.2">
      <c r="A93" s="4"/>
      <c r="D93" s="17"/>
    </row>
    <row r="94" spans="1:5" x14ac:dyDescent="0.2">
      <c r="A94" s="4" t="s">
        <v>834</v>
      </c>
      <c r="D94" s="59">
        <v>5.3648384424979847</v>
      </c>
      <c r="E94" s="59" t="s">
        <v>1106</v>
      </c>
    </row>
    <row r="96" spans="1:5" x14ac:dyDescent="0.2">
      <c r="A96" s="4" t="s">
        <v>836</v>
      </c>
      <c r="D96" s="67" t="s">
        <v>107</v>
      </c>
    </row>
  </sheetData>
  <mergeCells count="3">
    <mergeCell ref="A1:F1"/>
    <mergeCell ref="C87:D87"/>
    <mergeCell ref="A88:B8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97D8-6E3E-47C3-9A90-2357F57D84A5}">
  <dimension ref="A1:F97"/>
  <sheetViews>
    <sheetView showGridLines="0" topLeftCell="A46" workbookViewId="0">
      <selection activeCell="A77" sqref="A77"/>
    </sheetView>
  </sheetViews>
  <sheetFormatPr defaultRowHeight="11.25" x14ac:dyDescent="0.2"/>
  <cols>
    <col min="1" max="1" width="38" style="2" customWidth="1"/>
    <col min="2" max="2" width="61" style="2" customWidth="1"/>
    <col min="3" max="3" width="18" style="2" bestFit="1" customWidth="1"/>
    <col min="4" max="4" width="11.140625" style="2" bestFit="1" customWidth="1"/>
    <col min="5" max="5" width="23" style="59" bestFit="1" customWidth="1"/>
    <col min="6" max="6" width="15.5703125" style="1" bestFit="1" customWidth="1"/>
    <col min="7" max="16384" width="9.140625" style="2"/>
  </cols>
  <sheetData>
    <row r="1" spans="1:6" x14ac:dyDescent="0.2">
      <c r="A1" s="102" t="s">
        <v>1773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1761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7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52" t="s">
        <v>9</v>
      </c>
      <c r="B7" s="52" t="s">
        <v>10</v>
      </c>
      <c r="C7" s="52" t="s">
        <v>11</v>
      </c>
      <c r="D7" s="27">
        <v>158000</v>
      </c>
      <c r="E7" s="13">
        <v>1943.953</v>
      </c>
      <c r="F7" s="49">
        <f>E7/$E$76*100</f>
        <v>4.3178803384034525</v>
      </c>
    </row>
    <row r="8" spans="1:6" x14ac:dyDescent="0.2">
      <c r="A8" s="52" t="s">
        <v>121</v>
      </c>
      <c r="B8" s="52" t="s">
        <v>122</v>
      </c>
      <c r="C8" s="52" t="s">
        <v>11</v>
      </c>
      <c r="D8" s="27">
        <v>206475</v>
      </c>
      <c r="E8" s="13">
        <v>1520.3786625</v>
      </c>
      <c r="F8" s="49">
        <f t="shared" ref="F8:F38" si="0">E8/$E$76*100</f>
        <v>3.3770431351667916</v>
      </c>
    </row>
    <row r="9" spans="1:6" x14ac:dyDescent="0.2">
      <c r="A9" s="52" t="s">
        <v>109</v>
      </c>
      <c r="B9" s="52" t="s">
        <v>110</v>
      </c>
      <c r="C9" s="52" t="s">
        <v>11</v>
      </c>
      <c r="D9" s="27">
        <v>206474</v>
      </c>
      <c r="E9" s="13">
        <v>956.07785699999999</v>
      </c>
      <c r="F9" s="49">
        <f t="shared" si="0"/>
        <v>2.1236263329016745</v>
      </c>
    </row>
    <row r="10" spans="1:6" x14ac:dyDescent="0.2">
      <c r="A10" s="52" t="s">
        <v>20</v>
      </c>
      <c r="B10" s="52" t="s">
        <v>21</v>
      </c>
      <c r="C10" s="52" t="s">
        <v>11</v>
      </c>
      <c r="D10" s="27">
        <v>53853</v>
      </c>
      <c r="E10" s="13">
        <v>847.91548499999999</v>
      </c>
      <c r="F10" s="49">
        <f t="shared" si="0"/>
        <v>1.8833776337747508</v>
      </c>
    </row>
    <row r="11" spans="1:6" x14ac:dyDescent="0.2">
      <c r="A11" s="52" t="s">
        <v>113</v>
      </c>
      <c r="B11" s="52" t="s">
        <v>114</v>
      </c>
      <c r="C11" s="52" t="s">
        <v>42</v>
      </c>
      <c r="D11" s="27">
        <v>205373</v>
      </c>
      <c r="E11" s="13">
        <v>768.6084525</v>
      </c>
      <c r="F11" s="49">
        <f t="shared" si="0"/>
        <v>1.7072219981555388</v>
      </c>
    </row>
    <row r="12" spans="1:6" x14ac:dyDescent="0.2">
      <c r="A12" s="52" t="s">
        <v>185</v>
      </c>
      <c r="B12" s="52" t="s">
        <v>186</v>
      </c>
      <c r="C12" s="52" t="s">
        <v>78</v>
      </c>
      <c r="D12" s="27">
        <v>109904</v>
      </c>
      <c r="E12" s="13">
        <v>753.50182400000006</v>
      </c>
      <c r="F12" s="49">
        <f t="shared" si="0"/>
        <v>1.6736673730284319</v>
      </c>
    </row>
    <row r="13" spans="1:6" x14ac:dyDescent="0.2">
      <c r="A13" s="52" t="s">
        <v>176</v>
      </c>
      <c r="B13" s="52" t="s">
        <v>177</v>
      </c>
      <c r="C13" s="52" t="s">
        <v>178</v>
      </c>
      <c r="D13" s="27">
        <v>25367</v>
      </c>
      <c r="E13" s="13">
        <v>706.01434400000005</v>
      </c>
      <c r="F13" s="49">
        <f t="shared" si="0"/>
        <v>1.5681888680376592</v>
      </c>
    </row>
    <row r="14" spans="1:6" x14ac:dyDescent="0.2">
      <c r="A14" s="52" t="s">
        <v>236</v>
      </c>
      <c r="B14" s="52" t="s">
        <v>237</v>
      </c>
      <c r="C14" s="52" t="s">
        <v>117</v>
      </c>
      <c r="D14" s="27">
        <v>203475</v>
      </c>
      <c r="E14" s="13">
        <v>661.8024375</v>
      </c>
      <c r="F14" s="49">
        <f t="shared" si="0"/>
        <v>1.4699860196150474</v>
      </c>
    </row>
    <row r="15" spans="1:6" x14ac:dyDescent="0.2">
      <c r="A15" s="52" t="s">
        <v>183</v>
      </c>
      <c r="B15" s="52" t="s">
        <v>184</v>
      </c>
      <c r="C15" s="52" t="s">
        <v>57</v>
      </c>
      <c r="D15" s="27">
        <v>79950</v>
      </c>
      <c r="E15" s="13">
        <v>614.61562500000002</v>
      </c>
      <c r="F15" s="49">
        <f t="shared" si="0"/>
        <v>1.3651753529344846</v>
      </c>
    </row>
    <row r="16" spans="1:6" x14ac:dyDescent="0.2">
      <c r="A16" s="52" t="s">
        <v>129</v>
      </c>
      <c r="B16" s="52" t="s">
        <v>130</v>
      </c>
      <c r="C16" s="52" t="s">
        <v>131</v>
      </c>
      <c r="D16" s="27">
        <v>190244</v>
      </c>
      <c r="E16" s="13">
        <v>544.85881600000005</v>
      </c>
      <c r="F16" s="49">
        <f t="shared" si="0"/>
        <v>1.2102325358751909</v>
      </c>
    </row>
    <row r="17" spans="1:6" x14ac:dyDescent="0.2">
      <c r="A17" s="52" t="s">
        <v>123</v>
      </c>
      <c r="B17" s="52" t="s">
        <v>124</v>
      </c>
      <c r="C17" s="52" t="s">
        <v>117</v>
      </c>
      <c r="D17" s="27">
        <v>93000</v>
      </c>
      <c r="E17" s="13">
        <v>489.738</v>
      </c>
      <c r="F17" s="49">
        <f t="shared" si="0"/>
        <v>1.0877989751650532</v>
      </c>
    </row>
    <row r="18" spans="1:6" x14ac:dyDescent="0.2">
      <c r="A18" s="52" t="s">
        <v>22</v>
      </c>
      <c r="B18" s="52" t="s">
        <v>23</v>
      </c>
      <c r="C18" s="52" t="s">
        <v>24</v>
      </c>
      <c r="D18" s="27">
        <v>254936</v>
      </c>
      <c r="E18" s="13">
        <v>479.024744</v>
      </c>
      <c r="F18" s="49">
        <f t="shared" si="0"/>
        <v>1.0640028456070427</v>
      </c>
    </row>
    <row r="19" spans="1:6" x14ac:dyDescent="0.2">
      <c r="A19" s="52" t="s">
        <v>283</v>
      </c>
      <c r="B19" s="52" t="s">
        <v>284</v>
      </c>
      <c r="C19" s="52" t="s">
        <v>92</v>
      </c>
      <c r="D19" s="27">
        <v>60000</v>
      </c>
      <c r="E19" s="13">
        <v>425.1</v>
      </c>
      <c r="F19" s="49">
        <f t="shared" si="0"/>
        <v>0.94422598275539993</v>
      </c>
    </row>
    <row r="20" spans="1:6" x14ac:dyDescent="0.2">
      <c r="A20" s="52" t="s">
        <v>223</v>
      </c>
      <c r="B20" s="52" t="s">
        <v>224</v>
      </c>
      <c r="C20" s="52" t="s">
        <v>36</v>
      </c>
      <c r="D20" s="27">
        <v>26468</v>
      </c>
      <c r="E20" s="13">
        <v>410.04225600000001</v>
      </c>
      <c r="F20" s="49">
        <f t="shared" si="0"/>
        <v>0.91077993917393851</v>
      </c>
    </row>
    <row r="21" spans="1:6" x14ac:dyDescent="0.2">
      <c r="A21" s="52" t="s">
        <v>198</v>
      </c>
      <c r="B21" s="52" t="s">
        <v>199</v>
      </c>
      <c r="C21" s="52" t="s">
        <v>33</v>
      </c>
      <c r="D21" s="27">
        <v>66526</v>
      </c>
      <c r="E21" s="13">
        <v>403.44692700000002</v>
      </c>
      <c r="F21" s="49">
        <f t="shared" si="0"/>
        <v>0.89613048961708097</v>
      </c>
    </row>
    <row r="22" spans="1:6" x14ac:dyDescent="0.2">
      <c r="A22" s="52" t="s">
        <v>240</v>
      </c>
      <c r="B22" s="52" t="s">
        <v>241</v>
      </c>
      <c r="C22" s="52" t="s">
        <v>233</v>
      </c>
      <c r="D22" s="27">
        <v>40000</v>
      </c>
      <c r="E22" s="13">
        <v>353.88</v>
      </c>
      <c r="F22" s="49">
        <f t="shared" si="0"/>
        <v>0.78603314697125604</v>
      </c>
    </row>
    <row r="23" spans="1:6" x14ac:dyDescent="0.2">
      <c r="A23" s="52" t="s">
        <v>216</v>
      </c>
      <c r="B23" s="52" t="s">
        <v>217</v>
      </c>
      <c r="C23" s="52" t="s">
        <v>131</v>
      </c>
      <c r="D23" s="27">
        <v>168573</v>
      </c>
      <c r="E23" s="13">
        <v>352.73900250000003</v>
      </c>
      <c r="F23" s="49">
        <f t="shared" si="0"/>
        <v>0.78349877979704063</v>
      </c>
    </row>
    <row r="24" spans="1:6" x14ac:dyDescent="0.2">
      <c r="A24" s="52" t="s">
        <v>211</v>
      </c>
      <c r="B24" s="52" t="s">
        <v>212</v>
      </c>
      <c r="C24" s="52" t="s">
        <v>36</v>
      </c>
      <c r="D24" s="27">
        <v>57182</v>
      </c>
      <c r="E24" s="13">
        <v>317.58882799999998</v>
      </c>
      <c r="F24" s="49">
        <f t="shared" si="0"/>
        <v>0.7054237196669858</v>
      </c>
    </row>
    <row r="25" spans="1:6" x14ac:dyDescent="0.2">
      <c r="A25" s="52" t="s">
        <v>262</v>
      </c>
      <c r="B25" s="52" t="s">
        <v>263</v>
      </c>
      <c r="C25" s="52" t="s">
        <v>264</v>
      </c>
      <c r="D25" s="27">
        <v>74355</v>
      </c>
      <c r="E25" s="13">
        <v>282.95795249999998</v>
      </c>
      <c r="F25" s="49">
        <f t="shared" si="0"/>
        <v>0.6285021189785186</v>
      </c>
    </row>
    <row r="26" spans="1:6" x14ac:dyDescent="0.2">
      <c r="A26" s="52" t="s">
        <v>111</v>
      </c>
      <c r="B26" s="52" t="s">
        <v>112</v>
      </c>
      <c r="C26" s="52" t="s">
        <v>11</v>
      </c>
      <c r="D26" s="27">
        <v>88509</v>
      </c>
      <c r="E26" s="13">
        <v>276.502116</v>
      </c>
      <c r="F26" s="49">
        <f t="shared" si="0"/>
        <v>0.61416250814878282</v>
      </c>
    </row>
    <row r="27" spans="1:6" x14ac:dyDescent="0.2">
      <c r="A27" s="52" t="s">
        <v>118</v>
      </c>
      <c r="B27" s="52" t="s">
        <v>119</v>
      </c>
      <c r="C27" s="52" t="s">
        <v>120</v>
      </c>
      <c r="D27" s="27">
        <v>221251</v>
      </c>
      <c r="E27" s="13">
        <v>270.81122399999998</v>
      </c>
      <c r="F27" s="49">
        <f t="shared" si="0"/>
        <v>0.60152198099880672</v>
      </c>
    </row>
    <row r="28" spans="1:6" x14ac:dyDescent="0.2">
      <c r="A28" s="52" t="s">
        <v>207</v>
      </c>
      <c r="B28" s="52" t="s">
        <v>208</v>
      </c>
      <c r="C28" s="52" t="s">
        <v>120</v>
      </c>
      <c r="D28" s="27">
        <v>130625</v>
      </c>
      <c r="E28" s="13">
        <v>259.09468750000002</v>
      </c>
      <c r="F28" s="49">
        <f t="shared" si="0"/>
        <v>0.57549737927873623</v>
      </c>
    </row>
    <row r="29" spans="1:6" x14ac:dyDescent="0.2">
      <c r="A29" s="52" t="s">
        <v>200</v>
      </c>
      <c r="B29" s="52" t="s">
        <v>201</v>
      </c>
      <c r="C29" s="52" t="s">
        <v>36</v>
      </c>
      <c r="D29" s="27">
        <v>15000</v>
      </c>
      <c r="E29" s="13">
        <v>191.42250000000001</v>
      </c>
      <c r="F29" s="49">
        <f t="shared" si="0"/>
        <v>0.42518489339918975</v>
      </c>
    </row>
    <row r="30" spans="1:6" x14ac:dyDescent="0.2">
      <c r="A30" s="52" t="s">
        <v>193</v>
      </c>
      <c r="B30" s="52" t="s">
        <v>194</v>
      </c>
      <c r="C30" s="52" t="s">
        <v>178</v>
      </c>
      <c r="D30" s="27">
        <v>72000</v>
      </c>
      <c r="E30" s="13">
        <v>181.26</v>
      </c>
      <c r="F30" s="49">
        <f t="shared" si="0"/>
        <v>0.40261209511701662</v>
      </c>
    </row>
    <row r="31" spans="1:6" x14ac:dyDescent="0.2">
      <c r="A31" s="52" t="s">
        <v>37</v>
      </c>
      <c r="B31" s="52" t="s">
        <v>38</v>
      </c>
      <c r="C31" s="52" t="s">
        <v>39</v>
      </c>
      <c r="D31" s="27">
        <v>32100</v>
      </c>
      <c r="E31" s="13">
        <v>174.60794999999999</v>
      </c>
      <c r="F31" s="49">
        <f t="shared" si="0"/>
        <v>0.38783665769385023</v>
      </c>
    </row>
    <row r="32" spans="1:6" x14ac:dyDescent="0.2">
      <c r="A32" s="52" t="s">
        <v>309</v>
      </c>
      <c r="B32" s="52" t="s">
        <v>310</v>
      </c>
      <c r="C32" s="52" t="s">
        <v>11</v>
      </c>
      <c r="D32" s="27">
        <v>301582</v>
      </c>
      <c r="E32" s="13">
        <v>165.41772700000001</v>
      </c>
      <c r="F32" s="49">
        <f t="shared" si="0"/>
        <v>0.36742346704714057</v>
      </c>
    </row>
    <row r="33" spans="1:6" x14ac:dyDescent="0.2">
      <c r="A33" s="52" t="s">
        <v>343</v>
      </c>
      <c r="B33" s="52" t="s">
        <v>344</v>
      </c>
      <c r="C33" s="52" t="s">
        <v>33</v>
      </c>
      <c r="D33" s="27">
        <v>4923</v>
      </c>
      <c r="E33" s="13">
        <v>159.8670405</v>
      </c>
      <c r="F33" s="49">
        <f t="shared" si="0"/>
        <v>0.35509436232959263</v>
      </c>
    </row>
    <row r="34" spans="1:6" x14ac:dyDescent="0.2">
      <c r="A34" s="52" t="s">
        <v>256</v>
      </c>
      <c r="B34" s="52" t="s">
        <v>257</v>
      </c>
      <c r="C34" s="52" t="s">
        <v>14</v>
      </c>
      <c r="D34" s="27">
        <v>65910</v>
      </c>
      <c r="E34" s="13">
        <v>139.86102</v>
      </c>
      <c r="F34" s="49">
        <f t="shared" si="0"/>
        <v>0.31065727842548257</v>
      </c>
    </row>
    <row r="35" spans="1:6" x14ac:dyDescent="0.2">
      <c r="A35" s="52" t="s">
        <v>31</v>
      </c>
      <c r="B35" s="52" t="s">
        <v>32</v>
      </c>
      <c r="C35" s="52" t="s">
        <v>33</v>
      </c>
      <c r="D35" s="27">
        <v>74940</v>
      </c>
      <c r="E35" s="13">
        <v>133.16838000000001</v>
      </c>
      <c r="F35" s="49">
        <f t="shared" si="0"/>
        <v>0.29579168308032122</v>
      </c>
    </row>
    <row r="36" spans="1:6" x14ac:dyDescent="0.2">
      <c r="A36" s="52" t="s">
        <v>486</v>
      </c>
      <c r="B36" s="52" t="s">
        <v>487</v>
      </c>
      <c r="C36" s="52" t="s">
        <v>178</v>
      </c>
      <c r="D36" s="27">
        <v>7072</v>
      </c>
      <c r="E36" s="13">
        <v>125.619936</v>
      </c>
      <c r="F36" s="49">
        <f t="shared" si="0"/>
        <v>0.27902518824575501</v>
      </c>
    </row>
    <row r="37" spans="1:6" x14ac:dyDescent="0.2">
      <c r="A37" s="52" t="s">
        <v>289</v>
      </c>
      <c r="B37" s="52" t="s">
        <v>290</v>
      </c>
      <c r="C37" s="52" t="s">
        <v>33</v>
      </c>
      <c r="D37" s="27">
        <v>23121</v>
      </c>
      <c r="E37" s="13">
        <v>112.51834650000001</v>
      </c>
      <c r="F37" s="49">
        <f t="shared" si="0"/>
        <v>0.24992412679834186</v>
      </c>
    </row>
    <row r="38" spans="1:6" x14ac:dyDescent="0.2">
      <c r="A38" s="52" t="s">
        <v>271</v>
      </c>
      <c r="B38" s="52" t="s">
        <v>272</v>
      </c>
      <c r="C38" s="52" t="s">
        <v>70</v>
      </c>
      <c r="D38" s="27">
        <v>153047</v>
      </c>
      <c r="E38" s="13">
        <v>86.241984500000001</v>
      </c>
      <c r="F38" s="49">
        <f t="shared" si="0"/>
        <v>0.19155945088047158</v>
      </c>
    </row>
    <row r="39" spans="1:6" x14ac:dyDescent="0.2">
      <c r="A39" s="52" t="s">
        <v>325</v>
      </c>
      <c r="B39" s="52" t="s">
        <v>326</v>
      </c>
      <c r="C39" s="52" t="s">
        <v>327</v>
      </c>
      <c r="D39" s="27">
        <v>984</v>
      </c>
      <c r="E39" s="13">
        <v>2.0422920000000002</v>
      </c>
      <c r="F39" s="69" t="s">
        <v>607</v>
      </c>
    </row>
    <row r="40" spans="1:6" x14ac:dyDescent="0.2">
      <c r="A40" s="41" t="s">
        <v>43</v>
      </c>
      <c r="B40" s="52"/>
      <c r="C40" s="52"/>
      <c r="D40" s="27"/>
      <c r="E40" s="50">
        <f>SUM(E7:E39)</f>
        <v>15110.679417500001</v>
      </c>
      <c r="F40" s="6">
        <f>SUM(F7:F39)</f>
        <v>33.559086657068818</v>
      </c>
    </row>
    <row r="41" spans="1:6" x14ac:dyDescent="0.2">
      <c r="A41" s="52"/>
      <c r="B41" s="52"/>
      <c r="C41" s="52"/>
      <c r="D41" s="27"/>
      <c r="E41" s="13"/>
      <c r="F41" s="49"/>
    </row>
    <row r="42" spans="1:6" x14ac:dyDescent="0.2">
      <c r="A42" s="41" t="s">
        <v>682</v>
      </c>
      <c r="B42" s="52"/>
      <c r="C42" s="52"/>
      <c r="D42" s="27"/>
      <c r="E42" s="13"/>
      <c r="F42" s="49"/>
    </row>
    <row r="43" spans="1:6" x14ac:dyDescent="0.2">
      <c r="A43" s="41" t="s">
        <v>8</v>
      </c>
      <c r="B43" s="52"/>
      <c r="C43" s="52"/>
      <c r="D43" s="27"/>
      <c r="E43" s="13"/>
      <c r="F43" s="49"/>
    </row>
    <row r="44" spans="1:6" x14ac:dyDescent="0.2">
      <c r="A44" s="41"/>
      <c r="B44" s="52"/>
      <c r="C44" s="52"/>
      <c r="D44" s="27"/>
      <c r="E44" s="13"/>
      <c r="F44" s="49"/>
    </row>
    <row r="45" spans="1:6" x14ac:dyDescent="0.2">
      <c r="A45" s="52" t="s">
        <v>749</v>
      </c>
      <c r="B45" s="52" t="s">
        <v>750</v>
      </c>
      <c r="C45" s="52" t="s">
        <v>688</v>
      </c>
      <c r="D45" s="27">
        <v>400</v>
      </c>
      <c r="E45" s="13">
        <v>4038.384</v>
      </c>
      <c r="F45" s="49">
        <f t="shared" ref="F45:F59" si="1">E45/$E$76*100</f>
        <v>8.9700002379291526</v>
      </c>
    </row>
    <row r="46" spans="1:6" x14ac:dyDescent="0.2">
      <c r="A46" s="52" t="s">
        <v>1764</v>
      </c>
      <c r="B46" s="52" t="s">
        <v>1765</v>
      </c>
      <c r="C46" s="52" t="s">
        <v>694</v>
      </c>
      <c r="D46" s="27">
        <v>250</v>
      </c>
      <c r="E46" s="13">
        <v>2527.7249999999999</v>
      </c>
      <c r="F46" s="49">
        <f t="shared" si="1"/>
        <v>5.6145462767828587</v>
      </c>
    </row>
    <row r="47" spans="1:6" x14ac:dyDescent="0.2">
      <c r="A47" s="52" t="s">
        <v>1640</v>
      </c>
      <c r="B47" s="52" t="s">
        <v>1641</v>
      </c>
      <c r="C47" s="52" t="s">
        <v>688</v>
      </c>
      <c r="D47" s="27">
        <v>150</v>
      </c>
      <c r="E47" s="13">
        <v>1569.798</v>
      </c>
      <c r="F47" s="49">
        <f t="shared" si="1"/>
        <v>3.4868126541459925</v>
      </c>
    </row>
    <row r="48" spans="1:6" x14ac:dyDescent="0.2">
      <c r="A48" s="52" t="s">
        <v>1143</v>
      </c>
      <c r="B48" s="52" t="s">
        <v>1144</v>
      </c>
      <c r="C48" s="52" t="s">
        <v>688</v>
      </c>
      <c r="D48" s="27">
        <v>150</v>
      </c>
      <c r="E48" s="13">
        <v>1553.8154999999999</v>
      </c>
      <c r="F48" s="49">
        <f t="shared" si="1"/>
        <v>3.4513125558881983</v>
      </c>
    </row>
    <row r="49" spans="1:6" x14ac:dyDescent="0.2">
      <c r="A49" s="52" t="s">
        <v>1684</v>
      </c>
      <c r="B49" s="52" t="s">
        <v>1685</v>
      </c>
      <c r="C49" s="52" t="s">
        <v>1029</v>
      </c>
      <c r="D49" s="27">
        <v>150</v>
      </c>
      <c r="E49" s="13">
        <v>1505.373</v>
      </c>
      <c r="F49" s="49">
        <f t="shared" si="1"/>
        <v>3.3437127742612205</v>
      </c>
    </row>
    <row r="50" spans="1:6" x14ac:dyDescent="0.2">
      <c r="A50" s="52" t="s">
        <v>1571</v>
      </c>
      <c r="B50" s="52" t="s">
        <v>1572</v>
      </c>
      <c r="C50" s="52" t="s">
        <v>1573</v>
      </c>
      <c r="D50" s="27">
        <v>150</v>
      </c>
      <c r="E50" s="13">
        <v>1503.8985</v>
      </c>
      <c r="F50" s="49">
        <f t="shared" si="1"/>
        <v>3.3404376361488399</v>
      </c>
    </row>
    <row r="51" spans="1:6" x14ac:dyDescent="0.2">
      <c r="A51" s="52" t="s">
        <v>1629</v>
      </c>
      <c r="B51" s="52" t="s">
        <v>1630</v>
      </c>
      <c r="C51" s="52" t="s">
        <v>688</v>
      </c>
      <c r="D51" s="27">
        <v>100</v>
      </c>
      <c r="E51" s="13">
        <v>1051.808</v>
      </c>
      <c r="F51" s="49">
        <f t="shared" si="1"/>
        <v>2.3362607444601076</v>
      </c>
    </row>
    <row r="52" spans="1:6" x14ac:dyDescent="0.2">
      <c r="A52" s="52" t="s">
        <v>1145</v>
      </c>
      <c r="B52" s="52" t="s">
        <v>1146</v>
      </c>
      <c r="C52" s="52" t="s">
        <v>691</v>
      </c>
      <c r="D52" s="27">
        <v>100</v>
      </c>
      <c r="E52" s="13">
        <v>1017.176</v>
      </c>
      <c r="F52" s="49">
        <f t="shared" si="1"/>
        <v>2.259336646048475</v>
      </c>
    </row>
    <row r="53" spans="1:6" x14ac:dyDescent="0.2">
      <c r="A53" s="52" t="s">
        <v>770</v>
      </c>
      <c r="B53" s="52" t="s">
        <v>771</v>
      </c>
      <c r="C53" s="52" t="s">
        <v>726</v>
      </c>
      <c r="D53" s="27">
        <v>100</v>
      </c>
      <c r="E53" s="13">
        <v>1014.167</v>
      </c>
      <c r="F53" s="49">
        <f t="shared" si="1"/>
        <v>2.2526530986899451</v>
      </c>
    </row>
    <row r="54" spans="1:6" x14ac:dyDescent="0.2">
      <c r="A54" s="52" t="s">
        <v>1768</v>
      </c>
      <c r="B54" s="52" t="s">
        <v>1769</v>
      </c>
      <c r="C54" s="52" t="s">
        <v>688</v>
      </c>
      <c r="D54" s="27">
        <v>100</v>
      </c>
      <c r="E54" s="13">
        <v>988.31500000000005</v>
      </c>
      <c r="F54" s="49">
        <f t="shared" si="1"/>
        <v>2.195231009519885</v>
      </c>
    </row>
    <row r="55" spans="1:6" x14ac:dyDescent="0.2">
      <c r="A55" s="52" t="s">
        <v>710</v>
      </c>
      <c r="B55" s="52" t="s">
        <v>711</v>
      </c>
      <c r="C55" s="52" t="s">
        <v>712</v>
      </c>
      <c r="D55" s="27">
        <v>85</v>
      </c>
      <c r="E55" s="13">
        <v>884.74204999999995</v>
      </c>
      <c r="F55" s="49">
        <f t="shared" si="1"/>
        <v>1.9651762682810565</v>
      </c>
    </row>
    <row r="56" spans="1:6" x14ac:dyDescent="0.2">
      <c r="A56" s="52" t="s">
        <v>719</v>
      </c>
      <c r="B56" s="52" t="s">
        <v>720</v>
      </c>
      <c r="C56" s="52" t="s">
        <v>688</v>
      </c>
      <c r="D56" s="27">
        <v>60</v>
      </c>
      <c r="E56" s="13">
        <v>623.32439999999997</v>
      </c>
      <c r="F56" s="49">
        <f t="shared" si="1"/>
        <v>1.3845191582343448</v>
      </c>
    </row>
    <row r="57" spans="1:6" x14ac:dyDescent="0.2">
      <c r="A57" s="52" t="s">
        <v>849</v>
      </c>
      <c r="B57" s="52" t="s">
        <v>850</v>
      </c>
      <c r="C57" s="52" t="s">
        <v>706</v>
      </c>
      <c r="D57" s="27">
        <v>50</v>
      </c>
      <c r="E57" s="13">
        <v>500.85</v>
      </c>
      <c r="F57" s="49">
        <f t="shared" si="1"/>
        <v>1.1124807891391251</v>
      </c>
    </row>
    <row r="58" spans="1:6" x14ac:dyDescent="0.2">
      <c r="A58" s="52" t="s">
        <v>1755</v>
      </c>
      <c r="B58" s="52" t="s">
        <v>1756</v>
      </c>
      <c r="C58" s="52" t="s">
        <v>848</v>
      </c>
      <c r="D58" s="27">
        <v>50</v>
      </c>
      <c r="E58" s="13">
        <v>490.26049999999998</v>
      </c>
      <c r="F58" s="49">
        <f t="shared" si="1"/>
        <v>1.0889595446216271</v>
      </c>
    </row>
    <row r="59" spans="1:6" x14ac:dyDescent="0.2">
      <c r="A59" s="52" t="s">
        <v>1120</v>
      </c>
      <c r="B59" s="52" t="s">
        <v>1121</v>
      </c>
      <c r="C59" s="52" t="s">
        <v>688</v>
      </c>
      <c r="D59" s="27">
        <v>5</v>
      </c>
      <c r="E59" s="13">
        <v>52.228700000000003</v>
      </c>
      <c r="F59" s="49">
        <f t="shared" si="1"/>
        <v>0.11600963440493285</v>
      </c>
    </row>
    <row r="60" spans="1:6" x14ac:dyDescent="0.2">
      <c r="A60" s="41" t="s">
        <v>43</v>
      </c>
      <c r="B60" s="52"/>
      <c r="C60" s="52"/>
      <c r="D60" s="27"/>
      <c r="E60" s="50">
        <f>SUM(E45:E59)</f>
        <v>19321.86565</v>
      </c>
      <c r="F60" s="6">
        <f>SUM(F45:F59)</f>
        <v>42.917449028555772</v>
      </c>
    </row>
    <row r="61" spans="1:6" x14ac:dyDescent="0.2">
      <c r="A61" s="52"/>
      <c r="B61" s="52"/>
      <c r="C61" s="52"/>
      <c r="D61" s="27"/>
      <c r="E61" s="13"/>
      <c r="F61" s="49"/>
    </row>
    <row r="62" spans="1:6" x14ac:dyDescent="0.2">
      <c r="A62" s="41" t="s">
        <v>772</v>
      </c>
      <c r="B62" s="52"/>
      <c r="C62" s="52"/>
      <c r="D62" s="27"/>
      <c r="E62" s="13"/>
      <c r="F62" s="49"/>
    </row>
    <row r="63" spans="1:6" x14ac:dyDescent="0.2">
      <c r="A63" s="52" t="s">
        <v>1056</v>
      </c>
      <c r="B63" s="52" t="s">
        <v>1057</v>
      </c>
      <c r="C63" s="52" t="s">
        <v>764</v>
      </c>
      <c r="D63" s="27">
        <v>14</v>
      </c>
      <c r="E63" s="13">
        <v>1734.4333999999999</v>
      </c>
      <c r="F63" s="49">
        <f t="shared" ref="F63" si="2">E63/$E$76*100</f>
        <v>3.8524984277553269</v>
      </c>
    </row>
    <row r="64" spans="1:6" x14ac:dyDescent="0.2">
      <c r="A64" s="41" t="s">
        <v>43</v>
      </c>
      <c r="B64" s="52"/>
      <c r="C64" s="52"/>
      <c r="D64" s="27"/>
      <c r="E64" s="50">
        <f>SUM(E63)</f>
        <v>1734.4333999999999</v>
      </c>
      <c r="F64" s="6">
        <f>SUM(F63)</f>
        <v>3.8524984277553269</v>
      </c>
    </row>
    <row r="65" spans="1:6" x14ac:dyDescent="0.2">
      <c r="A65" s="52"/>
      <c r="B65" s="52"/>
      <c r="C65" s="52"/>
      <c r="D65" s="27"/>
      <c r="E65" s="13"/>
      <c r="F65" s="49"/>
    </row>
    <row r="66" spans="1:6" x14ac:dyDescent="0.2">
      <c r="A66" s="41" t="s">
        <v>1558</v>
      </c>
      <c r="B66" s="52"/>
      <c r="C66" s="52"/>
      <c r="D66" s="27"/>
      <c r="E66" s="13"/>
      <c r="F66" s="49"/>
    </row>
    <row r="67" spans="1:6" x14ac:dyDescent="0.2">
      <c r="A67" s="52" t="s">
        <v>1559</v>
      </c>
      <c r="B67" s="52" t="s">
        <v>1560</v>
      </c>
      <c r="C67" s="52" t="s">
        <v>1561</v>
      </c>
      <c r="D67" s="27">
        <v>3400000</v>
      </c>
      <c r="E67" s="13">
        <v>3543.14</v>
      </c>
      <c r="F67" s="49">
        <f t="shared" ref="F67:F69" si="3">E67/$E$76*100</f>
        <v>7.8699714150552049</v>
      </c>
    </row>
    <row r="68" spans="1:6" x14ac:dyDescent="0.2">
      <c r="A68" s="52" t="s">
        <v>1564</v>
      </c>
      <c r="B68" s="52" t="s">
        <v>1565</v>
      </c>
      <c r="C68" s="52" t="s">
        <v>1561</v>
      </c>
      <c r="D68" s="27">
        <v>2700000</v>
      </c>
      <c r="E68" s="13">
        <v>2699.5275000000001</v>
      </c>
      <c r="F68" s="49">
        <f t="shared" si="3"/>
        <v>5.9961515094394926</v>
      </c>
    </row>
    <row r="69" spans="1:6" x14ac:dyDescent="0.2">
      <c r="A69" s="52" t="s">
        <v>1562</v>
      </c>
      <c r="B69" s="52" t="s">
        <v>1563</v>
      </c>
      <c r="C69" s="52" t="s">
        <v>1561</v>
      </c>
      <c r="D69" s="27">
        <v>700000</v>
      </c>
      <c r="E69" s="13">
        <v>735.21</v>
      </c>
      <c r="F69" s="49">
        <f t="shared" si="3"/>
        <v>1.633037837641961</v>
      </c>
    </row>
    <row r="70" spans="1:6" x14ac:dyDescent="0.2">
      <c r="A70" s="41" t="s">
        <v>43</v>
      </c>
      <c r="B70" s="52"/>
      <c r="C70" s="52"/>
      <c r="D70" s="52"/>
      <c r="E70" s="50">
        <f>SUM(E67:E69)</f>
        <v>6977.8774999999996</v>
      </c>
      <c r="F70" s="6">
        <f>SUM(F67:F69)</f>
        <v>15.499160762136658</v>
      </c>
    </row>
    <row r="71" spans="1:6" x14ac:dyDescent="0.2">
      <c r="A71" s="52"/>
      <c r="B71" s="52"/>
      <c r="C71" s="52"/>
      <c r="D71" s="52"/>
      <c r="E71" s="13"/>
      <c r="F71" s="49"/>
    </row>
    <row r="72" spans="1:6" x14ac:dyDescent="0.2">
      <c r="A72" s="41" t="s">
        <v>43</v>
      </c>
      <c r="B72" s="52"/>
      <c r="C72" s="52"/>
      <c r="D72" s="52"/>
      <c r="E72" s="50">
        <f>E40+E60+E64+E70</f>
        <v>43144.855967500007</v>
      </c>
      <c r="F72" s="6">
        <f>F40+F60+F64+F70</f>
        <v>95.828194875516559</v>
      </c>
    </row>
    <row r="73" spans="1:6" x14ac:dyDescent="0.2">
      <c r="A73" s="52"/>
      <c r="B73" s="52"/>
      <c r="C73" s="52"/>
      <c r="D73" s="52"/>
      <c r="E73" s="13"/>
      <c r="F73" s="49"/>
    </row>
    <row r="74" spans="1:6" x14ac:dyDescent="0.2">
      <c r="A74" s="41" t="s">
        <v>100</v>
      </c>
      <c r="B74" s="52"/>
      <c r="C74" s="52"/>
      <c r="D74" s="52"/>
      <c r="E74" s="50">
        <v>1876.1461827999999</v>
      </c>
      <c r="F74" s="6">
        <f t="shared" ref="F74" si="4">E74/$E$76*100</f>
        <v>4.1672688149779393</v>
      </c>
    </row>
    <row r="75" spans="1:6" x14ac:dyDescent="0.2">
      <c r="A75" s="52"/>
      <c r="B75" s="52"/>
      <c r="C75" s="52"/>
      <c r="D75" s="52"/>
      <c r="E75" s="13"/>
      <c r="F75" s="49"/>
    </row>
    <row r="76" spans="1:6" x14ac:dyDescent="0.2">
      <c r="A76" s="57" t="s">
        <v>101</v>
      </c>
      <c r="B76" s="34"/>
      <c r="C76" s="34"/>
      <c r="D76" s="34"/>
      <c r="E76" s="51">
        <f>E72+E74</f>
        <v>45021.00215030001</v>
      </c>
      <c r="F76" s="8">
        <f xml:space="preserve"> ROUND(SUM(F72:F75),2)</f>
        <v>100</v>
      </c>
    </row>
    <row r="77" spans="1:6" x14ac:dyDescent="0.2">
      <c r="A77" s="4" t="s">
        <v>1964</v>
      </c>
      <c r="F77" s="9" t="s">
        <v>1091</v>
      </c>
    </row>
    <row r="79" spans="1:6" x14ac:dyDescent="0.2">
      <c r="A79" s="4" t="s">
        <v>102</v>
      </c>
    </row>
    <row r="80" spans="1:6" x14ac:dyDescent="0.2">
      <c r="A80" s="4" t="s">
        <v>833</v>
      </c>
    </row>
    <row r="81" spans="1:5" x14ac:dyDescent="0.2">
      <c r="A81" s="4" t="s">
        <v>104</v>
      </c>
    </row>
    <row r="82" spans="1:5" x14ac:dyDescent="0.2">
      <c r="A82" s="2" t="s">
        <v>598</v>
      </c>
      <c r="D82" s="10">
        <v>127.4019</v>
      </c>
    </row>
    <row r="83" spans="1:5" x14ac:dyDescent="0.2">
      <c r="A83" s="2" t="s">
        <v>599</v>
      </c>
      <c r="D83" s="10">
        <v>17.140699999999999</v>
      </c>
    </row>
    <row r="84" spans="1:5" x14ac:dyDescent="0.2">
      <c r="A84" s="2" t="s">
        <v>600</v>
      </c>
      <c r="D84" s="10">
        <v>133.1293</v>
      </c>
    </row>
    <row r="85" spans="1:5" x14ac:dyDescent="0.2">
      <c r="A85" s="2" t="s">
        <v>601</v>
      </c>
      <c r="D85" s="10">
        <v>18.0672</v>
      </c>
    </row>
    <row r="87" spans="1:5" x14ac:dyDescent="0.2">
      <c r="A87" s="4" t="s">
        <v>105</v>
      </c>
    </row>
    <row r="88" spans="1:5" x14ac:dyDescent="0.2">
      <c r="A88" s="2" t="s">
        <v>598</v>
      </c>
      <c r="D88" s="10">
        <v>131.9144</v>
      </c>
    </row>
    <row r="89" spans="1:5" x14ac:dyDescent="0.2">
      <c r="A89" s="2" t="s">
        <v>599</v>
      </c>
      <c r="D89" s="10">
        <v>17.747800000000002</v>
      </c>
    </row>
    <row r="90" spans="1:5" x14ac:dyDescent="0.2">
      <c r="A90" s="2" t="s">
        <v>600</v>
      </c>
      <c r="D90" s="10">
        <v>138.35720000000001</v>
      </c>
    </row>
    <row r="91" spans="1:5" x14ac:dyDescent="0.2">
      <c r="A91" s="2" t="s">
        <v>601</v>
      </c>
      <c r="D91" s="10">
        <v>18.773</v>
      </c>
    </row>
    <row r="93" spans="1:5" x14ac:dyDescent="0.2">
      <c r="A93" s="4" t="s">
        <v>106</v>
      </c>
      <c r="D93" s="17" t="s">
        <v>107</v>
      </c>
    </row>
    <row r="94" spans="1:5" x14ac:dyDescent="0.2">
      <c r="A94" s="4"/>
      <c r="D94" s="17"/>
    </row>
    <row r="95" spans="1:5" x14ac:dyDescent="0.2">
      <c r="A95" s="4" t="s">
        <v>834</v>
      </c>
      <c r="D95" s="59">
        <v>5.131502749507205</v>
      </c>
      <c r="E95" s="59" t="s">
        <v>1106</v>
      </c>
    </row>
    <row r="97" spans="1:4" x14ac:dyDescent="0.2">
      <c r="A97" s="4" t="s">
        <v>836</v>
      </c>
      <c r="D97" s="67" t="s">
        <v>107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FF50-2414-4B30-A7A1-B1E5BA87464E}">
  <dimension ref="A1:F5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1774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1775</v>
      </c>
      <c r="B8" s="52" t="s">
        <v>1776</v>
      </c>
      <c r="C8" s="52" t="s">
        <v>1215</v>
      </c>
      <c r="D8" s="14">
        <v>40</v>
      </c>
      <c r="E8" s="13">
        <v>458.0224</v>
      </c>
      <c r="F8" s="49">
        <v>9.98182551610922</v>
      </c>
    </row>
    <row r="9" spans="1:6" x14ac:dyDescent="0.2">
      <c r="A9" s="52" t="s">
        <v>1777</v>
      </c>
      <c r="B9" s="52" t="s">
        <v>1778</v>
      </c>
      <c r="C9" s="52" t="s">
        <v>688</v>
      </c>
      <c r="D9" s="14">
        <v>40</v>
      </c>
      <c r="E9" s="13">
        <v>457.8356</v>
      </c>
      <c r="F9" s="49">
        <v>9.97775452524413</v>
      </c>
    </row>
    <row r="10" spans="1:6" x14ac:dyDescent="0.2">
      <c r="A10" s="52" t="s">
        <v>1743</v>
      </c>
      <c r="B10" s="52" t="s">
        <v>1744</v>
      </c>
      <c r="C10" s="52" t="s">
        <v>712</v>
      </c>
      <c r="D10" s="14">
        <v>42</v>
      </c>
      <c r="E10" s="13">
        <v>431.83728000000002</v>
      </c>
      <c r="F10" s="49">
        <v>9.4111650004698504</v>
      </c>
    </row>
    <row r="11" spans="1:6" x14ac:dyDescent="0.2">
      <c r="A11" s="52" t="s">
        <v>870</v>
      </c>
      <c r="B11" s="52" t="s">
        <v>871</v>
      </c>
      <c r="C11" s="52" t="s">
        <v>688</v>
      </c>
      <c r="D11" s="14">
        <v>41</v>
      </c>
      <c r="E11" s="13">
        <v>424.23315000000002</v>
      </c>
      <c r="F11" s="49">
        <v>9.2454458154216699</v>
      </c>
    </row>
    <row r="12" spans="1:6" x14ac:dyDescent="0.2">
      <c r="A12" s="52" t="s">
        <v>1666</v>
      </c>
      <c r="B12" s="52" t="s">
        <v>1667</v>
      </c>
      <c r="C12" s="52" t="s">
        <v>1208</v>
      </c>
      <c r="D12" s="14">
        <v>41</v>
      </c>
      <c r="E12" s="13">
        <v>421.64686999999998</v>
      </c>
      <c r="F12" s="49">
        <v>9.18908220592178</v>
      </c>
    </row>
    <row r="13" spans="1:6" x14ac:dyDescent="0.2">
      <c r="A13" s="52" t="s">
        <v>1644</v>
      </c>
      <c r="B13" s="52" t="s">
        <v>1645</v>
      </c>
      <c r="C13" s="52" t="s">
        <v>1208</v>
      </c>
      <c r="D13" s="14">
        <v>40</v>
      </c>
      <c r="E13" s="13">
        <v>405.57400000000001</v>
      </c>
      <c r="F13" s="49">
        <v>8.8388011194877798</v>
      </c>
    </row>
    <row r="14" spans="1:6" x14ac:dyDescent="0.2">
      <c r="A14" s="52" t="s">
        <v>1688</v>
      </c>
      <c r="B14" s="52" t="s">
        <v>1689</v>
      </c>
      <c r="C14" s="52" t="s">
        <v>953</v>
      </c>
      <c r="D14" s="14">
        <v>37</v>
      </c>
      <c r="E14" s="13">
        <v>397.72890999999998</v>
      </c>
      <c r="F14" s="49">
        <v>8.6678306177433893</v>
      </c>
    </row>
    <row r="15" spans="1:6" x14ac:dyDescent="0.2">
      <c r="A15" s="52" t="s">
        <v>1676</v>
      </c>
      <c r="B15" s="52" t="s">
        <v>1677</v>
      </c>
      <c r="C15" s="52" t="s">
        <v>688</v>
      </c>
      <c r="D15" s="14">
        <v>30</v>
      </c>
      <c r="E15" s="13">
        <v>329.29230000000001</v>
      </c>
      <c r="F15" s="49">
        <v>7.1763701565650297</v>
      </c>
    </row>
    <row r="16" spans="1:6" x14ac:dyDescent="0.2">
      <c r="A16" s="52" t="s">
        <v>1662</v>
      </c>
      <c r="B16" s="52" t="s">
        <v>1663</v>
      </c>
      <c r="C16" s="52" t="s">
        <v>688</v>
      </c>
      <c r="D16" s="14">
        <v>30</v>
      </c>
      <c r="E16" s="13">
        <v>312.1755</v>
      </c>
      <c r="F16" s="49">
        <v>6.8033383769094096</v>
      </c>
    </row>
    <row r="17" spans="1:6" x14ac:dyDescent="0.2">
      <c r="A17" s="52" t="s">
        <v>1779</v>
      </c>
      <c r="B17" s="52" t="s">
        <v>1780</v>
      </c>
      <c r="C17" s="52" t="s">
        <v>1215</v>
      </c>
      <c r="D17" s="14">
        <v>21</v>
      </c>
      <c r="E17" s="13">
        <v>234.12333000000001</v>
      </c>
      <c r="F17" s="49">
        <v>5.1023230071508703</v>
      </c>
    </row>
    <row r="18" spans="1:6" x14ac:dyDescent="0.2">
      <c r="A18" s="52" t="s">
        <v>1781</v>
      </c>
      <c r="B18" s="52" t="s">
        <v>1782</v>
      </c>
      <c r="C18" s="52" t="s">
        <v>688</v>
      </c>
      <c r="D18" s="14">
        <v>19</v>
      </c>
      <c r="E18" s="13">
        <v>214.11099999999999</v>
      </c>
      <c r="F18" s="49">
        <v>4.6661880359555798</v>
      </c>
    </row>
    <row r="19" spans="1:6" x14ac:dyDescent="0.2">
      <c r="A19" s="52" t="s">
        <v>1783</v>
      </c>
      <c r="B19" s="52" t="s">
        <v>1784</v>
      </c>
      <c r="C19" s="52" t="s">
        <v>1208</v>
      </c>
      <c r="D19" s="14">
        <v>19</v>
      </c>
      <c r="E19" s="13">
        <v>196.73340999999999</v>
      </c>
      <c r="F19" s="49">
        <v>4.2874727782072997</v>
      </c>
    </row>
    <row r="20" spans="1:6" x14ac:dyDescent="0.2">
      <c r="A20" s="52" t="s">
        <v>1785</v>
      </c>
      <c r="B20" s="52" t="s">
        <v>1786</v>
      </c>
      <c r="C20" s="52" t="s">
        <v>688</v>
      </c>
      <c r="D20" s="14">
        <v>12</v>
      </c>
      <c r="E20" s="13">
        <v>128.01996</v>
      </c>
      <c r="F20" s="49">
        <v>2.7899790562629301</v>
      </c>
    </row>
    <row r="21" spans="1:6" x14ac:dyDescent="0.2">
      <c r="A21" s="41" t="s">
        <v>43</v>
      </c>
      <c r="B21" s="52"/>
      <c r="C21" s="52"/>
      <c r="D21" s="52"/>
      <c r="E21" s="50">
        <f>SUM(E8:E20)</f>
        <v>4411.333709999999</v>
      </c>
      <c r="F21" s="6">
        <f>SUM(F8:F20)</f>
        <v>96.137576211448945</v>
      </c>
    </row>
    <row r="22" spans="1:6" x14ac:dyDescent="0.2">
      <c r="A22" s="52"/>
      <c r="B22" s="52"/>
      <c r="C22" s="52"/>
      <c r="D22" s="52"/>
      <c r="E22" s="13"/>
      <c r="F22" s="49"/>
    </row>
    <row r="23" spans="1:6" x14ac:dyDescent="0.2">
      <c r="A23" s="41" t="s">
        <v>43</v>
      </c>
      <c r="B23" s="52"/>
      <c r="C23" s="52"/>
      <c r="D23" s="52"/>
      <c r="E23" s="50">
        <v>4411.333709999999</v>
      </c>
      <c r="F23" s="6">
        <v>96.137576211448945</v>
      </c>
    </row>
    <row r="24" spans="1:6" x14ac:dyDescent="0.2">
      <c r="A24" s="52"/>
      <c r="B24" s="52"/>
      <c r="C24" s="52"/>
      <c r="D24" s="52"/>
      <c r="E24" s="13"/>
      <c r="F24" s="49"/>
    </row>
    <row r="25" spans="1:6" x14ac:dyDescent="0.2">
      <c r="A25" s="41" t="s">
        <v>100</v>
      </c>
      <c r="B25" s="52"/>
      <c r="C25" s="52"/>
      <c r="D25" s="52"/>
      <c r="E25" s="50">
        <v>177.2334773</v>
      </c>
      <c r="F25" s="6">
        <v>3.86</v>
      </c>
    </row>
    <row r="26" spans="1:6" x14ac:dyDescent="0.2">
      <c r="A26" s="52"/>
      <c r="B26" s="52"/>
      <c r="C26" s="52"/>
      <c r="D26" s="52"/>
      <c r="E26" s="13"/>
      <c r="F26" s="49"/>
    </row>
    <row r="27" spans="1:6" x14ac:dyDescent="0.2">
      <c r="A27" s="57" t="s">
        <v>101</v>
      </c>
      <c r="B27" s="34"/>
      <c r="C27" s="34"/>
      <c r="D27" s="34"/>
      <c r="E27" s="51">
        <v>4588.5634773000002</v>
      </c>
      <c r="F27" s="8">
        <f xml:space="preserve"> ROUND(SUM(F23:F26),2)</f>
        <v>100</v>
      </c>
    </row>
    <row r="28" spans="1:6" x14ac:dyDescent="0.2">
      <c r="A28" s="4" t="s">
        <v>1964</v>
      </c>
    </row>
    <row r="29" spans="1:6" x14ac:dyDescent="0.2">
      <c r="A29" s="4"/>
    </row>
    <row r="30" spans="1:6" x14ac:dyDescent="0.2">
      <c r="A30" s="4" t="s">
        <v>102</v>
      </c>
    </row>
    <row r="31" spans="1:6" x14ac:dyDescent="0.2">
      <c r="A31" s="4" t="s">
        <v>833</v>
      </c>
    </row>
    <row r="32" spans="1:6" x14ac:dyDescent="0.2">
      <c r="A32" s="4" t="s">
        <v>104</v>
      </c>
      <c r="D32" s="11"/>
    </row>
    <row r="33" spans="1:4" x14ac:dyDescent="0.2">
      <c r="A33" s="2" t="s">
        <v>598</v>
      </c>
      <c r="D33" s="92">
        <v>10.0701</v>
      </c>
    </row>
    <row r="34" spans="1:4" x14ac:dyDescent="0.2">
      <c r="A34" s="2" t="s">
        <v>599</v>
      </c>
      <c r="D34" s="92">
        <v>10.0701</v>
      </c>
    </row>
    <row r="35" spans="1:4" x14ac:dyDescent="0.2">
      <c r="A35" s="2" t="s">
        <v>1554</v>
      </c>
      <c r="D35" s="92">
        <v>10.0701</v>
      </c>
    </row>
    <row r="36" spans="1:4" x14ac:dyDescent="0.2">
      <c r="A36" s="2" t="s">
        <v>600</v>
      </c>
      <c r="D36" s="92">
        <v>10.0724</v>
      </c>
    </row>
    <row r="38" spans="1:4" x14ac:dyDescent="0.2">
      <c r="A38" s="4" t="s">
        <v>105</v>
      </c>
    </row>
    <row r="39" spans="1:4" x14ac:dyDescent="0.2">
      <c r="A39" s="2" t="s">
        <v>598</v>
      </c>
      <c r="D39" s="10">
        <v>10.7003</v>
      </c>
    </row>
    <row r="40" spans="1:4" x14ac:dyDescent="0.2">
      <c r="A40" s="2" t="s">
        <v>599</v>
      </c>
      <c r="D40" s="10">
        <v>10.7003</v>
      </c>
    </row>
    <row r="41" spans="1:4" x14ac:dyDescent="0.2">
      <c r="A41" s="2" t="s">
        <v>1554</v>
      </c>
      <c r="D41" s="10">
        <v>10.356</v>
      </c>
    </row>
    <row r="42" spans="1:4" x14ac:dyDescent="0.2">
      <c r="A42" s="2" t="s">
        <v>600</v>
      </c>
      <c r="D42" s="10">
        <v>10.7136</v>
      </c>
    </row>
    <row r="44" spans="1:4" x14ac:dyDescent="0.2">
      <c r="A44" s="4" t="s">
        <v>106</v>
      </c>
      <c r="D44" s="17" t="s">
        <v>319</v>
      </c>
    </row>
    <row r="45" spans="1:4" x14ac:dyDescent="0.2">
      <c r="A45" s="18" t="s">
        <v>602</v>
      </c>
      <c r="B45" s="19"/>
      <c r="C45" s="62" t="s">
        <v>603</v>
      </c>
      <c r="D45" s="63"/>
    </row>
    <row r="46" spans="1:4" x14ac:dyDescent="0.2">
      <c r="A46" s="64"/>
      <c r="B46" s="65"/>
      <c r="C46" s="20" t="s">
        <v>604</v>
      </c>
      <c r="D46" s="20" t="s">
        <v>605</v>
      </c>
    </row>
    <row r="47" spans="1:4" x14ac:dyDescent="0.2">
      <c r="A47" s="21" t="s">
        <v>1554</v>
      </c>
      <c r="B47" s="22"/>
      <c r="C47" s="23">
        <v>0.24130810450000001</v>
      </c>
      <c r="D47" s="23">
        <v>0.2234525074</v>
      </c>
    </row>
    <row r="49" spans="1:5" x14ac:dyDescent="0.2">
      <c r="A49" s="4" t="s">
        <v>834</v>
      </c>
      <c r="D49" s="59">
        <v>2.2570300572323321</v>
      </c>
      <c r="E49" s="59" t="s">
        <v>1787</v>
      </c>
    </row>
    <row r="51" spans="1:5" x14ac:dyDescent="0.2">
      <c r="A51" s="4" t="s">
        <v>836</v>
      </c>
      <c r="D51" s="67" t="s">
        <v>107</v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79ED-C936-4510-8E1C-56A16CCCFA06}">
  <dimension ref="A1:F57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5.85546875" style="2" bestFit="1" customWidth="1"/>
    <col min="3" max="3" width="14.855468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1788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1676</v>
      </c>
      <c r="B8" s="52" t="s">
        <v>1677</v>
      </c>
      <c r="C8" s="52" t="s">
        <v>688</v>
      </c>
      <c r="D8" s="14">
        <v>39</v>
      </c>
      <c r="E8" s="13">
        <v>428.07999000000001</v>
      </c>
      <c r="F8" s="49">
        <v>11.959568523442201</v>
      </c>
    </row>
    <row r="9" spans="1:6" x14ac:dyDescent="0.2">
      <c r="A9" s="52" t="s">
        <v>1686</v>
      </c>
      <c r="B9" s="52" t="s">
        <v>1687</v>
      </c>
      <c r="C9" s="52" t="s">
        <v>688</v>
      </c>
      <c r="D9" s="14">
        <v>39</v>
      </c>
      <c r="E9" s="13">
        <v>403.40625</v>
      </c>
      <c r="F9" s="49">
        <v>11.2702410819526</v>
      </c>
    </row>
    <row r="10" spans="1:6" x14ac:dyDescent="0.2">
      <c r="A10" s="52" t="s">
        <v>1789</v>
      </c>
      <c r="B10" s="52" t="s">
        <v>1790</v>
      </c>
      <c r="C10" s="52" t="s">
        <v>688</v>
      </c>
      <c r="D10" s="14">
        <v>39</v>
      </c>
      <c r="E10" s="13">
        <v>403.35827999999998</v>
      </c>
      <c r="F10" s="49">
        <v>11.268900910686799</v>
      </c>
    </row>
    <row r="11" spans="1:6" x14ac:dyDescent="0.2">
      <c r="A11" s="52" t="s">
        <v>870</v>
      </c>
      <c r="B11" s="52" t="s">
        <v>871</v>
      </c>
      <c r="C11" s="52" t="s">
        <v>688</v>
      </c>
      <c r="D11" s="14">
        <v>38</v>
      </c>
      <c r="E11" s="13">
        <v>393.19170000000003</v>
      </c>
      <c r="F11" s="49">
        <v>10.984870091682501</v>
      </c>
    </row>
    <row r="12" spans="1:6" x14ac:dyDescent="0.2">
      <c r="A12" s="52" t="s">
        <v>1783</v>
      </c>
      <c r="B12" s="52" t="s">
        <v>1784</v>
      </c>
      <c r="C12" s="52" t="s">
        <v>1208</v>
      </c>
      <c r="D12" s="14">
        <v>37</v>
      </c>
      <c r="E12" s="13">
        <v>383.11243000000002</v>
      </c>
      <c r="F12" s="49">
        <v>10.7032785128954</v>
      </c>
    </row>
    <row r="13" spans="1:6" x14ac:dyDescent="0.2">
      <c r="A13" s="52" t="s">
        <v>1779</v>
      </c>
      <c r="B13" s="52" t="s">
        <v>1780</v>
      </c>
      <c r="C13" s="52" t="s">
        <v>1215</v>
      </c>
      <c r="D13" s="14">
        <v>29</v>
      </c>
      <c r="E13" s="13">
        <v>323.31317000000001</v>
      </c>
      <c r="F13" s="49">
        <v>9.0326249800798308</v>
      </c>
    </row>
    <row r="14" spans="1:6" x14ac:dyDescent="0.2">
      <c r="A14" s="52" t="s">
        <v>1633</v>
      </c>
      <c r="B14" s="52" t="s">
        <v>1634</v>
      </c>
      <c r="C14" s="52" t="s">
        <v>1635</v>
      </c>
      <c r="D14" s="14">
        <v>32</v>
      </c>
      <c r="E14" s="13">
        <v>322.97023999999999</v>
      </c>
      <c r="F14" s="49">
        <v>9.0230443060713501</v>
      </c>
    </row>
    <row r="15" spans="1:6" x14ac:dyDescent="0.2">
      <c r="A15" s="52" t="s">
        <v>1682</v>
      </c>
      <c r="B15" s="52" t="s">
        <v>1683</v>
      </c>
      <c r="C15" s="52" t="s">
        <v>688</v>
      </c>
      <c r="D15" s="14">
        <v>27</v>
      </c>
      <c r="E15" s="13">
        <v>308.13182999999998</v>
      </c>
      <c r="F15" s="49">
        <v>8.6084933218641009</v>
      </c>
    </row>
    <row r="16" spans="1:6" x14ac:dyDescent="0.2">
      <c r="A16" s="52" t="s">
        <v>1785</v>
      </c>
      <c r="B16" s="52" t="s">
        <v>1786</v>
      </c>
      <c r="C16" s="52" t="s">
        <v>688</v>
      </c>
      <c r="D16" s="14">
        <v>24</v>
      </c>
      <c r="E16" s="13">
        <v>256.03992</v>
      </c>
      <c r="F16" s="49">
        <v>7.1531653884982198</v>
      </c>
    </row>
    <row r="17" spans="1:6" x14ac:dyDescent="0.2">
      <c r="A17" s="52" t="s">
        <v>1662</v>
      </c>
      <c r="B17" s="52" t="s">
        <v>1663</v>
      </c>
      <c r="C17" s="52" t="s">
        <v>688</v>
      </c>
      <c r="D17" s="14">
        <v>13</v>
      </c>
      <c r="E17" s="13">
        <v>135.27605</v>
      </c>
      <c r="F17" s="49">
        <v>3.7793011291081302</v>
      </c>
    </row>
    <row r="18" spans="1:6" x14ac:dyDescent="0.2">
      <c r="A18" s="52" t="s">
        <v>1777</v>
      </c>
      <c r="B18" s="52" t="s">
        <v>1778</v>
      </c>
      <c r="C18" s="52" t="s">
        <v>688</v>
      </c>
      <c r="D18" s="14">
        <v>4</v>
      </c>
      <c r="E18" s="13">
        <v>45.783560000000001</v>
      </c>
      <c r="F18" s="49">
        <v>1.2790871702905999</v>
      </c>
    </row>
    <row r="19" spans="1:6" x14ac:dyDescent="0.2">
      <c r="A19" s="52" t="s">
        <v>1791</v>
      </c>
      <c r="B19" s="52" t="s">
        <v>1792</v>
      </c>
      <c r="C19" s="52" t="s">
        <v>1215</v>
      </c>
      <c r="D19" s="14">
        <v>1</v>
      </c>
      <c r="E19" s="13">
        <v>10.98387</v>
      </c>
      <c r="F19" s="49">
        <v>0.30686401837558802</v>
      </c>
    </row>
    <row r="20" spans="1:6" x14ac:dyDescent="0.2">
      <c r="A20" s="52" t="s">
        <v>1644</v>
      </c>
      <c r="B20" s="52" t="s">
        <v>1645</v>
      </c>
      <c r="C20" s="52" t="s">
        <v>1208</v>
      </c>
      <c r="D20" s="14">
        <v>1</v>
      </c>
      <c r="E20" s="13">
        <v>10.13935</v>
      </c>
      <c r="F20" s="49">
        <v>0.28327007554864703</v>
      </c>
    </row>
    <row r="21" spans="1:6" x14ac:dyDescent="0.2">
      <c r="A21" s="41" t="s">
        <v>43</v>
      </c>
      <c r="B21" s="52"/>
      <c r="C21" s="52"/>
      <c r="D21" s="52"/>
      <c r="E21" s="50">
        <f>SUM(E8:E20)</f>
        <v>3423.7866399999998</v>
      </c>
      <c r="F21" s="6">
        <f>SUM(F8:F20)</f>
        <v>95.652709510495981</v>
      </c>
    </row>
    <row r="22" spans="1:6" x14ac:dyDescent="0.2">
      <c r="A22" s="52"/>
      <c r="B22" s="52"/>
      <c r="C22" s="52"/>
      <c r="D22" s="52"/>
      <c r="E22" s="13"/>
      <c r="F22" s="49"/>
    </row>
    <row r="23" spans="1:6" x14ac:dyDescent="0.2">
      <c r="A23" s="41" t="s">
        <v>43</v>
      </c>
      <c r="B23" s="52"/>
      <c r="C23" s="52"/>
      <c r="D23" s="52"/>
      <c r="E23" s="50">
        <v>3423.7866399999998</v>
      </c>
      <c r="F23" s="6">
        <v>95.652709510495981</v>
      </c>
    </row>
    <row r="24" spans="1:6" x14ac:dyDescent="0.2">
      <c r="A24" s="52"/>
      <c r="B24" s="52"/>
      <c r="C24" s="52"/>
      <c r="D24" s="52"/>
      <c r="E24" s="13"/>
      <c r="F24" s="49"/>
    </row>
    <row r="25" spans="1:6" x14ac:dyDescent="0.2">
      <c r="A25" s="41" t="s">
        <v>100</v>
      </c>
      <c r="B25" s="52"/>
      <c r="C25" s="52"/>
      <c r="D25" s="52"/>
      <c r="E25" s="50">
        <v>155.6032629</v>
      </c>
      <c r="F25" s="6">
        <v>4.3499999999999996</v>
      </c>
    </row>
    <row r="26" spans="1:6" x14ac:dyDescent="0.2">
      <c r="A26" s="52"/>
      <c r="B26" s="52"/>
      <c r="C26" s="52"/>
      <c r="D26" s="52"/>
      <c r="E26" s="13"/>
      <c r="F26" s="49"/>
    </row>
    <row r="27" spans="1:6" x14ac:dyDescent="0.2">
      <c r="A27" s="57" t="s">
        <v>101</v>
      </c>
      <c r="B27" s="34"/>
      <c r="C27" s="34"/>
      <c r="D27" s="34"/>
      <c r="E27" s="51">
        <v>3579.3932629000001</v>
      </c>
      <c r="F27" s="8">
        <f xml:space="preserve"> ROUND(SUM(F23:F26),2)</f>
        <v>100</v>
      </c>
    </row>
    <row r="28" spans="1:6" x14ac:dyDescent="0.2">
      <c r="A28" s="4" t="s">
        <v>1964</v>
      </c>
    </row>
    <row r="29" spans="1:6" x14ac:dyDescent="0.2">
      <c r="A29" s="4"/>
    </row>
    <row r="30" spans="1:6" x14ac:dyDescent="0.2">
      <c r="A30" s="4" t="s">
        <v>102</v>
      </c>
    </row>
    <row r="31" spans="1:6" x14ac:dyDescent="0.2">
      <c r="A31" s="4" t="s">
        <v>833</v>
      </c>
    </row>
    <row r="32" spans="1:6" x14ac:dyDescent="0.2">
      <c r="A32" s="4" t="s">
        <v>104</v>
      </c>
      <c r="D32" s="92"/>
    </row>
    <row r="33" spans="1:4" x14ac:dyDescent="0.2">
      <c r="A33" s="2" t="s">
        <v>598</v>
      </c>
      <c r="D33" s="92">
        <v>10.1899</v>
      </c>
    </row>
    <row r="34" spans="1:4" x14ac:dyDescent="0.2">
      <c r="A34" s="2" t="s">
        <v>599</v>
      </c>
      <c r="D34" s="92">
        <v>10.1899</v>
      </c>
    </row>
    <row r="35" spans="1:4" x14ac:dyDescent="0.2">
      <c r="A35" s="2" t="s">
        <v>1554</v>
      </c>
      <c r="D35" s="92">
        <v>10.1899</v>
      </c>
    </row>
    <row r="36" spans="1:4" x14ac:dyDescent="0.2">
      <c r="A36" s="2" t="s">
        <v>600</v>
      </c>
      <c r="D36" s="92">
        <v>10.1942</v>
      </c>
    </row>
    <row r="37" spans="1:4" x14ac:dyDescent="0.2">
      <c r="A37" s="2" t="s">
        <v>601</v>
      </c>
      <c r="D37" s="92">
        <v>10.1942</v>
      </c>
    </row>
    <row r="38" spans="1:4" x14ac:dyDescent="0.2">
      <c r="A38" s="2" t="s">
        <v>1556</v>
      </c>
      <c r="D38" s="92">
        <v>10.1942</v>
      </c>
    </row>
    <row r="40" spans="1:4" x14ac:dyDescent="0.2">
      <c r="A40" s="4" t="s">
        <v>105</v>
      </c>
    </row>
    <row r="41" spans="1:4" x14ac:dyDescent="0.2">
      <c r="A41" s="2" t="s">
        <v>598</v>
      </c>
      <c r="D41" s="10">
        <v>10.812200000000001</v>
      </c>
    </row>
    <row r="42" spans="1:4" x14ac:dyDescent="0.2">
      <c r="A42" s="2" t="s">
        <v>599</v>
      </c>
      <c r="D42" s="10">
        <v>10.812200000000001</v>
      </c>
    </row>
    <row r="43" spans="1:4" x14ac:dyDescent="0.2">
      <c r="A43" s="2" t="s">
        <v>1554</v>
      </c>
      <c r="D43" s="10">
        <v>10.4407</v>
      </c>
    </row>
    <row r="44" spans="1:4" x14ac:dyDescent="0.2">
      <c r="A44" s="2" t="s">
        <v>600</v>
      </c>
      <c r="D44" s="10">
        <v>10.8276</v>
      </c>
    </row>
    <row r="45" spans="1:4" x14ac:dyDescent="0.2">
      <c r="A45" s="2" t="s">
        <v>601</v>
      </c>
      <c r="D45" s="10">
        <v>10.8276</v>
      </c>
    </row>
    <row r="46" spans="1:4" x14ac:dyDescent="0.2">
      <c r="A46" s="2" t="s">
        <v>1556</v>
      </c>
      <c r="D46" s="10">
        <v>10.4558</v>
      </c>
    </row>
    <row r="48" spans="1:4" x14ac:dyDescent="0.2">
      <c r="A48" s="4" t="s">
        <v>106</v>
      </c>
      <c r="D48" s="17" t="s">
        <v>319</v>
      </c>
    </row>
    <row r="49" spans="1:5" x14ac:dyDescent="0.2">
      <c r="A49" s="18" t="s">
        <v>602</v>
      </c>
      <c r="B49" s="19"/>
      <c r="C49" s="62" t="s">
        <v>603</v>
      </c>
      <c r="D49" s="63"/>
    </row>
    <row r="50" spans="1:5" x14ac:dyDescent="0.2">
      <c r="A50" s="64"/>
      <c r="B50" s="65"/>
      <c r="C50" s="20" t="s">
        <v>604</v>
      </c>
      <c r="D50" s="20" t="s">
        <v>605</v>
      </c>
    </row>
    <row r="51" spans="1:5" x14ac:dyDescent="0.2">
      <c r="A51" s="21" t="s">
        <v>1554</v>
      </c>
      <c r="B51" s="22"/>
      <c r="C51" s="23">
        <v>0.25931617200000001</v>
      </c>
      <c r="D51" s="23">
        <v>0.2401280677</v>
      </c>
    </row>
    <row r="52" spans="1:5" x14ac:dyDescent="0.2">
      <c r="A52" s="21" t="s">
        <v>1556</v>
      </c>
      <c r="B52" s="22"/>
      <c r="C52" s="23">
        <v>0.25931617200000001</v>
      </c>
      <c r="D52" s="23">
        <v>0.2401280677</v>
      </c>
    </row>
    <row r="53" spans="1:5" x14ac:dyDescent="0.2">
      <c r="A53" s="4"/>
      <c r="D53" s="17"/>
    </row>
    <row r="55" spans="1:5" x14ac:dyDescent="0.2">
      <c r="A55" s="4" t="s">
        <v>834</v>
      </c>
      <c r="D55" s="59">
        <v>2.1724521612826542</v>
      </c>
      <c r="E55" s="59" t="s">
        <v>1787</v>
      </c>
    </row>
    <row r="57" spans="1:5" x14ac:dyDescent="0.2">
      <c r="A57" s="4" t="s">
        <v>836</v>
      </c>
      <c r="D57" s="67" t="s">
        <v>107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B372-B1BA-4BD8-9742-C41DE0245FD8}">
  <dimension ref="A1:F56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5.85546875" style="2" bestFit="1" customWidth="1"/>
    <col min="3" max="3" width="14.855468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1793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1794</v>
      </c>
      <c r="B8" s="52" t="s">
        <v>1795</v>
      </c>
      <c r="C8" s="52" t="s">
        <v>688</v>
      </c>
      <c r="D8" s="14">
        <v>23</v>
      </c>
      <c r="E8" s="13">
        <v>260.45636999999999</v>
      </c>
      <c r="F8" s="49">
        <v>11.8646486534308</v>
      </c>
    </row>
    <row r="9" spans="1:6" x14ac:dyDescent="0.2">
      <c r="A9" s="52" t="s">
        <v>1796</v>
      </c>
      <c r="B9" s="52" t="s">
        <v>1797</v>
      </c>
      <c r="C9" s="52" t="s">
        <v>688</v>
      </c>
      <c r="D9" s="14">
        <v>23</v>
      </c>
      <c r="E9" s="13">
        <v>258.62074000000001</v>
      </c>
      <c r="F9" s="49">
        <v>11.7810296388231</v>
      </c>
    </row>
    <row r="10" spans="1:6" x14ac:dyDescent="0.2">
      <c r="A10" s="52" t="s">
        <v>1783</v>
      </c>
      <c r="B10" s="52" t="s">
        <v>1784</v>
      </c>
      <c r="C10" s="52" t="s">
        <v>1208</v>
      </c>
      <c r="D10" s="14">
        <v>24</v>
      </c>
      <c r="E10" s="13">
        <v>248.50536</v>
      </c>
      <c r="F10" s="49">
        <v>11.320240641049899</v>
      </c>
    </row>
    <row r="11" spans="1:6" x14ac:dyDescent="0.2">
      <c r="A11" s="52" t="s">
        <v>1686</v>
      </c>
      <c r="B11" s="52" t="s">
        <v>1687</v>
      </c>
      <c r="C11" s="52" t="s">
        <v>688</v>
      </c>
      <c r="D11" s="14">
        <v>24</v>
      </c>
      <c r="E11" s="13">
        <v>248.25</v>
      </c>
      <c r="F11" s="49">
        <v>11.308608148897299</v>
      </c>
    </row>
    <row r="12" spans="1:6" x14ac:dyDescent="0.2">
      <c r="A12" s="52" t="s">
        <v>870</v>
      </c>
      <c r="B12" s="52" t="s">
        <v>871</v>
      </c>
      <c r="C12" s="52" t="s">
        <v>688</v>
      </c>
      <c r="D12" s="14">
        <v>23</v>
      </c>
      <c r="E12" s="13">
        <v>237.98445000000001</v>
      </c>
      <c r="F12" s="49">
        <v>10.8409784112017</v>
      </c>
    </row>
    <row r="13" spans="1:6" x14ac:dyDescent="0.2">
      <c r="A13" s="52" t="s">
        <v>1789</v>
      </c>
      <c r="B13" s="52" t="s">
        <v>1790</v>
      </c>
      <c r="C13" s="52" t="s">
        <v>688</v>
      </c>
      <c r="D13" s="14">
        <v>23</v>
      </c>
      <c r="E13" s="13">
        <v>237.87796</v>
      </c>
      <c r="F13" s="49">
        <v>10.8361274396739</v>
      </c>
    </row>
    <row r="14" spans="1:6" x14ac:dyDescent="0.2">
      <c r="A14" s="52" t="s">
        <v>1633</v>
      </c>
      <c r="B14" s="52" t="s">
        <v>1634</v>
      </c>
      <c r="C14" s="52" t="s">
        <v>1635</v>
      </c>
      <c r="D14" s="14">
        <v>20</v>
      </c>
      <c r="E14" s="13">
        <v>201.85640000000001</v>
      </c>
      <c r="F14" s="49">
        <v>9.1952263039156694</v>
      </c>
    </row>
    <row r="15" spans="1:6" x14ac:dyDescent="0.2">
      <c r="A15" s="52" t="s">
        <v>1791</v>
      </c>
      <c r="B15" s="52" t="s">
        <v>1792</v>
      </c>
      <c r="C15" s="52" t="s">
        <v>1215</v>
      </c>
      <c r="D15" s="14">
        <v>18</v>
      </c>
      <c r="E15" s="13">
        <v>197.70966000000001</v>
      </c>
      <c r="F15" s="49">
        <v>9.0063285888890494</v>
      </c>
    </row>
    <row r="16" spans="1:6" x14ac:dyDescent="0.2">
      <c r="A16" s="52" t="s">
        <v>1785</v>
      </c>
      <c r="B16" s="52" t="s">
        <v>1786</v>
      </c>
      <c r="C16" s="52" t="s">
        <v>688</v>
      </c>
      <c r="D16" s="14">
        <v>14</v>
      </c>
      <c r="E16" s="13">
        <v>149.35661999999999</v>
      </c>
      <c r="F16" s="49">
        <v>6.8036877745166198</v>
      </c>
    </row>
    <row r="17" spans="1:6" x14ac:dyDescent="0.2">
      <c r="A17" s="52" t="s">
        <v>1662</v>
      </c>
      <c r="B17" s="52" t="s">
        <v>1663</v>
      </c>
      <c r="C17" s="52" t="s">
        <v>688</v>
      </c>
      <c r="D17" s="14">
        <v>3</v>
      </c>
      <c r="E17" s="13">
        <v>31.217549999999999</v>
      </c>
      <c r="F17" s="49">
        <v>1.4220625994707301</v>
      </c>
    </row>
    <row r="18" spans="1:6" x14ac:dyDescent="0.2">
      <c r="A18" s="52" t="s">
        <v>1798</v>
      </c>
      <c r="B18" s="52" t="s">
        <v>1799</v>
      </c>
      <c r="C18" s="52" t="s">
        <v>688</v>
      </c>
      <c r="D18" s="14">
        <v>2</v>
      </c>
      <c r="E18" s="13">
        <v>20.5596</v>
      </c>
      <c r="F18" s="49">
        <v>0.93655774460450403</v>
      </c>
    </row>
    <row r="19" spans="1:6" x14ac:dyDescent="0.2">
      <c r="A19" s="52" t="s">
        <v>1800</v>
      </c>
      <c r="B19" s="52" t="s">
        <v>1801</v>
      </c>
      <c r="C19" s="52" t="s">
        <v>1208</v>
      </c>
      <c r="D19" s="14">
        <v>1</v>
      </c>
      <c r="E19" s="13">
        <v>10.366149999999999</v>
      </c>
      <c r="F19" s="49">
        <v>0.47221240025253303</v>
      </c>
    </row>
    <row r="20" spans="1:6" x14ac:dyDescent="0.2">
      <c r="A20" s="41" t="s">
        <v>43</v>
      </c>
      <c r="B20" s="52"/>
      <c r="C20" s="52"/>
      <c r="D20" s="52"/>
      <c r="E20" s="50">
        <f>SUM(E8:E19)</f>
        <v>2102.7608599999999</v>
      </c>
      <c r="F20" s="6">
        <f>SUM(F8:F19)</f>
        <v>95.7877083447258</v>
      </c>
    </row>
    <row r="21" spans="1:6" x14ac:dyDescent="0.2">
      <c r="A21" s="52"/>
      <c r="B21" s="52"/>
      <c r="C21" s="52"/>
      <c r="D21" s="52"/>
      <c r="E21" s="13"/>
      <c r="F21" s="49"/>
    </row>
    <row r="22" spans="1:6" x14ac:dyDescent="0.2">
      <c r="A22" s="41" t="s">
        <v>43</v>
      </c>
      <c r="B22" s="52"/>
      <c r="C22" s="52"/>
      <c r="D22" s="52"/>
      <c r="E22" s="50">
        <v>2102.7608599999999</v>
      </c>
      <c r="F22" s="6">
        <v>95.7877083447258</v>
      </c>
    </row>
    <row r="23" spans="1:6" x14ac:dyDescent="0.2">
      <c r="A23" s="52"/>
      <c r="B23" s="52"/>
      <c r="C23" s="52"/>
      <c r="D23" s="52"/>
      <c r="E23" s="13"/>
      <c r="F23" s="49"/>
    </row>
    <row r="24" spans="1:6" x14ac:dyDescent="0.2">
      <c r="A24" s="41" t="s">
        <v>100</v>
      </c>
      <c r="B24" s="52"/>
      <c r="C24" s="52"/>
      <c r="D24" s="52"/>
      <c r="E24" s="50">
        <v>92.4703655</v>
      </c>
      <c r="F24" s="6">
        <v>4.21</v>
      </c>
    </row>
    <row r="25" spans="1:6" x14ac:dyDescent="0.2">
      <c r="A25" s="52"/>
      <c r="B25" s="52"/>
      <c r="C25" s="52"/>
      <c r="D25" s="52"/>
      <c r="E25" s="13"/>
      <c r="F25" s="49"/>
    </row>
    <row r="26" spans="1:6" x14ac:dyDescent="0.2">
      <c r="A26" s="57" t="s">
        <v>101</v>
      </c>
      <c r="B26" s="34"/>
      <c r="C26" s="34"/>
      <c r="D26" s="34"/>
      <c r="E26" s="51">
        <v>2195.2303655000001</v>
      </c>
      <c r="F26" s="8">
        <f xml:space="preserve"> ROUND(SUM(F22:F25),2)</f>
        <v>100</v>
      </c>
    </row>
    <row r="27" spans="1:6" x14ac:dyDescent="0.2">
      <c r="A27" s="4" t="s">
        <v>1964</v>
      </c>
    </row>
    <row r="28" spans="1:6" x14ac:dyDescent="0.2">
      <c r="A28" s="4"/>
    </row>
    <row r="29" spans="1:6" x14ac:dyDescent="0.2">
      <c r="A29" s="4" t="s">
        <v>102</v>
      </c>
    </row>
    <row r="30" spans="1:6" x14ac:dyDescent="0.2">
      <c r="A30" s="4" t="s">
        <v>833</v>
      </c>
    </row>
    <row r="31" spans="1:6" x14ac:dyDescent="0.2">
      <c r="A31" s="4" t="s">
        <v>104</v>
      </c>
      <c r="D31" s="11"/>
    </row>
    <row r="32" spans="1:6" x14ac:dyDescent="0.2">
      <c r="A32" s="2" t="s">
        <v>598</v>
      </c>
      <c r="D32" s="92">
        <v>10.2547</v>
      </c>
    </row>
    <row r="33" spans="1:4" x14ac:dyDescent="0.2">
      <c r="A33" s="2" t="s">
        <v>599</v>
      </c>
      <c r="D33" s="92">
        <v>10.2547</v>
      </c>
    </row>
    <row r="34" spans="1:4" x14ac:dyDescent="0.2">
      <c r="A34" s="2" t="s">
        <v>1554</v>
      </c>
      <c r="D34" s="92">
        <v>10.124499999999999</v>
      </c>
    </row>
    <row r="35" spans="1:4" x14ac:dyDescent="0.2">
      <c r="A35" s="2" t="s">
        <v>600</v>
      </c>
      <c r="D35" s="92">
        <v>10.2615</v>
      </c>
    </row>
    <row r="36" spans="1:4" x14ac:dyDescent="0.2">
      <c r="A36" s="2" t="s">
        <v>601</v>
      </c>
      <c r="D36" s="92">
        <v>10.2615</v>
      </c>
    </row>
    <row r="37" spans="1:4" x14ac:dyDescent="0.2">
      <c r="A37" s="2" t="s">
        <v>1556</v>
      </c>
      <c r="D37" s="92">
        <v>10.131399999999999</v>
      </c>
    </row>
    <row r="39" spans="1:4" x14ac:dyDescent="0.2">
      <c r="A39" s="4" t="s">
        <v>105</v>
      </c>
    </row>
    <row r="40" spans="1:4" x14ac:dyDescent="0.2">
      <c r="A40" s="2" t="s">
        <v>598</v>
      </c>
      <c r="D40" s="10">
        <v>10.8565</v>
      </c>
    </row>
    <row r="41" spans="1:4" x14ac:dyDescent="0.2">
      <c r="A41" s="2" t="s">
        <v>599</v>
      </c>
      <c r="D41" s="10">
        <v>10.8565</v>
      </c>
    </row>
    <row r="42" spans="1:4" x14ac:dyDescent="0.2">
      <c r="A42" s="2" t="s">
        <v>1554</v>
      </c>
      <c r="D42" s="10">
        <v>10.3062</v>
      </c>
    </row>
    <row r="43" spans="1:4" x14ac:dyDescent="0.2">
      <c r="A43" s="2" t="s">
        <v>600</v>
      </c>
      <c r="D43" s="10">
        <v>10.8774</v>
      </c>
    </row>
    <row r="44" spans="1:4" x14ac:dyDescent="0.2">
      <c r="A44" s="2" t="s">
        <v>601</v>
      </c>
      <c r="D44" s="10">
        <v>10.8774</v>
      </c>
    </row>
    <row r="45" spans="1:4" x14ac:dyDescent="0.2">
      <c r="A45" s="2" t="s">
        <v>1556</v>
      </c>
      <c r="D45" s="10">
        <v>10.326700000000001</v>
      </c>
    </row>
    <row r="47" spans="1:4" x14ac:dyDescent="0.2">
      <c r="A47" s="4" t="s">
        <v>106</v>
      </c>
      <c r="D47" s="17" t="s">
        <v>319</v>
      </c>
    </row>
    <row r="48" spans="1:4" x14ac:dyDescent="0.2">
      <c r="A48" s="18" t="s">
        <v>602</v>
      </c>
      <c r="B48" s="19"/>
      <c r="C48" s="62" t="s">
        <v>603</v>
      </c>
      <c r="D48" s="63"/>
    </row>
    <row r="49" spans="1:5" x14ac:dyDescent="0.2">
      <c r="A49" s="64"/>
      <c r="B49" s="65"/>
      <c r="C49" s="20" t="s">
        <v>604</v>
      </c>
      <c r="D49" s="20" t="s">
        <v>605</v>
      </c>
    </row>
    <row r="50" spans="1:5" x14ac:dyDescent="0.2">
      <c r="A50" s="21" t="s">
        <v>1554</v>
      </c>
      <c r="B50" s="22"/>
      <c r="C50" s="23">
        <v>0.29173069350000003</v>
      </c>
      <c r="D50" s="23">
        <v>0.27014407610000002</v>
      </c>
    </row>
    <row r="51" spans="1:5" x14ac:dyDescent="0.2">
      <c r="A51" s="21" t="s">
        <v>1556</v>
      </c>
      <c r="B51" s="22"/>
      <c r="C51" s="23">
        <v>0.29173069350000003</v>
      </c>
      <c r="D51" s="23">
        <v>0.27014407610000002</v>
      </c>
    </row>
    <row r="52" spans="1:5" x14ac:dyDescent="0.2">
      <c r="A52" s="4"/>
      <c r="D52" s="17"/>
    </row>
    <row r="54" spans="1:5" x14ac:dyDescent="0.2">
      <c r="A54" s="4" t="s">
        <v>834</v>
      </c>
      <c r="D54" s="59">
        <v>2.2212589979456419</v>
      </c>
      <c r="E54" s="59" t="s">
        <v>1787</v>
      </c>
    </row>
    <row r="56" spans="1:5" x14ac:dyDescent="0.2">
      <c r="A56" s="4" t="s">
        <v>836</v>
      </c>
      <c r="D56" s="67" t="s">
        <v>107</v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547B-A379-4AB1-91B9-AE6F64BBD720}">
  <dimension ref="A1:F54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5.85546875" style="2" bestFit="1" customWidth="1"/>
    <col min="3" max="3" width="12.5703125" style="2" bestFit="1" customWidth="1"/>
    <col min="4" max="4" width="7.8554687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1802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1794</v>
      </c>
      <c r="B8" s="52" t="s">
        <v>1795</v>
      </c>
      <c r="C8" s="52" t="s">
        <v>688</v>
      </c>
      <c r="D8" s="14">
        <v>68</v>
      </c>
      <c r="E8" s="13">
        <v>770.04492000000005</v>
      </c>
      <c r="F8" s="49">
        <v>11.7973628834799</v>
      </c>
    </row>
    <row r="9" spans="1:6" x14ac:dyDescent="0.2">
      <c r="A9" s="52" t="s">
        <v>1686</v>
      </c>
      <c r="B9" s="52" t="s">
        <v>1687</v>
      </c>
      <c r="C9" s="52" t="s">
        <v>688</v>
      </c>
      <c r="D9" s="14">
        <v>71</v>
      </c>
      <c r="E9" s="13">
        <v>734.40625</v>
      </c>
      <c r="F9" s="49">
        <v>11.2513657451901</v>
      </c>
    </row>
    <row r="10" spans="1:6" x14ac:dyDescent="0.2">
      <c r="A10" s="52" t="s">
        <v>1783</v>
      </c>
      <c r="B10" s="52" t="s">
        <v>1784</v>
      </c>
      <c r="C10" s="52" t="s">
        <v>1208</v>
      </c>
      <c r="D10" s="14">
        <v>70</v>
      </c>
      <c r="E10" s="13">
        <v>724.80730000000005</v>
      </c>
      <c r="F10" s="49">
        <v>11.104306406820101</v>
      </c>
    </row>
    <row r="11" spans="1:6" x14ac:dyDescent="0.2">
      <c r="A11" s="52" t="s">
        <v>1789</v>
      </c>
      <c r="B11" s="52" t="s">
        <v>1790</v>
      </c>
      <c r="C11" s="52" t="s">
        <v>688</v>
      </c>
      <c r="D11" s="14">
        <v>70</v>
      </c>
      <c r="E11" s="13">
        <v>723.97640000000001</v>
      </c>
      <c r="F11" s="49">
        <v>11.091576722401401</v>
      </c>
    </row>
    <row r="12" spans="1:6" x14ac:dyDescent="0.2">
      <c r="A12" s="52" t="s">
        <v>1803</v>
      </c>
      <c r="B12" s="52" t="s">
        <v>1804</v>
      </c>
      <c r="C12" s="52" t="s">
        <v>712</v>
      </c>
      <c r="D12" s="14">
        <v>70000</v>
      </c>
      <c r="E12" s="13">
        <v>715.35590000000002</v>
      </c>
      <c r="F12" s="49">
        <v>10.959507587087799</v>
      </c>
    </row>
    <row r="13" spans="1:6" x14ac:dyDescent="0.2">
      <c r="A13" s="52" t="s">
        <v>870</v>
      </c>
      <c r="B13" s="52" t="s">
        <v>871</v>
      </c>
      <c r="C13" s="52" t="s">
        <v>688</v>
      </c>
      <c r="D13" s="14">
        <v>69</v>
      </c>
      <c r="E13" s="13">
        <v>713.95335</v>
      </c>
      <c r="F13" s="49">
        <v>10.938020020736101</v>
      </c>
    </row>
    <row r="14" spans="1:6" x14ac:dyDescent="0.2">
      <c r="A14" s="52" t="s">
        <v>1633</v>
      </c>
      <c r="B14" s="52" t="s">
        <v>1634</v>
      </c>
      <c r="C14" s="52" t="s">
        <v>1635</v>
      </c>
      <c r="D14" s="14">
        <v>70</v>
      </c>
      <c r="E14" s="13">
        <v>706.49739999999997</v>
      </c>
      <c r="F14" s="49">
        <v>10.823792206868999</v>
      </c>
    </row>
    <row r="15" spans="1:6" x14ac:dyDescent="0.2">
      <c r="A15" s="52" t="s">
        <v>1704</v>
      </c>
      <c r="B15" s="52" t="s">
        <v>1705</v>
      </c>
      <c r="C15" s="52" t="s">
        <v>1208</v>
      </c>
      <c r="D15" s="14">
        <v>47</v>
      </c>
      <c r="E15" s="13">
        <v>523.91557999999998</v>
      </c>
      <c r="F15" s="49">
        <v>8.0265735894587298</v>
      </c>
    </row>
    <row r="16" spans="1:6" x14ac:dyDescent="0.2">
      <c r="A16" s="52" t="s">
        <v>1800</v>
      </c>
      <c r="B16" s="52" t="s">
        <v>1801</v>
      </c>
      <c r="C16" s="52" t="s">
        <v>1208</v>
      </c>
      <c r="D16" s="14">
        <v>31</v>
      </c>
      <c r="E16" s="13">
        <v>321.35064999999997</v>
      </c>
      <c r="F16" s="49">
        <v>4.92320659798931</v>
      </c>
    </row>
    <row r="17" spans="1:6" x14ac:dyDescent="0.2">
      <c r="A17" s="52" t="s">
        <v>1791</v>
      </c>
      <c r="B17" s="52" t="s">
        <v>1792</v>
      </c>
      <c r="C17" s="52" t="s">
        <v>1215</v>
      </c>
      <c r="D17" s="14">
        <v>20</v>
      </c>
      <c r="E17" s="13">
        <v>219.67740000000001</v>
      </c>
      <c r="F17" s="49">
        <v>3.3655361366443102</v>
      </c>
    </row>
    <row r="18" spans="1:6" x14ac:dyDescent="0.2">
      <c r="A18" s="52" t="s">
        <v>1781</v>
      </c>
      <c r="B18" s="52" t="s">
        <v>1782</v>
      </c>
      <c r="C18" s="52" t="s">
        <v>688</v>
      </c>
      <c r="D18" s="14">
        <v>2</v>
      </c>
      <c r="E18" s="13">
        <v>22.538</v>
      </c>
      <c r="F18" s="49">
        <v>0.34529020030139401</v>
      </c>
    </row>
    <row r="19" spans="1:6" x14ac:dyDescent="0.2">
      <c r="A19" s="52" t="s">
        <v>1688</v>
      </c>
      <c r="B19" s="52" t="s">
        <v>1689</v>
      </c>
      <c r="C19" s="52" t="s">
        <v>953</v>
      </c>
      <c r="D19" s="14">
        <v>1</v>
      </c>
      <c r="E19" s="13">
        <v>10.74943</v>
      </c>
      <c r="F19" s="49">
        <v>0.16468510239709899</v>
      </c>
    </row>
    <row r="20" spans="1:6" x14ac:dyDescent="0.2">
      <c r="A20" s="52" t="s">
        <v>1662</v>
      </c>
      <c r="B20" s="52" t="s">
        <v>1663</v>
      </c>
      <c r="C20" s="52" t="s">
        <v>688</v>
      </c>
      <c r="D20" s="14">
        <v>1</v>
      </c>
      <c r="E20" s="13">
        <v>10.405849999999999</v>
      </c>
      <c r="F20" s="49">
        <v>0.15942133422691701</v>
      </c>
    </row>
    <row r="21" spans="1:6" x14ac:dyDescent="0.2">
      <c r="A21" s="41" t="s">
        <v>43</v>
      </c>
      <c r="B21" s="52"/>
      <c r="C21" s="52"/>
      <c r="D21" s="52"/>
      <c r="E21" s="50">
        <f>SUM(E8:E20)</f>
        <v>6197.6784299999999</v>
      </c>
      <c r="F21" s="6">
        <f>SUM(F8:F20)</f>
        <v>94.950644533602159</v>
      </c>
    </row>
    <row r="22" spans="1:6" x14ac:dyDescent="0.2">
      <c r="A22" s="52"/>
      <c r="B22" s="52"/>
      <c r="C22" s="52"/>
      <c r="D22" s="52"/>
      <c r="E22" s="13"/>
      <c r="F22" s="49"/>
    </row>
    <row r="23" spans="1:6" x14ac:dyDescent="0.2">
      <c r="A23" s="41" t="s">
        <v>43</v>
      </c>
      <c r="B23" s="52"/>
      <c r="C23" s="52"/>
      <c r="D23" s="52"/>
      <c r="E23" s="50">
        <v>6197.6784299999999</v>
      </c>
      <c r="F23" s="6">
        <v>94.950644533602159</v>
      </c>
    </row>
    <row r="24" spans="1:6" x14ac:dyDescent="0.2">
      <c r="A24" s="52"/>
      <c r="B24" s="52"/>
      <c r="C24" s="52"/>
      <c r="D24" s="52"/>
      <c r="E24" s="13"/>
      <c r="F24" s="49"/>
    </row>
    <row r="25" spans="1:6" x14ac:dyDescent="0.2">
      <c r="A25" s="41" t="s">
        <v>100</v>
      </c>
      <c r="B25" s="52"/>
      <c r="C25" s="52"/>
      <c r="D25" s="52"/>
      <c r="E25" s="50">
        <v>329.58314860000002</v>
      </c>
      <c r="F25" s="6">
        <v>5.05</v>
      </c>
    </row>
    <row r="26" spans="1:6" x14ac:dyDescent="0.2">
      <c r="A26" s="52"/>
      <c r="B26" s="52"/>
      <c r="C26" s="52"/>
      <c r="D26" s="52"/>
      <c r="E26" s="13"/>
      <c r="F26" s="49"/>
    </row>
    <row r="27" spans="1:6" x14ac:dyDescent="0.2">
      <c r="A27" s="57" t="s">
        <v>101</v>
      </c>
      <c r="B27" s="34"/>
      <c r="C27" s="34"/>
      <c r="D27" s="34"/>
      <c r="E27" s="51">
        <v>6527.2631486</v>
      </c>
      <c r="F27" s="8">
        <f xml:space="preserve"> ROUND(SUM(F23:F26),2)</f>
        <v>100</v>
      </c>
    </row>
    <row r="28" spans="1:6" x14ac:dyDescent="0.2">
      <c r="A28" s="4" t="s">
        <v>1964</v>
      </c>
    </row>
    <row r="29" spans="1:6" x14ac:dyDescent="0.2">
      <c r="A29" s="4"/>
    </row>
    <row r="30" spans="1:6" x14ac:dyDescent="0.2">
      <c r="A30" s="4" t="s">
        <v>102</v>
      </c>
    </row>
    <row r="31" spans="1:6" x14ac:dyDescent="0.2">
      <c r="A31" s="4" t="s">
        <v>833</v>
      </c>
    </row>
    <row r="32" spans="1:6" x14ac:dyDescent="0.2">
      <c r="A32" s="4" t="s">
        <v>104</v>
      </c>
      <c r="D32" s="11"/>
    </row>
    <row r="33" spans="1:4" x14ac:dyDescent="0.2">
      <c r="A33" s="2" t="s">
        <v>598</v>
      </c>
      <c r="D33" s="92">
        <v>10.2943</v>
      </c>
    </row>
    <row r="34" spans="1:4" x14ac:dyDescent="0.2">
      <c r="A34" s="2" t="s">
        <v>599</v>
      </c>
      <c r="D34" s="92">
        <v>10.2943</v>
      </c>
    </row>
    <row r="35" spans="1:4" x14ac:dyDescent="0.2">
      <c r="A35" s="2" t="s">
        <v>1554</v>
      </c>
      <c r="D35" s="92">
        <v>10.129099999999999</v>
      </c>
    </row>
    <row r="36" spans="1:4" x14ac:dyDescent="0.2">
      <c r="A36" s="2" t="s">
        <v>600</v>
      </c>
      <c r="D36" s="92">
        <v>10.302099999999999</v>
      </c>
    </row>
    <row r="37" spans="1:4" x14ac:dyDescent="0.2">
      <c r="A37" s="2" t="s">
        <v>601</v>
      </c>
      <c r="D37" s="92">
        <v>10.302099999999999</v>
      </c>
    </row>
    <row r="39" spans="1:4" x14ac:dyDescent="0.2">
      <c r="A39" s="4" t="s">
        <v>105</v>
      </c>
    </row>
    <row r="40" spans="1:4" x14ac:dyDescent="0.2">
      <c r="A40" s="2" t="s">
        <v>598</v>
      </c>
      <c r="D40" s="10">
        <v>10.893700000000001</v>
      </c>
    </row>
    <row r="41" spans="1:4" x14ac:dyDescent="0.2">
      <c r="A41" s="2" t="s">
        <v>599</v>
      </c>
      <c r="D41" s="10">
        <v>10.893700000000001</v>
      </c>
    </row>
    <row r="42" spans="1:4" x14ac:dyDescent="0.2">
      <c r="A42" s="2" t="s">
        <v>1554</v>
      </c>
      <c r="D42" s="10">
        <v>10.312099999999999</v>
      </c>
    </row>
    <row r="43" spans="1:4" x14ac:dyDescent="0.2">
      <c r="A43" s="2" t="s">
        <v>600</v>
      </c>
      <c r="D43" s="10">
        <v>10.915699999999999</v>
      </c>
    </row>
    <row r="44" spans="1:4" x14ac:dyDescent="0.2">
      <c r="A44" s="2" t="s">
        <v>601</v>
      </c>
      <c r="D44" s="10">
        <v>10.915699999999999</v>
      </c>
    </row>
    <row r="46" spans="1:4" x14ac:dyDescent="0.2">
      <c r="A46" s="4" t="s">
        <v>106</v>
      </c>
      <c r="D46" s="17" t="s">
        <v>319</v>
      </c>
    </row>
    <row r="47" spans="1:4" x14ac:dyDescent="0.2">
      <c r="A47" s="18" t="s">
        <v>602</v>
      </c>
      <c r="B47" s="19"/>
      <c r="C47" s="110" t="s">
        <v>603</v>
      </c>
      <c r="D47" s="111"/>
    </row>
    <row r="48" spans="1:4" x14ac:dyDescent="0.2">
      <c r="A48" s="112"/>
      <c r="B48" s="113"/>
      <c r="C48" s="20" t="s">
        <v>604</v>
      </c>
      <c r="D48" s="20" t="s">
        <v>605</v>
      </c>
    </row>
    <row r="49" spans="1:5" x14ac:dyDescent="0.2">
      <c r="A49" s="21" t="s">
        <v>1554</v>
      </c>
      <c r="B49" s="22"/>
      <c r="C49" s="23">
        <v>0.28812908000000004</v>
      </c>
      <c r="D49" s="23">
        <v>0.26680896400000004</v>
      </c>
    </row>
    <row r="50" spans="1:5" x14ac:dyDescent="0.2">
      <c r="A50" s="4"/>
      <c r="D50" s="17"/>
    </row>
    <row r="52" spans="1:5" x14ac:dyDescent="0.2">
      <c r="A52" s="4" t="s">
        <v>834</v>
      </c>
      <c r="D52" s="59">
        <v>2.2039670560932625</v>
      </c>
      <c r="E52" s="59" t="s">
        <v>1787</v>
      </c>
    </row>
    <row r="54" spans="1:5" x14ac:dyDescent="0.2">
      <c r="A54" s="4" t="s">
        <v>836</v>
      </c>
      <c r="D54" s="67" t="s">
        <v>107</v>
      </c>
    </row>
  </sheetData>
  <mergeCells count="3">
    <mergeCell ref="A1:F1"/>
    <mergeCell ref="C47:D47"/>
    <mergeCell ref="A48:B4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B6AA-9914-41D3-9FE6-4C26466FC798}">
  <dimension ref="A1:F60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1805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1648</v>
      </c>
      <c r="B8" s="52" t="s">
        <v>1649</v>
      </c>
      <c r="C8" s="52" t="s">
        <v>688</v>
      </c>
      <c r="D8" s="14">
        <v>37</v>
      </c>
      <c r="E8" s="13">
        <v>418.67275999999998</v>
      </c>
      <c r="F8" s="49">
        <v>12.0191665148648</v>
      </c>
    </row>
    <row r="9" spans="1:6" x14ac:dyDescent="0.2">
      <c r="A9" s="52" t="s">
        <v>1743</v>
      </c>
      <c r="B9" s="52" t="s">
        <v>1744</v>
      </c>
      <c r="C9" s="52" t="s">
        <v>712</v>
      </c>
      <c r="D9" s="14">
        <v>37</v>
      </c>
      <c r="E9" s="13">
        <v>380.42808000000002</v>
      </c>
      <c r="F9" s="49">
        <v>10.921246561276901</v>
      </c>
    </row>
    <row r="10" spans="1:6" x14ac:dyDescent="0.2">
      <c r="A10" s="52" t="s">
        <v>1706</v>
      </c>
      <c r="B10" s="52" t="s">
        <v>1707</v>
      </c>
      <c r="C10" s="52" t="s">
        <v>688</v>
      </c>
      <c r="D10" s="14">
        <v>37</v>
      </c>
      <c r="E10" s="13">
        <v>378.01826999999997</v>
      </c>
      <c r="F10" s="49">
        <v>10.852066260033499</v>
      </c>
    </row>
    <row r="11" spans="1:6" x14ac:dyDescent="0.2">
      <c r="A11" s="52" t="s">
        <v>1800</v>
      </c>
      <c r="B11" s="52" t="s">
        <v>1801</v>
      </c>
      <c r="C11" s="52" t="s">
        <v>1208</v>
      </c>
      <c r="D11" s="14">
        <v>36</v>
      </c>
      <c r="E11" s="13">
        <v>373.1814</v>
      </c>
      <c r="F11" s="49">
        <v>10.7132104482994</v>
      </c>
    </row>
    <row r="12" spans="1:6" x14ac:dyDescent="0.2">
      <c r="A12" s="52" t="s">
        <v>870</v>
      </c>
      <c r="B12" s="52" t="s">
        <v>871</v>
      </c>
      <c r="C12" s="52" t="s">
        <v>688</v>
      </c>
      <c r="D12" s="14">
        <v>36</v>
      </c>
      <c r="E12" s="13">
        <v>372.49740000000003</v>
      </c>
      <c r="F12" s="49">
        <v>10.6935743250987</v>
      </c>
    </row>
    <row r="13" spans="1:6" x14ac:dyDescent="0.2">
      <c r="A13" s="52" t="s">
        <v>1633</v>
      </c>
      <c r="B13" s="52" t="s">
        <v>1634</v>
      </c>
      <c r="C13" s="52" t="s">
        <v>1635</v>
      </c>
      <c r="D13" s="14">
        <v>31</v>
      </c>
      <c r="E13" s="13">
        <v>312.87741999999997</v>
      </c>
      <c r="F13" s="49">
        <v>8.9820169091518807</v>
      </c>
    </row>
    <row r="14" spans="1:6" x14ac:dyDescent="0.2">
      <c r="A14" s="52" t="s">
        <v>1662</v>
      </c>
      <c r="B14" s="52" t="s">
        <v>1663</v>
      </c>
      <c r="C14" s="52" t="s">
        <v>688</v>
      </c>
      <c r="D14" s="14">
        <v>27</v>
      </c>
      <c r="E14" s="13">
        <v>280.95794999999998</v>
      </c>
      <c r="F14" s="49">
        <v>8.0656797082405305</v>
      </c>
    </row>
    <row r="15" spans="1:6" x14ac:dyDescent="0.2">
      <c r="A15" s="52" t="s">
        <v>1806</v>
      </c>
      <c r="B15" s="52" t="s">
        <v>1807</v>
      </c>
      <c r="C15" s="52" t="s">
        <v>688</v>
      </c>
      <c r="D15" s="14">
        <v>21</v>
      </c>
      <c r="E15" s="13">
        <v>226.94658000000001</v>
      </c>
      <c r="F15" s="49">
        <v>6.5151330480614096</v>
      </c>
    </row>
    <row r="16" spans="1:6" x14ac:dyDescent="0.2">
      <c r="A16" s="52" t="s">
        <v>1741</v>
      </c>
      <c r="B16" s="52" t="s">
        <v>1742</v>
      </c>
      <c r="C16" s="52" t="s">
        <v>712</v>
      </c>
      <c r="D16" s="14">
        <v>20</v>
      </c>
      <c r="E16" s="13">
        <v>209.5386</v>
      </c>
      <c r="F16" s="49">
        <v>6.0153885452009099</v>
      </c>
    </row>
    <row r="17" spans="1:6" x14ac:dyDescent="0.2">
      <c r="A17" s="52" t="s">
        <v>1704</v>
      </c>
      <c r="B17" s="52" t="s">
        <v>1705</v>
      </c>
      <c r="C17" s="52" t="s">
        <v>1208</v>
      </c>
      <c r="D17" s="14">
        <v>12</v>
      </c>
      <c r="E17" s="13">
        <v>133.76568</v>
      </c>
      <c r="F17" s="49">
        <v>3.8401160416887898</v>
      </c>
    </row>
    <row r="18" spans="1:6" x14ac:dyDescent="0.2">
      <c r="A18" s="52" t="s">
        <v>1682</v>
      </c>
      <c r="B18" s="52" t="s">
        <v>1683</v>
      </c>
      <c r="C18" s="52" t="s">
        <v>688</v>
      </c>
      <c r="D18" s="14">
        <v>8</v>
      </c>
      <c r="E18" s="13">
        <v>91.298320000000004</v>
      </c>
      <c r="F18" s="49">
        <v>2.6209723092742201</v>
      </c>
    </row>
    <row r="19" spans="1:6" x14ac:dyDescent="0.2">
      <c r="A19" s="52" t="s">
        <v>1777</v>
      </c>
      <c r="B19" s="52" t="s">
        <v>1778</v>
      </c>
      <c r="C19" s="52" t="s">
        <v>688</v>
      </c>
      <c r="D19" s="14">
        <v>3</v>
      </c>
      <c r="E19" s="13">
        <v>34.337670000000003</v>
      </c>
      <c r="F19" s="49">
        <v>0.98575836044952503</v>
      </c>
    </row>
    <row r="20" spans="1:6" x14ac:dyDescent="0.2">
      <c r="A20" s="52" t="s">
        <v>1791</v>
      </c>
      <c r="B20" s="52" t="s">
        <v>1792</v>
      </c>
      <c r="C20" s="52" t="s">
        <v>1215</v>
      </c>
      <c r="D20" s="14">
        <v>3</v>
      </c>
      <c r="E20" s="13">
        <v>32.951610000000002</v>
      </c>
      <c r="F20" s="49">
        <v>0.94596765149680095</v>
      </c>
    </row>
    <row r="21" spans="1:6" x14ac:dyDescent="0.2">
      <c r="A21" s="52" t="s">
        <v>1798</v>
      </c>
      <c r="B21" s="52" t="s">
        <v>1799</v>
      </c>
      <c r="C21" s="52" t="s">
        <v>688</v>
      </c>
      <c r="D21" s="14">
        <v>3</v>
      </c>
      <c r="E21" s="13">
        <v>30.839400000000001</v>
      </c>
      <c r="F21" s="49">
        <v>0.88533078631273099</v>
      </c>
    </row>
    <row r="22" spans="1:6" x14ac:dyDescent="0.2">
      <c r="A22" s="52" t="s">
        <v>1808</v>
      </c>
      <c r="B22" s="52" t="s">
        <v>1809</v>
      </c>
      <c r="C22" s="52" t="s">
        <v>1208</v>
      </c>
      <c r="D22" s="14">
        <v>3</v>
      </c>
      <c r="E22" s="13">
        <v>30.41976</v>
      </c>
      <c r="F22" s="49">
        <v>0.87328385248236196</v>
      </c>
    </row>
    <row r="23" spans="1:6" x14ac:dyDescent="0.2">
      <c r="A23" s="52" t="s">
        <v>1781</v>
      </c>
      <c r="B23" s="52" t="s">
        <v>1782</v>
      </c>
      <c r="C23" s="52" t="s">
        <v>688</v>
      </c>
      <c r="D23" s="14">
        <v>2</v>
      </c>
      <c r="E23" s="13">
        <v>22.538</v>
      </c>
      <c r="F23" s="49">
        <v>0.64701600102195</v>
      </c>
    </row>
    <row r="24" spans="1:6" x14ac:dyDescent="0.2">
      <c r="A24" s="41" t="s">
        <v>43</v>
      </c>
      <c r="B24" s="52"/>
      <c r="C24" s="52"/>
      <c r="D24" s="52"/>
      <c r="E24" s="50">
        <f>SUM(E8:E23)</f>
        <v>3329.2688999999996</v>
      </c>
      <c r="F24" s="6">
        <f>SUM(F8:F23)</f>
        <v>95.575927322954414</v>
      </c>
    </row>
    <row r="25" spans="1:6" x14ac:dyDescent="0.2">
      <c r="A25" s="52"/>
      <c r="B25" s="52"/>
      <c r="C25" s="52"/>
      <c r="D25" s="52"/>
      <c r="E25" s="13"/>
      <c r="F25" s="49"/>
    </row>
    <row r="26" spans="1:6" x14ac:dyDescent="0.2">
      <c r="A26" s="41" t="s">
        <v>43</v>
      </c>
      <c r="B26" s="52"/>
      <c r="C26" s="52"/>
      <c r="D26" s="52"/>
      <c r="E26" s="50">
        <v>3329.2688999999996</v>
      </c>
      <c r="F26" s="6">
        <v>95.575927322954414</v>
      </c>
    </row>
    <row r="27" spans="1:6" x14ac:dyDescent="0.2">
      <c r="A27" s="52"/>
      <c r="B27" s="52"/>
      <c r="C27" s="52"/>
      <c r="D27" s="52"/>
      <c r="E27" s="13"/>
      <c r="F27" s="49"/>
    </row>
    <row r="28" spans="1:6" x14ac:dyDescent="0.2">
      <c r="A28" s="41" t="s">
        <v>100</v>
      </c>
      <c r="B28" s="52"/>
      <c r="C28" s="52"/>
      <c r="D28" s="52"/>
      <c r="E28" s="50">
        <v>154.10598519999999</v>
      </c>
      <c r="F28" s="6">
        <v>4.42</v>
      </c>
    </row>
    <row r="29" spans="1:6" x14ac:dyDescent="0.2">
      <c r="A29" s="52"/>
      <c r="B29" s="52"/>
      <c r="C29" s="52"/>
      <c r="D29" s="52"/>
      <c r="E29" s="13"/>
      <c r="F29" s="49"/>
    </row>
    <row r="30" spans="1:6" x14ac:dyDescent="0.2">
      <c r="A30" s="57" t="s">
        <v>101</v>
      </c>
      <c r="B30" s="34"/>
      <c r="C30" s="34"/>
      <c r="D30" s="34"/>
      <c r="E30" s="51">
        <v>3483.3759851999998</v>
      </c>
      <c r="F30" s="8">
        <f xml:space="preserve"> ROUND(SUM(F26:F29),2)</f>
        <v>100</v>
      </c>
    </row>
    <row r="31" spans="1:6" x14ac:dyDescent="0.2">
      <c r="A31" s="4" t="s">
        <v>1964</v>
      </c>
    </row>
    <row r="32" spans="1:6" x14ac:dyDescent="0.2">
      <c r="A32" s="4"/>
    </row>
    <row r="33" spans="1:4" x14ac:dyDescent="0.2">
      <c r="A33" s="4" t="s">
        <v>102</v>
      </c>
    </row>
    <row r="34" spans="1:4" x14ac:dyDescent="0.2">
      <c r="A34" s="4" t="s">
        <v>833</v>
      </c>
    </row>
    <row r="35" spans="1:4" x14ac:dyDescent="0.2">
      <c r="A35" s="4" t="s">
        <v>104</v>
      </c>
      <c r="D35" s="11"/>
    </row>
    <row r="36" spans="1:4" x14ac:dyDescent="0.2">
      <c r="A36" s="2" t="s">
        <v>598</v>
      </c>
      <c r="D36" s="92">
        <v>10.368</v>
      </c>
    </row>
    <row r="37" spans="1:4" x14ac:dyDescent="0.2">
      <c r="A37" s="2" t="s">
        <v>599</v>
      </c>
      <c r="D37" s="92">
        <v>10.368</v>
      </c>
    </row>
    <row r="38" spans="1:4" x14ac:dyDescent="0.2">
      <c r="A38" s="2" t="s">
        <v>1554</v>
      </c>
      <c r="D38" s="92">
        <v>10.2173</v>
      </c>
    </row>
    <row r="39" spans="1:4" x14ac:dyDescent="0.2">
      <c r="A39" s="2" t="s">
        <v>600</v>
      </c>
      <c r="D39" s="92">
        <v>10.3774</v>
      </c>
    </row>
    <row r="40" spans="1:4" x14ac:dyDescent="0.2">
      <c r="A40" s="2" t="s">
        <v>601</v>
      </c>
      <c r="D40" s="92">
        <v>10.3774</v>
      </c>
    </row>
    <row r="41" spans="1:4" x14ac:dyDescent="0.2">
      <c r="A41" s="2" t="s">
        <v>1556</v>
      </c>
      <c r="D41" s="92">
        <v>10.226699999999999</v>
      </c>
    </row>
    <row r="43" spans="1:4" x14ac:dyDescent="0.2">
      <c r="A43" s="4" t="s">
        <v>105</v>
      </c>
    </row>
    <row r="44" spans="1:4" x14ac:dyDescent="0.2">
      <c r="A44" s="2" t="s">
        <v>598</v>
      </c>
      <c r="D44" s="10">
        <v>10.972300000000001</v>
      </c>
    </row>
    <row r="45" spans="1:4" x14ac:dyDescent="0.2">
      <c r="A45" s="2" t="s">
        <v>599</v>
      </c>
      <c r="D45" s="10">
        <v>10.972300000000001</v>
      </c>
    </row>
    <row r="46" spans="1:4" x14ac:dyDescent="0.2">
      <c r="A46" s="2" t="s">
        <v>1554</v>
      </c>
      <c r="D46" s="10">
        <v>10.3865</v>
      </c>
    </row>
    <row r="47" spans="1:4" x14ac:dyDescent="0.2">
      <c r="A47" s="2" t="s">
        <v>600</v>
      </c>
      <c r="D47" s="10">
        <v>10.9961</v>
      </c>
    </row>
    <row r="48" spans="1:4" x14ac:dyDescent="0.2">
      <c r="A48" s="2" t="s">
        <v>601</v>
      </c>
      <c r="D48" s="10">
        <v>10.9961</v>
      </c>
    </row>
    <row r="49" spans="1:5" x14ac:dyDescent="0.2">
      <c r="A49" s="2" t="s">
        <v>1556</v>
      </c>
      <c r="D49" s="10">
        <v>10.409700000000001</v>
      </c>
    </row>
    <row r="51" spans="1:5" x14ac:dyDescent="0.2">
      <c r="A51" s="4" t="s">
        <v>106</v>
      </c>
      <c r="D51" s="17" t="s">
        <v>319</v>
      </c>
    </row>
    <row r="52" spans="1:5" x14ac:dyDescent="0.2">
      <c r="A52" s="18" t="s">
        <v>602</v>
      </c>
      <c r="B52" s="19"/>
      <c r="C52" s="110" t="s">
        <v>603</v>
      </c>
      <c r="D52" s="111"/>
    </row>
    <row r="53" spans="1:5" x14ac:dyDescent="0.2">
      <c r="A53" s="112"/>
      <c r="B53" s="113"/>
      <c r="C53" s="20" t="s">
        <v>604</v>
      </c>
      <c r="D53" s="20" t="s">
        <v>605</v>
      </c>
    </row>
    <row r="54" spans="1:5" x14ac:dyDescent="0.2">
      <c r="A54" s="21" t="s">
        <v>1554</v>
      </c>
      <c r="B54" s="22"/>
      <c r="C54" s="23">
        <v>0.29893392050000001</v>
      </c>
      <c r="D54" s="23">
        <v>0.27681430020000003</v>
      </c>
    </row>
    <row r="55" spans="1:5" x14ac:dyDescent="0.2">
      <c r="A55" s="21" t="s">
        <v>1556</v>
      </c>
      <c r="B55" s="22"/>
      <c r="C55" s="23">
        <v>0.29893392050000001</v>
      </c>
      <c r="D55" s="23">
        <v>0.27681430020000003</v>
      </c>
    </row>
    <row r="56" spans="1:5" x14ac:dyDescent="0.2">
      <c r="A56" s="4"/>
      <c r="D56" s="17"/>
    </row>
    <row r="58" spans="1:5" x14ac:dyDescent="0.2">
      <c r="A58" s="4" t="s">
        <v>834</v>
      </c>
      <c r="D58" s="59">
        <v>2.1820742995299334</v>
      </c>
      <c r="E58" s="59" t="s">
        <v>1787</v>
      </c>
    </row>
    <row r="60" spans="1:5" x14ac:dyDescent="0.2">
      <c r="A60" s="4" t="s">
        <v>836</v>
      </c>
      <c r="D60" s="67" t="s">
        <v>107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F47F-FE87-40AF-87F5-AF55F193A524}">
  <dimension ref="A1:F54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14" t="s">
        <v>1810</v>
      </c>
      <c r="B1" s="114"/>
      <c r="C1" s="114"/>
      <c r="D1" s="114"/>
      <c r="E1" s="114"/>
      <c r="F1" s="114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1648</v>
      </c>
      <c r="B8" s="52" t="s">
        <v>1649</v>
      </c>
      <c r="C8" s="52" t="s">
        <v>688</v>
      </c>
      <c r="D8" s="14">
        <v>47</v>
      </c>
      <c r="E8" s="13">
        <v>531.82755999999995</v>
      </c>
      <c r="F8" s="49">
        <v>12.0286058481817</v>
      </c>
    </row>
    <row r="9" spans="1:6" x14ac:dyDescent="0.2">
      <c r="A9" s="52" t="s">
        <v>1743</v>
      </c>
      <c r="B9" s="52" t="s">
        <v>1744</v>
      </c>
      <c r="C9" s="52" t="s">
        <v>712</v>
      </c>
      <c r="D9" s="14">
        <v>47</v>
      </c>
      <c r="E9" s="13">
        <v>483.24648000000002</v>
      </c>
      <c r="F9" s="49">
        <v>10.929823635768701</v>
      </c>
    </row>
    <row r="10" spans="1:6" x14ac:dyDescent="0.2">
      <c r="A10" s="52" t="s">
        <v>870</v>
      </c>
      <c r="B10" s="52" t="s">
        <v>871</v>
      </c>
      <c r="C10" s="52" t="s">
        <v>688</v>
      </c>
      <c r="D10" s="14">
        <v>46</v>
      </c>
      <c r="E10" s="13">
        <v>475.96890000000002</v>
      </c>
      <c r="F10" s="49">
        <v>10.7652230247199</v>
      </c>
    </row>
    <row r="11" spans="1:6" x14ac:dyDescent="0.2">
      <c r="A11" s="52" t="s">
        <v>1708</v>
      </c>
      <c r="B11" s="52" t="s">
        <v>1709</v>
      </c>
      <c r="C11" s="52" t="s">
        <v>688</v>
      </c>
      <c r="D11" s="14">
        <v>47</v>
      </c>
      <c r="E11" s="13">
        <v>474.55900000000003</v>
      </c>
      <c r="F11" s="49">
        <v>10.7333346220479</v>
      </c>
    </row>
    <row r="12" spans="1:6" x14ac:dyDescent="0.2">
      <c r="A12" s="52" t="s">
        <v>1798</v>
      </c>
      <c r="B12" s="52" t="s">
        <v>1799</v>
      </c>
      <c r="C12" s="52" t="s">
        <v>688</v>
      </c>
      <c r="D12" s="14">
        <v>45</v>
      </c>
      <c r="E12" s="13">
        <v>462.59100000000001</v>
      </c>
      <c r="F12" s="49">
        <v>10.462648471839699</v>
      </c>
    </row>
    <row r="13" spans="1:6" x14ac:dyDescent="0.2">
      <c r="A13" s="52" t="s">
        <v>1704</v>
      </c>
      <c r="B13" s="52" t="s">
        <v>1705</v>
      </c>
      <c r="C13" s="52" t="s">
        <v>1208</v>
      </c>
      <c r="D13" s="14">
        <v>38</v>
      </c>
      <c r="E13" s="13">
        <v>423.59132</v>
      </c>
      <c r="F13" s="49">
        <v>9.5805735020407798</v>
      </c>
    </row>
    <row r="14" spans="1:6" x14ac:dyDescent="0.2">
      <c r="A14" s="52" t="s">
        <v>1811</v>
      </c>
      <c r="B14" s="52" t="s">
        <v>1812</v>
      </c>
      <c r="C14" s="52" t="s">
        <v>688</v>
      </c>
      <c r="D14" s="14">
        <v>35</v>
      </c>
      <c r="E14" s="13">
        <v>359.64915000000002</v>
      </c>
      <c r="F14" s="49">
        <v>8.1343619518017807</v>
      </c>
    </row>
    <row r="15" spans="1:6" x14ac:dyDescent="0.2">
      <c r="A15" s="52" t="s">
        <v>1806</v>
      </c>
      <c r="B15" s="52" t="s">
        <v>1807</v>
      </c>
      <c r="C15" s="52" t="s">
        <v>688</v>
      </c>
      <c r="D15" s="14">
        <v>29</v>
      </c>
      <c r="E15" s="13">
        <v>313.40242000000001</v>
      </c>
      <c r="F15" s="49">
        <v>7.0883768829999996</v>
      </c>
    </row>
    <row r="16" spans="1:6" x14ac:dyDescent="0.2">
      <c r="A16" s="52" t="s">
        <v>1662</v>
      </c>
      <c r="B16" s="52" t="s">
        <v>1663</v>
      </c>
      <c r="C16" s="52" t="s">
        <v>688</v>
      </c>
      <c r="D16" s="14">
        <v>24</v>
      </c>
      <c r="E16" s="13">
        <v>249.74039999999999</v>
      </c>
      <c r="F16" s="49">
        <v>5.6485016232841296</v>
      </c>
    </row>
    <row r="17" spans="1:6" x14ac:dyDescent="0.2">
      <c r="A17" s="52" t="s">
        <v>1688</v>
      </c>
      <c r="B17" s="52" t="s">
        <v>1689</v>
      </c>
      <c r="C17" s="52" t="s">
        <v>953</v>
      </c>
      <c r="D17" s="14">
        <v>22</v>
      </c>
      <c r="E17" s="13">
        <v>236.48746</v>
      </c>
      <c r="F17" s="49">
        <v>5.3487533522663497</v>
      </c>
    </row>
    <row r="18" spans="1:6" x14ac:dyDescent="0.2">
      <c r="A18" s="52" t="s">
        <v>1706</v>
      </c>
      <c r="B18" s="52" t="s">
        <v>1707</v>
      </c>
      <c r="C18" s="52" t="s">
        <v>688</v>
      </c>
      <c r="D18" s="14">
        <v>10</v>
      </c>
      <c r="E18" s="13">
        <v>102.1671</v>
      </c>
      <c r="F18" s="49">
        <v>2.3107636177255699</v>
      </c>
    </row>
    <row r="19" spans="1:6" x14ac:dyDescent="0.2">
      <c r="A19" s="52" t="s">
        <v>1791</v>
      </c>
      <c r="B19" s="52" t="s">
        <v>1792</v>
      </c>
      <c r="C19" s="52" t="s">
        <v>1215</v>
      </c>
      <c r="D19" s="14">
        <v>5</v>
      </c>
      <c r="E19" s="13">
        <v>54.919350000000001</v>
      </c>
      <c r="F19" s="49">
        <v>1.24213798658411</v>
      </c>
    </row>
    <row r="20" spans="1:6" x14ac:dyDescent="0.2">
      <c r="A20" s="52" t="s">
        <v>1800</v>
      </c>
      <c r="B20" s="52" t="s">
        <v>1801</v>
      </c>
      <c r="C20" s="52" t="s">
        <v>1208</v>
      </c>
      <c r="D20" s="14">
        <v>4</v>
      </c>
      <c r="E20" s="13">
        <v>41.464599999999997</v>
      </c>
      <c r="F20" s="49">
        <v>0.93782527940544202</v>
      </c>
    </row>
    <row r="21" spans="1:6" x14ac:dyDescent="0.2">
      <c r="A21" s="52" t="s">
        <v>1781</v>
      </c>
      <c r="B21" s="52" t="s">
        <v>1782</v>
      </c>
      <c r="C21" s="52" t="s">
        <v>688</v>
      </c>
      <c r="D21" s="14">
        <v>1</v>
      </c>
      <c r="E21" s="13">
        <v>11.269</v>
      </c>
      <c r="F21" s="49">
        <v>0.254876522952589</v>
      </c>
    </row>
    <row r="22" spans="1:6" x14ac:dyDescent="0.2">
      <c r="A22" s="52" t="s">
        <v>1644</v>
      </c>
      <c r="B22" s="52" t="s">
        <v>1645</v>
      </c>
      <c r="C22" s="52" t="s">
        <v>1208</v>
      </c>
      <c r="D22" s="14">
        <v>1</v>
      </c>
      <c r="E22" s="13">
        <v>10.13935</v>
      </c>
      <c r="F22" s="49">
        <v>0.22932667255296299</v>
      </c>
    </row>
    <row r="23" spans="1:6" x14ac:dyDescent="0.2">
      <c r="A23" s="41" t="s">
        <v>43</v>
      </c>
      <c r="B23" s="52"/>
      <c r="C23" s="52"/>
      <c r="D23" s="52"/>
      <c r="E23" s="50">
        <f>SUM(E8:E22)</f>
        <v>4231.0230900000006</v>
      </c>
      <c r="F23" s="6">
        <f>SUM(F8:F22)</f>
        <v>95.695132994171601</v>
      </c>
    </row>
    <row r="24" spans="1:6" x14ac:dyDescent="0.2">
      <c r="A24" s="52"/>
      <c r="B24" s="52"/>
      <c r="C24" s="52"/>
      <c r="D24" s="52"/>
      <c r="E24" s="13"/>
      <c r="F24" s="49"/>
    </row>
    <row r="25" spans="1:6" x14ac:dyDescent="0.2">
      <c r="A25" s="41" t="s">
        <v>43</v>
      </c>
      <c r="B25" s="52"/>
      <c r="C25" s="52"/>
      <c r="D25" s="52"/>
      <c r="E25" s="50">
        <v>4231.0230900000006</v>
      </c>
      <c r="F25" s="6">
        <v>95.695132994171601</v>
      </c>
    </row>
    <row r="26" spans="1:6" x14ac:dyDescent="0.2">
      <c r="A26" s="52"/>
      <c r="B26" s="52"/>
      <c r="C26" s="52"/>
      <c r="D26" s="52"/>
      <c r="E26" s="13"/>
      <c r="F26" s="49"/>
    </row>
    <row r="27" spans="1:6" x14ac:dyDescent="0.2">
      <c r="A27" s="41" t="s">
        <v>100</v>
      </c>
      <c r="B27" s="52"/>
      <c r="C27" s="52"/>
      <c r="D27" s="52"/>
      <c r="E27" s="50">
        <v>190.336612</v>
      </c>
      <c r="F27" s="6">
        <v>4.3</v>
      </c>
    </row>
    <row r="28" spans="1:6" x14ac:dyDescent="0.2">
      <c r="A28" s="52"/>
      <c r="B28" s="52"/>
      <c r="C28" s="52"/>
      <c r="D28" s="52"/>
      <c r="E28" s="13"/>
      <c r="F28" s="49"/>
    </row>
    <row r="29" spans="1:6" x14ac:dyDescent="0.2">
      <c r="A29" s="57" t="s">
        <v>101</v>
      </c>
      <c r="B29" s="34"/>
      <c r="C29" s="34"/>
      <c r="D29" s="34"/>
      <c r="E29" s="51">
        <v>4421.3566119999996</v>
      </c>
      <c r="F29" s="8">
        <f xml:space="preserve"> ROUND(SUM(F25:F28),2)</f>
        <v>100</v>
      </c>
    </row>
    <row r="30" spans="1:6" x14ac:dyDescent="0.2">
      <c r="A30" s="4" t="s">
        <v>1964</v>
      </c>
    </row>
    <row r="31" spans="1:6" x14ac:dyDescent="0.2">
      <c r="A31" s="4"/>
    </row>
    <row r="32" spans="1:6" x14ac:dyDescent="0.2">
      <c r="A32" s="4" t="s">
        <v>102</v>
      </c>
    </row>
    <row r="33" spans="1:4" x14ac:dyDescent="0.2">
      <c r="A33" s="4" t="s">
        <v>833</v>
      </c>
    </row>
    <row r="34" spans="1:4" x14ac:dyDescent="0.2">
      <c r="A34" s="4" t="s">
        <v>104</v>
      </c>
      <c r="D34" s="11"/>
    </row>
    <row r="35" spans="1:4" x14ac:dyDescent="0.2">
      <c r="A35" s="2" t="s">
        <v>598</v>
      </c>
      <c r="D35" s="92">
        <v>10.459300000000001</v>
      </c>
    </row>
    <row r="36" spans="1:4" x14ac:dyDescent="0.2">
      <c r="A36" s="2" t="s">
        <v>599</v>
      </c>
      <c r="D36" s="92">
        <v>10.459300000000001</v>
      </c>
    </row>
    <row r="37" spans="1:4" x14ac:dyDescent="0.2">
      <c r="A37" s="2" t="s">
        <v>1554</v>
      </c>
      <c r="D37" s="92">
        <v>10.3316</v>
      </c>
    </row>
    <row r="38" spans="1:4" x14ac:dyDescent="0.2">
      <c r="A38" s="2" t="s">
        <v>600</v>
      </c>
      <c r="D38" s="92">
        <v>10.4724</v>
      </c>
    </row>
    <row r="40" spans="1:4" x14ac:dyDescent="0.2">
      <c r="A40" s="4" t="s">
        <v>105</v>
      </c>
    </row>
    <row r="41" spans="1:4" x14ac:dyDescent="0.2">
      <c r="A41" s="2" t="s">
        <v>598</v>
      </c>
      <c r="D41" s="10">
        <v>11.0671</v>
      </c>
    </row>
    <row r="42" spans="1:4" x14ac:dyDescent="0.2">
      <c r="A42" s="2" t="s">
        <v>599</v>
      </c>
      <c r="D42" s="10">
        <v>11.0671</v>
      </c>
    </row>
    <row r="43" spans="1:4" x14ac:dyDescent="0.2">
      <c r="A43" s="2" t="s">
        <v>1554</v>
      </c>
      <c r="D43" s="10">
        <v>10.4992</v>
      </c>
    </row>
    <row r="44" spans="1:4" x14ac:dyDescent="0.2">
      <c r="A44" s="2" t="s">
        <v>600</v>
      </c>
      <c r="D44" s="10">
        <v>11.0977</v>
      </c>
    </row>
    <row r="46" spans="1:4" x14ac:dyDescent="0.2">
      <c r="A46" s="4" t="s">
        <v>106</v>
      </c>
      <c r="D46" s="17" t="s">
        <v>319</v>
      </c>
    </row>
    <row r="47" spans="1:4" x14ac:dyDescent="0.2">
      <c r="A47" s="18" t="s">
        <v>602</v>
      </c>
      <c r="B47" s="19"/>
      <c r="C47" s="110" t="s">
        <v>603</v>
      </c>
      <c r="D47" s="111"/>
    </row>
    <row r="48" spans="1:4" x14ac:dyDescent="0.2">
      <c r="A48" s="112"/>
      <c r="B48" s="113"/>
      <c r="C48" s="20" t="s">
        <v>604</v>
      </c>
      <c r="D48" s="20" t="s">
        <v>605</v>
      </c>
    </row>
    <row r="49" spans="1:5" x14ac:dyDescent="0.2">
      <c r="A49" s="21" t="s">
        <v>1554</v>
      </c>
      <c r="B49" s="22"/>
      <c r="C49" s="23">
        <v>0.30253553399999999</v>
      </c>
      <c r="D49" s="23">
        <v>0.28014941230000001</v>
      </c>
    </row>
    <row r="50" spans="1:5" x14ac:dyDescent="0.2">
      <c r="A50" s="4"/>
      <c r="D50" s="17"/>
    </row>
    <row r="52" spans="1:5" x14ac:dyDescent="0.2">
      <c r="A52" s="4" t="s">
        <v>834</v>
      </c>
      <c r="D52" s="59">
        <v>2.1785086070218238</v>
      </c>
      <c r="E52" s="59" t="s">
        <v>1787</v>
      </c>
    </row>
    <row r="54" spans="1:5" x14ac:dyDescent="0.2">
      <c r="A54" s="4" t="s">
        <v>836</v>
      </c>
      <c r="D54" s="67" t="s">
        <v>107</v>
      </c>
    </row>
  </sheetData>
  <mergeCells count="3">
    <mergeCell ref="A1:F1"/>
    <mergeCell ref="C47:D47"/>
    <mergeCell ref="A48:B4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EDDA-6838-4A7B-8907-399163EC4538}">
  <dimension ref="A1:F58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5.85546875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1813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1704</v>
      </c>
      <c r="B8" s="52" t="s">
        <v>1705</v>
      </c>
      <c r="C8" s="52" t="s">
        <v>1208</v>
      </c>
      <c r="D8" s="14">
        <v>26</v>
      </c>
      <c r="E8" s="13">
        <v>289.82564000000002</v>
      </c>
      <c r="F8" s="49">
        <v>11.6188831856454</v>
      </c>
    </row>
    <row r="9" spans="1:6" x14ac:dyDescent="0.2">
      <c r="A9" s="52" t="s">
        <v>1708</v>
      </c>
      <c r="B9" s="52" t="s">
        <v>1709</v>
      </c>
      <c r="C9" s="52" t="s">
        <v>688</v>
      </c>
      <c r="D9" s="14">
        <v>28</v>
      </c>
      <c r="E9" s="13">
        <v>282.71600000000001</v>
      </c>
      <c r="F9" s="49">
        <v>11.333863279704801</v>
      </c>
    </row>
    <row r="10" spans="1:6" x14ac:dyDescent="0.2">
      <c r="A10" s="52" t="s">
        <v>1743</v>
      </c>
      <c r="B10" s="52" t="s">
        <v>1744</v>
      </c>
      <c r="C10" s="52" t="s">
        <v>712</v>
      </c>
      <c r="D10" s="14">
        <v>27</v>
      </c>
      <c r="E10" s="13">
        <v>277.60968000000003</v>
      </c>
      <c r="F10" s="49">
        <v>11.129154905426599</v>
      </c>
    </row>
    <row r="11" spans="1:6" x14ac:dyDescent="0.2">
      <c r="A11" s="52" t="s">
        <v>1741</v>
      </c>
      <c r="B11" s="52" t="s">
        <v>1742</v>
      </c>
      <c r="C11" s="52" t="s">
        <v>712</v>
      </c>
      <c r="D11" s="14">
        <v>26</v>
      </c>
      <c r="E11" s="13">
        <v>272.40017999999998</v>
      </c>
      <c r="F11" s="49">
        <v>10.9203101256631</v>
      </c>
    </row>
    <row r="12" spans="1:6" x14ac:dyDescent="0.2">
      <c r="A12" s="52" t="s">
        <v>1662</v>
      </c>
      <c r="B12" s="52" t="s">
        <v>1663</v>
      </c>
      <c r="C12" s="52" t="s">
        <v>688</v>
      </c>
      <c r="D12" s="14">
        <v>26</v>
      </c>
      <c r="E12" s="13">
        <v>270.5521</v>
      </c>
      <c r="F12" s="49">
        <v>10.846222044160999</v>
      </c>
    </row>
    <row r="13" spans="1:6" x14ac:dyDescent="0.2">
      <c r="A13" s="52" t="s">
        <v>870</v>
      </c>
      <c r="B13" s="52" t="s">
        <v>871</v>
      </c>
      <c r="C13" s="52" t="s">
        <v>688</v>
      </c>
      <c r="D13" s="14">
        <v>26</v>
      </c>
      <c r="E13" s="13">
        <v>269.02589999999998</v>
      </c>
      <c r="F13" s="49">
        <v>10.785037880061701</v>
      </c>
    </row>
    <row r="14" spans="1:6" x14ac:dyDescent="0.2">
      <c r="A14" s="52" t="s">
        <v>1808</v>
      </c>
      <c r="B14" s="52" t="s">
        <v>1809</v>
      </c>
      <c r="C14" s="52" t="s">
        <v>1208</v>
      </c>
      <c r="D14" s="14">
        <v>26</v>
      </c>
      <c r="E14" s="13">
        <v>263.63792000000001</v>
      </c>
      <c r="F14" s="49">
        <v>10.5690379767178</v>
      </c>
    </row>
    <row r="15" spans="1:6" x14ac:dyDescent="0.2">
      <c r="A15" s="52" t="s">
        <v>1644</v>
      </c>
      <c r="B15" s="52" t="s">
        <v>1645</v>
      </c>
      <c r="C15" s="52" t="s">
        <v>1208</v>
      </c>
      <c r="D15" s="14">
        <v>24</v>
      </c>
      <c r="E15" s="13">
        <v>243.34440000000001</v>
      </c>
      <c r="F15" s="49">
        <v>9.7554866349332396</v>
      </c>
    </row>
    <row r="16" spans="1:6" x14ac:dyDescent="0.2">
      <c r="A16" s="52" t="s">
        <v>1806</v>
      </c>
      <c r="B16" s="52" t="s">
        <v>1807</v>
      </c>
      <c r="C16" s="52" t="s">
        <v>688</v>
      </c>
      <c r="D16" s="14">
        <v>10</v>
      </c>
      <c r="E16" s="13">
        <v>108.0698</v>
      </c>
      <c r="F16" s="49">
        <v>4.3324337422184698</v>
      </c>
    </row>
    <row r="17" spans="1:6" x14ac:dyDescent="0.2">
      <c r="A17" s="52" t="s">
        <v>1781</v>
      </c>
      <c r="B17" s="52" t="s">
        <v>1782</v>
      </c>
      <c r="C17" s="52" t="s">
        <v>688</v>
      </c>
      <c r="D17" s="14">
        <v>2</v>
      </c>
      <c r="E17" s="13">
        <v>22.538</v>
      </c>
      <c r="F17" s="49">
        <v>0.90353078919476004</v>
      </c>
    </row>
    <row r="18" spans="1:6" x14ac:dyDescent="0.2">
      <c r="A18" s="52" t="s">
        <v>1800</v>
      </c>
      <c r="B18" s="52" t="s">
        <v>1801</v>
      </c>
      <c r="C18" s="52" t="s">
        <v>1208</v>
      </c>
      <c r="D18" s="14">
        <v>2</v>
      </c>
      <c r="E18" s="13">
        <v>20.732299999999999</v>
      </c>
      <c r="F18" s="49">
        <v>0.83114168874001804</v>
      </c>
    </row>
    <row r="19" spans="1:6" x14ac:dyDescent="0.2">
      <c r="A19" s="52" t="s">
        <v>1686</v>
      </c>
      <c r="B19" s="52" t="s">
        <v>1687</v>
      </c>
      <c r="C19" s="52" t="s">
        <v>688</v>
      </c>
      <c r="D19" s="14">
        <v>1</v>
      </c>
      <c r="E19" s="13">
        <v>10.34375</v>
      </c>
      <c r="F19" s="49">
        <v>0.41467284589286102</v>
      </c>
    </row>
    <row r="20" spans="1:6" x14ac:dyDescent="0.2">
      <c r="A20" s="41" t="s">
        <v>43</v>
      </c>
      <c r="B20" s="52"/>
      <c r="C20" s="52"/>
      <c r="D20" s="52"/>
      <c r="E20" s="50">
        <f>SUM(E8:E19)</f>
        <v>2330.7956700000004</v>
      </c>
      <c r="F20" s="6">
        <f>SUM(F8:F19)</f>
        <v>93.439775098359746</v>
      </c>
    </row>
    <row r="21" spans="1:6" x14ac:dyDescent="0.2">
      <c r="A21" s="52"/>
      <c r="B21" s="52"/>
      <c r="C21" s="52"/>
      <c r="D21" s="52"/>
      <c r="E21" s="13"/>
      <c r="F21" s="49"/>
    </row>
    <row r="22" spans="1:6" x14ac:dyDescent="0.2">
      <c r="A22" s="41" t="s">
        <v>43</v>
      </c>
      <c r="B22" s="52"/>
      <c r="C22" s="52"/>
      <c r="D22" s="52"/>
      <c r="E22" s="50">
        <v>2330.7956700000004</v>
      </c>
      <c r="F22" s="6">
        <v>93.439775098359746</v>
      </c>
    </row>
    <row r="23" spans="1:6" x14ac:dyDescent="0.2">
      <c r="A23" s="52"/>
      <c r="B23" s="52"/>
      <c r="C23" s="52"/>
      <c r="D23" s="52"/>
      <c r="E23" s="13"/>
      <c r="F23" s="49"/>
    </row>
    <row r="24" spans="1:6" x14ac:dyDescent="0.2">
      <c r="A24" s="41" t="s">
        <v>100</v>
      </c>
      <c r="B24" s="52"/>
      <c r="C24" s="52"/>
      <c r="D24" s="52"/>
      <c r="E24" s="50">
        <v>163.63630140000001</v>
      </c>
      <c r="F24" s="6">
        <v>6.56</v>
      </c>
    </row>
    <row r="25" spans="1:6" x14ac:dyDescent="0.2">
      <c r="A25" s="52"/>
      <c r="B25" s="52"/>
      <c r="C25" s="52"/>
      <c r="D25" s="52"/>
      <c r="E25" s="13"/>
      <c r="F25" s="49"/>
    </row>
    <row r="26" spans="1:6" x14ac:dyDescent="0.2">
      <c r="A26" s="57" t="s">
        <v>101</v>
      </c>
      <c r="B26" s="34"/>
      <c r="C26" s="34"/>
      <c r="D26" s="34"/>
      <c r="E26" s="51">
        <v>2494.4363014</v>
      </c>
      <c r="F26" s="8">
        <f xml:space="preserve"> ROUND(SUM(F22:F25),2)</f>
        <v>100</v>
      </c>
    </row>
    <row r="27" spans="1:6" x14ac:dyDescent="0.2">
      <c r="A27" s="4" t="s">
        <v>1964</v>
      </c>
    </row>
    <row r="28" spans="1:6" x14ac:dyDescent="0.2">
      <c r="A28" s="4"/>
    </row>
    <row r="29" spans="1:6" x14ac:dyDescent="0.2">
      <c r="A29" s="4" t="s">
        <v>102</v>
      </c>
    </row>
    <row r="30" spans="1:6" x14ac:dyDescent="0.2">
      <c r="A30" s="4" t="s">
        <v>833</v>
      </c>
    </row>
    <row r="31" spans="1:6" x14ac:dyDescent="0.2">
      <c r="A31" s="4" t="s">
        <v>104</v>
      </c>
      <c r="D31" s="11"/>
    </row>
    <row r="32" spans="1:6" x14ac:dyDescent="0.2">
      <c r="A32" s="2" t="s">
        <v>598</v>
      </c>
      <c r="D32" s="92">
        <v>10.588699999999999</v>
      </c>
    </row>
    <row r="33" spans="1:4" x14ac:dyDescent="0.2">
      <c r="A33" s="2" t="s">
        <v>599</v>
      </c>
      <c r="D33" s="92">
        <v>10.588699999999999</v>
      </c>
    </row>
    <row r="34" spans="1:4" x14ac:dyDescent="0.2">
      <c r="A34" s="2" t="s">
        <v>1554</v>
      </c>
      <c r="D34" s="92">
        <v>10.2248</v>
      </c>
    </row>
    <row r="35" spans="1:4" x14ac:dyDescent="0.2">
      <c r="A35" s="2" t="s">
        <v>600</v>
      </c>
      <c r="D35" s="92">
        <v>10.6045</v>
      </c>
    </row>
    <row r="36" spans="1:4" x14ac:dyDescent="0.2">
      <c r="A36" s="2" t="s">
        <v>601</v>
      </c>
      <c r="D36" s="92">
        <v>10.6045</v>
      </c>
    </row>
    <row r="37" spans="1:4" x14ac:dyDescent="0.2">
      <c r="A37" s="2" t="s">
        <v>1556</v>
      </c>
      <c r="D37" s="92">
        <v>10.240600000000001</v>
      </c>
    </row>
    <row r="39" spans="1:4" x14ac:dyDescent="0.2">
      <c r="A39" s="4" t="s">
        <v>105</v>
      </c>
    </row>
    <row r="40" spans="1:4" x14ac:dyDescent="0.2">
      <c r="A40" s="2" t="s">
        <v>598</v>
      </c>
      <c r="D40" s="10">
        <v>11.1959</v>
      </c>
    </row>
    <row r="41" spans="1:4" x14ac:dyDescent="0.2">
      <c r="A41" s="2" t="s">
        <v>599</v>
      </c>
      <c r="D41" s="10">
        <v>10.4026</v>
      </c>
    </row>
    <row r="42" spans="1:4" x14ac:dyDescent="0.2">
      <c r="A42" s="2" t="s">
        <v>1554</v>
      </c>
      <c r="D42" s="10">
        <v>10.394299999999999</v>
      </c>
    </row>
    <row r="43" spans="1:4" x14ac:dyDescent="0.2">
      <c r="A43" s="2" t="s">
        <v>600</v>
      </c>
      <c r="D43" s="10">
        <v>11.2296</v>
      </c>
    </row>
    <row r="44" spans="1:4" x14ac:dyDescent="0.2">
      <c r="A44" s="2" t="s">
        <v>601</v>
      </c>
      <c r="D44" s="10">
        <v>10.436199999999999</v>
      </c>
    </row>
    <row r="45" spans="1:4" x14ac:dyDescent="0.2">
      <c r="A45" s="2" t="s">
        <v>1556</v>
      </c>
      <c r="D45" s="10">
        <v>10.427099999999999</v>
      </c>
    </row>
    <row r="47" spans="1:4" x14ac:dyDescent="0.2">
      <c r="A47" s="4" t="s">
        <v>106</v>
      </c>
      <c r="D47" s="17" t="s">
        <v>319</v>
      </c>
    </row>
    <row r="48" spans="1:4" x14ac:dyDescent="0.2">
      <c r="A48" s="18" t="s">
        <v>602</v>
      </c>
      <c r="B48" s="19"/>
      <c r="C48" s="110" t="s">
        <v>603</v>
      </c>
      <c r="D48" s="111"/>
    </row>
    <row r="49" spans="1:5" x14ac:dyDescent="0.2">
      <c r="A49" s="112"/>
      <c r="B49" s="113"/>
      <c r="C49" s="20" t="s">
        <v>604</v>
      </c>
      <c r="D49" s="20" t="s">
        <v>605</v>
      </c>
    </row>
    <row r="50" spans="1:5" x14ac:dyDescent="0.2">
      <c r="A50" s="21" t="s">
        <v>599</v>
      </c>
      <c r="B50" s="22"/>
      <c r="C50" s="23">
        <v>0.56905493299999999</v>
      </c>
      <c r="D50" s="23">
        <v>0.52694770390000001</v>
      </c>
    </row>
    <row r="51" spans="1:5" x14ac:dyDescent="0.2">
      <c r="A51" s="21" t="s">
        <v>1554</v>
      </c>
      <c r="B51" s="22"/>
      <c r="C51" s="23">
        <v>0.29533230700000002</v>
      </c>
      <c r="D51" s="23">
        <v>0.27347918810000005</v>
      </c>
    </row>
    <row r="52" spans="1:5" x14ac:dyDescent="0.2">
      <c r="A52" s="21" t="s">
        <v>601</v>
      </c>
      <c r="B52" s="22"/>
      <c r="C52" s="23">
        <v>0.56905493299999999</v>
      </c>
      <c r="D52" s="23">
        <v>0.52694770390000001</v>
      </c>
    </row>
    <row r="53" spans="1:5" x14ac:dyDescent="0.2">
      <c r="A53" s="21" t="s">
        <v>1556</v>
      </c>
      <c r="B53" s="22"/>
      <c r="C53" s="23">
        <v>0.29533230700000002</v>
      </c>
      <c r="D53" s="23">
        <v>0.27347918810000005</v>
      </c>
    </row>
    <row r="54" spans="1:5" x14ac:dyDescent="0.2">
      <c r="A54" s="4"/>
      <c r="D54" s="17"/>
    </row>
    <row r="56" spans="1:5" x14ac:dyDescent="0.2">
      <c r="A56" s="4" t="s">
        <v>834</v>
      </c>
      <c r="D56" s="59">
        <v>2.1074523329397139</v>
      </c>
      <c r="E56" s="59" t="s">
        <v>1787</v>
      </c>
    </row>
    <row r="58" spans="1:5" x14ac:dyDescent="0.2">
      <c r="A58" s="4" t="s">
        <v>836</v>
      </c>
      <c r="D58" s="67" t="s">
        <v>107</v>
      </c>
    </row>
  </sheetData>
  <mergeCells count="3">
    <mergeCell ref="A1:F1"/>
    <mergeCell ref="C48:D48"/>
    <mergeCell ref="A49:B4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8E81-61DD-4B5F-AE38-E5A67405136B}">
  <dimension ref="A1:F64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1814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1704</v>
      </c>
      <c r="B8" s="52" t="s">
        <v>1705</v>
      </c>
      <c r="C8" s="52" t="s">
        <v>1208</v>
      </c>
      <c r="D8" s="14">
        <v>50</v>
      </c>
      <c r="E8" s="13">
        <v>557.35699999999997</v>
      </c>
      <c r="F8" s="49">
        <v>11.680810667045799</v>
      </c>
    </row>
    <row r="9" spans="1:6" x14ac:dyDescent="0.2">
      <c r="A9" s="52" t="s">
        <v>1662</v>
      </c>
      <c r="B9" s="52" t="s">
        <v>1663</v>
      </c>
      <c r="C9" s="52" t="s">
        <v>688</v>
      </c>
      <c r="D9" s="14">
        <v>50</v>
      </c>
      <c r="E9" s="13">
        <v>520.29250000000002</v>
      </c>
      <c r="F9" s="49">
        <v>10.904031319215299</v>
      </c>
    </row>
    <row r="10" spans="1:6" x14ac:dyDescent="0.2">
      <c r="A10" s="52" t="s">
        <v>1688</v>
      </c>
      <c r="B10" s="52" t="s">
        <v>1689</v>
      </c>
      <c r="C10" s="52" t="s">
        <v>953</v>
      </c>
      <c r="D10" s="14">
        <v>48</v>
      </c>
      <c r="E10" s="13">
        <v>515.97263999999996</v>
      </c>
      <c r="F10" s="49">
        <v>10.813497842883001</v>
      </c>
    </row>
    <row r="11" spans="1:6" x14ac:dyDescent="0.2">
      <c r="A11" s="52" t="s">
        <v>1743</v>
      </c>
      <c r="B11" s="52" t="s">
        <v>1744</v>
      </c>
      <c r="C11" s="52" t="s">
        <v>712</v>
      </c>
      <c r="D11" s="14">
        <v>50</v>
      </c>
      <c r="E11" s="13">
        <v>514.09199999999998</v>
      </c>
      <c r="F11" s="49">
        <v>10.7740843255631</v>
      </c>
    </row>
    <row r="12" spans="1:6" x14ac:dyDescent="0.2">
      <c r="A12" s="52" t="s">
        <v>1815</v>
      </c>
      <c r="B12" s="52" t="s">
        <v>1816</v>
      </c>
      <c r="C12" s="52" t="s">
        <v>688</v>
      </c>
      <c r="D12" s="14">
        <v>50</v>
      </c>
      <c r="E12" s="13">
        <v>508.52300000000002</v>
      </c>
      <c r="F12" s="49">
        <v>10.6573719946787</v>
      </c>
    </row>
    <row r="13" spans="1:6" x14ac:dyDescent="0.2">
      <c r="A13" s="52" t="s">
        <v>870</v>
      </c>
      <c r="B13" s="52" t="s">
        <v>871</v>
      </c>
      <c r="C13" s="52" t="s">
        <v>688</v>
      </c>
      <c r="D13" s="14">
        <v>49</v>
      </c>
      <c r="E13" s="13">
        <v>507.01035000000002</v>
      </c>
      <c r="F13" s="49">
        <v>10.6256706286682</v>
      </c>
    </row>
    <row r="14" spans="1:6" x14ac:dyDescent="0.2">
      <c r="A14" s="52" t="s">
        <v>1817</v>
      </c>
      <c r="B14" s="52" t="s">
        <v>1818</v>
      </c>
      <c r="C14" s="52" t="s">
        <v>688</v>
      </c>
      <c r="D14" s="14">
        <v>50</v>
      </c>
      <c r="E14" s="13">
        <v>505.07799999999997</v>
      </c>
      <c r="F14" s="49">
        <v>10.585173398899</v>
      </c>
    </row>
    <row r="15" spans="1:6" x14ac:dyDescent="0.2">
      <c r="A15" s="52" t="s">
        <v>1808</v>
      </c>
      <c r="B15" s="52" t="s">
        <v>1809</v>
      </c>
      <c r="C15" s="52" t="s">
        <v>1208</v>
      </c>
      <c r="D15" s="14">
        <v>15</v>
      </c>
      <c r="E15" s="13">
        <v>152.09880000000001</v>
      </c>
      <c r="F15" s="49">
        <v>3.1876109665526</v>
      </c>
    </row>
    <row r="16" spans="1:6" x14ac:dyDescent="0.2">
      <c r="A16" s="52" t="s">
        <v>1800</v>
      </c>
      <c r="B16" s="52" t="s">
        <v>1801</v>
      </c>
      <c r="C16" s="52" t="s">
        <v>1208</v>
      </c>
      <c r="D16" s="14">
        <v>6</v>
      </c>
      <c r="E16" s="13">
        <v>62.196899999999999</v>
      </c>
      <c r="F16" s="49">
        <v>1.3034916812333499</v>
      </c>
    </row>
    <row r="17" spans="1:6" x14ac:dyDescent="0.2">
      <c r="A17" s="52" t="s">
        <v>1741</v>
      </c>
      <c r="B17" s="52" t="s">
        <v>1742</v>
      </c>
      <c r="C17" s="52" t="s">
        <v>712</v>
      </c>
      <c r="D17" s="14">
        <v>4</v>
      </c>
      <c r="E17" s="13">
        <v>41.907719999999998</v>
      </c>
      <c r="F17" s="49">
        <v>0.87828114262055901</v>
      </c>
    </row>
    <row r="18" spans="1:6" x14ac:dyDescent="0.2">
      <c r="A18" s="52" t="s">
        <v>1686</v>
      </c>
      <c r="B18" s="52" t="s">
        <v>1687</v>
      </c>
      <c r="C18" s="52" t="s">
        <v>688</v>
      </c>
      <c r="D18" s="14">
        <v>4</v>
      </c>
      <c r="E18" s="13">
        <v>41.375</v>
      </c>
      <c r="F18" s="49">
        <v>0.86711666194022596</v>
      </c>
    </row>
    <row r="19" spans="1:6" x14ac:dyDescent="0.2">
      <c r="A19" s="52" t="s">
        <v>1777</v>
      </c>
      <c r="B19" s="52" t="s">
        <v>1778</v>
      </c>
      <c r="C19" s="52" t="s">
        <v>688</v>
      </c>
      <c r="D19" s="14">
        <v>3</v>
      </c>
      <c r="E19" s="13">
        <v>34.337670000000003</v>
      </c>
      <c r="F19" s="49">
        <v>0.71963180155178297</v>
      </c>
    </row>
    <row r="20" spans="1:6" x14ac:dyDescent="0.2">
      <c r="A20" s="52" t="s">
        <v>1781</v>
      </c>
      <c r="B20" s="52" t="s">
        <v>1782</v>
      </c>
      <c r="C20" s="52" t="s">
        <v>688</v>
      </c>
      <c r="D20" s="14">
        <v>3</v>
      </c>
      <c r="E20" s="13">
        <v>33.807000000000002</v>
      </c>
      <c r="F20" s="49">
        <v>0.70851028375137703</v>
      </c>
    </row>
    <row r="21" spans="1:6" x14ac:dyDescent="0.2">
      <c r="A21" s="52" t="s">
        <v>1791</v>
      </c>
      <c r="B21" s="52" t="s">
        <v>1792</v>
      </c>
      <c r="C21" s="52" t="s">
        <v>1215</v>
      </c>
      <c r="D21" s="14">
        <v>3</v>
      </c>
      <c r="E21" s="13">
        <v>32.951610000000002</v>
      </c>
      <c r="F21" s="49">
        <v>0.69058344577054198</v>
      </c>
    </row>
    <row r="22" spans="1:6" x14ac:dyDescent="0.2">
      <c r="A22" s="52" t="s">
        <v>1650</v>
      </c>
      <c r="B22" s="52" t="s">
        <v>1651</v>
      </c>
      <c r="C22" s="52" t="s">
        <v>712</v>
      </c>
      <c r="D22" s="14">
        <v>2</v>
      </c>
      <c r="E22" s="13">
        <v>20.726859999999999</v>
      </c>
      <c r="F22" s="49">
        <v>0.43438321826470999</v>
      </c>
    </row>
    <row r="23" spans="1:6" x14ac:dyDescent="0.2">
      <c r="A23" s="41" t="s">
        <v>43</v>
      </c>
      <c r="B23" s="52"/>
      <c r="C23" s="52"/>
      <c r="D23" s="14"/>
      <c r="E23" s="50">
        <f>SUM(E8:E22)</f>
        <v>4047.7270500000004</v>
      </c>
      <c r="F23" s="6">
        <f>SUM(F8:F22)</f>
        <v>84.830249378638271</v>
      </c>
    </row>
    <row r="24" spans="1:6" x14ac:dyDescent="0.2">
      <c r="A24" s="52"/>
      <c r="B24" s="52"/>
      <c r="C24" s="52"/>
      <c r="D24" s="14"/>
      <c r="E24" s="13"/>
      <c r="F24" s="49"/>
    </row>
    <row r="25" spans="1:6" x14ac:dyDescent="0.2">
      <c r="A25" s="41" t="s">
        <v>772</v>
      </c>
      <c r="B25" s="52"/>
      <c r="C25" s="52"/>
      <c r="D25" s="14"/>
      <c r="E25" s="13"/>
      <c r="F25" s="49"/>
    </row>
    <row r="26" spans="1:6" x14ac:dyDescent="0.2">
      <c r="A26" s="52" t="s">
        <v>1819</v>
      </c>
      <c r="B26" s="52" t="s">
        <v>1820</v>
      </c>
      <c r="C26" s="52" t="s">
        <v>688</v>
      </c>
      <c r="D26" s="14">
        <v>50</v>
      </c>
      <c r="E26" s="13">
        <v>500.25299999999999</v>
      </c>
      <c r="F26" s="49">
        <v>10.4840534498026</v>
      </c>
    </row>
    <row r="27" spans="1:6" x14ac:dyDescent="0.2">
      <c r="A27" s="41" t="s">
        <v>43</v>
      </c>
      <c r="B27" s="52"/>
      <c r="C27" s="52"/>
      <c r="D27" s="14"/>
      <c r="E27" s="50">
        <f>SUM(E26:E26)</f>
        <v>500.25299999999999</v>
      </c>
      <c r="F27" s="6">
        <f>SUM(F26:F26)</f>
        <v>10.4840534498026</v>
      </c>
    </row>
    <row r="28" spans="1:6" x14ac:dyDescent="0.2">
      <c r="A28" s="52"/>
      <c r="B28" s="52"/>
      <c r="C28" s="52"/>
      <c r="D28" s="14"/>
      <c r="E28" s="13"/>
      <c r="F28" s="49"/>
    </row>
    <row r="29" spans="1:6" x14ac:dyDescent="0.2">
      <c r="A29" s="41" t="s">
        <v>43</v>
      </c>
      <c r="B29" s="52"/>
      <c r="C29" s="52"/>
      <c r="D29" s="52"/>
      <c r="E29" s="50">
        <f>E23+E27</f>
        <v>4547.9800500000001</v>
      </c>
      <c r="F29" s="6">
        <f>F23+F27</f>
        <v>95.314302828440873</v>
      </c>
    </row>
    <row r="30" spans="1:6" x14ac:dyDescent="0.2">
      <c r="A30" s="52"/>
      <c r="B30" s="52"/>
      <c r="C30" s="52"/>
      <c r="D30" s="52"/>
      <c r="E30" s="13"/>
      <c r="F30" s="49"/>
    </row>
    <row r="31" spans="1:6" x14ac:dyDescent="0.2">
      <c r="A31" s="41" t="s">
        <v>100</v>
      </c>
      <c r="B31" s="52"/>
      <c r="C31" s="52"/>
      <c r="D31" s="52"/>
      <c r="E31" s="50">
        <v>223.58094629999999</v>
      </c>
      <c r="F31" s="6">
        <v>4.6900000000000004</v>
      </c>
    </row>
    <row r="32" spans="1:6" x14ac:dyDescent="0.2">
      <c r="A32" s="52"/>
      <c r="B32" s="52"/>
      <c r="C32" s="52"/>
      <c r="D32" s="52"/>
      <c r="E32" s="13"/>
      <c r="F32" s="49"/>
    </row>
    <row r="33" spans="1:6" x14ac:dyDescent="0.2">
      <c r="A33" s="57" t="s">
        <v>101</v>
      </c>
      <c r="B33" s="34"/>
      <c r="C33" s="34"/>
      <c r="D33" s="34"/>
      <c r="E33" s="51">
        <f>E29+E31</f>
        <v>4771.5609962999997</v>
      </c>
      <c r="F33" s="8">
        <f>F29+F31</f>
        <v>100.00430282844087</v>
      </c>
    </row>
    <row r="34" spans="1:6" x14ac:dyDescent="0.2">
      <c r="A34" s="4" t="s">
        <v>1964</v>
      </c>
    </row>
    <row r="35" spans="1:6" x14ac:dyDescent="0.2">
      <c r="A35" s="4"/>
    </row>
    <row r="36" spans="1:6" x14ac:dyDescent="0.2">
      <c r="A36" s="4" t="s">
        <v>102</v>
      </c>
    </row>
    <row r="37" spans="1:6" x14ac:dyDescent="0.2">
      <c r="A37" s="4" t="s">
        <v>833</v>
      </c>
    </row>
    <row r="38" spans="1:6" x14ac:dyDescent="0.2">
      <c r="A38" s="4" t="s">
        <v>104</v>
      </c>
      <c r="D38" s="11"/>
    </row>
    <row r="39" spans="1:6" x14ac:dyDescent="0.2">
      <c r="A39" s="2" t="s">
        <v>598</v>
      </c>
      <c r="D39" s="92">
        <v>10.5822</v>
      </c>
    </row>
    <row r="40" spans="1:6" x14ac:dyDescent="0.2">
      <c r="A40" s="2" t="s">
        <v>599</v>
      </c>
      <c r="D40" s="92">
        <v>10.5822</v>
      </c>
    </row>
    <row r="41" spans="1:6" x14ac:dyDescent="0.2">
      <c r="A41" s="2" t="s">
        <v>1554</v>
      </c>
      <c r="D41" s="92">
        <v>10.2179</v>
      </c>
    </row>
    <row r="42" spans="1:6" x14ac:dyDescent="0.2">
      <c r="A42" s="2" t="s">
        <v>600</v>
      </c>
      <c r="D42" s="92">
        <v>10.6426</v>
      </c>
    </row>
    <row r="43" spans="1:6" x14ac:dyDescent="0.2">
      <c r="A43" s="2" t="s">
        <v>601</v>
      </c>
      <c r="D43" s="92">
        <v>10.6426</v>
      </c>
    </row>
    <row r="44" spans="1:6" x14ac:dyDescent="0.2">
      <c r="A44" s="2" t="s">
        <v>1556</v>
      </c>
      <c r="D44" s="92">
        <v>10.2782</v>
      </c>
    </row>
    <row r="46" spans="1:6" x14ac:dyDescent="0.2">
      <c r="A46" s="4" t="s">
        <v>105</v>
      </c>
    </row>
    <row r="47" spans="1:6" x14ac:dyDescent="0.2">
      <c r="A47" s="2" t="s">
        <v>598</v>
      </c>
      <c r="D47" s="10">
        <v>11.168100000000001</v>
      </c>
    </row>
    <row r="48" spans="1:6" x14ac:dyDescent="0.2">
      <c r="A48" s="2" t="s">
        <v>599</v>
      </c>
      <c r="D48" s="10">
        <v>10.405200000000001</v>
      </c>
    </row>
    <row r="49" spans="1:5" x14ac:dyDescent="0.2">
      <c r="A49" s="2" t="s">
        <v>1554</v>
      </c>
      <c r="D49" s="10">
        <v>10.3924</v>
      </c>
    </row>
    <row r="50" spans="1:5" x14ac:dyDescent="0.2">
      <c r="A50" s="2" t="s">
        <v>600</v>
      </c>
      <c r="D50" s="10">
        <v>11.2828</v>
      </c>
    </row>
    <row r="51" spans="1:5" x14ac:dyDescent="0.2">
      <c r="A51" s="2" t="s">
        <v>601</v>
      </c>
      <c r="D51" s="10">
        <v>10.4192</v>
      </c>
    </row>
    <row r="52" spans="1:5" x14ac:dyDescent="0.2">
      <c r="A52" s="2" t="s">
        <v>1556</v>
      </c>
      <c r="D52" s="10">
        <v>10.4147</v>
      </c>
    </row>
    <row r="54" spans="1:5" x14ac:dyDescent="0.2">
      <c r="A54" s="4" t="s">
        <v>106</v>
      </c>
      <c r="D54" s="17" t="s">
        <v>319</v>
      </c>
    </row>
    <row r="55" spans="1:5" x14ac:dyDescent="0.2">
      <c r="A55" s="18" t="s">
        <v>602</v>
      </c>
      <c r="B55" s="19"/>
      <c r="C55" s="110" t="s">
        <v>603</v>
      </c>
      <c r="D55" s="111"/>
    </row>
    <row r="56" spans="1:5" x14ac:dyDescent="0.2">
      <c r="A56" s="112"/>
      <c r="B56" s="113"/>
      <c r="C56" s="20" t="s">
        <v>604</v>
      </c>
      <c r="D56" s="20" t="s">
        <v>605</v>
      </c>
    </row>
    <row r="57" spans="1:5" x14ac:dyDescent="0.2">
      <c r="A57" s="21" t="s">
        <v>599</v>
      </c>
      <c r="B57" s="22"/>
      <c r="C57" s="23">
        <v>0.54744525200000005</v>
      </c>
      <c r="D57" s="23">
        <v>0.50693703160000003</v>
      </c>
    </row>
    <row r="58" spans="1:5" x14ac:dyDescent="0.2">
      <c r="A58" s="21" t="s">
        <v>1554</v>
      </c>
      <c r="B58" s="22"/>
      <c r="C58" s="23">
        <v>0.27732423950000001</v>
      </c>
      <c r="D58" s="23">
        <v>0.2568036279</v>
      </c>
    </row>
    <row r="59" spans="1:5" x14ac:dyDescent="0.2">
      <c r="A59" s="21" t="s">
        <v>601</v>
      </c>
      <c r="B59" s="22"/>
      <c r="C59" s="23">
        <v>0.61947752200000006</v>
      </c>
      <c r="D59" s="23">
        <v>0.57363927260000003</v>
      </c>
    </row>
    <row r="60" spans="1:5" x14ac:dyDescent="0.2">
      <c r="A60" s="21" t="s">
        <v>1556</v>
      </c>
      <c r="B60" s="22"/>
      <c r="C60" s="23">
        <v>0.34215328249999999</v>
      </c>
      <c r="D60" s="23">
        <v>0.31683564480000004</v>
      </c>
    </row>
    <row r="62" spans="1:5" x14ac:dyDescent="0.2">
      <c r="A62" s="4" t="s">
        <v>834</v>
      </c>
      <c r="D62" s="59">
        <v>2.163525257534316</v>
      </c>
      <c r="E62" s="59" t="s">
        <v>1106</v>
      </c>
    </row>
    <row r="64" spans="1:5" x14ac:dyDescent="0.2">
      <c r="A64" s="4" t="s">
        <v>836</v>
      </c>
      <c r="D64" s="67" t="s">
        <v>107</v>
      </c>
    </row>
  </sheetData>
  <mergeCells count="3">
    <mergeCell ref="A1:F1"/>
    <mergeCell ref="C55:D55"/>
    <mergeCell ref="A56:B5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13F8-5E0E-4554-A51D-835ACF203745}">
  <dimension ref="A1:F59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1821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1680</v>
      </c>
      <c r="B8" s="52" t="s">
        <v>1681</v>
      </c>
      <c r="C8" s="52" t="s">
        <v>712</v>
      </c>
      <c r="D8" s="14">
        <v>31</v>
      </c>
      <c r="E8" s="13">
        <v>321.12249000000003</v>
      </c>
      <c r="F8" s="49">
        <v>10.8706210897496</v>
      </c>
    </row>
    <row r="9" spans="1:6" x14ac:dyDescent="0.2">
      <c r="A9" s="52" t="s">
        <v>1696</v>
      </c>
      <c r="B9" s="52" t="s">
        <v>1697</v>
      </c>
      <c r="C9" s="52" t="s">
        <v>688</v>
      </c>
      <c r="D9" s="14">
        <v>31</v>
      </c>
      <c r="E9" s="13">
        <v>318.30086999999997</v>
      </c>
      <c r="F9" s="49">
        <v>10.7751037627656</v>
      </c>
    </row>
    <row r="10" spans="1:6" x14ac:dyDescent="0.2">
      <c r="A10" s="52" t="s">
        <v>1678</v>
      </c>
      <c r="B10" s="52" t="s">
        <v>1679</v>
      </c>
      <c r="C10" s="52" t="s">
        <v>688</v>
      </c>
      <c r="D10" s="14">
        <v>31</v>
      </c>
      <c r="E10" s="13">
        <v>314.00860999999998</v>
      </c>
      <c r="F10" s="49">
        <v>10.629802410379201</v>
      </c>
    </row>
    <row r="11" spans="1:6" x14ac:dyDescent="0.2">
      <c r="A11" s="52" t="s">
        <v>870</v>
      </c>
      <c r="B11" s="52" t="s">
        <v>871</v>
      </c>
      <c r="C11" s="52" t="s">
        <v>688</v>
      </c>
      <c r="D11" s="14">
        <v>30</v>
      </c>
      <c r="E11" s="13">
        <v>310.41449999999998</v>
      </c>
      <c r="F11" s="49">
        <v>10.5081347938728</v>
      </c>
    </row>
    <row r="12" spans="1:6" x14ac:dyDescent="0.2">
      <c r="A12" s="52" t="s">
        <v>1615</v>
      </c>
      <c r="B12" s="52" t="s">
        <v>1616</v>
      </c>
      <c r="C12" s="52" t="s">
        <v>712</v>
      </c>
      <c r="D12" s="14">
        <v>26</v>
      </c>
      <c r="E12" s="13">
        <v>260.14897999999999</v>
      </c>
      <c r="F12" s="49">
        <v>8.8065491409986496</v>
      </c>
    </row>
    <row r="13" spans="1:6" x14ac:dyDescent="0.2">
      <c r="A13" s="52" t="s">
        <v>1216</v>
      </c>
      <c r="B13" s="52" t="s">
        <v>1217</v>
      </c>
      <c r="C13" s="52" t="s">
        <v>688</v>
      </c>
      <c r="D13" s="14">
        <v>20</v>
      </c>
      <c r="E13" s="13">
        <v>204.79259999999999</v>
      </c>
      <c r="F13" s="49">
        <v>6.9326279719139503</v>
      </c>
    </row>
    <row r="14" spans="1:6" x14ac:dyDescent="0.2">
      <c r="A14" s="52" t="s">
        <v>1822</v>
      </c>
      <c r="B14" s="52" t="s">
        <v>1823</v>
      </c>
      <c r="C14" s="52" t="s">
        <v>712</v>
      </c>
      <c r="D14" s="14">
        <v>19</v>
      </c>
      <c r="E14" s="13">
        <v>196.21015</v>
      </c>
      <c r="F14" s="49">
        <v>6.6420953406687104</v>
      </c>
    </row>
    <row r="15" spans="1:6" x14ac:dyDescent="0.2">
      <c r="A15" s="52" t="s">
        <v>1824</v>
      </c>
      <c r="B15" s="52" t="s">
        <v>1825</v>
      </c>
      <c r="C15" s="52" t="s">
        <v>688</v>
      </c>
      <c r="D15" s="14">
        <v>19</v>
      </c>
      <c r="E15" s="13">
        <v>195.54571999999999</v>
      </c>
      <c r="F15" s="49">
        <v>6.6196030923971501</v>
      </c>
    </row>
    <row r="16" spans="1:6" x14ac:dyDescent="0.2">
      <c r="A16" s="52" t="s">
        <v>1672</v>
      </c>
      <c r="B16" s="52" t="s">
        <v>1673</v>
      </c>
      <c r="C16" s="52" t="s">
        <v>712</v>
      </c>
      <c r="D16" s="14">
        <v>16</v>
      </c>
      <c r="E16" s="13">
        <v>179.09711999999999</v>
      </c>
      <c r="F16" s="49">
        <v>6.0627859786009299</v>
      </c>
    </row>
    <row r="17" spans="1:6" x14ac:dyDescent="0.2">
      <c r="A17" s="52" t="s">
        <v>1826</v>
      </c>
      <c r="B17" s="52" t="s">
        <v>1827</v>
      </c>
      <c r="C17" s="52" t="s">
        <v>688</v>
      </c>
      <c r="D17" s="14">
        <v>20</v>
      </c>
      <c r="E17" s="13">
        <v>175.89320000000001</v>
      </c>
      <c r="F17" s="49">
        <v>5.95432705278147</v>
      </c>
    </row>
    <row r="18" spans="1:6" x14ac:dyDescent="0.2">
      <c r="A18" s="52" t="s">
        <v>1714</v>
      </c>
      <c r="B18" s="52" t="s">
        <v>1715</v>
      </c>
      <c r="C18" s="52" t="s">
        <v>688</v>
      </c>
      <c r="D18" s="14">
        <v>16</v>
      </c>
      <c r="E18" s="13">
        <v>160.99263999999999</v>
      </c>
      <c r="F18" s="49">
        <v>5.4499141049836402</v>
      </c>
    </row>
    <row r="19" spans="1:6" x14ac:dyDescent="0.2">
      <c r="A19" s="52" t="s">
        <v>1617</v>
      </c>
      <c r="B19" s="52" t="s">
        <v>1618</v>
      </c>
      <c r="C19" s="52" t="s">
        <v>688</v>
      </c>
      <c r="D19" s="14">
        <v>1</v>
      </c>
      <c r="E19" s="13">
        <v>102.36579999999999</v>
      </c>
      <c r="F19" s="49">
        <v>3.4652815016135801</v>
      </c>
    </row>
    <row r="20" spans="1:6" x14ac:dyDescent="0.2">
      <c r="A20" s="52" t="s">
        <v>1828</v>
      </c>
      <c r="B20" s="52" t="s">
        <v>1829</v>
      </c>
      <c r="C20" s="52" t="s">
        <v>1215</v>
      </c>
      <c r="D20" s="14">
        <v>7</v>
      </c>
      <c r="E20" s="13">
        <v>77.902789999999996</v>
      </c>
      <c r="F20" s="49">
        <v>2.6371610157991001</v>
      </c>
    </row>
    <row r="21" spans="1:6" x14ac:dyDescent="0.2">
      <c r="A21" s="41" t="s">
        <v>43</v>
      </c>
      <c r="B21" s="52"/>
      <c r="C21" s="52"/>
      <c r="D21" s="14"/>
      <c r="E21" s="50">
        <f>SUM(E8:E20)</f>
        <v>2816.79547</v>
      </c>
      <c r="F21" s="6">
        <f>SUM(F8:F20)</f>
        <v>95.354007256524355</v>
      </c>
    </row>
    <row r="22" spans="1:6" x14ac:dyDescent="0.2">
      <c r="A22" s="52"/>
      <c r="B22" s="52"/>
      <c r="C22" s="52"/>
      <c r="D22" s="14"/>
      <c r="E22" s="13"/>
      <c r="F22" s="49"/>
    </row>
    <row r="23" spans="1:6" x14ac:dyDescent="0.2">
      <c r="A23" s="41" t="s">
        <v>772</v>
      </c>
      <c r="B23" s="52"/>
      <c r="C23" s="52"/>
      <c r="D23" s="14"/>
      <c r="E23" s="13"/>
      <c r="F23" s="49"/>
    </row>
    <row r="24" spans="1:6" x14ac:dyDescent="0.2">
      <c r="A24" s="52" t="s">
        <v>1282</v>
      </c>
      <c r="B24" s="52" t="s">
        <v>1283</v>
      </c>
      <c r="C24" s="52" t="s">
        <v>688</v>
      </c>
      <c r="D24" s="14">
        <v>3</v>
      </c>
      <c r="E24" s="13">
        <v>29.977709999999998</v>
      </c>
      <c r="F24" s="49">
        <v>1.0148038106841999</v>
      </c>
    </row>
    <row r="25" spans="1:6" x14ac:dyDescent="0.2">
      <c r="A25" s="41" t="s">
        <v>43</v>
      </c>
      <c r="B25" s="52"/>
      <c r="C25" s="52"/>
      <c r="D25" s="14"/>
      <c r="E25" s="50">
        <f>SUM(E24:E24)</f>
        <v>29.977709999999998</v>
      </c>
      <c r="F25" s="6">
        <f>SUM(F24:F24)</f>
        <v>1.0148038106841999</v>
      </c>
    </row>
    <row r="26" spans="1:6" x14ac:dyDescent="0.2">
      <c r="A26" s="52"/>
      <c r="B26" s="52"/>
      <c r="C26" s="52"/>
      <c r="D26" s="14"/>
      <c r="E26" s="13"/>
      <c r="F26" s="49"/>
    </row>
    <row r="27" spans="1:6" x14ac:dyDescent="0.2">
      <c r="A27" s="41" t="s">
        <v>43</v>
      </c>
      <c r="B27" s="52"/>
      <c r="C27" s="52"/>
      <c r="D27" s="14"/>
      <c r="E27" s="50">
        <f>E21+E25</f>
        <v>2846.7731800000001</v>
      </c>
      <c r="F27" s="6">
        <f>F21+F25</f>
        <v>96.368811067208554</v>
      </c>
    </row>
    <row r="28" spans="1:6" x14ac:dyDescent="0.2">
      <c r="A28" s="52"/>
      <c r="B28" s="52"/>
      <c r="C28" s="52"/>
      <c r="D28" s="14"/>
      <c r="E28" s="13"/>
      <c r="F28" s="49"/>
    </row>
    <row r="29" spans="1:6" x14ac:dyDescent="0.2">
      <c r="A29" s="41" t="s">
        <v>100</v>
      </c>
      <c r="B29" s="52"/>
      <c r="C29" s="52"/>
      <c r="D29" s="14"/>
      <c r="E29" s="50">
        <v>107.2699518</v>
      </c>
      <c r="F29" s="6">
        <v>3.63</v>
      </c>
    </row>
    <row r="30" spans="1:6" x14ac:dyDescent="0.2">
      <c r="A30" s="52"/>
      <c r="B30" s="52"/>
      <c r="C30" s="52"/>
      <c r="D30" s="13"/>
      <c r="E30" s="13"/>
      <c r="F30" s="49"/>
    </row>
    <row r="31" spans="1:6" x14ac:dyDescent="0.2">
      <c r="A31" s="57" t="s">
        <v>101</v>
      </c>
      <c r="B31" s="34"/>
      <c r="C31" s="34"/>
      <c r="D31" s="35"/>
      <c r="E31" s="51">
        <f>E27+E29</f>
        <v>2954.0431318000001</v>
      </c>
      <c r="F31" s="8">
        <f>F27+F29</f>
        <v>99.99881106720855</v>
      </c>
    </row>
    <row r="32" spans="1:6" x14ac:dyDescent="0.2">
      <c r="A32" s="4" t="s">
        <v>1964</v>
      </c>
      <c r="D32" s="59"/>
    </row>
    <row r="33" spans="1:4" x14ac:dyDescent="0.2">
      <c r="A33" s="4"/>
      <c r="D33" s="59"/>
    </row>
    <row r="34" spans="1:4" x14ac:dyDescent="0.2">
      <c r="A34" s="4" t="s">
        <v>102</v>
      </c>
      <c r="D34" s="59"/>
    </row>
    <row r="35" spans="1:4" x14ac:dyDescent="0.2">
      <c r="A35" s="4" t="s">
        <v>833</v>
      </c>
      <c r="D35" s="59"/>
    </row>
    <row r="36" spans="1:4" x14ac:dyDescent="0.2">
      <c r="A36" s="4" t="s">
        <v>104</v>
      </c>
      <c r="D36" s="93"/>
    </row>
    <row r="37" spans="1:4" x14ac:dyDescent="0.2">
      <c r="A37" s="2" t="s">
        <v>598</v>
      </c>
      <c r="D37" s="93">
        <v>10.6286</v>
      </c>
    </row>
    <row r="38" spans="1:4" x14ac:dyDescent="0.2">
      <c r="A38" s="2" t="s">
        <v>599</v>
      </c>
      <c r="D38" s="92">
        <v>10.6286</v>
      </c>
    </row>
    <row r="39" spans="1:4" x14ac:dyDescent="0.2">
      <c r="A39" s="2" t="s">
        <v>1554</v>
      </c>
      <c r="D39" s="92">
        <v>10.2989</v>
      </c>
    </row>
    <row r="40" spans="1:4" x14ac:dyDescent="0.2">
      <c r="A40" s="2" t="s">
        <v>600</v>
      </c>
      <c r="D40" s="92">
        <v>10.690799999999999</v>
      </c>
    </row>
    <row r="41" spans="1:4" x14ac:dyDescent="0.2">
      <c r="A41" s="2" t="s">
        <v>1556</v>
      </c>
      <c r="D41" s="92">
        <v>10.3605</v>
      </c>
    </row>
    <row r="43" spans="1:4" x14ac:dyDescent="0.2">
      <c r="A43" s="4" t="s">
        <v>105</v>
      </c>
    </row>
    <row r="44" spans="1:4" x14ac:dyDescent="0.2">
      <c r="A44" s="2" t="s">
        <v>598</v>
      </c>
      <c r="D44" s="10">
        <v>11.197699999999999</v>
      </c>
    </row>
    <row r="45" spans="1:4" x14ac:dyDescent="0.2">
      <c r="A45" s="2" t="s">
        <v>599</v>
      </c>
      <c r="D45" s="10">
        <v>10.462</v>
      </c>
    </row>
    <row r="46" spans="1:4" x14ac:dyDescent="0.2">
      <c r="A46" s="2" t="s">
        <v>1554</v>
      </c>
      <c r="D46" s="10">
        <v>10.4503</v>
      </c>
    </row>
    <row r="47" spans="1:4" x14ac:dyDescent="0.2">
      <c r="A47" s="2" t="s">
        <v>600</v>
      </c>
      <c r="D47" s="10">
        <v>11.309900000000001</v>
      </c>
    </row>
    <row r="48" spans="1:4" x14ac:dyDescent="0.2">
      <c r="A48" s="2" t="s">
        <v>1556</v>
      </c>
      <c r="D48" s="10">
        <v>10.559799999999999</v>
      </c>
    </row>
    <row r="50" spans="1:5" x14ac:dyDescent="0.2">
      <c r="A50" s="4" t="s">
        <v>106</v>
      </c>
      <c r="D50" s="17" t="s">
        <v>319</v>
      </c>
    </row>
    <row r="51" spans="1:5" x14ac:dyDescent="0.2">
      <c r="A51" s="18" t="s">
        <v>602</v>
      </c>
      <c r="B51" s="19"/>
      <c r="C51" s="110" t="s">
        <v>603</v>
      </c>
      <c r="D51" s="111"/>
    </row>
    <row r="52" spans="1:5" x14ac:dyDescent="0.2">
      <c r="A52" s="112"/>
      <c r="B52" s="113"/>
      <c r="C52" s="20" t="s">
        <v>604</v>
      </c>
      <c r="D52" s="20" t="s">
        <v>605</v>
      </c>
    </row>
    <row r="53" spans="1:5" x14ac:dyDescent="0.2">
      <c r="A53" s="21" t="s">
        <v>599</v>
      </c>
      <c r="B53" s="22"/>
      <c r="C53" s="23">
        <v>0.52223395750000001</v>
      </c>
      <c r="D53" s="23">
        <v>0.48359124730000003</v>
      </c>
    </row>
    <row r="54" spans="1:5" x14ac:dyDescent="0.2">
      <c r="A54" s="21" t="s">
        <v>1554</v>
      </c>
      <c r="B54" s="22"/>
      <c r="C54" s="23">
        <v>0.280925853</v>
      </c>
      <c r="D54" s="23">
        <v>0.26013874000000003</v>
      </c>
    </row>
    <row r="55" spans="1:5" x14ac:dyDescent="0.2">
      <c r="A55" s="21" t="s">
        <v>1556</v>
      </c>
      <c r="B55" s="22"/>
      <c r="C55" s="23">
        <v>0.280925853</v>
      </c>
      <c r="D55" s="23">
        <v>0.26013874000000003</v>
      </c>
    </row>
    <row r="57" spans="1:5" x14ac:dyDescent="0.2">
      <c r="A57" s="4" t="s">
        <v>834</v>
      </c>
      <c r="D57" s="59">
        <v>1.6548190093102879</v>
      </c>
      <c r="E57" s="59" t="s">
        <v>1787</v>
      </c>
    </row>
    <row r="59" spans="1:5" x14ac:dyDescent="0.2">
      <c r="A59" s="4" t="s">
        <v>836</v>
      </c>
      <c r="D59" s="67" t="s">
        <v>107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AFB1-F798-49FA-84DB-B3D0B4225CCC}">
  <dimension ref="A1:F54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6.28515625" style="2" bestFit="1" customWidth="1"/>
    <col min="3" max="3" width="11.7109375" style="2" bestFit="1" customWidth="1"/>
    <col min="4" max="4" width="7.8554687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1830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1678</v>
      </c>
      <c r="B8" s="52" t="s">
        <v>1679</v>
      </c>
      <c r="C8" s="52" t="s">
        <v>688</v>
      </c>
      <c r="D8" s="14">
        <v>44</v>
      </c>
      <c r="E8" s="13">
        <v>445.68964</v>
      </c>
      <c r="F8" s="49">
        <v>12.106007862805599</v>
      </c>
    </row>
    <row r="9" spans="1:6" x14ac:dyDescent="0.2">
      <c r="A9" s="52" t="s">
        <v>1822</v>
      </c>
      <c r="B9" s="52" t="s">
        <v>1823</v>
      </c>
      <c r="C9" s="52" t="s">
        <v>712</v>
      </c>
      <c r="D9" s="14">
        <v>41</v>
      </c>
      <c r="E9" s="13">
        <v>423.40084999999999</v>
      </c>
      <c r="F9" s="49">
        <v>11.5005904539728</v>
      </c>
    </row>
    <row r="10" spans="1:6" x14ac:dyDescent="0.2">
      <c r="A10" s="52" t="s">
        <v>1824</v>
      </c>
      <c r="B10" s="52" t="s">
        <v>1825</v>
      </c>
      <c r="C10" s="52" t="s">
        <v>688</v>
      </c>
      <c r="D10" s="14">
        <v>41</v>
      </c>
      <c r="E10" s="13">
        <v>421.96708000000001</v>
      </c>
      <c r="F10" s="49">
        <v>11.4616457953232</v>
      </c>
    </row>
    <row r="11" spans="1:6" x14ac:dyDescent="0.2">
      <c r="A11" s="52" t="s">
        <v>870</v>
      </c>
      <c r="B11" s="52" t="s">
        <v>871</v>
      </c>
      <c r="C11" s="52" t="s">
        <v>688</v>
      </c>
      <c r="D11" s="14">
        <v>40</v>
      </c>
      <c r="E11" s="13">
        <v>413.88600000000002</v>
      </c>
      <c r="F11" s="49">
        <v>11.2421441303979</v>
      </c>
    </row>
    <row r="12" spans="1:6" x14ac:dyDescent="0.2">
      <c r="A12" s="52" t="s">
        <v>1826</v>
      </c>
      <c r="B12" s="52" t="s">
        <v>1827</v>
      </c>
      <c r="C12" s="52" t="s">
        <v>688</v>
      </c>
      <c r="D12" s="14">
        <v>33</v>
      </c>
      <c r="E12" s="13">
        <v>290.22377999999998</v>
      </c>
      <c r="F12" s="49">
        <v>7.8831793412410702</v>
      </c>
    </row>
    <row r="13" spans="1:6" x14ac:dyDescent="0.2">
      <c r="A13" s="52" t="s">
        <v>1216</v>
      </c>
      <c r="B13" s="52" t="s">
        <v>1217</v>
      </c>
      <c r="C13" s="52" t="s">
        <v>688</v>
      </c>
      <c r="D13" s="14">
        <v>28</v>
      </c>
      <c r="E13" s="13">
        <v>286.70963999999998</v>
      </c>
      <c r="F13" s="49">
        <v>7.7877268050973099</v>
      </c>
    </row>
    <row r="14" spans="1:6" x14ac:dyDescent="0.2">
      <c r="A14" s="52" t="s">
        <v>1831</v>
      </c>
      <c r="B14" s="52" t="s">
        <v>1832</v>
      </c>
      <c r="C14" s="52" t="s">
        <v>688</v>
      </c>
      <c r="D14" s="14">
        <v>26</v>
      </c>
      <c r="E14" s="13">
        <v>262.87950000000001</v>
      </c>
      <c r="F14" s="49">
        <v>7.1404426047920104</v>
      </c>
    </row>
    <row r="15" spans="1:6" x14ac:dyDescent="0.2">
      <c r="A15" s="52" t="s">
        <v>967</v>
      </c>
      <c r="B15" s="52" t="s">
        <v>968</v>
      </c>
      <c r="C15" s="52" t="s">
        <v>694</v>
      </c>
      <c r="D15" s="14">
        <v>26000</v>
      </c>
      <c r="E15" s="13">
        <v>251.49176</v>
      </c>
      <c r="F15" s="49">
        <v>6.8311240620060802</v>
      </c>
    </row>
    <row r="16" spans="1:6" x14ac:dyDescent="0.2">
      <c r="A16" s="52" t="s">
        <v>1617</v>
      </c>
      <c r="B16" s="52" t="s">
        <v>1618</v>
      </c>
      <c r="C16" s="52" t="s">
        <v>688</v>
      </c>
      <c r="D16" s="14">
        <v>2</v>
      </c>
      <c r="E16" s="13">
        <v>204.73159999999999</v>
      </c>
      <c r="F16" s="49">
        <v>5.5610050962027699</v>
      </c>
    </row>
    <row r="17" spans="1:6" x14ac:dyDescent="0.2">
      <c r="A17" s="52" t="s">
        <v>1694</v>
      </c>
      <c r="B17" s="52" t="s">
        <v>1695</v>
      </c>
      <c r="C17" s="52" t="s">
        <v>712</v>
      </c>
      <c r="D17" s="14">
        <v>150</v>
      </c>
      <c r="E17" s="13">
        <v>154.9854</v>
      </c>
      <c r="F17" s="49">
        <v>4.2097780666835201</v>
      </c>
    </row>
    <row r="18" spans="1:6" x14ac:dyDescent="0.2">
      <c r="A18" s="41" t="s">
        <v>43</v>
      </c>
      <c r="B18" s="52"/>
      <c r="C18" s="52"/>
      <c r="D18" s="14"/>
      <c r="E18" s="50">
        <f>SUM(E8:E17)</f>
        <v>3155.9652499999997</v>
      </c>
      <c r="F18" s="6">
        <f>SUM(F8:F17)</f>
        <v>85.723644218522253</v>
      </c>
    </row>
    <row r="19" spans="1:6" x14ac:dyDescent="0.2">
      <c r="A19" s="52"/>
      <c r="B19" s="52"/>
      <c r="C19" s="52"/>
      <c r="D19" s="14"/>
      <c r="E19" s="13"/>
      <c r="F19" s="49"/>
    </row>
    <row r="20" spans="1:6" x14ac:dyDescent="0.2">
      <c r="A20" s="41" t="s">
        <v>772</v>
      </c>
      <c r="B20" s="52"/>
      <c r="C20" s="52"/>
      <c r="D20" s="14"/>
      <c r="E20" s="13"/>
      <c r="F20" s="49"/>
    </row>
    <row r="21" spans="1:6" x14ac:dyDescent="0.2">
      <c r="A21" s="52" t="s">
        <v>1282</v>
      </c>
      <c r="B21" s="52" t="s">
        <v>1283</v>
      </c>
      <c r="C21" s="52" t="s">
        <v>688</v>
      </c>
      <c r="D21" s="14">
        <v>34</v>
      </c>
      <c r="E21" s="13">
        <v>339.74738000000002</v>
      </c>
      <c r="F21" s="49">
        <v>9.22836001673185</v>
      </c>
    </row>
    <row r="22" spans="1:6" x14ac:dyDescent="0.2">
      <c r="A22" s="52" t="s">
        <v>1716</v>
      </c>
      <c r="B22" s="52" t="s">
        <v>1717</v>
      </c>
      <c r="C22" s="52" t="s">
        <v>688</v>
      </c>
      <c r="D22" s="14">
        <v>7</v>
      </c>
      <c r="E22" s="13">
        <v>70.033810000000003</v>
      </c>
      <c r="F22" s="49">
        <v>1.9022875526616101</v>
      </c>
    </row>
    <row r="23" spans="1:6" x14ac:dyDescent="0.2">
      <c r="A23" s="41" t="s">
        <v>43</v>
      </c>
      <c r="B23" s="52"/>
      <c r="C23" s="52"/>
      <c r="D23" s="14"/>
      <c r="E23" s="50">
        <f>SUM(E21:E22)</f>
        <v>409.78119000000004</v>
      </c>
      <c r="F23" s="6">
        <f>SUM(F21:F22)</f>
        <v>11.13064756939346</v>
      </c>
    </row>
    <row r="24" spans="1:6" x14ac:dyDescent="0.2">
      <c r="A24" s="52"/>
      <c r="B24" s="52"/>
      <c r="C24" s="52"/>
      <c r="D24" s="14"/>
      <c r="E24" s="13"/>
      <c r="F24" s="49"/>
    </row>
    <row r="25" spans="1:6" x14ac:dyDescent="0.2">
      <c r="A25" s="41" t="s">
        <v>43</v>
      </c>
      <c r="B25" s="52"/>
      <c r="C25" s="52"/>
      <c r="D25" s="52"/>
      <c r="E25" s="50">
        <f>E18+E23</f>
        <v>3565.7464399999999</v>
      </c>
      <c r="F25" s="6">
        <f>F18+F23</f>
        <v>96.854291787915713</v>
      </c>
    </row>
    <row r="26" spans="1:6" x14ac:dyDescent="0.2">
      <c r="A26" s="52"/>
      <c r="B26" s="52"/>
      <c r="C26" s="52"/>
      <c r="D26" s="52"/>
      <c r="E26" s="13"/>
      <c r="F26" s="49"/>
    </row>
    <row r="27" spans="1:6" x14ac:dyDescent="0.2">
      <c r="A27" s="41" t="s">
        <v>100</v>
      </c>
      <c r="B27" s="52"/>
      <c r="C27" s="52"/>
      <c r="D27" s="52"/>
      <c r="E27" s="50">
        <v>115.8074965</v>
      </c>
      <c r="F27" s="6">
        <v>3.15</v>
      </c>
    </row>
    <row r="28" spans="1:6" x14ac:dyDescent="0.2">
      <c r="A28" s="52"/>
      <c r="B28" s="52"/>
      <c r="C28" s="52"/>
      <c r="D28" s="52"/>
      <c r="E28" s="13"/>
      <c r="F28" s="49"/>
    </row>
    <row r="29" spans="1:6" x14ac:dyDescent="0.2">
      <c r="A29" s="57" t="s">
        <v>101</v>
      </c>
      <c r="B29" s="34"/>
      <c r="C29" s="34"/>
      <c r="D29" s="34"/>
      <c r="E29" s="51">
        <f>E25+E27</f>
        <v>3681.5539365</v>
      </c>
      <c r="F29" s="8">
        <f>F25+F27</f>
        <v>100.00429178791572</v>
      </c>
    </row>
    <row r="30" spans="1:6" x14ac:dyDescent="0.2">
      <c r="A30" s="4" t="s">
        <v>1964</v>
      </c>
    </row>
    <row r="31" spans="1:6" x14ac:dyDescent="0.2">
      <c r="A31" s="4"/>
    </row>
    <row r="32" spans="1:6" x14ac:dyDescent="0.2">
      <c r="A32" s="4" t="s">
        <v>102</v>
      </c>
    </row>
    <row r="33" spans="1:4" x14ac:dyDescent="0.2">
      <c r="A33" s="4" t="s">
        <v>833</v>
      </c>
    </row>
    <row r="34" spans="1:4" x14ac:dyDescent="0.2">
      <c r="A34" s="4" t="s">
        <v>104</v>
      </c>
      <c r="D34" s="11"/>
    </row>
    <row r="35" spans="1:4" x14ac:dyDescent="0.2">
      <c r="A35" s="2" t="s">
        <v>1833</v>
      </c>
      <c r="D35" s="92">
        <v>10.5114</v>
      </c>
    </row>
    <row r="36" spans="1:4" x14ac:dyDescent="0.2">
      <c r="A36" s="2" t="s">
        <v>1834</v>
      </c>
      <c r="D36" s="92">
        <v>10.5114</v>
      </c>
    </row>
    <row r="37" spans="1:4" x14ac:dyDescent="0.2">
      <c r="A37" s="2" t="s">
        <v>1835</v>
      </c>
      <c r="D37" s="92">
        <v>10.1363</v>
      </c>
    </row>
    <row r="38" spans="1:4" x14ac:dyDescent="0.2">
      <c r="A38" s="2" t="s">
        <v>1836</v>
      </c>
      <c r="D38" s="92">
        <v>10.577299999999999</v>
      </c>
    </row>
    <row r="40" spans="1:4" x14ac:dyDescent="0.2">
      <c r="A40" s="4" t="s">
        <v>105</v>
      </c>
    </row>
    <row r="41" spans="1:4" x14ac:dyDescent="0.2">
      <c r="A41" s="2" t="s">
        <v>1833</v>
      </c>
      <c r="D41" s="10">
        <v>10.6404</v>
      </c>
    </row>
    <row r="42" spans="1:4" x14ac:dyDescent="0.2">
      <c r="A42" s="2" t="s">
        <v>1834</v>
      </c>
      <c r="D42" s="10">
        <v>10.4018</v>
      </c>
    </row>
    <row r="43" spans="1:4" x14ac:dyDescent="0.2">
      <c r="A43" s="2" t="s">
        <v>1835</v>
      </c>
      <c r="D43" s="10">
        <v>10.2607</v>
      </c>
    </row>
    <row r="44" spans="1:4" x14ac:dyDescent="0.2">
      <c r="A44" s="2" t="s">
        <v>1836</v>
      </c>
      <c r="D44" s="10">
        <v>10.746700000000001</v>
      </c>
    </row>
    <row r="47" spans="1:4" x14ac:dyDescent="0.2">
      <c r="A47" s="4" t="s">
        <v>106</v>
      </c>
      <c r="D47" s="17" t="s">
        <v>319</v>
      </c>
    </row>
    <row r="48" spans="1:4" x14ac:dyDescent="0.2">
      <c r="A48" s="18" t="s">
        <v>602</v>
      </c>
      <c r="B48" s="19"/>
      <c r="C48" s="110" t="s">
        <v>603</v>
      </c>
      <c r="D48" s="111"/>
    </row>
    <row r="49" spans="1:5" x14ac:dyDescent="0.2">
      <c r="A49" s="112"/>
      <c r="B49" s="113"/>
      <c r="C49" s="20" t="s">
        <v>604</v>
      </c>
      <c r="D49" s="20" t="s">
        <v>605</v>
      </c>
    </row>
    <row r="50" spans="1:5" x14ac:dyDescent="0.2">
      <c r="A50" s="21" t="s">
        <v>599</v>
      </c>
      <c r="B50" s="22"/>
      <c r="C50" s="23">
        <v>0.1692758345</v>
      </c>
      <c r="D50" s="23">
        <v>0.1567502664</v>
      </c>
    </row>
    <row r="51" spans="1:5" x14ac:dyDescent="0.2">
      <c r="A51" s="75"/>
      <c r="B51" s="75"/>
      <c r="C51" s="76"/>
      <c r="D51" s="76"/>
    </row>
    <row r="52" spans="1:5" x14ac:dyDescent="0.2">
      <c r="A52" s="4" t="s">
        <v>834</v>
      </c>
      <c r="D52" s="59">
        <v>1.6729669493551333</v>
      </c>
      <c r="E52" s="59" t="s">
        <v>1106</v>
      </c>
    </row>
    <row r="54" spans="1:5" x14ac:dyDescent="0.2">
      <c r="A54" s="4" t="s">
        <v>836</v>
      </c>
      <c r="D54" s="67" t="s">
        <v>107</v>
      </c>
    </row>
  </sheetData>
  <mergeCells count="3">
    <mergeCell ref="A1:F1"/>
    <mergeCell ref="C48:D48"/>
    <mergeCell ref="A49:B4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AD64-6365-478A-8E58-2ED09F16515A}">
  <dimension ref="A1:F58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1837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1838</v>
      </c>
      <c r="B8" s="52" t="s">
        <v>1839</v>
      </c>
      <c r="C8" s="52" t="s">
        <v>688</v>
      </c>
      <c r="D8" s="14">
        <v>90</v>
      </c>
      <c r="E8" s="13">
        <v>1042.1649</v>
      </c>
      <c r="F8" s="49">
        <v>11.9764183399871</v>
      </c>
    </row>
    <row r="9" spans="1:6" x14ac:dyDescent="0.2">
      <c r="A9" s="52" t="s">
        <v>870</v>
      </c>
      <c r="B9" s="52" t="s">
        <v>871</v>
      </c>
      <c r="C9" s="52" t="s">
        <v>688</v>
      </c>
      <c r="D9" s="14">
        <v>98</v>
      </c>
      <c r="E9" s="13">
        <v>1014.0207</v>
      </c>
      <c r="F9" s="49">
        <v>11.652988993014899</v>
      </c>
    </row>
    <row r="10" spans="1:6" x14ac:dyDescent="0.2">
      <c r="A10" s="52" t="s">
        <v>1678</v>
      </c>
      <c r="B10" s="52" t="s">
        <v>1679</v>
      </c>
      <c r="C10" s="52" t="s">
        <v>688</v>
      </c>
      <c r="D10" s="14">
        <v>92</v>
      </c>
      <c r="E10" s="13">
        <v>931.89652000000001</v>
      </c>
      <c r="F10" s="49">
        <v>10.709229003105101</v>
      </c>
    </row>
    <row r="11" spans="1:6" x14ac:dyDescent="0.2">
      <c r="A11" s="52" t="s">
        <v>1822</v>
      </c>
      <c r="B11" s="52" t="s">
        <v>1823</v>
      </c>
      <c r="C11" s="52" t="s">
        <v>712</v>
      </c>
      <c r="D11" s="14">
        <v>90</v>
      </c>
      <c r="E11" s="13">
        <v>929.41650000000004</v>
      </c>
      <c r="F11" s="49">
        <v>10.680728948064299</v>
      </c>
    </row>
    <row r="12" spans="1:6" x14ac:dyDescent="0.2">
      <c r="A12" s="52" t="s">
        <v>1824</v>
      </c>
      <c r="B12" s="52" t="s">
        <v>1825</v>
      </c>
      <c r="C12" s="52" t="s">
        <v>688</v>
      </c>
      <c r="D12" s="14">
        <v>90</v>
      </c>
      <c r="E12" s="13">
        <v>926.26919999999996</v>
      </c>
      <c r="F12" s="49">
        <v>10.6445606013455</v>
      </c>
    </row>
    <row r="13" spans="1:6" x14ac:dyDescent="0.2">
      <c r="A13" s="52" t="s">
        <v>1216</v>
      </c>
      <c r="B13" s="52" t="s">
        <v>1217</v>
      </c>
      <c r="C13" s="52" t="s">
        <v>688</v>
      </c>
      <c r="D13" s="14">
        <v>70</v>
      </c>
      <c r="E13" s="13">
        <v>716.77409999999998</v>
      </c>
      <c r="F13" s="49">
        <v>8.2370711936927794</v>
      </c>
    </row>
    <row r="14" spans="1:6" x14ac:dyDescent="0.2">
      <c r="A14" s="52" t="s">
        <v>1840</v>
      </c>
      <c r="B14" s="52" t="s">
        <v>1841</v>
      </c>
      <c r="C14" s="52" t="s">
        <v>688</v>
      </c>
      <c r="D14" s="14">
        <v>60</v>
      </c>
      <c r="E14" s="13">
        <v>673.36919999999998</v>
      </c>
      <c r="F14" s="49">
        <v>7.73826794249395</v>
      </c>
    </row>
    <row r="15" spans="1:6" x14ac:dyDescent="0.2">
      <c r="A15" s="52" t="s">
        <v>1826</v>
      </c>
      <c r="B15" s="52" t="s">
        <v>1827</v>
      </c>
      <c r="C15" s="52" t="s">
        <v>688</v>
      </c>
      <c r="D15" s="14">
        <v>75</v>
      </c>
      <c r="E15" s="13">
        <v>659.59950000000003</v>
      </c>
      <c r="F15" s="49">
        <v>7.58002840898431</v>
      </c>
    </row>
    <row r="16" spans="1:6" x14ac:dyDescent="0.2">
      <c r="A16" s="52" t="s">
        <v>1828</v>
      </c>
      <c r="B16" s="52" t="s">
        <v>1829</v>
      </c>
      <c r="C16" s="52" t="s">
        <v>1215</v>
      </c>
      <c r="D16" s="14">
        <v>58</v>
      </c>
      <c r="E16" s="13">
        <v>645.48026000000004</v>
      </c>
      <c r="F16" s="49">
        <v>7.4177720089820802</v>
      </c>
    </row>
    <row r="17" spans="1:6" x14ac:dyDescent="0.2">
      <c r="A17" s="52" t="s">
        <v>1694</v>
      </c>
      <c r="B17" s="52" t="s">
        <v>1695</v>
      </c>
      <c r="C17" s="52" t="s">
        <v>712</v>
      </c>
      <c r="D17" s="14">
        <v>470</v>
      </c>
      <c r="E17" s="13">
        <v>485.62092000000001</v>
      </c>
      <c r="F17" s="49">
        <v>5.5806900544907903</v>
      </c>
    </row>
    <row r="18" spans="1:6" x14ac:dyDescent="0.2">
      <c r="A18" s="52" t="s">
        <v>1617</v>
      </c>
      <c r="B18" s="52" t="s">
        <v>1618</v>
      </c>
      <c r="C18" s="52" t="s">
        <v>688</v>
      </c>
      <c r="D18" s="14">
        <v>2</v>
      </c>
      <c r="E18" s="13">
        <v>204.73159999999999</v>
      </c>
      <c r="F18" s="49">
        <v>2.3527479087185701</v>
      </c>
    </row>
    <row r="19" spans="1:6" x14ac:dyDescent="0.2">
      <c r="A19" s="52" t="s">
        <v>1842</v>
      </c>
      <c r="B19" s="52" t="s">
        <v>1843</v>
      </c>
      <c r="C19" s="52" t="s">
        <v>1215</v>
      </c>
      <c r="D19" s="14">
        <v>10</v>
      </c>
      <c r="E19" s="13">
        <v>111.634</v>
      </c>
      <c r="F19" s="49">
        <v>1.2828828575651701</v>
      </c>
    </row>
    <row r="20" spans="1:6" x14ac:dyDescent="0.2">
      <c r="A20" s="52" t="s">
        <v>1218</v>
      </c>
      <c r="B20" s="52" t="s">
        <v>1219</v>
      </c>
      <c r="C20" s="52" t="s">
        <v>688</v>
      </c>
      <c r="D20" s="14">
        <v>8</v>
      </c>
      <c r="E20" s="13">
        <v>82.303520000000006</v>
      </c>
      <c r="F20" s="49">
        <v>0.945820940979198</v>
      </c>
    </row>
    <row r="21" spans="1:6" x14ac:dyDescent="0.2">
      <c r="A21" s="52" t="s">
        <v>1672</v>
      </c>
      <c r="B21" s="52" t="s">
        <v>1673</v>
      </c>
      <c r="C21" s="52" t="s">
        <v>712</v>
      </c>
      <c r="D21" s="14">
        <v>6</v>
      </c>
      <c r="E21" s="13">
        <v>67.161420000000007</v>
      </c>
      <c r="F21" s="49">
        <v>0.77180997194165102</v>
      </c>
    </row>
    <row r="22" spans="1:6" x14ac:dyDescent="0.2">
      <c r="A22" s="52" t="s">
        <v>1831</v>
      </c>
      <c r="B22" s="52" t="s">
        <v>1832</v>
      </c>
      <c r="C22" s="52" t="s">
        <v>688</v>
      </c>
      <c r="D22" s="14">
        <v>4</v>
      </c>
      <c r="E22" s="13">
        <v>40.442999999999998</v>
      </c>
      <c r="F22" s="49">
        <v>0.46476549625121399</v>
      </c>
    </row>
    <row r="23" spans="1:6" x14ac:dyDescent="0.2">
      <c r="A23" s="52" t="s">
        <v>1211</v>
      </c>
      <c r="B23" s="52" t="s">
        <v>1212</v>
      </c>
      <c r="C23" s="52" t="s">
        <v>688</v>
      </c>
      <c r="D23" s="14">
        <v>1</v>
      </c>
      <c r="E23" s="13">
        <v>9.9325100000000006</v>
      </c>
      <c r="F23" s="49">
        <v>0.114143064044956</v>
      </c>
    </row>
    <row r="24" spans="1:6" x14ac:dyDescent="0.2">
      <c r="A24" s="41" t="s">
        <v>43</v>
      </c>
      <c r="B24" s="52"/>
      <c r="C24" s="52"/>
      <c r="D24" s="52"/>
      <c r="E24" s="50">
        <f>SUM(E8:E23)</f>
        <v>8540.8178499999995</v>
      </c>
      <c r="F24" s="6">
        <f>SUM(F8:F23)</f>
        <v>98.149925733661576</v>
      </c>
    </row>
    <row r="25" spans="1:6" x14ac:dyDescent="0.2">
      <c r="A25" s="52"/>
      <c r="B25" s="52"/>
      <c r="C25" s="52"/>
      <c r="D25" s="52"/>
      <c r="E25" s="13"/>
      <c r="F25" s="49"/>
    </row>
    <row r="26" spans="1:6" x14ac:dyDescent="0.2">
      <c r="A26" s="41" t="s">
        <v>43</v>
      </c>
      <c r="B26" s="52"/>
      <c r="C26" s="52"/>
      <c r="D26" s="52"/>
      <c r="E26" s="50">
        <f>E24</f>
        <v>8540.8178499999995</v>
      </c>
      <c r="F26" s="6">
        <f>F24</f>
        <v>98.149925733661576</v>
      </c>
    </row>
    <row r="27" spans="1:6" x14ac:dyDescent="0.2">
      <c r="A27" s="52"/>
      <c r="B27" s="52"/>
      <c r="C27" s="52"/>
      <c r="D27" s="52"/>
      <c r="E27" s="13"/>
      <c r="F27" s="49"/>
    </row>
    <row r="28" spans="1:6" x14ac:dyDescent="0.2">
      <c r="A28" s="41" t="s">
        <v>100</v>
      </c>
      <c r="B28" s="52"/>
      <c r="C28" s="52"/>
      <c r="D28" s="52"/>
      <c r="E28" s="50">
        <v>160.98775599999999</v>
      </c>
      <c r="F28" s="6">
        <v>1.85</v>
      </c>
    </row>
    <row r="29" spans="1:6" x14ac:dyDescent="0.2">
      <c r="A29" s="52"/>
      <c r="B29" s="52"/>
      <c r="C29" s="52"/>
      <c r="D29" s="52"/>
      <c r="E29" s="13"/>
      <c r="F29" s="49"/>
    </row>
    <row r="30" spans="1:6" x14ac:dyDescent="0.2">
      <c r="A30" s="57" t="s">
        <v>101</v>
      </c>
      <c r="B30" s="34"/>
      <c r="C30" s="34"/>
      <c r="D30" s="34"/>
      <c r="E30" s="51">
        <f>E26+E28</f>
        <v>8701.8056059999999</v>
      </c>
      <c r="F30" s="8">
        <f>F26+F28</f>
        <v>99.99992573366157</v>
      </c>
    </row>
    <row r="31" spans="1:6" x14ac:dyDescent="0.2">
      <c r="A31" s="4" t="s">
        <v>1964</v>
      </c>
    </row>
    <row r="32" spans="1:6" x14ac:dyDescent="0.2">
      <c r="A32" s="4"/>
    </row>
    <row r="33" spans="1:4" x14ac:dyDescent="0.2">
      <c r="A33" s="4" t="s">
        <v>102</v>
      </c>
    </row>
    <row r="34" spans="1:4" x14ac:dyDescent="0.2">
      <c r="A34" s="4" t="s">
        <v>833</v>
      </c>
    </row>
    <row r="35" spans="1:4" x14ac:dyDescent="0.2">
      <c r="A35" s="4" t="s">
        <v>104</v>
      </c>
      <c r="D35" s="11"/>
    </row>
    <row r="36" spans="1:4" x14ac:dyDescent="0.2">
      <c r="A36" s="2" t="s">
        <v>1833</v>
      </c>
      <c r="D36" s="92">
        <v>10.572900000000001</v>
      </c>
    </row>
    <row r="37" spans="1:4" x14ac:dyDescent="0.2">
      <c r="A37" s="2" t="s">
        <v>1834</v>
      </c>
      <c r="D37" s="92">
        <v>10.572900000000001</v>
      </c>
    </row>
    <row r="38" spans="1:4" x14ac:dyDescent="0.2">
      <c r="A38" s="2" t="s">
        <v>1835</v>
      </c>
      <c r="D38" s="92">
        <v>10.286199999999999</v>
      </c>
    </row>
    <row r="39" spans="1:4" x14ac:dyDescent="0.2">
      <c r="A39" s="2" t="s">
        <v>1836</v>
      </c>
      <c r="D39" s="92">
        <v>10.636699999999999</v>
      </c>
    </row>
    <row r="40" spans="1:4" x14ac:dyDescent="0.2">
      <c r="A40" s="2" t="s">
        <v>1844</v>
      </c>
      <c r="D40" s="92">
        <v>10.3498</v>
      </c>
    </row>
    <row r="42" spans="1:4" x14ac:dyDescent="0.2">
      <c r="A42" s="4" t="s">
        <v>105</v>
      </c>
    </row>
    <row r="43" spans="1:4" x14ac:dyDescent="0.2">
      <c r="A43" s="2" t="s">
        <v>1833</v>
      </c>
      <c r="D43" s="10">
        <v>11.176</v>
      </c>
    </row>
    <row r="44" spans="1:4" x14ac:dyDescent="0.2">
      <c r="A44" s="2" t="s">
        <v>1834</v>
      </c>
      <c r="D44" s="10">
        <v>10.473100000000001</v>
      </c>
    </row>
    <row r="45" spans="1:4" x14ac:dyDescent="0.2">
      <c r="A45" s="2" t="s">
        <v>1835</v>
      </c>
      <c r="D45" s="10">
        <v>10.4649</v>
      </c>
    </row>
    <row r="46" spans="1:4" x14ac:dyDescent="0.2">
      <c r="A46" s="2" t="s">
        <v>1836</v>
      </c>
      <c r="D46" s="10">
        <v>11.276899999999999</v>
      </c>
    </row>
    <row r="47" spans="1:4" x14ac:dyDescent="0.2">
      <c r="A47" s="2" t="s">
        <v>1844</v>
      </c>
      <c r="D47" s="10">
        <v>10.4732</v>
      </c>
    </row>
    <row r="49" spans="1:5" x14ac:dyDescent="0.2">
      <c r="A49" s="4" t="s">
        <v>106</v>
      </c>
      <c r="D49" s="17" t="s">
        <v>319</v>
      </c>
    </row>
    <row r="50" spans="1:5" x14ac:dyDescent="0.2">
      <c r="A50" s="18" t="s">
        <v>602</v>
      </c>
      <c r="B50" s="19"/>
      <c r="C50" s="110" t="s">
        <v>603</v>
      </c>
      <c r="D50" s="111"/>
    </row>
    <row r="51" spans="1:5" x14ac:dyDescent="0.2">
      <c r="A51" s="112"/>
      <c r="B51" s="113"/>
      <c r="C51" s="20" t="s">
        <v>604</v>
      </c>
      <c r="D51" s="20" t="s">
        <v>605</v>
      </c>
    </row>
    <row r="52" spans="1:5" x14ac:dyDescent="0.2">
      <c r="A52" s="2" t="s">
        <v>1834</v>
      </c>
      <c r="B52" s="54"/>
      <c r="C52" s="23">
        <v>0.49702266300000003</v>
      </c>
      <c r="D52" s="23">
        <v>0.46024546290000001</v>
      </c>
    </row>
    <row r="53" spans="1:5" x14ac:dyDescent="0.2">
      <c r="A53" s="21" t="s">
        <v>1835</v>
      </c>
      <c r="B53" s="22"/>
      <c r="C53" s="23">
        <v>0.28452746650000005</v>
      </c>
      <c r="D53" s="23">
        <v>0.26347385200000001</v>
      </c>
    </row>
    <row r="54" spans="1:5" x14ac:dyDescent="0.2">
      <c r="A54" s="21" t="s">
        <v>1844</v>
      </c>
      <c r="B54" s="22"/>
      <c r="C54" s="23">
        <v>0.34935650950000002</v>
      </c>
      <c r="D54" s="23">
        <v>0.32350586889999999</v>
      </c>
    </row>
    <row r="55" spans="1:5" x14ac:dyDescent="0.2">
      <c r="A55" s="75"/>
      <c r="B55" s="75"/>
      <c r="C55" s="76"/>
      <c r="D55" s="76"/>
    </row>
    <row r="56" spans="1:5" x14ac:dyDescent="0.2">
      <c r="A56" s="4" t="s">
        <v>834</v>
      </c>
      <c r="D56" s="59">
        <v>1.6777647842343675</v>
      </c>
      <c r="E56" s="59" t="s">
        <v>1106</v>
      </c>
    </row>
    <row r="58" spans="1:5" x14ac:dyDescent="0.2">
      <c r="A58" s="4" t="s">
        <v>836</v>
      </c>
      <c r="D58" s="67" t="s">
        <v>107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CCC5-9F61-460A-964C-C4382CD594C1}">
  <dimension ref="A1:F65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5.28515625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1845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1216</v>
      </c>
      <c r="B8" s="52" t="s">
        <v>1217</v>
      </c>
      <c r="C8" s="52" t="s">
        <v>688</v>
      </c>
      <c r="D8" s="14">
        <v>115</v>
      </c>
      <c r="E8" s="13">
        <v>1177.55745</v>
      </c>
      <c r="F8" s="49">
        <v>11.146176192896</v>
      </c>
    </row>
    <row r="9" spans="1:6" x14ac:dyDescent="0.2">
      <c r="A9" s="52" t="s">
        <v>1218</v>
      </c>
      <c r="B9" s="52" t="s">
        <v>1219</v>
      </c>
      <c r="C9" s="52" t="s">
        <v>688</v>
      </c>
      <c r="D9" s="14">
        <v>112</v>
      </c>
      <c r="E9" s="13">
        <v>1152.24928</v>
      </c>
      <c r="F9" s="49">
        <v>10.906621577586399</v>
      </c>
    </row>
    <row r="10" spans="1:6" x14ac:dyDescent="0.2">
      <c r="A10" s="52" t="s">
        <v>1842</v>
      </c>
      <c r="B10" s="52" t="s">
        <v>1843</v>
      </c>
      <c r="C10" s="52" t="s">
        <v>1215</v>
      </c>
      <c r="D10" s="14">
        <v>103</v>
      </c>
      <c r="E10" s="13">
        <v>1149.8302000000001</v>
      </c>
      <c r="F10" s="49">
        <v>10.883723763212499</v>
      </c>
    </row>
    <row r="11" spans="1:6" x14ac:dyDescent="0.2">
      <c r="A11" s="52" t="s">
        <v>1846</v>
      </c>
      <c r="B11" s="52" t="s">
        <v>1847</v>
      </c>
      <c r="C11" s="52" t="s">
        <v>688</v>
      </c>
      <c r="D11" s="14">
        <v>100</v>
      </c>
      <c r="E11" s="13">
        <v>1040.4190000000001</v>
      </c>
      <c r="F11" s="49">
        <v>9.8480914782006703</v>
      </c>
    </row>
    <row r="12" spans="1:6" x14ac:dyDescent="0.2">
      <c r="A12" s="52" t="s">
        <v>1828</v>
      </c>
      <c r="B12" s="52" t="s">
        <v>1829</v>
      </c>
      <c r="C12" s="52" t="s">
        <v>1215</v>
      </c>
      <c r="D12" s="14">
        <v>85</v>
      </c>
      <c r="E12" s="13">
        <v>945.96244999999999</v>
      </c>
      <c r="F12" s="49">
        <v>8.9540125108661304</v>
      </c>
    </row>
    <row r="13" spans="1:6" x14ac:dyDescent="0.2">
      <c r="A13" s="52" t="s">
        <v>1848</v>
      </c>
      <c r="B13" s="52" t="s">
        <v>1849</v>
      </c>
      <c r="C13" s="52" t="s">
        <v>688</v>
      </c>
      <c r="D13" s="14">
        <v>77</v>
      </c>
      <c r="E13" s="13">
        <v>803.95469000000003</v>
      </c>
      <c r="F13" s="49">
        <v>7.6098373169352502</v>
      </c>
    </row>
    <row r="14" spans="1:6" x14ac:dyDescent="0.2">
      <c r="A14" s="52" t="s">
        <v>1650</v>
      </c>
      <c r="B14" s="52" t="s">
        <v>1651</v>
      </c>
      <c r="C14" s="52" t="s">
        <v>712</v>
      </c>
      <c r="D14" s="14">
        <v>75</v>
      </c>
      <c r="E14" s="13">
        <v>777.25725</v>
      </c>
      <c r="F14" s="49">
        <v>7.3571325591849899</v>
      </c>
    </row>
    <row r="15" spans="1:6" x14ac:dyDescent="0.2">
      <c r="A15" s="52" t="s">
        <v>1850</v>
      </c>
      <c r="B15" s="52" t="s">
        <v>1851</v>
      </c>
      <c r="C15" s="52" t="s">
        <v>688</v>
      </c>
      <c r="D15" s="14">
        <v>70</v>
      </c>
      <c r="E15" s="13">
        <v>774.53599999999994</v>
      </c>
      <c r="F15" s="49">
        <v>7.3313745530979704</v>
      </c>
    </row>
    <row r="16" spans="1:6" x14ac:dyDescent="0.2">
      <c r="A16" s="52" t="s">
        <v>1852</v>
      </c>
      <c r="B16" s="52" t="s">
        <v>1853</v>
      </c>
      <c r="C16" s="52" t="s">
        <v>712</v>
      </c>
      <c r="D16" s="14">
        <v>21</v>
      </c>
      <c r="E16" s="13">
        <v>520.03612499999997</v>
      </c>
      <c r="F16" s="49">
        <v>4.9224046571323603</v>
      </c>
    </row>
    <row r="17" spans="1:6" x14ac:dyDescent="0.2">
      <c r="A17" s="52" t="s">
        <v>1854</v>
      </c>
      <c r="B17" s="52" t="s">
        <v>1855</v>
      </c>
      <c r="C17" s="52" t="s">
        <v>688</v>
      </c>
      <c r="D17" s="14">
        <v>33</v>
      </c>
      <c r="E17" s="13">
        <v>336.08454</v>
      </c>
      <c r="F17" s="49">
        <v>3.1812099686078299</v>
      </c>
    </row>
    <row r="18" spans="1:6" x14ac:dyDescent="0.2">
      <c r="A18" s="52" t="s">
        <v>1710</v>
      </c>
      <c r="B18" s="52" t="s">
        <v>1711</v>
      </c>
      <c r="C18" s="52" t="s">
        <v>688</v>
      </c>
      <c r="D18" s="14">
        <v>32</v>
      </c>
      <c r="E18" s="13">
        <v>329.59327999999999</v>
      </c>
      <c r="F18" s="49">
        <v>3.11976691317652</v>
      </c>
    </row>
    <row r="19" spans="1:6" x14ac:dyDescent="0.2">
      <c r="A19" s="52" t="s">
        <v>1694</v>
      </c>
      <c r="B19" s="52" t="s">
        <v>1695</v>
      </c>
      <c r="C19" s="52" t="s">
        <v>712</v>
      </c>
      <c r="D19" s="14">
        <v>310</v>
      </c>
      <c r="E19" s="13">
        <v>320.30315999999999</v>
      </c>
      <c r="F19" s="49">
        <v>3.0318312337978699</v>
      </c>
    </row>
    <row r="20" spans="1:6" x14ac:dyDescent="0.2">
      <c r="A20" s="52" t="s">
        <v>1856</v>
      </c>
      <c r="B20" s="52" t="s">
        <v>1857</v>
      </c>
      <c r="C20" s="52" t="s">
        <v>1208</v>
      </c>
      <c r="D20" s="14">
        <v>32</v>
      </c>
      <c r="E20" s="13">
        <v>285.68511999999998</v>
      </c>
      <c r="F20" s="49">
        <v>2.70415399538141</v>
      </c>
    </row>
    <row r="21" spans="1:6" x14ac:dyDescent="0.2">
      <c r="A21" s="52" t="s">
        <v>1617</v>
      </c>
      <c r="B21" s="52" t="s">
        <v>1618</v>
      </c>
      <c r="C21" s="52" t="s">
        <v>688</v>
      </c>
      <c r="D21" s="14">
        <v>2</v>
      </c>
      <c r="E21" s="13">
        <v>204.73159999999999</v>
      </c>
      <c r="F21" s="49">
        <v>1.9378880290329099</v>
      </c>
    </row>
    <row r="22" spans="1:6" x14ac:dyDescent="0.2">
      <c r="A22" s="52" t="s">
        <v>1858</v>
      </c>
      <c r="B22" s="52" t="s">
        <v>1859</v>
      </c>
      <c r="C22" s="52" t="s">
        <v>1208</v>
      </c>
      <c r="D22" s="14">
        <v>26</v>
      </c>
      <c r="E22" s="13">
        <v>130.65195</v>
      </c>
      <c r="F22" s="49">
        <v>1.23668671506893</v>
      </c>
    </row>
    <row r="23" spans="1:6" x14ac:dyDescent="0.2">
      <c r="A23" s="52" t="s">
        <v>1211</v>
      </c>
      <c r="B23" s="52" t="s">
        <v>1212</v>
      </c>
      <c r="C23" s="52" t="s">
        <v>688</v>
      </c>
      <c r="D23" s="14">
        <v>4</v>
      </c>
      <c r="E23" s="13">
        <v>39.730040000000002</v>
      </c>
      <c r="F23" s="49">
        <v>0.37606490111442797</v>
      </c>
    </row>
    <row r="24" spans="1:6" x14ac:dyDescent="0.2">
      <c r="A24" s="52" t="s">
        <v>1860</v>
      </c>
      <c r="B24" s="52" t="s">
        <v>1861</v>
      </c>
      <c r="C24" s="52" t="s">
        <v>688</v>
      </c>
      <c r="D24" s="14">
        <v>2</v>
      </c>
      <c r="E24" s="13">
        <v>23.167259999999999</v>
      </c>
      <c r="F24" s="49">
        <v>0.219289820523519</v>
      </c>
    </row>
    <row r="25" spans="1:6" x14ac:dyDescent="0.2">
      <c r="A25" s="52" t="s">
        <v>1213</v>
      </c>
      <c r="B25" s="52" t="s">
        <v>1214</v>
      </c>
      <c r="C25" s="52" t="s">
        <v>1215</v>
      </c>
      <c r="D25" s="14">
        <v>2</v>
      </c>
      <c r="E25" s="13">
        <v>22.82986</v>
      </c>
      <c r="F25" s="49">
        <v>0.216096159061411</v>
      </c>
    </row>
    <row r="26" spans="1:6" x14ac:dyDescent="0.2">
      <c r="A26" s="52" t="s">
        <v>1862</v>
      </c>
      <c r="B26" s="52" t="s">
        <v>1863</v>
      </c>
      <c r="C26" s="52" t="s">
        <v>688</v>
      </c>
      <c r="D26" s="14">
        <v>1</v>
      </c>
      <c r="E26" s="13">
        <v>10.11088</v>
      </c>
      <c r="F26" s="49">
        <v>9.5704587445163497E-2</v>
      </c>
    </row>
    <row r="27" spans="1:6" x14ac:dyDescent="0.2">
      <c r="A27" s="41" t="s">
        <v>43</v>
      </c>
      <c r="B27" s="52"/>
      <c r="C27" s="52"/>
      <c r="D27" s="14"/>
      <c r="E27" s="50">
        <f>SUM(E8:E26)</f>
        <v>10044.690134999997</v>
      </c>
      <c r="F27" s="6">
        <f>SUM(F8:F26)</f>
        <v>95.078066932322258</v>
      </c>
    </row>
    <row r="28" spans="1:6" x14ac:dyDescent="0.2">
      <c r="A28" s="52"/>
      <c r="B28" s="52"/>
      <c r="C28" s="52"/>
      <c r="D28" s="14"/>
      <c r="E28" s="13"/>
      <c r="F28" s="49"/>
    </row>
    <row r="29" spans="1:6" x14ac:dyDescent="0.2">
      <c r="A29" s="41" t="s">
        <v>772</v>
      </c>
      <c r="B29" s="52"/>
      <c r="C29" s="52"/>
      <c r="D29" s="14"/>
      <c r="E29" s="13"/>
      <c r="F29" s="49"/>
    </row>
    <row r="30" spans="1:6" x14ac:dyDescent="0.2">
      <c r="A30" s="52" t="s">
        <v>1716</v>
      </c>
      <c r="B30" s="52" t="s">
        <v>1717</v>
      </c>
      <c r="C30" s="52" t="s">
        <v>688</v>
      </c>
      <c r="D30" s="14">
        <v>29</v>
      </c>
      <c r="E30" s="13">
        <v>290.14006999999998</v>
      </c>
      <c r="F30" s="49">
        <v>2.7463223478728702</v>
      </c>
    </row>
    <row r="31" spans="1:6" x14ac:dyDescent="0.2">
      <c r="A31" s="41" t="s">
        <v>43</v>
      </c>
      <c r="B31" s="52"/>
      <c r="C31" s="52"/>
      <c r="D31" s="52"/>
      <c r="E31" s="50">
        <f>SUM(E30:E30)</f>
        <v>290.14006999999998</v>
      </c>
      <c r="F31" s="6">
        <f>SUM(F30:F30)</f>
        <v>2.7463223478728702</v>
      </c>
    </row>
    <row r="32" spans="1:6" x14ac:dyDescent="0.2">
      <c r="A32" s="52"/>
      <c r="B32" s="52"/>
      <c r="C32" s="52"/>
      <c r="D32" s="52"/>
      <c r="E32" s="13"/>
      <c r="F32" s="49"/>
    </row>
    <row r="33" spans="1:6" x14ac:dyDescent="0.2">
      <c r="A33" s="41" t="s">
        <v>43</v>
      </c>
      <c r="B33" s="52"/>
      <c r="C33" s="52"/>
      <c r="D33" s="52"/>
      <c r="E33" s="50">
        <f>E27+E31</f>
        <v>10334.830204999997</v>
      </c>
      <c r="F33" s="6">
        <f>F27+F31</f>
        <v>97.824389280195135</v>
      </c>
    </row>
    <row r="34" spans="1:6" x14ac:dyDescent="0.2">
      <c r="A34" s="52"/>
      <c r="B34" s="52"/>
      <c r="C34" s="52"/>
      <c r="D34" s="52"/>
      <c r="E34" s="13"/>
      <c r="F34" s="49"/>
    </row>
    <row r="35" spans="1:6" x14ac:dyDescent="0.2">
      <c r="A35" s="41" t="s">
        <v>100</v>
      </c>
      <c r="B35" s="52"/>
      <c r="C35" s="52"/>
      <c r="D35" s="52"/>
      <c r="E35" s="50">
        <v>229.8464381</v>
      </c>
      <c r="F35" s="6">
        <v>2.1800000000000002</v>
      </c>
    </row>
    <row r="36" spans="1:6" x14ac:dyDescent="0.2">
      <c r="A36" s="52"/>
      <c r="B36" s="52"/>
      <c r="C36" s="52"/>
      <c r="D36" s="52"/>
      <c r="E36" s="13"/>
      <c r="F36" s="49"/>
    </row>
    <row r="37" spans="1:6" x14ac:dyDescent="0.2">
      <c r="A37" s="57" t="s">
        <v>101</v>
      </c>
      <c r="B37" s="34"/>
      <c r="C37" s="34"/>
      <c r="D37" s="34"/>
      <c r="E37" s="51">
        <f>E33+E35</f>
        <v>10564.676643099996</v>
      </c>
      <c r="F37" s="8">
        <f>F33+F35</f>
        <v>100.00438928019514</v>
      </c>
    </row>
    <row r="38" spans="1:6" x14ac:dyDescent="0.2">
      <c r="A38" s="4" t="s">
        <v>1964</v>
      </c>
    </row>
    <row r="39" spans="1:6" x14ac:dyDescent="0.2">
      <c r="A39" s="4"/>
    </row>
    <row r="40" spans="1:6" x14ac:dyDescent="0.2">
      <c r="A40" s="4" t="s">
        <v>102</v>
      </c>
    </row>
    <row r="41" spans="1:6" x14ac:dyDescent="0.2">
      <c r="A41" s="4" t="s">
        <v>833</v>
      </c>
    </row>
    <row r="42" spans="1:6" x14ac:dyDescent="0.2">
      <c r="A42" s="4" t="s">
        <v>104</v>
      </c>
      <c r="D42" s="11"/>
    </row>
    <row r="43" spans="1:6" x14ac:dyDescent="0.2">
      <c r="A43" s="2" t="s">
        <v>598</v>
      </c>
      <c r="D43" s="92">
        <v>10.589399999999999</v>
      </c>
    </row>
    <row r="44" spans="1:6" x14ac:dyDescent="0.2">
      <c r="A44" s="2" t="s">
        <v>599</v>
      </c>
      <c r="D44" s="92">
        <v>10.589399999999999</v>
      </c>
    </row>
    <row r="45" spans="1:6" x14ac:dyDescent="0.2">
      <c r="A45" s="2" t="s">
        <v>1554</v>
      </c>
      <c r="D45" s="92">
        <v>10.0928</v>
      </c>
    </row>
    <row r="46" spans="1:6" x14ac:dyDescent="0.2">
      <c r="A46" s="2" t="s">
        <v>600</v>
      </c>
      <c r="D46" s="92">
        <v>10.6699</v>
      </c>
    </row>
    <row r="47" spans="1:6" x14ac:dyDescent="0.2">
      <c r="A47" s="2" t="s">
        <v>601</v>
      </c>
      <c r="D47" s="92">
        <v>10.6699</v>
      </c>
    </row>
    <row r="49" spans="1:5" x14ac:dyDescent="0.2">
      <c r="A49" s="4" t="s">
        <v>105</v>
      </c>
    </row>
    <row r="50" spans="1:5" x14ac:dyDescent="0.2">
      <c r="A50" s="2" t="s">
        <v>598</v>
      </c>
      <c r="D50" s="10">
        <v>11.1457</v>
      </c>
    </row>
    <row r="51" spans="1:5" x14ac:dyDescent="0.2">
      <c r="A51" s="2" t="s">
        <v>599</v>
      </c>
      <c r="D51" s="10">
        <v>10.426600000000001</v>
      </c>
    </row>
    <row r="52" spans="1:5" x14ac:dyDescent="0.2">
      <c r="A52" s="2" t="s">
        <v>1554</v>
      </c>
      <c r="D52" s="10">
        <v>10.216699999999999</v>
      </c>
    </row>
    <row r="53" spans="1:5" x14ac:dyDescent="0.2">
      <c r="A53" s="2" t="s">
        <v>600</v>
      </c>
      <c r="D53" s="10">
        <v>11.2578</v>
      </c>
    </row>
    <row r="54" spans="1:5" x14ac:dyDescent="0.2">
      <c r="A54" s="2" t="s">
        <v>601</v>
      </c>
      <c r="D54" s="10">
        <v>10.538500000000001</v>
      </c>
    </row>
    <row r="56" spans="1:5" x14ac:dyDescent="0.2">
      <c r="A56" s="4" t="s">
        <v>106</v>
      </c>
      <c r="D56" s="17" t="s">
        <v>319</v>
      </c>
    </row>
    <row r="57" spans="1:5" x14ac:dyDescent="0.2">
      <c r="A57" s="18" t="s">
        <v>602</v>
      </c>
      <c r="B57" s="19"/>
      <c r="C57" s="110" t="s">
        <v>603</v>
      </c>
      <c r="D57" s="111"/>
    </row>
    <row r="58" spans="1:5" x14ac:dyDescent="0.2">
      <c r="A58" s="112"/>
      <c r="B58" s="113"/>
      <c r="C58" s="20" t="s">
        <v>604</v>
      </c>
      <c r="D58" s="20" t="s">
        <v>605</v>
      </c>
    </row>
    <row r="59" spans="1:5" x14ac:dyDescent="0.2">
      <c r="A59" s="21" t="s">
        <v>599</v>
      </c>
      <c r="B59" s="22"/>
      <c r="C59" s="23">
        <v>0.50422589000000007</v>
      </c>
      <c r="D59" s="23">
        <v>0.46691568700000002</v>
      </c>
    </row>
    <row r="60" spans="1:5" x14ac:dyDescent="0.2">
      <c r="A60" s="21" t="s">
        <v>1554</v>
      </c>
      <c r="B60" s="22"/>
      <c r="C60" s="23">
        <v>0.28812908000000004</v>
      </c>
      <c r="D60" s="23">
        <v>0.26680896400000004</v>
      </c>
    </row>
    <row r="61" spans="1:5" x14ac:dyDescent="0.2">
      <c r="A61" s="94" t="s">
        <v>601</v>
      </c>
      <c r="B61" s="22"/>
      <c r="C61" s="23">
        <v>0.50422589000000007</v>
      </c>
      <c r="D61" s="23">
        <v>0.46691568700000002</v>
      </c>
    </row>
    <row r="63" spans="1:5" x14ac:dyDescent="0.2">
      <c r="A63" s="4" t="s">
        <v>834</v>
      </c>
      <c r="D63" s="59">
        <v>1.6296837018873418</v>
      </c>
      <c r="E63" s="59" t="s">
        <v>1787</v>
      </c>
    </row>
    <row r="65" spans="1:4" x14ac:dyDescent="0.2">
      <c r="A65" s="4" t="s">
        <v>836</v>
      </c>
      <c r="D65" s="67" t="s">
        <v>107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1510-93B1-4D91-8325-FA1218F7B97F}">
  <dimension ref="A1:F66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1864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1865</v>
      </c>
      <c r="B8" s="52" t="s">
        <v>1866</v>
      </c>
      <c r="C8" s="52" t="s">
        <v>688</v>
      </c>
      <c r="D8" s="14">
        <v>119</v>
      </c>
      <c r="E8" s="13">
        <v>1224.11492</v>
      </c>
      <c r="F8" s="49">
        <v>10.7867114786639</v>
      </c>
    </row>
    <row r="9" spans="1:6" x14ac:dyDescent="0.2">
      <c r="A9" s="52" t="s">
        <v>1696</v>
      </c>
      <c r="B9" s="52" t="s">
        <v>1697</v>
      </c>
      <c r="C9" s="52" t="s">
        <v>688</v>
      </c>
      <c r="D9" s="14">
        <v>114</v>
      </c>
      <c r="E9" s="13">
        <v>1170.5257799999999</v>
      </c>
      <c r="F9" s="49">
        <v>10.3144922595976</v>
      </c>
    </row>
    <row r="10" spans="1:6" x14ac:dyDescent="0.2">
      <c r="A10" s="52" t="s">
        <v>1867</v>
      </c>
      <c r="B10" s="52" t="s">
        <v>1868</v>
      </c>
      <c r="C10" s="52" t="s">
        <v>688</v>
      </c>
      <c r="D10" s="14">
        <v>99</v>
      </c>
      <c r="E10" s="13">
        <v>1131.6640500000001</v>
      </c>
      <c r="F10" s="49">
        <v>9.9720487012169094</v>
      </c>
    </row>
    <row r="11" spans="1:6" x14ac:dyDescent="0.2">
      <c r="A11" s="52" t="s">
        <v>1869</v>
      </c>
      <c r="B11" s="52" t="s">
        <v>1870</v>
      </c>
      <c r="C11" s="52" t="s">
        <v>712</v>
      </c>
      <c r="D11" s="14">
        <v>100</v>
      </c>
      <c r="E11" s="13">
        <v>1032.5150000000001</v>
      </c>
      <c r="F11" s="49">
        <v>9.09836259686519</v>
      </c>
    </row>
    <row r="12" spans="1:6" x14ac:dyDescent="0.2">
      <c r="A12" s="52" t="s">
        <v>1871</v>
      </c>
      <c r="B12" s="52" t="s">
        <v>1872</v>
      </c>
      <c r="C12" s="52" t="s">
        <v>688</v>
      </c>
      <c r="D12" s="14">
        <v>100</v>
      </c>
      <c r="E12" s="13">
        <v>1014.66</v>
      </c>
      <c r="F12" s="49">
        <v>8.9410270964927694</v>
      </c>
    </row>
    <row r="13" spans="1:6" x14ac:dyDescent="0.2">
      <c r="A13" s="52" t="s">
        <v>1873</v>
      </c>
      <c r="B13" s="52" t="s">
        <v>1874</v>
      </c>
      <c r="C13" s="52" t="s">
        <v>712</v>
      </c>
      <c r="D13" s="14">
        <v>100</v>
      </c>
      <c r="E13" s="13">
        <v>999.23199999999997</v>
      </c>
      <c r="F13" s="49">
        <v>8.8050779450088292</v>
      </c>
    </row>
    <row r="14" spans="1:6" x14ac:dyDescent="0.2">
      <c r="A14" s="52" t="s">
        <v>1856</v>
      </c>
      <c r="B14" s="52" t="s">
        <v>1857</v>
      </c>
      <c r="C14" s="52" t="s">
        <v>1208</v>
      </c>
      <c r="D14" s="14">
        <v>96</v>
      </c>
      <c r="E14" s="13">
        <v>857.05535999999995</v>
      </c>
      <c r="F14" s="49">
        <v>7.5522393678220903</v>
      </c>
    </row>
    <row r="15" spans="1:6" x14ac:dyDescent="0.2">
      <c r="A15" s="52" t="s">
        <v>1672</v>
      </c>
      <c r="B15" s="52" t="s">
        <v>1673</v>
      </c>
      <c r="C15" s="52" t="s">
        <v>712</v>
      </c>
      <c r="D15" s="14">
        <v>74</v>
      </c>
      <c r="E15" s="13">
        <v>828.32417999999996</v>
      </c>
      <c r="F15" s="49">
        <v>7.2990646502869501</v>
      </c>
    </row>
    <row r="16" spans="1:6" x14ac:dyDescent="0.2">
      <c r="A16" s="52" t="s">
        <v>1710</v>
      </c>
      <c r="B16" s="52" t="s">
        <v>1711</v>
      </c>
      <c r="C16" s="52" t="s">
        <v>688</v>
      </c>
      <c r="D16" s="14">
        <v>67</v>
      </c>
      <c r="E16" s="13">
        <v>690.08592999999996</v>
      </c>
      <c r="F16" s="49">
        <v>6.0809305570717402</v>
      </c>
    </row>
    <row r="17" spans="1:6" x14ac:dyDescent="0.2">
      <c r="A17" s="52" t="s">
        <v>1617</v>
      </c>
      <c r="B17" s="52" t="s">
        <v>1618</v>
      </c>
      <c r="C17" s="52" t="s">
        <v>688</v>
      </c>
      <c r="D17" s="14">
        <v>5</v>
      </c>
      <c r="E17" s="13">
        <v>511.82900000000001</v>
      </c>
      <c r="F17" s="49">
        <v>4.51015804089133</v>
      </c>
    </row>
    <row r="18" spans="1:6" x14ac:dyDescent="0.2">
      <c r="A18" s="52" t="s">
        <v>1702</v>
      </c>
      <c r="B18" s="52" t="s">
        <v>1703</v>
      </c>
      <c r="C18" s="52" t="s">
        <v>688</v>
      </c>
      <c r="D18" s="14">
        <v>46</v>
      </c>
      <c r="E18" s="13">
        <v>483.78521999999998</v>
      </c>
      <c r="F18" s="49">
        <v>4.2630405859132301</v>
      </c>
    </row>
    <row r="19" spans="1:6" x14ac:dyDescent="0.2">
      <c r="A19" s="52" t="s">
        <v>1848</v>
      </c>
      <c r="B19" s="52" t="s">
        <v>1849</v>
      </c>
      <c r="C19" s="52" t="s">
        <v>688</v>
      </c>
      <c r="D19" s="14">
        <v>23</v>
      </c>
      <c r="E19" s="13">
        <v>240.14231000000001</v>
      </c>
      <c r="F19" s="49">
        <v>2.1160969198789399</v>
      </c>
    </row>
    <row r="20" spans="1:6" x14ac:dyDescent="0.2">
      <c r="A20" s="52" t="s">
        <v>1714</v>
      </c>
      <c r="B20" s="52" t="s">
        <v>1715</v>
      </c>
      <c r="C20" s="52" t="s">
        <v>688</v>
      </c>
      <c r="D20" s="14">
        <v>20</v>
      </c>
      <c r="E20" s="13">
        <v>201.24080000000001</v>
      </c>
      <c r="F20" s="49">
        <v>1.77330282628652</v>
      </c>
    </row>
    <row r="21" spans="1:6" x14ac:dyDescent="0.2">
      <c r="A21" s="52" t="s">
        <v>1854</v>
      </c>
      <c r="B21" s="52" t="s">
        <v>1855</v>
      </c>
      <c r="C21" s="52" t="s">
        <v>688</v>
      </c>
      <c r="D21" s="14">
        <v>17</v>
      </c>
      <c r="E21" s="13">
        <v>173.13445999999999</v>
      </c>
      <c r="F21" s="49">
        <v>1.5256341022575499</v>
      </c>
    </row>
    <row r="22" spans="1:6" x14ac:dyDescent="0.2">
      <c r="A22" s="52" t="s">
        <v>1213</v>
      </c>
      <c r="B22" s="52" t="s">
        <v>1214</v>
      </c>
      <c r="C22" s="52" t="s">
        <v>1215</v>
      </c>
      <c r="D22" s="14">
        <v>2</v>
      </c>
      <c r="E22" s="13">
        <v>22.82986</v>
      </c>
      <c r="F22" s="49">
        <v>0.20117319778954201</v>
      </c>
    </row>
    <row r="23" spans="1:6" x14ac:dyDescent="0.2">
      <c r="A23" s="52" t="s">
        <v>1858</v>
      </c>
      <c r="B23" s="52" t="s">
        <v>1859</v>
      </c>
      <c r="C23" s="52" t="s">
        <v>1208</v>
      </c>
      <c r="D23" s="14">
        <v>4</v>
      </c>
      <c r="E23" s="13">
        <v>20.100300000000001</v>
      </c>
      <c r="F23" s="49">
        <v>0.17712073694403399</v>
      </c>
    </row>
    <row r="24" spans="1:6" x14ac:dyDescent="0.2">
      <c r="A24" s="52" t="s">
        <v>1860</v>
      </c>
      <c r="B24" s="52" t="s">
        <v>1861</v>
      </c>
      <c r="C24" s="52" t="s">
        <v>688</v>
      </c>
      <c r="D24" s="14">
        <v>1</v>
      </c>
      <c r="E24" s="13">
        <v>11.583629999999999</v>
      </c>
      <c r="F24" s="49">
        <v>0.102073157220888</v>
      </c>
    </row>
    <row r="25" spans="1:6" x14ac:dyDescent="0.2">
      <c r="A25" s="41" t="s">
        <v>43</v>
      </c>
      <c r="B25" s="52"/>
      <c r="C25" s="52"/>
      <c r="D25" s="14"/>
      <c r="E25" s="50">
        <f>SUM(E8:E24)</f>
        <v>10612.822799999996</v>
      </c>
      <c r="F25" s="6">
        <f>SUM(F8:F24)</f>
        <v>93.518554220208017</v>
      </c>
    </row>
    <row r="26" spans="1:6" x14ac:dyDescent="0.2">
      <c r="A26" s="52"/>
      <c r="B26" s="52"/>
      <c r="C26" s="52"/>
      <c r="D26" s="14"/>
      <c r="E26" s="13"/>
      <c r="F26" s="49"/>
    </row>
    <row r="27" spans="1:6" x14ac:dyDescent="0.2">
      <c r="A27" s="41" t="s">
        <v>772</v>
      </c>
      <c r="B27" s="52"/>
      <c r="C27" s="52"/>
      <c r="D27" s="14"/>
      <c r="E27" s="13"/>
      <c r="F27" s="49"/>
    </row>
    <row r="28" spans="1:6" x14ac:dyDescent="0.2">
      <c r="A28" s="52" t="s">
        <v>1716</v>
      </c>
      <c r="B28" s="52" t="s">
        <v>1717</v>
      </c>
      <c r="C28" s="52" t="s">
        <v>688</v>
      </c>
      <c r="D28" s="14">
        <v>37</v>
      </c>
      <c r="E28" s="13">
        <v>370.17871000000002</v>
      </c>
      <c r="F28" s="49">
        <v>3.2619575785531501</v>
      </c>
    </row>
    <row r="29" spans="1:6" x14ac:dyDescent="0.2">
      <c r="A29" s="41" t="s">
        <v>43</v>
      </c>
      <c r="B29" s="52"/>
      <c r="C29" s="52"/>
      <c r="D29" s="14"/>
      <c r="E29" s="50">
        <f>SUM(E28:E28)</f>
        <v>370.17871000000002</v>
      </c>
      <c r="F29" s="6">
        <f>SUM(F28:F28)</f>
        <v>3.2619575785531501</v>
      </c>
    </row>
    <row r="30" spans="1:6" x14ac:dyDescent="0.2">
      <c r="A30" s="52"/>
      <c r="B30" s="52"/>
      <c r="C30" s="52"/>
      <c r="D30" s="52"/>
      <c r="E30" s="13"/>
      <c r="F30" s="49"/>
    </row>
    <row r="31" spans="1:6" x14ac:dyDescent="0.2">
      <c r="A31" s="41" t="s">
        <v>43</v>
      </c>
      <c r="B31" s="52"/>
      <c r="C31" s="52"/>
      <c r="D31" s="52"/>
      <c r="E31" s="50">
        <f>E25+E29</f>
        <v>10983.001509999996</v>
      </c>
      <c r="F31" s="6">
        <f>F25+F29</f>
        <v>96.780511798761168</v>
      </c>
    </row>
    <row r="32" spans="1:6" x14ac:dyDescent="0.2">
      <c r="A32" s="52"/>
      <c r="B32" s="52"/>
      <c r="C32" s="52"/>
      <c r="D32" s="52"/>
      <c r="E32" s="13"/>
      <c r="F32" s="49"/>
    </row>
    <row r="33" spans="1:6" x14ac:dyDescent="0.2">
      <c r="A33" s="41" t="s">
        <v>100</v>
      </c>
      <c r="B33" s="52"/>
      <c r="C33" s="52"/>
      <c r="D33" s="52"/>
      <c r="E33" s="50">
        <v>365.36064190000002</v>
      </c>
      <c r="F33" s="6">
        <v>3.22</v>
      </c>
    </row>
    <row r="34" spans="1:6" x14ac:dyDescent="0.2">
      <c r="A34" s="52"/>
      <c r="B34" s="52"/>
      <c r="C34" s="52"/>
      <c r="D34" s="52"/>
      <c r="E34" s="13"/>
      <c r="F34" s="49"/>
    </row>
    <row r="35" spans="1:6" x14ac:dyDescent="0.2">
      <c r="A35" s="57" t="s">
        <v>101</v>
      </c>
      <c r="B35" s="34"/>
      <c r="C35" s="34"/>
      <c r="D35" s="34"/>
      <c r="E35" s="51">
        <f>E31+E33</f>
        <v>11348.362151899997</v>
      </c>
      <c r="F35" s="8">
        <f>F31+F33</f>
        <v>100.00051179876117</v>
      </c>
    </row>
    <row r="36" spans="1:6" x14ac:dyDescent="0.2">
      <c r="A36" s="4" t="s">
        <v>1964</v>
      </c>
    </row>
    <row r="37" spans="1:6" x14ac:dyDescent="0.2">
      <c r="A37" s="4"/>
    </row>
    <row r="38" spans="1:6" x14ac:dyDescent="0.2">
      <c r="A38" s="4" t="s">
        <v>102</v>
      </c>
    </row>
    <row r="39" spans="1:6" x14ac:dyDescent="0.2">
      <c r="A39" s="4" t="s">
        <v>833</v>
      </c>
    </row>
    <row r="40" spans="1:6" x14ac:dyDescent="0.2">
      <c r="A40" s="4" t="s">
        <v>104</v>
      </c>
      <c r="D40" s="11"/>
    </row>
    <row r="41" spans="1:6" x14ac:dyDescent="0.2">
      <c r="A41" s="2" t="s">
        <v>598</v>
      </c>
      <c r="D41" s="92">
        <v>10.6569</v>
      </c>
    </row>
    <row r="42" spans="1:6" x14ac:dyDescent="0.2">
      <c r="A42" s="2" t="s">
        <v>599</v>
      </c>
      <c r="D42" s="92">
        <v>10.6569</v>
      </c>
    </row>
    <row r="43" spans="1:6" x14ac:dyDescent="0.2">
      <c r="A43" s="2" t="s">
        <v>1554</v>
      </c>
      <c r="D43" s="92">
        <v>10.156000000000001</v>
      </c>
    </row>
    <row r="44" spans="1:6" x14ac:dyDescent="0.2">
      <c r="A44" s="2" t="s">
        <v>600</v>
      </c>
      <c r="D44" s="92">
        <v>10.7461</v>
      </c>
    </row>
    <row r="45" spans="1:6" x14ac:dyDescent="0.2">
      <c r="A45" s="2" t="s">
        <v>601</v>
      </c>
      <c r="D45" s="92">
        <v>10.7461</v>
      </c>
    </row>
    <row r="46" spans="1:6" x14ac:dyDescent="0.2">
      <c r="A46" s="2" t="s">
        <v>1556</v>
      </c>
      <c r="D46" s="92">
        <v>10.202199999999999</v>
      </c>
    </row>
    <row r="48" spans="1:6" x14ac:dyDescent="0.2">
      <c r="A48" s="4" t="s">
        <v>105</v>
      </c>
    </row>
    <row r="49" spans="1:5" x14ac:dyDescent="0.2">
      <c r="A49" s="2" t="s">
        <v>598</v>
      </c>
      <c r="D49" s="10">
        <v>11.2545</v>
      </c>
    </row>
    <row r="50" spans="1:5" x14ac:dyDescent="0.2">
      <c r="A50" s="2" t="s">
        <v>599</v>
      </c>
      <c r="D50" s="10">
        <v>10.584</v>
      </c>
    </row>
    <row r="51" spans="1:5" x14ac:dyDescent="0.2">
      <c r="A51" s="2" t="s">
        <v>1554</v>
      </c>
      <c r="D51" s="10">
        <v>10.3459</v>
      </c>
    </row>
    <row r="52" spans="1:5" x14ac:dyDescent="0.2">
      <c r="A52" s="2" t="s">
        <v>600</v>
      </c>
      <c r="D52" s="10">
        <v>11.3673</v>
      </c>
    </row>
    <row r="53" spans="1:5" x14ac:dyDescent="0.2">
      <c r="A53" s="2" t="s">
        <v>601</v>
      </c>
      <c r="D53" s="10">
        <v>10.6968</v>
      </c>
    </row>
    <row r="54" spans="1:5" x14ac:dyDescent="0.2">
      <c r="A54" s="2" t="s">
        <v>1556</v>
      </c>
      <c r="D54" s="10">
        <v>10.4124</v>
      </c>
    </row>
    <row r="56" spans="1:5" x14ac:dyDescent="0.2">
      <c r="A56" s="4" t="s">
        <v>106</v>
      </c>
      <c r="D56" s="17" t="s">
        <v>319</v>
      </c>
    </row>
    <row r="57" spans="1:5" x14ac:dyDescent="0.2">
      <c r="A57" s="18" t="s">
        <v>602</v>
      </c>
      <c r="B57" s="19"/>
      <c r="C57" s="110" t="s">
        <v>603</v>
      </c>
      <c r="D57" s="111"/>
    </row>
    <row r="58" spans="1:5" x14ac:dyDescent="0.2">
      <c r="A58" s="112"/>
      <c r="B58" s="113"/>
      <c r="C58" s="20" t="s">
        <v>604</v>
      </c>
      <c r="D58" s="20" t="s">
        <v>605</v>
      </c>
    </row>
    <row r="59" spans="1:5" x14ac:dyDescent="0.2">
      <c r="A59" s="2" t="s">
        <v>599</v>
      </c>
      <c r="B59" s="54"/>
      <c r="C59" s="95">
        <v>0.46460814150000002</v>
      </c>
      <c r="D59" s="95">
        <v>0.4302294545</v>
      </c>
    </row>
    <row r="60" spans="1:5" x14ac:dyDescent="0.2">
      <c r="A60" s="21" t="s">
        <v>1835</v>
      </c>
      <c r="B60" s="22"/>
      <c r="C60" s="95">
        <v>0.26651939899999999</v>
      </c>
      <c r="D60" s="95">
        <v>0.24679829170000001</v>
      </c>
    </row>
    <row r="61" spans="1:5" x14ac:dyDescent="0.2">
      <c r="A61" s="2" t="s">
        <v>601</v>
      </c>
      <c r="B61" s="22"/>
      <c r="C61" s="95">
        <v>0.46460814150000002</v>
      </c>
      <c r="D61" s="95">
        <v>0.4302294545</v>
      </c>
    </row>
    <row r="62" spans="1:5" x14ac:dyDescent="0.2">
      <c r="A62" s="21" t="s">
        <v>1844</v>
      </c>
      <c r="B62" s="22"/>
      <c r="C62" s="95">
        <v>0.26651939899999999</v>
      </c>
      <c r="D62" s="95">
        <v>0.24679829170000001</v>
      </c>
    </row>
    <row r="64" spans="1:5" x14ac:dyDescent="0.2">
      <c r="A64" s="4" t="s">
        <v>834</v>
      </c>
      <c r="D64" s="59">
        <v>1.5290638915569148</v>
      </c>
      <c r="E64" s="59" t="s">
        <v>1106</v>
      </c>
    </row>
    <row r="66" spans="1:4" x14ac:dyDescent="0.2">
      <c r="A66" s="4" t="s">
        <v>836</v>
      </c>
      <c r="D66" s="67" t="s">
        <v>107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D782-13CE-4358-BB44-F7E34698CD99}">
  <dimension ref="A1:F59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1875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1714</v>
      </c>
      <c r="B8" s="52" t="s">
        <v>1715</v>
      </c>
      <c r="C8" s="52" t="s">
        <v>688</v>
      </c>
      <c r="D8" s="14">
        <v>105</v>
      </c>
      <c r="E8" s="13">
        <v>1056.5142000000001</v>
      </c>
      <c r="F8" s="49">
        <v>10.8815907029086</v>
      </c>
    </row>
    <row r="9" spans="1:6" x14ac:dyDescent="0.2">
      <c r="A9" s="52" t="s">
        <v>1876</v>
      </c>
      <c r="B9" s="52" t="s">
        <v>1877</v>
      </c>
      <c r="C9" s="52" t="s">
        <v>712</v>
      </c>
      <c r="D9" s="14">
        <v>100</v>
      </c>
      <c r="E9" s="13">
        <v>1017.872</v>
      </c>
      <c r="F9" s="49">
        <v>10.483594533751599</v>
      </c>
    </row>
    <row r="10" spans="1:6" x14ac:dyDescent="0.2">
      <c r="A10" s="52" t="s">
        <v>1858</v>
      </c>
      <c r="B10" s="52" t="s">
        <v>1859</v>
      </c>
      <c r="C10" s="52" t="s">
        <v>1208</v>
      </c>
      <c r="D10" s="14">
        <v>170</v>
      </c>
      <c r="E10" s="13">
        <v>854.26274999999998</v>
      </c>
      <c r="F10" s="49">
        <v>8.79849754810785</v>
      </c>
    </row>
    <row r="11" spans="1:6" x14ac:dyDescent="0.2">
      <c r="A11" s="52" t="s">
        <v>1878</v>
      </c>
      <c r="B11" s="52" t="s">
        <v>1879</v>
      </c>
      <c r="C11" s="52" t="s">
        <v>1208</v>
      </c>
      <c r="D11" s="14">
        <v>78</v>
      </c>
      <c r="E11" s="13">
        <v>783.58799999999997</v>
      </c>
      <c r="F11" s="49">
        <v>8.0705814419822701</v>
      </c>
    </row>
    <row r="12" spans="1:6" x14ac:dyDescent="0.2">
      <c r="A12" s="52" t="s">
        <v>1672</v>
      </c>
      <c r="B12" s="52" t="s">
        <v>1673</v>
      </c>
      <c r="C12" s="52" t="s">
        <v>712</v>
      </c>
      <c r="D12" s="14">
        <v>63</v>
      </c>
      <c r="E12" s="13">
        <v>705.19491000000005</v>
      </c>
      <c r="F12" s="49">
        <v>7.2631701271922902</v>
      </c>
    </row>
    <row r="13" spans="1:6" x14ac:dyDescent="0.2">
      <c r="A13" s="52" t="s">
        <v>1867</v>
      </c>
      <c r="B13" s="52" t="s">
        <v>1868</v>
      </c>
      <c r="C13" s="52" t="s">
        <v>688</v>
      </c>
      <c r="D13" s="14">
        <v>50</v>
      </c>
      <c r="E13" s="13">
        <v>571.54750000000001</v>
      </c>
      <c r="F13" s="49">
        <v>5.88666575638136</v>
      </c>
    </row>
    <row r="14" spans="1:6" x14ac:dyDescent="0.2">
      <c r="A14" s="52" t="s">
        <v>1712</v>
      </c>
      <c r="B14" s="52" t="s">
        <v>1713</v>
      </c>
      <c r="C14" s="52" t="s">
        <v>712</v>
      </c>
      <c r="D14" s="14">
        <v>52</v>
      </c>
      <c r="E14" s="13">
        <v>529.11508000000003</v>
      </c>
      <c r="F14" s="49">
        <v>5.4496321348986498</v>
      </c>
    </row>
    <row r="15" spans="1:6" x14ac:dyDescent="0.2">
      <c r="A15" s="52" t="s">
        <v>1880</v>
      </c>
      <c r="B15" s="52" t="s">
        <v>1881</v>
      </c>
      <c r="C15" s="52" t="s">
        <v>712</v>
      </c>
      <c r="D15" s="14">
        <v>50</v>
      </c>
      <c r="E15" s="13">
        <v>518.5385</v>
      </c>
      <c r="F15" s="49">
        <v>5.3406984219428102</v>
      </c>
    </row>
    <row r="16" spans="1:6" x14ac:dyDescent="0.2">
      <c r="A16" s="52" t="s">
        <v>1854</v>
      </c>
      <c r="B16" s="52" t="s">
        <v>1855</v>
      </c>
      <c r="C16" s="52" t="s">
        <v>688</v>
      </c>
      <c r="D16" s="14">
        <v>50</v>
      </c>
      <c r="E16" s="13">
        <v>509.21899999999999</v>
      </c>
      <c r="F16" s="49">
        <v>5.2447120314562898</v>
      </c>
    </row>
    <row r="17" spans="1:6" x14ac:dyDescent="0.2">
      <c r="A17" s="52" t="s">
        <v>1860</v>
      </c>
      <c r="B17" s="52" t="s">
        <v>1861</v>
      </c>
      <c r="C17" s="52" t="s">
        <v>688</v>
      </c>
      <c r="D17" s="14">
        <v>39</v>
      </c>
      <c r="E17" s="13">
        <v>451.76157000000001</v>
      </c>
      <c r="F17" s="49">
        <v>4.6529279966548396</v>
      </c>
    </row>
    <row r="18" spans="1:6" x14ac:dyDescent="0.2">
      <c r="A18" s="52" t="s">
        <v>1865</v>
      </c>
      <c r="B18" s="52" t="s">
        <v>1866</v>
      </c>
      <c r="C18" s="52" t="s">
        <v>688</v>
      </c>
      <c r="D18" s="14">
        <v>31</v>
      </c>
      <c r="E18" s="13">
        <v>318.88708000000003</v>
      </c>
      <c r="F18" s="49">
        <v>3.28438433199068</v>
      </c>
    </row>
    <row r="19" spans="1:6" x14ac:dyDescent="0.2">
      <c r="A19" s="52" t="s">
        <v>1619</v>
      </c>
      <c r="B19" s="52" t="s">
        <v>1620</v>
      </c>
      <c r="C19" s="52" t="s">
        <v>688</v>
      </c>
      <c r="D19" s="14">
        <v>28</v>
      </c>
      <c r="E19" s="13">
        <v>285.36059999999998</v>
      </c>
      <c r="F19" s="49">
        <v>2.93907763088884</v>
      </c>
    </row>
    <row r="20" spans="1:6" x14ac:dyDescent="0.2">
      <c r="A20" s="52" t="s">
        <v>1882</v>
      </c>
      <c r="B20" s="52" t="s">
        <v>1883</v>
      </c>
      <c r="C20" s="52" t="s">
        <v>688</v>
      </c>
      <c r="D20" s="14">
        <v>26</v>
      </c>
      <c r="E20" s="13">
        <v>268.61016000000001</v>
      </c>
      <c r="F20" s="49">
        <v>2.76655611421294</v>
      </c>
    </row>
    <row r="21" spans="1:6" x14ac:dyDescent="0.2">
      <c r="A21" s="52" t="s">
        <v>1884</v>
      </c>
      <c r="B21" s="52" t="s">
        <v>1885</v>
      </c>
      <c r="C21" s="52" t="s">
        <v>688</v>
      </c>
      <c r="D21" s="14">
        <v>21</v>
      </c>
      <c r="E21" s="13">
        <v>241.77132</v>
      </c>
      <c r="F21" s="49">
        <v>2.4901289049801099</v>
      </c>
    </row>
    <row r="22" spans="1:6" x14ac:dyDescent="0.2">
      <c r="A22" s="52" t="s">
        <v>1617</v>
      </c>
      <c r="B22" s="52" t="s">
        <v>1618</v>
      </c>
      <c r="C22" s="52" t="s">
        <v>688</v>
      </c>
      <c r="D22" s="14">
        <v>1</v>
      </c>
      <c r="E22" s="13">
        <v>102.36579999999999</v>
      </c>
      <c r="F22" s="49">
        <v>1.0543187565068199</v>
      </c>
    </row>
    <row r="23" spans="1:6" x14ac:dyDescent="0.2">
      <c r="A23" s="52" t="s">
        <v>1213</v>
      </c>
      <c r="B23" s="52" t="s">
        <v>1214</v>
      </c>
      <c r="C23" s="52" t="s">
        <v>1215</v>
      </c>
      <c r="D23" s="14">
        <v>6</v>
      </c>
      <c r="E23" s="13">
        <v>68.489580000000004</v>
      </c>
      <c r="F23" s="49">
        <v>0.70540990076055299</v>
      </c>
    </row>
    <row r="24" spans="1:6" x14ac:dyDescent="0.2">
      <c r="A24" s="52" t="s">
        <v>1886</v>
      </c>
      <c r="B24" s="52" t="s">
        <v>1887</v>
      </c>
      <c r="C24" s="52" t="s">
        <v>688</v>
      </c>
      <c r="D24" s="14">
        <v>1</v>
      </c>
      <c r="E24" s="13">
        <v>10.176159999999999</v>
      </c>
      <c r="F24" s="49">
        <v>0.10480957856251299</v>
      </c>
    </row>
    <row r="25" spans="1:6" x14ac:dyDescent="0.2">
      <c r="A25" s="52" t="s">
        <v>1211</v>
      </c>
      <c r="B25" s="52" t="s">
        <v>1212</v>
      </c>
      <c r="C25" s="52" t="s">
        <v>688</v>
      </c>
      <c r="D25" s="14">
        <v>1</v>
      </c>
      <c r="E25" s="13">
        <v>9.9325100000000006</v>
      </c>
      <c r="F25" s="49">
        <v>0.102300100152508</v>
      </c>
    </row>
    <row r="26" spans="1:6" x14ac:dyDescent="0.2">
      <c r="A26" s="41" t="s">
        <v>43</v>
      </c>
      <c r="B26" s="52"/>
      <c r="C26" s="52"/>
      <c r="D26" s="14"/>
      <c r="E26" s="50">
        <f>SUM(E8:E25)</f>
        <v>8303.2067200000001</v>
      </c>
      <c r="F26" s="6">
        <f>SUM(F8:F25)</f>
        <v>85.519056013331536</v>
      </c>
    </row>
    <row r="27" spans="1:6" x14ac:dyDescent="0.2">
      <c r="A27" s="52"/>
      <c r="B27" s="52"/>
      <c r="C27" s="52"/>
      <c r="D27" s="14"/>
      <c r="E27" s="13"/>
      <c r="F27" s="49"/>
    </row>
    <row r="28" spans="1:6" x14ac:dyDescent="0.2">
      <c r="A28" s="41" t="s">
        <v>772</v>
      </c>
      <c r="B28" s="52"/>
      <c r="C28" s="52"/>
      <c r="D28" s="14"/>
      <c r="E28" s="13"/>
      <c r="F28" s="49"/>
    </row>
    <row r="29" spans="1:6" x14ac:dyDescent="0.2">
      <c r="A29" s="52" t="s">
        <v>1888</v>
      </c>
      <c r="B29" s="52" t="s">
        <v>1889</v>
      </c>
      <c r="C29" s="52" t="s">
        <v>1208</v>
      </c>
      <c r="D29" s="14">
        <v>95</v>
      </c>
      <c r="E29" s="13">
        <v>954.56095000000005</v>
      </c>
      <c r="F29" s="49">
        <v>9.8315210139907201</v>
      </c>
    </row>
    <row r="30" spans="1:6" x14ac:dyDescent="0.2">
      <c r="A30" s="52" t="s">
        <v>1716</v>
      </c>
      <c r="B30" s="52" t="s">
        <v>1717</v>
      </c>
      <c r="C30" s="52" t="s">
        <v>688</v>
      </c>
      <c r="D30" s="14">
        <v>3</v>
      </c>
      <c r="E30" s="13">
        <v>30.014489999999999</v>
      </c>
      <c r="F30" s="49">
        <v>0.30913488463907302</v>
      </c>
    </row>
    <row r="31" spans="1:6" x14ac:dyDescent="0.2">
      <c r="A31" s="41" t="s">
        <v>43</v>
      </c>
      <c r="B31" s="52"/>
      <c r="C31" s="52"/>
      <c r="D31" s="14"/>
      <c r="E31" s="50">
        <f>SUM(E29:E30)</f>
        <v>984.57544000000007</v>
      </c>
      <c r="F31" s="6">
        <f>SUM(F29:F30)</f>
        <v>10.140655898629793</v>
      </c>
    </row>
    <row r="32" spans="1:6" x14ac:dyDescent="0.2">
      <c r="A32" s="52"/>
      <c r="B32" s="52"/>
      <c r="C32" s="52"/>
      <c r="D32" s="52"/>
      <c r="E32" s="13"/>
      <c r="F32" s="49"/>
    </row>
    <row r="33" spans="1:6" x14ac:dyDescent="0.2">
      <c r="A33" s="41" t="s">
        <v>43</v>
      </c>
      <c r="B33" s="52"/>
      <c r="C33" s="52"/>
      <c r="D33" s="52"/>
      <c r="E33" s="50">
        <f>E26+E31</f>
        <v>9287.7821600000007</v>
      </c>
      <c r="F33" s="6">
        <f>F26+F31</f>
        <v>95.659711911961324</v>
      </c>
    </row>
    <row r="34" spans="1:6" x14ac:dyDescent="0.2">
      <c r="A34" s="52"/>
      <c r="B34" s="52"/>
      <c r="C34" s="52"/>
      <c r="D34" s="52"/>
      <c r="E34" s="13"/>
      <c r="F34" s="49"/>
    </row>
    <row r="35" spans="1:6" x14ac:dyDescent="0.2">
      <c r="A35" s="41" t="s">
        <v>100</v>
      </c>
      <c r="B35" s="52"/>
      <c r="C35" s="52"/>
      <c r="D35" s="52"/>
      <c r="E35" s="50">
        <v>421.40893060000002</v>
      </c>
      <c r="F35" s="6">
        <v>4.34</v>
      </c>
    </row>
    <row r="36" spans="1:6" x14ac:dyDescent="0.2">
      <c r="A36" s="52"/>
      <c r="B36" s="52"/>
      <c r="C36" s="52"/>
      <c r="D36" s="52"/>
      <c r="E36" s="13"/>
      <c r="F36" s="49"/>
    </row>
    <row r="37" spans="1:6" x14ac:dyDescent="0.2">
      <c r="A37" s="57" t="s">
        <v>101</v>
      </c>
      <c r="B37" s="34"/>
      <c r="C37" s="34"/>
      <c r="D37" s="34"/>
      <c r="E37" s="51">
        <f>E33+E35</f>
        <v>9709.1910906000012</v>
      </c>
      <c r="F37" s="8">
        <f>F33+F35</f>
        <v>99.999711911961327</v>
      </c>
    </row>
    <row r="38" spans="1:6" x14ac:dyDescent="0.2">
      <c r="A38" s="4" t="s">
        <v>1964</v>
      </c>
    </row>
    <row r="39" spans="1:6" x14ac:dyDescent="0.2">
      <c r="A39" s="4"/>
    </row>
    <row r="40" spans="1:6" x14ac:dyDescent="0.2">
      <c r="A40" s="4" t="s">
        <v>102</v>
      </c>
    </row>
    <row r="41" spans="1:6" x14ac:dyDescent="0.2">
      <c r="A41" s="4" t="s">
        <v>833</v>
      </c>
    </row>
    <row r="42" spans="1:6" x14ac:dyDescent="0.2">
      <c r="A42" s="4" t="s">
        <v>104</v>
      </c>
      <c r="D42" s="92"/>
    </row>
    <row r="43" spans="1:6" x14ac:dyDescent="0.2">
      <c r="A43" s="2" t="s">
        <v>598</v>
      </c>
      <c r="D43" s="92">
        <v>10.7448</v>
      </c>
    </row>
    <row r="44" spans="1:6" x14ac:dyDescent="0.2">
      <c r="A44" s="2" t="s">
        <v>599</v>
      </c>
      <c r="D44" s="92">
        <v>10.7448</v>
      </c>
    </row>
    <row r="45" spans="1:6" x14ac:dyDescent="0.2">
      <c r="A45" s="2" t="s">
        <v>600</v>
      </c>
      <c r="D45" s="92">
        <v>10.815899999999999</v>
      </c>
    </row>
    <row r="46" spans="1:6" x14ac:dyDescent="0.2">
      <c r="D46" s="11"/>
    </row>
    <row r="47" spans="1:6" x14ac:dyDescent="0.2">
      <c r="A47" s="4" t="s">
        <v>105</v>
      </c>
    </row>
    <row r="48" spans="1:6" x14ac:dyDescent="0.2">
      <c r="A48" s="2" t="s">
        <v>598</v>
      </c>
      <c r="D48" s="10">
        <v>11.334899999999999</v>
      </c>
    </row>
    <row r="49" spans="1:5" x14ac:dyDescent="0.2">
      <c r="A49" s="2" t="s">
        <v>599</v>
      </c>
      <c r="D49" s="10">
        <v>10.6595</v>
      </c>
    </row>
    <row r="50" spans="1:5" x14ac:dyDescent="0.2">
      <c r="A50" s="2" t="s">
        <v>600</v>
      </c>
      <c r="D50" s="10">
        <v>11.4201</v>
      </c>
    </row>
    <row r="52" spans="1:5" x14ac:dyDescent="0.2">
      <c r="A52" s="4" t="s">
        <v>106</v>
      </c>
      <c r="D52" s="17" t="s">
        <v>319</v>
      </c>
    </row>
    <row r="53" spans="1:5" x14ac:dyDescent="0.2">
      <c r="A53" s="18" t="s">
        <v>602</v>
      </c>
      <c r="B53" s="19"/>
      <c r="C53" s="110" t="s">
        <v>603</v>
      </c>
      <c r="D53" s="111"/>
    </row>
    <row r="54" spans="1:5" x14ac:dyDescent="0.2">
      <c r="A54" s="112"/>
      <c r="B54" s="113"/>
      <c r="C54" s="20" t="s">
        <v>604</v>
      </c>
      <c r="D54" s="20" t="s">
        <v>605</v>
      </c>
    </row>
    <row r="55" spans="1:5" x14ac:dyDescent="0.2">
      <c r="A55" s="94" t="s">
        <v>599</v>
      </c>
      <c r="B55" s="54"/>
      <c r="C55" s="96">
        <v>0.46820975500000001</v>
      </c>
      <c r="D55" s="96">
        <v>0.43356456650000003</v>
      </c>
    </row>
    <row r="56" spans="1:5" x14ac:dyDescent="0.2">
      <c r="B56" s="97"/>
      <c r="C56" s="98"/>
      <c r="D56" s="98"/>
    </row>
    <row r="57" spans="1:5" x14ac:dyDescent="0.2">
      <c r="A57" s="4" t="s">
        <v>834</v>
      </c>
      <c r="D57" s="59">
        <v>1.4141387937987804</v>
      </c>
      <c r="E57" s="59" t="s">
        <v>1787</v>
      </c>
    </row>
    <row r="59" spans="1:5" x14ac:dyDescent="0.2">
      <c r="A59" s="4" t="s">
        <v>836</v>
      </c>
      <c r="D59" s="67" t="s">
        <v>107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01E5-4746-4875-AE2E-F87CBBF2D147}">
  <dimension ref="A1:F6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1890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1891</v>
      </c>
      <c r="B8" s="52" t="s">
        <v>1892</v>
      </c>
      <c r="C8" s="52" t="s">
        <v>688</v>
      </c>
      <c r="D8" s="14">
        <v>173</v>
      </c>
      <c r="E8" s="13">
        <v>1754.6282799999999</v>
      </c>
      <c r="F8" s="49">
        <v>10.139378262103101</v>
      </c>
    </row>
    <row r="9" spans="1:6" x14ac:dyDescent="0.2">
      <c r="A9" s="52" t="s">
        <v>1692</v>
      </c>
      <c r="B9" s="52" t="s">
        <v>1693</v>
      </c>
      <c r="C9" s="52" t="s">
        <v>688</v>
      </c>
      <c r="D9" s="14">
        <v>161</v>
      </c>
      <c r="E9" s="13">
        <v>1629.5663300000001</v>
      </c>
      <c r="F9" s="49">
        <v>9.4166893417773903</v>
      </c>
    </row>
    <row r="10" spans="1:6" x14ac:dyDescent="0.2">
      <c r="A10" s="52" t="s">
        <v>1712</v>
      </c>
      <c r="B10" s="52" t="s">
        <v>1713</v>
      </c>
      <c r="C10" s="52" t="s">
        <v>712</v>
      </c>
      <c r="D10" s="14">
        <v>150</v>
      </c>
      <c r="E10" s="13">
        <v>1526.2935</v>
      </c>
      <c r="F10" s="49">
        <v>8.8199120645025193</v>
      </c>
    </row>
    <row r="11" spans="1:6" x14ac:dyDescent="0.2">
      <c r="A11" s="52" t="s">
        <v>1893</v>
      </c>
      <c r="B11" s="52" t="s">
        <v>1894</v>
      </c>
      <c r="C11" s="52" t="s">
        <v>1208</v>
      </c>
      <c r="D11" s="14">
        <v>149</v>
      </c>
      <c r="E11" s="13">
        <v>1511.24442</v>
      </c>
      <c r="F11" s="49">
        <v>8.7329487365111103</v>
      </c>
    </row>
    <row r="12" spans="1:6" x14ac:dyDescent="0.2">
      <c r="A12" s="52" t="s">
        <v>1858</v>
      </c>
      <c r="B12" s="52" t="s">
        <v>1859</v>
      </c>
      <c r="C12" s="52" t="s">
        <v>1208</v>
      </c>
      <c r="D12" s="14">
        <v>300</v>
      </c>
      <c r="E12" s="13">
        <v>1507.5225</v>
      </c>
      <c r="F12" s="49">
        <v>8.7114410729384595</v>
      </c>
    </row>
    <row r="13" spans="1:6" x14ac:dyDescent="0.2">
      <c r="A13" s="52" t="s">
        <v>1895</v>
      </c>
      <c r="B13" s="52" t="s">
        <v>1896</v>
      </c>
      <c r="C13" s="52" t="s">
        <v>688</v>
      </c>
      <c r="D13" s="14">
        <v>128</v>
      </c>
      <c r="E13" s="13">
        <v>1146.9811199999999</v>
      </c>
      <c r="F13" s="49">
        <v>6.6279995414018398</v>
      </c>
    </row>
    <row r="14" spans="1:6" x14ac:dyDescent="0.2">
      <c r="A14" s="52" t="s">
        <v>1710</v>
      </c>
      <c r="B14" s="52" t="s">
        <v>1711</v>
      </c>
      <c r="C14" s="52" t="s">
        <v>688</v>
      </c>
      <c r="D14" s="14">
        <v>100</v>
      </c>
      <c r="E14" s="13">
        <v>1029.979</v>
      </c>
      <c r="F14" s="49">
        <v>5.9518855372733004</v>
      </c>
    </row>
    <row r="15" spans="1:6" x14ac:dyDescent="0.2">
      <c r="A15" s="52" t="s">
        <v>1884</v>
      </c>
      <c r="B15" s="52" t="s">
        <v>1885</v>
      </c>
      <c r="C15" s="52" t="s">
        <v>688</v>
      </c>
      <c r="D15" s="14">
        <v>89</v>
      </c>
      <c r="E15" s="13">
        <v>1024.6498799999999</v>
      </c>
      <c r="F15" s="49">
        <v>5.9210904314950303</v>
      </c>
    </row>
    <row r="16" spans="1:6" x14ac:dyDescent="0.2">
      <c r="A16" s="52" t="s">
        <v>1860</v>
      </c>
      <c r="B16" s="52" t="s">
        <v>1861</v>
      </c>
      <c r="C16" s="52" t="s">
        <v>688</v>
      </c>
      <c r="D16" s="14">
        <v>84</v>
      </c>
      <c r="E16" s="13">
        <v>973.02491999999995</v>
      </c>
      <c r="F16" s="49">
        <v>5.6227679872643099</v>
      </c>
    </row>
    <row r="17" spans="1:6" x14ac:dyDescent="0.2">
      <c r="A17" s="52" t="s">
        <v>1897</v>
      </c>
      <c r="B17" s="52" t="s">
        <v>1898</v>
      </c>
      <c r="C17" s="52" t="s">
        <v>688</v>
      </c>
      <c r="D17" s="14">
        <v>50</v>
      </c>
      <c r="E17" s="13">
        <v>505.16300000000001</v>
      </c>
      <c r="F17" s="49">
        <v>2.9191588893225902</v>
      </c>
    </row>
    <row r="18" spans="1:6" x14ac:dyDescent="0.2">
      <c r="A18" s="52" t="s">
        <v>1619</v>
      </c>
      <c r="B18" s="52" t="s">
        <v>1620</v>
      </c>
      <c r="C18" s="52" t="s">
        <v>688</v>
      </c>
      <c r="D18" s="14">
        <v>29</v>
      </c>
      <c r="E18" s="13">
        <v>295.55205000000001</v>
      </c>
      <c r="F18" s="49">
        <v>1.7078911044851199</v>
      </c>
    </row>
    <row r="19" spans="1:6" x14ac:dyDescent="0.2">
      <c r="A19" s="52" t="s">
        <v>1211</v>
      </c>
      <c r="B19" s="52" t="s">
        <v>1212</v>
      </c>
      <c r="C19" s="52" t="s">
        <v>688</v>
      </c>
      <c r="D19" s="14">
        <v>24</v>
      </c>
      <c r="E19" s="13">
        <v>238.38023999999999</v>
      </c>
      <c r="F19" s="49">
        <v>1.37751536956359</v>
      </c>
    </row>
    <row r="20" spans="1:6" x14ac:dyDescent="0.2">
      <c r="A20" s="52" t="s">
        <v>1878</v>
      </c>
      <c r="B20" s="52" t="s">
        <v>1879</v>
      </c>
      <c r="C20" s="52" t="s">
        <v>1208</v>
      </c>
      <c r="D20" s="14">
        <v>22</v>
      </c>
      <c r="E20" s="13">
        <v>221.012</v>
      </c>
      <c r="F20" s="49">
        <v>1.27715043351743</v>
      </c>
    </row>
    <row r="21" spans="1:6" x14ac:dyDescent="0.2">
      <c r="A21" s="52" t="s">
        <v>1838</v>
      </c>
      <c r="B21" s="52" t="s">
        <v>1839</v>
      </c>
      <c r="C21" s="52" t="s">
        <v>688</v>
      </c>
      <c r="D21" s="14">
        <v>15</v>
      </c>
      <c r="E21" s="13">
        <v>173.69415000000001</v>
      </c>
      <c r="F21" s="49">
        <v>1.00371725956935</v>
      </c>
    </row>
    <row r="22" spans="1:6" x14ac:dyDescent="0.2">
      <c r="A22" s="52" t="s">
        <v>1714</v>
      </c>
      <c r="B22" s="52" t="s">
        <v>1715</v>
      </c>
      <c r="C22" s="52" t="s">
        <v>688</v>
      </c>
      <c r="D22" s="14">
        <v>8</v>
      </c>
      <c r="E22" s="13">
        <v>80.496319999999997</v>
      </c>
      <c r="F22" s="49">
        <v>0.46515985550358202</v>
      </c>
    </row>
    <row r="23" spans="1:6" x14ac:dyDescent="0.2">
      <c r="A23" s="41" t="s">
        <v>43</v>
      </c>
      <c r="B23" s="52"/>
      <c r="C23" s="52"/>
      <c r="D23" s="14"/>
      <c r="E23" s="50">
        <f>SUM(E8:E22)</f>
        <v>13618.187710000002</v>
      </c>
      <c r="F23" s="6">
        <f>SUM(F8:F22)</f>
        <v>78.694705887228736</v>
      </c>
    </row>
    <row r="24" spans="1:6" x14ac:dyDescent="0.2">
      <c r="A24" s="52"/>
      <c r="B24" s="52"/>
      <c r="C24" s="52"/>
      <c r="D24" s="14"/>
      <c r="E24" s="13"/>
      <c r="F24" s="49"/>
    </row>
    <row r="25" spans="1:6" x14ac:dyDescent="0.2">
      <c r="A25" s="41" t="s">
        <v>772</v>
      </c>
      <c r="B25" s="52"/>
      <c r="C25" s="52"/>
      <c r="D25" s="14"/>
      <c r="E25" s="13"/>
      <c r="F25" s="49"/>
    </row>
    <row r="26" spans="1:6" x14ac:dyDescent="0.2">
      <c r="A26" s="52" t="s">
        <v>1888</v>
      </c>
      <c r="B26" s="52" t="s">
        <v>1889</v>
      </c>
      <c r="C26" s="52" t="s">
        <v>1208</v>
      </c>
      <c r="D26" s="14">
        <v>150</v>
      </c>
      <c r="E26" s="13">
        <v>1507.2014999999999</v>
      </c>
      <c r="F26" s="49">
        <v>8.7095861271022201</v>
      </c>
    </row>
    <row r="27" spans="1:6" x14ac:dyDescent="0.2">
      <c r="A27" s="52" t="s">
        <v>1899</v>
      </c>
      <c r="B27" s="52" t="s">
        <v>1900</v>
      </c>
      <c r="C27" s="52" t="s">
        <v>688</v>
      </c>
      <c r="D27" s="14">
        <v>150</v>
      </c>
      <c r="E27" s="13">
        <v>1503.6</v>
      </c>
      <c r="F27" s="49">
        <v>8.6887743282573098</v>
      </c>
    </row>
    <row r="28" spans="1:6" x14ac:dyDescent="0.2">
      <c r="A28" s="52" t="s">
        <v>1716</v>
      </c>
      <c r="B28" s="52" t="s">
        <v>1717</v>
      </c>
      <c r="C28" s="52" t="s">
        <v>688</v>
      </c>
      <c r="D28" s="14">
        <v>2</v>
      </c>
      <c r="E28" s="13">
        <v>20.00966</v>
      </c>
      <c r="F28" s="49">
        <v>0.115628771032959</v>
      </c>
    </row>
    <row r="29" spans="1:6" x14ac:dyDescent="0.2">
      <c r="A29" s="41" t="s">
        <v>43</v>
      </c>
      <c r="B29" s="52"/>
      <c r="C29" s="52"/>
      <c r="D29" s="52"/>
      <c r="E29" s="50">
        <f>SUM(E26:E28)</f>
        <v>3030.8111599999997</v>
      </c>
      <c r="F29" s="6">
        <f>SUM(F26:F28)</f>
        <v>17.513989226392489</v>
      </c>
    </row>
    <row r="30" spans="1:6" x14ac:dyDescent="0.2">
      <c r="A30" s="52"/>
      <c r="B30" s="52"/>
      <c r="C30" s="52"/>
      <c r="D30" s="52"/>
      <c r="E30" s="13"/>
      <c r="F30" s="49"/>
    </row>
    <row r="31" spans="1:6" x14ac:dyDescent="0.2">
      <c r="A31" s="41" t="s">
        <v>43</v>
      </c>
      <c r="B31" s="52"/>
      <c r="C31" s="52"/>
      <c r="D31" s="52"/>
      <c r="E31" s="50">
        <f>E23+E29</f>
        <v>16648.998870000003</v>
      </c>
      <c r="F31" s="6">
        <f>F23+F29</f>
        <v>96.208695113621218</v>
      </c>
    </row>
    <row r="32" spans="1:6" x14ac:dyDescent="0.2">
      <c r="A32" s="52"/>
      <c r="B32" s="52"/>
      <c r="C32" s="52"/>
      <c r="D32" s="52"/>
      <c r="E32" s="13"/>
      <c r="F32" s="49"/>
    </row>
    <row r="33" spans="1:6" x14ac:dyDescent="0.2">
      <c r="A33" s="41" t="s">
        <v>100</v>
      </c>
      <c r="B33" s="52"/>
      <c r="C33" s="52"/>
      <c r="D33" s="52"/>
      <c r="E33" s="50">
        <v>656.08749790000002</v>
      </c>
      <c r="F33" s="6">
        <v>3.79</v>
      </c>
    </row>
    <row r="34" spans="1:6" x14ac:dyDescent="0.2">
      <c r="A34" s="52"/>
      <c r="B34" s="52"/>
      <c r="C34" s="52"/>
      <c r="D34" s="52"/>
      <c r="E34" s="13"/>
      <c r="F34" s="49"/>
    </row>
    <row r="35" spans="1:6" x14ac:dyDescent="0.2">
      <c r="A35" s="57" t="s">
        <v>101</v>
      </c>
      <c r="B35" s="34"/>
      <c r="C35" s="34"/>
      <c r="D35" s="34"/>
      <c r="E35" s="51">
        <f>E31+E33</f>
        <v>17305.086367900003</v>
      </c>
      <c r="F35" s="8">
        <f>F31+F33</f>
        <v>99.998695113621224</v>
      </c>
    </row>
    <row r="36" spans="1:6" x14ac:dyDescent="0.2">
      <c r="A36" s="4" t="s">
        <v>1964</v>
      </c>
    </row>
    <row r="37" spans="1:6" x14ac:dyDescent="0.2">
      <c r="A37" s="4"/>
    </row>
    <row r="38" spans="1:6" x14ac:dyDescent="0.2">
      <c r="A38" s="4" t="s">
        <v>102</v>
      </c>
    </row>
    <row r="39" spans="1:6" x14ac:dyDescent="0.2">
      <c r="A39" s="4" t="s">
        <v>833</v>
      </c>
    </row>
    <row r="40" spans="1:6" x14ac:dyDescent="0.2">
      <c r="A40" s="4" t="s">
        <v>104</v>
      </c>
    </row>
    <row r="41" spans="1:6" x14ac:dyDescent="0.2">
      <c r="A41" s="2" t="s">
        <v>598</v>
      </c>
      <c r="D41" s="10">
        <v>10.792400000000001</v>
      </c>
    </row>
    <row r="42" spans="1:6" x14ac:dyDescent="0.2">
      <c r="A42" s="2" t="s">
        <v>599</v>
      </c>
      <c r="D42" s="10">
        <v>10.792400000000001</v>
      </c>
    </row>
    <row r="43" spans="1:6" x14ac:dyDescent="0.2">
      <c r="A43" s="2" t="s">
        <v>1554</v>
      </c>
      <c r="D43" s="10">
        <v>10.1943</v>
      </c>
    </row>
    <row r="44" spans="1:6" x14ac:dyDescent="0.2">
      <c r="A44" s="2" t="s">
        <v>600</v>
      </c>
      <c r="D44" s="10">
        <v>10.853199999999999</v>
      </c>
    </row>
    <row r="45" spans="1:6" x14ac:dyDescent="0.2">
      <c r="A45" s="2" t="s">
        <v>601</v>
      </c>
      <c r="D45" s="10">
        <v>10.853199999999999</v>
      </c>
    </row>
    <row r="46" spans="1:6" x14ac:dyDescent="0.2">
      <c r="A46" s="2" t="s">
        <v>1556</v>
      </c>
      <c r="D46" s="10">
        <v>10.2439</v>
      </c>
    </row>
    <row r="48" spans="1:6" x14ac:dyDescent="0.2">
      <c r="A48" s="4" t="s">
        <v>105</v>
      </c>
    </row>
    <row r="49" spans="1:4" x14ac:dyDescent="0.2">
      <c r="A49" s="2" t="s">
        <v>598</v>
      </c>
      <c r="D49" s="10">
        <v>11.401899999999999</v>
      </c>
    </row>
    <row r="50" spans="1:4" x14ac:dyDescent="0.2">
      <c r="A50" s="2" t="s">
        <v>599</v>
      </c>
      <c r="D50" s="10">
        <v>10.674099999999999</v>
      </c>
    </row>
    <row r="51" spans="1:4" x14ac:dyDescent="0.2">
      <c r="A51" s="2" t="s">
        <v>1554</v>
      </c>
      <c r="D51" s="10">
        <v>10.359500000000001</v>
      </c>
    </row>
    <row r="52" spans="1:4" x14ac:dyDescent="0.2">
      <c r="A52" s="2" t="s">
        <v>600</v>
      </c>
      <c r="D52" s="10">
        <v>11.470499999999999</v>
      </c>
    </row>
    <row r="53" spans="1:4" x14ac:dyDescent="0.2">
      <c r="A53" s="2" t="s">
        <v>601</v>
      </c>
      <c r="D53" s="10">
        <v>10.742699999999999</v>
      </c>
    </row>
    <row r="54" spans="1:4" x14ac:dyDescent="0.2">
      <c r="A54" s="2" t="s">
        <v>1556</v>
      </c>
      <c r="D54" s="10">
        <v>10.416399999999999</v>
      </c>
    </row>
    <row r="57" spans="1:4" x14ac:dyDescent="0.2">
      <c r="A57" s="4" t="s">
        <v>106</v>
      </c>
      <c r="D57" s="17" t="s">
        <v>319</v>
      </c>
    </row>
    <row r="58" spans="1:4" x14ac:dyDescent="0.2">
      <c r="A58" s="18" t="s">
        <v>602</v>
      </c>
      <c r="B58" s="19"/>
      <c r="C58" s="110" t="s">
        <v>603</v>
      </c>
      <c r="D58" s="111"/>
    </row>
    <row r="59" spans="1:4" x14ac:dyDescent="0.2">
      <c r="A59" s="112"/>
      <c r="B59" s="113"/>
      <c r="C59" s="20" t="s">
        <v>604</v>
      </c>
      <c r="D59" s="20" t="s">
        <v>605</v>
      </c>
    </row>
    <row r="60" spans="1:4" x14ac:dyDescent="0.2">
      <c r="A60" s="2" t="s">
        <v>599</v>
      </c>
      <c r="B60" s="54"/>
      <c r="C60" s="95">
        <v>0.50422589000000007</v>
      </c>
      <c r="D60" s="95">
        <v>0.46691568700000002</v>
      </c>
    </row>
    <row r="61" spans="1:4" x14ac:dyDescent="0.2">
      <c r="A61" s="21" t="s">
        <v>1835</v>
      </c>
      <c r="B61" s="22"/>
      <c r="C61" s="95">
        <v>0.28812908000000004</v>
      </c>
      <c r="D61" s="95">
        <v>0.26680896409999999</v>
      </c>
    </row>
    <row r="62" spans="1:4" x14ac:dyDescent="0.2">
      <c r="A62" s="94" t="s">
        <v>601</v>
      </c>
      <c r="B62" s="22"/>
      <c r="C62" s="95">
        <v>0.50422589000000007</v>
      </c>
      <c r="D62" s="95">
        <v>0.46691568700000002</v>
      </c>
    </row>
    <row r="63" spans="1:4" x14ac:dyDescent="0.2">
      <c r="A63" s="99" t="s">
        <v>1556</v>
      </c>
      <c r="B63" s="22"/>
      <c r="C63" s="95">
        <v>0.28812908000000004</v>
      </c>
      <c r="D63" s="95">
        <v>0.26680896409999999</v>
      </c>
    </row>
    <row r="64" spans="1:4" x14ac:dyDescent="0.2">
      <c r="A64" s="4"/>
      <c r="D64" s="66"/>
    </row>
    <row r="65" spans="1:5" x14ac:dyDescent="0.2">
      <c r="A65" s="4" t="s">
        <v>834</v>
      </c>
      <c r="D65" s="59">
        <v>1.3839367023727849</v>
      </c>
      <c r="E65" s="59" t="s">
        <v>1787</v>
      </c>
    </row>
    <row r="67" spans="1:5" x14ac:dyDescent="0.2">
      <c r="A67" s="4" t="s">
        <v>836</v>
      </c>
      <c r="D67" s="67" t="s">
        <v>107</v>
      </c>
    </row>
  </sheetData>
  <mergeCells count="3">
    <mergeCell ref="A1:F1"/>
    <mergeCell ref="C58:D58"/>
    <mergeCell ref="A59:B5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3F21-B6BB-447A-A7B4-A4993ECEB376}">
  <dimension ref="A1:F5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1901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52"/>
      <c r="E7" s="13"/>
      <c r="F7" s="49"/>
    </row>
    <row r="8" spans="1:6" x14ac:dyDescent="0.2">
      <c r="A8" s="52" t="s">
        <v>1692</v>
      </c>
      <c r="B8" s="52" t="s">
        <v>1693</v>
      </c>
      <c r="C8" s="52" t="s">
        <v>688</v>
      </c>
      <c r="D8" s="14">
        <v>52</v>
      </c>
      <c r="E8" s="13">
        <v>526.31956000000002</v>
      </c>
      <c r="F8" s="49">
        <v>9.8565464398454008</v>
      </c>
    </row>
    <row r="9" spans="1:6" x14ac:dyDescent="0.2">
      <c r="A9" s="52" t="s">
        <v>1860</v>
      </c>
      <c r="B9" s="52" t="s">
        <v>1861</v>
      </c>
      <c r="C9" s="52" t="s">
        <v>688</v>
      </c>
      <c r="D9" s="14">
        <v>45</v>
      </c>
      <c r="E9" s="13">
        <v>521.26334999999995</v>
      </c>
      <c r="F9" s="49">
        <v>9.7618572577169402</v>
      </c>
    </row>
    <row r="10" spans="1:6" x14ac:dyDescent="0.2">
      <c r="A10" s="52" t="s">
        <v>1884</v>
      </c>
      <c r="B10" s="52" t="s">
        <v>1885</v>
      </c>
      <c r="C10" s="52" t="s">
        <v>688</v>
      </c>
      <c r="D10" s="14">
        <v>45</v>
      </c>
      <c r="E10" s="13">
        <v>518.08140000000003</v>
      </c>
      <c r="F10" s="49">
        <v>9.7022679125209006</v>
      </c>
    </row>
    <row r="11" spans="1:6" x14ac:dyDescent="0.2">
      <c r="A11" s="52" t="s">
        <v>1712</v>
      </c>
      <c r="B11" s="52" t="s">
        <v>1713</v>
      </c>
      <c r="C11" s="52" t="s">
        <v>712</v>
      </c>
      <c r="D11" s="14">
        <v>46</v>
      </c>
      <c r="E11" s="13">
        <v>468.06333999999998</v>
      </c>
      <c r="F11" s="49">
        <v>8.7655644937443409</v>
      </c>
    </row>
    <row r="12" spans="1:6" x14ac:dyDescent="0.2">
      <c r="A12" s="52" t="s">
        <v>1897</v>
      </c>
      <c r="B12" s="52" t="s">
        <v>1898</v>
      </c>
      <c r="C12" s="52" t="s">
        <v>688</v>
      </c>
      <c r="D12" s="14">
        <v>46</v>
      </c>
      <c r="E12" s="13">
        <v>464.74995999999999</v>
      </c>
      <c r="F12" s="49">
        <v>8.7035138189739492</v>
      </c>
    </row>
    <row r="13" spans="1:6" x14ac:dyDescent="0.2">
      <c r="A13" s="52" t="s">
        <v>1891</v>
      </c>
      <c r="B13" s="52" t="s">
        <v>1892</v>
      </c>
      <c r="C13" s="52" t="s">
        <v>688</v>
      </c>
      <c r="D13" s="14">
        <v>45</v>
      </c>
      <c r="E13" s="13">
        <v>456.40620000000001</v>
      </c>
      <c r="F13" s="49">
        <v>8.5472576883393199</v>
      </c>
    </row>
    <row r="14" spans="1:6" x14ac:dyDescent="0.2">
      <c r="A14" s="52" t="s">
        <v>1619</v>
      </c>
      <c r="B14" s="52" t="s">
        <v>1620</v>
      </c>
      <c r="C14" s="52" t="s">
        <v>688</v>
      </c>
      <c r="D14" s="14">
        <v>38</v>
      </c>
      <c r="E14" s="13">
        <v>387.27510000000001</v>
      </c>
      <c r="F14" s="49">
        <v>7.2526185577176197</v>
      </c>
    </row>
    <row r="15" spans="1:6" x14ac:dyDescent="0.2">
      <c r="A15" s="52" t="s">
        <v>1672</v>
      </c>
      <c r="B15" s="52" t="s">
        <v>1673</v>
      </c>
      <c r="C15" s="52" t="s">
        <v>712</v>
      </c>
      <c r="D15" s="14">
        <v>34</v>
      </c>
      <c r="E15" s="13">
        <v>380.58138000000002</v>
      </c>
      <c r="F15" s="49">
        <v>7.1272632278960897</v>
      </c>
    </row>
    <row r="16" spans="1:6" x14ac:dyDescent="0.2">
      <c r="A16" s="52" t="s">
        <v>1838</v>
      </c>
      <c r="B16" s="52" t="s">
        <v>1839</v>
      </c>
      <c r="C16" s="52" t="s">
        <v>688</v>
      </c>
      <c r="D16" s="14">
        <v>28</v>
      </c>
      <c r="E16" s="13">
        <v>324.22908000000001</v>
      </c>
      <c r="F16" s="49">
        <v>6.0719365705662698</v>
      </c>
    </row>
    <row r="17" spans="1:6" x14ac:dyDescent="0.2">
      <c r="A17" s="52" t="s">
        <v>1213</v>
      </c>
      <c r="B17" s="52" t="s">
        <v>1214</v>
      </c>
      <c r="C17" s="52" t="s">
        <v>1215</v>
      </c>
      <c r="D17" s="14">
        <v>20</v>
      </c>
      <c r="E17" s="13">
        <v>228.29859999999999</v>
      </c>
      <c r="F17" s="49">
        <v>4.2754173017086599</v>
      </c>
    </row>
    <row r="18" spans="1:6" x14ac:dyDescent="0.2">
      <c r="A18" s="52" t="s">
        <v>1876</v>
      </c>
      <c r="B18" s="52" t="s">
        <v>1877</v>
      </c>
      <c r="C18" s="52" t="s">
        <v>712</v>
      </c>
      <c r="D18" s="14">
        <v>20</v>
      </c>
      <c r="E18" s="13">
        <v>203.5744</v>
      </c>
      <c r="F18" s="49">
        <v>3.8123996903395798</v>
      </c>
    </row>
    <row r="19" spans="1:6" x14ac:dyDescent="0.2">
      <c r="A19" s="52" t="s">
        <v>1902</v>
      </c>
      <c r="B19" s="52" t="s">
        <v>1903</v>
      </c>
      <c r="C19" s="52" t="s">
        <v>688</v>
      </c>
      <c r="D19" s="14">
        <v>17</v>
      </c>
      <c r="E19" s="13">
        <v>153.24037999999999</v>
      </c>
      <c r="F19" s="49">
        <v>2.8697791925680201</v>
      </c>
    </row>
    <row r="20" spans="1:6" x14ac:dyDescent="0.2">
      <c r="A20" s="52" t="s">
        <v>1211</v>
      </c>
      <c r="B20" s="52" t="s">
        <v>1212</v>
      </c>
      <c r="C20" s="52" t="s">
        <v>688</v>
      </c>
      <c r="D20" s="14">
        <v>1</v>
      </c>
      <c r="E20" s="13">
        <v>9.9325100000000006</v>
      </c>
      <c r="F20" s="49">
        <v>0.18600913498109201</v>
      </c>
    </row>
    <row r="21" spans="1:6" x14ac:dyDescent="0.2">
      <c r="A21" s="41" t="s">
        <v>43</v>
      </c>
      <c r="B21" s="52"/>
      <c r="C21" s="52"/>
      <c r="D21" s="14"/>
      <c r="E21" s="50">
        <f>SUM(E8:E20)</f>
        <v>4642.0152600000001</v>
      </c>
      <c r="F21" s="6">
        <f>SUM(F8:F20)</f>
        <v>86.932431286918174</v>
      </c>
    </row>
    <row r="22" spans="1:6" x14ac:dyDescent="0.2">
      <c r="A22" s="52"/>
      <c r="B22" s="52"/>
      <c r="C22" s="52"/>
      <c r="D22" s="14"/>
      <c r="E22" s="13"/>
      <c r="F22" s="49"/>
    </row>
    <row r="23" spans="1:6" x14ac:dyDescent="0.2">
      <c r="A23" s="41" t="s">
        <v>772</v>
      </c>
      <c r="B23" s="52"/>
      <c r="C23" s="52"/>
      <c r="D23" s="14"/>
      <c r="E23" s="13"/>
      <c r="F23" s="49"/>
    </row>
    <row r="24" spans="1:6" x14ac:dyDescent="0.2">
      <c r="A24" s="52" t="s">
        <v>1888</v>
      </c>
      <c r="B24" s="52" t="s">
        <v>1889</v>
      </c>
      <c r="C24" s="52" t="s">
        <v>1208</v>
      </c>
      <c r="D24" s="14">
        <v>45</v>
      </c>
      <c r="E24" s="13">
        <v>452.16045000000003</v>
      </c>
      <c r="F24" s="49">
        <v>8.4677462370701004</v>
      </c>
    </row>
    <row r="25" spans="1:6" x14ac:dyDescent="0.2">
      <c r="A25" s="52" t="s">
        <v>1716</v>
      </c>
      <c r="B25" s="52" t="s">
        <v>1717</v>
      </c>
      <c r="C25" s="52" t="s">
        <v>688</v>
      </c>
      <c r="D25" s="14">
        <v>6</v>
      </c>
      <c r="E25" s="13">
        <v>60.028979999999997</v>
      </c>
      <c r="F25" s="49">
        <v>1.12418096167004</v>
      </c>
    </row>
    <row r="26" spans="1:6" x14ac:dyDescent="0.2">
      <c r="A26" s="41" t="s">
        <v>43</v>
      </c>
      <c r="B26" s="52"/>
      <c r="C26" s="52"/>
      <c r="D26" s="14"/>
      <c r="E26" s="50">
        <f>SUM(E24:E25)</f>
        <v>512.18943000000002</v>
      </c>
      <c r="F26" s="6">
        <f>SUM(F24:F25)</f>
        <v>9.5919271987401409</v>
      </c>
    </row>
    <row r="27" spans="1:6" x14ac:dyDescent="0.2">
      <c r="A27" s="52"/>
      <c r="B27" s="52"/>
      <c r="C27" s="52"/>
      <c r="D27" s="52"/>
      <c r="E27" s="13"/>
      <c r="F27" s="49"/>
    </row>
    <row r="28" spans="1:6" x14ac:dyDescent="0.2">
      <c r="A28" s="41" t="s">
        <v>43</v>
      </c>
      <c r="B28" s="52"/>
      <c r="C28" s="52"/>
      <c r="D28" s="52"/>
      <c r="E28" s="50">
        <f>E21+E26</f>
        <v>5154.2046900000005</v>
      </c>
      <c r="F28" s="6">
        <f>F21+F26</f>
        <v>96.524358485658311</v>
      </c>
    </row>
    <row r="29" spans="1:6" x14ac:dyDescent="0.2">
      <c r="A29" s="52"/>
      <c r="B29" s="52"/>
      <c r="C29" s="52"/>
      <c r="D29" s="52"/>
      <c r="E29" s="13"/>
      <c r="F29" s="49"/>
    </row>
    <row r="30" spans="1:6" x14ac:dyDescent="0.2">
      <c r="A30" s="41" t="s">
        <v>100</v>
      </c>
      <c r="B30" s="52"/>
      <c r="C30" s="52"/>
      <c r="D30" s="52"/>
      <c r="E30" s="50">
        <v>185.59688740000001</v>
      </c>
      <c r="F30" s="6">
        <v>3.48</v>
      </c>
    </row>
    <row r="31" spans="1:6" x14ac:dyDescent="0.2">
      <c r="A31" s="52"/>
      <c r="B31" s="52"/>
      <c r="C31" s="52"/>
      <c r="D31" s="52"/>
      <c r="E31" s="13"/>
      <c r="F31" s="49"/>
    </row>
    <row r="32" spans="1:6" x14ac:dyDescent="0.2">
      <c r="A32" s="57" t="s">
        <v>101</v>
      </c>
      <c r="B32" s="34"/>
      <c r="C32" s="34"/>
      <c r="D32" s="34"/>
      <c r="E32" s="51">
        <f>E28+E30</f>
        <v>5339.8015774000005</v>
      </c>
      <c r="F32" s="8">
        <f>F28+F30</f>
        <v>100.00435848565832</v>
      </c>
    </row>
    <row r="33" spans="1:4" x14ac:dyDescent="0.2">
      <c r="A33" s="4" t="s">
        <v>1964</v>
      </c>
    </row>
    <row r="34" spans="1:4" x14ac:dyDescent="0.2">
      <c r="A34" s="4"/>
    </row>
    <row r="35" spans="1:4" x14ac:dyDescent="0.2">
      <c r="A35" s="4" t="s">
        <v>102</v>
      </c>
    </row>
    <row r="36" spans="1:4" x14ac:dyDescent="0.2">
      <c r="A36" s="4" t="s">
        <v>833</v>
      </c>
    </row>
    <row r="37" spans="1:4" x14ac:dyDescent="0.2">
      <c r="A37" s="4" t="s">
        <v>104</v>
      </c>
    </row>
    <row r="38" spans="1:4" x14ac:dyDescent="0.2">
      <c r="A38" s="2" t="s">
        <v>598</v>
      </c>
      <c r="D38" s="10">
        <v>10.7272</v>
      </c>
    </row>
    <row r="39" spans="1:4" x14ac:dyDescent="0.2">
      <c r="A39" s="2" t="s">
        <v>599</v>
      </c>
      <c r="D39" s="10">
        <v>10.1538</v>
      </c>
    </row>
    <row r="40" spans="1:4" x14ac:dyDescent="0.2">
      <c r="A40" s="2" t="s">
        <v>1554</v>
      </c>
      <c r="D40" s="10">
        <v>10.162800000000001</v>
      </c>
    </row>
    <row r="41" spans="1:4" x14ac:dyDescent="0.2">
      <c r="A41" s="2" t="s">
        <v>600</v>
      </c>
      <c r="D41" s="10">
        <v>10.7918</v>
      </c>
    </row>
    <row r="42" spans="1:4" x14ac:dyDescent="0.2">
      <c r="A42" s="2" t="s">
        <v>1556</v>
      </c>
      <c r="D42" s="10">
        <v>10.2163</v>
      </c>
    </row>
    <row r="44" spans="1:4" x14ac:dyDescent="0.2">
      <c r="A44" s="4" t="s">
        <v>105</v>
      </c>
    </row>
    <row r="45" spans="1:4" x14ac:dyDescent="0.2">
      <c r="A45" s="2" t="s">
        <v>598</v>
      </c>
      <c r="D45" s="10">
        <v>11.333</v>
      </c>
    </row>
    <row r="46" spans="1:4" x14ac:dyDescent="0.2">
      <c r="A46" s="2" t="s">
        <v>599</v>
      </c>
      <c r="D46" s="10">
        <v>10.7271</v>
      </c>
    </row>
    <row r="47" spans="1:4" x14ac:dyDescent="0.2">
      <c r="A47" s="2" t="s">
        <v>1554</v>
      </c>
      <c r="D47" s="10">
        <v>10.2332</v>
      </c>
    </row>
    <row r="48" spans="1:4" x14ac:dyDescent="0.2">
      <c r="A48" s="2" t="s">
        <v>600</v>
      </c>
      <c r="D48" s="10">
        <v>11.401199999999999</v>
      </c>
    </row>
    <row r="49" spans="1:5" x14ac:dyDescent="0.2">
      <c r="A49" s="2" t="s">
        <v>1556</v>
      </c>
      <c r="D49" s="10">
        <v>10.2898</v>
      </c>
    </row>
    <row r="51" spans="1:5" x14ac:dyDescent="0.2">
      <c r="A51" s="4" t="s">
        <v>106</v>
      </c>
      <c r="D51" s="17" t="s">
        <v>319</v>
      </c>
    </row>
    <row r="52" spans="1:5" x14ac:dyDescent="0.2">
      <c r="A52" s="18" t="s">
        <v>602</v>
      </c>
      <c r="B52" s="19"/>
      <c r="C52" s="110" t="s">
        <v>603</v>
      </c>
      <c r="D52" s="111"/>
    </row>
    <row r="53" spans="1:5" x14ac:dyDescent="0.2">
      <c r="A53" s="112"/>
      <c r="B53" s="113"/>
      <c r="C53" s="20" t="s">
        <v>604</v>
      </c>
      <c r="D53" s="20" t="s">
        <v>605</v>
      </c>
    </row>
    <row r="54" spans="1:5" x14ac:dyDescent="0.2">
      <c r="A54" s="21" t="s">
        <v>1554</v>
      </c>
      <c r="B54" s="22"/>
      <c r="C54" s="95">
        <v>0.35295812300000001</v>
      </c>
      <c r="D54" s="95">
        <v>0.32684098100000003</v>
      </c>
    </row>
    <row r="55" spans="1:5" x14ac:dyDescent="0.2">
      <c r="A55" s="21" t="s">
        <v>1556</v>
      </c>
      <c r="B55" s="22"/>
      <c r="C55" s="95">
        <v>0.35295812300000001</v>
      </c>
      <c r="D55" s="95">
        <v>0.32684098100000003</v>
      </c>
    </row>
    <row r="57" spans="1:5" x14ac:dyDescent="0.2">
      <c r="A57" s="4" t="s">
        <v>834</v>
      </c>
      <c r="D57" s="59">
        <v>1.349855326308339</v>
      </c>
      <c r="E57" s="59" t="s">
        <v>1106</v>
      </c>
    </row>
    <row r="59" spans="1:5" x14ac:dyDescent="0.2">
      <c r="A59" s="4" t="s">
        <v>836</v>
      </c>
      <c r="D59" s="67" t="s">
        <v>107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670-ABDE-4FD7-AC7F-166FEDD8F5E4}">
  <dimension ref="A1:F66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1904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1860</v>
      </c>
      <c r="B8" s="52" t="s">
        <v>1861</v>
      </c>
      <c r="C8" s="52" t="s">
        <v>688</v>
      </c>
      <c r="D8" s="14">
        <v>100</v>
      </c>
      <c r="E8" s="13">
        <v>1158.3630000000001</v>
      </c>
      <c r="F8" s="49">
        <v>9.9208058359551092</v>
      </c>
    </row>
    <row r="9" spans="1:6" x14ac:dyDescent="0.2">
      <c r="A9" s="52" t="s">
        <v>1692</v>
      </c>
      <c r="B9" s="52" t="s">
        <v>1693</v>
      </c>
      <c r="C9" s="52" t="s">
        <v>688</v>
      </c>
      <c r="D9" s="14">
        <v>111</v>
      </c>
      <c r="E9" s="13">
        <v>1123.48983</v>
      </c>
      <c r="F9" s="49">
        <v>9.6221343931912706</v>
      </c>
    </row>
    <row r="10" spans="1:6" x14ac:dyDescent="0.2">
      <c r="A10" s="52" t="s">
        <v>1619</v>
      </c>
      <c r="B10" s="52" t="s">
        <v>1620</v>
      </c>
      <c r="C10" s="52" t="s">
        <v>688</v>
      </c>
      <c r="D10" s="14">
        <v>103</v>
      </c>
      <c r="E10" s="13">
        <v>1049.7193500000001</v>
      </c>
      <c r="F10" s="49">
        <v>8.9903267400590394</v>
      </c>
    </row>
    <row r="11" spans="1:6" x14ac:dyDescent="0.2">
      <c r="A11" s="52" t="s">
        <v>1876</v>
      </c>
      <c r="B11" s="52" t="s">
        <v>1877</v>
      </c>
      <c r="C11" s="52" t="s">
        <v>712</v>
      </c>
      <c r="D11" s="14">
        <v>101</v>
      </c>
      <c r="E11" s="13">
        <v>1028.05072</v>
      </c>
      <c r="F11" s="49">
        <v>8.8047456476371</v>
      </c>
    </row>
    <row r="12" spans="1:6" x14ac:dyDescent="0.2">
      <c r="A12" s="52" t="s">
        <v>1884</v>
      </c>
      <c r="B12" s="52" t="s">
        <v>1885</v>
      </c>
      <c r="C12" s="52" t="s">
        <v>688</v>
      </c>
      <c r="D12" s="14">
        <v>84</v>
      </c>
      <c r="E12" s="13">
        <v>967.08528000000001</v>
      </c>
      <c r="F12" s="49">
        <v>8.28260682505422</v>
      </c>
    </row>
    <row r="13" spans="1:6" x14ac:dyDescent="0.2">
      <c r="A13" s="52" t="s">
        <v>1838</v>
      </c>
      <c r="B13" s="52" t="s">
        <v>1839</v>
      </c>
      <c r="C13" s="52" t="s">
        <v>688</v>
      </c>
      <c r="D13" s="14">
        <v>77</v>
      </c>
      <c r="E13" s="13">
        <v>891.62996999999996</v>
      </c>
      <c r="F13" s="49">
        <v>7.6363694367728296</v>
      </c>
    </row>
    <row r="14" spans="1:6" x14ac:dyDescent="0.2">
      <c r="A14" s="52" t="s">
        <v>1672</v>
      </c>
      <c r="B14" s="52" t="s">
        <v>1673</v>
      </c>
      <c r="C14" s="52" t="s">
        <v>712</v>
      </c>
      <c r="D14" s="14">
        <v>70</v>
      </c>
      <c r="E14" s="13">
        <v>783.54989999999998</v>
      </c>
      <c r="F14" s="49">
        <v>6.7107171246682098</v>
      </c>
    </row>
    <row r="15" spans="1:6" x14ac:dyDescent="0.2">
      <c r="A15" s="52" t="s">
        <v>1905</v>
      </c>
      <c r="B15" s="52" t="s">
        <v>1906</v>
      </c>
      <c r="C15" s="52" t="s">
        <v>688</v>
      </c>
      <c r="D15" s="14">
        <v>75</v>
      </c>
      <c r="E15" s="13">
        <v>760.40174999999999</v>
      </c>
      <c r="F15" s="49">
        <v>6.5124646756418096</v>
      </c>
    </row>
    <row r="16" spans="1:6" x14ac:dyDescent="0.2">
      <c r="A16" s="52" t="s">
        <v>1907</v>
      </c>
      <c r="B16" s="52" t="s">
        <v>1908</v>
      </c>
      <c r="C16" s="52" t="s">
        <v>712</v>
      </c>
      <c r="D16" s="14">
        <v>56</v>
      </c>
      <c r="E16" s="13">
        <v>568.04664000000002</v>
      </c>
      <c r="F16" s="49">
        <v>4.8650383525774696</v>
      </c>
    </row>
    <row r="17" spans="1:6" x14ac:dyDescent="0.2">
      <c r="A17" s="52" t="s">
        <v>1537</v>
      </c>
      <c r="B17" s="52" t="s">
        <v>1538</v>
      </c>
      <c r="C17" s="52" t="s">
        <v>688</v>
      </c>
      <c r="D17" s="14">
        <v>45</v>
      </c>
      <c r="E17" s="13">
        <v>453.06945000000002</v>
      </c>
      <c r="F17" s="49">
        <v>3.8803156209693999</v>
      </c>
    </row>
    <row r="18" spans="1:6" x14ac:dyDescent="0.2">
      <c r="A18" s="52" t="s">
        <v>1891</v>
      </c>
      <c r="B18" s="52" t="s">
        <v>1892</v>
      </c>
      <c r="C18" s="52" t="s">
        <v>688</v>
      </c>
      <c r="D18" s="14">
        <v>27</v>
      </c>
      <c r="E18" s="13">
        <v>273.84372000000002</v>
      </c>
      <c r="F18" s="49">
        <v>2.3453359400426801</v>
      </c>
    </row>
    <row r="19" spans="1:6" x14ac:dyDescent="0.2">
      <c r="A19" s="52" t="s">
        <v>1882</v>
      </c>
      <c r="B19" s="52" t="s">
        <v>1883</v>
      </c>
      <c r="C19" s="52" t="s">
        <v>688</v>
      </c>
      <c r="D19" s="14">
        <v>11</v>
      </c>
      <c r="E19" s="13">
        <v>113.64276</v>
      </c>
      <c r="F19" s="49">
        <v>0.97329399905042402</v>
      </c>
    </row>
    <row r="20" spans="1:6" x14ac:dyDescent="0.2">
      <c r="A20" s="52" t="s">
        <v>1213</v>
      </c>
      <c r="B20" s="52" t="s">
        <v>1214</v>
      </c>
      <c r="C20" s="52" t="s">
        <v>1215</v>
      </c>
      <c r="D20" s="14">
        <v>9</v>
      </c>
      <c r="E20" s="13">
        <v>102.73437</v>
      </c>
      <c r="F20" s="49">
        <v>0.87986903712322595</v>
      </c>
    </row>
    <row r="21" spans="1:6" x14ac:dyDescent="0.2">
      <c r="A21" s="52" t="s">
        <v>1909</v>
      </c>
      <c r="B21" s="52" t="s">
        <v>1910</v>
      </c>
      <c r="C21" s="52" t="s">
        <v>688</v>
      </c>
      <c r="D21" s="14">
        <v>8</v>
      </c>
      <c r="E21" s="13">
        <v>80.915120000000002</v>
      </c>
      <c r="F21" s="49">
        <v>0.69299795894120297</v>
      </c>
    </row>
    <row r="22" spans="1:6" x14ac:dyDescent="0.2">
      <c r="A22" s="52" t="s">
        <v>1897</v>
      </c>
      <c r="B22" s="52" t="s">
        <v>1898</v>
      </c>
      <c r="C22" s="52" t="s">
        <v>688</v>
      </c>
      <c r="D22" s="14">
        <v>4</v>
      </c>
      <c r="E22" s="13">
        <v>40.413040000000002</v>
      </c>
      <c r="F22" s="49">
        <v>0.34611768770298001</v>
      </c>
    </row>
    <row r="23" spans="1:6" x14ac:dyDescent="0.2">
      <c r="A23" s="52" t="s">
        <v>1911</v>
      </c>
      <c r="B23" s="52" t="s">
        <v>1912</v>
      </c>
      <c r="C23" s="52" t="s">
        <v>688</v>
      </c>
      <c r="D23" s="14">
        <v>3</v>
      </c>
      <c r="E23" s="13">
        <v>38.731162500000003</v>
      </c>
      <c r="F23" s="49">
        <v>0.331713239255161</v>
      </c>
    </row>
    <row r="24" spans="1:6" x14ac:dyDescent="0.2">
      <c r="A24" s="52" t="s">
        <v>1712</v>
      </c>
      <c r="B24" s="52" t="s">
        <v>1713</v>
      </c>
      <c r="C24" s="52" t="s">
        <v>712</v>
      </c>
      <c r="D24" s="14">
        <v>1</v>
      </c>
      <c r="E24" s="13">
        <v>10.17529</v>
      </c>
      <c r="F24" s="49">
        <v>8.7146323229018594E-2</v>
      </c>
    </row>
    <row r="25" spans="1:6" x14ac:dyDescent="0.2">
      <c r="A25" s="52" t="s">
        <v>1211</v>
      </c>
      <c r="B25" s="52" t="s">
        <v>1212</v>
      </c>
      <c r="C25" s="52" t="s">
        <v>688</v>
      </c>
      <c r="D25" s="14">
        <v>1</v>
      </c>
      <c r="E25" s="13">
        <v>9.9325100000000006</v>
      </c>
      <c r="F25" s="49">
        <v>8.5067032677737894E-2</v>
      </c>
    </row>
    <row r="26" spans="1:6" x14ac:dyDescent="0.2">
      <c r="A26" s="41" t="s">
        <v>43</v>
      </c>
      <c r="B26" s="52"/>
      <c r="C26" s="52"/>
      <c r="D26" s="14"/>
      <c r="E26" s="50">
        <f>SUM(E8:E25)</f>
        <v>9453.7938625000024</v>
      </c>
      <c r="F26" s="6">
        <f>SUM(F8:F25)</f>
        <v>80.967065870548907</v>
      </c>
    </row>
    <row r="27" spans="1:6" x14ac:dyDescent="0.2">
      <c r="A27" s="52"/>
      <c r="B27" s="52"/>
      <c r="C27" s="52"/>
      <c r="D27" s="14"/>
      <c r="E27" s="13"/>
      <c r="F27" s="49"/>
    </row>
    <row r="28" spans="1:6" x14ac:dyDescent="0.2">
      <c r="A28" s="41" t="s">
        <v>772</v>
      </c>
      <c r="B28" s="52"/>
      <c r="C28" s="52"/>
      <c r="D28" s="14"/>
      <c r="E28" s="13"/>
      <c r="F28" s="49"/>
    </row>
    <row r="29" spans="1:6" x14ac:dyDescent="0.2">
      <c r="A29" s="52" t="s">
        <v>1888</v>
      </c>
      <c r="B29" s="52" t="s">
        <v>1889</v>
      </c>
      <c r="C29" s="52" t="s">
        <v>1208</v>
      </c>
      <c r="D29" s="14">
        <v>100</v>
      </c>
      <c r="E29" s="13">
        <v>1004.801</v>
      </c>
      <c r="F29" s="49">
        <v>8.6056233018263999</v>
      </c>
    </row>
    <row r="30" spans="1:6" x14ac:dyDescent="0.2">
      <c r="A30" s="52" t="s">
        <v>1913</v>
      </c>
      <c r="B30" s="52" t="s">
        <v>1914</v>
      </c>
      <c r="C30" s="52" t="s">
        <v>688</v>
      </c>
      <c r="D30" s="14">
        <v>72</v>
      </c>
      <c r="E30" s="13">
        <v>721.72008000000005</v>
      </c>
      <c r="F30" s="49">
        <v>6.1811753151559499</v>
      </c>
    </row>
    <row r="31" spans="1:6" x14ac:dyDescent="0.2">
      <c r="A31" s="41" t="s">
        <v>43</v>
      </c>
      <c r="B31" s="52"/>
      <c r="C31" s="52"/>
      <c r="D31" s="14"/>
      <c r="E31" s="50">
        <f>SUM(E29:E30)</f>
        <v>1726.52108</v>
      </c>
      <c r="F31" s="6">
        <f>SUM(F29:F30)</f>
        <v>14.786798616982349</v>
      </c>
    </row>
    <row r="32" spans="1:6" x14ac:dyDescent="0.2">
      <c r="A32" s="52"/>
      <c r="B32" s="52"/>
      <c r="C32" s="52"/>
      <c r="D32" s="14"/>
      <c r="E32" s="13"/>
      <c r="F32" s="49"/>
    </row>
    <row r="33" spans="1:6" x14ac:dyDescent="0.2">
      <c r="A33" s="41" t="s">
        <v>43</v>
      </c>
      <c r="B33" s="52"/>
      <c r="C33" s="52"/>
      <c r="D33" s="52"/>
      <c r="E33" s="50">
        <f>E26+E31</f>
        <v>11180.314942500003</v>
      </c>
      <c r="F33" s="6">
        <f>F26+F31</f>
        <v>95.75386448753126</v>
      </c>
    </row>
    <row r="34" spans="1:6" x14ac:dyDescent="0.2">
      <c r="A34" s="52"/>
      <c r="B34" s="52"/>
      <c r="C34" s="52"/>
      <c r="D34" s="52"/>
      <c r="E34" s="13"/>
      <c r="F34" s="49"/>
    </row>
    <row r="35" spans="1:6" x14ac:dyDescent="0.2">
      <c r="A35" s="41" t="s">
        <v>100</v>
      </c>
      <c r="B35" s="52"/>
      <c r="C35" s="52"/>
      <c r="D35" s="52"/>
      <c r="E35" s="50">
        <v>495.78788109999999</v>
      </c>
      <c r="F35" s="6">
        <v>4.25</v>
      </c>
    </row>
    <row r="36" spans="1:6" x14ac:dyDescent="0.2">
      <c r="A36" s="52"/>
      <c r="B36" s="52"/>
      <c r="C36" s="52"/>
      <c r="D36" s="52"/>
      <c r="E36" s="13"/>
      <c r="F36" s="49"/>
    </row>
    <row r="37" spans="1:6" x14ac:dyDescent="0.2">
      <c r="A37" s="57" t="s">
        <v>101</v>
      </c>
      <c r="B37" s="34"/>
      <c r="C37" s="34"/>
      <c r="D37" s="34"/>
      <c r="E37" s="51">
        <f>E33+E35</f>
        <v>11676.102823600002</v>
      </c>
      <c r="F37" s="8">
        <f>F33+F35</f>
        <v>100.00386448753126</v>
      </c>
    </row>
    <row r="38" spans="1:6" x14ac:dyDescent="0.2">
      <c r="A38" s="4" t="s">
        <v>1964</v>
      </c>
    </row>
    <row r="39" spans="1:6" x14ac:dyDescent="0.2">
      <c r="A39" s="4"/>
    </row>
    <row r="40" spans="1:6" x14ac:dyDescent="0.2">
      <c r="A40" s="4" t="s">
        <v>102</v>
      </c>
    </row>
    <row r="41" spans="1:6" x14ac:dyDescent="0.2">
      <c r="A41" s="4" t="s">
        <v>833</v>
      </c>
    </row>
    <row r="42" spans="1:6" x14ac:dyDescent="0.2">
      <c r="A42" s="4" t="s">
        <v>104</v>
      </c>
    </row>
    <row r="43" spans="1:6" x14ac:dyDescent="0.2">
      <c r="A43" s="2" t="s">
        <v>598</v>
      </c>
      <c r="D43" s="10">
        <v>10.7463</v>
      </c>
    </row>
    <row r="44" spans="1:6" x14ac:dyDescent="0.2">
      <c r="A44" s="2" t="s">
        <v>599</v>
      </c>
      <c r="D44" s="10">
        <v>10.167899999999999</v>
      </c>
    </row>
    <row r="45" spans="1:6" x14ac:dyDescent="0.2">
      <c r="A45" s="2" t="s">
        <v>1554</v>
      </c>
      <c r="D45" s="10">
        <v>10.1465</v>
      </c>
    </row>
    <row r="46" spans="1:6" x14ac:dyDescent="0.2">
      <c r="A46" s="2" t="s">
        <v>600</v>
      </c>
      <c r="D46" s="10">
        <v>10.811</v>
      </c>
    </row>
    <row r="47" spans="1:6" x14ac:dyDescent="0.2">
      <c r="A47" s="2" t="s">
        <v>601</v>
      </c>
      <c r="D47" s="10">
        <v>10.2326</v>
      </c>
    </row>
    <row r="48" spans="1:6" x14ac:dyDescent="0.2">
      <c r="A48" s="2" t="s">
        <v>1556</v>
      </c>
      <c r="D48" s="10">
        <v>10.179</v>
      </c>
    </row>
    <row r="50" spans="1:5" x14ac:dyDescent="0.2">
      <c r="A50" s="4" t="s">
        <v>105</v>
      </c>
    </row>
    <row r="51" spans="1:5" x14ac:dyDescent="0.2">
      <c r="A51" s="2" t="s">
        <v>598</v>
      </c>
      <c r="D51" s="10">
        <v>11.3553</v>
      </c>
    </row>
    <row r="52" spans="1:5" x14ac:dyDescent="0.2">
      <c r="A52" s="2" t="s">
        <v>599</v>
      </c>
      <c r="D52" s="10">
        <v>10.7441</v>
      </c>
    </row>
    <row r="53" spans="1:5" x14ac:dyDescent="0.2">
      <c r="A53" s="2" t="s">
        <v>1554</v>
      </c>
      <c r="D53" s="10">
        <v>10.2334</v>
      </c>
    </row>
    <row r="54" spans="1:5" x14ac:dyDescent="0.2">
      <c r="A54" s="2" t="s">
        <v>600</v>
      </c>
      <c r="D54" s="10">
        <v>11.4236</v>
      </c>
    </row>
    <row r="55" spans="1:5" x14ac:dyDescent="0.2">
      <c r="A55" s="2" t="s">
        <v>601</v>
      </c>
      <c r="D55" s="10">
        <v>10.8124</v>
      </c>
    </row>
    <row r="56" spans="1:5" x14ac:dyDescent="0.2">
      <c r="A56" s="2" t="s">
        <v>1556</v>
      </c>
      <c r="D56" s="10">
        <v>10.267799999999999</v>
      </c>
    </row>
    <row r="58" spans="1:5" x14ac:dyDescent="0.2">
      <c r="A58" s="4" t="s">
        <v>106</v>
      </c>
      <c r="D58" s="66" t="s">
        <v>319</v>
      </c>
    </row>
    <row r="59" spans="1:5" x14ac:dyDescent="0.2">
      <c r="A59" s="18" t="s">
        <v>602</v>
      </c>
      <c r="B59" s="19"/>
      <c r="C59" s="110" t="s">
        <v>603</v>
      </c>
      <c r="D59" s="111"/>
    </row>
    <row r="60" spans="1:5" x14ac:dyDescent="0.2">
      <c r="A60" s="112"/>
      <c r="B60" s="113"/>
      <c r="C60" s="20" t="s">
        <v>604</v>
      </c>
      <c r="D60" s="20" t="s">
        <v>605</v>
      </c>
    </row>
    <row r="61" spans="1:5" x14ac:dyDescent="0.2">
      <c r="A61" s="21" t="s">
        <v>1554</v>
      </c>
      <c r="B61" s="22"/>
      <c r="C61" s="95">
        <v>0.34215328249999999</v>
      </c>
      <c r="D61" s="95">
        <v>0.31683564480000004</v>
      </c>
    </row>
    <row r="62" spans="1:5" x14ac:dyDescent="0.2">
      <c r="A62" s="21" t="s">
        <v>1556</v>
      </c>
      <c r="B62" s="22"/>
      <c r="C62" s="95">
        <v>0.34215328249999999</v>
      </c>
      <c r="D62" s="95">
        <v>0.31683564480000004</v>
      </c>
    </row>
    <row r="64" spans="1:5" x14ac:dyDescent="0.2">
      <c r="A64" s="4" t="s">
        <v>834</v>
      </c>
      <c r="D64" s="59">
        <v>1.3268182388506298</v>
      </c>
      <c r="E64" s="59" t="s">
        <v>1106</v>
      </c>
    </row>
    <row r="66" spans="1:4" x14ac:dyDescent="0.2">
      <c r="A66" s="4" t="s">
        <v>836</v>
      </c>
      <c r="D66" s="67" t="s">
        <v>107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7F2E-2D67-4CE7-833E-E036BD870153}">
  <dimension ref="A1:F59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1915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1860</v>
      </c>
      <c r="B8" s="52" t="s">
        <v>1861</v>
      </c>
      <c r="C8" s="52" t="s">
        <v>688</v>
      </c>
      <c r="D8" s="14">
        <v>61</v>
      </c>
      <c r="E8" s="13">
        <v>706.60143000000005</v>
      </c>
      <c r="F8" s="49">
        <v>9.9652429611332707</v>
      </c>
    </row>
    <row r="9" spans="1:6" x14ac:dyDescent="0.2">
      <c r="A9" s="52" t="s">
        <v>1876</v>
      </c>
      <c r="B9" s="52" t="s">
        <v>1877</v>
      </c>
      <c r="C9" s="52" t="s">
        <v>712</v>
      </c>
      <c r="D9" s="14">
        <v>61</v>
      </c>
      <c r="E9" s="13">
        <v>620.90192000000002</v>
      </c>
      <c r="F9" s="49">
        <v>8.7566175571342004</v>
      </c>
    </row>
    <row r="10" spans="1:6" x14ac:dyDescent="0.2">
      <c r="A10" s="52" t="s">
        <v>1907</v>
      </c>
      <c r="B10" s="52" t="s">
        <v>1908</v>
      </c>
      <c r="C10" s="52" t="s">
        <v>712</v>
      </c>
      <c r="D10" s="14">
        <v>61</v>
      </c>
      <c r="E10" s="13">
        <v>618.76508999999999</v>
      </c>
      <c r="F10" s="49">
        <v>8.7264817136267308</v>
      </c>
    </row>
    <row r="11" spans="1:6" x14ac:dyDescent="0.2">
      <c r="A11" s="52" t="s">
        <v>1905</v>
      </c>
      <c r="B11" s="52" t="s">
        <v>1906</v>
      </c>
      <c r="C11" s="52" t="s">
        <v>688</v>
      </c>
      <c r="D11" s="14">
        <v>61</v>
      </c>
      <c r="E11" s="13">
        <v>618.46009000000004</v>
      </c>
      <c r="F11" s="49">
        <v>8.7221802800687094</v>
      </c>
    </row>
    <row r="12" spans="1:6" x14ac:dyDescent="0.2">
      <c r="A12" s="52" t="s">
        <v>1909</v>
      </c>
      <c r="B12" s="52" t="s">
        <v>1910</v>
      </c>
      <c r="C12" s="52" t="s">
        <v>688</v>
      </c>
      <c r="D12" s="14">
        <v>61</v>
      </c>
      <c r="E12" s="13">
        <v>616.97779000000003</v>
      </c>
      <c r="F12" s="49">
        <v>8.7012753129767404</v>
      </c>
    </row>
    <row r="13" spans="1:6" x14ac:dyDescent="0.2">
      <c r="A13" s="52" t="s">
        <v>1617</v>
      </c>
      <c r="B13" s="52" t="s">
        <v>1618</v>
      </c>
      <c r="C13" s="52" t="s">
        <v>688</v>
      </c>
      <c r="D13" s="14">
        <v>5</v>
      </c>
      <c r="E13" s="13">
        <v>511.82900000000001</v>
      </c>
      <c r="F13" s="49">
        <v>7.2183555297275301</v>
      </c>
    </row>
    <row r="14" spans="1:6" x14ac:dyDescent="0.2">
      <c r="A14" s="52" t="s">
        <v>1672</v>
      </c>
      <c r="B14" s="52" t="s">
        <v>1673</v>
      </c>
      <c r="C14" s="52" t="s">
        <v>712</v>
      </c>
      <c r="D14" s="14">
        <v>40</v>
      </c>
      <c r="E14" s="13">
        <v>447.74279999999999</v>
      </c>
      <c r="F14" s="49">
        <v>6.31454395174109</v>
      </c>
    </row>
    <row r="15" spans="1:6" x14ac:dyDescent="0.2">
      <c r="A15" s="52" t="s">
        <v>1619</v>
      </c>
      <c r="B15" s="52" t="s">
        <v>1620</v>
      </c>
      <c r="C15" s="52" t="s">
        <v>688</v>
      </c>
      <c r="D15" s="14">
        <v>36</v>
      </c>
      <c r="E15" s="13">
        <v>366.8922</v>
      </c>
      <c r="F15" s="49">
        <v>5.17430302050861</v>
      </c>
    </row>
    <row r="16" spans="1:6" x14ac:dyDescent="0.2">
      <c r="A16" s="52" t="s">
        <v>1537</v>
      </c>
      <c r="B16" s="52" t="s">
        <v>1538</v>
      </c>
      <c r="C16" s="52" t="s">
        <v>688</v>
      </c>
      <c r="D16" s="14">
        <v>36</v>
      </c>
      <c r="E16" s="13">
        <v>362.45555999999999</v>
      </c>
      <c r="F16" s="49">
        <v>5.1117328166369802</v>
      </c>
    </row>
    <row r="17" spans="1:6" x14ac:dyDescent="0.2">
      <c r="A17" s="52" t="s">
        <v>1838</v>
      </c>
      <c r="B17" s="52" t="s">
        <v>1839</v>
      </c>
      <c r="C17" s="52" t="s">
        <v>688</v>
      </c>
      <c r="D17" s="14">
        <v>30</v>
      </c>
      <c r="E17" s="13">
        <v>347.38830000000002</v>
      </c>
      <c r="F17" s="49">
        <v>4.8992383320750603</v>
      </c>
    </row>
    <row r="18" spans="1:6" x14ac:dyDescent="0.2">
      <c r="A18" s="52" t="s">
        <v>1213</v>
      </c>
      <c r="B18" s="52" t="s">
        <v>1214</v>
      </c>
      <c r="C18" s="52" t="s">
        <v>1215</v>
      </c>
      <c r="D18" s="14">
        <v>10</v>
      </c>
      <c r="E18" s="13">
        <v>114.1493</v>
      </c>
      <c r="F18" s="49">
        <v>1.6098545234238899</v>
      </c>
    </row>
    <row r="19" spans="1:6" x14ac:dyDescent="0.2">
      <c r="A19" s="52" t="s">
        <v>1882</v>
      </c>
      <c r="B19" s="52" t="s">
        <v>1883</v>
      </c>
      <c r="C19" s="52" t="s">
        <v>688</v>
      </c>
      <c r="D19" s="14">
        <v>10</v>
      </c>
      <c r="E19" s="13">
        <v>103.3116</v>
      </c>
      <c r="F19" s="49">
        <v>1.45700978089362</v>
      </c>
    </row>
    <row r="20" spans="1:6" x14ac:dyDescent="0.2">
      <c r="A20" s="52" t="s">
        <v>1692</v>
      </c>
      <c r="B20" s="52" t="s">
        <v>1693</v>
      </c>
      <c r="C20" s="52" t="s">
        <v>688</v>
      </c>
      <c r="D20" s="14">
        <v>5</v>
      </c>
      <c r="E20" s="13">
        <v>50.60765</v>
      </c>
      <c r="F20" s="49">
        <v>0.71372276722111405</v>
      </c>
    </row>
    <row r="21" spans="1:6" x14ac:dyDescent="0.2">
      <c r="A21" s="52" t="s">
        <v>1211</v>
      </c>
      <c r="B21" s="52" t="s">
        <v>1212</v>
      </c>
      <c r="C21" s="52" t="s">
        <v>688</v>
      </c>
      <c r="D21" s="14">
        <v>2</v>
      </c>
      <c r="E21" s="13">
        <v>19.865020000000001</v>
      </c>
      <c r="F21" s="49">
        <v>0.280157585766238</v>
      </c>
    </row>
    <row r="22" spans="1:6" x14ac:dyDescent="0.2">
      <c r="A22" s="52" t="s">
        <v>1884</v>
      </c>
      <c r="B22" s="52" t="s">
        <v>1885</v>
      </c>
      <c r="C22" s="52" t="s">
        <v>688</v>
      </c>
      <c r="D22" s="14">
        <v>1</v>
      </c>
      <c r="E22" s="13">
        <v>11.512919999999999</v>
      </c>
      <c r="F22" s="49">
        <v>0.16236741127468499</v>
      </c>
    </row>
    <row r="23" spans="1:6" x14ac:dyDescent="0.2">
      <c r="A23" s="52" t="s">
        <v>1916</v>
      </c>
      <c r="B23" s="52" t="s">
        <v>1917</v>
      </c>
      <c r="C23" s="52" t="s">
        <v>688</v>
      </c>
      <c r="D23" s="14">
        <v>1</v>
      </c>
      <c r="E23" s="13">
        <v>10.05109</v>
      </c>
      <c r="F23" s="49">
        <v>0.14175113383823301</v>
      </c>
    </row>
    <row r="24" spans="1:6" x14ac:dyDescent="0.2">
      <c r="A24" s="41" t="s">
        <v>43</v>
      </c>
      <c r="B24" s="52"/>
      <c r="C24" s="52"/>
      <c r="D24" s="14"/>
      <c r="E24" s="50">
        <f>SUM(E8:E23)</f>
        <v>5527.5117600000003</v>
      </c>
      <c r="F24" s="6">
        <f>SUM(F8:F23)</f>
        <v>77.954834678046694</v>
      </c>
    </row>
    <row r="25" spans="1:6" x14ac:dyDescent="0.2">
      <c r="A25" s="52"/>
      <c r="B25" s="52"/>
      <c r="C25" s="52"/>
      <c r="D25" s="14"/>
      <c r="E25" s="13"/>
      <c r="F25" s="49"/>
    </row>
    <row r="26" spans="1:6" x14ac:dyDescent="0.2">
      <c r="A26" s="41" t="s">
        <v>772</v>
      </c>
      <c r="B26" s="52"/>
      <c r="C26" s="52"/>
      <c r="D26" s="14"/>
      <c r="E26" s="13"/>
      <c r="F26" s="49"/>
    </row>
    <row r="27" spans="1:6" x14ac:dyDescent="0.2">
      <c r="A27" s="52" t="s">
        <v>1888</v>
      </c>
      <c r="B27" s="52" t="s">
        <v>1889</v>
      </c>
      <c r="C27" s="52" t="s">
        <v>1208</v>
      </c>
      <c r="D27" s="14">
        <v>61</v>
      </c>
      <c r="E27" s="13">
        <v>612.92861000000005</v>
      </c>
      <c r="F27" s="49">
        <v>8.6441694810604908</v>
      </c>
    </row>
    <row r="28" spans="1:6" x14ac:dyDescent="0.2">
      <c r="A28" s="52" t="s">
        <v>1913</v>
      </c>
      <c r="B28" s="52" t="s">
        <v>1914</v>
      </c>
      <c r="C28" s="52" t="s">
        <v>688</v>
      </c>
      <c r="D28" s="14">
        <v>61</v>
      </c>
      <c r="E28" s="13">
        <v>611.45728999999994</v>
      </c>
      <c r="F28" s="49">
        <v>8.6234193655766092</v>
      </c>
    </row>
    <row r="29" spans="1:6" x14ac:dyDescent="0.2">
      <c r="A29" s="41" t="s">
        <v>43</v>
      </c>
      <c r="B29" s="52"/>
      <c r="C29" s="52"/>
      <c r="D29" s="14"/>
      <c r="E29" s="50">
        <f>SUM(E27:E28)</f>
        <v>1224.3859</v>
      </c>
      <c r="F29" s="6">
        <f>SUM(F27:F28)</f>
        <v>17.2675888466371</v>
      </c>
    </row>
    <row r="30" spans="1:6" x14ac:dyDescent="0.2">
      <c r="A30" s="52"/>
      <c r="B30" s="52"/>
      <c r="C30" s="52"/>
      <c r="D30" s="52"/>
      <c r="E30" s="13"/>
      <c r="F30" s="49"/>
    </row>
    <row r="31" spans="1:6" x14ac:dyDescent="0.2">
      <c r="A31" s="41" t="s">
        <v>43</v>
      </c>
      <c r="B31" s="52"/>
      <c r="C31" s="52"/>
      <c r="D31" s="52"/>
      <c r="E31" s="50">
        <f>E24+E29</f>
        <v>6751.8976600000005</v>
      </c>
      <c r="F31" s="6">
        <f>F24+F29</f>
        <v>95.222423524683791</v>
      </c>
    </row>
    <row r="32" spans="1:6" x14ac:dyDescent="0.2">
      <c r="A32" s="52"/>
      <c r="B32" s="52"/>
      <c r="C32" s="52"/>
      <c r="D32" s="52"/>
      <c r="E32" s="13"/>
      <c r="F32" s="49"/>
    </row>
    <row r="33" spans="1:6" x14ac:dyDescent="0.2">
      <c r="A33" s="41" t="s">
        <v>100</v>
      </c>
      <c r="B33" s="52"/>
      <c r="C33" s="52"/>
      <c r="D33" s="52"/>
      <c r="E33" s="50">
        <v>338.75933220000002</v>
      </c>
      <c r="F33" s="6">
        <v>4.78</v>
      </c>
    </row>
    <row r="34" spans="1:6" x14ac:dyDescent="0.2">
      <c r="A34" s="52"/>
      <c r="B34" s="52"/>
      <c r="C34" s="52"/>
      <c r="D34" s="52"/>
      <c r="E34" s="13"/>
      <c r="F34" s="49"/>
    </row>
    <row r="35" spans="1:6" x14ac:dyDescent="0.2">
      <c r="A35" s="57" t="s">
        <v>101</v>
      </c>
      <c r="B35" s="34"/>
      <c r="C35" s="34"/>
      <c r="D35" s="34"/>
      <c r="E35" s="51">
        <f>E31+E33</f>
        <v>7090.6569922000008</v>
      </c>
      <c r="F35" s="8">
        <f>F31+F33</f>
        <v>100.00242352468379</v>
      </c>
    </row>
    <row r="36" spans="1:6" x14ac:dyDescent="0.2">
      <c r="A36" s="4" t="s">
        <v>1964</v>
      </c>
    </row>
    <row r="37" spans="1:6" x14ac:dyDescent="0.2">
      <c r="A37" s="4"/>
    </row>
    <row r="38" spans="1:6" x14ac:dyDescent="0.2">
      <c r="A38" s="4" t="s">
        <v>102</v>
      </c>
    </row>
    <row r="39" spans="1:6" x14ac:dyDescent="0.2">
      <c r="A39" s="4" t="s">
        <v>833</v>
      </c>
    </row>
    <row r="40" spans="1:6" x14ac:dyDescent="0.2">
      <c r="A40" s="4" t="s">
        <v>104</v>
      </c>
    </row>
    <row r="41" spans="1:6" x14ac:dyDescent="0.2">
      <c r="A41" s="2" t="s">
        <v>598</v>
      </c>
      <c r="D41" s="10">
        <v>10.8124</v>
      </c>
    </row>
    <row r="42" spans="1:6" x14ac:dyDescent="0.2">
      <c r="A42" s="2" t="s">
        <v>599</v>
      </c>
      <c r="D42" s="10">
        <v>10.1587</v>
      </c>
    </row>
    <row r="43" spans="1:6" x14ac:dyDescent="0.2">
      <c r="A43" s="2" t="s">
        <v>1554</v>
      </c>
      <c r="D43" s="10">
        <v>10.144</v>
      </c>
    </row>
    <row r="44" spans="1:6" x14ac:dyDescent="0.2">
      <c r="A44" s="2" t="s">
        <v>600</v>
      </c>
      <c r="D44" s="10">
        <v>10.8666</v>
      </c>
    </row>
    <row r="46" spans="1:6" x14ac:dyDescent="0.2">
      <c r="A46" s="4" t="s">
        <v>105</v>
      </c>
    </row>
    <row r="47" spans="1:6" x14ac:dyDescent="0.2">
      <c r="A47" s="2" t="s">
        <v>598</v>
      </c>
      <c r="D47" s="10">
        <v>11.425599999999999</v>
      </c>
    </row>
    <row r="48" spans="1:6" x14ac:dyDescent="0.2">
      <c r="A48" s="2" t="s">
        <v>599</v>
      </c>
      <c r="D48" s="10">
        <v>10.7348</v>
      </c>
    </row>
    <row r="49" spans="1:5" x14ac:dyDescent="0.2">
      <c r="A49" s="2" t="s">
        <v>1554</v>
      </c>
      <c r="D49" s="10">
        <v>10.252000000000001</v>
      </c>
    </row>
    <row r="50" spans="1:5" x14ac:dyDescent="0.2">
      <c r="A50" s="2" t="s">
        <v>600</v>
      </c>
      <c r="D50" s="10">
        <v>11.482900000000001</v>
      </c>
    </row>
    <row r="52" spans="1:5" x14ac:dyDescent="0.2">
      <c r="A52" s="4" t="s">
        <v>106</v>
      </c>
      <c r="D52" s="17" t="s">
        <v>319</v>
      </c>
    </row>
    <row r="53" spans="1:5" x14ac:dyDescent="0.2">
      <c r="A53" s="18" t="s">
        <v>602</v>
      </c>
      <c r="B53" s="19"/>
      <c r="C53" s="110" t="s">
        <v>603</v>
      </c>
      <c r="D53" s="111"/>
    </row>
    <row r="54" spans="1:5" x14ac:dyDescent="0.2">
      <c r="A54" s="112"/>
      <c r="B54" s="113"/>
      <c r="C54" s="20" t="s">
        <v>604</v>
      </c>
      <c r="D54" s="20" t="s">
        <v>605</v>
      </c>
    </row>
    <row r="55" spans="1:5" x14ac:dyDescent="0.2">
      <c r="A55" s="21" t="s">
        <v>1554</v>
      </c>
      <c r="B55" s="22"/>
      <c r="C55" s="95">
        <v>0.32774682850000003</v>
      </c>
      <c r="D55" s="95">
        <v>0.30349519660000002</v>
      </c>
    </row>
    <row r="57" spans="1:5" x14ac:dyDescent="0.2">
      <c r="A57" s="4" t="s">
        <v>834</v>
      </c>
      <c r="D57" s="59">
        <v>1.3125047454009917</v>
      </c>
      <c r="E57" s="59" t="s">
        <v>1106</v>
      </c>
    </row>
    <row r="59" spans="1:5" x14ac:dyDescent="0.2">
      <c r="A59" s="4" t="s">
        <v>836</v>
      </c>
      <c r="D59" s="67" t="s">
        <v>107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C63C-D6EA-446C-9C5A-DBB1719C6A27}">
  <dimension ref="A1:F54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1918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1860</v>
      </c>
      <c r="B8" s="52" t="s">
        <v>1861</v>
      </c>
      <c r="C8" s="52" t="s">
        <v>688</v>
      </c>
      <c r="D8" s="14">
        <v>67</v>
      </c>
      <c r="E8" s="13">
        <v>776.10320999999999</v>
      </c>
      <c r="F8" s="49">
        <v>9.9045621350068096</v>
      </c>
    </row>
    <row r="9" spans="1:6" x14ac:dyDescent="0.2">
      <c r="A9" s="52" t="s">
        <v>1902</v>
      </c>
      <c r="B9" s="52" t="s">
        <v>1903</v>
      </c>
      <c r="C9" s="52" t="s">
        <v>688</v>
      </c>
      <c r="D9" s="14">
        <v>86</v>
      </c>
      <c r="E9" s="13">
        <v>775.21604000000002</v>
      </c>
      <c r="F9" s="49">
        <v>9.8932401480905199</v>
      </c>
    </row>
    <row r="10" spans="1:6" x14ac:dyDescent="0.2">
      <c r="A10" s="52" t="s">
        <v>1619</v>
      </c>
      <c r="B10" s="52" t="s">
        <v>1620</v>
      </c>
      <c r="C10" s="52" t="s">
        <v>688</v>
      </c>
      <c r="D10" s="14">
        <v>72</v>
      </c>
      <c r="E10" s="13">
        <v>733.78440000000001</v>
      </c>
      <c r="F10" s="49">
        <v>9.3644931368067592</v>
      </c>
    </row>
    <row r="11" spans="1:6" x14ac:dyDescent="0.2">
      <c r="A11" s="52" t="s">
        <v>1876</v>
      </c>
      <c r="B11" s="52" t="s">
        <v>1877</v>
      </c>
      <c r="C11" s="52" t="s">
        <v>712</v>
      </c>
      <c r="D11" s="14">
        <v>68</v>
      </c>
      <c r="E11" s="13">
        <v>692.15296000000001</v>
      </c>
      <c r="F11" s="49">
        <v>8.8331962951794605</v>
      </c>
    </row>
    <row r="12" spans="1:6" x14ac:dyDescent="0.2">
      <c r="A12" s="52" t="s">
        <v>1907</v>
      </c>
      <c r="B12" s="52" t="s">
        <v>1908</v>
      </c>
      <c r="C12" s="52" t="s">
        <v>712</v>
      </c>
      <c r="D12" s="14">
        <v>68</v>
      </c>
      <c r="E12" s="13">
        <v>689.77092000000005</v>
      </c>
      <c r="F12" s="49">
        <v>8.8027969064331195</v>
      </c>
    </row>
    <row r="13" spans="1:6" x14ac:dyDescent="0.2">
      <c r="A13" s="52" t="s">
        <v>1905</v>
      </c>
      <c r="B13" s="52" t="s">
        <v>1906</v>
      </c>
      <c r="C13" s="52" t="s">
        <v>688</v>
      </c>
      <c r="D13" s="14">
        <v>68</v>
      </c>
      <c r="E13" s="13">
        <v>689.43092000000001</v>
      </c>
      <c r="F13" s="49">
        <v>8.7984578557984694</v>
      </c>
    </row>
    <row r="14" spans="1:6" x14ac:dyDescent="0.2">
      <c r="A14" s="52" t="s">
        <v>1909</v>
      </c>
      <c r="B14" s="52" t="s">
        <v>1910</v>
      </c>
      <c r="C14" s="52" t="s">
        <v>688</v>
      </c>
      <c r="D14" s="14">
        <v>68</v>
      </c>
      <c r="E14" s="13">
        <v>687.77851999999996</v>
      </c>
      <c r="F14" s="49">
        <v>8.7773700697140793</v>
      </c>
    </row>
    <row r="15" spans="1:6" x14ac:dyDescent="0.2">
      <c r="A15" s="52" t="s">
        <v>1919</v>
      </c>
      <c r="B15" s="52" t="s">
        <v>1920</v>
      </c>
      <c r="C15" s="52" t="s">
        <v>688</v>
      </c>
      <c r="D15" s="14">
        <v>50</v>
      </c>
      <c r="E15" s="13">
        <v>516.745</v>
      </c>
      <c r="F15" s="49">
        <v>6.5946550594141904</v>
      </c>
    </row>
    <row r="16" spans="1:6" x14ac:dyDescent="0.2">
      <c r="A16" s="52" t="s">
        <v>1862</v>
      </c>
      <c r="B16" s="52" t="s">
        <v>1863</v>
      </c>
      <c r="C16" s="52" t="s">
        <v>688</v>
      </c>
      <c r="D16" s="14">
        <v>16</v>
      </c>
      <c r="E16" s="13">
        <v>161.77408</v>
      </c>
      <c r="F16" s="49">
        <v>2.06454683674554</v>
      </c>
    </row>
    <row r="17" spans="1:6" x14ac:dyDescent="0.2">
      <c r="A17" s="52" t="s">
        <v>1211</v>
      </c>
      <c r="B17" s="52" t="s">
        <v>1212</v>
      </c>
      <c r="C17" s="52" t="s">
        <v>688</v>
      </c>
      <c r="D17" s="14">
        <v>7</v>
      </c>
      <c r="E17" s="13">
        <v>69.527569999999997</v>
      </c>
      <c r="F17" s="49">
        <v>0.88730484333525095</v>
      </c>
    </row>
    <row r="18" spans="1:6" x14ac:dyDescent="0.2">
      <c r="A18" s="52" t="s">
        <v>1692</v>
      </c>
      <c r="B18" s="52" t="s">
        <v>1693</v>
      </c>
      <c r="C18" s="52" t="s">
        <v>688</v>
      </c>
      <c r="D18" s="14">
        <v>6</v>
      </c>
      <c r="E18" s="13">
        <v>60.729179999999999</v>
      </c>
      <c r="F18" s="49">
        <v>0.77502055006061998</v>
      </c>
    </row>
    <row r="19" spans="1:6" x14ac:dyDescent="0.2">
      <c r="A19" s="52" t="s">
        <v>1884</v>
      </c>
      <c r="B19" s="52" t="s">
        <v>1885</v>
      </c>
      <c r="C19" s="52" t="s">
        <v>688</v>
      </c>
      <c r="D19" s="14">
        <v>4</v>
      </c>
      <c r="E19" s="13">
        <v>46.051679999999998</v>
      </c>
      <c r="F19" s="49">
        <v>0.58770756273698499</v>
      </c>
    </row>
    <row r="20" spans="1:6" x14ac:dyDescent="0.2">
      <c r="A20" s="52" t="s">
        <v>1213</v>
      </c>
      <c r="B20" s="52" t="s">
        <v>1214</v>
      </c>
      <c r="C20" s="52" t="s">
        <v>1215</v>
      </c>
      <c r="D20" s="14">
        <v>3</v>
      </c>
      <c r="E20" s="13">
        <v>34.244790000000002</v>
      </c>
      <c r="F20" s="49">
        <v>0.43702905230254102</v>
      </c>
    </row>
    <row r="21" spans="1:6" x14ac:dyDescent="0.2">
      <c r="A21" s="52" t="s">
        <v>1882</v>
      </c>
      <c r="B21" s="52" t="s">
        <v>1883</v>
      </c>
      <c r="C21" s="52" t="s">
        <v>688</v>
      </c>
      <c r="D21" s="14">
        <v>3</v>
      </c>
      <c r="E21" s="13">
        <v>30.993480000000002</v>
      </c>
      <c r="F21" s="49">
        <v>0.395536114893908</v>
      </c>
    </row>
    <row r="22" spans="1:6" x14ac:dyDescent="0.2">
      <c r="A22" s="52" t="s">
        <v>1921</v>
      </c>
      <c r="B22" s="52" t="s">
        <v>1922</v>
      </c>
      <c r="C22" s="52" t="s">
        <v>712</v>
      </c>
      <c r="D22" s="14">
        <v>1</v>
      </c>
      <c r="E22" s="13">
        <v>10.070679999999999</v>
      </c>
      <c r="F22" s="49">
        <v>0.128521148368618</v>
      </c>
    </row>
    <row r="23" spans="1:6" x14ac:dyDescent="0.2">
      <c r="A23" s="41" t="s">
        <v>43</v>
      </c>
      <c r="B23" s="52"/>
      <c r="C23" s="52"/>
      <c r="D23" s="14"/>
      <c r="E23" s="50">
        <f>SUM(E8:E22)</f>
        <v>5974.3734299999996</v>
      </c>
      <c r="F23" s="6">
        <f>SUM(F8:F22)</f>
        <v>76.244437714886871</v>
      </c>
    </row>
    <row r="24" spans="1:6" x14ac:dyDescent="0.2">
      <c r="A24" s="52"/>
      <c r="B24" s="52"/>
      <c r="C24" s="52"/>
      <c r="D24" s="14"/>
      <c r="E24" s="13"/>
      <c r="F24" s="49"/>
    </row>
    <row r="25" spans="1:6" x14ac:dyDescent="0.2">
      <c r="A25" s="41" t="s">
        <v>772</v>
      </c>
      <c r="B25" s="52"/>
      <c r="C25" s="52"/>
      <c r="D25" s="14"/>
      <c r="E25" s="13"/>
      <c r="F25" s="49"/>
    </row>
    <row r="26" spans="1:6" x14ac:dyDescent="0.2">
      <c r="A26" s="52" t="s">
        <v>1913</v>
      </c>
      <c r="B26" s="52" t="s">
        <v>1914</v>
      </c>
      <c r="C26" s="52" t="s">
        <v>688</v>
      </c>
      <c r="D26" s="14">
        <v>68</v>
      </c>
      <c r="E26" s="13">
        <v>681.62451999999996</v>
      </c>
      <c r="F26" s="49">
        <v>8.6988332532269705</v>
      </c>
    </row>
    <row r="27" spans="1:6" x14ac:dyDescent="0.2">
      <c r="A27" s="52" t="s">
        <v>1888</v>
      </c>
      <c r="B27" s="52" t="s">
        <v>1889</v>
      </c>
      <c r="C27" s="52" t="s">
        <v>1208</v>
      </c>
      <c r="D27" s="14">
        <v>67</v>
      </c>
      <c r="E27" s="13">
        <v>673.21667000000002</v>
      </c>
      <c r="F27" s="49">
        <v>8.5915329977019095</v>
      </c>
    </row>
    <row r="28" spans="1:6" x14ac:dyDescent="0.2">
      <c r="A28" s="52" t="s">
        <v>1716</v>
      </c>
      <c r="B28" s="52" t="s">
        <v>1717</v>
      </c>
      <c r="C28" s="52" t="s">
        <v>688</v>
      </c>
      <c r="D28" s="14">
        <v>12</v>
      </c>
      <c r="E28" s="13">
        <v>120.05795999999999</v>
      </c>
      <c r="F28" s="49">
        <v>1.5321693162719501</v>
      </c>
    </row>
    <row r="29" spans="1:6" x14ac:dyDescent="0.2">
      <c r="A29" s="41" t="s">
        <v>43</v>
      </c>
      <c r="B29" s="52"/>
      <c r="C29" s="52"/>
      <c r="D29" s="14"/>
      <c r="E29" s="50">
        <f>SUM(E26:E28)</f>
        <v>1474.8991500000002</v>
      </c>
      <c r="F29" s="6">
        <f>SUM(F26:F28)</f>
        <v>18.822535567200831</v>
      </c>
    </row>
    <row r="30" spans="1:6" x14ac:dyDescent="0.2">
      <c r="A30" s="52"/>
      <c r="B30" s="52"/>
      <c r="C30" s="52"/>
      <c r="D30" s="14"/>
      <c r="E30" s="13"/>
      <c r="F30" s="49"/>
    </row>
    <row r="31" spans="1:6" x14ac:dyDescent="0.2">
      <c r="A31" s="41" t="s">
        <v>43</v>
      </c>
      <c r="B31" s="52"/>
      <c r="C31" s="52"/>
      <c r="D31" s="14"/>
      <c r="E31" s="50">
        <f>E23+E29</f>
        <v>7449.2725799999998</v>
      </c>
      <c r="F31" s="6">
        <f>F23+F29</f>
        <v>95.066973282087702</v>
      </c>
    </row>
    <row r="32" spans="1:6" x14ac:dyDescent="0.2">
      <c r="A32" s="52"/>
      <c r="B32" s="52"/>
      <c r="C32" s="52"/>
      <c r="D32" s="52"/>
      <c r="E32" s="13"/>
      <c r="F32" s="49"/>
    </row>
    <row r="33" spans="1:6" x14ac:dyDescent="0.2">
      <c r="A33" s="41" t="s">
        <v>100</v>
      </c>
      <c r="B33" s="52"/>
      <c r="C33" s="52"/>
      <c r="D33" s="52"/>
      <c r="E33" s="50">
        <v>386.54544970000001</v>
      </c>
      <c r="F33" s="6">
        <v>4.93</v>
      </c>
    </row>
    <row r="34" spans="1:6" x14ac:dyDescent="0.2">
      <c r="A34" s="52"/>
      <c r="B34" s="52"/>
      <c r="C34" s="52"/>
      <c r="D34" s="52"/>
      <c r="E34" s="13"/>
      <c r="F34" s="49"/>
    </row>
    <row r="35" spans="1:6" x14ac:dyDescent="0.2">
      <c r="A35" s="57" t="s">
        <v>101</v>
      </c>
      <c r="B35" s="34"/>
      <c r="C35" s="34"/>
      <c r="D35" s="34"/>
      <c r="E35" s="51">
        <f>E31+E33</f>
        <v>7835.8180296999999</v>
      </c>
      <c r="F35" s="8">
        <f>F31+F33</f>
        <v>99.996973282087708</v>
      </c>
    </row>
    <row r="36" spans="1:6" x14ac:dyDescent="0.2">
      <c r="A36" s="4" t="s">
        <v>1964</v>
      </c>
    </row>
    <row r="37" spans="1:6" x14ac:dyDescent="0.2">
      <c r="A37" s="4"/>
    </row>
    <row r="38" spans="1:6" x14ac:dyDescent="0.2">
      <c r="A38" s="4" t="s">
        <v>102</v>
      </c>
    </row>
    <row r="39" spans="1:6" x14ac:dyDescent="0.2">
      <c r="A39" s="4" t="s">
        <v>833</v>
      </c>
    </row>
    <row r="40" spans="1:6" x14ac:dyDescent="0.2">
      <c r="A40" s="4" t="s">
        <v>104</v>
      </c>
    </row>
    <row r="41" spans="1:6" x14ac:dyDescent="0.2">
      <c r="A41" s="2" t="s">
        <v>598</v>
      </c>
      <c r="D41" s="10">
        <v>10.831799999999999</v>
      </c>
    </row>
    <row r="42" spans="1:6" x14ac:dyDescent="0.2">
      <c r="A42" s="2" t="s">
        <v>599</v>
      </c>
      <c r="D42" s="10">
        <v>10.307</v>
      </c>
    </row>
    <row r="43" spans="1:6" x14ac:dyDescent="0.2">
      <c r="A43" s="2" t="s">
        <v>600</v>
      </c>
      <c r="D43" s="10">
        <v>10.8893</v>
      </c>
    </row>
    <row r="45" spans="1:6" x14ac:dyDescent="0.2">
      <c r="A45" s="4" t="s">
        <v>105</v>
      </c>
    </row>
    <row r="46" spans="1:6" x14ac:dyDescent="0.2">
      <c r="A46" s="2" t="s">
        <v>598</v>
      </c>
      <c r="D46" s="10">
        <v>11.4557</v>
      </c>
    </row>
    <row r="47" spans="1:6" x14ac:dyDescent="0.2">
      <c r="A47" s="2" t="s">
        <v>599</v>
      </c>
      <c r="D47" s="10">
        <v>10.9008</v>
      </c>
    </row>
    <row r="48" spans="1:6" x14ac:dyDescent="0.2">
      <c r="A48" s="2" t="s">
        <v>600</v>
      </c>
      <c r="D48" s="10">
        <v>11.5166</v>
      </c>
    </row>
    <row r="50" spans="1:5" x14ac:dyDescent="0.2">
      <c r="A50" s="4" t="s">
        <v>106</v>
      </c>
      <c r="D50" s="17" t="s">
        <v>107</v>
      </c>
    </row>
    <row r="52" spans="1:5" x14ac:dyDescent="0.2">
      <c r="A52" s="4" t="s">
        <v>834</v>
      </c>
      <c r="D52" s="59">
        <v>1.3267396725394989</v>
      </c>
      <c r="E52" s="59" t="s">
        <v>1106</v>
      </c>
    </row>
    <row r="54" spans="1:5" x14ac:dyDescent="0.2">
      <c r="A54" s="4" t="s">
        <v>836</v>
      </c>
      <c r="D54" s="67" t="s">
        <v>107</v>
      </c>
    </row>
  </sheetData>
  <mergeCells count="1">
    <mergeCell ref="A1:F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73C5-DB0D-4FD2-BEFA-C2E04C15A7CA}">
  <dimension ref="A1:F65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1923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1902</v>
      </c>
      <c r="B8" s="52" t="s">
        <v>1903</v>
      </c>
      <c r="C8" s="52" t="s">
        <v>688</v>
      </c>
      <c r="D8" s="14">
        <v>107</v>
      </c>
      <c r="E8" s="13">
        <v>964.51297999999997</v>
      </c>
      <c r="F8" s="49">
        <v>9.8717934314740496</v>
      </c>
    </row>
    <row r="9" spans="1:6" x14ac:dyDescent="0.2">
      <c r="A9" s="52" t="s">
        <v>1921</v>
      </c>
      <c r="B9" s="52" t="s">
        <v>1922</v>
      </c>
      <c r="C9" s="52" t="s">
        <v>712</v>
      </c>
      <c r="D9" s="14">
        <v>87</v>
      </c>
      <c r="E9" s="13">
        <v>876.14916000000005</v>
      </c>
      <c r="F9" s="49">
        <v>8.9673894514923997</v>
      </c>
    </row>
    <row r="10" spans="1:6" x14ac:dyDescent="0.2">
      <c r="A10" s="52" t="s">
        <v>1537</v>
      </c>
      <c r="B10" s="52" t="s">
        <v>1538</v>
      </c>
      <c r="C10" s="52" t="s">
        <v>688</v>
      </c>
      <c r="D10" s="14">
        <v>84</v>
      </c>
      <c r="E10" s="13">
        <v>845.72964000000002</v>
      </c>
      <c r="F10" s="49">
        <v>8.6560455671160703</v>
      </c>
    </row>
    <row r="11" spans="1:6" x14ac:dyDescent="0.2">
      <c r="A11" s="52" t="s">
        <v>1862</v>
      </c>
      <c r="B11" s="52" t="s">
        <v>1863</v>
      </c>
      <c r="C11" s="52" t="s">
        <v>688</v>
      </c>
      <c r="D11" s="14">
        <v>83</v>
      </c>
      <c r="E11" s="13">
        <v>839.20303999999999</v>
      </c>
      <c r="F11" s="49">
        <v>8.5892457952665904</v>
      </c>
    </row>
    <row r="12" spans="1:6" x14ac:dyDescent="0.2">
      <c r="A12" s="52" t="s">
        <v>1897</v>
      </c>
      <c r="B12" s="52" t="s">
        <v>1898</v>
      </c>
      <c r="C12" s="52" t="s">
        <v>688</v>
      </c>
      <c r="D12" s="14">
        <v>83</v>
      </c>
      <c r="E12" s="13">
        <v>838.57057999999995</v>
      </c>
      <c r="F12" s="49">
        <v>8.5827725651461808</v>
      </c>
    </row>
    <row r="13" spans="1:6" x14ac:dyDescent="0.2">
      <c r="A13" s="52" t="s">
        <v>1924</v>
      </c>
      <c r="B13" s="52" t="s">
        <v>1925</v>
      </c>
      <c r="C13" s="52" t="s">
        <v>688</v>
      </c>
      <c r="D13" s="14">
        <v>80</v>
      </c>
      <c r="E13" s="13">
        <v>807.32640000000004</v>
      </c>
      <c r="F13" s="49">
        <v>8.2629882830354298</v>
      </c>
    </row>
    <row r="14" spans="1:6" x14ac:dyDescent="0.2">
      <c r="A14" s="52" t="s">
        <v>1911</v>
      </c>
      <c r="B14" s="52" t="s">
        <v>1912</v>
      </c>
      <c r="C14" s="52" t="s">
        <v>688</v>
      </c>
      <c r="D14" s="14">
        <v>62</v>
      </c>
      <c r="E14" s="13">
        <v>800.44402500000001</v>
      </c>
      <c r="F14" s="49">
        <v>8.1925471529244192</v>
      </c>
    </row>
    <row r="15" spans="1:6" x14ac:dyDescent="0.2">
      <c r="A15" s="52" t="s">
        <v>1907</v>
      </c>
      <c r="B15" s="52" t="s">
        <v>1908</v>
      </c>
      <c r="C15" s="52" t="s">
        <v>712</v>
      </c>
      <c r="D15" s="14">
        <v>65</v>
      </c>
      <c r="E15" s="13">
        <v>659.33984999999996</v>
      </c>
      <c r="F15" s="49">
        <v>6.7483454710366697</v>
      </c>
    </row>
    <row r="16" spans="1:6" x14ac:dyDescent="0.2">
      <c r="A16" s="52" t="s">
        <v>1617</v>
      </c>
      <c r="B16" s="52" t="s">
        <v>1618</v>
      </c>
      <c r="C16" s="52" t="s">
        <v>688</v>
      </c>
      <c r="D16" s="14">
        <v>5</v>
      </c>
      <c r="E16" s="13">
        <v>511.82900000000001</v>
      </c>
      <c r="F16" s="49">
        <v>5.2385714500575498</v>
      </c>
    </row>
    <row r="17" spans="1:6" x14ac:dyDescent="0.2">
      <c r="A17" s="52" t="s">
        <v>1909</v>
      </c>
      <c r="B17" s="52" t="s">
        <v>1910</v>
      </c>
      <c r="C17" s="52" t="s">
        <v>688</v>
      </c>
      <c r="D17" s="14">
        <v>13</v>
      </c>
      <c r="E17" s="13">
        <v>131.48706999999999</v>
      </c>
      <c r="F17" s="49">
        <v>1.3457705814905301</v>
      </c>
    </row>
    <row r="18" spans="1:6" x14ac:dyDescent="0.2">
      <c r="A18" s="52" t="s">
        <v>1692</v>
      </c>
      <c r="B18" s="52" t="s">
        <v>1693</v>
      </c>
      <c r="C18" s="52" t="s">
        <v>688</v>
      </c>
      <c r="D18" s="14">
        <v>11</v>
      </c>
      <c r="E18" s="13">
        <v>111.33683000000001</v>
      </c>
      <c r="F18" s="49">
        <v>1.1395328107198099</v>
      </c>
    </row>
    <row r="19" spans="1:6" x14ac:dyDescent="0.2">
      <c r="A19" s="52" t="s">
        <v>1905</v>
      </c>
      <c r="B19" s="52" t="s">
        <v>1906</v>
      </c>
      <c r="C19" s="52" t="s">
        <v>688</v>
      </c>
      <c r="D19" s="14">
        <v>8</v>
      </c>
      <c r="E19" s="13">
        <v>81.109520000000003</v>
      </c>
      <c r="F19" s="49">
        <v>0.83015619630750104</v>
      </c>
    </row>
    <row r="20" spans="1:6" x14ac:dyDescent="0.2">
      <c r="A20" s="52" t="s">
        <v>1213</v>
      </c>
      <c r="B20" s="52" t="s">
        <v>1214</v>
      </c>
      <c r="C20" s="52" t="s">
        <v>1215</v>
      </c>
      <c r="D20" s="14">
        <v>6</v>
      </c>
      <c r="E20" s="13">
        <v>68.489580000000004</v>
      </c>
      <c r="F20" s="49">
        <v>0.70099107009261397</v>
      </c>
    </row>
    <row r="21" spans="1:6" x14ac:dyDescent="0.2">
      <c r="A21" s="52" t="s">
        <v>1891</v>
      </c>
      <c r="B21" s="52" t="s">
        <v>1892</v>
      </c>
      <c r="C21" s="52" t="s">
        <v>688</v>
      </c>
      <c r="D21" s="14">
        <v>5</v>
      </c>
      <c r="E21" s="13">
        <v>50.711799999999997</v>
      </c>
      <c r="F21" s="49">
        <v>0.51903543500080795</v>
      </c>
    </row>
    <row r="22" spans="1:6" x14ac:dyDescent="0.2">
      <c r="A22" s="52" t="s">
        <v>1882</v>
      </c>
      <c r="B22" s="52" t="s">
        <v>1883</v>
      </c>
      <c r="C22" s="52" t="s">
        <v>688</v>
      </c>
      <c r="D22" s="14">
        <v>3</v>
      </c>
      <c r="E22" s="13">
        <v>30.993480000000002</v>
      </c>
      <c r="F22" s="49">
        <v>0.31721836680987198</v>
      </c>
    </row>
    <row r="23" spans="1:6" x14ac:dyDescent="0.2">
      <c r="A23" s="52" t="s">
        <v>1916</v>
      </c>
      <c r="B23" s="52" t="s">
        <v>1917</v>
      </c>
      <c r="C23" s="52" t="s">
        <v>688</v>
      </c>
      <c r="D23" s="14">
        <v>3</v>
      </c>
      <c r="E23" s="13">
        <v>30.153269999999999</v>
      </c>
      <c r="F23" s="49">
        <v>0.30861881477578801</v>
      </c>
    </row>
    <row r="24" spans="1:6" x14ac:dyDescent="0.2">
      <c r="A24" s="52" t="s">
        <v>1211</v>
      </c>
      <c r="B24" s="52" t="s">
        <v>1212</v>
      </c>
      <c r="C24" s="52" t="s">
        <v>688</v>
      </c>
      <c r="D24" s="14">
        <v>3</v>
      </c>
      <c r="E24" s="13">
        <v>29.797529999999998</v>
      </c>
      <c r="F24" s="49">
        <v>0.30497781473936297</v>
      </c>
    </row>
    <row r="25" spans="1:6" x14ac:dyDescent="0.2">
      <c r="A25" s="52" t="s">
        <v>1860</v>
      </c>
      <c r="B25" s="52" t="s">
        <v>1861</v>
      </c>
      <c r="C25" s="52" t="s">
        <v>688</v>
      </c>
      <c r="D25" s="14">
        <v>1</v>
      </c>
      <c r="E25" s="13">
        <v>11.583629999999999</v>
      </c>
      <c r="F25" s="49">
        <v>0.118558490054354</v>
      </c>
    </row>
    <row r="26" spans="1:6" x14ac:dyDescent="0.2">
      <c r="A26" s="52" t="s">
        <v>1619</v>
      </c>
      <c r="B26" s="52" t="s">
        <v>1620</v>
      </c>
      <c r="C26" s="52" t="s">
        <v>688</v>
      </c>
      <c r="D26" s="14">
        <v>1</v>
      </c>
      <c r="E26" s="13">
        <v>10.19145</v>
      </c>
      <c r="F26" s="49">
        <v>0.104309523306981</v>
      </c>
    </row>
    <row r="27" spans="1:6" x14ac:dyDescent="0.2">
      <c r="A27" s="41" t="s">
        <v>43</v>
      </c>
      <c r="B27" s="52"/>
      <c r="C27" s="52"/>
      <c r="D27" s="14"/>
      <c r="E27" s="50">
        <f>SUM(E8:E26)</f>
        <v>7698.9588350000004</v>
      </c>
      <c r="F27" s="6">
        <f>SUM(F8:F26)</f>
        <v>78.798868270846953</v>
      </c>
    </row>
    <row r="28" spans="1:6" x14ac:dyDescent="0.2">
      <c r="A28" s="52"/>
      <c r="B28" s="52"/>
      <c r="C28" s="52"/>
      <c r="D28" s="14"/>
      <c r="E28" s="13"/>
      <c r="F28" s="49"/>
    </row>
    <row r="29" spans="1:6" x14ac:dyDescent="0.2">
      <c r="A29" s="41" t="s">
        <v>772</v>
      </c>
      <c r="B29" s="52"/>
      <c r="C29" s="52"/>
      <c r="D29" s="14"/>
      <c r="E29" s="13"/>
      <c r="F29" s="49"/>
    </row>
    <row r="30" spans="1:6" x14ac:dyDescent="0.2">
      <c r="A30" s="52" t="s">
        <v>1888</v>
      </c>
      <c r="B30" s="52" t="s">
        <v>1889</v>
      </c>
      <c r="C30" s="52" t="s">
        <v>1208</v>
      </c>
      <c r="D30" s="14">
        <v>82</v>
      </c>
      <c r="E30" s="13">
        <v>823.93682000000001</v>
      </c>
      <c r="F30" s="49">
        <v>8.43299598479806</v>
      </c>
    </row>
    <row r="31" spans="1:6" x14ac:dyDescent="0.2">
      <c r="A31" s="52" t="s">
        <v>1913</v>
      </c>
      <c r="B31" s="52" t="s">
        <v>1914</v>
      </c>
      <c r="C31" s="52" t="s">
        <v>688</v>
      </c>
      <c r="D31" s="14">
        <v>49</v>
      </c>
      <c r="E31" s="13">
        <v>491.17061000000001</v>
      </c>
      <c r="F31" s="49">
        <v>5.0271327624135296</v>
      </c>
    </row>
    <row r="32" spans="1:6" x14ac:dyDescent="0.2">
      <c r="A32" s="52" t="s">
        <v>1716</v>
      </c>
      <c r="B32" s="52" t="s">
        <v>1717</v>
      </c>
      <c r="C32" s="52" t="s">
        <v>688</v>
      </c>
      <c r="D32" s="14">
        <v>27</v>
      </c>
      <c r="E32" s="13">
        <v>270.13040999999998</v>
      </c>
      <c r="F32" s="49">
        <v>2.76478560929205</v>
      </c>
    </row>
    <row r="33" spans="1:6" x14ac:dyDescent="0.2">
      <c r="A33" s="41" t="s">
        <v>43</v>
      </c>
      <c r="B33" s="52"/>
      <c r="C33" s="52"/>
      <c r="D33" s="14"/>
      <c r="E33" s="50">
        <f>SUM(E30:E32)</f>
        <v>1585.23784</v>
      </c>
      <c r="F33" s="6">
        <f>SUM(F30:F32)</f>
        <v>16.224914356503639</v>
      </c>
    </row>
    <row r="34" spans="1:6" x14ac:dyDescent="0.2">
      <c r="A34" s="52"/>
      <c r="B34" s="52"/>
      <c r="C34" s="52"/>
      <c r="D34" s="14"/>
      <c r="E34" s="13"/>
      <c r="F34" s="49"/>
    </row>
    <row r="35" spans="1:6" x14ac:dyDescent="0.2">
      <c r="A35" s="41" t="s">
        <v>43</v>
      </c>
      <c r="B35" s="52"/>
      <c r="C35" s="52"/>
      <c r="D35" s="14"/>
      <c r="E35" s="50">
        <f>E27+E33</f>
        <v>9284.1966750000011</v>
      </c>
      <c r="F35" s="6">
        <f>F27+F33</f>
        <v>95.023782627350585</v>
      </c>
    </row>
    <row r="36" spans="1:6" x14ac:dyDescent="0.2">
      <c r="A36" s="52"/>
      <c r="B36" s="52"/>
      <c r="C36" s="52"/>
      <c r="D36" s="52"/>
      <c r="E36" s="13"/>
      <c r="F36" s="49"/>
    </row>
    <row r="37" spans="1:6" x14ac:dyDescent="0.2">
      <c r="A37" s="41" t="s">
        <v>100</v>
      </c>
      <c r="B37" s="52"/>
      <c r="C37" s="52"/>
      <c r="D37" s="52"/>
      <c r="E37" s="50">
        <v>486.19265150000001</v>
      </c>
      <c r="F37" s="6">
        <v>4.9800000000000004</v>
      </c>
    </row>
    <row r="38" spans="1:6" x14ac:dyDescent="0.2">
      <c r="A38" s="52"/>
      <c r="B38" s="52"/>
      <c r="C38" s="52"/>
      <c r="D38" s="52"/>
      <c r="E38" s="13"/>
      <c r="F38" s="49"/>
    </row>
    <row r="39" spans="1:6" x14ac:dyDescent="0.2">
      <c r="A39" s="57" t="s">
        <v>101</v>
      </c>
      <c r="B39" s="34"/>
      <c r="C39" s="34"/>
      <c r="D39" s="34"/>
      <c r="E39" s="51">
        <f>E35+E37</f>
        <v>9770.3893265000006</v>
      </c>
      <c r="F39" s="8">
        <f>F35+F37</f>
        <v>100.00378262735059</v>
      </c>
    </row>
    <row r="40" spans="1:6" x14ac:dyDescent="0.2">
      <c r="A40" s="4" t="s">
        <v>1964</v>
      </c>
    </row>
    <row r="41" spans="1:6" x14ac:dyDescent="0.2">
      <c r="A41" s="4"/>
    </row>
    <row r="42" spans="1:6" x14ac:dyDescent="0.2">
      <c r="A42" s="4" t="s">
        <v>102</v>
      </c>
    </row>
    <row r="43" spans="1:6" x14ac:dyDescent="0.2">
      <c r="A43" s="4" t="s">
        <v>833</v>
      </c>
    </row>
    <row r="44" spans="1:6" x14ac:dyDescent="0.2">
      <c r="A44" s="4" t="s">
        <v>104</v>
      </c>
    </row>
    <row r="45" spans="1:6" x14ac:dyDescent="0.2">
      <c r="A45" s="2" t="s">
        <v>598</v>
      </c>
      <c r="D45" s="10">
        <v>10.887</v>
      </c>
    </row>
    <row r="46" spans="1:6" x14ac:dyDescent="0.2">
      <c r="A46" s="2" t="s">
        <v>599</v>
      </c>
      <c r="D46" s="10">
        <v>10.332800000000001</v>
      </c>
    </row>
    <row r="47" spans="1:6" x14ac:dyDescent="0.2">
      <c r="A47" s="2" t="s">
        <v>1554</v>
      </c>
      <c r="D47" s="10">
        <v>10.029400000000001</v>
      </c>
    </row>
    <row r="48" spans="1:6" x14ac:dyDescent="0.2">
      <c r="A48" s="2" t="s">
        <v>600</v>
      </c>
      <c r="D48" s="10">
        <v>10.941599999999999</v>
      </c>
    </row>
    <row r="49" spans="1:5" x14ac:dyDescent="0.2">
      <c r="A49" s="2" t="s">
        <v>601</v>
      </c>
      <c r="D49" s="10">
        <v>10.3874</v>
      </c>
    </row>
    <row r="51" spans="1:5" x14ac:dyDescent="0.2">
      <c r="A51" s="4" t="s">
        <v>105</v>
      </c>
    </row>
    <row r="52" spans="1:5" x14ac:dyDescent="0.2">
      <c r="A52" s="2" t="s">
        <v>598</v>
      </c>
      <c r="D52" s="10">
        <v>11.499000000000001</v>
      </c>
    </row>
    <row r="53" spans="1:5" x14ac:dyDescent="0.2">
      <c r="A53" s="2" t="s">
        <v>599</v>
      </c>
      <c r="D53" s="10">
        <v>10.9137</v>
      </c>
    </row>
    <row r="54" spans="1:5" x14ac:dyDescent="0.2">
      <c r="A54" s="2" t="s">
        <v>1554</v>
      </c>
      <c r="D54" s="10">
        <v>10.176500000000001</v>
      </c>
    </row>
    <row r="55" spans="1:5" x14ac:dyDescent="0.2">
      <c r="A55" s="2" t="s">
        <v>600</v>
      </c>
      <c r="D55" s="10">
        <v>11.556699999999999</v>
      </c>
    </row>
    <row r="56" spans="1:5" x14ac:dyDescent="0.2">
      <c r="A56" s="2" t="s">
        <v>601</v>
      </c>
      <c r="D56" s="10">
        <v>10.971399999999999</v>
      </c>
    </row>
    <row r="58" spans="1:5" x14ac:dyDescent="0.2">
      <c r="A58" s="4" t="s">
        <v>106</v>
      </c>
      <c r="D58" s="17" t="s">
        <v>319</v>
      </c>
    </row>
    <row r="59" spans="1:5" x14ac:dyDescent="0.2">
      <c r="A59" s="18" t="s">
        <v>602</v>
      </c>
      <c r="B59" s="19"/>
      <c r="C59" s="110" t="s">
        <v>603</v>
      </c>
      <c r="D59" s="111"/>
    </row>
    <row r="60" spans="1:5" x14ac:dyDescent="0.2">
      <c r="A60" s="112"/>
      <c r="B60" s="113"/>
      <c r="C60" s="20" t="s">
        <v>604</v>
      </c>
      <c r="D60" s="20" t="s">
        <v>605</v>
      </c>
    </row>
    <row r="61" spans="1:5" x14ac:dyDescent="0.2">
      <c r="A61" s="21" t="s">
        <v>1554</v>
      </c>
      <c r="B61" s="22"/>
      <c r="C61" s="23">
        <v>0.29533230700000002</v>
      </c>
      <c r="D61" s="23">
        <v>0.27347918810000005</v>
      </c>
    </row>
    <row r="63" spans="1:5" x14ac:dyDescent="0.2">
      <c r="A63" s="4" t="s">
        <v>834</v>
      </c>
      <c r="D63" s="59">
        <v>1.2551438909369688</v>
      </c>
      <c r="E63" s="59" t="s">
        <v>1106</v>
      </c>
    </row>
    <row r="65" spans="1:4" x14ac:dyDescent="0.2">
      <c r="A65" s="4" t="s">
        <v>836</v>
      </c>
      <c r="D65" s="67" t="s">
        <v>107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3DAE-C7F4-4056-9210-60058C404CA7}">
  <dimension ref="A1:F60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6" style="2" bestFit="1" customWidth="1"/>
    <col min="3" max="3" width="11.7109375" style="2" bestFit="1" customWidth="1"/>
    <col min="4" max="4" width="6.8554687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1926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1692</v>
      </c>
      <c r="B8" s="52" t="s">
        <v>1693</v>
      </c>
      <c r="C8" s="52" t="s">
        <v>688</v>
      </c>
      <c r="D8" s="14">
        <v>113</v>
      </c>
      <c r="E8" s="13">
        <v>1143.73289</v>
      </c>
      <c r="F8" s="49">
        <v>9.7338708394553901</v>
      </c>
    </row>
    <row r="9" spans="1:6" x14ac:dyDescent="0.2">
      <c r="A9" s="52" t="s">
        <v>1921</v>
      </c>
      <c r="B9" s="52" t="s">
        <v>1922</v>
      </c>
      <c r="C9" s="52" t="s">
        <v>712</v>
      </c>
      <c r="D9" s="14">
        <v>106</v>
      </c>
      <c r="E9" s="13">
        <v>1067.49208</v>
      </c>
      <c r="F9" s="49">
        <v>9.0850146216059091</v>
      </c>
    </row>
    <row r="10" spans="1:6" x14ac:dyDescent="0.2">
      <c r="A10" s="52" t="s">
        <v>1745</v>
      </c>
      <c r="B10" s="52" t="s">
        <v>1746</v>
      </c>
      <c r="C10" s="52" t="s">
        <v>688</v>
      </c>
      <c r="D10" s="14">
        <v>99</v>
      </c>
      <c r="E10" s="13">
        <v>1014.32529</v>
      </c>
      <c r="F10" s="49">
        <v>8.6325325155711194</v>
      </c>
    </row>
    <row r="11" spans="1:6" x14ac:dyDescent="0.2">
      <c r="A11" s="52" t="s">
        <v>1537</v>
      </c>
      <c r="B11" s="52" t="s">
        <v>1538</v>
      </c>
      <c r="C11" s="52" t="s">
        <v>688</v>
      </c>
      <c r="D11" s="14">
        <v>100</v>
      </c>
      <c r="E11" s="13">
        <v>1006.821</v>
      </c>
      <c r="F11" s="49">
        <v>8.5686663889252301</v>
      </c>
    </row>
    <row r="12" spans="1:6" x14ac:dyDescent="0.2">
      <c r="A12" s="52" t="s">
        <v>1882</v>
      </c>
      <c r="B12" s="52" t="s">
        <v>1883</v>
      </c>
      <c r="C12" s="52" t="s">
        <v>688</v>
      </c>
      <c r="D12" s="14">
        <v>97</v>
      </c>
      <c r="E12" s="13">
        <v>1002.12252</v>
      </c>
      <c r="F12" s="49">
        <v>8.5286794323013204</v>
      </c>
    </row>
    <row r="13" spans="1:6" x14ac:dyDescent="0.2">
      <c r="A13" s="52" t="s">
        <v>1927</v>
      </c>
      <c r="B13" s="52" t="s">
        <v>1928</v>
      </c>
      <c r="C13" s="52" t="s">
        <v>712</v>
      </c>
      <c r="D13" s="14">
        <v>100</v>
      </c>
      <c r="E13" s="13">
        <v>989.21100000000001</v>
      </c>
      <c r="F13" s="49">
        <v>8.4187944503095498</v>
      </c>
    </row>
    <row r="14" spans="1:6" x14ac:dyDescent="0.2">
      <c r="A14" s="52" t="s">
        <v>1897</v>
      </c>
      <c r="B14" s="52" t="s">
        <v>1898</v>
      </c>
      <c r="C14" s="52" t="s">
        <v>688</v>
      </c>
      <c r="D14" s="14">
        <v>73</v>
      </c>
      <c r="E14" s="13">
        <v>737.53797999999995</v>
      </c>
      <c r="F14" s="49">
        <v>6.2769021502151903</v>
      </c>
    </row>
    <row r="15" spans="1:6" x14ac:dyDescent="0.2">
      <c r="A15" s="52" t="s">
        <v>1617</v>
      </c>
      <c r="B15" s="52" t="s">
        <v>1618</v>
      </c>
      <c r="C15" s="52" t="s">
        <v>688</v>
      </c>
      <c r="D15" s="14">
        <v>5</v>
      </c>
      <c r="E15" s="13">
        <v>511.82900000000001</v>
      </c>
      <c r="F15" s="49">
        <v>4.3559798108871499</v>
      </c>
    </row>
    <row r="16" spans="1:6" x14ac:dyDescent="0.2">
      <c r="A16" s="52" t="s">
        <v>1929</v>
      </c>
      <c r="B16" s="52" t="s">
        <v>1930</v>
      </c>
      <c r="C16" s="52" t="s">
        <v>712</v>
      </c>
      <c r="D16" s="14">
        <v>50</v>
      </c>
      <c r="E16" s="13">
        <v>511.04199999999997</v>
      </c>
      <c r="F16" s="49">
        <v>4.3492819565038099</v>
      </c>
    </row>
    <row r="17" spans="1:6" x14ac:dyDescent="0.2">
      <c r="A17" s="52" t="s">
        <v>1886</v>
      </c>
      <c r="B17" s="52" t="s">
        <v>1887</v>
      </c>
      <c r="C17" s="52" t="s">
        <v>688</v>
      </c>
      <c r="D17" s="14">
        <v>49</v>
      </c>
      <c r="E17" s="13">
        <v>498.63184000000001</v>
      </c>
      <c r="F17" s="49">
        <v>4.2436638566894596</v>
      </c>
    </row>
    <row r="18" spans="1:6" x14ac:dyDescent="0.2">
      <c r="A18" s="52" t="s">
        <v>1916</v>
      </c>
      <c r="B18" s="52" t="s">
        <v>1917</v>
      </c>
      <c r="C18" s="52" t="s">
        <v>688</v>
      </c>
      <c r="D18" s="14">
        <v>46</v>
      </c>
      <c r="E18" s="13">
        <v>462.35014000000001</v>
      </c>
      <c r="F18" s="49">
        <v>3.9348842590022199</v>
      </c>
    </row>
    <row r="19" spans="1:6" x14ac:dyDescent="0.2">
      <c r="A19" s="52" t="s">
        <v>1213</v>
      </c>
      <c r="B19" s="52" t="s">
        <v>1214</v>
      </c>
      <c r="C19" s="52" t="s">
        <v>1215</v>
      </c>
      <c r="D19" s="14">
        <v>24</v>
      </c>
      <c r="E19" s="13">
        <v>273.95832000000001</v>
      </c>
      <c r="F19" s="49">
        <v>2.3315539192671002</v>
      </c>
    </row>
    <row r="20" spans="1:6" x14ac:dyDescent="0.2">
      <c r="A20" s="52" t="s">
        <v>1902</v>
      </c>
      <c r="B20" s="52" t="s">
        <v>1903</v>
      </c>
      <c r="C20" s="52" t="s">
        <v>688</v>
      </c>
      <c r="D20" s="14">
        <v>18</v>
      </c>
      <c r="E20" s="13">
        <v>162.25452000000001</v>
      </c>
      <c r="F20" s="49">
        <v>1.3808858297305999</v>
      </c>
    </row>
    <row r="21" spans="1:6" x14ac:dyDescent="0.2">
      <c r="A21" s="52" t="s">
        <v>1619</v>
      </c>
      <c r="B21" s="52" t="s">
        <v>1620</v>
      </c>
      <c r="C21" s="52" t="s">
        <v>688</v>
      </c>
      <c r="D21" s="14">
        <v>9</v>
      </c>
      <c r="E21" s="13">
        <v>91.723050000000001</v>
      </c>
      <c r="F21" s="49">
        <v>0.78061960926987795</v>
      </c>
    </row>
    <row r="22" spans="1:6" x14ac:dyDescent="0.2">
      <c r="A22" s="52" t="s">
        <v>1884</v>
      </c>
      <c r="B22" s="52" t="s">
        <v>1885</v>
      </c>
      <c r="C22" s="52" t="s">
        <v>688</v>
      </c>
      <c r="D22" s="14">
        <v>6</v>
      </c>
      <c r="E22" s="13">
        <v>69.077520000000007</v>
      </c>
      <c r="F22" s="49">
        <v>0.58789221108251599</v>
      </c>
    </row>
    <row r="23" spans="1:6" x14ac:dyDescent="0.2">
      <c r="A23" s="52" t="s">
        <v>1672</v>
      </c>
      <c r="B23" s="52" t="s">
        <v>1673</v>
      </c>
      <c r="C23" s="52" t="s">
        <v>712</v>
      </c>
      <c r="D23" s="14">
        <v>3</v>
      </c>
      <c r="E23" s="13">
        <v>33.580710000000003</v>
      </c>
      <c r="F23" s="49">
        <v>0.28579251037994402</v>
      </c>
    </row>
    <row r="24" spans="1:6" x14ac:dyDescent="0.2">
      <c r="A24" s="52" t="s">
        <v>1211</v>
      </c>
      <c r="B24" s="52" t="s">
        <v>1212</v>
      </c>
      <c r="C24" s="52" t="s">
        <v>688</v>
      </c>
      <c r="D24" s="14">
        <v>3</v>
      </c>
      <c r="E24" s="13">
        <v>29.797529999999998</v>
      </c>
      <c r="F24" s="49">
        <v>0.25359532010555103</v>
      </c>
    </row>
    <row r="25" spans="1:6" x14ac:dyDescent="0.2">
      <c r="A25" s="41" t="s">
        <v>43</v>
      </c>
      <c r="B25" s="52"/>
      <c r="C25" s="52"/>
      <c r="D25" s="14"/>
      <c r="E25" s="50">
        <f>SUM(E8:E24)</f>
        <v>9605.4873900000021</v>
      </c>
      <c r="F25" s="6">
        <f>SUM(F8:F24)</f>
        <v>81.748609681301943</v>
      </c>
    </row>
    <row r="26" spans="1:6" x14ac:dyDescent="0.2">
      <c r="A26" s="52"/>
      <c r="B26" s="52"/>
      <c r="C26" s="52"/>
      <c r="D26" s="14"/>
      <c r="E26" s="13"/>
      <c r="F26" s="49"/>
    </row>
    <row r="27" spans="1:6" x14ac:dyDescent="0.2">
      <c r="A27" s="41" t="s">
        <v>772</v>
      </c>
      <c r="B27" s="52"/>
      <c r="C27" s="52"/>
      <c r="D27" s="14"/>
      <c r="E27" s="13"/>
      <c r="F27" s="49"/>
    </row>
    <row r="28" spans="1:6" x14ac:dyDescent="0.2">
      <c r="A28" s="52" t="s">
        <v>1931</v>
      </c>
      <c r="B28" s="52" t="s">
        <v>1932</v>
      </c>
      <c r="C28" s="52" t="s">
        <v>688</v>
      </c>
      <c r="D28" s="14">
        <v>100</v>
      </c>
      <c r="E28" s="13">
        <v>997.86300000000006</v>
      </c>
      <c r="F28" s="49">
        <v>8.4924282954488408</v>
      </c>
    </row>
    <row r="29" spans="1:6" x14ac:dyDescent="0.2">
      <c r="A29" s="52" t="s">
        <v>1716</v>
      </c>
      <c r="B29" s="52" t="s">
        <v>1717</v>
      </c>
      <c r="C29" s="52" t="s">
        <v>688</v>
      </c>
      <c r="D29" s="14">
        <v>56</v>
      </c>
      <c r="E29" s="13">
        <v>560.27048000000002</v>
      </c>
      <c r="F29" s="49">
        <v>4.7682466204846801</v>
      </c>
    </row>
    <row r="30" spans="1:6" x14ac:dyDescent="0.2">
      <c r="A30" s="41" t="s">
        <v>43</v>
      </c>
      <c r="B30" s="52"/>
      <c r="C30" s="52"/>
      <c r="D30" s="52"/>
      <c r="E30" s="50">
        <f>SUM(E28:E29)</f>
        <v>1558.13348</v>
      </c>
      <c r="F30" s="6">
        <f>SUM(F28:F29)</f>
        <v>13.260674915933521</v>
      </c>
    </row>
    <row r="31" spans="1:6" x14ac:dyDescent="0.2">
      <c r="A31" s="52"/>
      <c r="B31" s="52"/>
      <c r="C31" s="52"/>
      <c r="D31" s="52"/>
      <c r="E31" s="13"/>
      <c r="F31" s="49"/>
    </row>
    <row r="32" spans="1:6" x14ac:dyDescent="0.2">
      <c r="A32" s="41" t="s">
        <v>43</v>
      </c>
      <c r="B32" s="52"/>
      <c r="C32" s="52"/>
      <c r="D32" s="52"/>
      <c r="E32" s="50">
        <f>E25+E30</f>
        <v>11163.620870000002</v>
      </c>
      <c r="F32" s="6">
        <f>F25+F30</f>
        <v>95.009284597235464</v>
      </c>
    </row>
    <row r="33" spans="1:6" x14ac:dyDescent="0.2">
      <c r="A33" s="52"/>
      <c r="B33" s="52"/>
      <c r="C33" s="52"/>
      <c r="D33" s="52"/>
      <c r="E33" s="13"/>
      <c r="F33" s="49"/>
    </row>
    <row r="34" spans="1:6" x14ac:dyDescent="0.2">
      <c r="A34" s="41" t="s">
        <v>100</v>
      </c>
      <c r="B34" s="52"/>
      <c r="C34" s="52"/>
      <c r="D34" s="52"/>
      <c r="E34" s="50">
        <v>586.41150200000004</v>
      </c>
      <c r="F34" s="6">
        <v>4.99</v>
      </c>
    </row>
    <row r="35" spans="1:6" x14ac:dyDescent="0.2">
      <c r="A35" s="52"/>
      <c r="B35" s="52"/>
      <c r="C35" s="52"/>
      <c r="D35" s="52"/>
      <c r="E35" s="13"/>
      <c r="F35" s="49"/>
    </row>
    <row r="36" spans="1:6" x14ac:dyDescent="0.2">
      <c r="A36" s="57" t="s">
        <v>101</v>
      </c>
      <c r="B36" s="34"/>
      <c r="C36" s="34"/>
      <c r="D36" s="34"/>
      <c r="E36" s="51">
        <f>E32+E34</f>
        <v>11750.032372000003</v>
      </c>
      <c r="F36" s="8">
        <f xml:space="preserve"> ROUND(SUM(F32:F35),2)</f>
        <v>100</v>
      </c>
    </row>
    <row r="37" spans="1:6" x14ac:dyDescent="0.2">
      <c r="A37" s="4" t="s">
        <v>1964</v>
      </c>
    </row>
    <row r="38" spans="1:6" x14ac:dyDescent="0.2">
      <c r="A38" s="4"/>
    </row>
    <row r="39" spans="1:6" x14ac:dyDescent="0.2">
      <c r="A39" s="4" t="s">
        <v>102</v>
      </c>
    </row>
    <row r="40" spans="1:6" x14ac:dyDescent="0.2">
      <c r="A40" s="4" t="s">
        <v>833</v>
      </c>
    </row>
    <row r="41" spans="1:6" x14ac:dyDescent="0.2">
      <c r="A41" s="4" t="s">
        <v>104</v>
      </c>
    </row>
    <row r="42" spans="1:6" x14ac:dyDescent="0.2">
      <c r="A42" s="2" t="s">
        <v>598</v>
      </c>
      <c r="D42" s="10">
        <v>10.895</v>
      </c>
    </row>
    <row r="43" spans="1:6" x14ac:dyDescent="0.2">
      <c r="A43" s="2" t="s">
        <v>1933</v>
      </c>
      <c r="D43" s="10">
        <v>10.479799999999999</v>
      </c>
    </row>
    <row r="44" spans="1:6" x14ac:dyDescent="0.2">
      <c r="A44" s="2" t="s">
        <v>1554</v>
      </c>
      <c r="D44" s="10">
        <v>10.161899999999999</v>
      </c>
    </row>
    <row r="45" spans="1:6" x14ac:dyDescent="0.2">
      <c r="A45" s="2" t="s">
        <v>600</v>
      </c>
      <c r="D45" s="10">
        <v>10.9496</v>
      </c>
    </row>
    <row r="47" spans="1:6" x14ac:dyDescent="0.2">
      <c r="A47" s="4" t="s">
        <v>105</v>
      </c>
    </row>
    <row r="48" spans="1:6" x14ac:dyDescent="0.2">
      <c r="A48" s="2" t="s">
        <v>598</v>
      </c>
      <c r="D48" s="10">
        <v>11.5025</v>
      </c>
    </row>
    <row r="49" spans="1:5" x14ac:dyDescent="0.2">
      <c r="A49" s="2" t="s">
        <v>1933</v>
      </c>
      <c r="D49" s="10">
        <v>11.0642</v>
      </c>
    </row>
    <row r="50" spans="1:5" x14ac:dyDescent="0.2">
      <c r="A50" s="2" t="s">
        <v>1554</v>
      </c>
      <c r="D50" s="10">
        <v>10.225199999999999</v>
      </c>
    </row>
    <row r="51" spans="1:5" x14ac:dyDescent="0.2">
      <c r="A51" s="2" t="s">
        <v>600</v>
      </c>
      <c r="D51" s="10">
        <v>11.5601</v>
      </c>
    </row>
    <row r="53" spans="1:5" x14ac:dyDescent="0.2">
      <c r="A53" s="4" t="s">
        <v>106</v>
      </c>
      <c r="D53" s="66" t="s">
        <v>319</v>
      </c>
    </row>
    <row r="54" spans="1:5" x14ac:dyDescent="0.2">
      <c r="A54" s="18" t="s">
        <v>602</v>
      </c>
      <c r="B54" s="19"/>
      <c r="C54" s="110" t="s">
        <v>603</v>
      </c>
      <c r="D54" s="111"/>
    </row>
    <row r="55" spans="1:5" x14ac:dyDescent="0.2">
      <c r="A55" s="112"/>
      <c r="B55" s="113"/>
      <c r="C55" s="20" t="s">
        <v>604</v>
      </c>
      <c r="D55" s="20" t="s">
        <v>605</v>
      </c>
    </row>
    <row r="56" spans="1:5" x14ac:dyDescent="0.2">
      <c r="A56" s="21" t="s">
        <v>1554</v>
      </c>
      <c r="B56" s="22"/>
      <c r="C56" s="95">
        <v>0.35295812300000001</v>
      </c>
      <c r="D56" s="95">
        <v>0.32684098090000002</v>
      </c>
    </row>
    <row r="58" spans="1:5" x14ac:dyDescent="0.2">
      <c r="A58" s="4" t="s">
        <v>834</v>
      </c>
      <c r="D58" s="59">
        <v>1.2295015685800563</v>
      </c>
      <c r="E58" s="59" t="s">
        <v>1106</v>
      </c>
    </row>
    <row r="60" spans="1:5" x14ac:dyDescent="0.2">
      <c r="A60" s="4" t="s">
        <v>836</v>
      </c>
      <c r="D60" s="67" t="s">
        <v>107</v>
      </c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01DF-AFD8-4FD2-909D-430897BBF9F0}">
  <dimension ref="A1:F69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6" style="2" bestFit="1" customWidth="1"/>
    <col min="3" max="3" width="11.7109375" style="2" bestFit="1" customWidth="1"/>
    <col min="4" max="4" width="6.8554687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1934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1921</v>
      </c>
      <c r="B8" s="52" t="s">
        <v>1922</v>
      </c>
      <c r="C8" s="52" t="s">
        <v>712</v>
      </c>
      <c r="D8" s="14">
        <v>156</v>
      </c>
      <c r="E8" s="13">
        <v>1571.0260800000001</v>
      </c>
      <c r="F8" s="49">
        <v>8.7852789937607998</v>
      </c>
    </row>
    <row r="9" spans="1:6" x14ac:dyDescent="0.2">
      <c r="A9" s="52" t="s">
        <v>1935</v>
      </c>
      <c r="B9" s="52" t="s">
        <v>1936</v>
      </c>
      <c r="C9" s="52" t="s">
        <v>688</v>
      </c>
      <c r="D9" s="14">
        <v>150</v>
      </c>
      <c r="E9" s="13">
        <v>1538.4945</v>
      </c>
      <c r="F9" s="49">
        <v>8.6033603037745401</v>
      </c>
    </row>
    <row r="10" spans="1:6" x14ac:dyDescent="0.2">
      <c r="A10" s="52" t="s">
        <v>1927</v>
      </c>
      <c r="B10" s="52" t="s">
        <v>1928</v>
      </c>
      <c r="C10" s="52" t="s">
        <v>712</v>
      </c>
      <c r="D10" s="14">
        <v>150</v>
      </c>
      <c r="E10" s="13">
        <v>1483.8164999999999</v>
      </c>
      <c r="F10" s="49">
        <v>8.2975974071962408</v>
      </c>
    </row>
    <row r="11" spans="1:6" x14ac:dyDescent="0.2">
      <c r="A11" s="52" t="s">
        <v>1617</v>
      </c>
      <c r="B11" s="52" t="s">
        <v>1618</v>
      </c>
      <c r="C11" s="52" t="s">
        <v>688</v>
      </c>
      <c r="D11" s="14">
        <v>14</v>
      </c>
      <c r="E11" s="13">
        <v>1433.1212</v>
      </c>
      <c r="F11" s="49">
        <v>8.0141060254539305</v>
      </c>
    </row>
    <row r="12" spans="1:6" x14ac:dyDescent="0.2">
      <c r="A12" s="52" t="s">
        <v>1937</v>
      </c>
      <c r="B12" s="52" t="s">
        <v>1938</v>
      </c>
      <c r="C12" s="52" t="s">
        <v>688</v>
      </c>
      <c r="D12" s="14">
        <v>100</v>
      </c>
      <c r="E12" s="13">
        <v>1034.7919999999999</v>
      </c>
      <c r="F12" s="49">
        <v>5.7866234916429402</v>
      </c>
    </row>
    <row r="13" spans="1:6" x14ac:dyDescent="0.2">
      <c r="A13" s="52" t="s">
        <v>1939</v>
      </c>
      <c r="B13" s="52" t="s">
        <v>1940</v>
      </c>
      <c r="C13" s="52" t="s">
        <v>688</v>
      </c>
      <c r="D13" s="14">
        <v>100</v>
      </c>
      <c r="E13" s="13">
        <v>1006.715</v>
      </c>
      <c r="F13" s="49">
        <v>5.6296150998358403</v>
      </c>
    </row>
    <row r="14" spans="1:6" x14ac:dyDescent="0.2">
      <c r="A14" s="52" t="s">
        <v>1941</v>
      </c>
      <c r="B14" s="52" t="s">
        <v>1942</v>
      </c>
      <c r="C14" s="52" t="s">
        <v>688</v>
      </c>
      <c r="D14" s="14">
        <v>40</v>
      </c>
      <c r="E14" s="13">
        <v>1003.577</v>
      </c>
      <c r="F14" s="49">
        <v>5.6120672017879398</v>
      </c>
    </row>
    <row r="15" spans="1:6" x14ac:dyDescent="0.2">
      <c r="A15" s="52" t="s">
        <v>1943</v>
      </c>
      <c r="B15" s="52" t="s">
        <v>1944</v>
      </c>
      <c r="C15" s="52" t="s">
        <v>1208</v>
      </c>
      <c r="D15" s="14">
        <v>800</v>
      </c>
      <c r="E15" s="13">
        <v>822.93520000000001</v>
      </c>
      <c r="F15" s="49">
        <v>4.6019066251187501</v>
      </c>
    </row>
    <row r="16" spans="1:6" x14ac:dyDescent="0.2">
      <c r="A16" s="52" t="s">
        <v>1537</v>
      </c>
      <c r="B16" s="52" t="s">
        <v>1538</v>
      </c>
      <c r="C16" s="52" t="s">
        <v>688</v>
      </c>
      <c r="D16" s="14">
        <v>62</v>
      </c>
      <c r="E16" s="13">
        <v>624.22901999999999</v>
      </c>
      <c r="F16" s="49">
        <v>3.4907288723697598</v>
      </c>
    </row>
    <row r="17" spans="1:6" x14ac:dyDescent="0.2">
      <c r="A17" s="52" t="s">
        <v>1945</v>
      </c>
      <c r="B17" s="52" t="s">
        <v>1946</v>
      </c>
      <c r="C17" s="52" t="s">
        <v>688</v>
      </c>
      <c r="D17" s="14">
        <v>40</v>
      </c>
      <c r="E17" s="13">
        <v>520.58849999999995</v>
      </c>
      <c r="F17" s="49">
        <v>2.91116441137848</v>
      </c>
    </row>
    <row r="18" spans="1:6" x14ac:dyDescent="0.2">
      <c r="A18" s="52" t="s">
        <v>1947</v>
      </c>
      <c r="B18" s="52" t="s">
        <v>1948</v>
      </c>
      <c r="C18" s="52" t="s">
        <v>688</v>
      </c>
      <c r="D18" s="14">
        <v>50</v>
      </c>
      <c r="E18" s="13">
        <v>518.43849999999998</v>
      </c>
      <c r="F18" s="49">
        <v>2.8991414729454101</v>
      </c>
    </row>
    <row r="19" spans="1:6" x14ac:dyDescent="0.2">
      <c r="A19" s="52" t="s">
        <v>1949</v>
      </c>
      <c r="B19" s="52" t="s">
        <v>1950</v>
      </c>
      <c r="C19" s="52" t="s">
        <v>688</v>
      </c>
      <c r="D19" s="14">
        <v>50</v>
      </c>
      <c r="E19" s="13">
        <v>517.68799999999999</v>
      </c>
      <c r="F19" s="49">
        <v>2.8949446286226101</v>
      </c>
    </row>
    <row r="20" spans="1:6" x14ac:dyDescent="0.2">
      <c r="A20" s="52" t="s">
        <v>1897</v>
      </c>
      <c r="B20" s="52" t="s">
        <v>1898</v>
      </c>
      <c r="C20" s="52" t="s">
        <v>688</v>
      </c>
      <c r="D20" s="14">
        <v>44</v>
      </c>
      <c r="E20" s="13">
        <v>444.54343999999998</v>
      </c>
      <c r="F20" s="49">
        <v>2.4859155395091599</v>
      </c>
    </row>
    <row r="21" spans="1:6" x14ac:dyDescent="0.2">
      <c r="A21" s="52" t="s">
        <v>1905</v>
      </c>
      <c r="B21" s="52" t="s">
        <v>1906</v>
      </c>
      <c r="C21" s="52" t="s">
        <v>688</v>
      </c>
      <c r="D21" s="14">
        <v>38</v>
      </c>
      <c r="E21" s="13">
        <v>385.27021999999999</v>
      </c>
      <c r="F21" s="49">
        <v>2.1544558768162498</v>
      </c>
    </row>
    <row r="22" spans="1:6" x14ac:dyDescent="0.2">
      <c r="A22" s="52" t="s">
        <v>1692</v>
      </c>
      <c r="B22" s="52" t="s">
        <v>1693</v>
      </c>
      <c r="C22" s="52" t="s">
        <v>688</v>
      </c>
      <c r="D22" s="14">
        <v>31</v>
      </c>
      <c r="E22" s="13">
        <v>313.76742999999999</v>
      </c>
      <c r="F22" s="49">
        <v>1.7546076712522201</v>
      </c>
    </row>
    <row r="23" spans="1:6" x14ac:dyDescent="0.2">
      <c r="A23" s="52" t="s">
        <v>1211</v>
      </c>
      <c r="B23" s="52" t="s">
        <v>1212</v>
      </c>
      <c r="C23" s="52" t="s">
        <v>688</v>
      </c>
      <c r="D23" s="14">
        <v>25</v>
      </c>
      <c r="E23" s="13">
        <v>248.31274999999999</v>
      </c>
      <c r="F23" s="49">
        <v>1.3885808862307201</v>
      </c>
    </row>
    <row r="24" spans="1:6" x14ac:dyDescent="0.2">
      <c r="A24" s="52" t="s">
        <v>1911</v>
      </c>
      <c r="B24" s="52" t="s">
        <v>1912</v>
      </c>
      <c r="C24" s="52" t="s">
        <v>688</v>
      </c>
      <c r="D24" s="14">
        <v>15</v>
      </c>
      <c r="E24" s="13">
        <v>193.6558125</v>
      </c>
      <c r="F24" s="49">
        <v>1.08293577250858</v>
      </c>
    </row>
    <row r="25" spans="1:6" x14ac:dyDescent="0.2">
      <c r="A25" s="52" t="s">
        <v>1838</v>
      </c>
      <c r="B25" s="52" t="s">
        <v>1839</v>
      </c>
      <c r="C25" s="52" t="s">
        <v>688</v>
      </c>
      <c r="D25" s="14">
        <v>10</v>
      </c>
      <c r="E25" s="13">
        <v>115.7961</v>
      </c>
      <c r="F25" s="49">
        <v>0.64753924701837196</v>
      </c>
    </row>
    <row r="26" spans="1:6" x14ac:dyDescent="0.2">
      <c r="A26" s="52" t="s">
        <v>1619</v>
      </c>
      <c r="B26" s="52" t="s">
        <v>1620</v>
      </c>
      <c r="C26" s="52" t="s">
        <v>688</v>
      </c>
      <c r="D26" s="14">
        <v>5</v>
      </c>
      <c r="E26" s="13">
        <v>50.957250000000002</v>
      </c>
      <c r="F26" s="49">
        <v>0.28495622300860701</v>
      </c>
    </row>
    <row r="27" spans="1:6" x14ac:dyDescent="0.2">
      <c r="A27" s="52" t="s">
        <v>1951</v>
      </c>
      <c r="B27" s="52" t="s">
        <v>1952</v>
      </c>
      <c r="C27" s="52" t="s">
        <v>688</v>
      </c>
      <c r="D27" s="14">
        <v>3</v>
      </c>
      <c r="E27" s="13">
        <v>30.213329999999999</v>
      </c>
      <c r="F27" s="49">
        <v>0.168954886719998</v>
      </c>
    </row>
    <row r="28" spans="1:6" x14ac:dyDescent="0.2">
      <c r="A28" s="52" t="s">
        <v>1893</v>
      </c>
      <c r="B28" s="52" t="s">
        <v>1894</v>
      </c>
      <c r="C28" s="52" t="s">
        <v>1208</v>
      </c>
      <c r="D28" s="14">
        <v>1</v>
      </c>
      <c r="E28" s="13">
        <v>10.142580000000001</v>
      </c>
      <c r="F28" s="49">
        <v>5.6717960415105503E-2</v>
      </c>
    </row>
    <row r="29" spans="1:6" x14ac:dyDescent="0.2">
      <c r="A29" s="41" t="s">
        <v>43</v>
      </c>
      <c r="B29" s="52"/>
      <c r="C29" s="52"/>
      <c r="D29" s="14"/>
      <c r="E29" s="50">
        <f>SUM(E8:E28)</f>
        <v>13868.080412499998</v>
      </c>
      <c r="F29" s="6">
        <f>SUM(F8:F28)</f>
        <v>77.551198597366252</v>
      </c>
    </row>
    <row r="30" spans="1:6" x14ac:dyDescent="0.2">
      <c r="A30" s="52"/>
      <c r="B30" s="52"/>
      <c r="C30" s="52"/>
      <c r="D30" s="14"/>
      <c r="E30" s="13"/>
      <c r="F30" s="49"/>
    </row>
    <row r="31" spans="1:6" x14ac:dyDescent="0.2">
      <c r="A31" s="41" t="s">
        <v>772</v>
      </c>
      <c r="B31" s="52"/>
      <c r="C31" s="52"/>
      <c r="D31" s="14"/>
      <c r="E31" s="13"/>
      <c r="F31" s="49"/>
    </row>
    <row r="32" spans="1:6" x14ac:dyDescent="0.2">
      <c r="A32" s="52" t="s">
        <v>1888</v>
      </c>
      <c r="B32" s="52" t="s">
        <v>1889</v>
      </c>
      <c r="C32" s="52" t="s">
        <v>1208</v>
      </c>
      <c r="D32" s="14">
        <v>150</v>
      </c>
      <c r="E32" s="13">
        <v>1507.2014999999999</v>
      </c>
      <c r="F32" s="49">
        <v>8.4283678328973206</v>
      </c>
    </row>
    <row r="33" spans="1:6" x14ac:dyDescent="0.2">
      <c r="A33" s="52" t="s">
        <v>1931</v>
      </c>
      <c r="B33" s="52" t="s">
        <v>1932</v>
      </c>
      <c r="C33" s="52" t="s">
        <v>688</v>
      </c>
      <c r="D33" s="14">
        <v>150</v>
      </c>
      <c r="E33" s="13">
        <v>1496.7945</v>
      </c>
      <c r="F33" s="49">
        <v>8.3701712188168695</v>
      </c>
    </row>
    <row r="34" spans="1:6" x14ac:dyDescent="0.2">
      <c r="A34" s="41" t="s">
        <v>43</v>
      </c>
      <c r="B34" s="52"/>
      <c r="C34" s="52"/>
      <c r="D34" s="14"/>
      <c r="E34" s="50">
        <f>SUM(E32:E33)</f>
        <v>3003.9960000000001</v>
      </c>
      <c r="F34" s="6">
        <f>SUM(F32:F33)</f>
        <v>16.79853905171419</v>
      </c>
    </row>
    <row r="35" spans="1:6" x14ac:dyDescent="0.2">
      <c r="A35" s="52"/>
      <c r="B35" s="52"/>
      <c r="C35" s="52"/>
      <c r="D35" s="14"/>
      <c r="E35" s="13"/>
      <c r="F35" s="49"/>
    </row>
    <row r="36" spans="1:6" x14ac:dyDescent="0.2">
      <c r="A36" s="41" t="s">
        <v>43</v>
      </c>
      <c r="B36" s="52"/>
      <c r="C36" s="52"/>
      <c r="D36" s="52"/>
      <c r="E36" s="50">
        <v>16872.076412499999</v>
      </c>
      <c r="F36" s="6">
        <v>94.349737649080438</v>
      </c>
    </row>
    <row r="37" spans="1:6" x14ac:dyDescent="0.2">
      <c r="A37" s="52"/>
      <c r="B37" s="52"/>
      <c r="C37" s="52"/>
      <c r="D37" s="52"/>
      <c r="E37" s="13"/>
      <c r="F37" s="49"/>
    </row>
    <row r="38" spans="1:6" x14ac:dyDescent="0.2">
      <c r="A38" s="41" t="s">
        <v>100</v>
      </c>
      <c r="B38" s="52"/>
      <c r="C38" s="52"/>
      <c r="D38" s="52"/>
      <c r="E38" s="50">
        <v>1010.4036538</v>
      </c>
      <c r="F38" s="6">
        <v>5.65</v>
      </c>
    </row>
    <row r="39" spans="1:6" x14ac:dyDescent="0.2">
      <c r="A39" s="52"/>
      <c r="B39" s="52"/>
      <c r="C39" s="52"/>
      <c r="D39" s="52"/>
      <c r="E39" s="13"/>
      <c r="F39" s="49"/>
    </row>
    <row r="40" spans="1:6" x14ac:dyDescent="0.2">
      <c r="A40" s="57" t="s">
        <v>101</v>
      </c>
      <c r="B40" s="34"/>
      <c r="C40" s="34"/>
      <c r="D40" s="34"/>
      <c r="E40" s="51">
        <v>17882.483653800002</v>
      </c>
      <c r="F40" s="8">
        <f xml:space="preserve"> ROUND(SUM(F36:F39),2)</f>
        <v>100</v>
      </c>
    </row>
    <row r="41" spans="1:6" x14ac:dyDescent="0.2">
      <c r="A41" s="4" t="s">
        <v>1964</v>
      </c>
    </row>
    <row r="42" spans="1:6" x14ac:dyDescent="0.2">
      <c r="A42" s="4"/>
    </row>
    <row r="43" spans="1:6" x14ac:dyDescent="0.2">
      <c r="A43" s="4" t="s">
        <v>102</v>
      </c>
    </row>
    <row r="44" spans="1:6" x14ac:dyDescent="0.2">
      <c r="A44" s="4" t="s">
        <v>833</v>
      </c>
    </row>
    <row r="45" spans="1:6" x14ac:dyDescent="0.2">
      <c r="A45" s="4" t="s">
        <v>104</v>
      </c>
    </row>
    <row r="46" spans="1:6" x14ac:dyDescent="0.2">
      <c r="A46" s="2" t="s">
        <v>598</v>
      </c>
      <c r="D46" s="10">
        <v>10.8642</v>
      </c>
    </row>
    <row r="47" spans="1:6" x14ac:dyDescent="0.2">
      <c r="A47" s="2" t="s">
        <v>1933</v>
      </c>
      <c r="D47" s="10">
        <v>10.5044</v>
      </c>
    </row>
    <row r="48" spans="1:6" x14ac:dyDescent="0.2">
      <c r="A48" s="2" t="s">
        <v>1554</v>
      </c>
      <c r="D48" s="10">
        <v>10.271599999999999</v>
      </c>
    </row>
    <row r="49" spans="1:4" x14ac:dyDescent="0.2">
      <c r="A49" s="2" t="s">
        <v>600</v>
      </c>
      <c r="D49" s="10">
        <v>10.9186</v>
      </c>
    </row>
    <row r="50" spans="1:4" x14ac:dyDescent="0.2">
      <c r="A50" s="2" t="s">
        <v>601</v>
      </c>
      <c r="D50" s="10">
        <v>10.5276</v>
      </c>
    </row>
    <row r="51" spans="1:4" x14ac:dyDescent="0.2">
      <c r="A51" s="2" t="s">
        <v>1556</v>
      </c>
      <c r="D51" s="10">
        <v>10.293200000000001</v>
      </c>
    </row>
    <row r="53" spans="1:4" x14ac:dyDescent="0.2">
      <c r="A53" s="4" t="s">
        <v>105</v>
      </c>
    </row>
    <row r="54" spans="1:4" x14ac:dyDescent="0.2">
      <c r="A54" s="2" t="s">
        <v>598</v>
      </c>
      <c r="D54" s="10">
        <v>11.4595</v>
      </c>
    </row>
    <row r="55" spans="1:4" x14ac:dyDescent="0.2">
      <c r="A55" s="2" t="s">
        <v>1933</v>
      </c>
      <c r="D55" s="10">
        <v>11.08</v>
      </c>
    </row>
    <row r="56" spans="1:4" x14ac:dyDescent="0.2">
      <c r="A56" s="2" t="s">
        <v>1554</v>
      </c>
      <c r="D56" s="10">
        <v>10.248699999999999</v>
      </c>
    </row>
    <row r="57" spans="1:4" x14ac:dyDescent="0.2">
      <c r="A57" s="2" t="s">
        <v>600</v>
      </c>
      <c r="D57" s="10">
        <v>11.5169</v>
      </c>
    </row>
    <row r="58" spans="1:4" x14ac:dyDescent="0.2">
      <c r="A58" s="2" t="s">
        <v>601</v>
      </c>
      <c r="D58" s="10">
        <v>11.1045</v>
      </c>
    </row>
    <row r="59" spans="1:4" x14ac:dyDescent="0.2">
      <c r="A59" s="2" t="s">
        <v>1556</v>
      </c>
      <c r="D59" s="10">
        <v>10.2715</v>
      </c>
    </row>
    <row r="61" spans="1:4" x14ac:dyDescent="0.2">
      <c r="A61" s="4" t="s">
        <v>106</v>
      </c>
      <c r="D61" s="17" t="s">
        <v>319</v>
      </c>
    </row>
    <row r="62" spans="1:4" x14ac:dyDescent="0.2">
      <c r="A62" s="18" t="s">
        <v>602</v>
      </c>
      <c r="B62" s="19"/>
      <c r="C62" s="110" t="s">
        <v>603</v>
      </c>
      <c r="D62" s="111"/>
    </row>
    <row r="63" spans="1:4" x14ac:dyDescent="0.2">
      <c r="A63" s="112"/>
      <c r="B63" s="113"/>
      <c r="C63" s="20" t="s">
        <v>604</v>
      </c>
      <c r="D63" s="20" t="s">
        <v>605</v>
      </c>
    </row>
    <row r="64" spans="1:4" x14ac:dyDescent="0.2">
      <c r="A64" s="21" t="s">
        <v>1554</v>
      </c>
      <c r="B64" s="22"/>
      <c r="C64" s="23">
        <v>0.41058393900000001</v>
      </c>
      <c r="D64" s="23">
        <v>0.3802027738</v>
      </c>
    </row>
    <row r="65" spans="1:5" x14ac:dyDescent="0.2">
      <c r="A65" s="21" t="s">
        <v>1556</v>
      </c>
      <c r="B65" s="22"/>
      <c r="C65" s="23">
        <v>0.41058393900000001</v>
      </c>
      <c r="D65" s="23">
        <v>0.3802027738</v>
      </c>
    </row>
    <row r="66" spans="1:5" x14ac:dyDescent="0.2">
      <c r="A66" s="75"/>
      <c r="B66" s="75"/>
      <c r="C66" s="76"/>
      <c r="D66" s="76"/>
    </row>
    <row r="67" spans="1:5" x14ac:dyDescent="0.2">
      <c r="A67" s="4" t="s">
        <v>834</v>
      </c>
      <c r="D67" s="59">
        <v>1.2216027498655784</v>
      </c>
      <c r="E67" s="59" t="s">
        <v>1787</v>
      </c>
    </row>
    <row r="69" spans="1:5" x14ac:dyDescent="0.2">
      <c r="A69" s="4" t="s">
        <v>836</v>
      </c>
      <c r="D69" s="67" t="s">
        <v>107</v>
      </c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0B58-EFD8-4CE9-8B40-5A2D111350BC}">
  <dimension ref="A1:F66"/>
  <sheetViews>
    <sheetView showGridLines="0" workbookViewId="0">
      <selection sqref="A1:F1"/>
    </sheetView>
  </sheetViews>
  <sheetFormatPr defaultRowHeight="11.25" x14ac:dyDescent="0.2"/>
  <cols>
    <col min="1" max="1" width="59.5703125" style="2" bestFit="1" customWidth="1"/>
    <col min="2" max="2" width="56" style="2" bestFit="1" customWidth="1"/>
    <col min="3" max="3" width="11.7109375" style="2" bestFit="1" customWidth="1"/>
    <col min="4" max="4" width="7.710937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1953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1206</v>
      </c>
      <c r="B8" s="52" t="s">
        <v>1207</v>
      </c>
      <c r="C8" s="52" t="s">
        <v>1208</v>
      </c>
      <c r="D8" s="14">
        <v>26</v>
      </c>
      <c r="E8" s="13">
        <v>262.73962</v>
      </c>
      <c r="F8" s="49">
        <v>10.533352541074199</v>
      </c>
    </row>
    <row r="9" spans="1:6" x14ac:dyDescent="0.2">
      <c r="A9" s="52" t="s">
        <v>1204</v>
      </c>
      <c r="B9" s="52" t="s">
        <v>1205</v>
      </c>
      <c r="C9" s="52" t="s">
        <v>688</v>
      </c>
      <c r="D9" s="14">
        <v>26</v>
      </c>
      <c r="E9" s="13">
        <v>262.0813</v>
      </c>
      <c r="F9" s="49">
        <v>10.506960188657599</v>
      </c>
    </row>
    <row r="10" spans="1:6" x14ac:dyDescent="0.2">
      <c r="A10" s="52" t="s">
        <v>1674</v>
      </c>
      <c r="B10" s="52" t="s">
        <v>1675</v>
      </c>
      <c r="C10" s="52" t="s">
        <v>688</v>
      </c>
      <c r="D10" s="14">
        <v>24</v>
      </c>
      <c r="E10" s="13">
        <v>241.12464</v>
      </c>
      <c r="F10" s="49">
        <v>9.6667980240650504</v>
      </c>
    </row>
    <row r="11" spans="1:6" x14ac:dyDescent="0.2">
      <c r="A11" s="52" t="s">
        <v>1001</v>
      </c>
      <c r="B11" s="52" t="s">
        <v>1002</v>
      </c>
      <c r="C11" s="52" t="s">
        <v>688</v>
      </c>
      <c r="D11" s="14">
        <v>21</v>
      </c>
      <c r="E11" s="13">
        <v>211.80977999999999</v>
      </c>
      <c r="F11" s="49">
        <v>8.4915517666782296</v>
      </c>
    </row>
    <row r="12" spans="1:6" x14ac:dyDescent="0.2">
      <c r="A12" s="52" t="s">
        <v>1954</v>
      </c>
      <c r="B12" s="52" t="s">
        <v>1955</v>
      </c>
      <c r="C12" s="52" t="s">
        <v>688</v>
      </c>
      <c r="D12" s="14">
        <v>20</v>
      </c>
      <c r="E12" s="13">
        <v>202.2518</v>
      </c>
      <c r="F12" s="49">
        <v>8.1083679403465307</v>
      </c>
    </row>
    <row r="13" spans="1:6" x14ac:dyDescent="0.2">
      <c r="A13" s="52" t="s">
        <v>1956</v>
      </c>
      <c r="B13" s="52" t="s">
        <v>1957</v>
      </c>
      <c r="C13" s="52" t="s">
        <v>688</v>
      </c>
      <c r="D13" s="14">
        <v>20</v>
      </c>
      <c r="E13" s="13">
        <v>201.672</v>
      </c>
      <c r="F13" s="49">
        <v>8.0851234909432996</v>
      </c>
    </row>
    <row r="14" spans="1:6" x14ac:dyDescent="0.2">
      <c r="A14" s="52" t="s">
        <v>1220</v>
      </c>
      <c r="B14" s="52" t="s">
        <v>1221</v>
      </c>
      <c r="C14" s="52" t="s">
        <v>688</v>
      </c>
      <c r="D14" s="14">
        <v>2</v>
      </c>
      <c r="E14" s="13">
        <v>201.40600000000001</v>
      </c>
      <c r="F14" s="49">
        <v>8.0744594282643405</v>
      </c>
    </row>
    <row r="15" spans="1:6" x14ac:dyDescent="0.2">
      <c r="A15" s="52" t="s">
        <v>1958</v>
      </c>
      <c r="B15" s="52" t="s">
        <v>1959</v>
      </c>
      <c r="C15" s="52" t="s">
        <v>688</v>
      </c>
      <c r="D15" s="14">
        <v>19</v>
      </c>
      <c r="E15" s="13">
        <v>190.94372999999999</v>
      </c>
      <c r="F15" s="49">
        <v>7.6550221987749101</v>
      </c>
    </row>
    <row r="16" spans="1:6" x14ac:dyDescent="0.2">
      <c r="A16" s="52" t="s">
        <v>1951</v>
      </c>
      <c r="B16" s="52" t="s">
        <v>1952</v>
      </c>
      <c r="C16" s="52" t="s">
        <v>688</v>
      </c>
      <c r="D16" s="14">
        <v>15</v>
      </c>
      <c r="E16" s="13">
        <v>151.06665000000001</v>
      </c>
      <c r="F16" s="49">
        <v>6.0563316703018204</v>
      </c>
    </row>
    <row r="17" spans="1:6" x14ac:dyDescent="0.2">
      <c r="A17" s="52" t="s">
        <v>1698</v>
      </c>
      <c r="B17" s="52" t="s">
        <v>1699</v>
      </c>
      <c r="C17" s="52" t="s">
        <v>688</v>
      </c>
      <c r="D17" s="14">
        <v>13</v>
      </c>
      <c r="E17" s="13">
        <v>130.63323</v>
      </c>
      <c r="F17" s="49">
        <v>5.2371464386270699</v>
      </c>
    </row>
    <row r="18" spans="1:6" x14ac:dyDescent="0.2">
      <c r="A18" s="52" t="s">
        <v>989</v>
      </c>
      <c r="B18" s="52" t="s">
        <v>990</v>
      </c>
      <c r="C18" s="52" t="s">
        <v>688</v>
      </c>
      <c r="D18" s="14">
        <v>3</v>
      </c>
      <c r="E18" s="13">
        <v>30.154140000000002</v>
      </c>
      <c r="F18" s="49">
        <v>1.2088933796619901</v>
      </c>
    </row>
    <row r="19" spans="1:6" x14ac:dyDescent="0.2">
      <c r="A19" s="41" t="s">
        <v>43</v>
      </c>
      <c r="B19" s="52"/>
      <c r="C19" s="52"/>
      <c r="D19" s="14"/>
      <c r="E19" s="50">
        <f>SUM(E8:E18)</f>
        <v>2085.8828899999999</v>
      </c>
      <c r="F19" s="6">
        <f>SUM(F8:F18)</f>
        <v>83.624007067395027</v>
      </c>
    </row>
    <row r="20" spans="1:6" x14ac:dyDescent="0.2">
      <c r="A20" s="52"/>
      <c r="B20" s="52"/>
      <c r="C20" s="52"/>
      <c r="D20" s="14"/>
      <c r="E20" s="13"/>
      <c r="F20" s="49"/>
    </row>
    <row r="21" spans="1:6" x14ac:dyDescent="0.2">
      <c r="A21" s="41" t="s">
        <v>772</v>
      </c>
      <c r="B21" s="52"/>
      <c r="C21" s="52"/>
      <c r="D21" s="14"/>
      <c r="E21" s="13"/>
      <c r="F21" s="49"/>
    </row>
    <row r="22" spans="1:6" x14ac:dyDescent="0.2">
      <c r="A22" s="52" t="s">
        <v>1286</v>
      </c>
      <c r="B22" s="52" t="s">
        <v>1287</v>
      </c>
      <c r="C22" s="52" t="s">
        <v>688</v>
      </c>
      <c r="D22" s="14">
        <v>22</v>
      </c>
      <c r="E22" s="13">
        <v>221.16116</v>
      </c>
      <c r="F22" s="49">
        <v>8.8664529037262003</v>
      </c>
    </row>
    <row r="23" spans="1:6" x14ac:dyDescent="0.2">
      <c r="A23" s="41" t="s">
        <v>43</v>
      </c>
      <c r="B23" s="52"/>
      <c r="C23" s="52"/>
      <c r="D23" s="14"/>
      <c r="E23" s="50">
        <f>SUM(E22:E22)</f>
        <v>221.16116</v>
      </c>
      <c r="F23" s="6">
        <f>SUM(F22:F22)</f>
        <v>8.8664529037262003</v>
      </c>
    </row>
    <row r="24" spans="1:6" x14ac:dyDescent="0.2">
      <c r="A24" s="52"/>
      <c r="B24" s="52"/>
      <c r="C24" s="52"/>
      <c r="D24" s="14"/>
      <c r="E24" s="13"/>
      <c r="F24" s="49"/>
    </row>
    <row r="25" spans="1:6" x14ac:dyDescent="0.2">
      <c r="A25" s="41" t="s">
        <v>1066</v>
      </c>
      <c r="B25" s="52"/>
      <c r="C25" s="52"/>
      <c r="D25" s="14"/>
      <c r="E25" s="13"/>
      <c r="F25" s="49"/>
    </row>
    <row r="26" spans="1:6" x14ac:dyDescent="0.2">
      <c r="A26" s="52" t="s">
        <v>1344</v>
      </c>
      <c r="B26" s="52" t="s">
        <v>1345</v>
      </c>
      <c r="C26" s="52" t="s">
        <v>1069</v>
      </c>
      <c r="D26" s="14">
        <v>5</v>
      </c>
      <c r="E26" s="13">
        <v>24.5425</v>
      </c>
      <c r="F26" s="49">
        <v>0.98392014397871796</v>
      </c>
    </row>
    <row r="27" spans="1:6" x14ac:dyDescent="0.2">
      <c r="A27" s="52" t="s">
        <v>1366</v>
      </c>
      <c r="B27" s="52" t="s">
        <v>1367</v>
      </c>
      <c r="C27" s="52" t="s">
        <v>1065</v>
      </c>
      <c r="D27" s="14">
        <v>5</v>
      </c>
      <c r="E27" s="13">
        <v>24.464099999999998</v>
      </c>
      <c r="F27" s="49">
        <v>0.98077705182070896</v>
      </c>
    </row>
    <row r="28" spans="1:6" x14ac:dyDescent="0.2">
      <c r="A28" s="52" t="s">
        <v>1087</v>
      </c>
      <c r="B28" s="52" t="s">
        <v>1088</v>
      </c>
      <c r="C28" s="52" t="s">
        <v>1062</v>
      </c>
      <c r="D28" s="14">
        <v>2</v>
      </c>
      <c r="E28" s="13">
        <v>9.8183600000000002</v>
      </c>
      <c r="F28" s="49">
        <v>0.39362258061871802</v>
      </c>
    </row>
    <row r="29" spans="1:6" x14ac:dyDescent="0.2">
      <c r="A29" s="41" t="s">
        <v>43</v>
      </c>
      <c r="B29" s="52"/>
      <c r="C29" s="52"/>
      <c r="D29" s="14"/>
      <c r="E29" s="50">
        <f>SUM(E26:E28)</f>
        <v>58.824959999999997</v>
      </c>
      <c r="F29" s="6">
        <f>SUM(F26:F28)</f>
        <v>2.3583197764181452</v>
      </c>
    </row>
    <row r="30" spans="1:6" x14ac:dyDescent="0.2">
      <c r="A30" s="52"/>
      <c r="B30" s="52"/>
      <c r="C30" s="52"/>
      <c r="D30" s="14"/>
      <c r="E30" s="13"/>
      <c r="F30" s="49"/>
    </row>
    <row r="31" spans="1:6" x14ac:dyDescent="0.2">
      <c r="A31" s="41" t="s">
        <v>43</v>
      </c>
      <c r="B31" s="52"/>
      <c r="C31" s="52"/>
      <c r="D31" s="14"/>
      <c r="E31" s="50">
        <v>2365.8690099999999</v>
      </c>
      <c r="F31" s="6">
        <v>94.848779747539368</v>
      </c>
    </row>
    <row r="32" spans="1:6" x14ac:dyDescent="0.2">
      <c r="A32" s="52"/>
      <c r="B32" s="52"/>
      <c r="C32" s="52"/>
      <c r="D32" s="14"/>
      <c r="E32" s="13"/>
      <c r="F32" s="49"/>
    </row>
    <row r="33" spans="1:6" x14ac:dyDescent="0.2">
      <c r="A33" s="41" t="s">
        <v>100</v>
      </c>
      <c r="B33" s="52"/>
      <c r="C33" s="52"/>
      <c r="D33" s="52"/>
      <c r="E33" s="50">
        <v>128.4889325</v>
      </c>
      <c r="F33" s="6">
        <v>5.15</v>
      </c>
    </row>
    <row r="34" spans="1:6" x14ac:dyDescent="0.2">
      <c r="A34" s="52"/>
      <c r="B34" s="52"/>
      <c r="C34" s="52"/>
      <c r="D34" s="52"/>
      <c r="E34" s="13"/>
      <c r="F34" s="49"/>
    </row>
    <row r="35" spans="1:6" x14ac:dyDescent="0.2">
      <c r="A35" s="57" t="s">
        <v>101</v>
      </c>
      <c r="B35" s="34"/>
      <c r="C35" s="34"/>
      <c r="D35" s="34"/>
      <c r="E35" s="51">
        <v>2494.3589324999998</v>
      </c>
      <c r="F35" s="8">
        <f xml:space="preserve"> ROUND(SUM(F31:F34),2)</f>
        <v>100</v>
      </c>
    </row>
    <row r="36" spans="1:6" x14ac:dyDescent="0.2">
      <c r="A36" s="4" t="s">
        <v>1964</v>
      </c>
    </row>
    <row r="37" spans="1:6" x14ac:dyDescent="0.2">
      <c r="A37" s="4"/>
    </row>
    <row r="38" spans="1:6" x14ac:dyDescent="0.2">
      <c r="A38" s="4" t="s">
        <v>102</v>
      </c>
    </row>
    <row r="39" spans="1:6" x14ac:dyDescent="0.2">
      <c r="A39" s="4" t="s">
        <v>833</v>
      </c>
    </row>
    <row r="40" spans="1:6" x14ac:dyDescent="0.2">
      <c r="A40" s="4" t="s">
        <v>104</v>
      </c>
    </row>
    <row r="41" spans="1:6" x14ac:dyDescent="0.2">
      <c r="A41" s="2" t="s">
        <v>598</v>
      </c>
      <c r="D41" s="10">
        <v>11.407500000000001</v>
      </c>
    </row>
    <row r="42" spans="1:6" x14ac:dyDescent="0.2">
      <c r="A42" s="2" t="s">
        <v>599</v>
      </c>
      <c r="D42" s="10">
        <v>11.083</v>
      </c>
    </row>
    <row r="43" spans="1:6" x14ac:dyDescent="0.2">
      <c r="A43" s="2" t="s">
        <v>1554</v>
      </c>
      <c r="D43" s="10">
        <v>10.256500000000001</v>
      </c>
    </row>
    <row r="44" spans="1:6" x14ac:dyDescent="0.2">
      <c r="A44" s="2" t="s">
        <v>600</v>
      </c>
      <c r="D44" s="10">
        <v>11.457700000000001</v>
      </c>
    </row>
    <row r="45" spans="1:6" x14ac:dyDescent="0.2">
      <c r="A45" s="2" t="s">
        <v>601</v>
      </c>
      <c r="D45" s="10">
        <v>11.1332</v>
      </c>
    </row>
    <row r="46" spans="1:6" x14ac:dyDescent="0.2">
      <c r="A46" s="2" t="s">
        <v>1556</v>
      </c>
      <c r="D46" s="10">
        <v>10.284000000000001</v>
      </c>
    </row>
    <row r="48" spans="1:6" x14ac:dyDescent="0.2">
      <c r="A48" s="4" t="s">
        <v>105</v>
      </c>
    </row>
    <row r="49" spans="1:5" x14ac:dyDescent="0.2">
      <c r="A49" s="2" t="s">
        <v>598</v>
      </c>
      <c r="D49" s="10">
        <v>11.9429</v>
      </c>
    </row>
    <row r="50" spans="1:5" x14ac:dyDescent="0.2">
      <c r="A50" s="2" t="s">
        <v>599</v>
      </c>
      <c r="D50" s="10">
        <v>10.668799999999999</v>
      </c>
    </row>
    <row r="51" spans="1:5" x14ac:dyDescent="0.2">
      <c r="A51" s="2" t="s">
        <v>1554</v>
      </c>
      <c r="D51" s="10">
        <v>10.2454</v>
      </c>
    </row>
    <row r="52" spans="1:5" x14ac:dyDescent="0.2">
      <c r="A52" s="2" t="s">
        <v>600</v>
      </c>
      <c r="D52" s="10">
        <v>11.9954</v>
      </c>
    </row>
    <row r="53" spans="1:5" x14ac:dyDescent="0.2">
      <c r="A53" s="2" t="s">
        <v>601</v>
      </c>
      <c r="D53" s="10">
        <v>10.721299999999999</v>
      </c>
    </row>
    <row r="54" spans="1:5" x14ac:dyDescent="0.2">
      <c r="A54" s="2" t="s">
        <v>1556</v>
      </c>
      <c r="D54" s="10">
        <v>10.2742</v>
      </c>
    </row>
    <row r="56" spans="1:5" x14ac:dyDescent="0.2">
      <c r="A56" s="4" t="s">
        <v>106</v>
      </c>
      <c r="D56" s="66" t="s">
        <v>319</v>
      </c>
    </row>
    <row r="57" spans="1:5" x14ac:dyDescent="0.2">
      <c r="A57" s="18" t="s">
        <v>602</v>
      </c>
      <c r="B57" s="19"/>
      <c r="C57" s="110" t="s">
        <v>603</v>
      </c>
      <c r="D57" s="111"/>
    </row>
    <row r="58" spans="1:5" x14ac:dyDescent="0.2">
      <c r="A58" s="112"/>
      <c r="B58" s="113"/>
      <c r="C58" s="20" t="s">
        <v>604</v>
      </c>
      <c r="D58" s="20" t="s">
        <v>605</v>
      </c>
    </row>
    <row r="59" spans="1:5" x14ac:dyDescent="0.2">
      <c r="A59" s="53" t="s">
        <v>599</v>
      </c>
      <c r="B59" s="54"/>
      <c r="C59" s="95">
        <v>0.64829042999999997</v>
      </c>
      <c r="D59" s="95">
        <v>0.60032016900000007</v>
      </c>
    </row>
    <row r="60" spans="1:5" x14ac:dyDescent="0.2">
      <c r="A60" s="21" t="s">
        <v>1554</v>
      </c>
      <c r="B60" s="22"/>
      <c r="C60" s="95">
        <v>0.34575489599999998</v>
      </c>
      <c r="D60" s="95">
        <v>0.32017075690000002</v>
      </c>
    </row>
    <row r="61" spans="1:5" x14ac:dyDescent="0.2">
      <c r="A61" s="21" t="s">
        <v>601</v>
      </c>
      <c r="B61" s="22"/>
      <c r="C61" s="95">
        <v>0.64829042999999997</v>
      </c>
      <c r="D61" s="95">
        <v>0.60032016900000007</v>
      </c>
    </row>
    <row r="62" spans="1:5" x14ac:dyDescent="0.2">
      <c r="A62" s="21" t="s">
        <v>1960</v>
      </c>
      <c r="B62" s="22"/>
      <c r="C62" s="95">
        <v>0.34575489599999998</v>
      </c>
      <c r="D62" s="95">
        <v>0.32017075690000002</v>
      </c>
    </row>
    <row r="64" spans="1:5" x14ac:dyDescent="0.2">
      <c r="A64" s="4" t="s">
        <v>834</v>
      </c>
      <c r="D64" s="59">
        <v>0.35150996369429177</v>
      </c>
      <c r="E64" s="59" t="s">
        <v>1787</v>
      </c>
    </row>
    <row r="66" spans="1:4" x14ac:dyDescent="0.2">
      <c r="A66" s="4" t="s">
        <v>836</v>
      </c>
      <c r="D66" s="67" t="s">
        <v>107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7F3E-48B1-4A00-ACDA-DC0CB3FA0BEE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59" bestFit="1" customWidth="1"/>
    <col min="6" max="6" width="13.5703125" style="1" bestFit="1" customWidth="1"/>
    <col min="7" max="16384" width="9.140625" style="2"/>
  </cols>
  <sheetData>
    <row r="1" spans="1:6" x14ac:dyDescent="0.2">
      <c r="A1" s="102" t="s">
        <v>1961</v>
      </c>
      <c r="B1" s="102"/>
      <c r="C1" s="102"/>
      <c r="D1" s="102"/>
      <c r="E1" s="102"/>
      <c r="F1" s="102"/>
    </row>
    <row r="3" spans="1:6" s="4" customFormat="1" x14ac:dyDescent="0.2">
      <c r="A3" s="55" t="s">
        <v>1</v>
      </c>
      <c r="B3" s="55" t="s">
        <v>2</v>
      </c>
      <c r="C3" s="55" t="s">
        <v>681</v>
      </c>
      <c r="D3" s="55" t="s">
        <v>4</v>
      </c>
      <c r="E3" s="56" t="s">
        <v>5</v>
      </c>
      <c r="F3" s="3" t="s">
        <v>6</v>
      </c>
    </row>
    <row r="4" spans="1:6" x14ac:dyDescent="0.2">
      <c r="A4" s="34"/>
      <c r="B4" s="34"/>
      <c r="C4" s="34"/>
      <c r="D4" s="34"/>
      <c r="E4" s="35"/>
      <c r="F4" s="5"/>
    </row>
    <row r="5" spans="1:6" x14ac:dyDescent="0.2">
      <c r="A5" s="41" t="s">
        <v>682</v>
      </c>
      <c r="B5" s="52"/>
      <c r="C5" s="52"/>
      <c r="D5" s="52"/>
      <c r="E5" s="13"/>
      <c r="F5" s="49"/>
    </row>
    <row r="6" spans="1:6" x14ac:dyDescent="0.2">
      <c r="A6" s="41" t="s">
        <v>8</v>
      </c>
      <c r="B6" s="52"/>
      <c r="C6" s="52"/>
      <c r="D6" s="52"/>
      <c r="E6" s="13"/>
      <c r="F6" s="49"/>
    </row>
    <row r="7" spans="1:6" x14ac:dyDescent="0.2">
      <c r="A7" s="41"/>
      <c r="B7" s="52"/>
      <c r="C7" s="52"/>
      <c r="D7" s="14"/>
      <c r="E7" s="13"/>
      <c r="F7" s="49"/>
    </row>
    <row r="8" spans="1:6" x14ac:dyDescent="0.2">
      <c r="A8" s="52" t="s">
        <v>1206</v>
      </c>
      <c r="B8" s="52" t="s">
        <v>1207</v>
      </c>
      <c r="C8" s="52" t="s">
        <v>1208</v>
      </c>
      <c r="D8" s="14">
        <v>38</v>
      </c>
      <c r="E8" s="13">
        <v>384.00405999999998</v>
      </c>
      <c r="F8" s="49">
        <v>10.3139784401644</v>
      </c>
    </row>
    <row r="9" spans="1:6" x14ac:dyDescent="0.2">
      <c r="A9" s="52" t="s">
        <v>1204</v>
      </c>
      <c r="B9" s="52" t="s">
        <v>1205</v>
      </c>
      <c r="C9" s="52" t="s">
        <v>688</v>
      </c>
      <c r="D9" s="14">
        <v>37</v>
      </c>
      <c r="E9" s="13">
        <v>372.96185000000003</v>
      </c>
      <c r="F9" s="49">
        <v>10.0173953366634</v>
      </c>
    </row>
    <row r="10" spans="1:6" x14ac:dyDescent="0.2">
      <c r="A10" s="52" t="s">
        <v>1674</v>
      </c>
      <c r="B10" s="52" t="s">
        <v>1675</v>
      </c>
      <c r="C10" s="52" t="s">
        <v>688</v>
      </c>
      <c r="D10" s="14">
        <v>34</v>
      </c>
      <c r="E10" s="13">
        <v>341.59323999999998</v>
      </c>
      <c r="F10" s="49">
        <v>9.1748647466537196</v>
      </c>
    </row>
    <row r="11" spans="1:6" x14ac:dyDescent="0.2">
      <c r="A11" s="52" t="s">
        <v>1001</v>
      </c>
      <c r="B11" s="52" t="s">
        <v>1002</v>
      </c>
      <c r="C11" s="52" t="s">
        <v>688</v>
      </c>
      <c r="D11" s="14">
        <v>32</v>
      </c>
      <c r="E11" s="13">
        <v>322.75776000000002</v>
      </c>
      <c r="F11" s="49">
        <v>8.6689619324226808</v>
      </c>
    </row>
    <row r="12" spans="1:6" x14ac:dyDescent="0.2">
      <c r="A12" s="52" t="s">
        <v>1951</v>
      </c>
      <c r="B12" s="52" t="s">
        <v>1952</v>
      </c>
      <c r="C12" s="52" t="s">
        <v>688</v>
      </c>
      <c r="D12" s="14">
        <v>32</v>
      </c>
      <c r="E12" s="13">
        <v>322.27551999999997</v>
      </c>
      <c r="F12" s="49">
        <v>8.65600943144395</v>
      </c>
    </row>
    <row r="13" spans="1:6" x14ac:dyDescent="0.2">
      <c r="A13" s="52" t="s">
        <v>1698</v>
      </c>
      <c r="B13" s="52" t="s">
        <v>1699</v>
      </c>
      <c r="C13" s="52" t="s">
        <v>688</v>
      </c>
      <c r="D13" s="14">
        <v>32</v>
      </c>
      <c r="E13" s="13">
        <v>321.55871999999999</v>
      </c>
      <c r="F13" s="49">
        <v>8.6367568752446502</v>
      </c>
    </row>
    <row r="14" spans="1:6" x14ac:dyDescent="0.2">
      <c r="A14" s="52" t="s">
        <v>1958</v>
      </c>
      <c r="B14" s="52" t="s">
        <v>1959</v>
      </c>
      <c r="C14" s="52" t="s">
        <v>688</v>
      </c>
      <c r="D14" s="14">
        <v>31</v>
      </c>
      <c r="E14" s="13">
        <v>311.53976999999998</v>
      </c>
      <c r="F14" s="49">
        <v>8.3676575477711701</v>
      </c>
    </row>
    <row r="15" spans="1:6" x14ac:dyDescent="0.2">
      <c r="A15" s="52" t="s">
        <v>1954</v>
      </c>
      <c r="B15" s="52" t="s">
        <v>1955</v>
      </c>
      <c r="C15" s="52" t="s">
        <v>688</v>
      </c>
      <c r="D15" s="14">
        <v>30</v>
      </c>
      <c r="E15" s="13">
        <v>303.3777</v>
      </c>
      <c r="F15" s="49">
        <v>8.1484322249787198</v>
      </c>
    </row>
    <row r="16" spans="1:6" x14ac:dyDescent="0.2">
      <c r="A16" s="52" t="s">
        <v>1956</v>
      </c>
      <c r="B16" s="52" t="s">
        <v>1957</v>
      </c>
      <c r="C16" s="52" t="s">
        <v>688</v>
      </c>
      <c r="D16" s="14">
        <v>30</v>
      </c>
      <c r="E16" s="13">
        <v>302.50799999999998</v>
      </c>
      <c r="F16" s="49">
        <v>8.1250729223468401</v>
      </c>
    </row>
    <row r="17" spans="1:6" x14ac:dyDescent="0.2">
      <c r="A17" s="52" t="s">
        <v>1220</v>
      </c>
      <c r="B17" s="52" t="s">
        <v>1221</v>
      </c>
      <c r="C17" s="52" t="s">
        <v>688</v>
      </c>
      <c r="D17" s="14">
        <v>2</v>
      </c>
      <c r="E17" s="13">
        <v>201.40600000000001</v>
      </c>
      <c r="F17" s="49">
        <v>5.4095707782874696</v>
      </c>
    </row>
    <row r="18" spans="1:6" x14ac:dyDescent="0.2">
      <c r="A18" s="52" t="s">
        <v>989</v>
      </c>
      <c r="B18" s="52" t="s">
        <v>990</v>
      </c>
      <c r="C18" s="52" t="s">
        <v>688</v>
      </c>
      <c r="D18" s="14">
        <v>6</v>
      </c>
      <c r="E18" s="13">
        <v>60.308280000000003</v>
      </c>
      <c r="F18" s="49">
        <v>1.61982219584709</v>
      </c>
    </row>
    <row r="19" spans="1:6" x14ac:dyDescent="0.2">
      <c r="A19" s="41" t="s">
        <v>43</v>
      </c>
      <c r="B19" s="52"/>
      <c r="C19" s="52"/>
      <c r="D19" s="14"/>
      <c r="E19" s="50">
        <f>SUM(E8:E18)</f>
        <v>3244.2908999999995</v>
      </c>
      <c r="F19" s="6">
        <f>SUM(F8:F18)</f>
        <v>87.1385224318241</v>
      </c>
    </row>
    <row r="20" spans="1:6" x14ac:dyDescent="0.2">
      <c r="A20" s="52"/>
      <c r="B20" s="52"/>
      <c r="C20" s="52"/>
      <c r="D20" s="14"/>
      <c r="E20" s="13"/>
      <c r="F20" s="49"/>
    </row>
    <row r="21" spans="1:6" x14ac:dyDescent="0.2">
      <c r="A21" s="41" t="s">
        <v>772</v>
      </c>
      <c r="B21" s="52"/>
      <c r="C21" s="52"/>
      <c r="D21" s="14"/>
      <c r="E21" s="13"/>
      <c r="F21" s="49"/>
    </row>
    <row r="22" spans="1:6" x14ac:dyDescent="0.2">
      <c r="A22" s="52" t="s">
        <v>1286</v>
      </c>
      <c r="B22" s="52" t="s">
        <v>1287</v>
      </c>
      <c r="C22" s="52" t="s">
        <v>688</v>
      </c>
      <c r="D22" s="14">
        <v>22</v>
      </c>
      <c r="E22" s="13">
        <v>221.16116</v>
      </c>
      <c r="F22" s="49">
        <v>5.9401753097135197</v>
      </c>
    </row>
    <row r="23" spans="1:6" x14ac:dyDescent="0.2">
      <c r="A23" s="41" t="s">
        <v>43</v>
      </c>
      <c r="B23" s="52"/>
      <c r="C23" s="52"/>
      <c r="D23" s="14"/>
      <c r="E23" s="50">
        <f>SUM(E22:E22)</f>
        <v>221.16116</v>
      </c>
      <c r="F23" s="6">
        <f>SUM(F22:F22)</f>
        <v>5.9401753097135197</v>
      </c>
    </row>
    <row r="24" spans="1:6" x14ac:dyDescent="0.2">
      <c r="A24" s="52"/>
      <c r="B24" s="52"/>
      <c r="C24" s="52"/>
      <c r="D24" s="14"/>
      <c r="E24" s="13"/>
      <c r="F24" s="49"/>
    </row>
    <row r="25" spans="1:6" x14ac:dyDescent="0.2">
      <c r="A25" s="41" t="s">
        <v>1066</v>
      </c>
      <c r="B25" s="52"/>
      <c r="C25" s="52"/>
      <c r="D25" s="14"/>
      <c r="E25" s="13"/>
      <c r="F25" s="49"/>
    </row>
    <row r="26" spans="1:6" x14ac:dyDescent="0.2">
      <c r="A26" s="52" t="s">
        <v>1366</v>
      </c>
      <c r="B26" s="52" t="s">
        <v>1367</v>
      </c>
      <c r="C26" s="52" t="s">
        <v>1065</v>
      </c>
      <c r="D26" s="14">
        <v>8</v>
      </c>
      <c r="E26" s="13">
        <v>39.142560000000003</v>
      </c>
      <c r="F26" s="49">
        <v>1.0513313841859899</v>
      </c>
    </row>
    <row r="27" spans="1:6" x14ac:dyDescent="0.2">
      <c r="A27" s="52" t="s">
        <v>1344</v>
      </c>
      <c r="B27" s="52" t="s">
        <v>1345</v>
      </c>
      <c r="C27" s="52" t="s">
        <v>1069</v>
      </c>
      <c r="D27" s="14">
        <v>5</v>
      </c>
      <c r="E27" s="13">
        <v>24.5425</v>
      </c>
      <c r="F27" s="49">
        <v>0.65918786345054403</v>
      </c>
    </row>
    <row r="28" spans="1:6" x14ac:dyDescent="0.2">
      <c r="A28" s="52" t="s">
        <v>1087</v>
      </c>
      <c r="B28" s="52" t="s">
        <v>1088</v>
      </c>
      <c r="C28" s="52" t="s">
        <v>1062</v>
      </c>
      <c r="D28" s="14">
        <v>3</v>
      </c>
      <c r="E28" s="13">
        <v>14.727539999999999</v>
      </c>
      <c r="F28" s="49">
        <v>0.39556751050147398</v>
      </c>
    </row>
    <row r="29" spans="1:6" x14ac:dyDescent="0.2">
      <c r="A29" s="41" t="s">
        <v>43</v>
      </c>
      <c r="B29" s="52"/>
      <c r="C29" s="52"/>
      <c r="D29" s="14"/>
      <c r="E29" s="50">
        <f>SUM(E26:E28)</f>
        <v>78.412600000000012</v>
      </c>
      <c r="F29" s="6">
        <f>SUM(F26:F28)</f>
        <v>2.1060867581380078</v>
      </c>
    </row>
    <row r="30" spans="1:6" x14ac:dyDescent="0.2">
      <c r="A30" s="52"/>
      <c r="B30" s="52"/>
      <c r="C30" s="52"/>
      <c r="D30" s="52"/>
      <c r="E30" s="13"/>
      <c r="F30" s="49"/>
    </row>
    <row r="31" spans="1:6" x14ac:dyDescent="0.2">
      <c r="A31" s="41" t="s">
        <v>43</v>
      </c>
      <c r="B31" s="52"/>
      <c r="C31" s="52"/>
      <c r="D31" s="52"/>
      <c r="E31" s="50">
        <f>E19+E23+E29</f>
        <v>3543.8646599999997</v>
      </c>
      <c r="F31" s="6">
        <f>F19+F23+F29</f>
        <v>95.184784499675629</v>
      </c>
    </row>
    <row r="32" spans="1:6" x14ac:dyDescent="0.2">
      <c r="A32" s="52"/>
      <c r="B32" s="52"/>
      <c r="C32" s="52"/>
      <c r="D32" s="52"/>
      <c r="E32" s="13"/>
      <c r="F32" s="49"/>
    </row>
    <row r="33" spans="1:6" x14ac:dyDescent="0.2">
      <c r="A33" s="41" t="s">
        <v>100</v>
      </c>
      <c r="B33" s="52"/>
      <c r="C33" s="52"/>
      <c r="D33" s="52"/>
      <c r="E33" s="50">
        <v>179.28196919999999</v>
      </c>
      <c r="F33" s="6">
        <v>4.82</v>
      </c>
    </row>
    <row r="34" spans="1:6" x14ac:dyDescent="0.2">
      <c r="A34" s="52"/>
      <c r="B34" s="52"/>
      <c r="C34" s="52"/>
      <c r="D34" s="52"/>
      <c r="E34" s="13"/>
      <c r="F34" s="49"/>
    </row>
    <row r="35" spans="1:6" x14ac:dyDescent="0.2">
      <c r="A35" s="57" t="s">
        <v>101</v>
      </c>
      <c r="B35" s="34"/>
      <c r="C35" s="34"/>
      <c r="D35" s="34"/>
      <c r="E35" s="51">
        <f>E31+E33</f>
        <v>3723.1466291999996</v>
      </c>
      <c r="F35" s="8">
        <f>F31+F33</f>
        <v>100.00478449967562</v>
      </c>
    </row>
    <row r="36" spans="1:6" x14ac:dyDescent="0.2">
      <c r="A36" s="4" t="s">
        <v>1964</v>
      </c>
    </row>
    <row r="37" spans="1:6" x14ac:dyDescent="0.2">
      <c r="A37" s="4"/>
    </row>
    <row r="38" spans="1:6" x14ac:dyDescent="0.2">
      <c r="A38" s="4" t="s">
        <v>102</v>
      </c>
    </row>
    <row r="39" spans="1:6" x14ac:dyDescent="0.2">
      <c r="A39" s="4" t="s">
        <v>833</v>
      </c>
    </row>
    <row r="40" spans="1:6" x14ac:dyDescent="0.2">
      <c r="A40" s="4" t="s">
        <v>104</v>
      </c>
    </row>
    <row r="41" spans="1:6" x14ac:dyDescent="0.2">
      <c r="A41" s="2" t="s">
        <v>598</v>
      </c>
      <c r="D41" s="10">
        <v>11.4968</v>
      </c>
    </row>
    <row r="42" spans="1:6" x14ac:dyDescent="0.2">
      <c r="A42" s="2" t="s">
        <v>1933</v>
      </c>
      <c r="D42" s="10">
        <v>10.954599999999999</v>
      </c>
    </row>
    <row r="43" spans="1:6" x14ac:dyDescent="0.2">
      <c r="A43" s="2" t="s">
        <v>600</v>
      </c>
      <c r="D43" s="10">
        <v>11.5487</v>
      </c>
    </row>
    <row r="45" spans="1:6" x14ac:dyDescent="0.2">
      <c r="A45" s="4" t="s">
        <v>105</v>
      </c>
    </row>
    <row r="46" spans="1:6" x14ac:dyDescent="0.2">
      <c r="A46" s="2" t="s">
        <v>598</v>
      </c>
      <c r="D46" s="10">
        <v>12.036300000000001</v>
      </c>
    </row>
    <row r="47" spans="1:6" x14ac:dyDescent="0.2">
      <c r="A47" s="2" t="s">
        <v>1933</v>
      </c>
      <c r="D47" s="10">
        <v>10.4368</v>
      </c>
    </row>
    <row r="48" spans="1:6" x14ac:dyDescent="0.2">
      <c r="A48" s="2" t="s">
        <v>600</v>
      </c>
      <c r="D48" s="10">
        <v>12.0906</v>
      </c>
    </row>
    <row r="50" spans="1:5" x14ac:dyDescent="0.2">
      <c r="A50" s="4" t="s">
        <v>106</v>
      </c>
      <c r="D50" s="17" t="s">
        <v>319</v>
      </c>
    </row>
    <row r="51" spans="1:5" x14ac:dyDescent="0.2">
      <c r="A51" s="18" t="s">
        <v>602</v>
      </c>
      <c r="B51" s="19"/>
      <c r="C51" s="110" t="s">
        <v>603</v>
      </c>
      <c r="D51" s="111"/>
    </row>
    <row r="52" spans="1:5" x14ac:dyDescent="0.2">
      <c r="A52" s="64"/>
      <c r="B52" s="65"/>
      <c r="C52" s="20" t="s">
        <v>604</v>
      </c>
      <c r="D52" s="20" t="s">
        <v>605</v>
      </c>
    </row>
    <row r="53" spans="1:5" x14ac:dyDescent="0.2">
      <c r="A53" s="94" t="s">
        <v>1933</v>
      </c>
      <c r="B53" s="54"/>
      <c r="C53" s="95">
        <v>0.72032269999999998</v>
      </c>
      <c r="D53" s="95">
        <v>0.66702241000000007</v>
      </c>
    </row>
    <row r="55" spans="1:5" x14ac:dyDescent="0.2">
      <c r="A55" s="4" t="s">
        <v>834</v>
      </c>
      <c r="D55" s="59">
        <v>0.35517365919017657</v>
      </c>
      <c r="E55" s="59" t="s">
        <v>1106</v>
      </c>
    </row>
    <row r="57" spans="1:5" x14ac:dyDescent="0.2">
      <c r="A57" s="4" t="s">
        <v>836</v>
      </c>
      <c r="D57" s="67" t="s">
        <v>107</v>
      </c>
    </row>
  </sheetData>
  <mergeCells count="2">
    <mergeCell ref="A1:F1"/>
    <mergeCell ref="C51:D5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C224-A7D9-4C98-B23E-D722C5D4BC71}">
  <dimension ref="A1:F72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27.57031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592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109</v>
      </c>
      <c r="B7" s="7" t="s">
        <v>110</v>
      </c>
      <c r="C7" s="7" t="s">
        <v>11</v>
      </c>
      <c r="D7" s="14">
        <v>1000000</v>
      </c>
      <c r="E7" s="13">
        <v>4630.5</v>
      </c>
      <c r="F7" s="7">
        <v>9.0978625110378957</v>
      </c>
    </row>
    <row r="8" spans="1:6" x14ac:dyDescent="0.2">
      <c r="A8" s="7" t="s">
        <v>9</v>
      </c>
      <c r="B8" s="7" t="s">
        <v>10</v>
      </c>
      <c r="C8" s="7" t="s">
        <v>11</v>
      </c>
      <c r="D8" s="14">
        <v>260000</v>
      </c>
      <c r="E8" s="13">
        <v>3198.91</v>
      </c>
      <c r="F8" s="7">
        <v>6.2851189645144663</v>
      </c>
    </row>
    <row r="9" spans="1:6" x14ac:dyDescent="0.2">
      <c r="A9" s="7" t="s">
        <v>149</v>
      </c>
      <c r="B9" s="7" t="s">
        <v>597</v>
      </c>
      <c r="C9" s="7" t="s">
        <v>33</v>
      </c>
      <c r="D9" s="14">
        <v>3000000</v>
      </c>
      <c r="E9" s="13">
        <v>2452.5</v>
      </c>
      <c r="F9" s="7">
        <v>4.8185957905885841</v>
      </c>
    </row>
    <row r="10" spans="1:6" x14ac:dyDescent="0.2">
      <c r="A10" s="7" t="s">
        <v>220</v>
      </c>
      <c r="B10" s="7" t="s">
        <v>221</v>
      </c>
      <c r="C10" s="7" t="s">
        <v>222</v>
      </c>
      <c r="D10" s="14">
        <v>340000</v>
      </c>
      <c r="E10" s="13">
        <v>2131.12</v>
      </c>
      <c r="F10" s="7">
        <v>4.1871583532065824</v>
      </c>
    </row>
    <row r="11" spans="1:6" x14ac:dyDescent="0.2">
      <c r="A11" s="7" t="s">
        <v>185</v>
      </c>
      <c r="B11" s="7" t="s">
        <v>186</v>
      </c>
      <c r="C11" s="7" t="s">
        <v>78</v>
      </c>
      <c r="D11" s="14">
        <v>290000</v>
      </c>
      <c r="E11" s="13">
        <v>1988.24</v>
      </c>
      <c r="F11" s="7">
        <v>3.9064321690845452</v>
      </c>
    </row>
    <row r="12" spans="1:6" x14ac:dyDescent="0.2">
      <c r="A12" s="7" t="s">
        <v>181</v>
      </c>
      <c r="B12" s="7" t="s">
        <v>182</v>
      </c>
      <c r="C12" s="7" t="s">
        <v>78</v>
      </c>
      <c r="D12" s="14">
        <v>170000</v>
      </c>
      <c r="E12" s="13">
        <v>1976.675</v>
      </c>
      <c r="F12" s="7">
        <v>3.8837096164573661</v>
      </c>
    </row>
    <row r="13" spans="1:6" x14ac:dyDescent="0.2">
      <c r="A13" s="7" t="s">
        <v>183</v>
      </c>
      <c r="B13" s="7" t="s">
        <v>184</v>
      </c>
      <c r="C13" s="7" t="s">
        <v>57</v>
      </c>
      <c r="D13" s="14">
        <v>250000</v>
      </c>
      <c r="E13" s="13">
        <v>1921.875</v>
      </c>
      <c r="F13" s="7">
        <v>3.776040279322094</v>
      </c>
    </row>
    <row r="14" spans="1:6" x14ac:dyDescent="0.2">
      <c r="A14" s="7" t="s">
        <v>111</v>
      </c>
      <c r="B14" s="7" t="s">
        <v>112</v>
      </c>
      <c r="C14" s="7" t="s">
        <v>11</v>
      </c>
      <c r="D14" s="14">
        <v>600000</v>
      </c>
      <c r="E14" s="13">
        <v>1874.4</v>
      </c>
      <c r="F14" s="7">
        <v>3.6827628745684988</v>
      </c>
    </row>
    <row r="15" spans="1:6" x14ac:dyDescent="0.2">
      <c r="A15" s="7" t="s">
        <v>198</v>
      </c>
      <c r="B15" s="7" t="s">
        <v>199</v>
      </c>
      <c r="C15" s="7" t="s">
        <v>33</v>
      </c>
      <c r="D15" s="14">
        <v>300000</v>
      </c>
      <c r="E15" s="13">
        <v>1819.35</v>
      </c>
      <c r="F15" s="7">
        <v>3.5746023452017694</v>
      </c>
    </row>
    <row r="16" spans="1:6" x14ac:dyDescent="0.2">
      <c r="A16" s="7" t="s">
        <v>325</v>
      </c>
      <c r="B16" s="7" t="s">
        <v>326</v>
      </c>
      <c r="C16" s="7" t="s">
        <v>327</v>
      </c>
      <c r="D16" s="14">
        <v>800000</v>
      </c>
      <c r="E16" s="13">
        <v>1660.4</v>
      </c>
      <c r="F16" s="7">
        <v>3.2623023244417073</v>
      </c>
    </row>
    <row r="17" spans="1:6" x14ac:dyDescent="0.2">
      <c r="A17" s="7" t="s">
        <v>134</v>
      </c>
      <c r="B17" s="7" t="s">
        <v>135</v>
      </c>
      <c r="C17" s="7" t="s">
        <v>54</v>
      </c>
      <c r="D17" s="14">
        <v>900000</v>
      </c>
      <c r="E17" s="13">
        <v>1275.3</v>
      </c>
      <c r="F17" s="7">
        <v>2.5056698111060638</v>
      </c>
    </row>
    <row r="18" spans="1:6" x14ac:dyDescent="0.2">
      <c r="A18" s="7" t="s">
        <v>193</v>
      </c>
      <c r="B18" s="7" t="s">
        <v>194</v>
      </c>
      <c r="C18" s="7" t="s">
        <v>178</v>
      </c>
      <c r="D18" s="14">
        <v>500000</v>
      </c>
      <c r="E18" s="13">
        <v>1258.75</v>
      </c>
      <c r="F18" s="7">
        <v>2.4731528853836413</v>
      </c>
    </row>
    <row r="19" spans="1:6" x14ac:dyDescent="0.2">
      <c r="A19" s="7" t="s">
        <v>118</v>
      </c>
      <c r="B19" s="7" t="s">
        <v>119</v>
      </c>
      <c r="C19" s="7" t="s">
        <v>120</v>
      </c>
      <c r="D19" s="14">
        <v>1000000</v>
      </c>
      <c r="E19" s="13">
        <v>1224</v>
      </c>
      <c r="F19" s="7">
        <v>2.4048771652111833</v>
      </c>
    </row>
    <row r="20" spans="1:6" x14ac:dyDescent="0.2">
      <c r="A20" s="7" t="s">
        <v>252</v>
      </c>
      <c r="B20" s="7" t="s">
        <v>253</v>
      </c>
      <c r="C20" s="7" t="s">
        <v>78</v>
      </c>
      <c r="D20" s="14">
        <v>160000</v>
      </c>
      <c r="E20" s="13">
        <v>1182.4000000000001</v>
      </c>
      <c r="F20" s="7">
        <v>2.3231427778968166</v>
      </c>
    </row>
    <row r="21" spans="1:6" x14ac:dyDescent="0.2">
      <c r="A21" s="7" t="s">
        <v>328</v>
      </c>
      <c r="B21" s="7" t="s">
        <v>329</v>
      </c>
      <c r="C21" s="7" t="s">
        <v>30</v>
      </c>
      <c r="D21" s="14">
        <v>140000</v>
      </c>
      <c r="E21" s="13">
        <v>1174.8800000000001</v>
      </c>
      <c r="F21" s="7">
        <v>2.3083677155746041</v>
      </c>
    </row>
    <row r="22" spans="1:6" x14ac:dyDescent="0.2">
      <c r="A22" s="7" t="s">
        <v>123</v>
      </c>
      <c r="B22" s="7" t="s">
        <v>124</v>
      </c>
      <c r="C22" s="7" t="s">
        <v>117</v>
      </c>
      <c r="D22" s="14">
        <v>200000</v>
      </c>
      <c r="E22" s="13">
        <v>1053.2</v>
      </c>
      <c r="F22" s="7">
        <v>2.0692946326800805</v>
      </c>
    </row>
    <row r="23" spans="1:6" x14ac:dyDescent="0.2">
      <c r="A23" s="7" t="s">
        <v>423</v>
      </c>
      <c r="B23" s="7" t="s">
        <v>424</v>
      </c>
      <c r="C23" s="7" t="s">
        <v>24</v>
      </c>
      <c r="D23" s="14">
        <v>700000</v>
      </c>
      <c r="E23" s="13">
        <v>1038.45</v>
      </c>
      <c r="F23" s="7">
        <v>2.0403142910241452</v>
      </c>
    </row>
    <row r="24" spans="1:6" x14ac:dyDescent="0.2">
      <c r="A24" s="7" t="s">
        <v>332</v>
      </c>
      <c r="B24" s="7" t="s">
        <v>333</v>
      </c>
      <c r="C24" s="7" t="s">
        <v>57</v>
      </c>
      <c r="D24" s="14">
        <v>90000</v>
      </c>
      <c r="E24" s="13">
        <v>1005.345</v>
      </c>
      <c r="F24" s="7">
        <v>1.9752706157346711</v>
      </c>
    </row>
    <row r="25" spans="1:6" x14ac:dyDescent="0.2">
      <c r="A25" s="7" t="s">
        <v>470</v>
      </c>
      <c r="B25" s="7" t="s">
        <v>471</v>
      </c>
      <c r="C25" s="7" t="s">
        <v>36</v>
      </c>
      <c r="D25" s="14">
        <v>300000</v>
      </c>
      <c r="E25" s="13">
        <v>981.45</v>
      </c>
      <c r="F25" s="7">
        <v>1.9283224622520558</v>
      </c>
    </row>
    <row r="26" spans="1:6" x14ac:dyDescent="0.2">
      <c r="A26" s="7" t="s">
        <v>265</v>
      </c>
      <c r="B26" s="7" t="s">
        <v>266</v>
      </c>
      <c r="C26" s="7" t="s">
        <v>30</v>
      </c>
      <c r="D26" s="14">
        <v>1000000</v>
      </c>
      <c r="E26" s="13">
        <v>933.5</v>
      </c>
      <c r="F26" s="7">
        <v>1.8341117922586925</v>
      </c>
    </row>
    <row r="27" spans="1:6" x14ac:dyDescent="0.2">
      <c r="A27" s="7" t="s">
        <v>115</v>
      </c>
      <c r="B27" s="7" t="s">
        <v>116</v>
      </c>
      <c r="C27" s="7" t="s">
        <v>117</v>
      </c>
      <c r="D27" s="14">
        <v>600000</v>
      </c>
      <c r="E27" s="13">
        <v>880.8</v>
      </c>
      <c r="F27" s="7">
        <v>1.7305684698676553</v>
      </c>
    </row>
    <row r="28" spans="1:6" x14ac:dyDescent="0.2">
      <c r="A28" s="7" t="s">
        <v>225</v>
      </c>
      <c r="B28" s="7" t="s">
        <v>226</v>
      </c>
      <c r="C28" s="7" t="s">
        <v>30</v>
      </c>
      <c r="D28" s="14">
        <v>160000</v>
      </c>
      <c r="E28" s="13">
        <v>858.16</v>
      </c>
      <c r="F28" s="7">
        <v>1.6860861013869517</v>
      </c>
    </row>
    <row r="29" spans="1:6" x14ac:dyDescent="0.2">
      <c r="A29" s="7" t="s">
        <v>231</v>
      </c>
      <c r="B29" s="7" t="s">
        <v>232</v>
      </c>
      <c r="C29" s="7" t="s">
        <v>233</v>
      </c>
      <c r="D29" s="14">
        <v>450000</v>
      </c>
      <c r="E29" s="13">
        <v>856.35</v>
      </c>
      <c r="F29" s="7">
        <v>1.6825298696312065</v>
      </c>
    </row>
    <row r="30" spans="1:6" x14ac:dyDescent="0.2">
      <c r="A30" s="7" t="s">
        <v>22</v>
      </c>
      <c r="B30" s="7" t="s">
        <v>23</v>
      </c>
      <c r="C30" s="7" t="s">
        <v>24</v>
      </c>
      <c r="D30" s="14">
        <v>450000</v>
      </c>
      <c r="E30" s="13">
        <v>845.55</v>
      </c>
      <c r="F30" s="7">
        <v>1.6613103652322843</v>
      </c>
    </row>
    <row r="31" spans="1:6" x14ac:dyDescent="0.2">
      <c r="A31" s="7" t="s">
        <v>227</v>
      </c>
      <c r="B31" s="7" t="s">
        <v>228</v>
      </c>
      <c r="C31" s="7" t="s">
        <v>11</v>
      </c>
      <c r="D31" s="14">
        <v>1000000</v>
      </c>
      <c r="E31" s="13">
        <v>838</v>
      </c>
      <c r="F31" s="7">
        <v>1.6464763598422971</v>
      </c>
    </row>
    <row r="32" spans="1:6" x14ac:dyDescent="0.2">
      <c r="A32" s="7" t="s">
        <v>380</v>
      </c>
      <c r="B32" s="7" t="s">
        <v>381</v>
      </c>
      <c r="C32" s="7" t="s">
        <v>36</v>
      </c>
      <c r="D32" s="14">
        <v>300000</v>
      </c>
      <c r="E32" s="13">
        <v>772.95</v>
      </c>
      <c r="F32" s="7">
        <v>1.5186681412173073</v>
      </c>
    </row>
    <row r="33" spans="1:6" x14ac:dyDescent="0.2">
      <c r="A33" s="7" t="s">
        <v>337</v>
      </c>
      <c r="B33" s="7" t="s">
        <v>338</v>
      </c>
      <c r="C33" s="7" t="s">
        <v>178</v>
      </c>
      <c r="D33" s="14">
        <v>300000</v>
      </c>
      <c r="E33" s="13">
        <v>738.3</v>
      </c>
      <c r="F33" s="7">
        <v>1.450588897937432</v>
      </c>
    </row>
    <row r="34" spans="1:6" x14ac:dyDescent="0.2">
      <c r="A34" s="7" t="s">
        <v>334</v>
      </c>
      <c r="B34" s="7" t="s">
        <v>335</v>
      </c>
      <c r="C34" s="7" t="s">
        <v>336</v>
      </c>
      <c r="D34" s="14">
        <v>80000</v>
      </c>
      <c r="E34" s="13">
        <v>723</v>
      </c>
      <c r="F34" s="7">
        <v>1.4205279333722922</v>
      </c>
    </row>
    <row r="35" spans="1:6" x14ac:dyDescent="0.2">
      <c r="A35" s="7" t="s">
        <v>136</v>
      </c>
      <c r="B35" s="7" t="s">
        <v>137</v>
      </c>
      <c r="C35" s="7" t="s">
        <v>131</v>
      </c>
      <c r="D35" s="14">
        <v>500000</v>
      </c>
      <c r="E35" s="13">
        <v>686.75</v>
      </c>
      <c r="F35" s="7">
        <v>1.3493050598110949</v>
      </c>
    </row>
    <row r="36" spans="1:6" x14ac:dyDescent="0.2">
      <c r="A36" s="7" t="s">
        <v>154</v>
      </c>
      <c r="B36" s="7" t="s">
        <v>155</v>
      </c>
      <c r="C36" s="7" t="s">
        <v>24</v>
      </c>
      <c r="D36" s="14">
        <v>1500000</v>
      </c>
      <c r="E36" s="13">
        <v>681</v>
      </c>
      <c r="F36" s="7">
        <v>1.3380076384875947</v>
      </c>
    </row>
    <row r="37" spans="1:6" x14ac:dyDescent="0.2">
      <c r="A37" s="7" t="s">
        <v>34</v>
      </c>
      <c r="B37" s="7" t="s">
        <v>35</v>
      </c>
      <c r="C37" s="7" t="s">
        <v>36</v>
      </c>
      <c r="D37" s="14">
        <v>200000</v>
      </c>
      <c r="E37" s="13">
        <v>634</v>
      </c>
      <c r="F37" s="7">
        <v>1.2456634989737667</v>
      </c>
    </row>
    <row r="38" spans="1:6" x14ac:dyDescent="0.2">
      <c r="A38" s="7" t="s">
        <v>330</v>
      </c>
      <c r="B38" s="7" t="s">
        <v>331</v>
      </c>
      <c r="C38" s="7" t="s">
        <v>140</v>
      </c>
      <c r="D38" s="14">
        <v>500000</v>
      </c>
      <c r="E38" s="13">
        <v>594.25</v>
      </c>
      <c r="F38" s="7">
        <v>1.167563934172178</v>
      </c>
    </row>
    <row r="39" spans="1:6" x14ac:dyDescent="0.2">
      <c r="A39" s="7" t="s">
        <v>202</v>
      </c>
      <c r="B39" s="7" t="s">
        <v>203</v>
      </c>
      <c r="C39" s="7" t="s">
        <v>11</v>
      </c>
      <c r="D39" s="14">
        <v>809000</v>
      </c>
      <c r="E39" s="13">
        <v>569.53599999999994</v>
      </c>
      <c r="F39" s="7">
        <v>1.1190066349393109</v>
      </c>
    </row>
    <row r="40" spans="1:6" x14ac:dyDescent="0.2">
      <c r="A40" s="7" t="s">
        <v>593</v>
      </c>
      <c r="B40" s="7" t="s">
        <v>594</v>
      </c>
      <c r="C40" s="7" t="s">
        <v>251</v>
      </c>
      <c r="D40" s="14">
        <v>1000000</v>
      </c>
      <c r="E40" s="13">
        <v>565.5</v>
      </c>
      <c r="F40" s="7">
        <v>1.1110768275546765</v>
      </c>
    </row>
    <row r="41" spans="1:6" x14ac:dyDescent="0.2">
      <c r="A41" s="7" t="s">
        <v>414</v>
      </c>
      <c r="B41" s="7" t="s">
        <v>415</v>
      </c>
      <c r="C41" s="7" t="s">
        <v>33</v>
      </c>
      <c r="D41" s="14">
        <v>20000</v>
      </c>
      <c r="E41" s="13">
        <v>540.84</v>
      </c>
      <c r="F41" s="7">
        <v>1.0626256258438043</v>
      </c>
    </row>
    <row r="42" spans="1:6" x14ac:dyDescent="0.2">
      <c r="A42" s="7" t="s">
        <v>152</v>
      </c>
      <c r="B42" s="7" t="s">
        <v>153</v>
      </c>
      <c r="C42" s="7" t="s">
        <v>140</v>
      </c>
      <c r="D42" s="14">
        <v>600000</v>
      </c>
      <c r="E42" s="13">
        <v>519</v>
      </c>
      <c r="F42" s="7">
        <v>1.0197150725037616</v>
      </c>
    </row>
    <row r="43" spans="1:6" x14ac:dyDescent="0.2">
      <c r="A43" s="7" t="s">
        <v>275</v>
      </c>
      <c r="B43" s="7" t="s">
        <v>276</v>
      </c>
      <c r="C43" s="7" t="s">
        <v>78</v>
      </c>
      <c r="D43" s="14">
        <v>120000</v>
      </c>
      <c r="E43" s="13">
        <v>488.1</v>
      </c>
      <c r="F43" s="7">
        <v>0.95900371269573415</v>
      </c>
    </row>
    <row r="44" spans="1:6" x14ac:dyDescent="0.2">
      <c r="A44" s="7" t="s">
        <v>162</v>
      </c>
      <c r="B44" s="7" t="s">
        <v>163</v>
      </c>
      <c r="C44" s="7" t="s">
        <v>140</v>
      </c>
      <c r="D44" s="14">
        <v>78000</v>
      </c>
      <c r="E44" s="13">
        <v>458.91300000000001</v>
      </c>
      <c r="F44" s="7">
        <v>0.9016580020576469</v>
      </c>
    </row>
    <row r="45" spans="1:6" x14ac:dyDescent="0.2">
      <c r="A45" s="7" t="s">
        <v>542</v>
      </c>
      <c r="B45" s="7" t="s">
        <v>543</v>
      </c>
      <c r="C45" s="7" t="s">
        <v>78</v>
      </c>
      <c r="D45" s="14">
        <v>100000</v>
      </c>
      <c r="E45" s="13">
        <v>451.75</v>
      </c>
      <c r="F45" s="7">
        <v>0.88758436224195425</v>
      </c>
    </row>
    <row r="46" spans="1:6" x14ac:dyDescent="0.2">
      <c r="A46" s="7" t="s">
        <v>258</v>
      </c>
      <c r="B46" s="7" t="s">
        <v>259</v>
      </c>
      <c r="C46" s="7" t="s">
        <v>57</v>
      </c>
      <c r="D46" s="14">
        <v>100000</v>
      </c>
      <c r="E46" s="13">
        <v>422.4</v>
      </c>
      <c r="F46" s="7">
        <v>0.82991839426895742</v>
      </c>
    </row>
    <row r="47" spans="1:6" x14ac:dyDescent="0.2">
      <c r="A47" s="7" t="s">
        <v>40</v>
      </c>
      <c r="B47" s="7" t="s">
        <v>41</v>
      </c>
      <c r="C47" s="7" t="s">
        <v>42</v>
      </c>
      <c r="D47" s="14">
        <v>9000000</v>
      </c>
      <c r="E47" s="13">
        <v>351</v>
      </c>
      <c r="F47" s="7">
        <v>0.68963389296497168</v>
      </c>
    </row>
    <row r="48" spans="1:6" x14ac:dyDescent="0.2">
      <c r="A48" s="7" t="s">
        <v>269</v>
      </c>
      <c r="B48" s="7" t="s">
        <v>270</v>
      </c>
      <c r="C48" s="7" t="s">
        <v>248</v>
      </c>
      <c r="D48" s="14">
        <v>200000</v>
      </c>
      <c r="E48" s="13">
        <v>308.10000000000002</v>
      </c>
      <c r="F48" s="7">
        <v>0.60534530604703074</v>
      </c>
    </row>
    <row r="49" spans="1:6" x14ac:dyDescent="0.2">
      <c r="A49" s="7" t="s">
        <v>595</v>
      </c>
      <c r="B49" s="7" t="s">
        <v>596</v>
      </c>
      <c r="C49" s="7" t="s">
        <v>248</v>
      </c>
      <c r="D49" s="14">
        <v>300000</v>
      </c>
      <c r="E49" s="13">
        <v>185.4</v>
      </c>
      <c r="F49" s="7">
        <v>0.36426815884816455</v>
      </c>
    </row>
    <row r="50" spans="1:6" x14ac:dyDescent="0.2">
      <c r="A50" s="6" t="s">
        <v>43</v>
      </c>
      <c r="B50" s="7"/>
      <c r="C50" s="7"/>
      <c r="D50" s="7"/>
      <c r="E50" s="15">
        <v>48750.894000000008</v>
      </c>
      <c r="F50" s="6">
        <v>95.784241637443557</v>
      </c>
    </row>
    <row r="51" spans="1:6" x14ac:dyDescent="0.2">
      <c r="A51" s="7"/>
      <c r="B51" s="7"/>
      <c r="C51" s="7"/>
      <c r="D51" s="7"/>
      <c r="E51" s="13"/>
      <c r="F51" s="7"/>
    </row>
    <row r="52" spans="1:6" x14ac:dyDescent="0.2">
      <c r="A52" s="6" t="s">
        <v>100</v>
      </c>
      <c r="B52" s="7"/>
      <c r="C52" s="7"/>
      <c r="D52" s="7"/>
      <c r="E52" s="15">
        <v>2145.6764238999999</v>
      </c>
      <c r="F52" s="6">
        <v>4.22</v>
      </c>
    </row>
    <row r="53" spans="1:6" x14ac:dyDescent="0.2">
      <c r="A53" s="7"/>
      <c r="B53" s="7"/>
      <c r="C53" s="7"/>
      <c r="D53" s="7"/>
      <c r="E53" s="13"/>
      <c r="F53" s="7"/>
    </row>
    <row r="54" spans="1:6" x14ac:dyDescent="0.2">
      <c r="A54" s="8" t="s">
        <v>101</v>
      </c>
      <c r="B54" s="5"/>
      <c r="C54" s="5"/>
      <c r="D54" s="5"/>
      <c r="E54" s="16">
        <v>50896.570423900004</v>
      </c>
      <c r="F54" s="8">
        <f xml:space="preserve"> ROUND(SUM(F50:F53),2)</f>
        <v>100</v>
      </c>
    </row>
    <row r="56" spans="1:6" x14ac:dyDescent="0.2">
      <c r="A56" s="4" t="s">
        <v>102</v>
      </c>
      <c r="B56" s="2"/>
      <c r="C56" s="2"/>
      <c r="D56" s="2"/>
    </row>
    <row r="57" spans="1:6" x14ac:dyDescent="0.2">
      <c r="A57" s="4" t="s">
        <v>103</v>
      </c>
      <c r="B57" s="2"/>
      <c r="C57" s="2"/>
      <c r="D57" s="2"/>
    </row>
    <row r="58" spans="1:6" x14ac:dyDescent="0.2">
      <c r="A58" s="4" t="s">
        <v>104</v>
      </c>
      <c r="B58" s="2"/>
      <c r="C58" s="2"/>
      <c r="D58" s="2"/>
    </row>
    <row r="59" spans="1:6" x14ac:dyDescent="0.2">
      <c r="A59" s="2" t="s">
        <v>598</v>
      </c>
      <c r="B59" s="2"/>
      <c r="C59" s="2"/>
      <c r="D59" s="10">
        <v>254.2919</v>
      </c>
    </row>
    <row r="60" spans="1:6" x14ac:dyDescent="0.2">
      <c r="A60" s="2" t="s">
        <v>599</v>
      </c>
      <c r="B60" s="2"/>
      <c r="C60" s="2"/>
      <c r="D60" s="10">
        <v>60.941200000000002</v>
      </c>
    </row>
    <row r="61" spans="1:6" x14ac:dyDescent="0.2">
      <c r="A61" s="2" t="s">
        <v>600</v>
      </c>
      <c r="B61" s="2"/>
      <c r="C61" s="2"/>
      <c r="D61" s="10">
        <v>265.72219999999999</v>
      </c>
    </row>
    <row r="62" spans="1:6" x14ac:dyDescent="0.2">
      <c r="A62" s="2" t="s">
        <v>601</v>
      </c>
      <c r="B62" s="2"/>
      <c r="C62" s="2"/>
      <c r="D62" s="10">
        <v>64.501900000000006</v>
      </c>
    </row>
    <row r="63" spans="1:6" x14ac:dyDescent="0.2">
      <c r="A63" s="2"/>
      <c r="B63" s="2"/>
      <c r="C63" s="2"/>
      <c r="D63" s="10"/>
    </row>
    <row r="64" spans="1:6" x14ac:dyDescent="0.2">
      <c r="A64" s="4" t="s">
        <v>105</v>
      </c>
      <c r="B64" s="2"/>
      <c r="C64" s="2"/>
      <c r="D64" s="2"/>
    </row>
    <row r="65" spans="1:4" x14ac:dyDescent="0.2">
      <c r="A65" s="2" t="s">
        <v>598</v>
      </c>
      <c r="B65" s="2"/>
      <c r="C65" s="2"/>
      <c r="D65" s="10">
        <v>241.3098</v>
      </c>
    </row>
    <row r="66" spans="1:4" x14ac:dyDescent="0.2">
      <c r="A66" s="2" t="s">
        <v>599</v>
      </c>
      <c r="B66" s="2"/>
      <c r="C66" s="2"/>
      <c r="D66" s="10">
        <v>57.830100000000002</v>
      </c>
    </row>
    <row r="67" spans="1:4" x14ac:dyDescent="0.2">
      <c r="A67" s="2" t="s">
        <v>600</v>
      </c>
      <c r="B67" s="2"/>
      <c r="C67" s="2"/>
      <c r="D67" s="10">
        <v>253.18350000000001</v>
      </c>
    </row>
    <row r="68" spans="1:4" x14ac:dyDescent="0.2">
      <c r="A68" s="2" t="s">
        <v>601</v>
      </c>
      <c r="B68" s="2"/>
      <c r="C68" s="2"/>
      <c r="D68" s="10">
        <v>61.450499999999998</v>
      </c>
    </row>
    <row r="69" spans="1:4" x14ac:dyDescent="0.2">
      <c r="A69" s="2"/>
      <c r="B69" s="2"/>
      <c r="C69" s="2"/>
      <c r="D69" s="2"/>
    </row>
    <row r="70" spans="1:4" x14ac:dyDescent="0.2">
      <c r="A70" s="4" t="s">
        <v>106</v>
      </c>
      <c r="B70" s="2"/>
      <c r="C70" s="2"/>
      <c r="D70" s="17" t="s">
        <v>107</v>
      </c>
    </row>
    <row r="71" spans="1:4" x14ac:dyDescent="0.2">
      <c r="A71" s="4"/>
      <c r="B71" s="2"/>
      <c r="C71" s="2"/>
      <c r="D71" s="17"/>
    </row>
    <row r="72" spans="1:4" x14ac:dyDescent="0.2">
      <c r="A72" s="9" t="s">
        <v>606</v>
      </c>
      <c r="B72" s="2"/>
      <c r="C72" s="2"/>
      <c r="D72" s="24">
        <v>0.27952154939654894</v>
      </c>
    </row>
  </sheetData>
  <mergeCells count="1">
    <mergeCell ref="A1:F1"/>
  </mergeCells>
  <pageMargins left="0.7" right="0.7" top="0.75" bottom="0.75" header="0.3" footer="0.3"/>
  <ignoredErrors>
    <ignoredError sqref="F54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BF7A-0445-4296-B897-6CB2E9298971}">
  <dimension ref="A1:F86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32" style="1" bestFit="1" customWidth="1"/>
    <col min="3" max="3" width="4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588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121</v>
      </c>
      <c r="B7" s="7" t="s">
        <v>122</v>
      </c>
      <c r="C7" s="7" t="s">
        <v>11</v>
      </c>
      <c r="D7" s="14">
        <v>5099477</v>
      </c>
      <c r="E7" s="13">
        <v>37549.998889499999</v>
      </c>
      <c r="F7" s="7">
        <v>9.1675879954583586</v>
      </c>
    </row>
    <row r="8" spans="1:6" x14ac:dyDescent="0.2">
      <c r="A8" s="7" t="s">
        <v>9</v>
      </c>
      <c r="B8" s="7" t="s">
        <v>10</v>
      </c>
      <c r="C8" s="7" t="s">
        <v>11</v>
      </c>
      <c r="D8" s="14">
        <v>2330104</v>
      </c>
      <c r="E8" s="13">
        <v>28668.434563999999</v>
      </c>
      <c r="F8" s="7">
        <v>6.9992118330262212</v>
      </c>
    </row>
    <row r="9" spans="1:6" x14ac:dyDescent="0.2">
      <c r="A9" s="7" t="s">
        <v>109</v>
      </c>
      <c r="B9" s="7" t="s">
        <v>110</v>
      </c>
      <c r="C9" s="7" t="s">
        <v>11</v>
      </c>
      <c r="D9" s="14">
        <v>4703052</v>
      </c>
      <c r="E9" s="13">
        <v>21777.482285999999</v>
      </c>
      <c r="F9" s="7">
        <v>5.3168306546146757</v>
      </c>
    </row>
    <row r="10" spans="1:6" x14ac:dyDescent="0.2">
      <c r="A10" s="7" t="s">
        <v>20</v>
      </c>
      <c r="B10" s="7" t="s">
        <v>21</v>
      </c>
      <c r="C10" s="7" t="s">
        <v>11</v>
      </c>
      <c r="D10" s="14">
        <v>1174652</v>
      </c>
      <c r="E10" s="13">
        <v>18494.89574</v>
      </c>
      <c r="F10" s="7">
        <v>4.5154085000702811</v>
      </c>
    </row>
    <row r="11" spans="1:6" x14ac:dyDescent="0.2">
      <c r="A11" s="7" t="s">
        <v>207</v>
      </c>
      <c r="B11" s="7" t="s">
        <v>208</v>
      </c>
      <c r="C11" s="7" t="s">
        <v>120</v>
      </c>
      <c r="D11" s="14">
        <v>8119223</v>
      </c>
      <c r="E11" s="13">
        <v>16104.4788205</v>
      </c>
      <c r="F11" s="7">
        <v>3.931803756969301</v>
      </c>
    </row>
    <row r="12" spans="1:6" x14ac:dyDescent="0.2">
      <c r="A12" s="7" t="s">
        <v>183</v>
      </c>
      <c r="B12" s="7" t="s">
        <v>184</v>
      </c>
      <c r="C12" s="7" t="s">
        <v>57</v>
      </c>
      <c r="D12" s="14">
        <v>2081440</v>
      </c>
      <c r="E12" s="13">
        <v>16001.07</v>
      </c>
      <c r="F12" s="7">
        <v>3.9065571660378322</v>
      </c>
    </row>
    <row r="13" spans="1:6" x14ac:dyDescent="0.2">
      <c r="A13" s="7" t="s">
        <v>185</v>
      </c>
      <c r="B13" s="7" t="s">
        <v>186</v>
      </c>
      <c r="C13" s="7" t="s">
        <v>78</v>
      </c>
      <c r="D13" s="14">
        <v>1920979</v>
      </c>
      <c r="E13" s="13">
        <v>13170.232024000001</v>
      </c>
      <c r="F13" s="7">
        <v>3.2154264865873436</v>
      </c>
    </row>
    <row r="14" spans="1:6" x14ac:dyDescent="0.2">
      <c r="A14" s="7" t="s">
        <v>22</v>
      </c>
      <c r="B14" s="7" t="s">
        <v>23</v>
      </c>
      <c r="C14" s="7" t="s">
        <v>24</v>
      </c>
      <c r="D14" s="14">
        <v>6799242</v>
      </c>
      <c r="E14" s="13">
        <v>12775.775718000001</v>
      </c>
      <c r="F14" s="7">
        <v>3.1191225451076106</v>
      </c>
    </row>
    <row r="15" spans="1:6" x14ac:dyDescent="0.2">
      <c r="A15" s="7" t="s">
        <v>198</v>
      </c>
      <c r="B15" s="7" t="s">
        <v>199</v>
      </c>
      <c r="C15" s="7" t="s">
        <v>33</v>
      </c>
      <c r="D15" s="14">
        <v>2059699</v>
      </c>
      <c r="E15" s="13">
        <v>12491.0445855</v>
      </c>
      <c r="F15" s="7">
        <v>3.0496072910613532</v>
      </c>
    </row>
    <row r="16" spans="1:6" x14ac:dyDescent="0.2">
      <c r="A16" s="7" t="s">
        <v>118</v>
      </c>
      <c r="B16" s="7" t="s">
        <v>119</v>
      </c>
      <c r="C16" s="7" t="s">
        <v>120</v>
      </c>
      <c r="D16" s="14">
        <v>10065496</v>
      </c>
      <c r="E16" s="13">
        <v>12320.167104</v>
      </c>
      <c r="F16" s="7">
        <v>3.007888665377676</v>
      </c>
    </row>
    <row r="17" spans="1:6" x14ac:dyDescent="0.2">
      <c r="A17" s="7" t="s">
        <v>129</v>
      </c>
      <c r="B17" s="7" t="s">
        <v>130</v>
      </c>
      <c r="C17" s="7" t="s">
        <v>131</v>
      </c>
      <c r="D17" s="14">
        <v>4078627</v>
      </c>
      <c r="E17" s="13">
        <v>11681.187728000001</v>
      </c>
      <c r="F17" s="7">
        <v>2.8518860067890199</v>
      </c>
    </row>
    <row r="18" spans="1:6" x14ac:dyDescent="0.2">
      <c r="A18" s="7" t="s">
        <v>113</v>
      </c>
      <c r="B18" s="7" t="s">
        <v>114</v>
      </c>
      <c r="C18" s="7" t="s">
        <v>42</v>
      </c>
      <c r="D18" s="14">
        <v>3044619</v>
      </c>
      <c r="E18" s="13">
        <v>11394.486607500001</v>
      </c>
      <c r="F18" s="7">
        <v>2.7818897929857962</v>
      </c>
    </row>
    <row r="19" spans="1:6" x14ac:dyDescent="0.2">
      <c r="A19" s="7" t="s">
        <v>176</v>
      </c>
      <c r="B19" s="7" t="s">
        <v>177</v>
      </c>
      <c r="C19" s="7" t="s">
        <v>178</v>
      </c>
      <c r="D19" s="14">
        <v>392107</v>
      </c>
      <c r="E19" s="13">
        <v>10913.122024</v>
      </c>
      <c r="F19" s="7">
        <v>2.6643677608249008</v>
      </c>
    </row>
    <row r="20" spans="1:6" x14ac:dyDescent="0.2">
      <c r="A20" s="7" t="s">
        <v>236</v>
      </c>
      <c r="B20" s="7" t="s">
        <v>237</v>
      </c>
      <c r="C20" s="7" t="s">
        <v>117</v>
      </c>
      <c r="D20" s="14">
        <v>2993270</v>
      </c>
      <c r="E20" s="13">
        <v>9735.6106749999999</v>
      </c>
      <c r="F20" s="7">
        <v>2.3768860237581402</v>
      </c>
    </row>
    <row r="21" spans="1:6" x14ac:dyDescent="0.2">
      <c r="A21" s="7" t="s">
        <v>115</v>
      </c>
      <c r="B21" s="7" t="s">
        <v>116</v>
      </c>
      <c r="C21" s="7" t="s">
        <v>117</v>
      </c>
      <c r="D21" s="14">
        <v>5948967</v>
      </c>
      <c r="E21" s="13">
        <v>8733.0835559999996</v>
      </c>
      <c r="F21" s="7">
        <v>2.1321255483101416</v>
      </c>
    </row>
    <row r="22" spans="1:6" x14ac:dyDescent="0.2">
      <c r="A22" s="7" t="s">
        <v>200</v>
      </c>
      <c r="B22" s="7" t="s">
        <v>201</v>
      </c>
      <c r="C22" s="7" t="s">
        <v>36</v>
      </c>
      <c r="D22" s="14">
        <v>671834</v>
      </c>
      <c r="E22" s="13">
        <v>8573.6095910000004</v>
      </c>
      <c r="F22" s="7">
        <v>2.0931910170089711</v>
      </c>
    </row>
    <row r="23" spans="1:6" x14ac:dyDescent="0.2">
      <c r="A23" s="7" t="s">
        <v>15</v>
      </c>
      <c r="B23" s="7" t="s">
        <v>16</v>
      </c>
      <c r="C23" s="7" t="s">
        <v>679</v>
      </c>
      <c r="D23" s="14">
        <v>5223868</v>
      </c>
      <c r="E23" s="13">
        <v>7940.2793600000005</v>
      </c>
      <c r="F23" s="7">
        <v>1.9385675604287895</v>
      </c>
    </row>
    <row r="24" spans="1:6" x14ac:dyDescent="0.2">
      <c r="A24" s="7" t="s">
        <v>205</v>
      </c>
      <c r="B24" s="7" t="s">
        <v>206</v>
      </c>
      <c r="C24" s="7" t="s">
        <v>120</v>
      </c>
      <c r="D24" s="14">
        <v>12624428</v>
      </c>
      <c r="E24" s="13">
        <v>7486.2858040000001</v>
      </c>
      <c r="F24" s="7">
        <v>1.8277279866048644</v>
      </c>
    </row>
    <row r="25" spans="1:6" x14ac:dyDescent="0.2">
      <c r="A25" s="7" t="s">
        <v>372</v>
      </c>
      <c r="B25" s="7" t="s">
        <v>373</v>
      </c>
      <c r="C25" s="7" t="s">
        <v>36</v>
      </c>
      <c r="D25" s="14">
        <v>330103</v>
      </c>
      <c r="E25" s="13">
        <v>7180.8956104999997</v>
      </c>
      <c r="F25" s="7">
        <v>1.7531689571865123</v>
      </c>
    </row>
    <row r="26" spans="1:6" x14ac:dyDescent="0.2">
      <c r="A26" s="7" t="s">
        <v>223</v>
      </c>
      <c r="B26" s="7" t="s">
        <v>224</v>
      </c>
      <c r="C26" s="7" t="s">
        <v>36</v>
      </c>
      <c r="D26" s="14">
        <v>440701</v>
      </c>
      <c r="E26" s="13">
        <v>6827.339892</v>
      </c>
      <c r="F26" s="7">
        <v>1.6668506281185298</v>
      </c>
    </row>
    <row r="27" spans="1:6" x14ac:dyDescent="0.2">
      <c r="A27" s="7" t="s">
        <v>238</v>
      </c>
      <c r="B27" s="7" t="s">
        <v>239</v>
      </c>
      <c r="C27" s="7" t="s">
        <v>36</v>
      </c>
      <c r="D27" s="14">
        <v>44826</v>
      </c>
      <c r="E27" s="13">
        <v>6700.1422199999997</v>
      </c>
      <c r="F27" s="7">
        <v>1.6357961438212338</v>
      </c>
    </row>
    <row r="28" spans="1:6" x14ac:dyDescent="0.2">
      <c r="A28" s="7" t="s">
        <v>252</v>
      </c>
      <c r="B28" s="7" t="s">
        <v>253</v>
      </c>
      <c r="C28" s="7" t="s">
        <v>78</v>
      </c>
      <c r="D28" s="14">
        <v>905548</v>
      </c>
      <c r="E28" s="13">
        <v>6691.9997199999998</v>
      </c>
      <c r="F28" s="7">
        <v>1.6338082054068361</v>
      </c>
    </row>
    <row r="29" spans="1:6" x14ac:dyDescent="0.2">
      <c r="A29" s="7" t="s">
        <v>216</v>
      </c>
      <c r="B29" s="7" t="s">
        <v>217</v>
      </c>
      <c r="C29" s="7" t="s">
        <v>131</v>
      </c>
      <c r="D29" s="14">
        <v>2995176</v>
      </c>
      <c r="E29" s="13">
        <v>6267.40578</v>
      </c>
      <c r="F29" s="7">
        <v>1.5301463566077724</v>
      </c>
    </row>
    <row r="30" spans="1:6" x14ac:dyDescent="0.2">
      <c r="A30" s="7" t="s">
        <v>225</v>
      </c>
      <c r="B30" s="7" t="s">
        <v>226</v>
      </c>
      <c r="C30" s="7" t="s">
        <v>30</v>
      </c>
      <c r="D30" s="14">
        <v>1158898</v>
      </c>
      <c r="E30" s="13">
        <v>6215.7494230000002</v>
      </c>
      <c r="F30" s="7">
        <v>1.5175347930304768</v>
      </c>
    </row>
    <row r="31" spans="1:6" x14ac:dyDescent="0.2">
      <c r="A31" s="7" t="s">
        <v>209</v>
      </c>
      <c r="B31" s="7" t="s">
        <v>210</v>
      </c>
      <c r="C31" s="7" t="s">
        <v>30</v>
      </c>
      <c r="D31" s="14">
        <v>1338759</v>
      </c>
      <c r="E31" s="13">
        <v>6107.4185580000003</v>
      </c>
      <c r="F31" s="7">
        <v>1.491086516948388</v>
      </c>
    </row>
    <row r="32" spans="1:6" x14ac:dyDescent="0.2">
      <c r="A32" s="7" t="s">
        <v>111</v>
      </c>
      <c r="B32" s="7" t="s">
        <v>112</v>
      </c>
      <c r="C32" s="7" t="s">
        <v>11</v>
      </c>
      <c r="D32" s="14">
        <v>1935519</v>
      </c>
      <c r="E32" s="13">
        <v>6046.5613560000002</v>
      </c>
      <c r="F32" s="7">
        <v>1.4762286269086524</v>
      </c>
    </row>
    <row r="33" spans="1:6" x14ac:dyDescent="0.2">
      <c r="A33" s="7" t="s">
        <v>123</v>
      </c>
      <c r="B33" s="7" t="s">
        <v>124</v>
      </c>
      <c r="C33" s="7" t="s">
        <v>117</v>
      </c>
      <c r="D33" s="14">
        <v>1114279</v>
      </c>
      <c r="E33" s="13">
        <v>5867.7932140000003</v>
      </c>
      <c r="F33" s="7">
        <v>1.4325835477864832</v>
      </c>
    </row>
    <row r="34" spans="1:6" x14ac:dyDescent="0.2">
      <c r="A34" s="7" t="s">
        <v>376</v>
      </c>
      <c r="B34" s="7" t="s">
        <v>377</v>
      </c>
      <c r="C34" s="7" t="s">
        <v>92</v>
      </c>
      <c r="D34" s="14">
        <v>399808</v>
      </c>
      <c r="E34" s="13">
        <v>5322.2440960000004</v>
      </c>
      <c r="F34" s="7">
        <v>1.299391278997676</v>
      </c>
    </row>
    <row r="35" spans="1:6" x14ac:dyDescent="0.2">
      <c r="A35" s="7" t="s">
        <v>211</v>
      </c>
      <c r="B35" s="7" t="s">
        <v>212</v>
      </c>
      <c r="C35" s="7" t="s">
        <v>36</v>
      </c>
      <c r="D35" s="14">
        <v>907174</v>
      </c>
      <c r="E35" s="13">
        <v>5038.4443959999999</v>
      </c>
      <c r="F35" s="7">
        <v>1.230103428138053</v>
      </c>
    </row>
    <row r="36" spans="1:6" x14ac:dyDescent="0.2">
      <c r="A36" s="7" t="s">
        <v>31</v>
      </c>
      <c r="B36" s="7" t="s">
        <v>32</v>
      </c>
      <c r="C36" s="7" t="s">
        <v>33</v>
      </c>
      <c r="D36" s="14">
        <v>2746634</v>
      </c>
      <c r="E36" s="13">
        <v>4880.7686180000001</v>
      </c>
      <c r="F36" s="7">
        <v>1.1916079124971308</v>
      </c>
    </row>
    <row r="37" spans="1:6" x14ac:dyDescent="0.2">
      <c r="A37" s="7" t="s">
        <v>343</v>
      </c>
      <c r="B37" s="7" t="s">
        <v>344</v>
      </c>
      <c r="C37" s="7" t="s">
        <v>33</v>
      </c>
      <c r="D37" s="14">
        <v>137369</v>
      </c>
      <c r="E37" s="13">
        <v>4460.8522215000003</v>
      </c>
      <c r="F37" s="7">
        <v>1.0890880555198252</v>
      </c>
    </row>
    <row r="38" spans="1:6" x14ac:dyDescent="0.2">
      <c r="A38" s="7" t="s">
        <v>283</v>
      </c>
      <c r="B38" s="7" t="s">
        <v>284</v>
      </c>
      <c r="C38" s="7" t="s">
        <v>92</v>
      </c>
      <c r="D38" s="14">
        <v>600000</v>
      </c>
      <c r="E38" s="13">
        <v>4251</v>
      </c>
      <c r="F38" s="7">
        <v>1.0378540005653887</v>
      </c>
    </row>
    <row r="39" spans="1:6" x14ac:dyDescent="0.2">
      <c r="A39" s="7" t="s">
        <v>307</v>
      </c>
      <c r="B39" s="7" t="s">
        <v>308</v>
      </c>
      <c r="C39" s="7" t="s">
        <v>36</v>
      </c>
      <c r="D39" s="14">
        <v>646279</v>
      </c>
      <c r="E39" s="13">
        <v>4038.9206104999998</v>
      </c>
      <c r="F39" s="7">
        <v>0.98607619702974059</v>
      </c>
    </row>
    <row r="40" spans="1:6" x14ac:dyDescent="0.2">
      <c r="A40" s="7" t="s">
        <v>242</v>
      </c>
      <c r="B40" s="7" t="s">
        <v>243</v>
      </c>
      <c r="C40" s="7" t="s">
        <v>679</v>
      </c>
      <c r="D40" s="14">
        <v>6320734</v>
      </c>
      <c r="E40" s="13">
        <v>3861.9684739999998</v>
      </c>
      <c r="F40" s="7">
        <v>0.94287448383869898</v>
      </c>
    </row>
    <row r="41" spans="1:6" x14ac:dyDescent="0.2">
      <c r="A41" s="7" t="s">
        <v>262</v>
      </c>
      <c r="B41" s="7" t="s">
        <v>263</v>
      </c>
      <c r="C41" s="7" t="s">
        <v>264</v>
      </c>
      <c r="D41" s="14">
        <v>960704</v>
      </c>
      <c r="E41" s="13">
        <v>3655.9590720000001</v>
      </c>
      <c r="F41" s="7">
        <v>0.89257862827064827</v>
      </c>
    </row>
    <row r="42" spans="1:6" x14ac:dyDescent="0.2">
      <c r="A42" s="7" t="s">
        <v>234</v>
      </c>
      <c r="B42" s="7" t="s">
        <v>235</v>
      </c>
      <c r="C42" s="7" t="s">
        <v>39</v>
      </c>
      <c r="D42" s="14">
        <v>2416044</v>
      </c>
      <c r="E42" s="13">
        <v>3640.9783080000002</v>
      </c>
      <c r="F42" s="7">
        <v>0.88892117217821698</v>
      </c>
    </row>
    <row r="43" spans="1:6" x14ac:dyDescent="0.2">
      <c r="A43" s="7" t="s">
        <v>240</v>
      </c>
      <c r="B43" s="7" t="s">
        <v>241</v>
      </c>
      <c r="C43" s="7" t="s">
        <v>233</v>
      </c>
      <c r="D43" s="14">
        <v>402972</v>
      </c>
      <c r="E43" s="13">
        <v>3565.093284</v>
      </c>
      <c r="F43" s="7">
        <v>0.87039433714142544</v>
      </c>
    </row>
    <row r="44" spans="1:6" x14ac:dyDescent="0.2">
      <c r="A44" s="7" t="s">
        <v>136</v>
      </c>
      <c r="B44" s="7" t="s">
        <v>137</v>
      </c>
      <c r="C44" s="7" t="s">
        <v>131</v>
      </c>
      <c r="D44" s="14">
        <v>2292178</v>
      </c>
      <c r="E44" s="13">
        <v>3148.3064829999998</v>
      </c>
      <c r="F44" s="7">
        <v>0.76863855054987029</v>
      </c>
    </row>
    <row r="45" spans="1:6" x14ac:dyDescent="0.2">
      <c r="A45" s="7" t="s">
        <v>193</v>
      </c>
      <c r="B45" s="7" t="s">
        <v>194</v>
      </c>
      <c r="C45" s="7" t="s">
        <v>178</v>
      </c>
      <c r="D45" s="14">
        <v>920735</v>
      </c>
      <c r="E45" s="13">
        <v>2317.9503625000002</v>
      </c>
      <c r="F45" s="7">
        <v>0.5659125045477813</v>
      </c>
    </row>
    <row r="46" spans="1:6" x14ac:dyDescent="0.2">
      <c r="A46" s="7" t="s">
        <v>256</v>
      </c>
      <c r="B46" s="7" t="s">
        <v>257</v>
      </c>
      <c r="C46" s="7" t="s">
        <v>14</v>
      </c>
      <c r="D46" s="14">
        <v>1075124</v>
      </c>
      <c r="E46" s="13">
        <v>2281.4131280000001</v>
      </c>
      <c r="F46" s="7">
        <v>0.55699217639077803</v>
      </c>
    </row>
    <row r="47" spans="1:6" x14ac:dyDescent="0.2">
      <c r="A47" s="7" t="s">
        <v>269</v>
      </c>
      <c r="B47" s="7" t="s">
        <v>270</v>
      </c>
      <c r="C47" s="7" t="s">
        <v>248</v>
      </c>
      <c r="D47" s="14">
        <v>1278633</v>
      </c>
      <c r="E47" s="13">
        <v>1969.7341365</v>
      </c>
      <c r="F47" s="7">
        <v>0.48089777784444521</v>
      </c>
    </row>
    <row r="48" spans="1:6" x14ac:dyDescent="0.2">
      <c r="A48" s="7" t="s">
        <v>271</v>
      </c>
      <c r="B48" s="7" t="s">
        <v>272</v>
      </c>
      <c r="C48" s="7" t="s">
        <v>70</v>
      </c>
      <c r="D48" s="14">
        <v>3057159</v>
      </c>
      <c r="E48" s="13">
        <v>1722.7090965</v>
      </c>
      <c r="F48" s="7">
        <v>0.42058822103338306</v>
      </c>
    </row>
    <row r="49" spans="1:6" x14ac:dyDescent="0.2">
      <c r="A49" s="7" t="s">
        <v>265</v>
      </c>
      <c r="B49" s="7" t="s">
        <v>266</v>
      </c>
      <c r="C49" s="7" t="s">
        <v>30</v>
      </c>
      <c r="D49" s="14">
        <v>1695647</v>
      </c>
      <c r="E49" s="13">
        <v>1582.8864745000001</v>
      </c>
      <c r="F49" s="7">
        <v>0.38645143730902598</v>
      </c>
    </row>
    <row r="50" spans="1:6" x14ac:dyDescent="0.2">
      <c r="A50" s="7" t="s">
        <v>275</v>
      </c>
      <c r="B50" s="7" t="s">
        <v>276</v>
      </c>
      <c r="C50" s="7" t="s">
        <v>78</v>
      </c>
      <c r="D50" s="14">
        <v>381063</v>
      </c>
      <c r="E50" s="13">
        <v>1549.9737525</v>
      </c>
      <c r="F50" s="7">
        <v>0.37841601030427491</v>
      </c>
    </row>
    <row r="51" spans="1:6" x14ac:dyDescent="0.2">
      <c r="A51" s="7" t="s">
        <v>152</v>
      </c>
      <c r="B51" s="7" t="s">
        <v>153</v>
      </c>
      <c r="C51" s="7" t="s">
        <v>140</v>
      </c>
      <c r="D51" s="14">
        <v>1774842</v>
      </c>
      <c r="E51" s="13">
        <v>1535.2383299999999</v>
      </c>
      <c r="F51" s="7">
        <v>0.37481845274331366</v>
      </c>
    </row>
    <row r="52" spans="1:6" x14ac:dyDescent="0.2">
      <c r="A52" s="7" t="s">
        <v>149</v>
      </c>
      <c r="B52" s="7" t="s">
        <v>597</v>
      </c>
      <c r="C52" s="7" t="s">
        <v>33</v>
      </c>
      <c r="D52" s="14">
        <v>1791828</v>
      </c>
      <c r="E52" s="13">
        <v>1464.8193900000001</v>
      </c>
      <c r="F52" s="7">
        <v>0.3576261265625153</v>
      </c>
    </row>
    <row r="53" spans="1:6" x14ac:dyDescent="0.2">
      <c r="A53" s="7" t="s">
        <v>289</v>
      </c>
      <c r="B53" s="7" t="s">
        <v>290</v>
      </c>
      <c r="C53" s="7" t="s">
        <v>33</v>
      </c>
      <c r="D53" s="14">
        <v>265282</v>
      </c>
      <c r="E53" s="13">
        <v>1290.9948529999999</v>
      </c>
      <c r="F53" s="7">
        <v>0.31518799644680684</v>
      </c>
    </row>
    <row r="54" spans="1:6" x14ac:dyDescent="0.2">
      <c r="A54" s="7" t="s">
        <v>550</v>
      </c>
      <c r="B54" s="7" t="s">
        <v>551</v>
      </c>
      <c r="C54" s="7" t="s">
        <v>30</v>
      </c>
      <c r="D54" s="14">
        <v>160000</v>
      </c>
      <c r="E54" s="13">
        <v>849.12</v>
      </c>
      <c r="F54" s="7">
        <v>0.20730712513763416</v>
      </c>
    </row>
    <row r="55" spans="1:6" x14ac:dyDescent="0.2">
      <c r="A55" s="7" t="s">
        <v>277</v>
      </c>
      <c r="B55" s="7" t="s">
        <v>278</v>
      </c>
      <c r="C55" s="7" t="s">
        <v>70</v>
      </c>
      <c r="D55" s="14">
        <v>2436728</v>
      </c>
      <c r="E55" s="13">
        <v>304.59100000000001</v>
      </c>
      <c r="F55" s="7">
        <v>7.43639115234562E-2</v>
      </c>
    </row>
    <row r="56" spans="1:6" x14ac:dyDescent="0.2">
      <c r="A56" s="6" t="s">
        <v>43</v>
      </c>
      <c r="B56" s="7"/>
      <c r="C56" s="7"/>
      <c r="D56" s="14"/>
      <c r="E56" s="15">
        <f xml:space="preserve"> SUM(E7:E55)</f>
        <v>386450.51693699992</v>
      </c>
      <c r="F56" s="6">
        <f>SUM(F7:F55)</f>
        <v>94.349380151406265</v>
      </c>
    </row>
    <row r="57" spans="1:6" x14ac:dyDescent="0.2">
      <c r="A57" s="7"/>
      <c r="B57" s="7"/>
      <c r="C57" s="7"/>
      <c r="D57" s="14"/>
      <c r="E57" s="13"/>
      <c r="F57" s="7"/>
    </row>
    <row r="58" spans="1:6" x14ac:dyDescent="0.2">
      <c r="A58" s="6" t="s">
        <v>321</v>
      </c>
      <c r="B58" s="7"/>
      <c r="C58" s="7"/>
      <c r="D58" s="14"/>
      <c r="E58" s="13"/>
      <c r="F58" s="7"/>
    </row>
    <row r="59" spans="1:6" x14ac:dyDescent="0.2">
      <c r="A59" s="7" t="s">
        <v>589</v>
      </c>
      <c r="B59" s="7" t="s">
        <v>590</v>
      </c>
      <c r="C59" s="7" t="s">
        <v>78</v>
      </c>
      <c r="D59" s="14">
        <v>30000</v>
      </c>
      <c r="E59" s="13">
        <v>3.0000000000000001E-3</v>
      </c>
      <c r="F59" s="25" t="s">
        <v>607</v>
      </c>
    </row>
    <row r="60" spans="1:6" x14ac:dyDescent="0.2">
      <c r="A60" s="7" t="s">
        <v>323</v>
      </c>
      <c r="B60" s="7" t="s">
        <v>324</v>
      </c>
      <c r="C60" s="7" t="s">
        <v>609</v>
      </c>
      <c r="D60" s="14">
        <v>3500</v>
      </c>
      <c r="E60" s="13">
        <v>3.5E-4</v>
      </c>
      <c r="F60" s="25" t="s">
        <v>607</v>
      </c>
    </row>
    <row r="61" spans="1:6" x14ac:dyDescent="0.2">
      <c r="A61" s="7" t="s">
        <v>319</v>
      </c>
      <c r="B61" s="7" t="s">
        <v>322</v>
      </c>
      <c r="C61" s="7" t="s">
        <v>30</v>
      </c>
      <c r="D61" s="14">
        <v>2900</v>
      </c>
      <c r="E61" s="13">
        <v>2.9E-4</v>
      </c>
      <c r="F61" s="25" t="s">
        <v>607</v>
      </c>
    </row>
    <row r="62" spans="1:6" x14ac:dyDescent="0.2">
      <c r="A62" s="6" t="s">
        <v>43</v>
      </c>
      <c r="B62" s="7"/>
      <c r="C62" s="7"/>
      <c r="D62" s="7"/>
      <c r="E62" s="6">
        <v>0</v>
      </c>
      <c r="F62" s="6">
        <v>0</v>
      </c>
    </row>
    <row r="63" spans="1:6" x14ac:dyDescent="0.2">
      <c r="A63" s="7"/>
      <c r="B63" s="7"/>
      <c r="C63" s="7"/>
      <c r="D63" s="7"/>
      <c r="E63" s="13"/>
      <c r="F63" s="7"/>
    </row>
    <row r="64" spans="1:6" x14ac:dyDescent="0.2">
      <c r="A64" s="6" t="s">
        <v>43</v>
      </c>
      <c r="B64" s="7"/>
      <c r="C64" s="7"/>
      <c r="D64" s="7"/>
      <c r="E64" s="15">
        <v>386450.52057699993</v>
      </c>
      <c r="F64" s="6">
        <v>94.349381040088602</v>
      </c>
    </row>
    <row r="65" spans="1:6" x14ac:dyDescent="0.2">
      <c r="A65" s="7"/>
      <c r="B65" s="7"/>
      <c r="C65" s="7"/>
      <c r="D65" s="7"/>
      <c r="E65" s="13"/>
      <c r="F65" s="7"/>
    </row>
    <row r="66" spans="1:6" x14ac:dyDescent="0.2">
      <c r="A66" s="6" t="s">
        <v>100</v>
      </c>
      <c r="B66" s="7"/>
      <c r="C66" s="7"/>
      <c r="D66" s="7"/>
      <c r="E66" s="15">
        <v>23144.663108199999</v>
      </c>
      <c r="F66" s="6">
        <v>5.65</v>
      </c>
    </row>
    <row r="67" spans="1:6" x14ac:dyDescent="0.2">
      <c r="A67" s="7"/>
      <c r="B67" s="7"/>
      <c r="C67" s="7"/>
      <c r="D67" s="7"/>
      <c r="E67" s="13"/>
      <c r="F67" s="7"/>
    </row>
    <row r="68" spans="1:6" x14ac:dyDescent="0.2">
      <c r="A68" s="8" t="s">
        <v>101</v>
      </c>
      <c r="B68" s="5"/>
      <c r="C68" s="5"/>
      <c r="D68" s="5"/>
      <c r="E68" s="16">
        <v>409595.18368519994</v>
      </c>
      <c r="F68" s="8">
        <f xml:space="preserve"> ROUND(SUM(F64:F67),2)</f>
        <v>100</v>
      </c>
    </row>
    <row r="69" spans="1:6" x14ac:dyDescent="0.2">
      <c r="F69" s="11" t="s">
        <v>608</v>
      </c>
    </row>
    <row r="70" spans="1:6" x14ac:dyDescent="0.2">
      <c r="A70" s="4" t="s">
        <v>102</v>
      </c>
      <c r="B70" s="2"/>
      <c r="C70" s="2"/>
      <c r="D70" s="2"/>
    </row>
    <row r="71" spans="1:6" x14ac:dyDescent="0.2">
      <c r="A71" s="4" t="s">
        <v>103</v>
      </c>
      <c r="B71" s="2"/>
      <c r="C71" s="2"/>
      <c r="D71" s="2"/>
    </row>
    <row r="72" spans="1:6" x14ac:dyDescent="0.2">
      <c r="A72" s="4" t="s">
        <v>104</v>
      </c>
      <c r="B72" s="2"/>
      <c r="C72" s="2"/>
      <c r="D72" s="2"/>
    </row>
    <row r="73" spans="1:6" x14ac:dyDescent="0.2">
      <c r="A73" s="2" t="s">
        <v>598</v>
      </c>
      <c r="B73" s="2"/>
      <c r="C73" s="2"/>
      <c r="D73" s="10">
        <v>573.76080000000002</v>
      </c>
    </row>
    <row r="74" spans="1:6" x14ac:dyDescent="0.2">
      <c r="A74" s="2" t="s">
        <v>599</v>
      </c>
      <c r="B74" s="2"/>
      <c r="C74" s="2"/>
      <c r="D74" s="10">
        <v>41.339599999999997</v>
      </c>
    </row>
    <row r="75" spans="1:6" x14ac:dyDescent="0.2">
      <c r="A75" s="2" t="s">
        <v>600</v>
      </c>
      <c r="B75" s="2"/>
      <c r="C75" s="2"/>
      <c r="D75" s="10">
        <v>606.48919999999998</v>
      </c>
    </row>
    <row r="76" spans="1:6" x14ac:dyDescent="0.2">
      <c r="A76" s="2" t="s">
        <v>601</v>
      </c>
      <c r="B76" s="2"/>
      <c r="C76" s="2"/>
      <c r="D76" s="10">
        <v>44.496400000000001</v>
      </c>
    </row>
    <row r="77" spans="1:6" x14ac:dyDescent="0.2">
      <c r="A77" s="2"/>
      <c r="B77" s="2"/>
      <c r="C77" s="2"/>
      <c r="D77" s="10"/>
    </row>
    <row r="78" spans="1:6" x14ac:dyDescent="0.2">
      <c r="A78" s="4" t="s">
        <v>105</v>
      </c>
      <c r="B78" s="2"/>
      <c r="C78" s="2"/>
      <c r="D78" s="2"/>
    </row>
    <row r="79" spans="1:6" x14ac:dyDescent="0.2">
      <c r="A79" s="2" t="s">
        <v>598</v>
      </c>
      <c r="B79" s="2"/>
      <c r="C79" s="2"/>
      <c r="D79" s="10">
        <v>571.71730000000002</v>
      </c>
    </row>
    <row r="80" spans="1:6" x14ac:dyDescent="0.2">
      <c r="A80" s="2" t="s">
        <v>599</v>
      </c>
      <c r="B80" s="2"/>
      <c r="C80" s="2"/>
      <c r="D80" s="10">
        <v>41.192399999999999</v>
      </c>
    </row>
    <row r="81" spans="1:4" x14ac:dyDescent="0.2">
      <c r="A81" s="2" t="s">
        <v>600</v>
      </c>
      <c r="B81" s="2"/>
      <c r="C81" s="2"/>
      <c r="D81" s="10">
        <v>607.23710000000005</v>
      </c>
    </row>
    <row r="82" spans="1:4" x14ac:dyDescent="0.2">
      <c r="A82" s="2" t="s">
        <v>601</v>
      </c>
      <c r="B82" s="2"/>
      <c r="C82" s="2"/>
      <c r="D82" s="10">
        <v>44.551000000000002</v>
      </c>
    </row>
    <row r="83" spans="1:4" x14ac:dyDescent="0.2">
      <c r="A83" s="2"/>
      <c r="B83" s="2"/>
      <c r="C83" s="2"/>
      <c r="D83" s="2"/>
    </row>
    <row r="84" spans="1:4" x14ac:dyDescent="0.2">
      <c r="A84" s="4" t="s">
        <v>106</v>
      </c>
      <c r="B84" s="2"/>
      <c r="C84" s="2"/>
      <c r="D84" s="17" t="s">
        <v>107</v>
      </c>
    </row>
    <row r="85" spans="1:4" x14ac:dyDescent="0.2">
      <c r="A85" s="4"/>
      <c r="B85" s="2"/>
      <c r="C85" s="2"/>
      <c r="D85" s="17"/>
    </row>
    <row r="86" spans="1:4" x14ac:dyDescent="0.2">
      <c r="A86" s="9" t="s">
        <v>606</v>
      </c>
      <c r="B86" s="2"/>
      <c r="C86" s="2"/>
      <c r="D86" s="24">
        <v>6.9563302441523742E-2</v>
      </c>
    </row>
  </sheetData>
  <mergeCells count="1">
    <mergeCell ref="A1: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8277-BB52-4E74-B754-0609CC2CCA75}">
  <dimension ref="A1:F62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37.7109375" style="1" bestFit="1" customWidth="1"/>
    <col min="3" max="3" width="26.4257812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587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185</v>
      </c>
      <c r="B7" s="7" t="s">
        <v>186</v>
      </c>
      <c r="C7" s="7" t="s">
        <v>78</v>
      </c>
      <c r="D7" s="14">
        <v>818937</v>
      </c>
      <c r="E7" s="13">
        <v>5614.6320720000003</v>
      </c>
      <c r="F7" s="7">
        <v>23.279646245150936</v>
      </c>
    </row>
    <row r="8" spans="1:6" x14ac:dyDescent="0.2">
      <c r="A8" s="7" t="s">
        <v>181</v>
      </c>
      <c r="B8" s="7" t="s">
        <v>182</v>
      </c>
      <c r="C8" s="7" t="s">
        <v>78</v>
      </c>
      <c r="D8" s="14">
        <v>213636</v>
      </c>
      <c r="E8" s="13">
        <v>2484.0525899999998</v>
      </c>
      <c r="F8" s="7">
        <v>10.299493325294948</v>
      </c>
    </row>
    <row r="9" spans="1:6" x14ac:dyDescent="0.2">
      <c r="A9" s="7" t="s">
        <v>252</v>
      </c>
      <c r="B9" s="7" t="s">
        <v>253</v>
      </c>
      <c r="C9" s="7" t="s">
        <v>78</v>
      </c>
      <c r="D9" s="14">
        <v>293797</v>
      </c>
      <c r="E9" s="13">
        <v>2171.1598300000001</v>
      </c>
      <c r="F9" s="7">
        <v>9.0021629442368294</v>
      </c>
    </row>
    <row r="10" spans="1:6" x14ac:dyDescent="0.2">
      <c r="A10" s="7" t="s">
        <v>404</v>
      </c>
      <c r="B10" s="7" t="s">
        <v>405</v>
      </c>
      <c r="C10" s="7" t="s">
        <v>78</v>
      </c>
      <c r="D10" s="14">
        <v>73819</v>
      </c>
      <c r="E10" s="13">
        <v>1675.4329339999999</v>
      </c>
      <c r="F10" s="7">
        <v>6.9467572426525539</v>
      </c>
    </row>
    <row r="11" spans="1:6" x14ac:dyDescent="0.2">
      <c r="A11" s="7" t="s">
        <v>113</v>
      </c>
      <c r="B11" s="7" t="s">
        <v>114</v>
      </c>
      <c r="C11" s="7" t="s">
        <v>42</v>
      </c>
      <c r="D11" s="14">
        <v>416350</v>
      </c>
      <c r="E11" s="13">
        <v>1558.189875</v>
      </c>
      <c r="F11" s="7">
        <v>6.4606386683241173</v>
      </c>
    </row>
    <row r="12" spans="1:6" x14ac:dyDescent="0.2">
      <c r="A12" s="7" t="s">
        <v>436</v>
      </c>
      <c r="B12" s="7" t="s">
        <v>437</v>
      </c>
      <c r="C12" s="7" t="s">
        <v>78</v>
      </c>
      <c r="D12" s="14">
        <v>55000</v>
      </c>
      <c r="E12" s="13">
        <v>1412.95</v>
      </c>
      <c r="F12" s="7">
        <v>5.8584384052736578</v>
      </c>
    </row>
    <row r="13" spans="1:6" x14ac:dyDescent="0.2">
      <c r="A13" s="7" t="s">
        <v>275</v>
      </c>
      <c r="B13" s="7" t="s">
        <v>276</v>
      </c>
      <c r="C13" s="7" t="s">
        <v>78</v>
      </c>
      <c r="D13" s="14">
        <v>210143</v>
      </c>
      <c r="E13" s="13">
        <v>854.75665249999997</v>
      </c>
      <c r="F13" s="7">
        <v>3.5440314237369686</v>
      </c>
    </row>
    <row r="14" spans="1:6" x14ac:dyDescent="0.2">
      <c r="A14" s="7" t="s">
        <v>583</v>
      </c>
      <c r="B14" s="7" t="s">
        <v>584</v>
      </c>
      <c r="C14" s="7" t="s">
        <v>78</v>
      </c>
      <c r="D14" s="14">
        <v>30056</v>
      </c>
      <c r="E14" s="13">
        <v>517.51923599999998</v>
      </c>
      <c r="F14" s="7">
        <v>2.1457621059841339</v>
      </c>
    </row>
    <row r="15" spans="1:6" x14ac:dyDescent="0.2">
      <c r="A15" s="7" t="s">
        <v>542</v>
      </c>
      <c r="B15" s="7" t="s">
        <v>543</v>
      </c>
      <c r="C15" s="7" t="s">
        <v>78</v>
      </c>
      <c r="D15" s="14">
        <v>72108</v>
      </c>
      <c r="E15" s="13">
        <v>325.74788999999998</v>
      </c>
      <c r="F15" s="7">
        <v>1.3506309134879924</v>
      </c>
    </row>
    <row r="16" spans="1:6" x14ac:dyDescent="0.2">
      <c r="A16" s="7" t="s">
        <v>271</v>
      </c>
      <c r="B16" s="7" t="s">
        <v>272</v>
      </c>
      <c r="C16" s="7" t="s">
        <v>70</v>
      </c>
      <c r="D16" s="14">
        <v>464787</v>
      </c>
      <c r="E16" s="13">
        <v>261.90747449999998</v>
      </c>
      <c r="F16" s="7">
        <v>1.0859328406801594</v>
      </c>
    </row>
    <row r="17" spans="1:6" x14ac:dyDescent="0.2">
      <c r="A17" s="7" t="s">
        <v>40</v>
      </c>
      <c r="B17" s="7" t="s">
        <v>41</v>
      </c>
      <c r="C17" s="7" t="s">
        <v>42</v>
      </c>
      <c r="D17" s="14">
        <v>4779197</v>
      </c>
      <c r="E17" s="13">
        <v>186.38868299999999</v>
      </c>
      <c r="F17" s="7">
        <v>0.77281334710752492</v>
      </c>
    </row>
    <row r="18" spans="1:6" x14ac:dyDescent="0.2">
      <c r="A18" s="7" t="s">
        <v>544</v>
      </c>
      <c r="B18" s="7" t="s">
        <v>545</v>
      </c>
      <c r="C18" s="7" t="s">
        <v>70</v>
      </c>
      <c r="D18" s="14">
        <v>343415</v>
      </c>
      <c r="E18" s="13">
        <v>105.77182000000001</v>
      </c>
      <c r="F18" s="7">
        <v>0.43855599453886723</v>
      </c>
    </row>
    <row r="19" spans="1:6" x14ac:dyDescent="0.2">
      <c r="A19" s="6" t="s">
        <v>43</v>
      </c>
      <c r="B19" s="7"/>
      <c r="C19" s="7"/>
      <c r="D19" s="14"/>
      <c r="E19" s="15">
        <v>17168.509057000003</v>
      </c>
      <c r="F19" s="6">
        <v>71.18486345646869</v>
      </c>
    </row>
    <row r="20" spans="1:6" x14ac:dyDescent="0.2">
      <c r="A20" s="7"/>
      <c r="B20" s="7"/>
      <c r="C20" s="7"/>
      <c r="D20" s="14"/>
      <c r="E20" s="13"/>
      <c r="F20" s="7"/>
    </row>
    <row r="21" spans="1:6" x14ac:dyDescent="0.2">
      <c r="A21" s="6" t="s">
        <v>321</v>
      </c>
      <c r="B21" s="7"/>
      <c r="C21" s="7"/>
      <c r="D21" s="32"/>
      <c r="E21" s="13"/>
      <c r="F21" s="7"/>
    </row>
    <row r="22" spans="1:6" x14ac:dyDescent="0.2">
      <c r="A22" s="7" t="s">
        <v>319</v>
      </c>
      <c r="B22" s="7" t="s">
        <v>454</v>
      </c>
      <c r="C22" s="7" t="s">
        <v>78</v>
      </c>
      <c r="D22" s="32">
        <v>970000</v>
      </c>
      <c r="E22" s="13">
        <v>9.7000000000000003E-2</v>
      </c>
      <c r="F22" s="28" t="s">
        <v>607</v>
      </c>
    </row>
    <row r="23" spans="1:6" x14ac:dyDescent="0.2">
      <c r="A23" s="6" t="s">
        <v>43</v>
      </c>
      <c r="B23" s="7"/>
      <c r="C23" s="7"/>
      <c r="D23" s="32"/>
      <c r="E23" s="29">
        <v>9.7000000000000003E-2</v>
      </c>
      <c r="F23" s="15">
        <v>3.9472253964191429E-4</v>
      </c>
    </row>
    <row r="24" spans="1:6" x14ac:dyDescent="0.2">
      <c r="A24" s="7"/>
      <c r="B24" s="7"/>
      <c r="C24" s="7"/>
      <c r="D24" s="14"/>
      <c r="E24" s="13"/>
      <c r="F24" s="7"/>
    </row>
    <row r="25" spans="1:6" x14ac:dyDescent="0.2">
      <c r="A25" s="6" t="s">
        <v>44</v>
      </c>
      <c r="B25" s="7"/>
      <c r="C25" s="7"/>
      <c r="D25" s="14"/>
      <c r="E25" s="13"/>
      <c r="F25" s="7"/>
    </row>
    <row r="26" spans="1:6" x14ac:dyDescent="0.2">
      <c r="A26" s="30" t="s">
        <v>618</v>
      </c>
      <c r="B26" s="30" t="s">
        <v>614</v>
      </c>
      <c r="C26" s="7" t="s">
        <v>78</v>
      </c>
      <c r="D26" s="14">
        <v>35000</v>
      </c>
      <c r="E26" s="13">
        <v>1514.3597570000002</v>
      </c>
      <c r="F26" s="7">
        <v>6.2789082131778802</v>
      </c>
    </row>
    <row r="27" spans="1:6" x14ac:dyDescent="0.2">
      <c r="A27" s="30" t="s">
        <v>88</v>
      </c>
      <c r="B27" s="30" t="s">
        <v>89</v>
      </c>
      <c r="C27" s="7" t="s">
        <v>75</v>
      </c>
      <c r="D27" s="14">
        <v>88000</v>
      </c>
      <c r="E27" s="13">
        <v>612.00625430000002</v>
      </c>
      <c r="F27" s="7">
        <v>2.5375285356585846</v>
      </c>
    </row>
    <row r="28" spans="1:6" x14ac:dyDescent="0.2">
      <c r="A28" s="30" t="s">
        <v>621</v>
      </c>
      <c r="B28" s="30" t="s">
        <v>617</v>
      </c>
      <c r="C28" s="7" t="s">
        <v>75</v>
      </c>
      <c r="D28" s="14">
        <v>17000</v>
      </c>
      <c r="E28" s="13">
        <v>520.67274369999996</v>
      </c>
      <c r="F28" s="7">
        <v>2.1588373249380997</v>
      </c>
    </row>
    <row r="29" spans="1:6" x14ac:dyDescent="0.2">
      <c r="A29" s="30" t="s">
        <v>585</v>
      </c>
      <c r="B29" s="30" t="s">
        <v>586</v>
      </c>
      <c r="C29" s="7" t="s">
        <v>78</v>
      </c>
      <c r="D29" s="14">
        <v>19000</v>
      </c>
      <c r="E29" s="13">
        <v>404.29550210000002</v>
      </c>
      <c r="F29" s="7">
        <v>1.6763086426144145</v>
      </c>
    </row>
    <row r="30" spans="1:6" x14ac:dyDescent="0.2">
      <c r="A30" s="30" t="s">
        <v>73</v>
      </c>
      <c r="B30" s="30" t="s">
        <v>74</v>
      </c>
      <c r="C30" s="7" t="s">
        <v>75</v>
      </c>
      <c r="D30" s="14">
        <v>33000</v>
      </c>
      <c r="E30" s="13">
        <v>379.11377040000002</v>
      </c>
      <c r="F30" s="7">
        <v>1.571898986149163</v>
      </c>
    </row>
    <row r="31" spans="1:6" x14ac:dyDescent="0.2">
      <c r="A31" s="30" t="s">
        <v>620</v>
      </c>
      <c r="B31" s="30" t="s">
        <v>616</v>
      </c>
      <c r="C31" s="7" t="s">
        <v>622</v>
      </c>
      <c r="D31" s="14">
        <v>6000</v>
      </c>
      <c r="E31" s="13">
        <v>342.67457129999997</v>
      </c>
      <c r="F31" s="7">
        <v>1.4208130995538457</v>
      </c>
    </row>
    <row r="32" spans="1:6" x14ac:dyDescent="0.2">
      <c r="A32" s="30" t="s">
        <v>619</v>
      </c>
      <c r="B32" s="30" t="s">
        <v>615</v>
      </c>
      <c r="C32" s="7" t="s">
        <v>75</v>
      </c>
      <c r="D32" s="14">
        <v>2000</v>
      </c>
      <c r="E32" s="13">
        <v>285.44854270000002</v>
      </c>
      <c r="F32" s="7">
        <v>1.1835399025323456</v>
      </c>
    </row>
    <row r="33" spans="1:6" x14ac:dyDescent="0.2">
      <c r="A33" s="6" t="s">
        <v>43</v>
      </c>
      <c r="B33" s="7"/>
      <c r="C33" s="7"/>
      <c r="D33" s="14"/>
      <c r="E33" s="15">
        <v>4058.5711415000005</v>
      </c>
      <c r="F33" s="15">
        <v>16.827834704624333</v>
      </c>
    </row>
    <row r="34" spans="1:6" x14ac:dyDescent="0.2">
      <c r="A34" s="7"/>
      <c r="B34" s="7"/>
      <c r="C34" s="7"/>
      <c r="D34" s="14"/>
      <c r="E34" s="13"/>
      <c r="F34" s="7"/>
    </row>
    <row r="35" spans="1:6" x14ac:dyDescent="0.2">
      <c r="A35" s="6" t="s">
        <v>610</v>
      </c>
      <c r="B35" s="7"/>
      <c r="C35" s="7"/>
      <c r="D35" s="14"/>
      <c r="E35" s="13"/>
      <c r="F35" s="7"/>
    </row>
    <row r="36" spans="1:6" x14ac:dyDescent="0.2">
      <c r="A36" s="7" t="s">
        <v>611</v>
      </c>
      <c r="B36" s="7" t="s">
        <v>612</v>
      </c>
      <c r="C36" s="7" t="s">
        <v>613</v>
      </c>
      <c r="D36" s="33">
        <v>102868.481</v>
      </c>
      <c r="E36" s="13">
        <v>2274.361531</v>
      </c>
      <c r="F36" s="7">
        <v>9.4300625929349202</v>
      </c>
    </row>
    <row r="37" spans="1:6" x14ac:dyDescent="0.2">
      <c r="A37" s="7"/>
      <c r="B37" s="7"/>
      <c r="C37" s="7"/>
      <c r="D37" s="14"/>
      <c r="E37" s="15">
        <v>2274.361531</v>
      </c>
      <c r="F37" s="6">
        <v>9.4300625929349202</v>
      </c>
    </row>
    <row r="38" spans="1:6" x14ac:dyDescent="0.2">
      <c r="A38" s="7"/>
      <c r="B38" s="7"/>
      <c r="C38" s="7"/>
      <c r="D38" s="14"/>
      <c r="E38" s="13"/>
      <c r="F38" s="7"/>
    </row>
    <row r="39" spans="1:6" x14ac:dyDescent="0.2">
      <c r="A39" s="6" t="s">
        <v>43</v>
      </c>
      <c r="B39" s="7"/>
      <c r="C39" s="7"/>
      <c r="D39" s="14"/>
      <c r="E39" s="15">
        <v>23501.538729500004</v>
      </c>
      <c r="F39" s="15">
        <v>97.443155476567583</v>
      </c>
    </row>
    <row r="40" spans="1:6" x14ac:dyDescent="0.2">
      <c r="A40" s="7"/>
      <c r="B40" s="7"/>
      <c r="C40" s="7"/>
      <c r="D40" s="7"/>
      <c r="E40" s="13"/>
      <c r="F40" s="7"/>
    </row>
    <row r="41" spans="1:6" x14ac:dyDescent="0.2">
      <c r="A41" s="6" t="s">
        <v>100</v>
      </c>
      <c r="B41" s="7"/>
      <c r="C41" s="7"/>
      <c r="D41" s="7"/>
      <c r="E41" s="15">
        <v>616.66312319999997</v>
      </c>
      <c r="F41" s="6">
        <v>2.5568370601018304</v>
      </c>
    </row>
    <row r="42" spans="1:6" x14ac:dyDescent="0.2">
      <c r="A42" s="7"/>
      <c r="B42" s="7"/>
      <c r="C42" s="7"/>
      <c r="D42" s="7"/>
      <c r="E42" s="13"/>
      <c r="F42" s="7"/>
    </row>
    <row r="43" spans="1:6" x14ac:dyDescent="0.2">
      <c r="A43" s="8" t="s">
        <v>101</v>
      </c>
      <c r="B43" s="5"/>
      <c r="C43" s="5"/>
      <c r="D43" s="5"/>
      <c r="E43" s="16">
        <v>24118.201852700004</v>
      </c>
      <c r="F43" s="8">
        <v>100</v>
      </c>
    </row>
    <row r="44" spans="1:6" x14ac:dyDescent="0.2">
      <c r="F44" s="11" t="s">
        <v>608</v>
      </c>
    </row>
    <row r="45" spans="1:6" x14ac:dyDescent="0.2">
      <c r="A45" s="4" t="s">
        <v>102</v>
      </c>
      <c r="B45" s="2"/>
      <c r="C45" s="2"/>
      <c r="D45" s="2"/>
    </row>
    <row r="46" spans="1:6" x14ac:dyDescent="0.2">
      <c r="A46" s="4" t="s">
        <v>103</v>
      </c>
      <c r="B46" s="2"/>
      <c r="C46" s="2"/>
      <c r="D46" s="2"/>
    </row>
    <row r="47" spans="1:6" x14ac:dyDescent="0.2">
      <c r="A47" s="4" t="s">
        <v>104</v>
      </c>
      <c r="B47" s="2"/>
      <c r="C47" s="2"/>
      <c r="D47" s="2"/>
    </row>
    <row r="48" spans="1:6" x14ac:dyDescent="0.2">
      <c r="A48" s="2" t="s">
        <v>598</v>
      </c>
      <c r="B48" s="2"/>
      <c r="C48" s="2"/>
      <c r="D48" s="10">
        <v>169.9444</v>
      </c>
    </row>
    <row r="49" spans="1:4" x14ac:dyDescent="0.2">
      <c r="A49" s="2" t="s">
        <v>599</v>
      </c>
      <c r="B49" s="2"/>
      <c r="C49" s="2"/>
      <c r="D49" s="10">
        <v>26.9194</v>
      </c>
    </row>
    <row r="50" spans="1:4" x14ac:dyDescent="0.2">
      <c r="A50" s="2" t="s">
        <v>600</v>
      </c>
      <c r="B50" s="2"/>
      <c r="C50" s="2"/>
      <c r="D50" s="10">
        <v>176.18279999999999</v>
      </c>
    </row>
    <row r="51" spans="1:4" x14ac:dyDescent="0.2">
      <c r="A51" s="2" t="s">
        <v>601</v>
      </c>
      <c r="B51" s="2"/>
      <c r="C51" s="2"/>
      <c r="D51" s="10">
        <v>28.046500000000002</v>
      </c>
    </row>
    <row r="52" spans="1:4" x14ac:dyDescent="0.2">
      <c r="A52" s="2"/>
      <c r="B52" s="2"/>
      <c r="C52" s="2"/>
      <c r="D52" s="10"/>
    </row>
    <row r="53" spans="1:4" x14ac:dyDescent="0.2">
      <c r="A53" s="4" t="s">
        <v>105</v>
      </c>
      <c r="B53" s="2"/>
      <c r="C53" s="2"/>
      <c r="D53" s="2"/>
    </row>
    <row r="54" spans="1:4" x14ac:dyDescent="0.2">
      <c r="A54" s="2" t="s">
        <v>598</v>
      </c>
      <c r="B54" s="2"/>
      <c r="C54" s="2"/>
      <c r="D54" s="10">
        <v>157.3374</v>
      </c>
    </row>
    <row r="55" spans="1:4" x14ac:dyDescent="0.2">
      <c r="A55" s="2" t="s">
        <v>599</v>
      </c>
      <c r="B55" s="2"/>
      <c r="C55" s="2"/>
      <c r="D55" s="10">
        <v>24.9224</v>
      </c>
    </row>
    <row r="56" spans="1:4" x14ac:dyDescent="0.2">
      <c r="A56" s="2" t="s">
        <v>600</v>
      </c>
      <c r="B56" s="2"/>
      <c r="C56" s="2"/>
      <c r="D56" s="10">
        <v>163.6634</v>
      </c>
    </row>
    <row r="57" spans="1:4" x14ac:dyDescent="0.2">
      <c r="A57" s="2" t="s">
        <v>601</v>
      </c>
      <c r="B57" s="2"/>
      <c r="C57" s="2"/>
      <c r="D57" s="10">
        <v>26.0472</v>
      </c>
    </row>
    <row r="58" spans="1:4" x14ac:dyDescent="0.2">
      <c r="A58" s="2"/>
      <c r="B58" s="2"/>
      <c r="C58" s="2"/>
      <c r="D58" s="2"/>
    </row>
    <row r="59" spans="1:4" x14ac:dyDescent="0.2">
      <c r="A59" s="4" t="s">
        <v>106</v>
      </c>
      <c r="B59" s="2"/>
      <c r="C59" s="2"/>
      <c r="D59" s="17" t="s">
        <v>107</v>
      </c>
    </row>
    <row r="60" spans="1:4" x14ac:dyDescent="0.2">
      <c r="A60" s="4"/>
      <c r="B60" s="2"/>
      <c r="C60" s="2"/>
      <c r="D60" s="17"/>
    </row>
    <row r="61" spans="1:4" x14ac:dyDescent="0.2">
      <c r="A61" s="9" t="s">
        <v>606</v>
      </c>
      <c r="B61" s="2"/>
      <c r="C61" s="2"/>
      <c r="D61" s="24">
        <v>6.2033127048538209E-2</v>
      </c>
    </row>
    <row r="62" spans="1:4" x14ac:dyDescent="0.2">
      <c r="A62" s="2"/>
      <c r="B62" s="2"/>
      <c r="C62" s="2"/>
      <c r="D62" s="2"/>
    </row>
  </sheetData>
  <sortState xmlns:xlrd2="http://schemas.microsoft.com/office/spreadsheetml/2017/richdata2" ref="A26:F32">
    <sortCondition descending="1" ref="F26:F32"/>
  </sortState>
  <mergeCells count="1">
    <mergeCell ref="A1:F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343F-3990-4C51-AFC8-DE0699E89C59}">
  <dimension ref="A1:G105"/>
  <sheetViews>
    <sheetView showGridLines="0" workbookViewId="0">
      <selection sqref="A1:G1"/>
    </sheetView>
  </sheetViews>
  <sheetFormatPr defaultRowHeight="11.25" x14ac:dyDescent="0.2"/>
  <cols>
    <col min="1" max="1" width="59" style="1" bestFit="1" customWidth="1"/>
    <col min="2" max="2" width="35.28515625" style="1" bestFit="1" customWidth="1"/>
    <col min="3" max="3" width="4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4" style="2" customWidth="1"/>
    <col min="8" max="16384" width="9.140625" style="2"/>
  </cols>
  <sheetData>
    <row r="1" spans="1:7" x14ac:dyDescent="0.2">
      <c r="A1" s="109" t="s">
        <v>582</v>
      </c>
      <c r="B1" s="109"/>
      <c r="C1" s="109"/>
      <c r="D1" s="109"/>
      <c r="E1" s="109"/>
      <c r="F1" s="109"/>
      <c r="G1" s="109"/>
    </row>
    <row r="3" spans="1:7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15" t="s">
        <v>623</v>
      </c>
    </row>
    <row r="4" spans="1:7" x14ac:dyDescent="0.2">
      <c r="A4" s="5"/>
      <c r="B4" s="5"/>
      <c r="C4" s="5"/>
      <c r="D4" s="5"/>
      <c r="E4" s="5"/>
      <c r="F4" s="5"/>
      <c r="G4" s="116"/>
    </row>
    <row r="5" spans="1:7" x14ac:dyDescent="0.2">
      <c r="A5" s="6" t="s">
        <v>7</v>
      </c>
      <c r="B5" s="7"/>
      <c r="C5" s="7"/>
      <c r="D5" s="7"/>
      <c r="E5" s="7"/>
      <c r="F5" s="7"/>
      <c r="G5" s="30"/>
    </row>
    <row r="6" spans="1:7" x14ac:dyDescent="0.2">
      <c r="A6" s="6" t="s">
        <v>8</v>
      </c>
      <c r="B6" s="7"/>
      <c r="C6" s="7"/>
      <c r="D6" s="7"/>
      <c r="E6" s="7"/>
      <c r="F6" s="7"/>
      <c r="G6" s="30"/>
    </row>
    <row r="7" spans="1:7" x14ac:dyDescent="0.2">
      <c r="A7" s="7" t="s">
        <v>9</v>
      </c>
      <c r="B7" s="7" t="s">
        <v>10</v>
      </c>
      <c r="C7" s="7" t="s">
        <v>11</v>
      </c>
      <c r="D7" s="14">
        <v>2767306</v>
      </c>
      <c r="E7" s="13">
        <v>34047.549371000001</v>
      </c>
      <c r="F7" s="13">
        <v>4.8426128834223752</v>
      </c>
      <c r="G7" s="30"/>
    </row>
    <row r="8" spans="1:7" x14ac:dyDescent="0.2">
      <c r="A8" s="7" t="s">
        <v>236</v>
      </c>
      <c r="B8" s="7" t="s">
        <v>237</v>
      </c>
      <c r="C8" s="7" t="s">
        <v>117</v>
      </c>
      <c r="D8" s="14">
        <v>6289744</v>
      </c>
      <c r="E8" s="13">
        <v>20457.392360000002</v>
      </c>
      <c r="F8" s="13">
        <v>2.9096729025714545</v>
      </c>
      <c r="G8" s="30"/>
    </row>
    <row r="9" spans="1:7" x14ac:dyDescent="0.2">
      <c r="A9" s="7" t="s">
        <v>495</v>
      </c>
      <c r="B9" s="7" t="s">
        <v>496</v>
      </c>
      <c r="C9" s="7" t="s">
        <v>19</v>
      </c>
      <c r="D9" s="14">
        <v>9601987</v>
      </c>
      <c r="E9" s="13">
        <v>19804.0981875</v>
      </c>
      <c r="F9" s="13">
        <v>2.8167542980063955</v>
      </c>
      <c r="G9" s="30"/>
    </row>
    <row r="10" spans="1:7" x14ac:dyDescent="0.2">
      <c r="A10" s="7" t="s">
        <v>497</v>
      </c>
      <c r="B10" s="7" t="s">
        <v>498</v>
      </c>
      <c r="C10" s="7" t="s">
        <v>222</v>
      </c>
      <c r="D10" s="14">
        <v>5685489</v>
      </c>
      <c r="E10" s="13">
        <v>19398.888468000001</v>
      </c>
      <c r="F10" s="13">
        <v>2.7591209633203455</v>
      </c>
      <c r="G10" s="30"/>
    </row>
    <row r="11" spans="1:7" x14ac:dyDescent="0.2">
      <c r="A11" s="7" t="s">
        <v>283</v>
      </c>
      <c r="B11" s="7" t="s">
        <v>284</v>
      </c>
      <c r="C11" s="7" t="s">
        <v>92</v>
      </c>
      <c r="D11" s="14">
        <v>2521141</v>
      </c>
      <c r="E11" s="13">
        <v>17862.283984999998</v>
      </c>
      <c r="F11" s="13">
        <v>2.5405683566402768</v>
      </c>
      <c r="G11" s="30"/>
    </row>
    <row r="12" spans="1:7" x14ac:dyDescent="0.2">
      <c r="A12" s="7" t="s">
        <v>295</v>
      </c>
      <c r="B12" s="7" t="s">
        <v>296</v>
      </c>
      <c r="C12" s="7" t="s">
        <v>36</v>
      </c>
      <c r="D12" s="14">
        <v>9863765</v>
      </c>
      <c r="E12" s="13">
        <v>17276.384397500002</v>
      </c>
      <c r="F12" s="13">
        <v>2.4572353431566105</v>
      </c>
      <c r="G12" s="30"/>
    </row>
    <row r="13" spans="1:7" x14ac:dyDescent="0.2">
      <c r="A13" s="7" t="s">
        <v>499</v>
      </c>
      <c r="B13" s="7" t="s">
        <v>500</v>
      </c>
      <c r="C13" s="7" t="s">
        <v>222</v>
      </c>
      <c r="D13" s="14">
        <v>385642</v>
      </c>
      <c r="E13" s="13">
        <v>16564.288004999999</v>
      </c>
      <c r="F13" s="13">
        <v>2.3559532471389657</v>
      </c>
      <c r="G13" s="30"/>
    </row>
    <row r="14" spans="1:7" x14ac:dyDescent="0.2">
      <c r="A14" s="7" t="s">
        <v>147</v>
      </c>
      <c r="B14" s="7" t="s">
        <v>148</v>
      </c>
      <c r="C14" s="7" t="s">
        <v>39</v>
      </c>
      <c r="D14" s="14">
        <v>4112021</v>
      </c>
      <c r="E14" s="13">
        <v>15761.376493</v>
      </c>
      <c r="F14" s="13">
        <v>2.2417544368254374</v>
      </c>
      <c r="G14" s="30"/>
    </row>
    <row r="15" spans="1:7" x14ac:dyDescent="0.2">
      <c r="A15" s="7" t="s">
        <v>501</v>
      </c>
      <c r="B15" s="7" t="s">
        <v>502</v>
      </c>
      <c r="C15" s="7" t="s">
        <v>503</v>
      </c>
      <c r="D15" s="14">
        <v>2824663</v>
      </c>
      <c r="E15" s="13">
        <v>15688.178302</v>
      </c>
      <c r="F15" s="13">
        <v>2.2313433937598317</v>
      </c>
      <c r="G15" s="30"/>
    </row>
    <row r="16" spans="1:7" x14ac:dyDescent="0.2">
      <c r="A16" s="7" t="s">
        <v>334</v>
      </c>
      <c r="B16" s="7" t="s">
        <v>335</v>
      </c>
      <c r="C16" s="7" t="s">
        <v>336</v>
      </c>
      <c r="D16" s="14">
        <v>1655675</v>
      </c>
      <c r="E16" s="13">
        <v>14963.162812500001</v>
      </c>
      <c r="F16" s="13">
        <v>2.1282238032167324</v>
      </c>
      <c r="G16" s="30"/>
    </row>
    <row r="17" spans="1:7" x14ac:dyDescent="0.2">
      <c r="A17" s="7" t="s">
        <v>504</v>
      </c>
      <c r="B17" s="7" t="s">
        <v>505</v>
      </c>
      <c r="C17" s="7" t="s">
        <v>27</v>
      </c>
      <c r="D17" s="14">
        <v>972167</v>
      </c>
      <c r="E17" s="13">
        <v>14946.5815415</v>
      </c>
      <c r="F17" s="13">
        <v>2.1258654344632824</v>
      </c>
      <c r="G17" s="30"/>
    </row>
    <row r="18" spans="1:7" x14ac:dyDescent="0.2">
      <c r="A18" s="7" t="s">
        <v>242</v>
      </c>
      <c r="B18" s="7" t="s">
        <v>243</v>
      </c>
      <c r="C18" s="7" t="s">
        <v>679</v>
      </c>
      <c r="D18" s="14">
        <v>22803405</v>
      </c>
      <c r="E18" s="13">
        <v>13932.880455</v>
      </c>
      <c r="F18" s="13">
        <v>1.9816858376314066</v>
      </c>
      <c r="G18" s="30"/>
    </row>
    <row r="19" spans="1:7" x14ac:dyDescent="0.2">
      <c r="A19" s="7" t="s">
        <v>506</v>
      </c>
      <c r="B19" s="7" t="s">
        <v>507</v>
      </c>
      <c r="C19" s="7" t="s">
        <v>178</v>
      </c>
      <c r="D19" s="14">
        <v>3967822</v>
      </c>
      <c r="E19" s="13">
        <v>13536.224753</v>
      </c>
      <c r="F19" s="13">
        <v>1.9252691483755204</v>
      </c>
      <c r="G19" s="30"/>
    </row>
    <row r="20" spans="1:7" x14ac:dyDescent="0.2">
      <c r="A20" s="7" t="s">
        <v>275</v>
      </c>
      <c r="B20" s="7" t="s">
        <v>276</v>
      </c>
      <c r="C20" s="7" t="s">
        <v>78</v>
      </c>
      <c r="D20" s="14">
        <v>3303552</v>
      </c>
      <c r="E20" s="13">
        <v>13437.197759999999</v>
      </c>
      <c r="F20" s="13">
        <v>1.9111844520914221</v>
      </c>
      <c r="G20" s="30"/>
    </row>
    <row r="21" spans="1:7" x14ac:dyDescent="0.2">
      <c r="A21" s="7" t="s">
        <v>508</v>
      </c>
      <c r="B21" s="7" t="s">
        <v>509</v>
      </c>
      <c r="C21" s="7" t="s">
        <v>117</v>
      </c>
      <c r="D21" s="14">
        <v>1497004</v>
      </c>
      <c r="E21" s="13">
        <v>13179.623216</v>
      </c>
      <c r="F21" s="13">
        <v>1.8745493982252996</v>
      </c>
      <c r="G21" s="30"/>
    </row>
    <row r="22" spans="1:7" x14ac:dyDescent="0.2">
      <c r="A22" s="7" t="s">
        <v>185</v>
      </c>
      <c r="B22" s="7" t="s">
        <v>186</v>
      </c>
      <c r="C22" s="7" t="s">
        <v>78</v>
      </c>
      <c r="D22" s="14">
        <v>1901404</v>
      </c>
      <c r="E22" s="13">
        <v>13036.025824</v>
      </c>
      <c r="F22" s="13">
        <v>1.854125414902807</v>
      </c>
      <c r="G22" s="30"/>
    </row>
    <row r="23" spans="1:7" x14ac:dyDescent="0.2">
      <c r="A23" s="7" t="s">
        <v>510</v>
      </c>
      <c r="B23" s="7" t="s">
        <v>511</v>
      </c>
      <c r="C23" s="7" t="s">
        <v>11</v>
      </c>
      <c r="D23" s="14">
        <v>6749096</v>
      </c>
      <c r="E23" s="13">
        <v>12158.496444</v>
      </c>
      <c r="F23" s="13">
        <v>1.7293136396157087</v>
      </c>
      <c r="G23" s="30"/>
    </row>
    <row r="24" spans="1:7" x14ac:dyDescent="0.2">
      <c r="A24" s="7" t="s">
        <v>141</v>
      </c>
      <c r="B24" s="7" t="s">
        <v>142</v>
      </c>
      <c r="C24" s="7" t="s">
        <v>19</v>
      </c>
      <c r="D24" s="14">
        <v>2829248</v>
      </c>
      <c r="E24" s="13">
        <v>11983.279904000001</v>
      </c>
      <c r="F24" s="13">
        <v>1.7043924370719683</v>
      </c>
      <c r="G24" s="30"/>
    </row>
    <row r="25" spans="1:7" x14ac:dyDescent="0.2">
      <c r="A25" s="7" t="s">
        <v>512</v>
      </c>
      <c r="B25" s="7" t="s">
        <v>513</v>
      </c>
      <c r="C25" s="7" t="s">
        <v>70</v>
      </c>
      <c r="D25" s="14">
        <v>10968971</v>
      </c>
      <c r="E25" s="13">
        <v>11204.8038765</v>
      </c>
      <c r="F25" s="13">
        <v>1.5936691072038296</v>
      </c>
      <c r="G25" s="30"/>
    </row>
    <row r="26" spans="1:7" x14ac:dyDescent="0.2">
      <c r="A26" s="7" t="s">
        <v>476</v>
      </c>
      <c r="B26" s="7" t="s">
        <v>477</v>
      </c>
      <c r="C26" s="7" t="s">
        <v>19</v>
      </c>
      <c r="D26" s="14">
        <v>1980000</v>
      </c>
      <c r="E26" s="13">
        <v>11054.34</v>
      </c>
      <c r="F26" s="13">
        <v>1.5722684977535297</v>
      </c>
      <c r="G26" s="30"/>
    </row>
    <row r="27" spans="1:7" x14ac:dyDescent="0.2">
      <c r="A27" s="7" t="s">
        <v>246</v>
      </c>
      <c r="B27" s="7" t="s">
        <v>247</v>
      </c>
      <c r="C27" s="7" t="s">
        <v>248</v>
      </c>
      <c r="D27" s="14">
        <v>1690957</v>
      </c>
      <c r="E27" s="13">
        <v>10989.529543000001</v>
      </c>
      <c r="F27" s="13">
        <v>1.563050449469678</v>
      </c>
      <c r="G27" s="30"/>
    </row>
    <row r="28" spans="1:7" x14ac:dyDescent="0.2">
      <c r="A28" s="7" t="s">
        <v>121</v>
      </c>
      <c r="B28" s="7" t="s">
        <v>122</v>
      </c>
      <c r="C28" s="7" t="s">
        <v>11</v>
      </c>
      <c r="D28" s="14">
        <v>1451248</v>
      </c>
      <c r="E28" s="13">
        <v>10686.264648</v>
      </c>
      <c r="F28" s="13">
        <v>1.5199168168074813</v>
      </c>
      <c r="G28" s="30"/>
    </row>
    <row r="29" spans="1:7" x14ac:dyDescent="0.2">
      <c r="A29" s="7" t="s">
        <v>20</v>
      </c>
      <c r="B29" s="7" t="s">
        <v>21</v>
      </c>
      <c r="C29" s="7" t="s">
        <v>11</v>
      </c>
      <c r="D29" s="14">
        <v>673158</v>
      </c>
      <c r="E29" s="13">
        <v>10598.87271</v>
      </c>
      <c r="F29" s="13">
        <v>1.5074869846261811</v>
      </c>
      <c r="G29" s="30"/>
    </row>
    <row r="30" spans="1:7" x14ac:dyDescent="0.2">
      <c r="A30" s="7" t="s">
        <v>514</v>
      </c>
      <c r="B30" s="7" t="s">
        <v>515</v>
      </c>
      <c r="C30" s="7" t="s">
        <v>503</v>
      </c>
      <c r="D30" s="14">
        <v>358284</v>
      </c>
      <c r="E30" s="13">
        <v>10553.792646</v>
      </c>
      <c r="F30" s="13">
        <v>1.5010752074867126</v>
      </c>
      <c r="G30" s="30"/>
    </row>
    <row r="31" spans="1:7" x14ac:dyDescent="0.2">
      <c r="A31" s="7" t="s">
        <v>442</v>
      </c>
      <c r="B31" s="7" t="s">
        <v>443</v>
      </c>
      <c r="C31" s="7" t="s">
        <v>30</v>
      </c>
      <c r="D31" s="14">
        <v>3615705</v>
      </c>
      <c r="E31" s="13">
        <v>10530.7408125</v>
      </c>
      <c r="F31" s="13">
        <v>1.4977965249396308</v>
      </c>
      <c r="G31" s="30"/>
    </row>
    <row r="32" spans="1:7" x14ac:dyDescent="0.2">
      <c r="A32" s="7" t="s">
        <v>516</v>
      </c>
      <c r="B32" s="7" t="s">
        <v>517</v>
      </c>
      <c r="C32" s="7" t="s">
        <v>19</v>
      </c>
      <c r="D32" s="14">
        <v>387398</v>
      </c>
      <c r="E32" s="13">
        <v>10398.343417</v>
      </c>
      <c r="F32" s="13">
        <v>1.4789655269669553</v>
      </c>
      <c r="G32" s="30"/>
    </row>
    <row r="33" spans="1:7" x14ac:dyDescent="0.2">
      <c r="A33" s="7" t="s">
        <v>518</v>
      </c>
      <c r="B33" s="7" t="s">
        <v>519</v>
      </c>
      <c r="C33" s="7" t="s">
        <v>92</v>
      </c>
      <c r="D33" s="14">
        <v>1198491</v>
      </c>
      <c r="E33" s="13">
        <v>10089.496483499999</v>
      </c>
      <c r="F33" s="13">
        <v>1.4350379560608832</v>
      </c>
      <c r="G33" s="30"/>
    </row>
    <row r="34" spans="1:7" x14ac:dyDescent="0.2">
      <c r="A34" s="7" t="s">
        <v>460</v>
      </c>
      <c r="B34" s="7" t="s">
        <v>461</v>
      </c>
      <c r="C34" s="7" t="s">
        <v>11</v>
      </c>
      <c r="D34" s="14">
        <v>4731960</v>
      </c>
      <c r="E34" s="13">
        <v>10027.02324</v>
      </c>
      <c r="F34" s="13">
        <v>1.426152331708137</v>
      </c>
      <c r="G34" s="30"/>
    </row>
    <row r="35" spans="1:7" x14ac:dyDescent="0.2">
      <c r="A35" s="7" t="s">
        <v>301</v>
      </c>
      <c r="B35" s="7" t="s">
        <v>302</v>
      </c>
      <c r="C35" s="7" t="s">
        <v>39</v>
      </c>
      <c r="D35" s="14">
        <v>1641126</v>
      </c>
      <c r="E35" s="13">
        <v>9932.9151149999998</v>
      </c>
      <c r="F35" s="13">
        <v>1.4127672503446047</v>
      </c>
      <c r="G35" s="30"/>
    </row>
    <row r="36" spans="1:7" x14ac:dyDescent="0.2">
      <c r="A36" s="7" t="s">
        <v>520</v>
      </c>
      <c r="B36" s="7" t="s">
        <v>521</v>
      </c>
      <c r="C36" s="7" t="s">
        <v>19</v>
      </c>
      <c r="D36" s="14">
        <v>3223420</v>
      </c>
      <c r="E36" s="13">
        <v>9768.57431</v>
      </c>
      <c r="F36" s="13">
        <v>1.389392913152429</v>
      </c>
      <c r="G36" s="30"/>
    </row>
    <row r="37" spans="1:7" x14ac:dyDescent="0.2">
      <c r="A37" s="7" t="s">
        <v>265</v>
      </c>
      <c r="B37" s="7" t="s">
        <v>266</v>
      </c>
      <c r="C37" s="7" t="s">
        <v>30</v>
      </c>
      <c r="D37" s="14">
        <v>9772603</v>
      </c>
      <c r="E37" s="13">
        <v>9122.7249004999994</v>
      </c>
      <c r="F37" s="13">
        <v>1.2975331837746851</v>
      </c>
      <c r="G37" s="30"/>
    </row>
    <row r="38" spans="1:7" x14ac:dyDescent="0.2">
      <c r="A38" s="7" t="s">
        <v>522</v>
      </c>
      <c r="B38" s="7" t="s">
        <v>523</v>
      </c>
      <c r="C38" s="7" t="s">
        <v>39</v>
      </c>
      <c r="D38" s="14">
        <v>2742883</v>
      </c>
      <c r="E38" s="13">
        <v>8795.0543395000004</v>
      </c>
      <c r="F38" s="13">
        <v>1.2509283117785708</v>
      </c>
      <c r="G38" s="30"/>
    </row>
    <row r="39" spans="1:7" x14ac:dyDescent="0.2">
      <c r="A39" s="7" t="s">
        <v>524</v>
      </c>
      <c r="B39" s="7" t="s">
        <v>525</v>
      </c>
      <c r="C39" s="7" t="s">
        <v>92</v>
      </c>
      <c r="D39" s="14">
        <v>1860158</v>
      </c>
      <c r="E39" s="13">
        <v>8782.7359969999998</v>
      </c>
      <c r="F39" s="13">
        <v>1.2491762630938652</v>
      </c>
      <c r="G39" s="30"/>
    </row>
    <row r="40" spans="1:7" x14ac:dyDescent="0.2">
      <c r="A40" s="7" t="s">
        <v>309</v>
      </c>
      <c r="B40" s="7" t="s">
        <v>310</v>
      </c>
      <c r="C40" s="7" t="s">
        <v>11</v>
      </c>
      <c r="D40" s="14">
        <v>15898917</v>
      </c>
      <c r="E40" s="13">
        <v>8720.5559744999991</v>
      </c>
      <c r="F40" s="13">
        <v>1.2403323438217644</v>
      </c>
      <c r="G40" s="30"/>
    </row>
    <row r="41" spans="1:7" x14ac:dyDescent="0.2">
      <c r="A41" s="7" t="s">
        <v>526</v>
      </c>
      <c r="B41" s="7" t="s">
        <v>527</v>
      </c>
      <c r="C41" s="7" t="s">
        <v>178</v>
      </c>
      <c r="D41" s="14">
        <v>2004654</v>
      </c>
      <c r="E41" s="13">
        <v>8683.1588009999996</v>
      </c>
      <c r="F41" s="13">
        <v>1.2350133109533095</v>
      </c>
      <c r="G41" s="30"/>
    </row>
    <row r="42" spans="1:7" x14ac:dyDescent="0.2">
      <c r="A42" s="7" t="s">
        <v>528</v>
      </c>
      <c r="B42" s="7" t="s">
        <v>529</v>
      </c>
      <c r="C42" s="7" t="s">
        <v>36</v>
      </c>
      <c r="D42" s="14">
        <v>4066550</v>
      </c>
      <c r="E42" s="13">
        <v>8417.7584999999999</v>
      </c>
      <c r="F42" s="13">
        <v>1.1972651927882627</v>
      </c>
      <c r="G42" s="30"/>
    </row>
    <row r="43" spans="1:7" x14ac:dyDescent="0.2">
      <c r="A43" s="7" t="s">
        <v>28</v>
      </c>
      <c r="B43" s="7" t="s">
        <v>29</v>
      </c>
      <c r="C43" s="7" t="s">
        <v>30</v>
      </c>
      <c r="D43" s="14">
        <v>1324301</v>
      </c>
      <c r="E43" s="13">
        <v>8223.2470594999995</v>
      </c>
      <c r="F43" s="13">
        <v>1.1695996595813225</v>
      </c>
      <c r="G43" s="30"/>
    </row>
    <row r="44" spans="1:7" x14ac:dyDescent="0.2">
      <c r="A44" s="7" t="s">
        <v>156</v>
      </c>
      <c r="B44" s="7" t="s">
        <v>157</v>
      </c>
      <c r="C44" s="7" t="s">
        <v>39</v>
      </c>
      <c r="D44" s="14">
        <v>190105</v>
      </c>
      <c r="E44" s="13">
        <v>8171.9485825000002</v>
      </c>
      <c r="F44" s="13">
        <v>1.1623034320933101</v>
      </c>
      <c r="G44" s="30"/>
    </row>
    <row r="45" spans="1:7" x14ac:dyDescent="0.2">
      <c r="A45" s="7" t="s">
        <v>530</v>
      </c>
      <c r="B45" s="7" t="s">
        <v>531</v>
      </c>
      <c r="C45" s="7" t="s">
        <v>39</v>
      </c>
      <c r="D45" s="14">
        <v>941154</v>
      </c>
      <c r="E45" s="13">
        <v>8051.5724700000001</v>
      </c>
      <c r="F45" s="13">
        <v>1.1451822317714648</v>
      </c>
      <c r="G45" s="30"/>
    </row>
    <row r="46" spans="1:7" x14ac:dyDescent="0.2">
      <c r="A46" s="7" t="s">
        <v>532</v>
      </c>
      <c r="B46" s="7" t="s">
        <v>533</v>
      </c>
      <c r="C46" s="7" t="s">
        <v>222</v>
      </c>
      <c r="D46" s="14">
        <v>3536227</v>
      </c>
      <c r="E46" s="13">
        <v>7650.6271145000001</v>
      </c>
      <c r="F46" s="13">
        <v>1.0881554213265863</v>
      </c>
      <c r="G46" s="30"/>
    </row>
    <row r="47" spans="1:7" x14ac:dyDescent="0.2">
      <c r="A47" s="7" t="s">
        <v>534</v>
      </c>
      <c r="B47" s="7" t="s">
        <v>535</v>
      </c>
      <c r="C47" s="7" t="s">
        <v>70</v>
      </c>
      <c r="D47" s="14">
        <v>2310543</v>
      </c>
      <c r="E47" s="13">
        <v>7386.8059709999998</v>
      </c>
      <c r="F47" s="13">
        <v>1.0506319081212423</v>
      </c>
      <c r="G47" s="30"/>
    </row>
    <row r="48" spans="1:7" x14ac:dyDescent="0.2">
      <c r="A48" s="7" t="s">
        <v>262</v>
      </c>
      <c r="B48" s="7" t="s">
        <v>263</v>
      </c>
      <c r="C48" s="7" t="s">
        <v>264</v>
      </c>
      <c r="D48" s="14">
        <v>1852195</v>
      </c>
      <c r="E48" s="13">
        <v>7048.5280725000002</v>
      </c>
      <c r="F48" s="13">
        <v>1.0025183451859774</v>
      </c>
      <c r="G48" s="30"/>
    </row>
    <row r="49" spans="1:7" x14ac:dyDescent="0.2">
      <c r="A49" s="7" t="s">
        <v>536</v>
      </c>
      <c r="B49" s="7" t="s">
        <v>537</v>
      </c>
      <c r="C49" s="7" t="s">
        <v>418</v>
      </c>
      <c r="D49" s="14">
        <v>4183258</v>
      </c>
      <c r="E49" s="13">
        <v>7025.7818109999998</v>
      </c>
      <c r="F49" s="13">
        <v>0.99928312441313027</v>
      </c>
      <c r="G49" s="30"/>
    </row>
    <row r="50" spans="1:7" x14ac:dyDescent="0.2">
      <c r="A50" s="7" t="s">
        <v>143</v>
      </c>
      <c r="B50" s="7" t="s">
        <v>144</v>
      </c>
      <c r="C50" s="7" t="s">
        <v>57</v>
      </c>
      <c r="D50" s="14">
        <v>2345030</v>
      </c>
      <c r="E50" s="13">
        <v>6801.7595149999997</v>
      </c>
      <c r="F50" s="13">
        <v>0.9674202362809381</v>
      </c>
      <c r="G50" s="30"/>
    </row>
    <row r="51" spans="1:7" x14ac:dyDescent="0.2">
      <c r="A51" s="7" t="s">
        <v>538</v>
      </c>
      <c r="B51" s="7" t="s">
        <v>539</v>
      </c>
      <c r="C51" s="7" t="s">
        <v>222</v>
      </c>
      <c r="D51" s="14">
        <v>8939564</v>
      </c>
      <c r="E51" s="13">
        <v>6740.4312559999998</v>
      </c>
      <c r="F51" s="13">
        <v>0.95869746408035716</v>
      </c>
      <c r="G51" s="30"/>
    </row>
    <row r="52" spans="1:7" x14ac:dyDescent="0.2">
      <c r="A52" s="7" t="s">
        <v>440</v>
      </c>
      <c r="B52" s="7" t="s">
        <v>441</v>
      </c>
      <c r="C52" s="7" t="s">
        <v>197</v>
      </c>
      <c r="D52" s="14">
        <v>6313159</v>
      </c>
      <c r="E52" s="13">
        <v>6496.2406110000002</v>
      </c>
      <c r="F52" s="13">
        <v>0.92396601393682842</v>
      </c>
      <c r="G52" s="30"/>
    </row>
    <row r="53" spans="1:7" x14ac:dyDescent="0.2">
      <c r="A53" s="7" t="s">
        <v>540</v>
      </c>
      <c r="B53" s="7" t="s">
        <v>541</v>
      </c>
      <c r="C53" s="7" t="s">
        <v>19</v>
      </c>
      <c r="D53" s="14">
        <v>2805627</v>
      </c>
      <c r="E53" s="13">
        <v>6495.0265049999998</v>
      </c>
      <c r="F53" s="13">
        <v>0.92379333057294299</v>
      </c>
      <c r="G53" s="30"/>
    </row>
    <row r="54" spans="1:7" x14ac:dyDescent="0.2">
      <c r="A54" s="7" t="s">
        <v>542</v>
      </c>
      <c r="B54" s="7" t="s">
        <v>543</v>
      </c>
      <c r="C54" s="7" t="s">
        <v>78</v>
      </c>
      <c r="D54" s="14">
        <v>1410319</v>
      </c>
      <c r="E54" s="13">
        <v>6371.1160824999997</v>
      </c>
      <c r="F54" s="13">
        <v>0.90616944223224771</v>
      </c>
      <c r="G54" s="30"/>
    </row>
    <row r="55" spans="1:7" x14ac:dyDescent="0.2">
      <c r="A55" s="7" t="s">
        <v>269</v>
      </c>
      <c r="B55" s="7" t="s">
        <v>270</v>
      </c>
      <c r="C55" s="7" t="s">
        <v>248</v>
      </c>
      <c r="D55" s="14">
        <v>4031266</v>
      </c>
      <c r="E55" s="13">
        <v>6210.1652729999996</v>
      </c>
      <c r="F55" s="13">
        <v>0.88327726708069842</v>
      </c>
      <c r="G55" s="30"/>
    </row>
    <row r="56" spans="1:7" x14ac:dyDescent="0.2">
      <c r="A56" s="7" t="s">
        <v>544</v>
      </c>
      <c r="B56" s="7" t="s">
        <v>545</v>
      </c>
      <c r="C56" s="7" t="s">
        <v>70</v>
      </c>
      <c r="D56" s="14">
        <v>19537175</v>
      </c>
      <c r="E56" s="13">
        <v>6017.4498999999996</v>
      </c>
      <c r="F56" s="13">
        <v>0.85586719013347934</v>
      </c>
      <c r="G56" s="30"/>
    </row>
    <row r="57" spans="1:7" x14ac:dyDescent="0.2">
      <c r="A57" s="7" t="s">
        <v>546</v>
      </c>
      <c r="B57" s="7" t="s">
        <v>547</v>
      </c>
      <c r="C57" s="7" t="s">
        <v>36</v>
      </c>
      <c r="D57" s="14">
        <v>1120358</v>
      </c>
      <c r="E57" s="13">
        <v>5903.7264809999997</v>
      </c>
      <c r="F57" s="13">
        <v>0.83969220825753521</v>
      </c>
      <c r="G57" s="13">
        <v>0.8</v>
      </c>
    </row>
    <row r="58" spans="1:7" x14ac:dyDescent="0.2">
      <c r="A58" s="7" t="s">
        <v>548</v>
      </c>
      <c r="B58" s="7" t="s">
        <v>549</v>
      </c>
      <c r="C58" s="7" t="s">
        <v>327</v>
      </c>
      <c r="D58" s="14">
        <v>9028098</v>
      </c>
      <c r="E58" s="13">
        <v>5728.3281809999999</v>
      </c>
      <c r="F58" s="13">
        <v>0.81474515382918189</v>
      </c>
      <c r="G58" s="30"/>
    </row>
    <row r="59" spans="1:7" x14ac:dyDescent="0.2">
      <c r="A59" s="7" t="s">
        <v>550</v>
      </c>
      <c r="B59" s="7" t="s">
        <v>551</v>
      </c>
      <c r="C59" s="7" t="s">
        <v>30</v>
      </c>
      <c r="D59" s="14">
        <v>1054044</v>
      </c>
      <c r="E59" s="13">
        <v>5593.8115079999998</v>
      </c>
      <c r="F59" s="13">
        <v>0.79561272915430192</v>
      </c>
      <c r="G59" s="30"/>
    </row>
    <row r="60" spans="1:7" x14ac:dyDescent="0.2">
      <c r="A60" s="7" t="s">
        <v>478</v>
      </c>
      <c r="B60" s="7" t="s">
        <v>479</v>
      </c>
      <c r="C60" s="7" t="s">
        <v>30</v>
      </c>
      <c r="D60" s="14">
        <v>1324002</v>
      </c>
      <c r="E60" s="13">
        <v>5460.1842479999996</v>
      </c>
      <c r="F60" s="13">
        <v>0.77660680647243019</v>
      </c>
      <c r="G60" s="30"/>
    </row>
    <row r="61" spans="1:7" x14ac:dyDescent="0.2">
      <c r="A61" s="7" t="s">
        <v>552</v>
      </c>
      <c r="B61" s="7" t="s">
        <v>553</v>
      </c>
      <c r="C61" s="7" t="s">
        <v>197</v>
      </c>
      <c r="D61" s="14">
        <v>1993014</v>
      </c>
      <c r="E61" s="13">
        <v>5373.1657439999999</v>
      </c>
      <c r="F61" s="13">
        <v>0.76423008813729321</v>
      </c>
      <c r="G61" s="30"/>
    </row>
    <row r="62" spans="1:7" x14ac:dyDescent="0.2">
      <c r="A62" s="7" t="s">
        <v>554</v>
      </c>
      <c r="B62" s="7" t="s">
        <v>555</v>
      </c>
      <c r="C62" s="7" t="s">
        <v>251</v>
      </c>
      <c r="D62" s="14">
        <v>136518</v>
      </c>
      <c r="E62" s="13">
        <v>4877.4468450000004</v>
      </c>
      <c r="F62" s="13">
        <v>0.69372355327055646</v>
      </c>
      <c r="G62" s="30"/>
    </row>
    <row r="63" spans="1:7" x14ac:dyDescent="0.2">
      <c r="A63" s="7" t="s">
        <v>166</v>
      </c>
      <c r="B63" s="7" t="s">
        <v>167</v>
      </c>
      <c r="C63" s="7" t="s">
        <v>39</v>
      </c>
      <c r="D63" s="14">
        <v>1196703</v>
      </c>
      <c r="E63" s="13">
        <v>4820.3196840000001</v>
      </c>
      <c r="F63" s="13">
        <v>0.68559830693234036</v>
      </c>
      <c r="G63" s="30"/>
    </row>
    <row r="64" spans="1:7" x14ac:dyDescent="0.2">
      <c r="A64" s="7" t="s">
        <v>149</v>
      </c>
      <c r="B64" s="7" t="s">
        <v>597</v>
      </c>
      <c r="C64" s="7" t="s">
        <v>33</v>
      </c>
      <c r="D64" s="14">
        <v>4933939</v>
      </c>
      <c r="E64" s="13">
        <v>4033.4951325000002</v>
      </c>
      <c r="F64" s="13">
        <v>0.57368755915522307</v>
      </c>
      <c r="G64" s="30"/>
    </row>
    <row r="65" spans="1:7" x14ac:dyDescent="0.2">
      <c r="A65" s="7" t="s">
        <v>556</v>
      </c>
      <c r="B65" s="7" t="s">
        <v>557</v>
      </c>
      <c r="C65" s="7" t="s">
        <v>233</v>
      </c>
      <c r="D65" s="14">
        <v>1000000</v>
      </c>
      <c r="E65" s="13">
        <v>3984</v>
      </c>
      <c r="F65" s="13">
        <v>0.56664782294104044</v>
      </c>
      <c r="G65" s="30"/>
    </row>
    <row r="66" spans="1:7" x14ac:dyDescent="0.2">
      <c r="A66" s="7" t="s">
        <v>558</v>
      </c>
      <c r="B66" s="7" t="s">
        <v>559</v>
      </c>
      <c r="C66" s="7" t="s">
        <v>57</v>
      </c>
      <c r="D66" s="14">
        <v>8639643</v>
      </c>
      <c r="E66" s="13">
        <v>3978.5556015000002</v>
      </c>
      <c r="F66" s="13">
        <v>0.56587346135538574</v>
      </c>
      <c r="G66" s="30"/>
    </row>
    <row r="67" spans="1:7" x14ac:dyDescent="0.2">
      <c r="A67" s="7" t="s">
        <v>560</v>
      </c>
      <c r="B67" s="7" t="s">
        <v>561</v>
      </c>
      <c r="C67" s="7" t="s">
        <v>39</v>
      </c>
      <c r="D67" s="14">
        <v>1349476</v>
      </c>
      <c r="E67" s="13">
        <v>3952.6152040000002</v>
      </c>
      <c r="F67" s="13">
        <v>0.56218393581080739</v>
      </c>
      <c r="G67" s="30"/>
    </row>
    <row r="68" spans="1:7" x14ac:dyDescent="0.2">
      <c r="A68" s="7" t="s">
        <v>562</v>
      </c>
      <c r="B68" s="7" t="s">
        <v>563</v>
      </c>
      <c r="C68" s="7" t="s">
        <v>27</v>
      </c>
      <c r="D68" s="14">
        <v>2979897</v>
      </c>
      <c r="E68" s="13">
        <v>3540.1176359999999</v>
      </c>
      <c r="F68" s="13">
        <v>0.50351404402474476</v>
      </c>
      <c r="G68" s="30"/>
    </row>
    <row r="69" spans="1:7" x14ac:dyDescent="0.2">
      <c r="A69" s="7" t="s">
        <v>564</v>
      </c>
      <c r="B69" s="7" t="s">
        <v>565</v>
      </c>
      <c r="C69" s="7" t="s">
        <v>264</v>
      </c>
      <c r="D69" s="14">
        <v>970012</v>
      </c>
      <c r="E69" s="13">
        <v>3332.9612320000001</v>
      </c>
      <c r="F69" s="13">
        <v>0.47405000654108631</v>
      </c>
      <c r="G69" s="30"/>
    </row>
    <row r="70" spans="1:7" x14ac:dyDescent="0.2">
      <c r="A70" s="7" t="s">
        <v>202</v>
      </c>
      <c r="B70" s="7" t="s">
        <v>203</v>
      </c>
      <c r="C70" s="7" t="s">
        <v>11</v>
      </c>
      <c r="D70" s="14">
        <v>3412332</v>
      </c>
      <c r="E70" s="13">
        <v>2402.2817279999999</v>
      </c>
      <c r="F70" s="13">
        <v>0.34167864238510059</v>
      </c>
      <c r="G70" s="30"/>
    </row>
    <row r="71" spans="1:7" x14ac:dyDescent="0.2">
      <c r="A71" s="7" t="s">
        <v>566</v>
      </c>
      <c r="B71" s="7" t="s">
        <v>567</v>
      </c>
      <c r="C71" s="7" t="s">
        <v>264</v>
      </c>
      <c r="D71" s="14">
        <v>8689354</v>
      </c>
      <c r="E71" s="13">
        <v>2333.0915490000002</v>
      </c>
      <c r="F71" s="13">
        <v>0.33183766239030876</v>
      </c>
      <c r="G71" s="30"/>
    </row>
    <row r="72" spans="1:7" x14ac:dyDescent="0.2">
      <c r="A72" s="7" t="s">
        <v>40</v>
      </c>
      <c r="B72" s="7" t="s">
        <v>41</v>
      </c>
      <c r="C72" s="7" t="s">
        <v>42</v>
      </c>
      <c r="D72" s="14">
        <v>57427461</v>
      </c>
      <c r="E72" s="13">
        <v>2239.670979</v>
      </c>
      <c r="F72" s="13">
        <v>0.31855037257896057</v>
      </c>
      <c r="G72" s="30"/>
    </row>
    <row r="73" spans="1:7" x14ac:dyDescent="0.2">
      <c r="A73" s="7" t="s">
        <v>568</v>
      </c>
      <c r="B73" s="7" t="s">
        <v>569</v>
      </c>
      <c r="C73" s="7" t="s">
        <v>233</v>
      </c>
      <c r="D73" s="14">
        <v>1918887</v>
      </c>
      <c r="E73" s="13">
        <v>2236.4627985000002</v>
      </c>
      <c r="F73" s="13">
        <v>0.31809407024564551</v>
      </c>
      <c r="G73" s="30"/>
    </row>
    <row r="74" spans="1:7" x14ac:dyDescent="0.2">
      <c r="A74" s="7" t="s">
        <v>570</v>
      </c>
      <c r="B74" s="7" t="s">
        <v>571</v>
      </c>
      <c r="C74" s="7" t="s">
        <v>70</v>
      </c>
      <c r="D74" s="14">
        <v>11046869</v>
      </c>
      <c r="E74" s="13">
        <v>2021.577027</v>
      </c>
      <c r="F74" s="13">
        <v>0.28753067802639837</v>
      </c>
      <c r="G74" s="30"/>
    </row>
    <row r="75" spans="1:7" x14ac:dyDescent="0.2">
      <c r="A75" s="7" t="s">
        <v>572</v>
      </c>
      <c r="B75" s="7" t="s">
        <v>573</v>
      </c>
      <c r="C75" s="7" t="s">
        <v>251</v>
      </c>
      <c r="D75" s="14">
        <v>1930249</v>
      </c>
      <c r="E75" s="13">
        <v>1945.6909920000001</v>
      </c>
      <c r="F75" s="13">
        <v>0.27673734054537985</v>
      </c>
      <c r="G75" s="30"/>
    </row>
    <row r="76" spans="1:7" x14ac:dyDescent="0.2">
      <c r="A76" s="7" t="s">
        <v>271</v>
      </c>
      <c r="B76" s="7" t="s">
        <v>272</v>
      </c>
      <c r="C76" s="7" t="s">
        <v>70</v>
      </c>
      <c r="D76" s="14">
        <v>3330705</v>
      </c>
      <c r="E76" s="13">
        <v>1876.8522674999999</v>
      </c>
      <c r="F76" s="13">
        <v>0.26694634823314012</v>
      </c>
      <c r="G76" s="30"/>
    </row>
    <row r="77" spans="1:7" x14ac:dyDescent="0.2">
      <c r="A77" s="7" t="s">
        <v>574</v>
      </c>
      <c r="B77" s="7" t="s">
        <v>575</v>
      </c>
      <c r="C77" s="7" t="s">
        <v>92</v>
      </c>
      <c r="D77" s="14">
        <v>501541</v>
      </c>
      <c r="E77" s="13">
        <v>1264.8864020000001</v>
      </c>
      <c r="F77" s="13">
        <v>0.17990590511069926</v>
      </c>
      <c r="G77" s="30"/>
    </row>
    <row r="78" spans="1:7" x14ac:dyDescent="0.2">
      <c r="A78" s="7" t="s">
        <v>305</v>
      </c>
      <c r="B78" s="7" t="s">
        <v>306</v>
      </c>
      <c r="C78" s="7" t="s">
        <v>14</v>
      </c>
      <c r="D78" s="14">
        <v>224349</v>
      </c>
      <c r="E78" s="13">
        <v>1017.871413</v>
      </c>
      <c r="F78" s="13">
        <v>0.14477274603673962</v>
      </c>
      <c r="G78" s="30"/>
    </row>
    <row r="79" spans="1:7" x14ac:dyDescent="0.2">
      <c r="A79" s="7" t="s">
        <v>576</v>
      </c>
      <c r="B79" s="7" t="s">
        <v>577</v>
      </c>
      <c r="C79" s="7" t="s">
        <v>70</v>
      </c>
      <c r="D79" s="14">
        <v>216073</v>
      </c>
      <c r="E79" s="13">
        <v>569.24431849999996</v>
      </c>
      <c r="F79" s="13">
        <v>8.0964119929613776E-2</v>
      </c>
      <c r="G79" s="30"/>
    </row>
    <row r="80" spans="1:7" x14ac:dyDescent="0.2">
      <c r="A80" s="7" t="s">
        <v>578</v>
      </c>
      <c r="B80" s="7" t="s">
        <v>579</v>
      </c>
      <c r="C80" s="7" t="s">
        <v>70</v>
      </c>
      <c r="D80" s="14">
        <v>1694559</v>
      </c>
      <c r="E80" s="13">
        <v>81.338831999999996</v>
      </c>
      <c r="F80" s="13">
        <v>1.1568893592712608E-2</v>
      </c>
      <c r="G80" s="30"/>
    </row>
    <row r="81" spans="1:7" x14ac:dyDescent="0.2">
      <c r="A81" s="7" t="s">
        <v>580</v>
      </c>
      <c r="B81" s="7" t="s">
        <v>581</v>
      </c>
      <c r="C81" s="7" t="s">
        <v>19</v>
      </c>
      <c r="D81" s="14">
        <v>2334565</v>
      </c>
      <c r="E81" s="13">
        <v>10.505542500000001</v>
      </c>
      <c r="F81" s="25" t="s">
        <v>607</v>
      </c>
      <c r="G81" s="30"/>
    </row>
    <row r="82" spans="1:7" x14ac:dyDescent="0.2">
      <c r="A82" s="6" t="s">
        <v>43</v>
      </c>
      <c r="B82" s="7"/>
      <c r="C82" s="7"/>
      <c r="D82" s="7"/>
      <c r="E82" s="15">
        <v>653659.49916250014</v>
      </c>
      <c r="F82" s="6">
        <f>SUM(F7:F81)</f>
        <v>92.969071084933503</v>
      </c>
      <c r="G82" s="6">
        <f>SUM(G7:G81)</f>
        <v>0.8</v>
      </c>
    </row>
    <row r="83" spans="1:7" x14ac:dyDescent="0.2">
      <c r="A83" s="7"/>
      <c r="B83" s="7"/>
      <c r="C83" s="7"/>
      <c r="D83" s="7"/>
      <c r="E83" s="13"/>
      <c r="F83" s="7"/>
      <c r="G83" s="30"/>
    </row>
    <row r="84" spans="1:7" x14ac:dyDescent="0.2">
      <c r="A84" s="6" t="s">
        <v>624</v>
      </c>
      <c r="B84" s="7"/>
      <c r="C84" s="7"/>
      <c r="D84" s="7"/>
      <c r="E84" s="15">
        <v>1917.4599906000001</v>
      </c>
      <c r="F84" s="6">
        <f>E84/$E$87*100</f>
        <v>0.27272202039408583</v>
      </c>
      <c r="G84" s="30"/>
    </row>
    <row r="85" spans="1:7" x14ac:dyDescent="0.2">
      <c r="A85" s="6" t="s">
        <v>100</v>
      </c>
      <c r="B85" s="7"/>
      <c r="C85" s="7"/>
      <c r="D85" s="7"/>
      <c r="E85" s="15">
        <v>47505.244414199849</v>
      </c>
      <c r="F85" s="6">
        <f>E85/$E$87*100</f>
        <v>6.7567126821255945</v>
      </c>
      <c r="G85" s="30"/>
    </row>
    <row r="86" spans="1:7" x14ac:dyDescent="0.2">
      <c r="A86" s="7"/>
      <c r="B86" s="7"/>
      <c r="C86" s="7"/>
      <c r="D86" s="7"/>
      <c r="E86" s="13"/>
      <c r="F86" s="7"/>
      <c r="G86" s="30"/>
    </row>
    <row r="87" spans="1:7" x14ac:dyDescent="0.2">
      <c r="A87" s="8" t="s">
        <v>101</v>
      </c>
      <c r="B87" s="5"/>
      <c r="C87" s="5"/>
      <c r="D87" s="5"/>
      <c r="E87" s="16">
        <f>E82+E84+E85</f>
        <v>703082.20356729999</v>
      </c>
      <c r="F87" s="8">
        <f xml:space="preserve"> ROUND(SUM(F82:F86),2)</f>
        <v>100</v>
      </c>
      <c r="G87" s="34"/>
    </row>
    <row r="88" spans="1:7" x14ac:dyDescent="0.2">
      <c r="G88" s="11" t="s">
        <v>608</v>
      </c>
    </row>
    <row r="89" spans="1:7" x14ac:dyDescent="0.2">
      <c r="A89" s="4" t="s">
        <v>102</v>
      </c>
      <c r="B89" s="2"/>
      <c r="C89" s="2"/>
      <c r="D89" s="2"/>
    </row>
    <row r="90" spans="1:7" x14ac:dyDescent="0.2">
      <c r="A90" s="4" t="s">
        <v>103</v>
      </c>
      <c r="B90" s="2"/>
      <c r="C90" s="2"/>
      <c r="D90" s="2"/>
    </row>
    <row r="91" spans="1:7" x14ac:dyDescent="0.2">
      <c r="A91" s="4" t="s">
        <v>104</v>
      </c>
      <c r="B91" s="2"/>
      <c r="C91" s="2"/>
      <c r="D91" s="2"/>
    </row>
    <row r="92" spans="1:7" x14ac:dyDescent="0.2">
      <c r="A92" s="2" t="s">
        <v>598</v>
      </c>
      <c r="B92" s="2"/>
      <c r="C92" s="2"/>
      <c r="D92" s="10">
        <v>53.709699999999998</v>
      </c>
    </row>
    <row r="93" spans="1:7" x14ac:dyDescent="0.2">
      <c r="A93" s="2" t="s">
        <v>599</v>
      </c>
      <c r="B93" s="2"/>
      <c r="C93" s="2"/>
      <c r="D93" s="10">
        <v>24.307200000000002</v>
      </c>
    </row>
    <row r="94" spans="1:7" x14ac:dyDescent="0.2">
      <c r="A94" s="2" t="s">
        <v>600</v>
      </c>
      <c r="B94" s="2"/>
      <c r="C94" s="2"/>
      <c r="D94" s="10">
        <v>57.648899999999998</v>
      </c>
    </row>
    <row r="95" spans="1:7" x14ac:dyDescent="0.2">
      <c r="A95" s="2" t="s">
        <v>601</v>
      </c>
      <c r="B95" s="2"/>
      <c r="C95" s="2"/>
      <c r="D95" s="10">
        <v>26.690899999999999</v>
      </c>
    </row>
    <row r="96" spans="1:7" x14ac:dyDescent="0.2">
      <c r="A96" s="2"/>
      <c r="B96" s="2"/>
      <c r="C96" s="2"/>
      <c r="D96" s="10"/>
    </row>
    <row r="97" spans="1:4" x14ac:dyDescent="0.2">
      <c r="A97" s="4" t="s">
        <v>105</v>
      </c>
      <c r="B97" s="2"/>
      <c r="C97" s="2"/>
      <c r="D97" s="2"/>
    </row>
    <row r="98" spans="1:4" x14ac:dyDescent="0.2">
      <c r="A98" s="2" t="s">
        <v>598</v>
      </c>
      <c r="B98" s="2"/>
      <c r="C98" s="2"/>
      <c r="D98" s="10">
        <v>49.666800000000002</v>
      </c>
    </row>
    <row r="99" spans="1:4" x14ac:dyDescent="0.2">
      <c r="A99" s="2" t="s">
        <v>599</v>
      </c>
      <c r="B99" s="2"/>
      <c r="C99" s="2"/>
      <c r="D99" s="10">
        <v>22.477599999999999</v>
      </c>
    </row>
    <row r="100" spans="1:4" x14ac:dyDescent="0.2">
      <c r="A100" s="2" t="s">
        <v>600</v>
      </c>
      <c r="B100" s="2"/>
      <c r="C100" s="2"/>
      <c r="D100" s="10">
        <v>53.567100000000003</v>
      </c>
    </row>
    <row r="101" spans="1:4" x14ac:dyDescent="0.2">
      <c r="A101" s="2" t="s">
        <v>601</v>
      </c>
      <c r="B101" s="2"/>
      <c r="C101" s="2"/>
      <c r="D101" s="10">
        <v>24.800999999999998</v>
      </c>
    </row>
    <row r="102" spans="1:4" x14ac:dyDescent="0.2">
      <c r="A102" s="2"/>
      <c r="B102" s="2"/>
      <c r="C102" s="2"/>
      <c r="D102" s="2"/>
    </row>
    <row r="103" spans="1:4" x14ac:dyDescent="0.2">
      <c r="A103" s="4" t="s">
        <v>106</v>
      </c>
      <c r="B103" s="2"/>
      <c r="C103" s="2"/>
      <c r="D103" s="17" t="s">
        <v>107</v>
      </c>
    </row>
    <row r="104" spans="1:4" x14ac:dyDescent="0.2">
      <c r="A104" s="4"/>
      <c r="B104" s="2"/>
      <c r="C104" s="2"/>
      <c r="D104" s="17"/>
    </row>
    <row r="105" spans="1:4" x14ac:dyDescent="0.2">
      <c r="A105" s="9" t="s">
        <v>606</v>
      </c>
      <c r="B105" s="2"/>
      <c r="C105" s="2"/>
      <c r="D105" s="24">
        <v>9.7196747915365034E-2</v>
      </c>
    </row>
  </sheetData>
  <mergeCells count="2">
    <mergeCell ref="A1:G1"/>
    <mergeCell ref="G3:G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BFE5-2BD9-4E14-BE13-6B4A17076AD4}">
  <dimension ref="A1:G107"/>
  <sheetViews>
    <sheetView showGridLines="0" workbookViewId="0">
      <selection sqref="A1:G1"/>
    </sheetView>
  </sheetViews>
  <sheetFormatPr defaultRowHeight="11.25" x14ac:dyDescent="0.2"/>
  <cols>
    <col min="1" max="1" width="59" style="1" bestFit="1" customWidth="1"/>
    <col min="2" max="2" width="35.85546875" style="1" bestFit="1" customWidth="1"/>
    <col min="3" max="3" width="4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4" style="2" customWidth="1"/>
    <col min="8" max="16384" width="9.140625" style="2"/>
  </cols>
  <sheetData>
    <row r="1" spans="1:7" x14ac:dyDescent="0.2">
      <c r="A1" s="109" t="s">
        <v>457</v>
      </c>
      <c r="B1" s="109"/>
      <c r="C1" s="109"/>
      <c r="D1" s="109"/>
      <c r="E1" s="109"/>
      <c r="F1" s="109"/>
      <c r="G1" s="109"/>
    </row>
    <row r="3" spans="1:7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15" t="s">
        <v>623</v>
      </c>
    </row>
    <row r="4" spans="1:7" x14ac:dyDescent="0.2">
      <c r="A4" s="5"/>
      <c r="B4" s="5"/>
      <c r="C4" s="5"/>
      <c r="D4" s="5"/>
      <c r="E4" s="5"/>
      <c r="F4" s="5"/>
      <c r="G4" s="116"/>
    </row>
    <row r="5" spans="1:7" x14ac:dyDescent="0.2">
      <c r="A5" s="6" t="s">
        <v>7</v>
      </c>
      <c r="B5" s="7"/>
      <c r="C5" s="7"/>
      <c r="D5" s="7"/>
      <c r="E5" s="7"/>
      <c r="F5" s="7"/>
      <c r="G5" s="30"/>
    </row>
    <row r="6" spans="1:7" x14ac:dyDescent="0.2">
      <c r="A6" s="6" t="s">
        <v>8</v>
      </c>
      <c r="B6" s="7"/>
      <c r="C6" s="7"/>
      <c r="D6" s="7"/>
      <c r="E6" s="7"/>
      <c r="F6" s="7"/>
      <c r="G6" s="30"/>
    </row>
    <row r="7" spans="1:7" x14ac:dyDescent="0.2">
      <c r="A7" s="7" t="s">
        <v>9</v>
      </c>
      <c r="B7" s="7" t="s">
        <v>10</v>
      </c>
      <c r="C7" s="7" t="s">
        <v>11</v>
      </c>
      <c r="D7" s="14">
        <v>2098530</v>
      </c>
      <c r="E7" s="13">
        <v>25819.263855000001</v>
      </c>
      <c r="F7" s="7">
        <v>3.4378564543572661</v>
      </c>
      <c r="G7" s="30"/>
    </row>
    <row r="8" spans="1:7" x14ac:dyDescent="0.2">
      <c r="A8" s="7" t="s">
        <v>211</v>
      </c>
      <c r="B8" s="7" t="s">
        <v>212</v>
      </c>
      <c r="C8" s="7" t="s">
        <v>36</v>
      </c>
      <c r="D8" s="14">
        <v>4445770</v>
      </c>
      <c r="E8" s="13">
        <v>24691.80658</v>
      </c>
      <c r="F8" s="7">
        <v>3.2877345805641758</v>
      </c>
      <c r="G8" s="30"/>
    </row>
    <row r="9" spans="1:7" x14ac:dyDescent="0.2">
      <c r="A9" s="7" t="s">
        <v>458</v>
      </c>
      <c r="B9" s="7" t="s">
        <v>459</v>
      </c>
      <c r="C9" s="7" t="s">
        <v>57</v>
      </c>
      <c r="D9" s="14">
        <v>2744401</v>
      </c>
      <c r="E9" s="13">
        <v>21538.059047999999</v>
      </c>
      <c r="F9" s="7">
        <v>2.8678104739285839</v>
      </c>
      <c r="G9" s="30"/>
    </row>
    <row r="10" spans="1:7" x14ac:dyDescent="0.2">
      <c r="A10" s="7" t="s">
        <v>436</v>
      </c>
      <c r="B10" s="7" t="s">
        <v>437</v>
      </c>
      <c r="C10" s="7" t="s">
        <v>78</v>
      </c>
      <c r="D10" s="14">
        <v>838016</v>
      </c>
      <c r="E10" s="13">
        <v>21528.63104</v>
      </c>
      <c r="F10" s="7">
        <v>2.8665551268227736</v>
      </c>
      <c r="G10" s="30"/>
    </row>
    <row r="11" spans="1:7" x14ac:dyDescent="0.2">
      <c r="A11" s="7" t="s">
        <v>20</v>
      </c>
      <c r="B11" s="7" t="s">
        <v>21</v>
      </c>
      <c r="C11" s="7" t="s">
        <v>11</v>
      </c>
      <c r="D11" s="14">
        <v>1350892</v>
      </c>
      <c r="E11" s="13">
        <v>21269.794539999999</v>
      </c>
      <c r="F11" s="7">
        <v>2.8320908315916791</v>
      </c>
      <c r="G11" s="30"/>
    </row>
    <row r="12" spans="1:7" x14ac:dyDescent="0.2">
      <c r="A12" s="7" t="s">
        <v>460</v>
      </c>
      <c r="B12" s="7" t="s">
        <v>461</v>
      </c>
      <c r="C12" s="7" t="s">
        <v>11</v>
      </c>
      <c r="D12" s="14">
        <v>9688196</v>
      </c>
      <c r="E12" s="13">
        <v>20529.287324000001</v>
      </c>
      <c r="F12" s="7">
        <v>2.7334916799535613</v>
      </c>
      <c r="G12" s="30"/>
    </row>
    <row r="13" spans="1:7" x14ac:dyDescent="0.2">
      <c r="A13" s="7" t="s">
        <v>123</v>
      </c>
      <c r="B13" s="7" t="s">
        <v>124</v>
      </c>
      <c r="C13" s="7" t="s">
        <v>117</v>
      </c>
      <c r="D13" s="14">
        <v>3800170</v>
      </c>
      <c r="E13" s="13">
        <v>20011.695220000001</v>
      </c>
      <c r="F13" s="7">
        <v>2.6645738608610481</v>
      </c>
      <c r="G13" s="30"/>
    </row>
    <row r="14" spans="1:7" x14ac:dyDescent="0.2">
      <c r="A14" s="7" t="s">
        <v>283</v>
      </c>
      <c r="B14" s="7" t="s">
        <v>284</v>
      </c>
      <c r="C14" s="7" t="s">
        <v>92</v>
      </c>
      <c r="D14" s="14">
        <v>2814830</v>
      </c>
      <c r="E14" s="13">
        <v>19943.07055</v>
      </c>
      <c r="F14" s="7">
        <v>2.655436428980241</v>
      </c>
      <c r="G14" s="30"/>
    </row>
    <row r="15" spans="1:7" x14ac:dyDescent="0.2">
      <c r="A15" s="7" t="s">
        <v>15</v>
      </c>
      <c r="B15" s="7" t="s">
        <v>16</v>
      </c>
      <c r="C15" s="7" t="s">
        <v>679</v>
      </c>
      <c r="D15" s="14">
        <v>12720763</v>
      </c>
      <c r="E15" s="13">
        <v>19335.55976</v>
      </c>
      <c r="F15" s="7">
        <v>2.574545862067787</v>
      </c>
      <c r="G15" s="30"/>
    </row>
    <row r="16" spans="1:7" x14ac:dyDescent="0.2">
      <c r="A16" s="7" t="s">
        <v>220</v>
      </c>
      <c r="B16" s="7" t="s">
        <v>221</v>
      </c>
      <c r="C16" s="7" t="s">
        <v>222</v>
      </c>
      <c r="D16" s="14">
        <v>2956964</v>
      </c>
      <c r="E16" s="13">
        <v>18534.250351999999</v>
      </c>
      <c r="F16" s="7">
        <v>2.4678508479999661</v>
      </c>
      <c r="G16" s="30"/>
    </row>
    <row r="17" spans="1:7" x14ac:dyDescent="0.2">
      <c r="A17" s="7" t="s">
        <v>438</v>
      </c>
      <c r="B17" s="7" t="s">
        <v>439</v>
      </c>
      <c r="C17" s="7" t="s">
        <v>233</v>
      </c>
      <c r="D17" s="14">
        <v>281404</v>
      </c>
      <c r="E17" s="13">
        <v>17462.384517999999</v>
      </c>
      <c r="F17" s="7">
        <v>2.3251310208075138</v>
      </c>
      <c r="G17" s="30"/>
    </row>
    <row r="18" spans="1:7" x14ac:dyDescent="0.2">
      <c r="A18" s="7" t="s">
        <v>462</v>
      </c>
      <c r="B18" s="7" t="s">
        <v>463</v>
      </c>
      <c r="C18" s="7" t="s">
        <v>39</v>
      </c>
      <c r="D18" s="14">
        <v>783689</v>
      </c>
      <c r="E18" s="13">
        <v>17125.563872499999</v>
      </c>
      <c r="F18" s="7">
        <v>2.2802830717491709</v>
      </c>
      <c r="G18" s="30"/>
    </row>
    <row r="19" spans="1:7" x14ac:dyDescent="0.2">
      <c r="A19" s="7" t="s">
        <v>147</v>
      </c>
      <c r="B19" s="7" t="s">
        <v>148</v>
      </c>
      <c r="C19" s="7" t="s">
        <v>39</v>
      </c>
      <c r="D19" s="14">
        <v>4145052</v>
      </c>
      <c r="E19" s="13">
        <v>15887.984316</v>
      </c>
      <c r="F19" s="7">
        <v>2.1154983245934069</v>
      </c>
      <c r="G19" s="30"/>
    </row>
    <row r="20" spans="1:7" x14ac:dyDescent="0.2">
      <c r="A20" s="7" t="s">
        <v>311</v>
      </c>
      <c r="B20" s="7" t="s">
        <v>312</v>
      </c>
      <c r="C20" s="7" t="s">
        <v>92</v>
      </c>
      <c r="D20" s="14">
        <v>6026546</v>
      </c>
      <c r="E20" s="13">
        <v>15000.072994</v>
      </c>
      <c r="F20" s="7">
        <v>1.9972721936557716</v>
      </c>
      <c r="G20" s="30"/>
    </row>
    <row r="21" spans="1:7" x14ac:dyDescent="0.2">
      <c r="A21" s="7" t="s">
        <v>446</v>
      </c>
      <c r="B21" s="7" t="s">
        <v>447</v>
      </c>
      <c r="C21" s="7" t="s">
        <v>120</v>
      </c>
      <c r="D21" s="14">
        <v>5243909</v>
      </c>
      <c r="E21" s="13">
        <v>14690.811063499999</v>
      </c>
      <c r="F21" s="7">
        <v>1.9560937104183214</v>
      </c>
      <c r="G21" s="30"/>
    </row>
    <row r="22" spans="1:7" x14ac:dyDescent="0.2">
      <c r="A22" s="7" t="s">
        <v>464</v>
      </c>
      <c r="B22" s="7" t="s">
        <v>465</v>
      </c>
      <c r="C22" s="7" t="s">
        <v>11</v>
      </c>
      <c r="D22" s="14">
        <v>4634341</v>
      </c>
      <c r="E22" s="13">
        <v>14371.091441</v>
      </c>
      <c r="F22" s="7">
        <v>1.9135227767941454</v>
      </c>
      <c r="G22" s="30"/>
    </row>
    <row r="23" spans="1:7" x14ac:dyDescent="0.2">
      <c r="A23" s="7" t="s">
        <v>209</v>
      </c>
      <c r="B23" s="7" t="s">
        <v>210</v>
      </c>
      <c r="C23" s="7" t="s">
        <v>30</v>
      </c>
      <c r="D23" s="14">
        <v>3121672</v>
      </c>
      <c r="E23" s="13">
        <v>14241.067664</v>
      </c>
      <c r="F23" s="7">
        <v>1.896210002754974</v>
      </c>
      <c r="G23" s="30"/>
    </row>
    <row r="24" spans="1:7" x14ac:dyDescent="0.2">
      <c r="A24" s="7" t="s">
        <v>216</v>
      </c>
      <c r="B24" s="7" t="s">
        <v>217</v>
      </c>
      <c r="C24" s="7" t="s">
        <v>131</v>
      </c>
      <c r="D24" s="14">
        <v>6772160</v>
      </c>
      <c r="E24" s="13">
        <v>14170.7448</v>
      </c>
      <c r="F24" s="7">
        <v>1.8868464549307991</v>
      </c>
      <c r="G24" s="30"/>
    </row>
    <row r="25" spans="1:7" x14ac:dyDescent="0.2">
      <c r="A25" s="7" t="s">
        <v>466</v>
      </c>
      <c r="B25" s="7" t="s">
        <v>467</v>
      </c>
      <c r="C25" s="7" t="s">
        <v>418</v>
      </c>
      <c r="D25" s="14">
        <v>980232</v>
      </c>
      <c r="E25" s="13">
        <v>14002.61412</v>
      </c>
      <c r="F25" s="7">
        <v>1.8644597150663491</v>
      </c>
      <c r="G25" s="30"/>
    </row>
    <row r="26" spans="1:7" x14ac:dyDescent="0.2">
      <c r="A26" s="7" t="s">
        <v>213</v>
      </c>
      <c r="B26" s="7" t="s">
        <v>214</v>
      </c>
      <c r="C26" s="7" t="s">
        <v>215</v>
      </c>
      <c r="D26" s="14">
        <v>2936685</v>
      </c>
      <c r="E26" s="13">
        <v>13961.00049</v>
      </c>
      <c r="F26" s="7">
        <v>1.8589188256247229</v>
      </c>
      <c r="G26" s="30"/>
    </row>
    <row r="27" spans="1:7" x14ac:dyDescent="0.2">
      <c r="A27" s="7" t="s">
        <v>129</v>
      </c>
      <c r="B27" s="7" t="s">
        <v>130</v>
      </c>
      <c r="C27" s="7" t="s">
        <v>131</v>
      </c>
      <c r="D27" s="14">
        <v>4867738</v>
      </c>
      <c r="E27" s="13">
        <v>13941.201632</v>
      </c>
      <c r="F27" s="7">
        <v>1.8562825912167065</v>
      </c>
      <c r="G27" s="30"/>
    </row>
    <row r="28" spans="1:7" x14ac:dyDescent="0.2">
      <c r="A28" s="7" t="s">
        <v>12</v>
      </c>
      <c r="B28" s="7" t="s">
        <v>13</v>
      </c>
      <c r="C28" s="7" t="s">
        <v>14</v>
      </c>
      <c r="D28" s="14">
        <v>2569496</v>
      </c>
      <c r="E28" s="13">
        <v>13917.675084</v>
      </c>
      <c r="F28" s="7">
        <v>1.8531500117851329</v>
      </c>
      <c r="G28" s="30"/>
    </row>
    <row r="29" spans="1:7" x14ac:dyDescent="0.2">
      <c r="A29" s="7" t="s">
        <v>17</v>
      </c>
      <c r="B29" s="7" t="s">
        <v>18</v>
      </c>
      <c r="C29" s="7" t="s">
        <v>19</v>
      </c>
      <c r="D29" s="14">
        <v>2706125</v>
      </c>
      <c r="E29" s="13">
        <v>13717.347625</v>
      </c>
      <c r="F29" s="7">
        <v>1.8264762440210385</v>
      </c>
      <c r="G29" s="30"/>
    </row>
    <row r="30" spans="1:7" x14ac:dyDescent="0.2">
      <c r="A30" s="7" t="s">
        <v>267</v>
      </c>
      <c r="B30" s="7" t="s">
        <v>268</v>
      </c>
      <c r="C30" s="7" t="s">
        <v>251</v>
      </c>
      <c r="D30" s="14">
        <v>11587252</v>
      </c>
      <c r="E30" s="13">
        <v>13690.338238</v>
      </c>
      <c r="F30" s="7">
        <v>1.822879921680183</v>
      </c>
      <c r="G30" s="30"/>
    </row>
    <row r="31" spans="1:7" x14ac:dyDescent="0.2">
      <c r="A31" s="7" t="s">
        <v>444</v>
      </c>
      <c r="B31" s="7" t="s">
        <v>445</v>
      </c>
      <c r="C31" s="7" t="s">
        <v>36</v>
      </c>
      <c r="D31" s="14">
        <v>145389</v>
      </c>
      <c r="E31" s="13">
        <v>13401.231075</v>
      </c>
      <c r="F31" s="7">
        <v>1.7843850624966593</v>
      </c>
      <c r="G31" s="30"/>
    </row>
    <row r="32" spans="1:7" x14ac:dyDescent="0.2">
      <c r="A32" s="7" t="s">
        <v>332</v>
      </c>
      <c r="B32" s="7" t="s">
        <v>333</v>
      </c>
      <c r="C32" s="7" t="s">
        <v>57</v>
      </c>
      <c r="D32" s="14">
        <v>1192476</v>
      </c>
      <c r="E32" s="13">
        <v>13320.553158000001</v>
      </c>
      <c r="F32" s="7">
        <v>1.7736427307539655</v>
      </c>
      <c r="G32" s="30"/>
    </row>
    <row r="33" spans="1:7" x14ac:dyDescent="0.2">
      <c r="A33" s="7" t="s">
        <v>244</v>
      </c>
      <c r="B33" s="7" t="s">
        <v>245</v>
      </c>
      <c r="C33" s="7" t="s">
        <v>33</v>
      </c>
      <c r="D33" s="14">
        <v>17234302</v>
      </c>
      <c r="E33" s="13">
        <v>13227.326784999999</v>
      </c>
      <c r="F33" s="7">
        <v>1.7612295616592044</v>
      </c>
      <c r="G33" s="30"/>
    </row>
    <row r="34" spans="1:7" x14ac:dyDescent="0.2">
      <c r="A34" s="7" t="s">
        <v>218</v>
      </c>
      <c r="B34" s="7" t="s">
        <v>219</v>
      </c>
      <c r="C34" s="7" t="s">
        <v>120</v>
      </c>
      <c r="D34" s="14">
        <v>1629004</v>
      </c>
      <c r="E34" s="13">
        <v>13004.338932000001</v>
      </c>
      <c r="F34" s="7">
        <v>1.7315385435889559</v>
      </c>
      <c r="G34" s="30"/>
    </row>
    <row r="35" spans="1:7" x14ac:dyDescent="0.2">
      <c r="A35" s="7" t="s">
        <v>231</v>
      </c>
      <c r="B35" s="7" t="s">
        <v>232</v>
      </c>
      <c r="C35" s="7" t="s">
        <v>233</v>
      </c>
      <c r="D35" s="14">
        <v>6794904</v>
      </c>
      <c r="E35" s="13">
        <v>12930.702311999999</v>
      </c>
      <c r="F35" s="7">
        <v>1.7217337663975634</v>
      </c>
      <c r="G35" s="30"/>
    </row>
    <row r="36" spans="1:7" x14ac:dyDescent="0.2">
      <c r="A36" s="7" t="s">
        <v>468</v>
      </c>
      <c r="B36" s="7" t="s">
        <v>469</v>
      </c>
      <c r="C36" s="7" t="s">
        <v>30</v>
      </c>
      <c r="D36" s="14">
        <v>794058</v>
      </c>
      <c r="E36" s="13">
        <v>12794.259524999999</v>
      </c>
      <c r="F36" s="7">
        <v>1.7035662958386533</v>
      </c>
      <c r="G36" s="30"/>
    </row>
    <row r="37" spans="1:7" x14ac:dyDescent="0.2">
      <c r="A37" s="7" t="s">
        <v>289</v>
      </c>
      <c r="B37" s="7" t="s">
        <v>290</v>
      </c>
      <c r="C37" s="7" t="s">
        <v>33</v>
      </c>
      <c r="D37" s="14">
        <v>2577385</v>
      </c>
      <c r="E37" s="13">
        <v>12542.844102499999</v>
      </c>
      <c r="F37" s="7">
        <v>1.6700901232482714</v>
      </c>
      <c r="G37" s="7">
        <v>0.6</v>
      </c>
    </row>
    <row r="38" spans="1:7" x14ac:dyDescent="0.2">
      <c r="A38" s="7" t="s">
        <v>470</v>
      </c>
      <c r="B38" s="7" t="s">
        <v>471</v>
      </c>
      <c r="C38" s="7" t="s">
        <v>36</v>
      </c>
      <c r="D38" s="14">
        <v>3695000</v>
      </c>
      <c r="E38" s="13">
        <v>12088.192499999999</v>
      </c>
      <c r="F38" s="7">
        <v>1.6095528842736671</v>
      </c>
      <c r="G38" s="30"/>
    </row>
    <row r="39" spans="1:7" x14ac:dyDescent="0.2">
      <c r="A39" s="7" t="s">
        <v>156</v>
      </c>
      <c r="B39" s="7" t="s">
        <v>157</v>
      </c>
      <c r="C39" s="7" t="s">
        <v>39</v>
      </c>
      <c r="D39" s="14">
        <v>264692</v>
      </c>
      <c r="E39" s="13">
        <v>11378.182658</v>
      </c>
      <c r="F39" s="7">
        <v>1.5150144833461678</v>
      </c>
      <c r="G39" s="30"/>
    </row>
    <row r="40" spans="1:7" x14ac:dyDescent="0.2">
      <c r="A40" s="7" t="s">
        <v>229</v>
      </c>
      <c r="B40" s="7" t="s">
        <v>230</v>
      </c>
      <c r="C40" s="7" t="s">
        <v>27</v>
      </c>
      <c r="D40" s="14">
        <v>762865</v>
      </c>
      <c r="E40" s="13">
        <v>11327.01952</v>
      </c>
      <c r="F40" s="7">
        <v>1.508202068972688</v>
      </c>
      <c r="G40" s="30"/>
    </row>
    <row r="41" spans="1:7" x14ac:dyDescent="0.2">
      <c r="A41" s="7" t="s">
        <v>472</v>
      </c>
      <c r="B41" s="7" t="s">
        <v>473</v>
      </c>
      <c r="C41" s="7" t="s">
        <v>222</v>
      </c>
      <c r="D41" s="14">
        <v>1283419</v>
      </c>
      <c r="E41" s="13">
        <v>11249.167535</v>
      </c>
      <c r="F41" s="7">
        <v>1.4978360124259231</v>
      </c>
      <c r="G41" s="30"/>
    </row>
    <row r="42" spans="1:7" x14ac:dyDescent="0.2">
      <c r="A42" s="7" t="s">
        <v>297</v>
      </c>
      <c r="B42" s="7" t="s">
        <v>298</v>
      </c>
      <c r="C42" s="7" t="s">
        <v>39</v>
      </c>
      <c r="D42" s="14">
        <v>2371940</v>
      </c>
      <c r="E42" s="13">
        <v>10765.04969</v>
      </c>
      <c r="F42" s="7">
        <v>1.4333753187574443</v>
      </c>
      <c r="G42" s="30"/>
    </row>
    <row r="43" spans="1:7" x14ac:dyDescent="0.2">
      <c r="A43" s="7" t="s">
        <v>265</v>
      </c>
      <c r="B43" s="7" t="s">
        <v>266</v>
      </c>
      <c r="C43" s="7" t="s">
        <v>30</v>
      </c>
      <c r="D43" s="14">
        <v>11253507</v>
      </c>
      <c r="E43" s="13">
        <v>10505.148784499999</v>
      </c>
      <c r="F43" s="7">
        <v>1.3987692970488337</v>
      </c>
      <c r="G43" s="30"/>
    </row>
    <row r="44" spans="1:7" x14ac:dyDescent="0.2">
      <c r="A44" s="7" t="s">
        <v>225</v>
      </c>
      <c r="B44" s="7" t="s">
        <v>226</v>
      </c>
      <c r="C44" s="7" t="s">
        <v>30</v>
      </c>
      <c r="D44" s="14">
        <v>1930986</v>
      </c>
      <c r="E44" s="13">
        <v>10356.843411</v>
      </c>
      <c r="F44" s="7">
        <v>1.3790223132321706</v>
      </c>
      <c r="G44" s="30"/>
    </row>
    <row r="45" spans="1:7" x14ac:dyDescent="0.2">
      <c r="A45" s="7" t="s">
        <v>474</v>
      </c>
      <c r="B45" s="7" t="s">
        <v>475</v>
      </c>
      <c r="C45" s="7" t="s">
        <v>39</v>
      </c>
      <c r="D45" s="14">
        <v>590261</v>
      </c>
      <c r="E45" s="13">
        <v>10230.6987825</v>
      </c>
      <c r="F45" s="7">
        <v>1.362226051041789</v>
      </c>
      <c r="G45" s="30"/>
    </row>
    <row r="46" spans="1:7" x14ac:dyDescent="0.2">
      <c r="A46" s="7" t="s">
        <v>476</v>
      </c>
      <c r="B46" s="7" t="s">
        <v>477</v>
      </c>
      <c r="C46" s="7" t="s">
        <v>19</v>
      </c>
      <c r="D46" s="14">
        <v>1743720</v>
      </c>
      <c r="E46" s="13">
        <v>9735.1887599999991</v>
      </c>
      <c r="F46" s="7">
        <v>1.296248479465113</v>
      </c>
      <c r="G46" s="30"/>
    </row>
    <row r="47" spans="1:7" x14ac:dyDescent="0.2">
      <c r="A47" s="7" t="s">
        <v>478</v>
      </c>
      <c r="B47" s="7" t="s">
        <v>479</v>
      </c>
      <c r="C47" s="7" t="s">
        <v>30</v>
      </c>
      <c r="D47" s="14">
        <v>2128752</v>
      </c>
      <c r="E47" s="13">
        <v>8778.9732480000002</v>
      </c>
      <c r="F47" s="7">
        <v>1.1689275888251915</v>
      </c>
      <c r="G47" s="30"/>
    </row>
    <row r="48" spans="1:7" x14ac:dyDescent="0.2">
      <c r="A48" s="7" t="s">
        <v>480</v>
      </c>
      <c r="B48" s="7" t="s">
        <v>481</v>
      </c>
      <c r="C48" s="7" t="s">
        <v>178</v>
      </c>
      <c r="D48" s="14">
        <v>120666</v>
      </c>
      <c r="E48" s="13">
        <v>8123.1144539999996</v>
      </c>
      <c r="F48" s="7">
        <v>1.0815994449725066</v>
      </c>
      <c r="G48" s="30"/>
    </row>
    <row r="49" spans="1:7" x14ac:dyDescent="0.2">
      <c r="A49" s="7" t="s">
        <v>240</v>
      </c>
      <c r="B49" s="7" t="s">
        <v>241</v>
      </c>
      <c r="C49" s="7" t="s">
        <v>233</v>
      </c>
      <c r="D49" s="14">
        <v>876836</v>
      </c>
      <c r="E49" s="13">
        <v>7757.3680919999997</v>
      </c>
      <c r="F49" s="7">
        <v>1.0329000127067065</v>
      </c>
      <c r="G49" s="30"/>
    </row>
    <row r="50" spans="1:7" x14ac:dyDescent="0.2">
      <c r="A50" s="7" t="s">
        <v>37</v>
      </c>
      <c r="B50" s="7" t="s">
        <v>38</v>
      </c>
      <c r="C50" s="7" t="s">
        <v>39</v>
      </c>
      <c r="D50" s="14">
        <v>1351671</v>
      </c>
      <c r="E50" s="13">
        <v>7352.4144045000003</v>
      </c>
      <c r="F50" s="7">
        <v>0.97898009244460937</v>
      </c>
      <c r="G50" s="30"/>
    </row>
    <row r="51" spans="1:7" x14ac:dyDescent="0.2">
      <c r="A51" s="7" t="s">
        <v>482</v>
      </c>
      <c r="B51" s="7" t="s">
        <v>483</v>
      </c>
      <c r="C51" s="7" t="s">
        <v>418</v>
      </c>
      <c r="D51" s="14">
        <v>191626</v>
      </c>
      <c r="E51" s="13">
        <v>6886.8468140000004</v>
      </c>
      <c r="F51" s="7">
        <v>0.91698938058974633</v>
      </c>
      <c r="G51" s="30"/>
    </row>
    <row r="52" spans="1:7" x14ac:dyDescent="0.2">
      <c r="A52" s="7" t="s">
        <v>309</v>
      </c>
      <c r="B52" s="7" t="s">
        <v>310</v>
      </c>
      <c r="C52" s="7" t="s">
        <v>11</v>
      </c>
      <c r="D52" s="14">
        <v>12530441</v>
      </c>
      <c r="E52" s="13">
        <v>6872.9468884999997</v>
      </c>
      <c r="F52" s="7">
        <v>0.91513859394983177</v>
      </c>
      <c r="G52" s="30"/>
    </row>
    <row r="53" spans="1:7" x14ac:dyDescent="0.2">
      <c r="A53" s="7" t="s">
        <v>193</v>
      </c>
      <c r="B53" s="7" t="s">
        <v>194</v>
      </c>
      <c r="C53" s="7" t="s">
        <v>178</v>
      </c>
      <c r="D53" s="14">
        <v>2456836</v>
      </c>
      <c r="E53" s="13">
        <v>6185.0846300000003</v>
      </c>
      <c r="F53" s="7">
        <v>0.82354916218394347</v>
      </c>
      <c r="G53" s="30"/>
    </row>
    <row r="54" spans="1:7" x14ac:dyDescent="0.2">
      <c r="A54" s="7" t="s">
        <v>249</v>
      </c>
      <c r="B54" s="7" t="s">
        <v>250</v>
      </c>
      <c r="C54" s="7" t="s">
        <v>251</v>
      </c>
      <c r="D54" s="14">
        <v>532057</v>
      </c>
      <c r="E54" s="13">
        <v>6006.1254445000004</v>
      </c>
      <c r="F54" s="7">
        <v>0.799720597806863</v>
      </c>
      <c r="G54" s="30"/>
    </row>
    <row r="55" spans="1:7" x14ac:dyDescent="0.2">
      <c r="A55" s="7" t="s">
        <v>149</v>
      </c>
      <c r="B55" s="7" t="s">
        <v>597</v>
      </c>
      <c r="C55" s="7" t="s">
        <v>33</v>
      </c>
      <c r="D55" s="14">
        <v>6934152</v>
      </c>
      <c r="E55" s="13">
        <v>5668.6692599999997</v>
      </c>
      <c r="F55" s="7">
        <v>0.75478802620213692</v>
      </c>
      <c r="G55" s="30"/>
    </row>
    <row r="56" spans="1:7" x14ac:dyDescent="0.2">
      <c r="A56" s="7" t="s">
        <v>484</v>
      </c>
      <c r="B56" s="7" t="s">
        <v>485</v>
      </c>
      <c r="C56" s="7" t="s">
        <v>70</v>
      </c>
      <c r="D56" s="14">
        <v>308158</v>
      </c>
      <c r="E56" s="13">
        <v>5475.9676600000003</v>
      </c>
      <c r="F56" s="7">
        <v>0.72912964790578283</v>
      </c>
      <c r="G56" s="30"/>
    </row>
    <row r="57" spans="1:7" x14ac:dyDescent="0.2">
      <c r="A57" s="7" t="s">
        <v>486</v>
      </c>
      <c r="B57" s="7" t="s">
        <v>487</v>
      </c>
      <c r="C57" s="7" t="s">
        <v>178</v>
      </c>
      <c r="D57" s="14">
        <v>302781</v>
      </c>
      <c r="E57" s="13">
        <v>5378.2989029999999</v>
      </c>
      <c r="F57" s="7">
        <v>0.71612497168700373</v>
      </c>
      <c r="G57" s="30"/>
    </row>
    <row r="58" spans="1:7" x14ac:dyDescent="0.2">
      <c r="A58" s="7" t="s">
        <v>256</v>
      </c>
      <c r="B58" s="7" t="s">
        <v>257</v>
      </c>
      <c r="C58" s="7" t="s">
        <v>14</v>
      </c>
      <c r="D58" s="14">
        <v>2142510</v>
      </c>
      <c r="E58" s="13">
        <v>4546.4062199999998</v>
      </c>
      <c r="F58" s="7">
        <v>0.60535776911897621</v>
      </c>
      <c r="G58" s="30"/>
    </row>
    <row r="59" spans="1:7" x14ac:dyDescent="0.2">
      <c r="A59" s="7" t="s">
        <v>488</v>
      </c>
      <c r="B59" s="7" t="s">
        <v>489</v>
      </c>
      <c r="C59" s="7" t="s">
        <v>19</v>
      </c>
      <c r="D59" s="14">
        <v>587004</v>
      </c>
      <c r="E59" s="13">
        <v>4226.4287999999997</v>
      </c>
      <c r="F59" s="7">
        <v>0.56275250954328315</v>
      </c>
      <c r="G59" s="30"/>
    </row>
    <row r="60" spans="1:7" x14ac:dyDescent="0.2">
      <c r="A60" s="7" t="s">
        <v>202</v>
      </c>
      <c r="B60" s="7" t="s">
        <v>203</v>
      </c>
      <c r="C60" s="7" t="s">
        <v>11</v>
      </c>
      <c r="D60" s="14">
        <v>4899451</v>
      </c>
      <c r="E60" s="13">
        <v>3449.2135039999998</v>
      </c>
      <c r="F60" s="7">
        <v>0.45926564652563912</v>
      </c>
      <c r="G60" s="30"/>
    </row>
    <row r="61" spans="1:7" x14ac:dyDescent="0.2">
      <c r="A61" s="7" t="s">
        <v>22</v>
      </c>
      <c r="B61" s="7" t="s">
        <v>23</v>
      </c>
      <c r="C61" s="7" t="s">
        <v>24</v>
      </c>
      <c r="D61" s="14">
        <v>1570384</v>
      </c>
      <c r="E61" s="13">
        <v>2950.7515360000002</v>
      </c>
      <c r="F61" s="7">
        <v>0.39289502095071316</v>
      </c>
      <c r="G61" s="30"/>
    </row>
    <row r="62" spans="1:7" x14ac:dyDescent="0.2">
      <c r="A62" s="7" t="s">
        <v>40</v>
      </c>
      <c r="B62" s="7" t="s">
        <v>41</v>
      </c>
      <c r="C62" s="7" t="s">
        <v>42</v>
      </c>
      <c r="D62" s="14">
        <v>53357503</v>
      </c>
      <c r="E62" s="13">
        <v>2080.9426170000002</v>
      </c>
      <c r="F62" s="7">
        <v>0.27707924002702167</v>
      </c>
      <c r="G62" s="30"/>
    </row>
    <row r="63" spans="1:7" x14ac:dyDescent="0.2">
      <c r="A63" s="7" t="s">
        <v>305</v>
      </c>
      <c r="B63" s="7" t="s">
        <v>306</v>
      </c>
      <c r="C63" s="7" t="s">
        <v>14</v>
      </c>
      <c r="D63" s="14">
        <v>354712</v>
      </c>
      <c r="E63" s="13">
        <v>1609.328344</v>
      </c>
      <c r="F63" s="7">
        <v>0.21428340736868351</v>
      </c>
      <c r="G63" s="30"/>
    </row>
    <row r="64" spans="1:7" x14ac:dyDescent="0.2">
      <c r="A64" s="7" t="s">
        <v>452</v>
      </c>
      <c r="B64" s="7" t="s">
        <v>453</v>
      </c>
      <c r="C64" s="7" t="s">
        <v>78</v>
      </c>
      <c r="D64" s="14">
        <v>325800</v>
      </c>
      <c r="E64" s="13">
        <v>1123.1955</v>
      </c>
      <c r="F64" s="7">
        <v>0.14955441490762195</v>
      </c>
      <c r="G64" s="30"/>
    </row>
    <row r="65" spans="1:7" x14ac:dyDescent="0.2">
      <c r="A65" s="7" t="s">
        <v>490</v>
      </c>
      <c r="B65" s="7" t="s">
        <v>491</v>
      </c>
      <c r="C65" s="7" t="s">
        <v>233</v>
      </c>
      <c r="D65" s="14">
        <v>81109</v>
      </c>
      <c r="E65" s="13">
        <v>396.8257825</v>
      </c>
      <c r="F65" s="7">
        <v>5.2837682951940912E-2</v>
      </c>
      <c r="G65" s="30"/>
    </row>
    <row r="66" spans="1:7" x14ac:dyDescent="0.2">
      <c r="A66" s="7" t="s">
        <v>492</v>
      </c>
      <c r="B66" s="7" t="s">
        <v>493</v>
      </c>
      <c r="C66" s="7" t="s">
        <v>251</v>
      </c>
      <c r="D66" s="14">
        <v>65687</v>
      </c>
      <c r="E66" s="13">
        <v>319.66578550000003</v>
      </c>
      <c r="F66" s="7">
        <v>4.2563765182853638E-2</v>
      </c>
      <c r="G66" s="30"/>
    </row>
    <row r="67" spans="1:7" x14ac:dyDescent="0.2">
      <c r="A67" s="7" t="s">
        <v>448</v>
      </c>
      <c r="B67" s="7" t="s">
        <v>449</v>
      </c>
      <c r="C67" s="7" t="s">
        <v>30</v>
      </c>
      <c r="D67" s="14">
        <v>376519</v>
      </c>
      <c r="E67" s="13">
        <v>259.79811000000001</v>
      </c>
      <c r="F67" s="7">
        <v>3.4592334402297739E-2</v>
      </c>
      <c r="G67" s="30"/>
    </row>
    <row r="68" spans="1:7" x14ac:dyDescent="0.2">
      <c r="A68" s="7" t="s">
        <v>494</v>
      </c>
      <c r="B68" s="7" t="s">
        <v>625</v>
      </c>
      <c r="C68" s="7" t="s">
        <v>222</v>
      </c>
      <c r="D68" s="14">
        <v>50107</v>
      </c>
      <c r="E68" s="13">
        <v>178.69158340000001</v>
      </c>
      <c r="F68" s="7">
        <v>2.3792932934919641E-2</v>
      </c>
      <c r="G68" s="30"/>
    </row>
    <row r="69" spans="1:7" x14ac:dyDescent="0.2">
      <c r="A69" s="6" t="s">
        <v>43</v>
      </c>
      <c r="B69" s="7"/>
      <c r="C69" s="7"/>
      <c r="D69" s="14"/>
      <c r="E69" s="15">
        <v>703865.1212384</v>
      </c>
      <c r="F69" s="6">
        <v>93.720226247960667</v>
      </c>
      <c r="G69" s="6">
        <v>0.6</v>
      </c>
    </row>
    <row r="70" spans="1:7" x14ac:dyDescent="0.2">
      <c r="A70" s="7"/>
      <c r="B70" s="7"/>
      <c r="C70" s="7"/>
      <c r="D70" s="14"/>
      <c r="E70" s="13"/>
      <c r="F70" s="7"/>
      <c r="G70" s="30"/>
    </row>
    <row r="71" spans="1:7" x14ac:dyDescent="0.2">
      <c r="A71" s="6" t="s">
        <v>321</v>
      </c>
      <c r="B71" s="7"/>
      <c r="C71" s="7"/>
      <c r="D71" s="14"/>
      <c r="E71" s="13"/>
      <c r="F71" s="7"/>
      <c r="G71" s="30"/>
    </row>
    <row r="72" spans="1:7" x14ac:dyDescent="0.2">
      <c r="A72" s="7" t="s">
        <v>319</v>
      </c>
      <c r="B72" s="7" t="s">
        <v>322</v>
      </c>
      <c r="C72" s="7" t="s">
        <v>30</v>
      </c>
      <c r="D72" s="14">
        <v>8100</v>
      </c>
      <c r="E72" s="13">
        <v>8.0999999999999996E-4</v>
      </c>
      <c r="F72" s="25" t="s">
        <v>607</v>
      </c>
      <c r="G72" s="30"/>
    </row>
    <row r="73" spans="1:7" x14ac:dyDescent="0.2">
      <c r="A73" s="6" t="s">
        <v>43</v>
      </c>
      <c r="B73" s="7"/>
      <c r="C73" s="7"/>
      <c r="D73" s="14"/>
      <c r="E73" s="15">
        <v>8.0999999999999996E-4</v>
      </c>
      <c r="F73" s="6">
        <v>0</v>
      </c>
      <c r="G73" s="30"/>
    </row>
    <row r="74" spans="1:7" x14ac:dyDescent="0.2">
      <c r="A74" s="7"/>
      <c r="B74" s="7"/>
      <c r="C74" s="7"/>
      <c r="D74" s="14"/>
      <c r="E74" s="13"/>
      <c r="F74" s="7"/>
      <c r="G74" s="30"/>
    </row>
    <row r="75" spans="1:7" x14ac:dyDescent="0.2">
      <c r="A75" s="41" t="s">
        <v>44</v>
      </c>
      <c r="B75" s="7"/>
      <c r="C75" s="7"/>
      <c r="D75" s="42"/>
      <c r="E75" s="29"/>
      <c r="F75" s="6"/>
      <c r="G75" s="30"/>
    </row>
    <row r="76" spans="1:7" x14ac:dyDescent="0.2">
      <c r="A76" s="7" t="s">
        <v>627</v>
      </c>
      <c r="B76" s="7" t="s">
        <v>628</v>
      </c>
      <c r="C76" s="7" t="s">
        <v>78</v>
      </c>
      <c r="D76" s="42">
        <v>140468</v>
      </c>
      <c r="E76" s="43">
        <v>2286.8623240000002</v>
      </c>
      <c r="F76" s="7">
        <v>0.30449762026299482</v>
      </c>
      <c r="G76" s="30"/>
    </row>
    <row r="77" spans="1:7" x14ac:dyDescent="0.2">
      <c r="A77" s="6" t="s">
        <v>43</v>
      </c>
      <c r="B77" s="7"/>
      <c r="C77" s="7"/>
      <c r="D77" s="44"/>
      <c r="E77" s="29">
        <v>2286.8623240000002</v>
      </c>
      <c r="F77" s="29">
        <v>0.30449762026299482</v>
      </c>
      <c r="G77" s="30"/>
    </row>
    <row r="78" spans="1:7" x14ac:dyDescent="0.2">
      <c r="A78" s="7"/>
      <c r="B78" s="7"/>
      <c r="C78" s="7"/>
      <c r="D78" s="14"/>
      <c r="E78" s="13"/>
      <c r="F78" s="7"/>
      <c r="G78" s="30"/>
    </row>
    <row r="79" spans="1:7" x14ac:dyDescent="0.2">
      <c r="A79" s="6" t="s">
        <v>43</v>
      </c>
      <c r="B79" s="7"/>
      <c r="C79" s="7"/>
      <c r="D79" s="14"/>
      <c r="E79" s="15">
        <v>706151.98437239998</v>
      </c>
      <c r="F79" s="15">
        <v>94.02472386822366</v>
      </c>
      <c r="G79" s="30"/>
    </row>
    <row r="80" spans="1:7" x14ac:dyDescent="0.2">
      <c r="A80" s="7"/>
      <c r="B80" s="7"/>
      <c r="C80" s="7"/>
      <c r="D80" s="14"/>
      <c r="E80" s="13"/>
      <c r="F80" s="7"/>
      <c r="G80" s="30"/>
    </row>
    <row r="81" spans="1:7" x14ac:dyDescent="0.2">
      <c r="A81" s="6" t="s">
        <v>624</v>
      </c>
      <c r="B81" s="7"/>
      <c r="C81" s="7"/>
      <c r="D81" s="14"/>
      <c r="E81" s="15">
        <v>2034.1835934000001</v>
      </c>
      <c r="F81" s="6">
        <v>0.27085323714849369</v>
      </c>
      <c r="G81" s="30"/>
    </row>
    <row r="82" spans="1:7" x14ac:dyDescent="0.2">
      <c r="A82" s="6" t="s">
        <v>100</v>
      </c>
      <c r="B82" s="7"/>
      <c r="C82" s="7"/>
      <c r="D82" s="14"/>
      <c r="E82" s="15">
        <v>42841.811177299882</v>
      </c>
      <c r="F82" s="6">
        <v>5.7044227867756785</v>
      </c>
      <c r="G82" s="30"/>
    </row>
    <row r="83" spans="1:7" x14ac:dyDescent="0.2">
      <c r="A83" s="7"/>
      <c r="B83" s="7"/>
      <c r="C83" s="7"/>
      <c r="D83" s="14"/>
      <c r="E83" s="13"/>
      <c r="F83" s="7"/>
      <c r="G83" s="30"/>
    </row>
    <row r="84" spans="1:7" x14ac:dyDescent="0.2">
      <c r="A84" s="8" t="s">
        <v>101</v>
      </c>
      <c r="B84" s="5"/>
      <c r="C84" s="5"/>
      <c r="D84" s="36"/>
      <c r="E84" s="16">
        <v>751027.97914309986</v>
      </c>
      <c r="F84" s="8">
        <v>100</v>
      </c>
      <c r="G84" s="34"/>
    </row>
    <row r="85" spans="1:7" x14ac:dyDescent="0.2">
      <c r="A85" s="37" t="s">
        <v>626</v>
      </c>
      <c r="B85" s="38"/>
      <c r="C85" s="38"/>
      <c r="D85" s="39"/>
      <c r="E85" s="40"/>
      <c r="F85" s="37"/>
      <c r="G85" s="11" t="s">
        <v>608</v>
      </c>
    </row>
    <row r="87" spans="1:7" x14ac:dyDescent="0.2">
      <c r="A87" s="4" t="s">
        <v>102</v>
      </c>
      <c r="B87" s="2"/>
      <c r="C87" s="2"/>
      <c r="D87" s="2"/>
    </row>
    <row r="88" spans="1:7" x14ac:dyDescent="0.2">
      <c r="A88" s="4" t="s">
        <v>103</v>
      </c>
      <c r="B88" s="2"/>
      <c r="C88" s="2"/>
      <c r="D88" s="2"/>
    </row>
    <row r="89" spans="1:7" x14ac:dyDescent="0.2">
      <c r="A89" s="4" t="s">
        <v>104</v>
      </c>
      <c r="B89" s="2"/>
      <c r="C89" s="2"/>
      <c r="D89" s="2"/>
    </row>
    <row r="90" spans="1:7" x14ac:dyDescent="0.2">
      <c r="A90" s="2" t="s">
        <v>598</v>
      </c>
      <c r="B90" s="2"/>
      <c r="C90" s="2"/>
      <c r="D90" s="10">
        <v>947.62350000000004</v>
      </c>
    </row>
    <row r="91" spans="1:7" x14ac:dyDescent="0.2">
      <c r="A91" s="2" t="s">
        <v>599</v>
      </c>
      <c r="B91" s="2"/>
      <c r="C91" s="2"/>
      <c r="D91" s="10">
        <v>60.029899999999998</v>
      </c>
    </row>
    <row r="92" spans="1:7" x14ac:dyDescent="0.2">
      <c r="A92" s="2" t="s">
        <v>600</v>
      </c>
      <c r="B92" s="2"/>
      <c r="C92" s="2"/>
      <c r="D92" s="10">
        <v>1012.0182</v>
      </c>
    </row>
    <row r="93" spans="1:7" x14ac:dyDescent="0.2">
      <c r="A93" s="2" t="s">
        <v>601</v>
      </c>
      <c r="B93" s="2"/>
      <c r="C93" s="2"/>
      <c r="D93" s="10">
        <v>65.416499999999999</v>
      </c>
    </row>
    <row r="94" spans="1:7" x14ac:dyDescent="0.2">
      <c r="A94" s="2"/>
      <c r="B94" s="2"/>
      <c r="C94" s="2"/>
      <c r="D94" s="10"/>
    </row>
    <row r="95" spans="1:7" x14ac:dyDescent="0.2">
      <c r="A95" s="4" t="s">
        <v>105</v>
      </c>
      <c r="B95" s="2"/>
      <c r="C95" s="2"/>
      <c r="D95" s="2"/>
    </row>
    <row r="96" spans="1:7" x14ac:dyDescent="0.2">
      <c r="A96" s="2" t="s">
        <v>598</v>
      </c>
      <c r="B96" s="2"/>
      <c r="C96" s="2"/>
      <c r="D96" s="10">
        <v>959.20650000000001</v>
      </c>
    </row>
    <row r="97" spans="1:4" x14ac:dyDescent="0.2">
      <c r="A97" s="2" t="s">
        <v>599</v>
      </c>
      <c r="B97" s="2"/>
      <c r="C97" s="2"/>
      <c r="D97" s="10">
        <v>55.270200000000003</v>
      </c>
    </row>
    <row r="98" spans="1:4" x14ac:dyDescent="0.2">
      <c r="A98" s="2" t="s">
        <v>600</v>
      </c>
      <c r="B98" s="2"/>
      <c r="C98" s="2"/>
      <c r="D98" s="10">
        <v>1028.9076</v>
      </c>
    </row>
    <row r="99" spans="1:4" x14ac:dyDescent="0.2">
      <c r="A99" s="2" t="s">
        <v>601</v>
      </c>
      <c r="B99" s="2"/>
      <c r="C99" s="2"/>
      <c r="D99" s="10">
        <v>60.998600000000003</v>
      </c>
    </row>
    <row r="100" spans="1:4" x14ac:dyDescent="0.2">
      <c r="A100" s="2"/>
      <c r="B100" s="2"/>
      <c r="C100" s="2"/>
      <c r="D100" s="2"/>
    </row>
    <row r="101" spans="1:4" x14ac:dyDescent="0.2">
      <c r="A101" s="4" t="s">
        <v>106</v>
      </c>
      <c r="B101" s="2"/>
      <c r="C101" s="2"/>
      <c r="D101" s="17" t="s">
        <v>319</v>
      </c>
    </row>
    <row r="102" spans="1:4" x14ac:dyDescent="0.2">
      <c r="A102" s="18" t="s">
        <v>602</v>
      </c>
      <c r="B102" s="19"/>
      <c r="C102" s="110" t="s">
        <v>603</v>
      </c>
      <c r="D102" s="111"/>
    </row>
    <row r="103" spans="1:4" x14ac:dyDescent="0.2">
      <c r="A103" s="112"/>
      <c r="B103" s="113"/>
      <c r="C103" s="20" t="s">
        <v>604</v>
      </c>
      <c r="D103" s="20" t="s">
        <v>605</v>
      </c>
    </row>
    <row r="104" spans="1:4" x14ac:dyDescent="0.2">
      <c r="A104" s="21" t="s">
        <v>599</v>
      </c>
      <c r="B104" s="22"/>
      <c r="C104" s="23">
        <v>4.8697465850000006</v>
      </c>
      <c r="D104" s="23">
        <v>4.8697465850000006</v>
      </c>
    </row>
    <row r="105" spans="1:4" x14ac:dyDescent="0.2">
      <c r="A105" s="21" t="s">
        <v>601</v>
      </c>
      <c r="B105" s="22"/>
      <c r="C105" s="23">
        <v>4.8697465850000006</v>
      </c>
      <c r="D105" s="23">
        <v>4.8697465850000006</v>
      </c>
    </row>
    <row r="106" spans="1:4" x14ac:dyDescent="0.2">
      <c r="A106" s="4"/>
      <c r="B106" s="2"/>
      <c r="C106" s="2"/>
      <c r="D106" s="17"/>
    </row>
    <row r="107" spans="1:4" x14ac:dyDescent="0.2">
      <c r="A107" s="9" t="s">
        <v>606</v>
      </c>
      <c r="B107" s="2"/>
      <c r="C107" s="2"/>
      <c r="D107" s="24">
        <v>0.11423333849575752</v>
      </c>
    </row>
  </sheetData>
  <mergeCells count="4">
    <mergeCell ref="A1:G1"/>
    <mergeCell ref="G3:G4"/>
    <mergeCell ref="C102:D102"/>
    <mergeCell ref="A103:B10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8469-CBEF-46A4-AF33-3986BA6819E8}">
  <dimension ref="A1:F72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37.57031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456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14">
        <v>602786</v>
      </c>
      <c r="E7" s="13">
        <v>7416.3775509999996</v>
      </c>
      <c r="F7" s="7">
        <v>12.750349136067662</v>
      </c>
    </row>
    <row r="8" spans="1:6" x14ac:dyDescent="0.2">
      <c r="A8" s="7" t="s">
        <v>121</v>
      </c>
      <c r="B8" s="7" t="s">
        <v>122</v>
      </c>
      <c r="C8" s="7" t="s">
        <v>11</v>
      </c>
      <c r="D8" s="14">
        <v>485782</v>
      </c>
      <c r="E8" s="13">
        <v>3577.0557570000001</v>
      </c>
      <c r="F8" s="7">
        <v>6.1497286872593326</v>
      </c>
    </row>
    <row r="9" spans="1:6" x14ac:dyDescent="0.2">
      <c r="A9" s="7" t="s">
        <v>436</v>
      </c>
      <c r="B9" s="7" t="s">
        <v>437</v>
      </c>
      <c r="C9" s="7" t="s">
        <v>78</v>
      </c>
      <c r="D9" s="14">
        <v>126574</v>
      </c>
      <c r="E9" s="13">
        <v>3251.68606</v>
      </c>
      <c r="F9" s="7">
        <v>5.5903481532293231</v>
      </c>
    </row>
    <row r="10" spans="1:6" x14ac:dyDescent="0.2">
      <c r="A10" s="7" t="s">
        <v>183</v>
      </c>
      <c r="B10" s="7" t="s">
        <v>184</v>
      </c>
      <c r="C10" s="7" t="s">
        <v>57</v>
      </c>
      <c r="D10" s="14">
        <v>411721</v>
      </c>
      <c r="E10" s="13">
        <v>3165.1051874999998</v>
      </c>
      <c r="F10" s="7">
        <v>5.4414969997802229</v>
      </c>
    </row>
    <row r="11" spans="1:6" x14ac:dyDescent="0.2">
      <c r="A11" s="7" t="s">
        <v>20</v>
      </c>
      <c r="B11" s="7" t="s">
        <v>21</v>
      </c>
      <c r="C11" s="7" t="s">
        <v>11</v>
      </c>
      <c r="D11" s="14">
        <v>197693</v>
      </c>
      <c r="E11" s="13">
        <v>3112.676285</v>
      </c>
      <c r="F11" s="7">
        <v>5.351360432824336</v>
      </c>
    </row>
    <row r="12" spans="1:6" x14ac:dyDescent="0.2">
      <c r="A12" s="7" t="s">
        <v>185</v>
      </c>
      <c r="B12" s="7" t="s">
        <v>186</v>
      </c>
      <c r="C12" s="7" t="s">
        <v>78</v>
      </c>
      <c r="D12" s="14">
        <v>405492</v>
      </c>
      <c r="E12" s="13">
        <v>2780.053152</v>
      </c>
      <c r="F12" s="7">
        <v>4.7795096812521187</v>
      </c>
    </row>
    <row r="13" spans="1:6" x14ac:dyDescent="0.2">
      <c r="A13" s="7" t="s">
        <v>176</v>
      </c>
      <c r="B13" s="7" t="s">
        <v>177</v>
      </c>
      <c r="C13" s="7" t="s">
        <v>178</v>
      </c>
      <c r="D13" s="14">
        <v>98278</v>
      </c>
      <c r="E13" s="13">
        <v>2735.2732959999998</v>
      </c>
      <c r="F13" s="7">
        <v>4.7025234714297977</v>
      </c>
    </row>
    <row r="14" spans="1:6" x14ac:dyDescent="0.2">
      <c r="A14" s="7" t="s">
        <v>109</v>
      </c>
      <c r="B14" s="7" t="s">
        <v>110</v>
      </c>
      <c r="C14" s="7" t="s">
        <v>11</v>
      </c>
      <c r="D14" s="14">
        <v>528372</v>
      </c>
      <c r="E14" s="13">
        <v>2446.626546</v>
      </c>
      <c r="F14" s="7">
        <v>4.2062775866723543</v>
      </c>
    </row>
    <row r="15" spans="1:6" x14ac:dyDescent="0.2">
      <c r="A15" s="7" t="s">
        <v>123</v>
      </c>
      <c r="B15" s="7" t="s">
        <v>124</v>
      </c>
      <c r="C15" s="7" t="s">
        <v>117</v>
      </c>
      <c r="D15" s="14">
        <v>397644</v>
      </c>
      <c r="E15" s="13">
        <v>2093.9933040000001</v>
      </c>
      <c r="F15" s="7">
        <v>3.600025151225998</v>
      </c>
    </row>
    <row r="16" spans="1:6" x14ac:dyDescent="0.2">
      <c r="A16" s="7" t="s">
        <v>198</v>
      </c>
      <c r="B16" s="7" t="s">
        <v>199</v>
      </c>
      <c r="C16" s="7" t="s">
        <v>33</v>
      </c>
      <c r="D16" s="14">
        <v>343240</v>
      </c>
      <c r="E16" s="13">
        <v>2081.5789799999998</v>
      </c>
      <c r="F16" s="7">
        <v>3.5786822565041772</v>
      </c>
    </row>
    <row r="17" spans="1:6" x14ac:dyDescent="0.2">
      <c r="A17" s="7" t="s">
        <v>378</v>
      </c>
      <c r="B17" s="7" t="s">
        <v>379</v>
      </c>
      <c r="C17" s="7" t="s">
        <v>36</v>
      </c>
      <c r="D17" s="14">
        <v>101394</v>
      </c>
      <c r="E17" s="13">
        <v>1834.825824</v>
      </c>
      <c r="F17" s="7">
        <v>3.1544604760202071</v>
      </c>
    </row>
    <row r="18" spans="1:6" x14ac:dyDescent="0.2">
      <c r="A18" s="7" t="s">
        <v>236</v>
      </c>
      <c r="B18" s="7" t="s">
        <v>237</v>
      </c>
      <c r="C18" s="7" t="s">
        <v>117</v>
      </c>
      <c r="D18" s="14">
        <v>551423</v>
      </c>
      <c r="E18" s="13">
        <v>1793.5033074999999</v>
      </c>
      <c r="F18" s="7">
        <v>3.0834181768744635</v>
      </c>
    </row>
    <row r="19" spans="1:6" x14ac:dyDescent="0.2">
      <c r="A19" s="7" t="s">
        <v>195</v>
      </c>
      <c r="B19" s="7" t="s">
        <v>196</v>
      </c>
      <c r="C19" s="7" t="s">
        <v>197</v>
      </c>
      <c r="D19" s="14">
        <v>116490</v>
      </c>
      <c r="E19" s="13">
        <v>1715.9559449999999</v>
      </c>
      <c r="F19" s="7">
        <v>2.9500975712746476</v>
      </c>
    </row>
    <row r="20" spans="1:6" x14ac:dyDescent="0.2">
      <c r="A20" s="7" t="s">
        <v>438</v>
      </c>
      <c r="B20" s="7" t="s">
        <v>439</v>
      </c>
      <c r="C20" s="7" t="s">
        <v>233</v>
      </c>
      <c r="D20" s="14">
        <v>27179</v>
      </c>
      <c r="E20" s="13">
        <v>1686.5792555</v>
      </c>
      <c r="F20" s="7">
        <v>2.8995927196794979</v>
      </c>
    </row>
    <row r="21" spans="1:6" x14ac:dyDescent="0.2">
      <c r="A21" s="7" t="s">
        <v>218</v>
      </c>
      <c r="B21" s="7" t="s">
        <v>219</v>
      </c>
      <c r="C21" s="7" t="s">
        <v>120</v>
      </c>
      <c r="D21" s="14">
        <v>183307</v>
      </c>
      <c r="E21" s="13">
        <v>1463.3397809999999</v>
      </c>
      <c r="F21" s="7">
        <v>2.5157960182233432</v>
      </c>
    </row>
    <row r="22" spans="1:6" x14ac:dyDescent="0.2">
      <c r="A22" s="7" t="s">
        <v>332</v>
      </c>
      <c r="B22" s="7" t="s">
        <v>333</v>
      </c>
      <c r="C22" s="7" t="s">
        <v>57</v>
      </c>
      <c r="D22" s="14">
        <v>121898</v>
      </c>
      <c r="E22" s="13">
        <v>1361.661609</v>
      </c>
      <c r="F22" s="7">
        <v>2.3409893577476599</v>
      </c>
    </row>
    <row r="23" spans="1:6" x14ac:dyDescent="0.2">
      <c r="A23" s="7" t="s">
        <v>181</v>
      </c>
      <c r="B23" s="7" t="s">
        <v>182</v>
      </c>
      <c r="C23" s="7" t="s">
        <v>78</v>
      </c>
      <c r="D23" s="14">
        <v>114846</v>
      </c>
      <c r="E23" s="13">
        <v>1335.3718650000001</v>
      </c>
      <c r="F23" s="7">
        <v>2.2957916298282335</v>
      </c>
    </row>
    <row r="24" spans="1:6" x14ac:dyDescent="0.2">
      <c r="A24" s="7" t="s">
        <v>440</v>
      </c>
      <c r="B24" s="7" t="s">
        <v>441</v>
      </c>
      <c r="C24" s="7" t="s">
        <v>197</v>
      </c>
      <c r="D24" s="14">
        <v>1262673</v>
      </c>
      <c r="E24" s="13">
        <v>1299.2905169999999</v>
      </c>
      <c r="F24" s="7">
        <v>2.2337600273192799</v>
      </c>
    </row>
    <row r="25" spans="1:6" x14ac:dyDescent="0.2">
      <c r="A25" s="7" t="s">
        <v>265</v>
      </c>
      <c r="B25" s="7" t="s">
        <v>266</v>
      </c>
      <c r="C25" s="7" t="s">
        <v>30</v>
      </c>
      <c r="D25" s="14">
        <v>1247117</v>
      </c>
      <c r="E25" s="13">
        <v>1164.1837195000001</v>
      </c>
      <c r="F25" s="7">
        <v>2.0014823652214657</v>
      </c>
    </row>
    <row r="26" spans="1:6" x14ac:dyDescent="0.2">
      <c r="A26" s="7" t="s">
        <v>115</v>
      </c>
      <c r="B26" s="7" t="s">
        <v>116</v>
      </c>
      <c r="C26" s="7" t="s">
        <v>117</v>
      </c>
      <c r="D26" s="14">
        <v>752083</v>
      </c>
      <c r="E26" s="13">
        <v>1104.0578439999999</v>
      </c>
      <c r="F26" s="7">
        <v>1.8981130451639443</v>
      </c>
    </row>
    <row r="27" spans="1:6" x14ac:dyDescent="0.2">
      <c r="A27" s="7" t="s">
        <v>262</v>
      </c>
      <c r="B27" s="7" t="s">
        <v>263</v>
      </c>
      <c r="C27" s="7" t="s">
        <v>264</v>
      </c>
      <c r="D27" s="14">
        <v>278178</v>
      </c>
      <c r="E27" s="13">
        <v>1058.6063790000001</v>
      </c>
      <c r="F27" s="7">
        <v>1.8199721949293688</v>
      </c>
    </row>
    <row r="28" spans="1:6" x14ac:dyDescent="0.2">
      <c r="A28" s="7" t="s">
        <v>193</v>
      </c>
      <c r="B28" s="7" t="s">
        <v>194</v>
      </c>
      <c r="C28" s="7" t="s">
        <v>178</v>
      </c>
      <c r="D28" s="14">
        <v>387005</v>
      </c>
      <c r="E28" s="13">
        <v>974.28508750000003</v>
      </c>
      <c r="F28" s="7">
        <v>1.6750057475181028</v>
      </c>
    </row>
    <row r="29" spans="1:6" x14ac:dyDescent="0.2">
      <c r="A29" s="7" t="s">
        <v>31</v>
      </c>
      <c r="B29" s="7" t="s">
        <v>32</v>
      </c>
      <c r="C29" s="7" t="s">
        <v>33</v>
      </c>
      <c r="D29" s="14">
        <v>484457</v>
      </c>
      <c r="E29" s="13">
        <v>860.880089</v>
      </c>
      <c r="F29" s="7">
        <v>1.4800381484838194</v>
      </c>
    </row>
    <row r="30" spans="1:6" x14ac:dyDescent="0.2">
      <c r="A30" s="7" t="s">
        <v>442</v>
      </c>
      <c r="B30" s="7" t="s">
        <v>443</v>
      </c>
      <c r="C30" s="7" t="s">
        <v>30</v>
      </c>
      <c r="D30" s="14">
        <v>248911</v>
      </c>
      <c r="E30" s="13">
        <v>724.95328749999999</v>
      </c>
      <c r="F30" s="7">
        <v>1.2463507230317159</v>
      </c>
    </row>
    <row r="31" spans="1:6" x14ac:dyDescent="0.2">
      <c r="A31" s="7" t="s">
        <v>444</v>
      </c>
      <c r="B31" s="7" t="s">
        <v>445</v>
      </c>
      <c r="C31" s="7" t="s">
        <v>36</v>
      </c>
      <c r="D31" s="14">
        <v>7836</v>
      </c>
      <c r="E31" s="13">
        <v>722.28330000000005</v>
      </c>
      <c r="F31" s="7">
        <v>1.2417604398941826</v>
      </c>
    </row>
    <row r="32" spans="1:6" x14ac:dyDescent="0.2">
      <c r="A32" s="7" t="s">
        <v>446</v>
      </c>
      <c r="B32" s="7" t="s">
        <v>447</v>
      </c>
      <c r="C32" s="7" t="s">
        <v>120</v>
      </c>
      <c r="D32" s="14">
        <v>244622</v>
      </c>
      <c r="E32" s="13">
        <v>685.30853300000001</v>
      </c>
      <c r="F32" s="7">
        <v>1.1781928578458298</v>
      </c>
    </row>
    <row r="33" spans="1:6" x14ac:dyDescent="0.2">
      <c r="A33" s="7" t="s">
        <v>138</v>
      </c>
      <c r="B33" s="7" t="s">
        <v>139</v>
      </c>
      <c r="C33" s="7" t="s">
        <v>140</v>
      </c>
      <c r="D33" s="14">
        <v>580358</v>
      </c>
      <c r="E33" s="13">
        <v>668.57241599999998</v>
      </c>
      <c r="F33" s="7">
        <v>1.1494198708363828</v>
      </c>
    </row>
    <row r="34" spans="1:6" x14ac:dyDescent="0.2">
      <c r="A34" s="7" t="s">
        <v>202</v>
      </c>
      <c r="B34" s="7" t="s">
        <v>203</v>
      </c>
      <c r="C34" s="7" t="s">
        <v>11</v>
      </c>
      <c r="D34" s="14">
        <v>631101</v>
      </c>
      <c r="E34" s="13">
        <v>444.29510399999998</v>
      </c>
      <c r="F34" s="7">
        <v>0.76383890335810278</v>
      </c>
    </row>
    <row r="35" spans="1:6" x14ac:dyDescent="0.2">
      <c r="A35" s="7" t="s">
        <v>448</v>
      </c>
      <c r="B35" s="7" t="s">
        <v>449</v>
      </c>
      <c r="C35" s="7" t="s">
        <v>30</v>
      </c>
      <c r="D35" s="14">
        <v>593597</v>
      </c>
      <c r="E35" s="13">
        <v>409.58193</v>
      </c>
      <c r="F35" s="7">
        <v>0.70415948640859938</v>
      </c>
    </row>
    <row r="36" spans="1:6" x14ac:dyDescent="0.2">
      <c r="A36" s="7" t="s">
        <v>40</v>
      </c>
      <c r="B36" s="7" t="s">
        <v>41</v>
      </c>
      <c r="C36" s="7" t="s">
        <v>42</v>
      </c>
      <c r="D36" s="14">
        <v>9600668</v>
      </c>
      <c r="E36" s="13">
        <v>374.42605200000003</v>
      </c>
      <c r="F36" s="7">
        <v>0.64371896600594547</v>
      </c>
    </row>
    <row r="37" spans="1:6" x14ac:dyDescent="0.2">
      <c r="A37" s="7" t="s">
        <v>450</v>
      </c>
      <c r="B37" s="7" t="s">
        <v>451</v>
      </c>
      <c r="C37" s="7" t="s">
        <v>30</v>
      </c>
      <c r="D37" s="14">
        <v>12795</v>
      </c>
      <c r="E37" s="13">
        <v>217.45742250000001</v>
      </c>
      <c r="F37" s="7">
        <v>0.37385610967587801</v>
      </c>
    </row>
    <row r="38" spans="1:6" x14ac:dyDescent="0.2">
      <c r="A38" s="7" t="s">
        <v>305</v>
      </c>
      <c r="B38" s="7" t="s">
        <v>306</v>
      </c>
      <c r="C38" s="7" t="s">
        <v>14</v>
      </c>
      <c r="D38" s="14">
        <v>32642</v>
      </c>
      <c r="E38" s="13">
        <v>148.096754</v>
      </c>
      <c r="F38" s="7">
        <v>0.25461019297267501</v>
      </c>
    </row>
    <row r="39" spans="1:6" x14ac:dyDescent="0.2">
      <c r="A39" s="7" t="s">
        <v>452</v>
      </c>
      <c r="B39" s="7" t="s">
        <v>453</v>
      </c>
      <c r="C39" s="7" t="s">
        <v>78</v>
      </c>
      <c r="D39" s="14">
        <v>36661</v>
      </c>
      <c r="E39" s="13">
        <v>126.3887975</v>
      </c>
      <c r="F39" s="7">
        <v>0.21728954384144941</v>
      </c>
    </row>
    <row r="40" spans="1:6" x14ac:dyDescent="0.2">
      <c r="A40" s="6" t="s">
        <v>43</v>
      </c>
      <c r="B40" s="7"/>
      <c r="C40" s="7"/>
      <c r="D40" s="14"/>
      <c r="E40" s="15">
        <f xml:space="preserve"> SUM(E7:E39)</f>
        <v>54834.330938000021</v>
      </c>
      <c r="F40" s="6">
        <f>SUM(F7:F39)</f>
        <v>94.272016128400111</v>
      </c>
    </row>
    <row r="41" spans="1:6" x14ac:dyDescent="0.2">
      <c r="A41" s="7"/>
      <c r="B41" s="7"/>
      <c r="C41" s="7"/>
      <c r="D41" s="14"/>
      <c r="E41" s="13"/>
      <c r="F41" s="7"/>
    </row>
    <row r="42" spans="1:6" x14ac:dyDescent="0.2">
      <c r="A42" s="6" t="s">
        <v>321</v>
      </c>
      <c r="B42" s="7"/>
      <c r="C42" s="7"/>
      <c r="D42" s="14"/>
      <c r="E42" s="13"/>
      <c r="F42" s="7"/>
    </row>
    <row r="43" spans="1:6" x14ac:dyDescent="0.2">
      <c r="A43" s="7" t="s">
        <v>319</v>
      </c>
      <c r="B43" s="7" t="s">
        <v>454</v>
      </c>
      <c r="C43" s="7" t="s">
        <v>78</v>
      </c>
      <c r="D43" s="14">
        <v>489000</v>
      </c>
      <c r="E43" s="13">
        <v>4.8899999999999999E-2</v>
      </c>
      <c r="F43" s="25" t="s">
        <v>607</v>
      </c>
    </row>
    <row r="44" spans="1:6" x14ac:dyDescent="0.2">
      <c r="A44" s="7" t="s">
        <v>319</v>
      </c>
      <c r="B44" s="7" t="s">
        <v>322</v>
      </c>
      <c r="C44" s="7" t="s">
        <v>30</v>
      </c>
      <c r="D44" s="14">
        <v>98000</v>
      </c>
      <c r="E44" s="13">
        <v>9.7999999999999997E-3</v>
      </c>
      <c r="F44" s="25" t="s">
        <v>607</v>
      </c>
    </row>
    <row r="45" spans="1:6" x14ac:dyDescent="0.2">
      <c r="A45" s="7" t="s">
        <v>323</v>
      </c>
      <c r="B45" s="7" t="s">
        <v>324</v>
      </c>
      <c r="C45" s="7" t="s">
        <v>609</v>
      </c>
      <c r="D45" s="14">
        <v>44170</v>
      </c>
      <c r="E45" s="13">
        <v>4.4169999999999999E-3</v>
      </c>
      <c r="F45" s="25" t="s">
        <v>607</v>
      </c>
    </row>
    <row r="46" spans="1:6" x14ac:dyDescent="0.2">
      <c r="A46" s="7" t="s">
        <v>319</v>
      </c>
      <c r="B46" s="7" t="s">
        <v>455</v>
      </c>
      <c r="C46" s="7" t="s">
        <v>78</v>
      </c>
      <c r="D46" s="14">
        <v>23815</v>
      </c>
      <c r="E46" s="13">
        <v>2.3814999999999999E-3</v>
      </c>
      <c r="F46" s="25" t="s">
        <v>607</v>
      </c>
    </row>
    <row r="47" spans="1:6" x14ac:dyDescent="0.2">
      <c r="A47" s="6" t="s">
        <v>43</v>
      </c>
      <c r="B47" s="7"/>
      <c r="C47" s="7"/>
      <c r="D47" s="7"/>
      <c r="E47" s="15">
        <f>SUM(E43:E46)</f>
        <v>6.5498500000000001E-2</v>
      </c>
      <c r="F47" s="6">
        <f>SUM(F43:F46)</f>
        <v>0</v>
      </c>
    </row>
    <row r="48" spans="1:6" x14ac:dyDescent="0.2">
      <c r="A48" s="7"/>
      <c r="B48" s="7"/>
      <c r="C48" s="7"/>
      <c r="D48" s="7"/>
      <c r="E48" s="13"/>
      <c r="F48" s="7"/>
    </row>
    <row r="49" spans="1:6" x14ac:dyDescent="0.2">
      <c r="A49" s="6" t="s">
        <v>43</v>
      </c>
      <c r="B49" s="7"/>
      <c r="C49" s="7"/>
      <c r="D49" s="7"/>
      <c r="E49" s="15">
        <v>54834.396436500021</v>
      </c>
      <c r="F49" s="6">
        <v>94.272128734417961</v>
      </c>
    </row>
    <row r="50" spans="1:6" x14ac:dyDescent="0.2">
      <c r="A50" s="7"/>
      <c r="B50" s="7"/>
      <c r="C50" s="7"/>
      <c r="D50" s="7"/>
      <c r="E50" s="13"/>
      <c r="F50" s="7"/>
    </row>
    <row r="51" spans="1:6" x14ac:dyDescent="0.2">
      <c r="A51" s="6" t="s">
        <v>100</v>
      </c>
      <c r="B51" s="7"/>
      <c r="C51" s="7"/>
      <c r="D51" s="7"/>
      <c r="E51" s="15">
        <v>3331.6778556999998</v>
      </c>
      <c r="F51" s="6">
        <v>5.73</v>
      </c>
    </row>
    <row r="52" spans="1:6" x14ac:dyDescent="0.2">
      <c r="A52" s="7"/>
      <c r="B52" s="7"/>
      <c r="C52" s="7"/>
      <c r="D52" s="7"/>
      <c r="E52" s="13"/>
      <c r="F52" s="7"/>
    </row>
    <row r="53" spans="1:6" x14ac:dyDescent="0.2">
      <c r="A53" s="8" t="s">
        <v>101</v>
      </c>
      <c r="B53" s="5"/>
      <c r="C53" s="5"/>
      <c r="D53" s="5"/>
      <c r="E53" s="16">
        <v>58166.074292200021</v>
      </c>
      <c r="F53" s="8">
        <f xml:space="preserve"> ROUND(SUM(F49:F52),2)</f>
        <v>100</v>
      </c>
    </row>
    <row r="54" spans="1:6" x14ac:dyDescent="0.2">
      <c r="F54" s="11" t="s">
        <v>608</v>
      </c>
    </row>
    <row r="55" spans="1:6" x14ac:dyDescent="0.2">
      <c r="A55" s="4" t="s">
        <v>102</v>
      </c>
      <c r="B55" s="2"/>
      <c r="C55" s="2"/>
      <c r="D55" s="2"/>
    </row>
    <row r="56" spans="1:6" x14ac:dyDescent="0.2">
      <c r="A56" s="4" t="s">
        <v>103</v>
      </c>
      <c r="B56" s="2"/>
      <c r="C56" s="2"/>
      <c r="D56" s="2"/>
    </row>
    <row r="57" spans="1:6" x14ac:dyDescent="0.2">
      <c r="A57" s="4" t="s">
        <v>104</v>
      </c>
      <c r="B57" s="2"/>
      <c r="C57" s="2"/>
      <c r="D57" s="2"/>
    </row>
    <row r="58" spans="1:6" x14ac:dyDescent="0.2">
      <c r="A58" s="2" t="s">
        <v>598</v>
      </c>
      <c r="B58" s="2"/>
      <c r="C58" s="2"/>
      <c r="D58" s="10">
        <v>74.680700000000002</v>
      </c>
    </row>
    <row r="59" spans="1:6" x14ac:dyDescent="0.2">
      <c r="A59" s="2" t="s">
        <v>599</v>
      </c>
      <c r="B59" s="2"/>
      <c r="C59" s="2"/>
      <c r="D59" s="10">
        <v>18.972300000000001</v>
      </c>
    </row>
    <row r="60" spans="1:6" x14ac:dyDescent="0.2">
      <c r="A60" s="2" t="s">
        <v>600</v>
      </c>
      <c r="B60" s="2"/>
      <c r="C60" s="2"/>
      <c r="D60" s="10">
        <v>77.792599999999993</v>
      </c>
    </row>
    <row r="61" spans="1:6" x14ac:dyDescent="0.2">
      <c r="A61" s="2" t="s">
        <v>601</v>
      </c>
      <c r="B61" s="2"/>
      <c r="C61" s="2"/>
      <c r="D61" s="10">
        <v>19.968800000000002</v>
      </c>
    </row>
    <row r="62" spans="1:6" x14ac:dyDescent="0.2">
      <c r="A62" s="2"/>
      <c r="B62" s="2"/>
      <c r="C62" s="2"/>
      <c r="D62" s="10"/>
    </row>
    <row r="63" spans="1:6" x14ac:dyDescent="0.2">
      <c r="A63" s="4" t="s">
        <v>105</v>
      </c>
      <c r="B63" s="2"/>
      <c r="C63" s="2"/>
      <c r="D63" s="2"/>
    </row>
    <row r="64" spans="1:6" x14ac:dyDescent="0.2">
      <c r="A64" s="2" t="s">
        <v>598</v>
      </c>
      <c r="B64" s="2"/>
      <c r="C64" s="2"/>
      <c r="D64" s="10">
        <v>73.127099999999999</v>
      </c>
    </row>
    <row r="65" spans="1:4" x14ac:dyDescent="0.2">
      <c r="A65" s="2" t="s">
        <v>599</v>
      </c>
      <c r="B65" s="2"/>
      <c r="C65" s="2"/>
      <c r="D65" s="10">
        <v>18.5776</v>
      </c>
    </row>
    <row r="66" spans="1:4" x14ac:dyDescent="0.2">
      <c r="A66" s="2" t="s">
        <v>600</v>
      </c>
      <c r="B66" s="2"/>
      <c r="C66" s="2"/>
      <c r="D66" s="10">
        <v>76.416700000000006</v>
      </c>
    </row>
    <row r="67" spans="1:4" x14ac:dyDescent="0.2">
      <c r="A67" s="2" t="s">
        <v>601</v>
      </c>
      <c r="B67" s="2"/>
      <c r="C67" s="2"/>
      <c r="D67" s="10">
        <v>19.613900000000001</v>
      </c>
    </row>
    <row r="68" spans="1:4" x14ac:dyDescent="0.2">
      <c r="A68" s="2"/>
      <c r="B68" s="2"/>
      <c r="C68" s="2"/>
      <c r="D68" s="2"/>
    </row>
    <row r="69" spans="1:4" x14ac:dyDescent="0.2">
      <c r="A69" s="4" t="s">
        <v>106</v>
      </c>
      <c r="B69" s="2"/>
      <c r="C69" s="2"/>
      <c r="D69" s="17" t="s">
        <v>107</v>
      </c>
    </row>
    <row r="70" spans="1:4" x14ac:dyDescent="0.2">
      <c r="A70" s="4"/>
      <c r="B70" s="2"/>
      <c r="C70" s="2"/>
      <c r="D70" s="17"/>
    </row>
    <row r="71" spans="1:4" x14ac:dyDescent="0.2">
      <c r="A71" s="9" t="s">
        <v>606</v>
      </c>
      <c r="B71" s="2"/>
      <c r="C71" s="2"/>
      <c r="D71" s="24">
        <v>6.0769738102617238E-2</v>
      </c>
    </row>
    <row r="72" spans="1:4" x14ac:dyDescent="0.2">
      <c r="A72" s="2"/>
      <c r="B72" s="2"/>
      <c r="C72" s="2"/>
      <c r="D72" s="2"/>
    </row>
  </sheetData>
  <mergeCells count="1">
    <mergeCell ref="A1:F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1E9B-C9FE-4872-BF25-ECC1FF7D3993}">
  <dimension ref="A1:F67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29.85546875" style="1" bestFit="1" customWidth="1"/>
    <col min="3" max="3" width="19.140625" style="1" bestFit="1" customWidth="1"/>
    <col min="4" max="4" width="12.8554687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392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111</v>
      </c>
      <c r="B7" s="7" t="s">
        <v>112</v>
      </c>
      <c r="C7" s="7" t="s">
        <v>11</v>
      </c>
      <c r="D7" s="27">
        <v>29000000</v>
      </c>
      <c r="E7" s="13">
        <v>90596</v>
      </c>
      <c r="F7" s="7">
        <v>10.396382336350745</v>
      </c>
    </row>
    <row r="8" spans="1:6" x14ac:dyDescent="0.2">
      <c r="A8" s="7" t="s">
        <v>109</v>
      </c>
      <c r="B8" s="7" t="s">
        <v>110</v>
      </c>
      <c r="C8" s="7" t="s">
        <v>11</v>
      </c>
      <c r="D8" s="27">
        <v>18000000</v>
      </c>
      <c r="E8" s="13">
        <v>83349</v>
      </c>
      <c r="F8" s="7">
        <v>9.5647497831305834</v>
      </c>
    </row>
    <row r="9" spans="1:6" x14ac:dyDescent="0.2">
      <c r="A9" s="7" t="s">
        <v>115</v>
      </c>
      <c r="B9" s="7" t="s">
        <v>116</v>
      </c>
      <c r="C9" s="7" t="s">
        <v>117</v>
      </c>
      <c r="D9" s="27">
        <v>35000000</v>
      </c>
      <c r="E9" s="13">
        <v>51380</v>
      </c>
      <c r="F9" s="7">
        <v>5.8961336531601978</v>
      </c>
    </row>
    <row r="10" spans="1:6" x14ac:dyDescent="0.2">
      <c r="A10" s="7" t="s">
        <v>113</v>
      </c>
      <c r="B10" s="7" t="s">
        <v>114</v>
      </c>
      <c r="C10" s="7" t="s">
        <v>42</v>
      </c>
      <c r="D10" s="27">
        <v>13327087</v>
      </c>
      <c r="E10" s="13">
        <v>49876.6230975</v>
      </c>
      <c r="F10" s="7">
        <v>5.7236130002171466</v>
      </c>
    </row>
    <row r="11" spans="1:6" x14ac:dyDescent="0.2">
      <c r="A11" s="7" t="s">
        <v>176</v>
      </c>
      <c r="B11" s="7" t="s">
        <v>177</v>
      </c>
      <c r="C11" s="7" t="s">
        <v>178</v>
      </c>
      <c r="D11" s="27">
        <v>1400000</v>
      </c>
      <c r="E11" s="13">
        <v>38964.800000000003</v>
      </c>
      <c r="F11" s="7">
        <v>4.4714221208380014</v>
      </c>
    </row>
    <row r="12" spans="1:6" x14ac:dyDescent="0.2">
      <c r="A12" s="7" t="s">
        <v>127</v>
      </c>
      <c r="B12" s="7" t="s">
        <v>128</v>
      </c>
      <c r="C12" s="7" t="s">
        <v>57</v>
      </c>
      <c r="D12" s="27">
        <v>925000</v>
      </c>
      <c r="E12" s="13">
        <v>38324.6</v>
      </c>
      <c r="F12" s="7">
        <v>4.3979556987914235</v>
      </c>
    </row>
    <row r="13" spans="1:6" x14ac:dyDescent="0.2">
      <c r="A13" s="7" t="s">
        <v>9</v>
      </c>
      <c r="B13" s="7" t="s">
        <v>10</v>
      </c>
      <c r="C13" s="7" t="s">
        <v>11</v>
      </c>
      <c r="D13" s="27">
        <v>3100000</v>
      </c>
      <c r="E13" s="13">
        <v>38140.85</v>
      </c>
      <c r="F13" s="7">
        <v>4.3768693897457212</v>
      </c>
    </row>
    <row r="14" spans="1:6" x14ac:dyDescent="0.2">
      <c r="A14" s="7" t="s">
        <v>179</v>
      </c>
      <c r="B14" s="7" t="s">
        <v>180</v>
      </c>
      <c r="C14" s="7" t="s">
        <v>30</v>
      </c>
      <c r="D14" s="27">
        <v>3800000</v>
      </c>
      <c r="E14" s="13">
        <v>37677</v>
      </c>
      <c r="F14" s="7">
        <v>4.3236400866118494</v>
      </c>
    </row>
    <row r="15" spans="1:6" x14ac:dyDescent="0.2">
      <c r="A15" s="7" t="s">
        <v>121</v>
      </c>
      <c r="B15" s="7" t="s">
        <v>122</v>
      </c>
      <c r="C15" s="7" t="s">
        <v>11</v>
      </c>
      <c r="D15" s="27">
        <v>5000000</v>
      </c>
      <c r="E15" s="13">
        <v>36817.5</v>
      </c>
      <c r="F15" s="7">
        <v>4.2250078002184814</v>
      </c>
    </row>
    <row r="16" spans="1:6" x14ac:dyDescent="0.2">
      <c r="A16" s="7" t="s">
        <v>118</v>
      </c>
      <c r="B16" s="7" t="s">
        <v>119</v>
      </c>
      <c r="C16" s="7" t="s">
        <v>120</v>
      </c>
      <c r="D16" s="27">
        <v>29000000</v>
      </c>
      <c r="E16" s="13">
        <v>35496</v>
      </c>
      <c r="F16" s="7">
        <v>4.0733585082244925</v>
      </c>
    </row>
    <row r="17" spans="1:6" x14ac:dyDescent="0.2">
      <c r="A17" s="7" t="s">
        <v>123</v>
      </c>
      <c r="B17" s="7" t="s">
        <v>124</v>
      </c>
      <c r="C17" s="7" t="s">
        <v>117</v>
      </c>
      <c r="D17" s="27">
        <v>5800000</v>
      </c>
      <c r="E17" s="13">
        <v>30542.799999999999</v>
      </c>
      <c r="F17" s="7">
        <v>3.5049519451487212</v>
      </c>
    </row>
    <row r="18" spans="1:6" x14ac:dyDescent="0.2">
      <c r="A18" s="7" t="s">
        <v>132</v>
      </c>
      <c r="B18" s="7" t="s">
        <v>133</v>
      </c>
      <c r="C18" s="7" t="s">
        <v>57</v>
      </c>
      <c r="D18" s="27">
        <v>1800000</v>
      </c>
      <c r="E18" s="13">
        <v>28224.9</v>
      </c>
      <c r="F18" s="7">
        <v>3.2389603493009207</v>
      </c>
    </row>
    <row r="19" spans="1:6" x14ac:dyDescent="0.2">
      <c r="A19" s="7" t="s">
        <v>149</v>
      </c>
      <c r="B19" s="7" t="s">
        <v>597</v>
      </c>
      <c r="C19" s="7" t="s">
        <v>33</v>
      </c>
      <c r="D19" s="27">
        <v>29000000</v>
      </c>
      <c r="E19" s="13">
        <v>23707.5</v>
      </c>
      <c r="F19" s="7">
        <v>2.7205641997332699</v>
      </c>
    </row>
    <row r="20" spans="1:6" x14ac:dyDescent="0.2">
      <c r="A20" s="7" t="s">
        <v>125</v>
      </c>
      <c r="B20" s="7" t="s">
        <v>126</v>
      </c>
      <c r="C20" s="7" t="s">
        <v>39</v>
      </c>
      <c r="D20" s="27">
        <v>4000000</v>
      </c>
      <c r="E20" s="13">
        <v>23618</v>
      </c>
      <c r="F20" s="7">
        <v>2.7102935893409414</v>
      </c>
    </row>
    <row r="21" spans="1:6" x14ac:dyDescent="0.2">
      <c r="A21" s="7" t="s">
        <v>129</v>
      </c>
      <c r="B21" s="7" t="s">
        <v>130</v>
      </c>
      <c r="C21" s="7" t="s">
        <v>131</v>
      </c>
      <c r="D21" s="27">
        <v>6955040</v>
      </c>
      <c r="E21" s="13">
        <v>19919.234560000001</v>
      </c>
      <c r="F21" s="7">
        <v>2.2858401952979306</v>
      </c>
    </row>
    <row r="22" spans="1:6" x14ac:dyDescent="0.2">
      <c r="A22" s="7" t="s">
        <v>138</v>
      </c>
      <c r="B22" s="7" t="s">
        <v>139</v>
      </c>
      <c r="C22" s="7" t="s">
        <v>140</v>
      </c>
      <c r="D22" s="27">
        <v>17171180</v>
      </c>
      <c r="E22" s="13">
        <v>19781.199359999999</v>
      </c>
      <c r="F22" s="7">
        <v>2.2699999074808677</v>
      </c>
    </row>
    <row r="23" spans="1:6" x14ac:dyDescent="0.2">
      <c r="A23" s="7" t="s">
        <v>384</v>
      </c>
      <c r="B23" s="7" t="s">
        <v>385</v>
      </c>
      <c r="C23" s="7" t="s">
        <v>178</v>
      </c>
      <c r="D23" s="27">
        <v>165000</v>
      </c>
      <c r="E23" s="13">
        <v>19427.759999999998</v>
      </c>
      <c r="F23" s="7">
        <v>2.229440824085628</v>
      </c>
    </row>
    <row r="24" spans="1:6" x14ac:dyDescent="0.2">
      <c r="A24" s="7" t="s">
        <v>40</v>
      </c>
      <c r="B24" s="7" t="s">
        <v>41</v>
      </c>
      <c r="C24" s="7" t="s">
        <v>42</v>
      </c>
      <c r="D24" s="27">
        <v>463831252</v>
      </c>
      <c r="E24" s="13">
        <v>18089.418828000002</v>
      </c>
      <c r="F24" s="7">
        <v>2.0758589162685972</v>
      </c>
    </row>
    <row r="25" spans="1:6" x14ac:dyDescent="0.2">
      <c r="A25" s="7" t="s">
        <v>141</v>
      </c>
      <c r="B25" s="7" t="s">
        <v>142</v>
      </c>
      <c r="C25" s="7" t="s">
        <v>19</v>
      </c>
      <c r="D25" s="27">
        <v>4130485</v>
      </c>
      <c r="E25" s="13">
        <v>17494.669217499999</v>
      </c>
      <c r="F25" s="7">
        <v>2.0076081729117856</v>
      </c>
    </row>
    <row r="26" spans="1:6" x14ac:dyDescent="0.2">
      <c r="A26" s="7" t="s">
        <v>386</v>
      </c>
      <c r="B26" s="7" t="s">
        <v>387</v>
      </c>
      <c r="C26" s="7" t="s">
        <v>178</v>
      </c>
      <c r="D26" s="27">
        <v>2600000</v>
      </c>
      <c r="E26" s="13">
        <v>15319.2</v>
      </c>
      <c r="F26" s="7">
        <v>1.757961281811828</v>
      </c>
    </row>
    <row r="27" spans="1:6" x14ac:dyDescent="0.2">
      <c r="A27" s="7" t="s">
        <v>136</v>
      </c>
      <c r="B27" s="7" t="s">
        <v>137</v>
      </c>
      <c r="C27" s="7" t="s">
        <v>131</v>
      </c>
      <c r="D27" s="27">
        <v>10000000</v>
      </c>
      <c r="E27" s="13">
        <v>13735</v>
      </c>
      <c r="F27" s="7">
        <v>1.5761657400964448</v>
      </c>
    </row>
    <row r="28" spans="1:6" x14ac:dyDescent="0.2">
      <c r="A28" s="7" t="s">
        <v>143</v>
      </c>
      <c r="B28" s="7" t="s">
        <v>144</v>
      </c>
      <c r="C28" s="7" t="s">
        <v>57</v>
      </c>
      <c r="D28" s="27">
        <v>4500000</v>
      </c>
      <c r="E28" s="13">
        <v>13052.25</v>
      </c>
      <c r="F28" s="7">
        <v>1.4978164747851341</v>
      </c>
    </row>
    <row r="29" spans="1:6" x14ac:dyDescent="0.2">
      <c r="A29" s="7" t="s">
        <v>388</v>
      </c>
      <c r="B29" s="7" t="s">
        <v>389</v>
      </c>
      <c r="C29" s="7" t="s">
        <v>57</v>
      </c>
      <c r="D29" s="27">
        <v>12800000</v>
      </c>
      <c r="E29" s="13">
        <v>10169.6</v>
      </c>
      <c r="F29" s="7">
        <v>1.1670167535846234</v>
      </c>
    </row>
    <row r="30" spans="1:6" x14ac:dyDescent="0.2">
      <c r="A30" s="7" t="s">
        <v>160</v>
      </c>
      <c r="B30" s="7" t="s">
        <v>161</v>
      </c>
      <c r="C30" s="7" t="s">
        <v>19</v>
      </c>
      <c r="D30" s="27">
        <v>15000000</v>
      </c>
      <c r="E30" s="13">
        <v>8640</v>
      </c>
      <c r="F30" s="7">
        <v>0.99148685798567759</v>
      </c>
    </row>
    <row r="31" spans="1:6" x14ac:dyDescent="0.2">
      <c r="A31" s="7" t="s">
        <v>156</v>
      </c>
      <c r="B31" s="7" t="s">
        <v>157</v>
      </c>
      <c r="C31" s="7" t="s">
        <v>39</v>
      </c>
      <c r="D31" s="27">
        <v>175000</v>
      </c>
      <c r="E31" s="13">
        <v>7522.6374999999998</v>
      </c>
      <c r="F31" s="7">
        <v>0.86326345123150827</v>
      </c>
    </row>
    <row r="32" spans="1:6" x14ac:dyDescent="0.2">
      <c r="A32" s="7" t="s">
        <v>164</v>
      </c>
      <c r="B32" s="7" t="s">
        <v>165</v>
      </c>
      <c r="C32" s="7" t="s">
        <v>19</v>
      </c>
      <c r="D32" s="27">
        <v>3200000</v>
      </c>
      <c r="E32" s="13">
        <v>6008</v>
      </c>
      <c r="F32" s="7">
        <v>0.68945058365485534</v>
      </c>
    </row>
    <row r="33" spans="1:6" x14ac:dyDescent="0.2">
      <c r="A33" s="7" t="s">
        <v>390</v>
      </c>
      <c r="B33" s="7" t="s">
        <v>391</v>
      </c>
      <c r="C33" s="7" t="s">
        <v>222</v>
      </c>
      <c r="D33" s="27">
        <v>525000</v>
      </c>
      <c r="E33" s="13">
        <v>5271</v>
      </c>
      <c r="F33" s="7">
        <v>0.6048758366252901</v>
      </c>
    </row>
    <row r="34" spans="1:6" x14ac:dyDescent="0.2">
      <c r="A34" s="6" t="s">
        <v>43</v>
      </c>
      <c r="B34" s="7"/>
      <c r="C34" s="7"/>
      <c r="D34" s="27"/>
      <c r="E34" s="15">
        <v>781145.54256299988</v>
      </c>
      <c r="F34" s="6">
        <v>89.640687456632676</v>
      </c>
    </row>
    <row r="35" spans="1:6" x14ac:dyDescent="0.2">
      <c r="A35" s="7"/>
      <c r="B35" s="7"/>
      <c r="C35" s="7"/>
      <c r="D35" s="27"/>
      <c r="E35" s="13"/>
      <c r="F35" s="7"/>
    </row>
    <row r="36" spans="1:6" x14ac:dyDescent="0.2">
      <c r="A36" s="6" t="s">
        <v>44</v>
      </c>
      <c r="B36" s="7"/>
      <c r="C36" s="7"/>
      <c r="D36" s="27"/>
      <c r="E36" s="31"/>
      <c r="F36" s="7"/>
    </row>
    <row r="37" spans="1:6" x14ac:dyDescent="0.2">
      <c r="A37" s="7" t="s">
        <v>618</v>
      </c>
      <c r="B37" s="7" t="s">
        <v>614</v>
      </c>
      <c r="C37" s="7" t="s">
        <v>78</v>
      </c>
      <c r="D37" s="27">
        <v>525000</v>
      </c>
      <c r="E37" s="31">
        <v>22324.008662</v>
      </c>
      <c r="F37" s="7">
        <v>2.5618010655013226</v>
      </c>
    </row>
    <row r="38" spans="1:6" x14ac:dyDescent="0.2">
      <c r="A38" s="6" t="s">
        <v>43</v>
      </c>
      <c r="B38" s="7"/>
      <c r="C38" s="7"/>
      <c r="D38" s="27"/>
      <c r="E38" s="29">
        <v>22324.008662</v>
      </c>
      <c r="F38" s="29">
        <v>2.5618010655013226</v>
      </c>
    </row>
    <row r="39" spans="1:6" x14ac:dyDescent="0.2">
      <c r="A39" s="7"/>
      <c r="B39" s="7"/>
      <c r="C39" s="7"/>
      <c r="D39" s="27"/>
      <c r="E39" s="13"/>
      <c r="F39" s="7"/>
    </row>
    <row r="40" spans="1:6" x14ac:dyDescent="0.2">
      <c r="A40" s="6" t="s">
        <v>43</v>
      </c>
      <c r="B40" s="7"/>
      <c r="C40" s="7"/>
      <c r="D40" s="27"/>
      <c r="E40" s="15">
        <v>803469.55122499983</v>
      </c>
      <c r="F40" s="6">
        <v>92.202488522134004</v>
      </c>
    </row>
    <row r="41" spans="1:6" x14ac:dyDescent="0.2">
      <c r="A41" s="7"/>
      <c r="B41" s="7"/>
      <c r="C41" s="7"/>
      <c r="D41" s="7"/>
      <c r="E41" s="13"/>
      <c r="F41" s="7"/>
    </row>
    <row r="42" spans="1:6" x14ac:dyDescent="0.2">
      <c r="A42" s="6" t="s">
        <v>100</v>
      </c>
      <c r="B42" s="7"/>
      <c r="C42" s="7"/>
      <c r="D42" s="7"/>
      <c r="E42" s="15">
        <v>67948.958300500002</v>
      </c>
      <c r="F42" s="6">
        <v>7.7975114778660384</v>
      </c>
    </row>
    <row r="43" spans="1:6" x14ac:dyDescent="0.2">
      <c r="A43" s="7"/>
      <c r="B43" s="7"/>
      <c r="C43" s="7"/>
      <c r="D43" s="7"/>
      <c r="E43" s="13"/>
      <c r="F43" s="7"/>
    </row>
    <row r="44" spans="1:6" x14ac:dyDescent="0.2">
      <c r="A44" s="8" t="s">
        <v>101</v>
      </c>
      <c r="B44" s="5"/>
      <c r="C44" s="5"/>
      <c r="D44" s="5"/>
      <c r="E44" s="16">
        <v>871418.50952549977</v>
      </c>
      <c r="F44" s="8">
        <v>100</v>
      </c>
    </row>
    <row r="46" spans="1:6" x14ac:dyDescent="0.2">
      <c r="A46" s="4" t="s">
        <v>102</v>
      </c>
      <c r="B46" s="2"/>
      <c r="C46" s="2"/>
      <c r="D46" s="2"/>
    </row>
    <row r="47" spans="1:6" x14ac:dyDescent="0.2">
      <c r="A47" s="4" t="s">
        <v>103</v>
      </c>
      <c r="B47" s="2"/>
      <c r="C47" s="2"/>
      <c r="D47" s="2"/>
    </row>
    <row r="48" spans="1:6" x14ac:dyDescent="0.2">
      <c r="A48" s="4" t="s">
        <v>104</v>
      </c>
      <c r="B48" s="2"/>
      <c r="C48" s="2"/>
      <c r="D48" s="2"/>
    </row>
    <row r="49" spans="1:4" x14ac:dyDescent="0.2">
      <c r="A49" s="2" t="s">
        <v>598</v>
      </c>
      <c r="B49" s="2"/>
      <c r="C49" s="2"/>
      <c r="D49" s="10">
        <v>41.778799999999997</v>
      </c>
    </row>
    <row r="50" spans="1:4" x14ac:dyDescent="0.2">
      <c r="A50" s="2" t="s">
        <v>599</v>
      </c>
      <c r="B50" s="2"/>
      <c r="C50" s="2"/>
      <c r="D50" s="10">
        <v>24.563199999999998</v>
      </c>
    </row>
    <row r="51" spans="1:4" x14ac:dyDescent="0.2">
      <c r="A51" s="2" t="s">
        <v>600</v>
      </c>
      <c r="B51" s="2"/>
      <c r="C51" s="2"/>
      <c r="D51" s="10">
        <v>44.718600000000002</v>
      </c>
    </row>
    <row r="52" spans="1:4" x14ac:dyDescent="0.2">
      <c r="A52" s="2" t="s">
        <v>601</v>
      </c>
      <c r="B52" s="2"/>
      <c r="C52" s="2"/>
      <c r="D52" s="10">
        <v>26.7622</v>
      </c>
    </row>
    <row r="53" spans="1:4" x14ac:dyDescent="0.2">
      <c r="A53" s="2"/>
      <c r="B53" s="2"/>
      <c r="C53" s="2"/>
      <c r="D53" s="10"/>
    </row>
    <row r="54" spans="1:4" x14ac:dyDescent="0.2">
      <c r="A54" s="4" t="s">
        <v>105</v>
      </c>
      <c r="B54" s="2"/>
      <c r="C54" s="2"/>
      <c r="D54" s="2"/>
    </row>
    <row r="55" spans="1:4" x14ac:dyDescent="0.2">
      <c r="A55" s="2" t="s">
        <v>598</v>
      </c>
      <c r="B55" s="2"/>
      <c r="C55" s="2"/>
      <c r="D55" s="10">
        <v>41.190100000000001</v>
      </c>
    </row>
    <row r="56" spans="1:4" x14ac:dyDescent="0.2">
      <c r="A56" s="2" t="s">
        <v>599</v>
      </c>
      <c r="B56" s="2"/>
      <c r="C56" s="2"/>
      <c r="D56" s="10">
        <v>22.331199999999999</v>
      </c>
    </row>
    <row r="57" spans="1:4" x14ac:dyDescent="0.2">
      <c r="A57" s="2" t="s">
        <v>600</v>
      </c>
      <c r="B57" s="2"/>
      <c r="C57" s="2"/>
      <c r="D57" s="10">
        <v>44.283799999999999</v>
      </c>
    </row>
    <row r="58" spans="1:4" x14ac:dyDescent="0.2">
      <c r="A58" s="2" t="s">
        <v>601</v>
      </c>
      <c r="B58" s="2"/>
      <c r="C58" s="2"/>
      <c r="D58" s="10">
        <v>24.613099999999999</v>
      </c>
    </row>
    <row r="59" spans="1:4" x14ac:dyDescent="0.2">
      <c r="A59" s="2"/>
      <c r="B59" s="2"/>
      <c r="C59" s="2"/>
      <c r="D59" s="2"/>
    </row>
    <row r="60" spans="1:4" x14ac:dyDescent="0.2">
      <c r="A60" s="4" t="s">
        <v>106</v>
      </c>
      <c r="B60" s="2"/>
      <c r="C60" s="2"/>
      <c r="D60" s="17" t="s">
        <v>319</v>
      </c>
    </row>
    <row r="61" spans="1:4" x14ac:dyDescent="0.2">
      <c r="A61" s="18" t="s">
        <v>602</v>
      </c>
      <c r="B61" s="19"/>
      <c r="C61" s="110" t="s">
        <v>603</v>
      </c>
      <c r="D61" s="111"/>
    </row>
    <row r="62" spans="1:4" x14ac:dyDescent="0.2">
      <c r="A62" s="112"/>
      <c r="B62" s="113"/>
      <c r="C62" s="20" t="s">
        <v>604</v>
      </c>
      <c r="D62" s="20" t="s">
        <v>605</v>
      </c>
    </row>
    <row r="63" spans="1:4" x14ac:dyDescent="0.2">
      <c r="A63" s="21" t="s">
        <v>599</v>
      </c>
      <c r="B63" s="22"/>
      <c r="C63" s="23">
        <v>1.5494648225000001</v>
      </c>
      <c r="D63" s="23">
        <v>1.5494648225000001</v>
      </c>
    </row>
    <row r="64" spans="1:4" x14ac:dyDescent="0.2">
      <c r="A64" s="21" t="s">
        <v>601</v>
      </c>
      <c r="B64" s="22"/>
      <c r="C64" s="23">
        <v>1.5494648225000001</v>
      </c>
      <c r="D64" s="23">
        <v>1.5494648225000001</v>
      </c>
    </row>
    <row r="65" spans="1:4" x14ac:dyDescent="0.2">
      <c r="A65" s="4"/>
      <c r="B65" s="2"/>
      <c r="C65" s="2"/>
      <c r="D65" s="17"/>
    </row>
    <row r="66" spans="1:4" x14ac:dyDescent="0.2">
      <c r="A66" s="9" t="s">
        <v>606</v>
      </c>
      <c r="B66" s="2"/>
      <c r="C66" s="2"/>
      <c r="D66" s="24">
        <v>0.20776871454636334</v>
      </c>
    </row>
    <row r="67" spans="1:4" x14ac:dyDescent="0.2">
      <c r="A67" s="2"/>
      <c r="B67" s="2"/>
      <c r="C67" s="2"/>
      <c r="D67" s="2"/>
    </row>
  </sheetData>
  <mergeCells count="3">
    <mergeCell ref="A1:F1"/>
    <mergeCell ref="C61:D61"/>
    <mergeCell ref="A62:B6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3248-F722-48D3-84A9-81082628984B}">
  <dimension ref="A1:G102"/>
  <sheetViews>
    <sheetView showGridLines="0" workbookViewId="0">
      <selection sqref="A1:G1"/>
    </sheetView>
  </sheetViews>
  <sheetFormatPr defaultRowHeight="11.25" x14ac:dyDescent="0.2"/>
  <cols>
    <col min="1" max="1" width="59" style="1" bestFit="1" customWidth="1"/>
    <col min="2" max="2" width="43.1406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14" style="2" customWidth="1"/>
    <col min="8" max="16384" width="9.140625" style="2"/>
  </cols>
  <sheetData>
    <row r="1" spans="1:7" x14ac:dyDescent="0.2">
      <c r="A1" s="109" t="s">
        <v>369</v>
      </c>
      <c r="B1" s="109"/>
      <c r="C1" s="109"/>
      <c r="D1" s="109"/>
      <c r="E1" s="109"/>
      <c r="F1" s="109"/>
      <c r="G1" s="109"/>
    </row>
    <row r="3" spans="1:7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15" t="s">
        <v>623</v>
      </c>
    </row>
    <row r="4" spans="1:7" x14ac:dyDescent="0.2">
      <c r="A4" s="5"/>
      <c r="B4" s="5"/>
      <c r="C4" s="5"/>
      <c r="D4" s="5"/>
      <c r="E4" s="5"/>
      <c r="F4" s="5"/>
      <c r="G4" s="116"/>
    </row>
    <row r="5" spans="1:7" x14ac:dyDescent="0.2">
      <c r="A5" s="6" t="s">
        <v>7</v>
      </c>
      <c r="B5" s="7"/>
      <c r="C5" s="7"/>
      <c r="D5" s="7"/>
      <c r="E5" s="7"/>
      <c r="F5" s="7"/>
      <c r="G5" s="30"/>
    </row>
    <row r="6" spans="1:7" x14ac:dyDescent="0.2">
      <c r="A6" s="6" t="s">
        <v>8</v>
      </c>
      <c r="B6" s="7"/>
      <c r="C6" s="7"/>
      <c r="D6" s="7"/>
      <c r="E6" s="7"/>
      <c r="F6" s="7"/>
      <c r="G6" s="30"/>
    </row>
    <row r="7" spans="1:7" x14ac:dyDescent="0.2">
      <c r="A7" s="7" t="s">
        <v>185</v>
      </c>
      <c r="B7" s="7" t="s">
        <v>186</v>
      </c>
      <c r="C7" s="7" t="s">
        <v>78</v>
      </c>
      <c r="D7" s="14">
        <v>615444</v>
      </c>
      <c r="E7" s="13">
        <v>4219.4840640000002</v>
      </c>
      <c r="F7" s="7">
        <v>4.5795511888053468</v>
      </c>
      <c r="G7" s="30"/>
    </row>
    <row r="8" spans="1:7" x14ac:dyDescent="0.2">
      <c r="A8" s="7" t="s">
        <v>207</v>
      </c>
      <c r="B8" s="7" t="s">
        <v>208</v>
      </c>
      <c r="C8" s="7" t="s">
        <v>120</v>
      </c>
      <c r="D8" s="14">
        <v>2009054</v>
      </c>
      <c r="E8" s="13">
        <v>3984.9586089999998</v>
      </c>
      <c r="F8" s="7">
        <v>4.3250126457133717</v>
      </c>
      <c r="G8" s="30"/>
    </row>
    <row r="9" spans="1:7" x14ac:dyDescent="0.2">
      <c r="A9" s="7" t="s">
        <v>118</v>
      </c>
      <c r="B9" s="7" t="s">
        <v>119</v>
      </c>
      <c r="C9" s="7" t="s">
        <v>120</v>
      </c>
      <c r="D9" s="14">
        <v>3150145</v>
      </c>
      <c r="E9" s="13">
        <v>3855.7774800000002</v>
      </c>
      <c r="F9" s="7">
        <v>4.184807923071916</v>
      </c>
      <c r="G9" s="30"/>
    </row>
    <row r="10" spans="1:7" x14ac:dyDescent="0.2">
      <c r="A10" s="7" t="s">
        <v>220</v>
      </c>
      <c r="B10" s="7" t="s">
        <v>221</v>
      </c>
      <c r="C10" s="7" t="s">
        <v>222</v>
      </c>
      <c r="D10" s="14">
        <v>484134</v>
      </c>
      <c r="E10" s="13">
        <v>3034.5519119999999</v>
      </c>
      <c r="F10" s="7">
        <v>3.2935035670965713</v>
      </c>
      <c r="G10" s="30"/>
    </row>
    <row r="11" spans="1:7" x14ac:dyDescent="0.2">
      <c r="A11" s="7" t="s">
        <v>129</v>
      </c>
      <c r="B11" s="7" t="s">
        <v>130</v>
      </c>
      <c r="C11" s="7" t="s">
        <v>131</v>
      </c>
      <c r="D11" s="14">
        <v>1053388</v>
      </c>
      <c r="E11" s="13">
        <v>3016.9032320000001</v>
      </c>
      <c r="F11" s="7">
        <v>3.274348847645344</v>
      </c>
      <c r="G11" s="30"/>
    </row>
    <row r="12" spans="1:7" x14ac:dyDescent="0.2">
      <c r="A12" s="7" t="s">
        <v>205</v>
      </c>
      <c r="B12" s="7" t="s">
        <v>206</v>
      </c>
      <c r="C12" s="7" t="s">
        <v>120</v>
      </c>
      <c r="D12" s="14">
        <v>4797866</v>
      </c>
      <c r="E12" s="13">
        <v>2845.1345379999998</v>
      </c>
      <c r="F12" s="7">
        <v>3.0879223758597063</v>
      </c>
      <c r="G12" s="30"/>
    </row>
    <row r="13" spans="1:7" x14ac:dyDescent="0.2">
      <c r="A13" s="7" t="s">
        <v>325</v>
      </c>
      <c r="B13" s="7" t="s">
        <v>326</v>
      </c>
      <c r="C13" s="7" t="s">
        <v>327</v>
      </c>
      <c r="D13" s="14">
        <v>1247000</v>
      </c>
      <c r="E13" s="13">
        <v>2588.1484999999998</v>
      </c>
      <c r="F13" s="7">
        <v>2.809006589479508</v>
      </c>
      <c r="G13" s="30"/>
    </row>
    <row r="14" spans="1:7" x14ac:dyDescent="0.2">
      <c r="A14" s="7" t="s">
        <v>216</v>
      </c>
      <c r="B14" s="7" t="s">
        <v>217</v>
      </c>
      <c r="C14" s="7" t="s">
        <v>131</v>
      </c>
      <c r="D14" s="14">
        <v>1224255</v>
      </c>
      <c r="E14" s="13">
        <v>2561.7535874999999</v>
      </c>
      <c r="F14" s="7">
        <v>2.7803592830590169</v>
      </c>
      <c r="G14" s="30"/>
    </row>
    <row r="15" spans="1:7" x14ac:dyDescent="0.2">
      <c r="A15" s="7" t="s">
        <v>301</v>
      </c>
      <c r="B15" s="7" t="s">
        <v>302</v>
      </c>
      <c r="C15" s="7" t="s">
        <v>39</v>
      </c>
      <c r="D15" s="14">
        <v>419757</v>
      </c>
      <c r="E15" s="13">
        <v>2540.5792425</v>
      </c>
      <c r="F15" s="7">
        <v>2.7573780381138708</v>
      </c>
      <c r="G15" s="30"/>
    </row>
    <row r="16" spans="1:7" x14ac:dyDescent="0.2">
      <c r="A16" s="7" t="s">
        <v>328</v>
      </c>
      <c r="B16" s="7" t="s">
        <v>329</v>
      </c>
      <c r="C16" s="7" t="s">
        <v>30</v>
      </c>
      <c r="D16" s="14">
        <v>284585</v>
      </c>
      <c r="E16" s="13">
        <v>2388.2373200000002</v>
      </c>
      <c r="F16" s="7">
        <v>2.5920361096439719</v>
      </c>
      <c r="G16" s="30"/>
    </row>
    <row r="17" spans="1:7" x14ac:dyDescent="0.2">
      <c r="A17" s="7" t="s">
        <v>236</v>
      </c>
      <c r="B17" s="7" t="s">
        <v>237</v>
      </c>
      <c r="C17" s="7" t="s">
        <v>117</v>
      </c>
      <c r="D17" s="14">
        <v>639633</v>
      </c>
      <c r="E17" s="13">
        <v>2080.4063325000002</v>
      </c>
      <c r="F17" s="7">
        <v>2.2579365506992346</v>
      </c>
      <c r="G17" s="30"/>
    </row>
    <row r="18" spans="1:7" x14ac:dyDescent="0.2">
      <c r="A18" s="7" t="s">
        <v>183</v>
      </c>
      <c r="B18" s="7" t="s">
        <v>184</v>
      </c>
      <c r="C18" s="7" t="s">
        <v>57</v>
      </c>
      <c r="D18" s="14">
        <v>264691</v>
      </c>
      <c r="E18" s="13">
        <v>2034.8120624999999</v>
      </c>
      <c r="F18" s="7">
        <v>2.208451521199378</v>
      </c>
      <c r="G18" s="30"/>
    </row>
    <row r="19" spans="1:7" x14ac:dyDescent="0.2">
      <c r="A19" s="7" t="s">
        <v>231</v>
      </c>
      <c r="B19" s="7" t="s">
        <v>232</v>
      </c>
      <c r="C19" s="7" t="s">
        <v>233</v>
      </c>
      <c r="D19" s="14">
        <v>1002100</v>
      </c>
      <c r="E19" s="13">
        <v>1906.9963</v>
      </c>
      <c r="F19" s="7">
        <v>2.0697286777837673</v>
      </c>
      <c r="G19" s="30"/>
    </row>
    <row r="20" spans="1:7" x14ac:dyDescent="0.2">
      <c r="A20" s="7" t="s">
        <v>330</v>
      </c>
      <c r="B20" s="7" t="s">
        <v>331</v>
      </c>
      <c r="C20" s="7" t="s">
        <v>140</v>
      </c>
      <c r="D20" s="14">
        <v>1517846</v>
      </c>
      <c r="E20" s="13">
        <v>1803.959971</v>
      </c>
      <c r="F20" s="7">
        <v>1.9578998058636368</v>
      </c>
      <c r="G20" s="30"/>
    </row>
    <row r="21" spans="1:7" x14ac:dyDescent="0.2">
      <c r="A21" s="7" t="s">
        <v>223</v>
      </c>
      <c r="B21" s="7" t="s">
        <v>224</v>
      </c>
      <c r="C21" s="7" t="s">
        <v>36</v>
      </c>
      <c r="D21" s="14">
        <v>114045</v>
      </c>
      <c r="E21" s="13">
        <v>1766.78514</v>
      </c>
      <c r="F21" s="7">
        <v>1.9175526831070457</v>
      </c>
      <c r="G21" s="30"/>
    </row>
    <row r="22" spans="1:7" x14ac:dyDescent="0.2">
      <c r="A22" s="7" t="s">
        <v>252</v>
      </c>
      <c r="B22" s="7" t="s">
        <v>253</v>
      </c>
      <c r="C22" s="7" t="s">
        <v>78</v>
      </c>
      <c r="D22" s="14">
        <v>221952</v>
      </c>
      <c r="E22" s="13">
        <v>1640.2252800000001</v>
      </c>
      <c r="F22" s="7">
        <v>1.7801929138729373</v>
      </c>
      <c r="G22" s="30"/>
    </row>
    <row r="23" spans="1:7" x14ac:dyDescent="0.2">
      <c r="A23" s="7" t="s">
        <v>332</v>
      </c>
      <c r="B23" s="7" t="s">
        <v>333</v>
      </c>
      <c r="C23" s="7" t="s">
        <v>57</v>
      </c>
      <c r="D23" s="14">
        <v>126875</v>
      </c>
      <c r="E23" s="13">
        <v>1417.2571875000001</v>
      </c>
      <c r="F23" s="7">
        <v>1.5381979738313682</v>
      </c>
      <c r="G23" s="30"/>
    </row>
    <row r="24" spans="1:7" x14ac:dyDescent="0.2">
      <c r="A24" s="7" t="s">
        <v>265</v>
      </c>
      <c r="B24" s="7" t="s">
        <v>266</v>
      </c>
      <c r="C24" s="7" t="s">
        <v>30</v>
      </c>
      <c r="D24" s="14">
        <v>1505501</v>
      </c>
      <c r="E24" s="13">
        <v>1405.3851835</v>
      </c>
      <c r="F24" s="7">
        <v>1.5253128795385458</v>
      </c>
      <c r="G24" s="30"/>
    </row>
    <row r="25" spans="1:7" x14ac:dyDescent="0.2">
      <c r="A25" s="7" t="s">
        <v>227</v>
      </c>
      <c r="B25" s="7" t="s">
        <v>228</v>
      </c>
      <c r="C25" s="7" t="s">
        <v>11</v>
      </c>
      <c r="D25" s="14">
        <v>1505600</v>
      </c>
      <c r="E25" s="13">
        <v>1261.6928</v>
      </c>
      <c r="F25" s="7">
        <v>1.3693585932564734</v>
      </c>
      <c r="G25" s="30"/>
    </row>
    <row r="26" spans="1:7" x14ac:dyDescent="0.2">
      <c r="A26" s="7" t="s">
        <v>334</v>
      </c>
      <c r="B26" s="7" t="s">
        <v>335</v>
      </c>
      <c r="C26" s="7" t="s">
        <v>336</v>
      </c>
      <c r="D26" s="14">
        <v>136944</v>
      </c>
      <c r="E26" s="13">
        <v>1237.6314</v>
      </c>
      <c r="F26" s="7">
        <v>1.3432439282161548</v>
      </c>
      <c r="G26" s="30"/>
    </row>
    <row r="27" spans="1:7" x14ac:dyDescent="0.2">
      <c r="A27" s="7" t="s">
        <v>337</v>
      </c>
      <c r="B27" s="7" t="s">
        <v>338</v>
      </c>
      <c r="C27" s="7" t="s">
        <v>178</v>
      </c>
      <c r="D27" s="14">
        <v>494940</v>
      </c>
      <c r="E27" s="13">
        <v>1218.0473400000001</v>
      </c>
      <c r="F27" s="7">
        <v>1.3219886742812428</v>
      </c>
      <c r="G27" s="30"/>
    </row>
    <row r="28" spans="1:7" x14ac:dyDescent="0.2">
      <c r="A28" s="7" t="s">
        <v>246</v>
      </c>
      <c r="B28" s="7" t="s">
        <v>247</v>
      </c>
      <c r="C28" s="7" t="s">
        <v>248</v>
      </c>
      <c r="D28" s="14">
        <v>178656</v>
      </c>
      <c r="E28" s="13">
        <v>1161.0853440000001</v>
      </c>
      <c r="F28" s="7">
        <v>1.2601658607472028</v>
      </c>
      <c r="G28" s="30"/>
    </row>
    <row r="29" spans="1:7" x14ac:dyDescent="0.2">
      <c r="A29" s="7" t="s">
        <v>339</v>
      </c>
      <c r="B29" s="7" t="s">
        <v>340</v>
      </c>
      <c r="C29" s="7" t="s">
        <v>57</v>
      </c>
      <c r="D29" s="14">
        <v>140800</v>
      </c>
      <c r="E29" s="13">
        <v>1140.1984</v>
      </c>
      <c r="F29" s="7">
        <v>1.2374965419928541</v>
      </c>
      <c r="G29" s="30"/>
    </row>
    <row r="30" spans="1:7" x14ac:dyDescent="0.2">
      <c r="A30" s="7" t="s">
        <v>176</v>
      </c>
      <c r="B30" s="7" t="s">
        <v>177</v>
      </c>
      <c r="C30" s="7" t="s">
        <v>178</v>
      </c>
      <c r="D30" s="14">
        <v>40000</v>
      </c>
      <c r="E30" s="13">
        <v>1113.28</v>
      </c>
      <c r="F30" s="7">
        <v>1.2082810765826406</v>
      </c>
      <c r="G30" s="30"/>
    </row>
    <row r="31" spans="1:7" x14ac:dyDescent="0.2">
      <c r="A31" s="7" t="s">
        <v>341</v>
      </c>
      <c r="B31" s="7" t="s">
        <v>342</v>
      </c>
      <c r="C31" s="7" t="s">
        <v>327</v>
      </c>
      <c r="D31" s="14">
        <v>959254</v>
      </c>
      <c r="E31" s="13">
        <v>1080.1200040000001</v>
      </c>
      <c r="F31" s="7">
        <v>1.1722913923465492</v>
      </c>
      <c r="G31" s="30"/>
    </row>
    <row r="32" spans="1:7" x14ac:dyDescent="0.2">
      <c r="A32" s="7" t="s">
        <v>343</v>
      </c>
      <c r="B32" s="7" t="s">
        <v>344</v>
      </c>
      <c r="C32" s="7" t="s">
        <v>33</v>
      </c>
      <c r="D32" s="14">
        <v>32930</v>
      </c>
      <c r="E32" s="13">
        <v>1069.352355</v>
      </c>
      <c r="F32" s="7">
        <v>1.1606048925208234</v>
      </c>
      <c r="G32" s="30"/>
    </row>
    <row r="33" spans="1:7" x14ac:dyDescent="0.2">
      <c r="A33" s="7" t="s">
        <v>134</v>
      </c>
      <c r="B33" s="7" t="s">
        <v>135</v>
      </c>
      <c r="C33" s="7" t="s">
        <v>54</v>
      </c>
      <c r="D33" s="14">
        <v>753071</v>
      </c>
      <c r="E33" s="13">
        <v>1067.1016070000001</v>
      </c>
      <c r="F33" s="7">
        <v>1.1581620782992832</v>
      </c>
      <c r="G33" s="30"/>
    </row>
    <row r="34" spans="1:7" x14ac:dyDescent="0.2">
      <c r="A34" s="7" t="s">
        <v>115</v>
      </c>
      <c r="B34" s="7" t="s">
        <v>116</v>
      </c>
      <c r="C34" s="7" t="s">
        <v>117</v>
      </c>
      <c r="D34" s="14">
        <v>672460</v>
      </c>
      <c r="E34" s="13">
        <v>987.17128000000002</v>
      </c>
      <c r="F34" s="7">
        <v>1.0714109451080263</v>
      </c>
      <c r="G34" s="30"/>
    </row>
    <row r="35" spans="1:7" x14ac:dyDescent="0.2">
      <c r="A35" s="7" t="s">
        <v>267</v>
      </c>
      <c r="B35" s="7" t="s">
        <v>268</v>
      </c>
      <c r="C35" s="7" t="s">
        <v>251</v>
      </c>
      <c r="D35" s="14">
        <v>821499</v>
      </c>
      <c r="E35" s="13">
        <v>970.6010685</v>
      </c>
      <c r="F35" s="7">
        <v>1.0534267246150486</v>
      </c>
      <c r="G35" s="30"/>
    </row>
    <row r="36" spans="1:7" x14ac:dyDescent="0.2">
      <c r="A36" s="7" t="s">
        <v>244</v>
      </c>
      <c r="B36" s="7" t="s">
        <v>245</v>
      </c>
      <c r="C36" s="7" t="s">
        <v>33</v>
      </c>
      <c r="D36" s="14">
        <v>1239545</v>
      </c>
      <c r="E36" s="13">
        <v>951.35078750000002</v>
      </c>
      <c r="F36" s="7">
        <v>1.0325337325095603</v>
      </c>
      <c r="G36" s="30"/>
    </row>
    <row r="37" spans="1:7" x14ac:dyDescent="0.2">
      <c r="A37" s="7" t="s">
        <v>149</v>
      </c>
      <c r="B37" s="7" t="s">
        <v>597</v>
      </c>
      <c r="C37" s="7" t="s">
        <v>33</v>
      </c>
      <c r="D37" s="14">
        <v>1158906</v>
      </c>
      <c r="E37" s="13">
        <v>947.40565500000002</v>
      </c>
      <c r="F37" s="7">
        <v>1.0282519445098106</v>
      </c>
      <c r="G37" s="30"/>
    </row>
    <row r="38" spans="1:7" x14ac:dyDescent="0.2">
      <c r="A38" s="7" t="s">
        <v>198</v>
      </c>
      <c r="B38" s="7" t="s">
        <v>199</v>
      </c>
      <c r="C38" s="7" t="s">
        <v>33</v>
      </c>
      <c r="D38" s="14">
        <v>155566</v>
      </c>
      <c r="E38" s="13">
        <v>943.43000700000005</v>
      </c>
      <c r="F38" s="7">
        <v>1.0239370369882945</v>
      </c>
      <c r="G38" s="30"/>
    </row>
    <row r="39" spans="1:7" x14ac:dyDescent="0.2">
      <c r="A39" s="7" t="s">
        <v>109</v>
      </c>
      <c r="B39" s="7" t="s">
        <v>110</v>
      </c>
      <c r="C39" s="7" t="s">
        <v>11</v>
      </c>
      <c r="D39" s="14">
        <v>200567</v>
      </c>
      <c r="E39" s="13">
        <v>928.72549349999997</v>
      </c>
      <c r="F39" s="7">
        <v>1.0079777227076065</v>
      </c>
      <c r="G39" s="30"/>
    </row>
    <row r="40" spans="1:7" x14ac:dyDescent="0.2">
      <c r="A40" s="7" t="s">
        <v>273</v>
      </c>
      <c r="B40" s="7" t="s">
        <v>274</v>
      </c>
      <c r="C40" s="7" t="s">
        <v>233</v>
      </c>
      <c r="D40" s="14">
        <v>42276</v>
      </c>
      <c r="E40" s="13">
        <v>885.89358000000004</v>
      </c>
      <c r="F40" s="7">
        <v>0.96149077373172065</v>
      </c>
      <c r="G40" s="30"/>
    </row>
    <row r="41" spans="1:7" x14ac:dyDescent="0.2">
      <c r="A41" s="7" t="s">
        <v>240</v>
      </c>
      <c r="B41" s="7" t="s">
        <v>241</v>
      </c>
      <c r="C41" s="7" t="s">
        <v>233</v>
      </c>
      <c r="D41" s="14">
        <v>99400</v>
      </c>
      <c r="E41" s="13">
        <v>879.39179999999999</v>
      </c>
      <c r="F41" s="7">
        <v>0.95443416826130556</v>
      </c>
      <c r="G41" s="30"/>
    </row>
    <row r="42" spans="1:7" x14ac:dyDescent="0.2">
      <c r="A42" s="7" t="s">
        <v>9</v>
      </c>
      <c r="B42" s="7" t="s">
        <v>10</v>
      </c>
      <c r="C42" s="7" t="s">
        <v>11</v>
      </c>
      <c r="D42" s="14">
        <v>66400</v>
      </c>
      <c r="E42" s="13">
        <v>816.95240000000001</v>
      </c>
      <c r="F42" s="7">
        <v>0.88666653976427512</v>
      </c>
      <c r="G42" s="30"/>
    </row>
    <row r="43" spans="1:7" x14ac:dyDescent="0.2">
      <c r="A43" s="7" t="s">
        <v>218</v>
      </c>
      <c r="B43" s="7" t="s">
        <v>219</v>
      </c>
      <c r="C43" s="7" t="s">
        <v>120</v>
      </c>
      <c r="D43" s="14">
        <v>100000</v>
      </c>
      <c r="E43" s="13">
        <v>798.3</v>
      </c>
      <c r="F43" s="7">
        <v>0.86642244847291072</v>
      </c>
      <c r="G43" s="30"/>
    </row>
    <row r="44" spans="1:7" x14ac:dyDescent="0.2">
      <c r="A44" s="7" t="s">
        <v>269</v>
      </c>
      <c r="B44" s="7" t="s">
        <v>270</v>
      </c>
      <c r="C44" s="7" t="s">
        <v>248</v>
      </c>
      <c r="D44" s="14">
        <v>439349</v>
      </c>
      <c r="E44" s="13">
        <v>676.81713449999995</v>
      </c>
      <c r="F44" s="7">
        <v>0.7345729159988843</v>
      </c>
      <c r="G44" s="30"/>
    </row>
    <row r="45" spans="1:7" x14ac:dyDescent="0.2">
      <c r="A45" s="7" t="s">
        <v>136</v>
      </c>
      <c r="B45" s="7" t="s">
        <v>137</v>
      </c>
      <c r="C45" s="7" t="s">
        <v>131</v>
      </c>
      <c r="D45" s="14">
        <v>471258</v>
      </c>
      <c r="E45" s="13">
        <v>647.27286300000003</v>
      </c>
      <c r="F45" s="7">
        <v>0.70250750192976441</v>
      </c>
      <c r="G45" s="30"/>
    </row>
    <row r="46" spans="1:7" x14ac:dyDescent="0.2">
      <c r="A46" s="7" t="s">
        <v>37</v>
      </c>
      <c r="B46" s="7" t="s">
        <v>38</v>
      </c>
      <c r="C46" s="7" t="s">
        <v>39</v>
      </c>
      <c r="D46" s="14">
        <v>110000</v>
      </c>
      <c r="E46" s="13">
        <v>598.34500000000003</v>
      </c>
      <c r="F46" s="7">
        <v>0.64940440928413357</v>
      </c>
      <c r="G46" s="30"/>
    </row>
    <row r="47" spans="1:7" x14ac:dyDescent="0.2">
      <c r="A47" s="7" t="s">
        <v>154</v>
      </c>
      <c r="B47" s="7" t="s">
        <v>155</v>
      </c>
      <c r="C47" s="7" t="s">
        <v>24</v>
      </c>
      <c r="D47" s="14">
        <v>9748</v>
      </c>
      <c r="E47" s="13">
        <v>4.425592</v>
      </c>
      <c r="F47" s="25" t="s">
        <v>607</v>
      </c>
      <c r="G47" s="7">
        <v>1.54</v>
      </c>
    </row>
    <row r="48" spans="1:7" x14ac:dyDescent="0.2">
      <c r="A48" s="6" t="s">
        <v>43</v>
      </c>
      <c r="B48" s="7"/>
      <c r="C48" s="7"/>
      <c r="D48" s="14"/>
      <c r="E48" s="15">
        <v>66475.947853000005</v>
      </c>
      <c r="F48" s="6">
        <v>72.148632723730188</v>
      </c>
      <c r="G48" s="6">
        <v>1.54</v>
      </c>
    </row>
    <row r="49" spans="1:7" x14ac:dyDescent="0.2">
      <c r="A49" s="7"/>
      <c r="B49" s="7"/>
      <c r="C49" s="7"/>
      <c r="D49" s="14"/>
      <c r="E49" s="13"/>
      <c r="F49" s="7"/>
      <c r="G49" s="30"/>
    </row>
    <row r="50" spans="1:7" x14ac:dyDescent="0.2">
      <c r="A50" s="6" t="s">
        <v>629</v>
      </c>
      <c r="B50" s="7"/>
      <c r="C50" s="7"/>
      <c r="D50" s="32"/>
      <c r="E50" s="31"/>
      <c r="F50" s="7"/>
      <c r="G50" s="30"/>
    </row>
    <row r="51" spans="1:7" x14ac:dyDescent="0.2">
      <c r="A51" s="7" t="s">
        <v>630</v>
      </c>
      <c r="B51" s="7" t="s">
        <v>631</v>
      </c>
      <c r="C51" s="7"/>
      <c r="D51" s="32">
        <v>439200</v>
      </c>
      <c r="E51" s="31">
        <v>1814.1155999999999</v>
      </c>
      <c r="F51" s="7">
        <v>1.9689220593322103</v>
      </c>
      <c r="G51" s="30"/>
    </row>
    <row r="52" spans="1:7" x14ac:dyDescent="0.2">
      <c r="A52" s="6" t="s">
        <v>43</v>
      </c>
      <c r="B52" s="7"/>
      <c r="C52" s="7"/>
      <c r="D52" s="32"/>
      <c r="E52" s="45">
        <v>1814.1155999999999</v>
      </c>
      <c r="F52" s="29">
        <v>1.9689220593322103</v>
      </c>
      <c r="G52" s="30"/>
    </row>
    <row r="53" spans="1:7" x14ac:dyDescent="0.2">
      <c r="A53" s="7"/>
      <c r="B53" s="7"/>
      <c r="C53" s="7"/>
      <c r="D53" s="14"/>
      <c r="E53" s="13"/>
      <c r="F53" s="7"/>
      <c r="G53" s="30"/>
    </row>
    <row r="54" spans="1:7" x14ac:dyDescent="0.2">
      <c r="A54" s="6" t="s">
        <v>44</v>
      </c>
      <c r="B54" s="7"/>
      <c r="C54" s="7"/>
      <c r="D54" s="14"/>
      <c r="E54" s="13"/>
      <c r="F54" s="7"/>
      <c r="G54" s="30"/>
    </row>
    <row r="55" spans="1:7" x14ac:dyDescent="0.2">
      <c r="A55" s="30" t="s">
        <v>356</v>
      </c>
      <c r="B55" s="7" t="s">
        <v>357</v>
      </c>
      <c r="C55" s="7" t="s">
        <v>251</v>
      </c>
      <c r="D55" s="14">
        <v>8075983</v>
      </c>
      <c r="E55" s="13">
        <v>3248.7383278000002</v>
      </c>
      <c r="F55" s="7">
        <v>3.5259674513594712</v>
      </c>
      <c r="G55" s="30"/>
    </row>
    <row r="56" spans="1:7" x14ac:dyDescent="0.2">
      <c r="A56" s="30" t="s">
        <v>632</v>
      </c>
      <c r="B56" s="7" t="s">
        <v>637</v>
      </c>
      <c r="C56" s="7" t="s">
        <v>140</v>
      </c>
      <c r="D56" s="14">
        <v>2562198</v>
      </c>
      <c r="E56" s="13">
        <v>1941.5731515</v>
      </c>
      <c r="F56" s="7">
        <v>2.1072561240284302</v>
      </c>
      <c r="G56" s="30"/>
    </row>
    <row r="57" spans="1:7" x14ac:dyDescent="0.2">
      <c r="A57" s="30" t="s">
        <v>636</v>
      </c>
      <c r="B57" s="7" t="s">
        <v>638</v>
      </c>
      <c r="C57" s="7" t="s">
        <v>36</v>
      </c>
      <c r="D57" s="14">
        <v>851378</v>
      </c>
      <c r="E57" s="13">
        <v>1607.9680443000002</v>
      </c>
      <c r="F57" s="7">
        <v>1.7451830264419443</v>
      </c>
      <c r="G57" s="30"/>
    </row>
    <row r="58" spans="1:7" x14ac:dyDescent="0.2">
      <c r="A58" s="30" t="s">
        <v>634</v>
      </c>
      <c r="B58" s="7" t="s">
        <v>639</v>
      </c>
      <c r="C58" s="7" t="s">
        <v>233</v>
      </c>
      <c r="D58" s="14">
        <v>340000</v>
      </c>
      <c r="E58" s="13">
        <v>1501.2587641999999</v>
      </c>
      <c r="F58" s="7">
        <v>1.6293677743574846</v>
      </c>
      <c r="G58" s="30"/>
    </row>
    <row r="59" spans="1:7" x14ac:dyDescent="0.2">
      <c r="A59" s="30" t="s">
        <v>348</v>
      </c>
      <c r="B59" s="7" t="s">
        <v>349</v>
      </c>
      <c r="C59" s="7" t="s">
        <v>178</v>
      </c>
      <c r="D59" s="14">
        <v>2678400</v>
      </c>
      <c r="E59" s="13">
        <v>1409.8987798000001</v>
      </c>
      <c r="F59" s="7">
        <v>1.5302116408534203</v>
      </c>
      <c r="G59" s="30"/>
    </row>
    <row r="60" spans="1:7" x14ac:dyDescent="0.2">
      <c r="A60" s="30" t="s">
        <v>354</v>
      </c>
      <c r="B60" s="7" t="s">
        <v>355</v>
      </c>
      <c r="C60" s="7" t="s">
        <v>92</v>
      </c>
      <c r="D60" s="14">
        <v>3297307</v>
      </c>
      <c r="E60" s="13">
        <v>1362.2618462</v>
      </c>
      <c r="F60" s="7">
        <v>1.4785096382886533</v>
      </c>
      <c r="G60" s="30"/>
    </row>
    <row r="61" spans="1:7" x14ac:dyDescent="0.2">
      <c r="A61" s="30" t="s">
        <v>71</v>
      </c>
      <c r="B61" s="7" t="s">
        <v>72</v>
      </c>
      <c r="C61" s="7" t="s">
        <v>36</v>
      </c>
      <c r="D61" s="14">
        <v>440700</v>
      </c>
      <c r="E61" s="13">
        <v>1241.7661171</v>
      </c>
      <c r="F61" s="7">
        <v>1.3477314789032711</v>
      </c>
      <c r="G61" s="30"/>
    </row>
    <row r="62" spans="1:7" x14ac:dyDescent="0.2">
      <c r="A62" s="30" t="s">
        <v>345</v>
      </c>
      <c r="B62" s="7" t="s">
        <v>640</v>
      </c>
      <c r="C62" s="7" t="s">
        <v>140</v>
      </c>
      <c r="D62" s="14">
        <v>2017335</v>
      </c>
      <c r="E62" s="13">
        <v>1127.7155097</v>
      </c>
      <c r="F62" s="7">
        <v>1.2239484317864846</v>
      </c>
      <c r="G62" s="30"/>
    </row>
    <row r="63" spans="1:7" x14ac:dyDescent="0.2">
      <c r="A63" s="30" t="s">
        <v>635</v>
      </c>
      <c r="B63" s="7" t="s">
        <v>641</v>
      </c>
      <c r="C63" s="7" t="s">
        <v>178</v>
      </c>
      <c r="D63" s="14">
        <v>5150</v>
      </c>
      <c r="E63" s="13">
        <v>1032.7769934</v>
      </c>
      <c r="F63" s="7">
        <v>1.1209083945235117</v>
      </c>
      <c r="G63" s="30"/>
    </row>
    <row r="64" spans="1:7" x14ac:dyDescent="0.2">
      <c r="A64" s="30" t="s">
        <v>350</v>
      </c>
      <c r="B64" s="7" t="s">
        <v>351</v>
      </c>
      <c r="C64" s="7" t="s">
        <v>78</v>
      </c>
      <c r="D64" s="14">
        <v>633055</v>
      </c>
      <c r="E64" s="13">
        <v>1026.6699253000002</v>
      </c>
      <c r="F64" s="7">
        <v>1.1142801834547496</v>
      </c>
      <c r="G64" s="30"/>
    </row>
    <row r="65" spans="1:7" x14ac:dyDescent="0.2">
      <c r="A65" s="30" t="s">
        <v>365</v>
      </c>
      <c r="B65" s="7" t="s">
        <v>366</v>
      </c>
      <c r="C65" s="7" t="s">
        <v>178</v>
      </c>
      <c r="D65" s="14">
        <v>500000</v>
      </c>
      <c r="E65" s="13">
        <v>941.2613321</v>
      </c>
      <c r="F65" s="7">
        <v>1.0215832995251857</v>
      </c>
      <c r="G65" s="30"/>
    </row>
    <row r="66" spans="1:7" x14ac:dyDescent="0.2">
      <c r="A66" s="30" t="s">
        <v>362</v>
      </c>
      <c r="B66" s="7" t="s">
        <v>363</v>
      </c>
      <c r="C66" s="7" t="s">
        <v>364</v>
      </c>
      <c r="D66" s="14">
        <v>187038</v>
      </c>
      <c r="E66" s="13">
        <v>854.11190250000004</v>
      </c>
      <c r="F66" s="7">
        <v>0.92699702597257438</v>
      </c>
      <c r="G66" s="30"/>
    </row>
    <row r="67" spans="1:7" x14ac:dyDescent="0.2">
      <c r="A67" s="30" t="s">
        <v>360</v>
      </c>
      <c r="B67" s="7" t="s">
        <v>361</v>
      </c>
      <c r="C67" s="7" t="s">
        <v>178</v>
      </c>
      <c r="D67" s="14">
        <v>70700</v>
      </c>
      <c r="E67" s="13">
        <v>784.89429329999996</v>
      </c>
      <c r="F67" s="7">
        <v>0.85187277388625948</v>
      </c>
      <c r="G67" s="30"/>
    </row>
    <row r="68" spans="1:7" x14ac:dyDescent="0.2">
      <c r="A68" s="30" t="s">
        <v>367</v>
      </c>
      <c r="B68" s="7" t="s">
        <v>368</v>
      </c>
      <c r="C68" s="7" t="s">
        <v>75</v>
      </c>
      <c r="D68" s="14">
        <v>500000</v>
      </c>
      <c r="E68" s="13">
        <v>757.20280430000003</v>
      </c>
      <c r="F68" s="7">
        <v>0.82181824839303563</v>
      </c>
      <c r="G68" s="30"/>
    </row>
    <row r="69" spans="1:7" x14ac:dyDescent="0.2">
      <c r="A69" s="30" t="s">
        <v>358</v>
      </c>
      <c r="B69" s="7" t="s">
        <v>359</v>
      </c>
      <c r="C69" s="7" t="s">
        <v>11</v>
      </c>
      <c r="D69" s="14">
        <v>300000</v>
      </c>
      <c r="E69" s="13">
        <v>688.00736130000007</v>
      </c>
      <c r="F69" s="7">
        <v>0.74671805404601366</v>
      </c>
      <c r="G69" s="30"/>
    </row>
    <row r="70" spans="1:7" x14ac:dyDescent="0.2">
      <c r="A70" s="30" t="s">
        <v>346</v>
      </c>
      <c r="B70" s="7" t="s">
        <v>347</v>
      </c>
      <c r="C70" s="7" t="s">
        <v>14</v>
      </c>
      <c r="D70" s="14">
        <v>2826000</v>
      </c>
      <c r="E70" s="13">
        <v>537.68487279999999</v>
      </c>
      <c r="F70" s="7">
        <v>0.58356788675713589</v>
      </c>
      <c r="G70" s="30"/>
    </row>
    <row r="71" spans="1:7" x14ac:dyDescent="0.2">
      <c r="A71" s="30" t="s">
        <v>352</v>
      </c>
      <c r="B71" s="7" t="s">
        <v>353</v>
      </c>
      <c r="C71" s="7" t="s">
        <v>30</v>
      </c>
      <c r="D71" s="14">
        <v>500000</v>
      </c>
      <c r="E71" s="13">
        <v>527.30191749999994</v>
      </c>
      <c r="F71" s="7">
        <v>0.57229890823601504</v>
      </c>
      <c r="G71" s="30"/>
    </row>
    <row r="72" spans="1:7" x14ac:dyDescent="0.2">
      <c r="A72" s="30" t="s">
        <v>633</v>
      </c>
      <c r="B72" s="7" t="s">
        <v>642</v>
      </c>
      <c r="C72" s="7" t="s">
        <v>30</v>
      </c>
      <c r="D72" s="14">
        <v>25000</v>
      </c>
      <c r="E72" s="13">
        <v>448.3652242</v>
      </c>
      <c r="F72" s="7">
        <v>0.48662619987657474</v>
      </c>
      <c r="G72" s="30"/>
    </row>
    <row r="73" spans="1:7" x14ac:dyDescent="0.2">
      <c r="A73" s="6" t="s">
        <v>43</v>
      </c>
      <c r="B73" s="7"/>
      <c r="C73" s="7"/>
      <c r="D73" s="7"/>
      <c r="E73" s="15">
        <v>21039.457167300003</v>
      </c>
      <c r="F73" s="6">
        <v>22.834846540690219</v>
      </c>
      <c r="G73" s="30"/>
    </row>
    <row r="74" spans="1:7" x14ac:dyDescent="0.2">
      <c r="A74" s="7"/>
      <c r="B74" s="7"/>
      <c r="C74" s="7"/>
      <c r="D74" s="7"/>
      <c r="E74" s="13"/>
      <c r="F74" s="7"/>
      <c r="G74" s="30"/>
    </row>
    <row r="75" spans="1:7" x14ac:dyDescent="0.2">
      <c r="A75" s="6" t="s">
        <v>43</v>
      </c>
      <c r="B75" s="7"/>
      <c r="C75" s="7"/>
      <c r="D75" s="7"/>
      <c r="E75" s="15">
        <v>89329.520620300013</v>
      </c>
      <c r="F75" s="15">
        <v>96.952401323752625</v>
      </c>
      <c r="G75" s="30"/>
    </row>
    <row r="76" spans="1:7" x14ac:dyDescent="0.2">
      <c r="A76" s="7"/>
      <c r="B76" s="7"/>
      <c r="C76" s="7"/>
      <c r="D76" s="7"/>
      <c r="E76" s="13"/>
      <c r="F76" s="7"/>
      <c r="G76" s="30"/>
    </row>
    <row r="77" spans="1:7" x14ac:dyDescent="0.2">
      <c r="A77" s="6" t="s">
        <v>624</v>
      </c>
      <c r="B77" s="7"/>
      <c r="C77" s="7"/>
      <c r="D77" s="7"/>
      <c r="E77" s="15">
        <v>573.9552678</v>
      </c>
      <c r="F77" s="6">
        <v>0.62293339401378078</v>
      </c>
      <c r="G77" s="30"/>
    </row>
    <row r="78" spans="1:7" x14ac:dyDescent="0.2">
      <c r="A78" s="6" t="s">
        <v>100</v>
      </c>
      <c r="B78" s="7"/>
      <c r="C78" s="7"/>
      <c r="D78" s="7"/>
      <c r="E78" s="15">
        <v>2234.0260206999992</v>
      </c>
      <c r="F78" s="6">
        <v>2.4246652822336054</v>
      </c>
      <c r="G78" s="30"/>
    </row>
    <row r="79" spans="1:7" x14ac:dyDescent="0.2">
      <c r="A79" s="7"/>
      <c r="B79" s="7"/>
      <c r="C79" s="7"/>
      <c r="D79" s="7"/>
      <c r="E79" s="13"/>
      <c r="F79" s="7"/>
      <c r="G79" s="30"/>
    </row>
    <row r="80" spans="1:7" x14ac:dyDescent="0.2">
      <c r="A80" s="8" t="s">
        <v>101</v>
      </c>
      <c r="B80" s="5"/>
      <c r="C80" s="5"/>
      <c r="D80" s="5"/>
      <c r="E80" s="16">
        <v>92137.501908800012</v>
      </c>
      <c r="F80" s="8">
        <v>100</v>
      </c>
      <c r="G80" s="34"/>
    </row>
    <row r="81" spans="1:7" x14ac:dyDescent="0.2">
      <c r="G81" s="11" t="s">
        <v>608</v>
      </c>
    </row>
    <row r="82" spans="1:7" x14ac:dyDescent="0.2">
      <c r="A82" s="4" t="s">
        <v>102</v>
      </c>
      <c r="B82" s="2"/>
      <c r="C82" s="2"/>
      <c r="D82" s="2"/>
    </row>
    <row r="83" spans="1:7" x14ac:dyDescent="0.2">
      <c r="A83" s="4" t="s">
        <v>103</v>
      </c>
      <c r="B83" s="2"/>
      <c r="C83" s="2"/>
      <c r="D83" s="2"/>
    </row>
    <row r="84" spans="1:7" x14ac:dyDescent="0.2">
      <c r="A84" s="4" t="s">
        <v>104</v>
      </c>
      <c r="B84" s="2"/>
      <c r="C84" s="2"/>
      <c r="D84" s="2"/>
    </row>
    <row r="85" spans="1:7" x14ac:dyDescent="0.2">
      <c r="A85" s="2" t="s">
        <v>598</v>
      </c>
      <c r="B85" s="2"/>
      <c r="C85" s="2"/>
      <c r="D85" s="10">
        <v>47.270099999999999</v>
      </c>
    </row>
    <row r="86" spans="1:7" x14ac:dyDescent="0.2">
      <c r="A86" s="2" t="s">
        <v>599</v>
      </c>
      <c r="B86" s="2"/>
      <c r="C86" s="2"/>
      <c r="D86" s="10">
        <v>15.1633</v>
      </c>
    </row>
    <row r="87" spans="1:7" x14ac:dyDescent="0.2">
      <c r="A87" s="2" t="s">
        <v>600</v>
      </c>
      <c r="B87" s="2"/>
      <c r="C87" s="2"/>
      <c r="D87" s="10">
        <v>49.1389</v>
      </c>
    </row>
    <row r="88" spans="1:7" x14ac:dyDescent="0.2">
      <c r="A88" s="2" t="s">
        <v>601</v>
      </c>
      <c r="B88" s="2"/>
      <c r="C88" s="2"/>
      <c r="D88" s="10">
        <v>15.941000000000001</v>
      </c>
    </row>
    <row r="89" spans="1:7" x14ac:dyDescent="0.2">
      <c r="A89" s="2"/>
      <c r="B89" s="2"/>
      <c r="C89" s="2"/>
      <c r="D89" s="10"/>
    </row>
    <row r="90" spans="1:7" x14ac:dyDescent="0.2">
      <c r="A90" s="4" t="s">
        <v>105</v>
      </c>
      <c r="B90" s="2"/>
      <c r="C90" s="2"/>
      <c r="D90" s="2"/>
    </row>
    <row r="91" spans="1:7" x14ac:dyDescent="0.2">
      <c r="A91" s="2" t="s">
        <v>598</v>
      </c>
      <c r="B91" s="2"/>
      <c r="C91" s="2"/>
      <c r="D91" s="10">
        <v>46.197899999999997</v>
      </c>
    </row>
    <row r="92" spans="1:7" x14ac:dyDescent="0.2">
      <c r="A92" s="2" t="s">
        <v>599</v>
      </c>
      <c r="B92" s="2"/>
      <c r="C92" s="2"/>
      <c r="D92" s="10">
        <v>14.127700000000001</v>
      </c>
    </row>
    <row r="93" spans="1:7" x14ac:dyDescent="0.2">
      <c r="A93" s="2" t="s">
        <v>600</v>
      </c>
      <c r="B93" s="2"/>
      <c r="C93" s="2"/>
      <c r="D93" s="10">
        <v>48.182299999999998</v>
      </c>
    </row>
    <row r="94" spans="1:7" x14ac:dyDescent="0.2">
      <c r="A94" s="2" t="s">
        <v>601</v>
      </c>
      <c r="B94" s="2"/>
      <c r="C94" s="2"/>
      <c r="D94" s="10">
        <v>14.935700000000001</v>
      </c>
    </row>
    <row r="95" spans="1:7" x14ac:dyDescent="0.2">
      <c r="A95" s="2"/>
      <c r="B95" s="2"/>
      <c r="C95" s="2"/>
      <c r="D95" s="2"/>
    </row>
    <row r="96" spans="1:7" x14ac:dyDescent="0.2">
      <c r="A96" s="4" t="s">
        <v>106</v>
      </c>
      <c r="B96" s="2"/>
      <c r="C96" s="2"/>
      <c r="D96" s="17" t="s">
        <v>319</v>
      </c>
    </row>
    <row r="97" spans="1:4" x14ac:dyDescent="0.2">
      <c r="A97" s="18" t="s">
        <v>602</v>
      </c>
      <c r="B97" s="19"/>
      <c r="C97" s="110" t="s">
        <v>603</v>
      </c>
      <c r="D97" s="111"/>
    </row>
    <row r="98" spans="1:4" x14ac:dyDescent="0.2">
      <c r="A98" s="112"/>
      <c r="B98" s="113"/>
      <c r="C98" s="20" t="s">
        <v>604</v>
      </c>
      <c r="D98" s="20" t="s">
        <v>605</v>
      </c>
    </row>
    <row r="99" spans="1:4" x14ac:dyDescent="0.2">
      <c r="A99" s="21" t="s">
        <v>599</v>
      </c>
      <c r="B99" s="22"/>
      <c r="C99" s="23">
        <v>0.6000413201</v>
      </c>
      <c r="D99" s="23">
        <v>0.6000413201</v>
      </c>
    </row>
    <row r="100" spans="1:4" x14ac:dyDescent="0.2">
      <c r="A100" s="21" t="s">
        <v>601</v>
      </c>
      <c r="B100" s="22"/>
      <c r="C100" s="23">
        <v>0.6000413201</v>
      </c>
      <c r="D100" s="23">
        <v>0.6000413201</v>
      </c>
    </row>
    <row r="101" spans="1:4" x14ac:dyDescent="0.2">
      <c r="A101" s="4"/>
      <c r="B101" s="2"/>
      <c r="C101" s="2"/>
      <c r="D101" s="17"/>
    </row>
    <row r="102" spans="1:4" x14ac:dyDescent="0.2">
      <c r="A102" s="9" t="s">
        <v>606</v>
      </c>
      <c r="B102" s="2"/>
      <c r="C102" s="2"/>
      <c r="D102" s="24">
        <v>0.22189344507444733</v>
      </c>
    </row>
  </sheetData>
  <sortState xmlns:xlrd2="http://schemas.microsoft.com/office/spreadsheetml/2017/richdata2" ref="A55:H72">
    <sortCondition descending="1" ref="F55:F72"/>
  </sortState>
  <mergeCells count="4">
    <mergeCell ref="C97:D97"/>
    <mergeCell ref="A98:B98"/>
    <mergeCell ref="A1:G1"/>
    <mergeCell ref="G3:G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960B-9891-435D-ACBA-69E64A4DA963}">
  <dimension ref="A1:F92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35.85546875" style="1" bestFit="1" customWidth="1"/>
    <col min="3" max="3" width="40" style="1" bestFit="1" customWidth="1"/>
    <col min="4" max="4" width="12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282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14">
        <v>7600000</v>
      </c>
      <c r="E7" s="13">
        <v>93506.6</v>
      </c>
      <c r="F7" s="7">
        <v>8.2023336847457706</v>
      </c>
    </row>
    <row r="8" spans="1:6" x14ac:dyDescent="0.2">
      <c r="A8" s="7" t="s">
        <v>113</v>
      </c>
      <c r="B8" s="7" t="s">
        <v>114</v>
      </c>
      <c r="C8" s="7" t="s">
        <v>42</v>
      </c>
      <c r="D8" s="14">
        <v>18400000</v>
      </c>
      <c r="E8" s="13">
        <v>68862</v>
      </c>
      <c r="F8" s="7">
        <v>6.0405265745836472</v>
      </c>
    </row>
    <row r="9" spans="1:6" x14ac:dyDescent="0.2">
      <c r="A9" s="7" t="s">
        <v>185</v>
      </c>
      <c r="B9" s="7" t="s">
        <v>186</v>
      </c>
      <c r="C9" s="7" t="s">
        <v>78</v>
      </c>
      <c r="D9" s="14">
        <v>9050000</v>
      </c>
      <c r="E9" s="13">
        <v>62046.8</v>
      </c>
      <c r="F9" s="7">
        <v>5.4427019875675509</v>
      </c>
    </row>
    <row r="10" spans="1:6" x14ac:dyDescent="0.2">
      <c r="A10" s="7" t="s">
        <v>109</v>
      </c>
      <c r="B10" s="7" t="s">
        <v>110</v>
      </c>
      <c r="C10" s="7" t="s">
        <v>11</v>
      </c>
      <c r="D10" s="14">
        <v>12800000</v>
      </c>
      <c r="E10" s="13">
        <v>59270.400000000001</v>
      </c>
      <c r="F10" s="7">
        <v>5.1991581174842816</v>
      </c>
    </row>
    <row r="11" spans="1:6" x14ac:dyDescent="0.2">
      <c r="A11" s="7" t="s">
        <v>121</v>
      </c>
      <c r="B11" s="7" t="s">
        <v>122</v>
      </c>
      <c r="C11" s="7" t="s">
        <v>11</v>
      </c>
      <c r="D11" s="14">
        <v>6800000</v>
      </c>
      <c r="E11" s="13">
        <v>50071.8</v>
      </c>
      <c r="F11" s="7">
        <v>4.3922633460723981</v>
      </c>
    </row>
    <row r="12" spans="1:6" x14ac:dyDescent="0.2">
      <c r="A12" s="7" t="s">
        <v>195</v>
      </c>
      <c r="B12" s="7" t="s">
        <v>196</v>
      </c>
      <c r="C12" s="7" t="s">
        <v>197</v>
      </c>
      <c r="D12" s="14">
        <v>2500000</v>
      </c>
      <c r="E12" s="13">
        <v>36826.25</v>
      </c>
      <c r="F12" s="7">
        <v>3.230372945416355</v>
      </c>
    </row>
    <row r="13" spans="1:6" x14ac:dyDescent="0.2">
      <c r="A13" s="7" t="s">
        <v>198</v>
      </c>
      <c r="B13" s="7" t="s">
        <v>199</v>
      </c>
      <c r="C13" s="7" t="s">
        <v>33</v>
      </c>
      <c r="D13" s="14">
        <v>5900000</v>
      </c>
      <c r="E13" s="13">
        <v>35780.550000000003</v>
      </c>
      <c r="F13" s="7">
        <v>3.1386448713110124</v>
      </c>
    </row>
    <row r="14" spans="1:6" x14ac:dyDescent="0.2">
      <c r="A14" s="7" t="s">
        <v>181</v>
      </c>
      <c r="B14" s="7" t="s">
        <v>182</v>
      </c>
      <c r="C14" s="7" t="s">
        <v>78</v>
      </c>
      <c r="D14" s="14">
        <v>2800000</v>
      </c>
      <c r="E14" s="13">
        <v>32557</v>
      </c>
      <c r="F14" s="7">
        <v>2.8558773153367576</v>
      </c>
    </row>
    <row r="15" spans="1:6" x14ac:dyDescent="0.2">
      <c r="A15" s="7" t="s">
        <v>20</v>
      </c>
      <c r="B15" s="7" t="s">
        <v>21</v>
      </c>
      <c r="C15" s="7" t="s">
        <v>11</v>
      </c>
      <c r="D15" s="14">
        <v>1900000</v>
      </c>
      <c r="E15" s="13">
        <v>29915.5</v>
      </c>
      <c r="F15" s="7">
        <v>2.6241667790937973</v>
      </c>
    </row>
    <row r="16" spans="1:6" x14ac:dyDescent="0.2">
      <c r="A16" s="7" t="s">
        <v>31</v>
      </c>
      <c r="B16" s="7" t="s">
        <v>32</v>
      </c>
      <c r="C16" s="7" t="s">
        <v>33</v>
      </c>
      <c r="D16" s="14">
        <v>16500000</v>
      </c>
      <c r="E16" s="13">
        <v>29320.5</v>
      </c>
      <c r="F16" s="7">
        <v>2.5719737944015542</v>
      </c>
    </row>
    <row r="17" spans="1:6" x14ac:dyDescent="0.2">
      <c r="A17" s="7" t="s">
        <v>183</v>
      </c>
      <c r="B17" s="7" t="s">
        <v>184</v>
      </c>
      <c r="C17" s="7" t="s">
        <v>57</v>
      </c>
      <c r="D17" s="14">
        <v>3800000</v>
      </c>
      <c r="E17" s="13">
        <v>29212.5</v>
      </c>
      <c r="F17" s="7">
        <v>2.5625001097851468</v>
      </c>
    </row>
    <row r="18" spans="1:6" x14ac:dyDescent="0.2">
      <c r="A18" s="7" t="s">
        <v>283</v>
      </c>
      <c r="B18" s="7" t="s">
        <v>284</v>
      </c>
      <c r="C18" s="7" t="s">
        <v>92</v>
      </c>
      <c r="D18" s="14">
        <v>3600000</v>
      </c>
      <c r="E18" s="13">
        <v>25506</v>
      </c>
      <c r="F18" s="7">
        <v>2.2373685169081714</v>
      </c>
    </row>
    <row r="19" spans="1:6" x14ac:dyDescent="0.2">
      <c r="A19" s="7" t="s">
        <v>252</v>
      </c>
      <c r="B19" s="7" t="s">
        <v>253</v>
      </c>
      <c r="C19" s="7" t="s">
        <v>78</v>
      </c>
      <c r="D19" s="14">
        <v>3200000</v>
      </c>
      <c r="E19" s="13">
        <v>23648</v>
      </c>
      <c r="F19" s="7">
        <v>2.0743860537851657</v>
      </c>
    </row>
    <row r="20" spans="1:6" x14ac:dyDescent="0.2">
      <c r="A20" s="7" t="s">
        <v>285</v>
      </c>
      <c r="B20" s="7" t="s">
        <v>286</v>
      </c>
      <c r="C20" s="7" t="s">
        <v>36</v>
      </c>
      <c r="D20" s="14">
        <v>5000000</v>
      </c>
      <c r="E20" s="13">
        <v>23097.5</v>
      </c>
      <c r="F20" s="7">
        <v>2.0260965780320901</v>
      </c>
    </row>
    <row r="21" spans="1:6" x14ac:dyDescent="0.2">
      <c r="A21" s="7" t="s">
        <v>200</v>
      </c>
      <c r="B21" s="7" t="s">
        <v>201</v>
      </c>
      <c r="C21" s="7" t="s">
        <v>36</v>
      </c>
      <c r="D21" s="14">
        <v>1780000</v>
      </c>
      <c r="E21" s="13">
        <v>22715.47</v>
      </c>
      <c r="F21" s="7">
        <v>1.9925851730875896</v>
      </c>
    </row>
    <row r="22" spans="1:6" x14ac:dyDescent="0.2">
      <c r="A22" s="7" t="s">
        <v>111</v>
      </c>
      <c r="B22" s="7" t="s">
        <v>112</v>
      </c>
      <c r="C22" s="7" t="s">
        <v>11</v>
      </c>
      <c r="D22" s="14">
        <v>7200000</v>
      </c>
      <c r="E22" s="13">
        <v>22492.799999999999</v>
      </c>
      <c r="F22" s="7">
        <v>1.9730527161104101</v>
      </c>
    </row>
    <row r="23" spans="1:6" x14ac:dyDescent="0.2">
      <c r="A23" s="7" t="s">
        <v>287</v>
      </c>
      <c r="B23" s="7" t="s">
        <v>288</v>
      </c>
      <c r="C23" s="7" t="s">
        <v>36</v>
      </c>
      <c r="D23" s="14">
        <v>6000000</v>
      </c>
      <c r="E23" s="13">
        <v>21951</v>
      </c>
      <c r="F23" s="7">
        <v>1.925526398284767</v>
      </c>
    </row>
    <row r="24" spans="1:6" x14ac:dyDescent="0.2">
      <c r="A24" s="7" t="s">
        <v>256</v>
      </c>
      <c r="B24" s="7" t="s">
        <v>257</v>
      </c>
      <c r="C24" s="7" t="s">
        <v>14</v>
      </c>
      <c r="D24" s="14">
        <v>10300000</v>
      </c>
      <c r="E24" s="13">
        <v>21856.6</v>
      </c>
      <c r="F24" s="7">
        <v>1.917245696175611</v>
      </c>
    </row>
    <row r="25" spans="1:6" x14ac:dyDescent="0.2">
      <c r="A25" s="7" t="s">
        <v>236</v>
      </c>
      <c r="B25" s="7" t="s">
        <v>237</v>
      </c>
      <c r="C25" s="7" t="s">
        <v>117</v>
      </c>
      <c r="D25" s="14">
        <v>6500000</v>
      </c>
      <c r="E25" s="13">
        <v>21141.25</v>
      </c>
      <c r="F25" s="7">
        <v>1.8544956934872139</v>
      </c>
    </row>
    <row r="26" spans="1:6" x14ac:dyDescent="0.2">
      <c r="A26" s="7" t="s">
        <v>187</v>
      </c>
      <c r="B26" s="7" t="s">
        <v>188</v>
      </c>
      <c r="C26" s="7" t="s">
        <v>178</v>
      </c>
      <c r="D26" s="14">
        <v>2800000</v>
      </c>
      <c r="E26" s="13">
        <v>20862.8</v>
      </c>
      <c r="F26" s="7">
        <v>1.8300702538442639</v>
      </c>
    </row>
    <row r="27" spans="1:6" x14ac:dyDescent="0.2">
      <c r="A27" s="7" t="s">
        <v>289</v>
      </c>
      <c r="B27" s="7" t="s">
        <v>290</v>
      </c>
      <c r="C27" s="7" t="s">
        <v>33</v>
      </c>
      <c r="D27" s="14">
        <v>4000000</v>
      </c>
      <c r="E27" s="13">
        <v>19466</v>
      </c>
      <c r="F27" s="7">
        <v>1.7075439328053974</v>
      </c>
    </row>
    <row r="28" spans="1:6" x14ac:dyDescent="0.2">
      <c r="A28" s="7" t="s">
        <v>132</v>
      </c>
      <c r="B28" s="7" t="s">
        <v>133</v>
      </c>
      <c r="C28" s="7" t="s">
        <v>57</v>
      </c>
      <c r="D28" s="14">
        <v>1200000</v>
      </c>
      <c r="E28" s="13">
        <v>18816.599999999999</v>
      </c>
      <c r="F28" s="7">
        <v>1.6505790180841486</v>
      </c>
    </row>
    <row r="29" spans="1:6" x14ac:dyDescent="0.2">
      <c r="A29" s="7" t="s">
        <v>118</v>
      </c>
      <c r="B29" s="7" t="s">
        <v>119</v>
      </c>
      <c r="C29" s="7" t="s">
        <v>120</v>
      </c>
      <c r="D29" s="14">
        <v>15000000</v>
      </c>
      <c r="E29" s="13">
        <v>18360</v>
      </c>
      <c r="F29" s="7">
        <v>1.6105263847892273</v>
      </c>
    </row>
    <row r="30" spans="1:6" x14ac:dyDescent="0.2">
      <c r="A30" s="7" t="s">
        <v>193</v>
      </c>
      <c r="B30" s="7" t="s">
        <v>194</v>
      </c>
      <c r="C30" s="7" t="s">
        <v>178</v>
      </c>
      <c r="D30" s="14">
        <v>7000000</v>
      </c>
      <c r="E30" s="13">
        <v>17622.5</v>
      </c>
      <c r="F30" s="7">
        <v>1.5458333995614464</v>
      </c>
    </row>
    <row r="31" spans="1:6" x14ac:dyDescent="0.2">
      <c r="A31" s="7" t="s">
        <v>176</v>
      </c>
      <c r="B31" s="7" t="s">
        <v>177</v>
      </c>
      <c r="C31" s="7" t="s">
        <v>178</v>
      </c>
      <c r="D31" s="14">
        <v>600000</v>
      </c>
      <c r="E31" s="13">
        <v>16699.2</v>
      </c>
      <c r="F31" s="7">
        <v>1.464842168021365</v>
      </c>
    </row>
    <row r="32" spans="1:6" x14ac:dyDescent="0.2">
      <c r="A32" s="7" t="s">
        <v>22</v>
      </c>
      <c r="B32" s="7" t="s">
        <v>23</v>
      </c>
      <c r="C32" s="7" t="s">
        <v>24</v>
      </c>
      <c r="D32" s="14">
        <v>8000000</v>
      </c>
      <c r="E32" s="13">
        <v>15032</v>
      </c>
      <c r="F32" s="7">
        <v>1.3185965477206787</v>
      </c>
    </row>
    <row r="33" spans="1:6" x14ac:dyDescent="0.2">
      <c r="A33" s="7" t="s">
        <v>291</v>
      </c>
      <c r="B33" s="7" t="s">
        <v>292</v>
      </c>
      <c r="C33" s="7" t="s">
        <v>178</v>
      </c>
      <c r="D33" s="14">
        <v>3200000</v>
      </c>
      <c r="E33" s="13">
        <v>13868.8</v>
      </c>
      <c r="F33" s="7">
        <v>1.2165614556298929</v>
      </c>
    </row>
    <row r="34" spans="1:6" x14ac:dyDescent="0.2">
      <c r="A34" s="7" t="s">
        <v>136</v>
      </c>
      <c r="B34" s="7" t="s">
        <v>137</v>
      </c>
      <c r="C34" s="7" t="s">
        <v>131</v>
      </c>
      <c r="D34" s="14">
        <v>9500000</v>
      </c>
      <c r="E34" s="13">
        <v>13048.25</v>
      </c>
      <c r="F34" s="7">
        <v>1.1445833823706988</v>
      </c>
    </row>
    <row r="35" spans="1:6" x14ac:dyDescent="0.2">
      <c r="A35" s="7" t="s">
        <v>293</v>
      </c>
      <c r="B35" s="7" t="s">
        <v>294</v>
      </c>
      <c r="C35" s="7" t="s">
        <v>30</v>
      </c>
      <c r="D35" s="14">
        <v>600000</v>
      </c>
      <c r="E35" s="13">
        <v>12791.4</v>
      </c>
      <c r="F35" s="7">
        <v>1.1220526796510304</v>
      </c>
    </row>
    <row r="36" spans="1:6" x14ac:dyDescent="0.2">
      <c r="A36" s="7" t="s">
        <v>295</v>
      </c>
      <c r="B36" s="7" t="s">
        <v>296</v>
      </c>
      <c r="C36" s="7" t="s">
        <v>36</v>
      </c>
      <c r="D36" s="14">
        <v>7300000</v>
      </c>
      <c r="E36" s="13">
        <v>12785.95</v>
      </c>
      <c r="F36" s="7">
        <v>1.12157460945511</v>
      </c>
    </row>
    <row r="37" spans="1:6" x14ac:dyDescent="0.2">
      <c r="A37" s="7" t="s">
        <v>297</v>
      </c>
      <c r="B37" s="7" t="s">
        <v>298</v>
      </c>
      <c r="C37" s="7" t="s">
        <v>39</v>
      </c>
      <c r="D37" s="14">
        <v>2300000</v>
      </c>
      <c r="E37" s="13">
        <v>10438.549999999999</v>
      </c>
      <c r="F37" s="7">
        <v>0.91566231993145886</v>
      </c>
    </row>
    <row r="38" spans="1:6" x14ac:dyDescent="0.2">
      <c r="A38" s="7" t="s">
        <v>299</v>
      </c>
      <c r="B38" s="7" t="s">
        <v>300</v>
      </c>
      <c r="C38" s="7" t="s">
        <v>36</v>
      </c>
      <c r="D38" s="14">
        <v>650000</v>
      </c>
      <c r="E38" s="13">
        <v>10405.85</v>
      </c>
      <c r="F38" s="7">
        <v>0.91279389875593575</v>
      </c>
    </row>
    <row r="39" spans="1:6" x14ac:dyDescent="0.2">
      <c r="A39" s="7" t="s">
        <v>249</v>
      </c>
      <c r="B39" s="7" t="s">
        <v>250</v>
      </c>
      <c r="C39" s="7" t="s">
        <v>251</v>
      </c>
      <c r="D39" s="14">
        <v>900000</v>
      </c>
      <c r="E39" s="13">
        <v>10159.65</v>
      </c>
      <c r="F39" s="7">
        <v>0.89119740660260727</v>
      </c>
    </row>
    <row r="40" spans="1:6" x14ac:dyDescent="0.2">
      <c r="A40" s="7" t="s">
        <v>143</v>
      </c>
      <c r="B40" s="7" t="s">
        <v>144</v>
      </c>
      <c r="C40" s="7" t="s">
        <v>57</v>
      </c>
      <c r="D40" s="14">
        <v>3500000</v>
      </c>
      <c r="E40" s="13">
        <v>10151.75</v>
      </c>
      <c r="F40" s="7">
        <v>0.89050442411677755</v>
      </c>
    </row>
    <row r="41" spans="1:6" x14ac:dyDescent="0.2">
      <c r="A41" s="7" t="s">
        <v>301</v>
      </c>
      <c r="B41" s="7" t="s">
        <v>302</v>
      </c>
      <c r="C41" s="7" t="s">
        <v>39</v>
      </c>
      <c r="D41" s="14">
        <v>1538507</v>
      </c>
      <c r="E41" s="13">
        <v>9311.8136175</v>
      </c>
      <c r="F41" s="7">
        <v>0.81682579091630558</v>
      </c>
    </row>
    <row r="42" spans="1:6" x14ac:dyDescent="0.2">
      <c r="A42" s="7" t="s">
        <v>202</v>
      </c>
      <c r="B42" s="7" t="s">
        <v>203</v>
      </c>
      <c r="C42" s="7" t="s">
        <v>11</v>
      </c>
      <c r="D42" s="14">
        <v>12200000</v>
      </c>
      <c r="E42" s="13">
        <v>8588.7999999999993</v>
      </c>
      <c r="F42" s="7">
        <v>0.7534035410499843</v>
      </c>
    </row>
    <row r="43" spans="1:6" x14ac:dyDescent="0.2">
      <c r="A43" s="7" t="s">
        <v>40</v>
      </c>
      <c r="B43" s="7" t="s">
        <v>41</v>
      </c>
      <c r="C43" s="7" t="s">
        <v>42</v>
      </c>
      <c r="D43" s="14">
        <v>210000000</v>
      </c>
      <c r="E43" s="13">
        <v>8190</v>
      </c>
      <c r="F43" s="7">
        <v>0.71842108341088073</v>
      </c>
    </row>
    <row r="44" spans="1:6" x14ac:dyDescent="0.2">
      <c r="A44" s="7" t="s">
        <v>15</v>
      </c>
      <c r="B44" s="7" t="s">
        <v>16</v>
      </c>
      <c r="C44" s="7" t="s">
        <v>679</v>
      </c>
      <c r="D44" s="14">
        <v>5200000</v>
      </c>
      <c r="E44" s="13">
        <v>7904</v>
      </c>
      <c r="F44" s="7">
        <v>0.69333336303780235</v>
      </c>
    </row>
    <row r="45" spans="1:6" x14ac:dyDescent="0.2">
      <c r="A45" s="7" t="s">
        <v>37</v>
      </c>
      <c r="B45" s="7" t="s">
        <v>38</v>
      </c>
      <c r="C45" s="7" t="s">
        <v>39</v>
      </c>
      <c r="D45" s="14">
        <v>1452900</v>
      </c>
      <c r="E45" s="13">
        <v>7903.0495499999997</v>
      </c>
      <c r="F45" s="7">
        <v>0.6932499902272129</v>
      </c>
    </row>
    <row r="46" spans="1:6" x14ac:dyDescent="0.2">
      <c r="A46" s="7" t="s">
        <v>303</v>
      </c>
      <c r="B46" s="7" t="s">
        <v>304</v>
      </c>
      <c r="C46" s="7" t="s">
        <v>30</v>
      </c>
      <c r="D46" s="14">
        <v>8500000</v>
      </c>
      <c r="E46" s="13">
        <v>6957.25</v>
      </c>
      <c r="F46" s="7">
        <v>0.61028511386573259</v>
      </c>
    </row>
    <row r="47" spans="1:6" x14ac:dyDescent="0.2">
      <c r="A47" s="7" t="s">
        <v>152</v>
      </c>
      <c r="B47" s="7" t="s">
        <v>153</v>
      </c>
      <c r="C47" s="7" t="s">
        <v>140</v>
      </c>
      <c r="D47" s="14">
        <v>7500000</v>
      </c>
      <c r="E47" s="13">
        <v>6487.5</v>
      </c>
      <c r="F47" s="7">
        <v>0.56907897174946143</v>
      </c>
    </row>
    <row r="48" spans="1:6" x14ac:dyDescent="0.2">
      <c r="A48" s="7" t="s">
        <v>305</v>
      </c>
      <c r="B48" s="7" t="s">
        <v>306</v>
      </c>
      <c r="C48" s="7" t="s">
        <v>14</v>
      </c>
      <c r="D48" s="14">
        <v>1320000</v>
      </c>
      <c r="E48" s="13">
        <v>5988.84</v>
      </c>
      <c r="F48" s="7">
        <v>0.52533686461226115</v>
      </c>
    </row>
    <row r="49" spans="1:6" x14ac:dyDescent="0.2">
      <c r="A49" s="7" t="s">
        <v>307</v>
      </c>
      <c r="B49" s="7" t="s">
        <v>308</v>
      </c>
      <c r="C49" s="7" t="s">
        <v>36</v>
      </c>
      <c r="D49" s="14">
        <v>950000</v>
      </c>
      <c r="E49" s="13">
        <v>5937.0249999999996</v>
      </c>
      <c r="F49" s="7">
        <v>0.5207916889789358</v>
      </c>
    </row>
    <row r="50" spans="1:6" x14ac:dyDescent="0.2">
      <c r="A50" s="7" t="s">
        <v>231</v>
      </c>
      <c r="B50" s="7" t="s">
        <v>232</v>
      </c>
      <c r="C50" s="7" t="s">
        <v>233</v>
      </c>
      <c r="D50" s="14">
        <v>3000000</v>
      </c>
      <c r="E50" s="13">
        <v>5709</v>
      </c>
      <c r="F50" s="7">
        <v>0.50078949513952598</v>
      </c>
    </row>
    <row r="51" spans="1:6" x14ac:dyDescent="0.2">
      <c r="A51" s="7" t="s">
        <v>127</v>
      </c>
      <c r="B51" s="7" t="s">
        <v>128</v>
      </c>
      <c r="C51" s="7" t="s">
        <v>57</v>
      </c>
      <c r="D51" s="14">
        <v>137500</v>
      </c>
      <c r="E51" s="13">
        <v>5696.9</v>
      </c>
      <c r="F51" s="7">
        <v>0.49972809158528042</v>
      </c>
    </row>
    <row r="52" spans="1:6" x14ac:dyDescent="0.2">
      <c r="A52" s="7" t="s">
        <v>265</v>
      </c>
      <c r="B52" s="7" t="s">
        <v>266</v>
      </c>
      <c r="C52" s="7" t="s">
        <v>30</v>
      </c>
      <c r="D52" s="14">
        <v>5500000</v>
      </c>
      <c r="E52" s="13">
        <v>5134.25</v>
      </c>
      <c r="F52" s="7">
        <v>0.45037282631285885</v>
      </c>
    </row>
    <row r="53" spans="1:6" x14ac:dyDescent="0.2">
      <c r="A53" s="7" t="s">
        <v>258</v>
      </c>
      <c r="B53" s="7" t="s">
        <v>259</v>
      </c>
      <c r="C53" s="7" t="s">
        <v>57</v>
      </c>
      <c r="D53" s="14">
        <v>1100000</v>
      </c>
      <c r="E53" s="13">
        <v>4646.3999999999996</v>
      </c>
      <c r="F53" s="7">
        <v>0.40757896483031941</v>
      </c>
    </row>
    <row r="54" spans="1:6" x14ac:dyDescent="0.2">
      <c r="A54" s="7" t="s">
        <v>309</v>
      </c>
      <c r="B54" s="7" t="s">
        <v>310</v>
      </c>
      <c r="C54" s="7" t="s">
        <v>11</v>
      </c>
      <c r="D54" s="14">
        <v>7000000</v>
      </c>
      <c r="E54" s="13">
        <v>3839.5</v>
      </c>
      <c r="F54" s="7">
        <v>0.33679826004347702</v>
      </c>
    </row>
    <row r="55" spans="1:6" x14ac:dyDescent="0.2">
      <c r="A55" s="7" t="s">
        <v>311</v>
      </c>
      <c r="B55" s="7" t="s">
        <v>312</v>
      </c>
      <c r="C55" s="7" t="s">
        <v>92</v>
      </c>
      <c r="D55" s="14">
        <v>1500000</v>
      </c>
      <c r="E55" s="13">
        <v>3733.5</v>
      </c>
      <c r="F55" s="7">
        <v>0.32750001403107731</v>
      </c>
    </row>
    <row r="56" spans="1:6" x14ac:dyDescent="0.2">
      <c r="A56" s="7" t="s">
        <v>313</v>
      </c>
      <c r="B56" s="7" t="s">
        <v>314</v>
      </c>
      <c r="C56" s="7" t="s">
        <v>251</v>
      </c>
      <c r="D56" s="14">
        <v>22000000</v>
      </c>
      <c r="E56" s="13">
        <v>3179</v>
      </c>
      <c r="F56" s="7">
        <v>0.27885966106998655</v>
      </c>
    </row>
    <row r="57" spans="1:6" x14ac:dyDescent="0.2">
      <c r="A57" s="7" t="s">
        <v>271</v>
      </c>
      <c r="B57" s="7" t="s">
        <v>272</v>
      </c>
      <c r="C57" s="7" t="s">
        <v>70</v>
      </c>
      <c r="D57" s="14">
        <v>5571244</v>
      </c>
      <c r="E57" s="13">
        <v>3139.395994</v>
      </c>
      <c r="F57" s="7">
        <v>0.27538562530711341</v>
      </c>
    </row>
    <row r="58" spans="1:6" x14ac:dyDescent="0.2">
      <c r="A58" s="7" t="s">
        <v>315</v>
      </c>
      <c r="B58" s="7" t="s">
        <v>316</v>
      </c>
      <c r="C58" s="7" t="s">
        <v>248</v>
      </c>
      <c r="D58" s="14">
        <v>6000000</v>
      </c>
      <c r="E58" s="13">
        <v>3018</v>
      </c>
      <c r="F58" s="7">
        <v>0.26473685344737946</v>
      </c>
    </row>
    <row r="59" spans="1:6" x14ac:dyDescent="0.2">
      <c r="A59" s="7" t="s">
        <v>317</v>
      </c>
      <c r="B59" s="7" t="s">
        <v>318</v>
      </c>
      <c r="C59" s="7" t="s">
        <v>30</v>
      </c>
      <c r="D59" s="14">
        <v>146000</v>
      </c>
      <c r="E59" s="13">
        <v>473.25900000000001</v>
      </c>
      <c r="F59" s="7">
        <v>4.1513949147002439E-2</v>
      </c>
    </row>
    <row r="60" spans="1:6" x14ac:dyDescent="0.2">
      <c r="A60" s="6" t="s">
        <v>43</v>
      </c>
      <c r="B60" s="7"/>
      <c r="C60" s="7"/>
      <c r="D60" s="13"/>
      <c r="E60" s="15">
        <f xml:space="preserve"> SUM(E7:E59)</f>
        <v>1036125.3031615001</v>
      </c>
      <c r="F60" s="6">
        <f>SUM(F7:F59)</f>
        <v>90.888188381771911</v>
      </c>
    </row>
    <row r="61" spans="1:6" x14ac:dyDescent="0.2">
      <c r="A61" s="7"/>
      <c r="B61" s="7"/>
      <c r="C61" s="7"/>
      <c r="D61" s="13"/>
      <c r="E61" s="13"/>
      <c r="F61" s="7"/>
    </row>
    <row r="62" spans="1:6" x14ac:dyDescent="0.2">
      <c r="A62" s="6" t="s">
        <v>321</v>
      </c>
      <c r="B62" s="7"/>
      <c r="C62" s="7"/>
      <c r="D62" s="13"/>
      <c r="E62" s="13"/>
      <c r="F62" s="7"/>
    </row>
    <row r="63" spans="1:6" x14ac:dyDescent="0.2">
      <c r="A63" s="7" t="s">
        <v>319</v>
      </c>
      <c r="B63" s="7" t="s">
        <v>322</v>
      </c>
      <c r="C63" s="7" t="s">
        <v>30</v>
      </c>
      <c r="D63" s="14">
        <v>73500</v>
      </c>
      <c r="E63" s="13">
        <v>7.3499999999999998E-3</v>
      </c>
      <c r="F63" s="25" t="s">
        <v>607</v>
      </c>
    </row>
    <row r="64" spans="1:6" x14ac:dyDescent="0.2">
      <c r="A64" s="7" t="s">
        <v>319</v>
      </c>
      <c r="B64" s="7" t="s">
        <v>320</v>
      </c>
      <c r="C64" s="7" t="s">
        <v>78</v>
      </c>
      <c r="D64" s="14">
        <v>45000</v>
      </c>
      <c r="E64" s="13">
        <v>4.4999999999999997E-3</v>
      </c>
      <c r="F64" s="25" t="s">
        <v>607</v>
      </c>
    </row>
    <row r="65" spans="1:6" x14ac:dyDescent="0.2">
      <c r="A65" s="7" t="s">
        <v>323</v>
      </c>
      <c r="B65" s="7" t="s">
        <v>324</v>
      </c>
      <c r="C65" s="7" t="s">
        <v>609</v>
      </c>
      <c r="D65" s="14">
        <v>38000</v>
      </c>
      <c r="E65" s="13">
        <v>3.8E-3</v>
      </c>
      <c r="F65" s="25" t="s">
        <v>607</v>
      </c>
    </row>
    <row r="66" spans="1:6" x14ac:dyDescent="0.2">
      <c r="A66" s="6" t="s">
        <v>43</v>
      </c>
      <c r="B66" s="7"/>
      <c r="C66" s="7"/>
      <c r="D66" s="13"/>
      <c r="E66" s="15">
        <f>SUM(E63:E65)</f>
        <v>1.5650000000000001E-2</v>
      </c>
      <c r="F66" s="6">
        <f>SUM(F63:F65)</f>
        <v>0</v>
      </c>
    </row>
    <row r="67" spans="1:6" x14ac:dyDescent="0.2">
      <c r="A67" s="7"/>
      <c r="B67" s="7"/>
      <c r="C67" s="7"/>
      <c r="D67" s="13"/>
      <c r="E67" s="13"/>
      <c r="F67" s="7"/>
    </row>
    <row r="68" spans="1:6" x14ac:dyDescent="0.2">
      <c r="A68" s="6" t="s">
        <v>43</v>
      </c>
      <c r="B68" s="7"/>
      <c r="C68" s="7"/>
      <c r="D68" s="13"/>
      <c r="E68" s="15">
        <v>1036125.3188115002</v>
      </c>
      <c r="F68" s="6">
        <v>90.888189754578988</v>
      </c>
    </row>
    <row r="69" spans="1:6" x14ac:dyDescent="0.2">
      <c r="A69" s="7"/>
      <c r="B69" s="7"/>
      <c r="C69" s="7"/>
      <c r="D69" s="13"/>
      <c r="E69" s="13"/>
      <c r="F69" s="7"/>
    </row>
    <row r="70" spans="1:6" x14ac:dyDescent="0.2">
      <c r="A70" s="6" t="s">
        <v>100</v>
      </c>
      <c r="B70" s="7"/>
      <c r="C70" s="7"/>
      <c r="D70" s="13"/>
      <c r="E70" s="15">
        <v>103874.6323475</v>
      </c>
      <c r="F70" s="6">
        <v>9.11</v>
      </c>
    </row>
    <row r="71" spans="1:6" x14ac:dyDescent="0.2">
      <c r="A71" s="7"/>
      <c r="B71" s="7"/>
      <c r="C71" s="7"/>
      <c r="D71" s="13"/>
      <c r="E71" s="13"/>
      <c r="F71" s="7"/>
    </row>
    <row r="72" spans="1:6" x14ac:dyDescent="0.2">
      <c r="A72" s="8" t="s">
        <v>101</v>
      </c>
      <c r="B72" s="5"/>
      <c r="C72" s="5"/>
      <c r="D72" s="35"/>
      <c r="E72" s="16">
        <v>1139999.9511590002</v>
      </c>
      <c r="F72" s="8">
        <f xml:space="preserve"> ROUND(SUM(F68:F71),2)</f>
        <v>100</v>
      </c>
    </row>
    <row r="73" spans="1:6" x14ac:dyDescent="0.2">
      <c r="F73" s="11" t="s">
        <v>608</v>
      </c>
    </row>
    <row r="74" spans="1:6" x14ac:dyDescent="0.2">
      <c r="A74" s="4" t="s">
        <v>102</v>
      </c>
      <c r="B74" s="2"/>
      <c r="C74" s="2"/>
      <c r="D74" s="2"/>
    </row>
    <row r="75" spans="1:6" x14ac:dyDescent="0.2">
      <c r="A75" s="4" t="s">
        <v>103</v>
      </c>
      <c r="B75" s="2"/>
      <c r="C75" s="2"/>
      <c r="D75" s="2"/>
    </row>
    <row r="76" spans="1:6" x14ac:dyDescent="0.2">
      <c r="A76" s="4" t="s">
        <v>104</v>
      </c>
      <c r="B76" s="2"/>
      <c r="C76" s="2"/>
      <c r="D76" s="2"/>
    </row>
    <row r="77" spans="1:6" x14ac:dyDescent="0.2">
      <c r="A77" s="2" t="s">
        <v>598</v>
      </c>
      <c r="B77" s="2"/>
      <c r="C77" s="2"/>
      <c r="D77" s="10">
        <v>599.17330000000004</v>
      </c>
    </row>
    <row r="78" spans="1:6" x14ac:dyDescent="0.2">
      <c r="A78" s="2" t="s">
        <v>599</v>
      </c>
      <c r="B78" s="2"/>
      <c r="C78" s="2"/>
      <c r="D78" s="10">
        <v>36.5884</v>
      </c>
    </row>
    <row r="79" spans="1:6" x14ac:dyDescent="0.2">
      <c r="A79" s="2" t="s">
        <v>600</v>
      </c>
      <c r="B79" s="2"/>
      <c r="C79" s="2"/>
      <c r="D79" s="10">
        <v>636.2568</v>
      </c>
    </row>
    <row r="80" spans="1:6" x14ac:dyDescent="0.2">
      <c r="A80" s="2" t="s">
        <v>601</v>
      </c>
      <c r="B80" s="2"/>
      <c r="C80" s="2"/>
      <c r="D80" s="10">
        <v>39.5227</v>
      </c>
    </row>
    <row r="81" spans="1:4" x14ac:dyDescent="0.2">
      <c r="A81" s="2"/>
      <c r="B81" s="2"/>
      <c r="C81" s="2"/>
      <c r="D81" s="10"/>
    </row>
    <row r="82" spans="1:4" x14ac:dyDescent="0.2">
      <c r="A82" s="4" t="s">
        <v>105</v>
      </c>
      <c r="B82" s="2"/>
      <c r="C82" s="2"/>
      <c r="D82" s="2"/>
    </row>
    <row r="83" spans="1:4" x14ac:dyDescent="0.2">
      <c r="A83" s="2" t="s">
        <v>598</v>
      </c>
      <c r="B83" s="2"/>
      <c r="C83" s="2"/>
      <c r="D83" s="10">
        <v>580.52679999999998</v>
      </c>
    </row>
    <row r="84" spans="1:4" x14ac:dyDescent="0.2">
      <c r="A84" s="2" t="s">
        <v>599</v>
      </c>
      <c r="B84" s="2"/>
      <c r="C84" s="2"/>
      <c r="D84" s="10">
        <v>35.449800000000003</v>
      </c>
    </row>
    <row r="85" spans="1:4" x14ac:dyDescent="0.2">
      <c r="A85" s="2" t="s">
        <v>600</v>
      </c>
      <c r="B85" s="2"/>
      <c r="C85" s="2"/>
      <c r="D85" s="10">
        <v>618.88800000000003</v>
      </c>
    </row>
    <row r="86" spans="1:4" x14ac:dyDescent="0.2">
      <c r="A86" s="2" t="s">
        <v>601</v>
      </c>
      <c r="B86" s="2"/>
      <c r="C86" s="2"/>
      <c r="D86" s="10">
        <v>38.443800000000003</v>
      </c>
    </row>
    <row r="87" spans="1:4" x14ac:dyDescent="0.2">
      <c r="A87" s="2"/>
      <c r="B87" s="2"/>
      <c r="C87" s="2"/>
      <c r="D87" s="2"/>
    </row>
    <row r="88" spans="1:4" x14ac:dyDescent="0.2">
      <c r="A88" s="4" t="s">
        <v>106</v>
      </c>
      <c r="B88" s="2"/>
      <c r="C88" s="2"/>
      <c r="D88" s="17" t="s">
        <v>107</v>
      </c>
    </row>
    <row r="89" spans="1:4" x14ac:dyDescent="0.2">
      <c r="A89" s="4"/>
      <c r="B89" s="2"/>
      <c r="C89" s="2"/>
      <c r="D89" s="17"/>
    </row>
    <row r="90" spans="1:4" x14ac:dyDescent="0.2">
      <c r="A90" s="9" t="s">
        <v>606</v>
      </c>
      <c r="B90" s="2"/>
      <c r="C90" s="2"/>
      <c r="D90" s="24">
        <v>0.12662343589923458</v>
      </c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</sheetData>
  <mergeCells count="1">
    <mergeCell ref="A1:F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242-9E53-4E2D-8098-BA6282105D35}">
  <dimension ref="A1:F66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36.7109375" style="1" bestFit="1" customWidth="1"/>
    <col min="3" max="3" width="20" style="1" bestFit="1" customWidth="1"/>
    <col min="4" max="4" width="12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204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109</v>
      </c>
      <c r="B7" s="7" t="s">
        <v>110</v>
      </c>
      <c r="C7" s="7" t="s">
        <v>11</v>
      </c>
      <c r="D7" s="14">
        <v>13500000</v>
      </c>
      <c r="E7" s="13">
        <v>62511.75</v>
      </c>
      <c r="F7" s="7">
        <f>E7/$E$48*100</f>
        <v>9.372779389586853</v>
      </c>
    </row>
    <row r="8" spans="1:6" x14ac:dyDescent="0.2">
      <c r="A8" s="7" t="s">
        <v>111</v>
      </c>
      <c r="B8" s="7" t="s">
        <v>112</v>
      </c>
      <c r="C8" s="7" t="s">
        <v>11</v>
      </c>
      <c r="D8" s="14">
        <v>15000000</v>
      </c>
      <c r="E8" s="13">
        <v>46860</v>
      </c>
      <c r="F8" s="7">
        <f t="shared" ref="F8:F37" si="0">E8/$E$48*100</f>
        <v>7.0260141844699584</v>
      </c>
    </row>
    <row r="9" spans="1:6" x14ac:dyDescent="0.2">
      <c r="A9" s="7" t="s">
        <v>9</v>
      </c>
      <c r="B9" s="7" t="s">
        <v>10</v>
      </c>
      <c r="C9" s="7" t="s">
        <v>11</v>
      </c>
      <c r="D9" s="14">
        <v>3700000</v>
      </c>
      <c r="E9" s="13">
        <v>45522.95</v>
      </c>
      <c r="F9" s="7">
        <f t="shared" si="0"/>
        <v>6.8255418783379582</v>
      </c>
    </row>
    <row r="10" spans="1:6" x14ac:dyDescent="0.2">
      <c r="A10" s="7" t="s">
        <v>113</v>
      </c>
      <c r="B10" s="7" t="s">
        <v>114</v>
      </c>
      <c r="C10" s="7" t="s">
        <v>42</v>
      </c>
      <c r="D10" s="14">
        <v>11136080</v>
      </c>
      <c r="E10" s="13">
        <v>41676.779399999999</v>
      </c>
      <c r="F10" s="7">
        <f t="shared" si="0"/>
        <v>6.2488613578195764</v>
      </c>
    </row>
    <row r="11" spans="1:6" x14ac:dyDescent="0.2">
      <c r="A11" s="7" t="s">
        <v>121</v>
      </c>
      <c r="B11" s="7" t="s">
        <v>122</v>
      </c>
      <c r="C11" s="7" t="s">
        <v>11</v>
      </c>
      <c r="D11" s="14">
        <v>4500000</v>
      </c>
      <c r="E11" s="13">
        <v>33135.75</v>
      </c>
      <c r="F11" s="7">
        <f t="shared" si="0"/>
        <v>4.968251163317337</v>
      </c>
    </row>
    <row r="12" spans="1:6" x14ac:dyDescent="0.2">
      <c r="A12" s="7" t="s">
        <v>176</v>
      </c>
      <c r="B12" s="7" t="s">
        <v>177</v>
      </c>
      <c r="C12" s="7" t="s">
        <v>178</v>
      </c>
      <c r="D12" s="14">
        <v>1114802</v>
      </c>
      <c r="E12" s="13">
        <v>31027.169264</v>
      </c>
      <c r="F12" s="7">
        <f t="shared" si="0"/>
        <v>4.6520984070169513</v>
      </c>
    </row>
    <row r="13" spans="1:6" x14ac:dyDescent="0.2">
      <c r="A13" s="7" t="s">
        <v>179</v>
      </c>
      <c r="B13" s="7" t="s">
        <v>180</v>
      </c>
      <c r="C13" s="7" t="s">
        <v>30</v>
      </c>
      <c r="D13" s="14">
        <v>3000000</v>
      </c>
      <c r="E13" s="13">
        <v>29745</v>
      </c>
      <c r="F13" s="7">
        <f t="shared" si="0"/>
        <v>4.4598547144058669</v>
      </c>
    </row>
    <row r="14" spans="1:6" x14ac:dyDescent="0.2">
      <c r="A14" s="7" t="s">
        <v>115</v>
      </c>
      <c r="B14" s="7" t="s">
        <v>116</v>
      </c>
      <c r="C14" s="7" t="s">
        <v>117</v>
      </c>
      <c r="D14" s="14">
        <v>20000000</v>
      </c>
      <c r="E14" s="13">
        <v>29360</v>
      </c>
      <c r="F14" s="7">
        <f t="shared" si="0"/>
        <v>4.4021292457541179</v>
      </c>
    </row>
    <row r="15" spans="1:6" x14ac:dyDescent="0.2">
      <c r="A15" s="7" t="s">
        <v>118</v>
      </c>
      <c r="B15" s="7" t="s">
        <v>119</v>
      </c>
      <c r="C15" s="7" t="s">
        <v>120</v>
      </c>
      <c r="D15" s="14">
        <v>21000000</v>
      </c>
      <c r="E15" s="13">
        <v>25704</v>
      </c>
      <c r="F15" s="7">
        <f t="shared" si="0"/>
        <v>3.8539621979858261</v>
      </c>
    </row>
    <row r="16" spans="1:6" x14ac:dyDescent="0.2">
      <c r="A16" s="7" t="s">
        <v>181</v>
      </c>
      <c r="B16" s="7" t="s">
        <v>182</v>
      </c>
      <c r="C16" s="7" t="s">
        <v>78</v>
      </c>
      <c r="D16" s="14">
        <v>2000000</v>
      </c>
      <c r="E16" s="13">
        <v>23255</v>
      </c>
      <c r="F16" s="7">
        <f t="shared" si="0"/>
        <v>3.4867682428478206</v>
      </c>
    </row>
    <row r="17" spans="1:6" x14ac:dyDescent="0.2">
      <c r="A17" s="7" t="s">
        <v>132</v>
      </c>
      <c r="B17" s="7" t="s">
        <v>133</v>
      </c>
      <c r="C17" s="7" t="s">
        <v>57</v>
      </c>
      <c r="D17" s="14">
        <v>1325000</v>
      </c>
      <c r="E17" s="13">
        <v>20776.662499999999</v>
      </c>
      <c r="F17" s="7">
        <f t="shared" si="0"/>
        <v>3.1151755320304111</v>
      </c>
    </row>
    <row r="18" spans="1:6" x14ac:dyDescent="0.2">
      <c r="A18" s="7" t="s">
        <v>127</v>
      </c>
      <c r="B18" s="7" t="s">
        <v>128</v>
      </c>
      <c r="C18" s="7" t="s">
        <v>57</v>
      </c>
      <c r="D18" s="14">
        <v>500000</v>
      </c>
      <c r="E18" s="13">
        <v>20716</v>
      </c>
      <c r="F18" s="7">
        <f t="shared" si="0"/>
        <v>3.1060800223107057</v>
      </c>
    </row>
    <row r="19" spans="1:6" x14ac:dyDescent="0.2">
      <c r="A19" s="7" t="s">
        <v>183</v>
      </c>
      <c r="B19" s="7" t="s">
        <v>184</v>
      </c>
      <c r="C19" s="7" t="s">
        <v>57</v>
      </c>
      <c r="D19" s="14">
        <v>2500000</v>
      </c>
      <c r="E19" s="13">
        <v>19218.75</v>
      </c>
      <c r="F19" s="7">
        <f t="shared" si="0"/>
        <v>2.8815879237682891</v>
      </c>
    </row>
    <row r="20" spans="1:6" x14ac:dyDescent="0.2">
      <c r="A20" s="7" t="s">
        <v>185</v>
      </c>
      <c r="B20" s="7" t="s">
        <v>186</v>
      </c>
      <c r="C20" s="7" t="s">
        <v>78</v>
      </c>
      <c r="D20" s="14">
        <v>2800000</v>
      </c>
      <c r="E20" s="13">
        <v>19196.8</v>
      </c>
      <c r="F20" s="7">
        <f t="shared" si="0"/>
        <v>2.878296822373728</v>
      </c>
    </row>
    <row r="21" spans="1:6" x14ac:dyDescent="0.2">
      <c r="A21" s="7" t="s">
        <v>129</v>
      </c>
      <c r="B21" s="7" t="s">
        <v>130</v>
      </c>
      <c r="C21" s="7" t="s">
        <v>131</v>
      </c>
      <c r="D21" s="14">
        <v>6500000</v>
      </c>
      <c r="E21" s="13">
        <v>18616</v>
      </c>
      <c r="F21" s="7">
        <f t="shared" si="0"/>
        <v>2.7912138296648048</v>
      </c>
    </row>
    <row r="22" spans="1:6" x14ac:dyDescent="0.2">
      <c r="A22" s="7" t="s">
        <v>123</v>
      </c>
      <c r="B22" s="7" t="s">
        <v>124</v>
      </c>
      <c r="C22" s="7" t="s">
        <v>117</v>
      </c>
      <c r="D22" s="14">
        <v>3500000</v>
      </c>
      <c r="E22" s="13">
        <v>18431</v>
      </c>
      <c r="F22" s="7">
        <f t="shared" si="0"/>
        <v>2.7634756174555233</v>
      </c>
    </row>
    <row r="23" spans="1:6" x14ac:dyDescent="0.2">
      <c r="A23" s="7" t="s">
        <v>136</v>
      </c>
      <c r="B23" s="7" t="s">
        <v>137</v>
      </c>
      <c r="C23" s="7" t="s">
        <v>131</v>
      </c>
      <c r="D23" s="14">
        <v>12500000</v>
      </c>
      <c r="E23" s="13">
        <v>17168.75</v>
      </c>
      <c r="F23" s="7">
        <f t="shared" si="0"/>
        <v>2.5742185452330051</v>
      </c>
    </row>
    <row r="24" spans="1:6" x14ac:dyDescent="0.2">
      <c r="A24" s="7" t="s">
        <v>187</v>
      </c>
      <c r="B24" s="7" t="s">
        <v>188</v>
      </c>
      <c r="C24" s="7" t="s">
        <v>178</v>
      </c>
      <c r="D24" s="14">
        <v>1929484</v>
      </c>
      <c r="E24" s="13">
        <v>14376.585284000001</v>
      </c>
      <c r="F24" s="7">
        <f t="shared" si="0"/>
        <v>2.1555717483915084</v>
      </c>
    </row>
    <row r="25" spans="1:6" x14ac:dyDescent="0.2">
      <c r="A25" s="7" t="s">
        <v>189</v>
      </c>
      <c r="B25" s="7" t="s">
        <v>190</v>
      </c>
      <c r="C25" s="7" t="s">
        <v>140</v>
      </c>
      <c r="D25" s="14">
        <v>900000</v>
      </c>
      <c r="E25" s="13">
        <v>13111.65</v>
      </c>
      <c r="F25" s="7">
        <f t="shared" si="0"/>
        <v>1.9659120546693456</v>
      </c>
    </row>
    <row r="26" spans="1:6" x14ac:dyDescent="0.2">
      <c r="A26" s="7" t="s">
        <v>191</v>
      </c>
      <c r="B26" s="7" t="s">
        <v>192</v>
      </c>
      <c r="C26" s="7" t="s">
        <v>57</v>
      </c>
      <c r="D26" s="14">
        <v>6000000</v>
      </c>
      <c r="E26" s="13">
        <v>12138</v>
      </c>
      <c r="F26" s="7">
        <f t="shared" si="0"/>
        <v>1.8199265934933067</v>
      </c>
    </row>
    <row r="27" spans="1:6" x14ac:dyDescent="0.2">
      <c r="A27" s="7" t="s">
        <v>31</v>
      </c>
      <c r="B27" s="7" t="s">
        <v>32</v>
      </c>
      <c r="C27" s="7" t="s">
        <v>33</v>
      </c>
      <c r="D27" s="14">
        <v>6000000</v>
      </c>
      <c r="E27" s="13">
        <v>10662</v>
      </c>
      <c r="F27" s="7">
        <f t="shared" si="0"/>
        <v>1.5986206409479022</v>
      </c>
    </row>
    <row r="28" spans="1:6" x14ac:dyDescent="0.2">
      <c r="A28" s="7" t="s">
        <v>22</v>
      </c>
      <c r="B28" s="7" t="s">
        <v>23</v>
      </c>
      <c r="C28" s="7" t="s">
        <v>24</v>
      </c>
      <c r="D28" s="14">
        <v>5500000</v>
      </c>
      <c r="E28" s="13">
        <v>10334.5</v>
      </c>
      <c r="F28" s="7">
        <f t="shared" si="0"/>
        <v>1.5495165085233629</v>
      </c>
    </row>
    <row r="29" spans="1:6" x14ac:dyDescent="0.2">
      <c r="A29" s="7" t="s">
        <v>193</v>
      </c>
      <c r="B29" s="7" t="s">
        <v>194</v>
      </c>
      <c r="C29" s="7" t="s">
        <v>178</v>
      </c>
      <c r="D29" s="14">
        <v>3500000</v>
      </c>
      <c r="E29" s="13">
        <v>8811.25</v>
      </c>
      <c r="F29" s="7">
        <f t="shared" si="0"/>
        <v>1.3211260666434255</v>
      </c>
    </row>
    <row r="30" spans="1:6" x14ac:dyDescent="0.2">
      <c r="A30" s="7" t="s">
        <v>40</v>
      </c>
      <c r="B30" s="7" t="s">
        <v>41</v>
      </c>
      <c r="C30" s="7" t="s">
        <v>42</v>
      </c>
      <c r="D30" s="14">
        <v>210000000</v>
      </c>
      <c r="E30" s="13">
        <v>8190</v>
      </c>
      <c r="F30" s="7">
        <f t="shared" si="0"/>
        <v>1.2279781513190133</v>
      </c>
    </row>
    <row r="31" spans="1:6" x14ac:dyDescent="0.2">
      <c r="A31" s="7" t="s">
        <v>37</v>
      </c>
      <c r="B31" s="7" t="s">
        <v>38</v>
      </c>
      <c r="C31" s="7" t="s">
        <v>39</v>
      </c>
      <c r="D31" s="14">
        <v>1367614</v>
      </c>
      <c r="E31" s="13">
        <v>7439.1363529999999</v>
      </c>
      <c r="F31" s="7">
        <f t="shared" si="0"/>
        <v>1.1153964476394391</v>
      </c>
    </row>
    <row r="32" spans="1:6" x14ac:dyDescent="0.2">
      <c r="A32" s="7" t="s">
        <v>195</v>
      </c>
      <c r="B32" s="7" t="s">
        <v>196</v>
      </c>
      <c r="C32" s="7" t="s">
        <v>197</v>
      </c>
      <c r="D32" s="14">
        <v>450000</v>
      </c>
      <c r="E32" s="13">
        <v>6628.7250000000004</v>
      </c>
      <c r="F32" s="7">
        <f t="shared" si="0"/>
        <v>0.99388638230795201</v>
      </c>
    </row>
    <row r="33" spans="1:6" x14ac:dyDescent="0.2">
      <c r="A33" s="7" t="s">
        <v>149</v>
      </c>
      <c r="B33" s="7" t="s">
        <v>597</v>
      </c>
      <c r="C33" s="7" t="s">
        <v>33</v>
      </c>
      <c r="D33" s="14">
        <v>8000000</v>
      </c>
      <c r="E33" s="13">
        <v>6540</v>
      </c>
      <c r="F33" s="7">
        <f t="shared" si="0"/>
        <v>0.98058328566866271</v>
      </c>
    </row>
    <row r="34" spans="1:6" x14ac:dyDescent="0.2">
      <c r="A34" s="7" t="s">
        <v>198</v>
      </c>
      <c r="B34" s="7" t="s">
        <v>199</v>
      </c>
      <c r="C34" s="7" t="s">
        <v>33</v>
      </c>
      <c r="D34" s="14">
        <v>1000000</v>
      </c>
      <c r="E34" s="13">
        <v>6064.5</v>
      </c>
      <c r="F34" s="7">
        <f t="shared" si="0"/>
        <v>0.90928858347669794</v>
      </c>
    </row>
    <row r="35" spans="1:6" x14ac:dyDescent="0.2">
      <c r="A35" s="7" t="s">
        <v>200</v>
      </c>
      <c r="B35" s="7" t="s">
        <v>201</v>
      </c>
      <c r="C35" s="7" t="s">
        <v>36</v>
      </c>
      <c r="D35" s="14">
        <v>393495</v>
      </c>
      <c r="E35" s="13">
        <v>5021.5864425</v>
      </c>
      <c r="F35" s="7">
        <f t="shared" si="0"/>
        <v>0.75291800199630898</v>
      </c>
    </row>
    <row r="36" spans="1:6" x14ac:dyDescent="0.2">
      <c r="A36" s="7" t="s">
        <v>145</v>
      </c>
      <c r="B36" s="7" t="s">
        <v>146</v>
      </c>
      <c r="C36" s="7" t="s">
        <v>30</v>
      </c>
      <c r="D36" s="14">
        <v>500000</v>
      </c>
      <c r="E36" s="13">
        <v>1765</v>
      </c>
      <c r="F36" s="7">
        <f t="shared" si="0"/>
        <v>0.26463753810476903</v>
      </c>
    </row>
    <row r="37" spans="1:6" x14ac:dyDescent="0.2">
      <c r="A37" s="7" t="s">
        <v>202</v>
      </c>
      <c r="B37" s="7" t="s">
        <v>203</v>
      </c>
      <c r="C37" s="7" t="s">
        <v>11</v>
      </c>
      <c r="D37" s="14">
        <v>478264</v>
      </c>
      <c r="E37" s="13">
        <v>336.697856</v>
      </c>
      <c r="F37" s="7">
        <f t="shared" si="0"/>
        <v>5.0483224757503706E-2</v>
      </c>
    </row>
    <row r="38" spans="1:6" x14ac:dyDescent="0.2">
      <c r="A38" s="6" t="s">
        <v>43</v>
      </c>
      <c r="B38" s="7"/>
      <c r="C38" s="7"/>
      <c r="D38" s="14"/>
      <c r="E38" s="15">
        <f xml:space="preserve"> SUM(E7:E37)</f>
        <v>614341.99209949991</v>
      </c>
      <c r="F38" s="6">
        <f>SUM(F7:F37)</f>
        <v>92.112154302317919</v>
      </c>
    </row>
    <row r="39" spans="1:6" x14ac:dyDescent="0.2">
      <c r="A39" s="7"/>
      <c r="B39" s="7"/>
      <c r="C39" s="7"/>
      <c r="D39" s="14"/>
      <c r="E39" s="13"/>
      <c r="F39" s="7"/>
    </row>
    <row r="40" spans="1:6" x14ac:dyDescent="0.2">
      <c r="A40" s="6" t="s">
        <v>44</v>
      </c>
      <c r="B40" s="7"/>
      <c r="C40" s="7"/>
      <c r="D40" s="32"/>
      <c r="E40" s="13"/>
      <c r="F40" s="7"/>
    </row>
    <row r="41" spans="1:6" x14ac:dyDescent="0.2">
      <c r="A41" s="7" t="s">
        <v>618</v>
      </c>
      <c r="B41" s="46" t="s">
        <v>614</v>
      </c>
      <c r="C41" s="7" t="s">
        <v>78</v>
      </c>
      <c r="D41" s="32">
        <v>350000</v>
      </c>
      <c r="E41" s="13">
        <f>148.826724413*100</f>
        <v>14882.672441299999</v>
      </c>
      <c r="F41" s="7">
        <f t="shared" ref="F41" si="1">E41/$E$48*100</f>
        <v>2.2314525752324785</v>
      </c>
    </row>
    <row r="42" spans="1:6" x14ac:dyDescent="0.2">
      <c r="A42" s="6" t="s">
        <v>43</v>
      </c>
      <c r="B42" s="7"/>
      <c r="C42" s="7"/>
      <c r="D42" s="27"/>
      <c r="E42" s="15">
        <f>SUM(E41)</f>
        <v>14882.672441299999</v>
      </c>
      <c r="F42" s="15">
        <f>SUM(F41)</f>
        <v>2.2314525752324785</v>
      </c>
    </row>
    <row r="43" spans="1:6" x14ac:dyDescent="0.2">
      <c r="A43" s="7"/>
      <c r="B43" s="7"/>
      <c r="C43" s="7"/>
      <c r="D43" s="7"/>
      <c r="E43" s="13"/>
      <c r="F43" s="7"/>
    </row>
    <row r="44" spans="1:6" x14ac:dyDescent="0.2">
      <c r="A44" s="6" t="s">
        <v>43</v>
      </c>
      <c r="B44" s="7"/>
      <c r="C44" s="7"/>
      <c r="D44" s="7"/>
      <c r="E44" s="15">
        <f>E38+E42</f>
        <v>629224.66454079992</v>
      </c>
      <c r="F44" s="15">
        <f>F38+F42</f>
        <v>94.3436068775504</v>
      </c>
    </row>
    <row r="45" spans="1:6" x14ac:dyDescent="0.2">
      <c r="A45" s="7"/>
      <c r="B45" s="7"/>
      <c r="C45" s="7"/>
      <c r="D45" s="7"/>
      <c r="E45" s="13"/>
      <c r="F45" s="7"/>
    </row>
    <row r="46" spans="1:6" x14ac:dyDescent="0.2">
      <c r="A46" s="6" t="s">
        <v>100</v>
      </c>
      <c r="B46" s="7"/>
      <c r="C46" s="7"/>
      <c r="D46" s="7"/>
      <c r="E46" s="15">
        <v>37725.312639399999</v>
      </c>
      <c r="F46" s="6">
        <f t="shared" ref="F46" si="2">E46/$E$48*100</f>
        <v>5.6563931224495985</v>
      </c>
    </row>
    <row r="47" spans="1:6" x14ac:dyDescent="0.2">
      <c r="A47" s="7"/>
      <c r="B47" s="7"/>
      <c r="C47" s="7"/>
      <c r="D47" s="7"/>
      <c r="E47" s="13"/>
      <c r="F47" s="7"/>
    </row>
    <row r="48" spans="1:6" x14ac:dyDescent="0.2">
      <c r="A48" s="8" t="s">
        <v>101</v>
      </c>
      <c r="B48" s="5"/>
      <c r="C48" s="5"/>
      <c r="D48" s="5"/>
      <c r="E48" s="16">
        <f>E44+E46</f>
        <v>666949.97718019993</v>
      </c>
      <c r="F48" s="8">
        <f xml:space="preserve"> ROUND(SUM(F44:F47),2)</f>
        <v>100</v>
      </c>
    </row>
    <row r="50" spans="1:4" x14ac:dyDescent="0.2">
      <c r="A50" s="4" t="s">
        <v>102</v>
      </c>
      <c r="B50" s="2"/>
      <c r="C50" s="2"/>
      <c r="D50" s="2"/>
    </row>
    <row r="51" spans="1:4" x14ac:dyDescent="0.2">
      <c r="A51" s="4" t="s">
        <v>103</v>
      </c>
      <c r="B51" s="2"/>
      <c r="C51" s="2"/>
      <c r="D51" s="2"/>
    </row>
    <row r="52" spans="1:4" x14ac:dyDescent="0.2">
      <c r="A52" s="4" t="s">
        <v>104</v>
      </c>
      <c r="B52" s="2"/>
      <c r="C52" s="2"/>
      <c r="D52" s="2"/>
    </row>
    <row r="53" spans="1:4" x14ac:dyDescent="0.2">
      <c r="A53" s="2" t="s">
        <v>598</v>
      </c>
      <c r="B53" s="2"/>
      <c r="C53" s="2"/>
      <c r="D53" s="10">
        <v>470.1515</v>
      </c>
    </row>
    <row r="54" spans="1:4" x14ac:dyDescent="0.2">
      <c r="A54" s="2" t="s">
        <v>599</v>
      </c>
      <c r="B54" s="2"/>
      <c r="C54" s="2"/>
      <c r="D54" s="10">
        <v>38.061900000000001</v>
      </c>
    </row>
    <row r="55" spans="1:4" x14ac:dyDescent="0.2">
      <c r="A55" s="2" t="s">
        <v>600</v>
      </c>
      <c r="B55" s="2"/>
      <c r="C55" s="2"/>
      <c r="D55" s="10">
        <v>495.85590000000002</v>
      </c>
    </row>
    <row r="56" spans="1:4" x14ac:dyDescent="0.2">
      <c r="A56" s="2" t="s">
        <v>601</v>
      </c>
      <c r="B56" s="2"/>
      <c r="C56" s="2"/>
      <c r="D56" s="10">
        <v>40.960500000000003</v>
      </c>
    </row>
    <row r="57" spans="1:4" x14ac:dyDescent="0.2">
      <c r="A57" s="2"/>
      <c r="B57" s="2"/>
      <c r="C57" s="2"/>
      <c r="D57" s="10"/>
    </row>
    <row r="58" spans="1:4" x14ac:dyDescent="0.2">
      <c r="A58" s="4" t="s">
        <v>105</v>
      </c>
      <c r="B58" s="2"/>
      <c r="C58" s="2"/>
      <c r="D58" s="2"/>
    </row>
    <row r="59" spans="1:4" x14ac:dyDescent="0.2">
      <c r="A59" s="2" t="s">
        <v>598</v>
      </c>
      <c r="B59" s="2"/>
      <c r="C59" s="2"/>
      <c r="D59" s="10">
        <v>459.69200000000001</v>
      </c>
    </row>
    <row r="60" spans="1:4" x14ac:dyDescent="0.2">
      <c r="A60" s="2" t="s">
        <v>599</v>
      </c>
      <c r="B60" s="2"/>
      <c r="C60" s="2"/>
      <c r="D60" s="10">
        <v>37.215200000000003</v>
      </c>
    </row>
    <row r="61" spans="1:4" x14ac:dyDescent="0.2">
      <c r="A61" s="2" t="s">
        <v>600</v>
      </c>
      <c r="B61" s="2"/>
      <c r="C61" s="2"/>
      <c r="D61" s="10">
        <v>486.65440000000001</v>
      </c>
    </row>
    <row r="62" spans="1:4" x14ac:dyDescent="0.2">
      <c r="A62" s="2" t="s">
        <v>601</v>
      </c>
      <c r="B62" s="2"/>
      <c r="C62" s="2"/>
      <c r="D62" s="10">
        <v>40.200299999999999</v>
      </c>
    </row>
    <row r="63" spans="1:4" x14ac:dyDescent="0.2">
      <c r="A63" s="2"/>
      <c r="B63" s="2"/>
      <c r="C63" s="2"/>
      <c r="D63" s="2"/>
    </row>
    <row r="64" spans="1:4" x14ac:dyDescent="0.2">
      <c r="A64" s="4" t="s">
        <v>106</v>
      </c>
      <c r="B64" s="2"/>
      <c r="C64" s="2"/>
      <c r="D64" s="17" t="s">
        <v>107</v>
      </c>
    </row>
    <row r="65" spans="1:4" x14ac:dyDescent="0.2">
      <c r="A65" s="4"/>
      <c r="B65" s="2"/>
      <c r="C65" s="2"/>
      <c r="D65" s="17"/>
    </row>
    <row r="66" spans="1:4" x14ac:dyDescent="0.2">
      <c r="A66" s="9" t="s">
        <v>606</v>
      </c>
      <c r="B66" s="2"/>
      <c r="C66" s="2"/>
      <c r="D66" s="24">
        <v>0.25517398084666215</v>
      </c>
    </row>
  </sheetData>
  <mergeCells count="1">
    <mergeCell ref="A1:F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2D80-04F8-4B63-AFD3-6C90CA835D7F}">
  <dimension ref="A1:G88"/>
  <sheetViews>
    <sheetView showGridLines="0" workbookViewId="0">
      <selection sqref="A1:G1"/>
    </sheetView>
  </sheetViews>
  <sheetFormatPr defaultRowHeight="11.25" x14ac:dyDescent="0.2"/>
  <cols>
    <col min="1" max="1" width="59" style="1" bestFit="1" customWidth="1"/>
    <col min="2" max="2" width="32" style="1" bestFit="1" customWidth="1"/>
    <col min="3" max="3" width="4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3.7109375" style="2" customWidth="1"/>
    <col min="8" max="16384" width="9.140625" style="2"/>
  </cols>
  <sheetData>
    <row r="1" spans="1:7" x14ac:dyDescent="0.2">
      <c r="A1" s="109" t="s">
        <v>281</v>
      </c>
      <c r="B1" s="109"/>
      <c r="C1" s="109"/>
      <c r="D1" s="109"/>
      <c r="E1" s="109"/>
      <c r="F1" s="109"/>
      <c r="G1" s="109"/>
    </row>
    <row r="3" spans="1:7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15" t="s">
        <v>623</v>
      </c>
    </row>
    <row r="4" spans="1:7" x14ac:dyDescent="0.2">
      <c r="A4" s="5"/>
      <c r="B4" s="5"/>
      <c r="C4" s="5"/>
      <c r="D4" s="5"/>
      <c r="E4" s="5"/>
      <c r="F4" s="5"/>
      <c r="G4" s="116"/>
    </row>
    <row r="5" spans="1:7" x14ac:dyDescent="0.2">
      <c r="A5" s="6" t="s">
        <v>7</v>
      </c>
      <c r="B5" s="7"/>
      <c r="C5" s="7"/>
      <c r="D5" s="7"/>
      <c r="E5" s="7"/>
      <c r="F5" s="7"/>
      <c r="G5" s="30"/>
    </row>
    <row r="6" spans="1:7" x14ac:dyDescent="0.2">
      <c r="A6" s="6" t="s">
        <v>8</v>
      </c>
      <c r="B6" s="7"/>
      <c r="C6" s="7"/>
      <c r="D6" s="7"/>
      <c r="E6" s="7"/>
      <c r="F6" s="7"/>
      <c r="G6" s="30"/>
    </row>
    <row r="7" spans="1:7" x14ac:dyDescent="0.2">
      <c r="A7" s="7" t="s">
        <v>121</v>
      </c>
      <c r="B7" s="7" t="s">
        <v>122</v>
      </c>
      <c r="C7" s="7" t="s">
        <v>11</v>
      </c>
      <c r="D7" s="14">
        <v>2883870</v>
      </c>
      <c r="E7" s="13">
        <v>21235.376745000001</v>
      </c>
      <c r="F7" s="7">
        <f>E7/$E$69*100</f>
        <v>8.1078694326202552</v>
      </c>
      <c r="G7" s="30"/>
    </row>
    <row r="8" spans="1:7" x14ac:dyDescent="0.2">
      <c r="A8" s="7" t="s">
        <v>109</v>
      </c>
      <c r="B8" s="7" t="s">
        <v>110</v>
      </c>
      <c r="C8" s="7" t="s">
        <v>11</v>
      </c>
      <c r="D8" s="14">
        <v>3065871</v>
      </c>
      <c r="E8" s="13">
        <v>14196.515665499999</v>
      </c>
      <c r="F8" s="7">
        <f t="shared" ref="F8:F62" si="0">E8/$E$69*100</f>
        <v>5.4203651197817271</v>
      </c>
      <c r="G8" s="30"/>
    </row>
    <row r="9" spans="1:7" x14ac:dyDescent="0.2">
      <c r="A9" s="7" t="s">
        <v>9</v>
      </c>
      <c r="B9" s="7" t="s">
        <v>10</v>
      </c>
      <c r="C9" s="7" t="s">
        <v>11</v>
      </c>
      <c r="D9" s="14">
        <v>1038046</v>
      </c>
      <c r="E9" s="13">
        <v>12771.598961</v>
      </c>
      <c r="F9" s="7">
        <f t="shared" si="0"/>
        <v>4.8763183279033688</v>
      </c>
      <c r="G9" s="30"/>
    </row>
    <row r="10" spans="1:7" x14ac:dyDescent="0.2">
      <c r="A10" s="7" t="s">
        <v>22</v>
      </c>
      <c r="B10" s="7" t="s">
        <v>23</v>
      </c>
      <c r="C10" s="7" t="s">
        <v>24</v>
      </c>
      <c r="D10" s="14">
        <v>4624884</v>
      </c>
      <c r="E10" s="13">
        <v>8690.1570360000005</v>
      </c>
      <c r="F10" s="7">
        <f t="shared" si="0"/>
        <v>3.3179848628512865</v>
      </c>
      <c r="G10" s="30"/>
    </row>
    <row r="11" spans="1:7" x14ac:dyDescent="0.2">
      <c r="A11" s="7" t="s">
        <v>198</v>
      </c>
      <c r="B11" s="7" t="s">
        <v>199</v>
      </c>
      <c r="C11" s="7" t="s">
        <v>33</v>
      </c>
      <c r="D11" s="14">
        <v>1396570</v>
      </c>
      <c r="E11" s="13">
        <v>8469.4987650000003</v>
      </c>
      <c r="F11" s="7">
        <f t="shared" si="0"/>
        <v>3.2337354298424286</v>
      </c>
      <c r="G11" s="30"/>
    </row>
    <row r="12" spans="1:7" x14ac:dyDescent="0.2">
      <c r="A12" s="7" t="s">
        <v>113</v>
      </c>
      <c r="B12" s="7" t="s">
        <v>114</v>
      </c>
      <c r="C12" s="7" t="s">
        <v>42</v>
      </c>
      <c r="D12" s="14">
        <v>2083873</v>
      </c>
      <c r="E12" s="13">
        <v>7798.8947024999998</v>
      </c>
      <c r="F12" s="7">
        <f t="shared" si="0"/>
        <v>2.977692401031323</v>
      </c>
      <c r="G12" s="30"/>
    </row>
    <row r="13" spans="1:7" x14ac:dyDescent="0.2">
      <c r="A13" s="7" t="s">
        <v>183</v>
      </c>
      <c r="B13" s="7" t="s">
        <v>184</v>
      </c>
      <c r="C13" s="7" t="s">
        <v>57</v>
      </c>
      <c r="D13" s="14">
        <v>980035</v>
      </c>
      <c r="E13" s="13">
        <v>7534.0190624999996</v>
      </c>
      <c r="F13" s="7">
        <f t="shared" si="0"/>
        <v>2.8765603546923106</v>
      </c>
      <c r="G13" s="30"/>
    </row>
    <row r="14" spans="1:7" x14ac:dyDescent="0.2">
      <c r="A14" s="7" t="s">
        <v>205</v>
      </c>
      <c r="B14" s="7" t="s">
        <v>206</v>
      </c>
      <c r="C14" s="7" t="s">
        <v>120</v>
      </c>
      <c r="D14" s="14">
        <v>12427483</v>
      </c>
      <c r="E14" s="13">
        <v>7369.4974190000003</v>
      </c>
      <c r="F14" s="7">
        <f t="shared" si="0"/>
        <v>2.8137444216219372</v>
      </c>
      <c r="G14" s="30"/>
    </row>
    <row r="15" spans="1:7" x14ac:dyDescent="0.2">
      <c r="A15" s="7" t="s">
        <v>207</v>
      </c>
      <c r="B15" s="7" t="s">
        <v>208</v>
      </c>
      <c r="C15" s="7" t="s">
        <v>120</v>
      </c>
      <c r="D15" s="14">
        <v>3713612</v>
      </c>
      <c r="E15" s="13">
        <v>7365.9494020000002</v>
      </c>
      <c r="F15" s="7">
        <f t="shared" si="0"/>
        <v>2.8123897548822714</v>
      </c>
      <c r="G15" s="30"/>
    </row>
    <row r="16" spans="1:7" x14ac:dyDescent="0.2">
      <c r="A16" s="7" t="s">
        <v>209</v>
      </c>
      <c r="B16" s="7" t="s">
        <v>210</v>
      </c>
      <c r="C16" s="7" t="s">
        <v>30</v>
      </c>
      <c r="D16" s="14">
        <v>1611999</v>
      </c>
      <c r="E16" s="13">
        <v>7353.9394380000003</v>
      </c>
      <c r="F16" s="7">
        <f t="shared" si="0"/>
        <v>2.8078042360486863</v>
      </c>
      <c r="G16" s="30"/>
    </row>
    <row r="17" spans="1:7" x14ac:dyDescent="0.2">
      <c r="A17" s="7" t="s">
        <v>211</v>
      </c>
      <c r="B17" s="7" t="s">
        <v>212</v>
      </c>
      <c r="C17" s="7" t="s">
        <v>36</v>
      </c>
      <c r="D17" s="14">
        <v>1312320</v>
      </c>
      <c r="E17" s="13">
        <v>7288.6252800000002</v>
      </c>
      <c r="F17" s="7">
        <f t="shared" si="0"/>
        <v>2.782866667409118</v>
      </c>
      <c r="G17" s="30"/>
    </row>
    <row r="18" spans="1:7" x14ac:dyDescent="0.2">
      <c r="A18" s="7" t="s">
        <v>15</v>
      </c>
      <c r="B18" s="7" t="s">
        <v>16</v>
      </c>
      <c r="C18" s="7" t="s">
        <v>679</v>
      </c>
      <c r="D18" s="14">
        <v>4717530</v>
      </c>
      <c r="E18" s="13">
        <v>7170.6455999999998</v>
      </c>
      <c r="F18" s="7">
        <f t="shared" si="0"/>
        <v>2.7378209000262741</v>
      </c>
      <c r="G18" s="30"/>
    </row>
    <row r="19" spans="1:7" x14ac:dyDescent="0.2">
      <c r="A19" s="7" t="s">
        <v>213</v>
      </c>
      <c r="B19" s="7" t="s">
        <v>214</v>
      </c>
      <c r="C19" s="7" t="s">
        <v>215</v>
      </c>
      <c r="D19" s="14">
        <v>1461291</v>
      </c>
      <c r="E19" s="13">
        <v>6946.977414</v>
      </c>
      <c r="F19" s="7">
        <f t="shared" si="0"/>
        <v>2.652422252754993</v>
      </c>
      <c r="G19" s="30"/>
    </row>
    <row r="20" spans="1:7" x14ac:dyDescent="0.2">
      <c r="A20" s="7" t="s">
        <v>185</v>
      </c>
      <c r="B20" s="7" t="s">
        <v>186</v>
      </c>
      <c r="C20" s="7" t="s">
        <v>78</v>
      </c>
      <c r="D20" s="14">
        <v>979339</v>
      </c>
      <c r="E20" s="13">
        <v>6714.3481840000004</v>
      </c>
      <c r="F20" s="7">
        <f t="shared" si="0"/>
        <v>2.563602193393669</v>
      </c>
      <c r="G20" s="30"/>
    </row>
    <row r="21" spans="1:7" x14ac:dyDescent="0.2">
      <c r="A21" s="7" t="s">
        <v>129</v>
      </c>
      <c r="B21" s="7" t="s">
        <v>130</v>
      </c>
      <c r="C21" s="7" t="s">
        <v>131</v>
      </c>
      <c r="D21" s="14">
        <v>2232307</v>
      </c>
      <c r="E21" s="13">
        <v>6393.3272479999996</v>
      </c>
      <c r="F21" s="7">
        <f t="shared" si="0"/>
        <v>2.4410333374001727</v>
      </c>
      <c r="G21" s="30"/>
    </row>
    <row r="22" spans="1:7" x14ac:dyDescent="0.2">
      <c r="A22" s="7" t="s">
        <v>216</v>
      </c>
      <c r="B22" s="7" t="s">
        <v>217</v>
      </c>
      <c r="C22" s="7" t="s">
        <v>131</v>
      </c>
      <c r="D22" s="14">
        <v>2835803</v>
      </c>
      <c r="E22" s="13">
        <v>5933.9177774999998</v>
      </c>
      <c r="F22" s="7">
        <f t="shared" si="0"/>
        <v>2.2656264186696045</v>
      </c>
      <c r="G22" s="30"/>
    </row>
    <row r="23" spans="1:7" x14ac:dyDescent="0.2">
      <c r="A23" s="7" t="s">
        <v>115</v>
      </c>
      <c r="B23" s="7" t="s">
        <v>116</v>
      </c>
      <c r="C23" s="7" t="s">
        <v>117</v>
      </c>
      <c r="D23" s="14">
        <v>3938381</v>
      </c>
      <c r="E23" s="13">
        <v>5781.5433080000003</v>
      </c>
      <c r="F23" s="7">
        <f t="shared" si="0"/>
        <v>2.2074483925198374</v>
      </c>
      <c r="G23" s="30"/>
    </row>
    <row r="24" spans="1:7" x14ac:dyDescent="0.2">
      <c r="A24" s="7" t="s">
        <v>218</v>
      </c>
      <c r="B24" s="7" t="s">
        <v>219</v>
      </c>
      <c r="C24" s="7" t="s">
        <v>120</v>
      </c>
      <c r="D24" s="14">
        <v>680784</v>
      </c>
      <c r="E24" s="13">
        <v>5434.6986720000004</v>
      </c>
      <c r="F24" s="7">
        <f t="shared" si="0"/>
        <v>2.0750198015010866</v>
      </c>
      <c r="G24" s="30"/>
    </row>
    <row r="25" spans="1:7" x14ac:dyDescent="0.2">
      <c r="A25" s="7" t="s">
        <v>220</v>
      </c>
      <c r="B25" s="7" t="s">
        <v>221</v>
      </c>
      <c r="C25" s="7" t="s">
        <v>222</v>
      </c>
      <c r="D25" s="14">
        <v>851059</v>
      </c>
      <c r="E25" s="13">
        <v>5334.4378120000001</v>
      </c>
      <c r="F25" s="7">
        <f t="shared" si="0"/>
        <v>2.036739248636696</v>
      </c>
      <c r="G25" s="30"/>
    </row>
    <row r="26" spans="1:7" x14ac:dyDescent="0.2">
      <c r="A26" s="7" t="s">
        <v>176</v>
      </c>
      <c r="B26" s="7" t="s">
        <v>177</v>
      </c>
      <c r="C26" s="7" t="s">
        <v>178</v>
      </c>
      <c r="D26" s="14">
        <v>187295</v>
      </c>
      <c r="E26" s="13">
        <v>5212.7944399999997</v>
      </c>
      <c r="F26" s="7">
        <f t="shared" si="0"/>
        <v>1.990294648695615</v>
      </c>
      <c r="G26" s="30"/>
    </row>
    <row r="27" spans="1:7" x14ac:dyDescent="0.2">
      <c r="A27" s="7" t="s">
        <v>223</v>
      </c>
      <c r="B27" s="7" t="s">
        <v>224</v>
      </c>
      <c r="C27" s="7" t="s">
        <v>36</v>
      </c>
      <c r="D27" s="14">
        <v>328476</v>
      </c>
      <c r="E27" s="13">
        <v>5088.7501920000004</v>
      </c>
      <c r="F27" s="7">
        <f t="shared" si="0"/>
        <v>1.9429333713927122</v>
      </c>
      <c r="G27" s="30"/>
    </row>
    <row r="28" spans="1:7" x14ac:dyDescent="0.2">
      <c r="A28" s="7" t="s">
        <v>225</v>
      </c>
      <c r="B28" s="7" t="s">
        <v>226</v>
      </c>
      <c r="C28" s="7" t="s">
        <v>30</v>
      </c>
      <c r="D28" s="14">
        <v>924063</v>
      </c>
      <c r="E28" s="13">
        <v>4956.2119005000004</v>
      </c>
      <c r="F28" s="7">
        <f t="shared" si="0"/>
        <v>1.8923289872459801</v>
      </c>
      <c r="G28" s="30"/>
    </row>
    <row r="29" spans="1:7" x14ac:dyDescent="0.2">
      <c r="A29" s="7" t="s">
        <v>20</v>
      </c>
      <c r="B29" s="7" t="s">
        <v>21</v>
      </c>
      <c r="C29" s="7" t="s">
        <v>11</v>
      </c>
      <c r="D29" s="14">
        <v>310751</v>
      </c>
      <c r="E29" s="13">
        <v>4892.7744949999997</v>
      </c>
      <c r="F29" s="7">
        <f t="shared" si="0"/>
        <v>1.8681079806156506</v>
      </c>
      <c r="G29" s="30"/>
    </row>
    <row r="30" spans="1:7" x14ac:dyDescent="0.2">
      <c r="A30" s="7" t="s">
        <v>227</v>
      </c>
      <c r="B30" s="7" t="s">
        <v>228</v>
      </c>
      <c r="C30" s="7" t="s">
        <v>11</v>
      </c>
      <c r="D30" s="14">
        <v>5280054</v>
      </c>
      <c r="E30" s="13">
        <v>4424.6852520000002</v>
      </c>
      <c r="F30" s="7">
        <f t="shared" si="0"/>
        <v>1.6893870419371477</v>
      </c>
      <c r="G30" s="30"/>
    </row>
    <row r="31" spans="1:7" x14ac:dyDescent="0.2">
      <c r="A31" s="7" t="s">
        <v>229</v>
      </c>
      <c r="B31" s="7" t="s">
        <v>230</v>
      </c>
      <c r="C31" s="7" t="s">
        <v>27</v>
      </c>
      <c r="D31" s="14">
        <v>297232</v>
      </c>
      <c r="E31" s="13">
        <v>4413.3007360000001</v>
      </c>
      <c r="F31" s="7">
        <f t="shared" si="0"/>
        <v>1.6850403251169099</v>
      </c>
      <c r="G31" s="30"/>
    </row>
    <row r="32" spans="1:7" x14ac:dyDescent="0.2">
      <c r="A32" s="7" t="s">
        <v>231</v>
      </c>
      <c r="B32" s="7" t="s">
        <v>232</v>
      </c>
      <c r="C32" s="7" t="s">
        <v>233</v>
      </c>
      <c r="D32" s="14">
        <v>2227065</v>
      </c>
      <c r="E32" s="13">
        <v>4238.104695</v>
      </c>
      <c r="F32" s="7">
        <f t="shared" si="0"/>
        <v>1.6181488052443256</v>
      </c>
      <c r="G32" s="30"/>
    </row>
    <row r="33" spans="1:7" x14ac:dyDescent="0.2">
      <c r="A33" s="7" t="s">
        <v>234</v>
      </c>
      <c r="B33" s="7" t="s">
        <v>235</v>
      </c>
      <c r="C33" s="7" t="s">
        <v>39</v>
      </c>
      <c r="D33" s="14">
        <v>2717000</v>
      </c>
      <c r="E33" s="13">
        <v>4094.5189999999998</v>
      </c>
      <c r="F33" s="7">
        <f t="shared" si="0"/>
        <v>1.5633264170460022</v>
      </c>
      <c r="G33" s="30"/>
    </row>
    <row r="34" spans="1:7" x14ac:dyDescent="0.2">
      <c r="A34" s="7" t="s">
        <v>236</v>
      </c>
      <c r="B34" s="7" t="s">
        <v>237</v>
      </c>
      <c r="C34" s="7" t="s">
        <v>117</v>
      </c>
      <c r="D34" s="14">
        <v>1225067</v>
      </c>
      <c r="E34" s="13">
        <v>3984.5304175000001</v>
      </c>
      <c r="F34" s="7">
        <f t="shared" si="0"/>
        <v>1.5213317269259432</v>
      </c>
      <c r="G34" s="30"/>
    </row>
    <row r="35" spans="1:7" x14ac:dyDescent="0.2">
      <c r="A35" s="7" t="s">
        <v>238</v>
      </c>
      <c r="B35" s="7" t="s">
        <v>239</v>
      </c>
      <c r="C35" s="7" t="s">
        <v>36</v>
      </c>
      <c r="D35" s="14">
        <v>25512</v>
      </c>
      <c r="E35" s="13">
        <v>3813.27864</v>
      </c>
      <c r="F35" s="7">
        <f t="shared" si="0"/>
        <v>1.4559461644870257</v>
      </c>
      <c r="G35" s="30"/>
    </row>
    <row r="36" spans="1:7" x14ac:dyDescent="0.2">
      <c r="A36" s="7" t="s">
        <v>240</v>
      </c>
      <c r="B36" s="7" t="s">
        <v>241</v>
      </c>
      <c r="C36" s="7" t="s">
        <v>233</v>
      </c>
      <c r="D36" s="14">
        <v>357387</v>
      </c>
      <c r="E36" s="13">
        <v>3161.8027889999998</v>
      </c>
      <c r="F36" s="7">
        <f t="shared" si="0"/>
        <v>1.207206469315059</v>
      </c>
      <c r="G36" s="30"/>
    </row>
    <row r="37" spans="1:7" x14ac:dyDescent="0.2">
      <c r="A37" s="7" t="s">
        <v>200</v>
      </c>
      <c r="B37" s="7" t="s">
        <v>201</v>
      </c>
      <c r="C37" s="7" t="s">
        <v>36</v>
      </c>
      <c r="D37" s="14">
        <v>247050</v>
      </c>
      <c r="E37" s="13">
        <v>3152.7285750000001</v>
      </c>
      <c r="F37" s="7">
        <f t="shared" si="0"/>
        <v>1.2037418478393429</v>
      </c>
      <c r="G37" s="30"/>
    </row>
    <row r="38" spans="1:7" x14ac:dyDescent="0.2">
      <c r="A38" s="7" t="s">
        <v>242</v>
      </c>
      <c r="B38" s="7" t="s">
        <v>243</v>
      </c>
      <c r="C38" s="7" t="s">
        <v>679</v>
      </c>
      <c r="D38" s="14">
        <v>5150797</v>
      </c>
      <c r="E38" s="13">
        <v>3147.1369669999999</v>
      </c>
      <c r="F38" s="7">
        <f t="shared" si="0"/>
        <v>1.2016069185594529</v>
      </c>
      <c r="G38" s="30"/>
    </row>
    <row r="39" spans="1:7" x14ac:dyDescent="0.2">
      <c r="A39" s="7" t="s">
        <v>244</v>
      </c>
      <c r="B39" s="7" t="s">
        <v>245</v>
      </c>
      <c r="C39" s="7" t="s">
        <v>33</v>
      </c>
      <c r="D39" s="14">
        <v>3689680</v>
      </c>
      <c r="E39" s="13">
        <v>2831.8294000000001</v>
      </c>
      <c r="F39" s="7">
        <f t="shared" si="0"/>
        <v>1.0812194813572804</v>
      </c>
      <c r="G39" s="30"/>
    </row>
    <row r="40" spans="1:7" x14ac:dyDescent="0.2">
      <c r="A40" s="7" t="s">
        <v>149</v>
      </c>
      <c r="B40" s="7" t="s">
        <v>597</v>
      </c>
      <c r="C40" s="7" t="s">
        <v>33</v>
      </c>
      <c r="D40" s="14">
        <v>3415915</v>
      </c>
      <c r="E40" s="13">
        <v>2792.5105125</v>
      </c>
      <c r="F40" s="7">
        <f t="shared" si="0"/>
        <v>1.0662071549966967</v>
      </c>
      <c r="G40" s="30"/>
    </row>
    <row r="41" spans="1:7" x14ac:dyDescent="0.2">
      <c r="A41" s="7" t="s">
        <v>246</v>
      </c>
      <c r="B41" s="7" t="s">
        <v>247</v>
      </c>
      <c r="C41" s="7" t="s">
        <v>248</v>
      </c>
      <c r="D41" s="14">
        <v>417110</v>
      </c>
      <c r="E41" s="13">
        <v>2710.7978899999998</v>
      </c>
      <c r="F41" s="7">
        <f t="shared" si="0"/>
        <v>1.0350084961651325</v>
      </c>
      <c r="G41" s="30"/>
    </row>
    <row r="42" spans="1:7" x14ac:dyDescent="0.2">
      <c r="A42" s="7" t="s">
        <v>249</v>
      </c>
      <c r="B42" s="7" t="s">
        <v>250</v>
      </c>
      <c r="C42" s="7" t="s">
        <v>251</v>
      </c>
      <c r="D42" s="14">
        <v>215226</v>
      </c>
      <c r="E42" s="13">
        <v>2429.5787009999999</v>
      </c>
      <c r="F42" s="7">
        <f t="shared" si="0"/>
        <v>0.92763632689593334</v>
      </c>
      <c r="G42" s="30"/>
    </row>
    <row r="43" spans="1:7" x14ac:dyDescent="0.2">
      <c r="A43" s="7" t="s">
        <v>118</v>
      </c>
      <c r="B43" s="7" t="s">
        <v>119</v>
      </c>
      <c r="C43" s="7" t="s">
        <v>120</v>
      </c>
      <c r="D43" s="14">
        <v>1892345</v>
      </c>
      <c r="E43" s="13">
        <v>2316.2302800000002</v>
      </c>
      <c r="F43" s="7">
        <f t="shared" si="0"/>
        <v>0.88435881838278418</v>
      </c>
      <c r="G43" s="30"/>
    </row>
    <row r="44" spans="1:7" x14ac:dyDescent="0.2">
      <c r="A44" s="7" t="s">
        <v>37</v>
      </c>
      <c r="B44" s="7" t="s">
        <v>38</v>
      </c>
      <c r="C44" s="7" t="s">
        <v>39</v>
      </c>
      <c r="D44" s="14">
        <v>407593</v>
      </c>
      <c r="E44" s="13">
        <v>2217.1021234999998</v>
      </c>
      <c r="F44" s="7">
        <f t="shared" si="0"/>
        <v>0.84651074252099878</v>
      </c>
      <c r="G44" s="30"/>
    </row>
    <row r="45" spans="1:7" x14ac:dyDescent="0.2">
      <c r="A45" s="7" t="s">
        <v>34</v>
      </c>
      <c r="B45" s="7" t="s">
        <v>35</v>
      </c>
      <c r="C45" s="7" t="s">
        <v>36</v>
      </c>
      <c r="D45" s="14">
        <v>664248</v>
      </c>
      <c r="E45" s="13">
        <v>2105.6661600000002</v>
      </c>
      <c r="F45" s="7">
        <f t="shared" si="0"/>
        <v>0.8039634285267242</v>
      </c>
      <c r="G45" s="30"/>
    </row>
    <row r="46" spans="1:7" x14ac:dyDescent="0.2">
      <c r="A46" s="7" t="s">
        <v>252</v>
      </c>
      <c r="B46" s="7" t="s">
        <v>253</v>
      </c>
      <c r="C46" s="7" t="s">
        <v>78</v>
      </c>
      <c r="D46" s="14">
        <v>283932</v>
      </c>
      <c r="E46" s="13">
        <v>2098.2574800000002</v>
      </c>
      <c r="F46" s="7">
        <f t="shared" si="0"/>
        <v>0.80113472382186379</v>
      </c>
      <c r="G46" s="30"/>
    </row>
    <row r="47" spans="1:7" x14ac:dyDescent="0.2">
      <c r="A47" s="7" t="s">
        <v>254</v>
      </c>
      <c r="B47" s="7" t="s">
        <v>255</v>
      </c>
      <c r="C47" s="7" t="s">
        <v>11</v>
      </c>
      <c r="D47" s="14">
        <v>1565268</v>
      </c>
      <c r="E47" s="13">
        <v>2081.8064399999998</v>
      </c>
      <c r="F47" s="7">
        <f t="shared" si="0"/>
        <v>0.79485355980238281</v>
      </c>
      <c r="G47" s="30"/>
    </row>
    <row r="48" spans="1:7" x14ac:dyDescent="0.2">
      <c r="A48" s="7" t="s">
        <v>256</v>
      </c>
      <c r="B48" s="7" t="s">
        <v>257</v>
      </c>
      <c r="C48" s="7" t="s">
        <v>14</v>
      </c>
      <c r="D48" s="14">
        <v>952563</v>
      </c>
      <c r="E48" s="13">
        <v>2021.3386860000001</v>
      </c>
      <c r="F48" s="7">
        <f t="shared" si="0"/>
        <v>0.771766394446052</v>
      </c>
      <c r="G48" s="30"/>
    </row>
    <row r="49" spans="1:7" x14ac:dyDescent="0.2">
      <c r="A49" s="7" t="s">
        <v>193</v>
      </c>
      <c r="B49" s="7" t="s">
        <v>194</v>
      </c>
      <c r="C49" s="7" t="s">
        <v>178</v>
      </c>
      <c r="D49" s="14">
        <v>698798</v>
      </c>
      <c r="E49" s="13">
        <v>1759.2239649999999</v>
      </c>
      <c r="F49" s="7">
        <f t="shared" si="0"/>
        <v>0.67168849332117186</v>
      </c>
      <c r="G49" s="30"/>
    </row>
    <row r="50" spans="1:7" x14ac:dyDescent="0.2">
      <c r="A50" s="7" t="s">
        <v>258</v>
      </c>
      <c r="B50" s="7" t="s">
        <v>259</v>
      </c>
      <c r="C50" s="7" t="s">
        <v>57</v>
      </c>
      <c r="D50" s="14">
        <v>397199</v>
      </c>
      <c r="E50" s="13">
        <v>1677.7685759999999</v>
      </c>
      <c r="F50" s="7">
        <f t="shared" si="0"/>
        <v>0.64058804869398656</v>
      </c>
      <c r="G50" s="30"/>
    </row>
    <row r="51" spans="1:7" x14ac:dyDescent="0.2">
      <c r="A51" s="7" t="s">
        <v>260</v>
      </c>
      <c r="B51" s="7" t="s">
        <v>261</v>
      </c>
      <c r="C51" s="7" t="s">
        <v>19</v>
      </c>
      <c r="D51" s="14">
        <v>530322</v>
      </c>
      <c r="E51" s="13">
        <v>1602.6330840000001</v>
      </c>
      <c r="F51" s="7">
        <f t="shared" si="0"/>
        <v>0.61190060103497013</v>
      </c>
      <c r="G51" s="30"/>
    </row>
    <row r="52" spans="1:7" x14ac:dyDescent="0.2">
      <c r="A52" s="7" t="s">
        <v>262</v>
      </c>
      <c r="B52" s="7" t="s">
        <v>263</v>
      </c>
      <c r="C52" s="7" t="s">
        <v>264</v>
      </c>
      <c r="D52" s="14">
        <v>402468</v>
      </c>
      <c r="E52" s="13">
        <v>1531.5919739999999</v>
      </c>
      <c r="F52" s="7">
        <f t="shared" si="0"/>
        <v>0.58477642748509262</v>
      </c>
      <c r="G52" s="30"/>
    </row>
    <row r="53" spans="1:7" x14ac:dyDescent="0.2">
      <c r="A53" s="7" t="s">
        <v>265</v>
      </c>
      <c r="B53" s="7" t="s">
        <v>266</v>
      </c>
      <c r="C53" s="7" t="s">
        <v>30</v>
      </c>
      <c r="D53" s="14">
        <v>1614973</v>
      </c>
      <c r="E53" s="13">
        <v>1507.5772955</v>
      </c>
      <c r="F53" s="7">
        <f t="shared" si="0"/>
        <v>0.57560739412710438</v>
      </c>
      <c r="G53" s="30"/>
    </row>
    <row r="54" spans="1:7" x14ac:dyDescent="0.2">
      <c r="A54" s="7" t="s">
        <v>267</v>
      </c>
      <c r="B54" s="7" t="s">
        <v>268</v>
      </c>
      <c r="C54" s="7" t="s">
        <v>251</v>
      </c>
      <c r="D54" s="14">
        <v>1144411</v>
      </c>
      <c r="E54" s="13">
        <v>1352.1215964999999</v>
      </c>
      <c r="F54" s="7">
        <f t="shared" si="0"/>
        <v>0.51625292515845334</v>
      </c>
      <c r="G54" s="30"/>
    </row>
    <row r="55" spans="1:7" x14ac:dyDescent="0.2">
      <c r="A55" s="7" t="s">
        <v>269</v>
      </c>
      <c r="B55" s="7" t="s">
        <v>270</v>
      </c>
      <c r="C55" s="7" t="s">
        <v>248</v>
      </c>
      <c r="D55" s="14">
        <v>656332</v>
      </c>
      <c r="E55" s="13">
        <v>1011.079446</v>
      </c>
      <c r="F55" s="7">
        <f t="shared" si="0"/>
        <v>0.38603977846092224</v>
      </c>
      <c r="G55" s="30"/>
    </row>
    <row r="56" spans="1:7" x14ac:dyDescent="0.2">
      <c r="A56" s="7" t="s">
        <v>271</v>
      </c>
      <c r="B56" s="7" t="s">
        <v>272</v>
      </c>
      <c r="C56" s="7" t="s">
        <v>70</v>
      </c>
      <c r="D56" s="14">
        <v>1656994</v>
      </c>
      <c r="E56" s="13">
        <v>933.71611900000005</v>
      </c>
      <c r="F56" s="7">
        <f t="shared" si="0"/>
        <v>0.35650172214474246</v>
      </c>
      <c r="G56" s="30"/>
    </row>
    <row r="57" spans="1:7" x14ac:dyDescent="0.2">
      <c r="A57" s="7" t="s">
        <v>273</v>
      </c>
      <c r="B57" s="7" t="s">
        <v>274</v>
      </c>
      <c r="C57" s="7" t="s">
        <v>233</v>
      </c>
      <c r="D57" s="14">
        <v>42129</v>
      </c>
      <c r="E57" s="13">
        <v>882.81319499999995</v>
      </c>
      <c r="F57" s="7">
        <f t="shared" si="0"/>
        <v>0.33706650013354039</v>
      </c>
      <c r="G57" s="30"/>
    </row>
    <row r="58" spans="1:7" x14ac:dyDescent="0.2">
      <c r="A58" s="7" t="s">
        <v>150</v>
      </c>
      <c r="B58" s="7" t="s">
        <v>151</v>
      </c>
      <c r="C58" s="7" t="s">
        <v>39</v>
      </c>
      <c r="D58" s="14">
        <v>724000</v>
      </c>
      <c r="E58" s="13">
        <v>789.52200000000005</v>
      </c>
      <c r="F58" s="7">
        <f t="shared" si="0"/>
        <v>0.30144703185868571</v>
      </c>
      <c r="G58" s="30"/>
    </row>
    <row r="59" spans="1:7" x14ac:dyDescent="0.2">
      <c r="A59" s="7" t="s">
        <v>275</v>
      </c>
      <c r="B59" s="7" t="s">
        <v>276</v>
      </c>
      <c r="C59" s="7" t="s">
        <v>78</v>
      </c>
      <c r="D59" s="14">
        <v>173335</v>
      </c>
      <c r="E59" s="13">
        <v>705.04011249999996</v>
      </c>
      <c r="F59" s="7">
        <f t="shared" si="0"/>
        <v>0.26919104123056586</v>
      </c>
      <c r="G59" s="30"/>
    </row>
    <row r="60" spans="1:7" x14ac:dyDescent="0.2">
      <c r="A60" s="7" t="s">
        <v>277</v>
      </c>
      <c r="B60" s="7" t="s">
        <v>278</v>
      </c>
      <c r="C60" s="7" t="s">
        <v>70</v>
      </c>
      <c r="D60" s="14">
        <v>4997148</v>
      </c>
      <c r="E60" s="13">
        <v>624.64350000000002</v>
      </c>
      <c r="F60" s="7">
        <f t="shared" si="0"/>
        <v>0.23849484757210176</v>
      </c>
      <c r="G60" s="30"/>
    </row>
    <row r="61" spans="1:7" x14ac:dyDescent="0.2">
      <c r="A61" s="7" t="s">
        <v>279</v>
      </c>
      <c r="B61" s="7" t="s">
        <v>280</v>
      </c>
      <c r="C61" s="7" t="s">
        <v>14</v>
      </c>
      <c r="D61" s="14">
        <v>348470</v>
      </c>
      <c r="E61" s="13">
        <v>250.89840000000001</v>
      </c>
      <c r="F61" s="7">
        <f t="shared" si="0"/>
        <v>9.579540276026921E-2</v>
      </c>
      <c r="G61" s="30"/>
    </row>
    <row r="62" spans="1:7" x14ac:dyDescent="0.2">
      <c r="A62" s="7" t="s">
        <v>40</v>
      </c>
      <c r="B62" s="7" t="s">
        <v>41</v>
      </c>
      <c r="C62" s="7" t="s">
        <v>42</v>
      </c>
      <c r="D62" s="14">
        <v>5190996</v>
      </c>
      <c r="E62" s="13">
        <v>202.44884400000001</v>
      </c>
      <c r="F62" s="7">
        <f t="shared" si="0"/>
        <v>7.7296900057277795E-2</v>
      </c>
      <c r="G62" s="30"/>
    </row>
    <row r="63" spans="1:7" x14ac:dyDescent="0.2">
      <c r="A63" s="7" t="s">
        <v>154</v>
      </c>
      <c r="B63" s="7" t="s">
        <v>155</v>
      </c>
      <c r="C63" s="7" t="s">
        <v>24</v>
      </c>
      <c r="D63" s="14">
        <v>843</v>
      </c>
      <c r="E63" s="13">
        <v>0.38272200000000001</v>
      </c>
      <c r="F63" s="25" t="s">
        <v>607</v>
      </c>
      <c r="G63" s="48">
        <v>0.51</v>
      </c>
    </row>
    <row r="64" spans="1:7" x14ac:dyDescent="0.2">
      <c r="A64" s="6" t="s">
        <v>43</v>
      </c>
      <c r="B64" s="7"/>
      <c r="C64" s="7"/>
      <c r="D64" s="14"/>
      <c r="E64" s="15">
        <f xml:space="preserve"> SUM(E7:E63)</f>
        <v>252801.16509349991</v>
      </c>
      <c r="F64" s="6">
        <f>SUM(F7:F63)</f>
        <v>96.521750498962945</v>
      </c>
      <c r="G64" s="47">
        <f>SUM(G63)</f>
        <v>0.51</v>
      </c>
    </row>
    <row r="65" spans="1:7" x14ac:dyDescent="0.2">
      <c r="A65" s="7"/>
      <c r="B65" s="7"/>
      <c r="C65" s="7"/>
      <c r="D65" s="13"/>
      <c r="E65" s="13"/>
      <c r="F65" s="7"/>
      <c r="G65" s="30"/>
    </row>
    <row r="66" spans="1:7" x14ac:dyDescent="0.2">
      <c r="A66" s="6" t="s">
        <v>624</v>
      </c>
      <c r="B66" s="7"/>
      <c r="C66" s="7"/>
      <c r="D66" s="13"/>
      <c r="E66" s="15">
        <v>331.140829</v>
      </c>
      <c r="F66" s="6">
        <f t="shared" ref="F66:F67" si="1">E66/$E$69*100</f>
        <v>0.12643272768747998</v>
      </c>
      <c r="G66" s="30"/>
    </row>
    <row r="67" spans="1:7" x14ac:dyDescent="0.2">
      <c r="A67" s="6" t="s">
        <v>100</v>
      </c>
      <c r="B67" s="7"/>
      <c r="C67" s="7"/>
      <c r="D67" s="13"/>
      <c r="E67" s="15">
        <v>8778.3837041000188</v>
      </c>
      <c r="F67" s="6">
        <f t="shared" si="1"/>
        <v>3.3516706464387385</v>
      </c>
      <c r="G67" s="30"/>
    </row>
    <row r="68" spans="1:7" x14ac:dyDescent="0.2">
      <c r="A68" s="7"/>
      <c r="B68" s="7"/>
      <c r="C68" s="7"/>
      <c r="D68" s="13"/>
      <c r="E68" s="13"/>
      <c r="F68" s="7"/>
      <c r="G68" s="30"/>
    </row>
    <row r="69" spans="1:7" x14ac:dyDescent="0.2">
      <c r="A69" s="8" t="s">
        <v>101</v>
      </c>
      <c r="B69" s="5"/>
      <c r="C69" s="5"/>
      <c r="D69" s="35"/>
      <c r="E69" s="16">
        <f>E64+E66+E67</f>
        <v>261910.68962659992</v>
      </c>
      <c r="F69" s="8">
        <f xml:space="preserve"> ROUND(SUM(F64:F68),2)</f>
        <v>100</v>
      </c>
      <c r="G69" s="34"/>
    </row>
    <row r="70" spans="1:7" x14ac:dyDescent="0.2">
      <c r="G70" s="11" t="s">
        <v>608</v>
      </c>
    </row>
    <row r="71" spans="1:7" x14ac:dyDescent="0.2">
      <c r="A71" s="4" t="s">
        <v>102</v>
      </c>
      <c r="B71" s="2"/>
      <c r="C71" s="2"/>
      <c r="D71" s="2"/>
    </row>
    <row r="72" spans="1:7" x14ac:dyDescent="0.2">
      <c r="A72" s="4" t="s">
        <v>103</v>
      </c>
      <c r="B72" s="2"/>
      <c r="C72" s="2"/>
      <c r="D72" s="2"/>
    </row>
    <row r="73" spans="1:7" x14ac:dyDescent="0.2">
      <c r="A73" s="4" t="s">
        <v>104</v>
      </c>
      <c r="B73" s="2"/>
      <c r="C73" s="2"/>
      <c r="D73" s="2"/>
    </row>
    <row r="74" spans="1:7" x14ac:dyDescent="0.2">
      <c r="A74" s="2" t="s">
        <v>598</v>
      </c>
      <c r="B74" s="2"/>
      <c r="C74" s="2"/>
      <c r="D74" s="10">
        <v>79.909199999999998</v>
      </c>
    </row>
    <row r="75" spans="1:7" x14ac:dyDescent="0.2">
      <c r="A75" s="2" t="s">
        <v>599</v>
      </c>
      <c r="B75" s="2"/>
      <c r="C75" s="2"/>
      <c r="D75" s="10">
        <v>15.25</v>
      </c>
    </row>
    <row r="76" spans="1:7" x14ac:dyDescent="0.2">
      <c r="A76" s="2" t="s">
        <v>600</v>
      </c>
      <c r="B76" s="2"/>
      <c r="C76" s="2"/>
      <c r="D76" s="10">
        <v>83.661199999999994</v>
      </c>
    </row>
    <row r="77" spans="1:7" x14ac:dyDescent="0.2">
      <c r="A77" s="2" t="s">
        <v>601</v>
      </c>
      <c r="B77" s="2"/>
      <c r="C77" s="2"/>
      <c r="D77" s="10">
        <v>16.2637</v>
      </c>
    </row>
    <row r="78" spans="1:7" x14ac:dyDescent="0.2">
      <c r="A78" s="2"/>
      <c r="B78" s="2"/>
      <c r="C78" s="2"/>
      <c r="D78" s="10"/>
    </row>
    <row r="79" spans="1:7" x14ac:dyDescent="0.2">
      <c r="A79" s="4" t="s">
        <v>105</v>
      </c>
      <c r="B79" s="2"/>
      <c r="C79" s="2"/>
      <c r="D79" s="2"/>
    </row>
    <row r="80" spans="1:7" x14ac:dyDescent="0.2">
      <c r="A80" s="2" t="s">
        <v>598</v>
      </c>
      <c r="B80" s="2"/>
      <c r="C80" s="2"/>
      <c r="D80" s="10">
        <v>78.930700000000002</v>
      </c>
    </row>
    <row r="81" spans="1:4" x14ac:dyDescent="0.2">
      <c r="A81" s="2" t="s">
        <v>599</v>
      </c>
      <c r="B81" s="2"/>
      <c r="C81" s="2"/>
      <c r="D81" s="10">
        <v>15.0632</v>
      </c>
    </row>
    <row r="82" spans="1:4" x14ac:dyDescent="0.2">
      <c r="A82" s="2" t="s">
        <v>600</v>
      </c>
      <c r="B82" s="2"/>
      <c r="C82" s="2"/>
      <c r="D82" s="10">
        <v>82.932199999999995</v>
      </c>
    </row>
    <row r="83" spans="1:4" x14ac:dyDescent="0.2">
      <c r="A83" s="2" t="s">
        <v>601</v>
      </c>
      <c r="B83" s="2"/>
      <c r="C83" s="2"/>
      <c r="D83" s="10">
        <v>16.121600000000001</v>
      </c>
    </row>
    <row r="84" spans="1:4" x14ac:dyDescent="0.2">
      <c r="A84" s="2"/>
      <c r="B84" s="2"/>
      <c r="C84" s="2"/>
      <c r="D84" s="2"/>
    </row>
    <row r="85" spans="1:4" x14ac:dyDescent="0.2">
      <c r="A85" s="4" t="s">
        <v>106</v>
      </c>
      <c r="B85" s="2"/>
      <c r="C85" s="2"/>
      <c r="D85" s="17" t="s">
        <v>107</v>
      </c>
    </row>
    <row r="86" spans="1:4" x14ac:dyDescent="0.2">
      <c r="A86" s="4"/>
      <c r="B86" s="2"/>
      <c r="C86" s="2"/>
      <c r="D86" s="17"/>
    </row>
    <row r="87" spans="1:4" x14ac:dyDescent="0.2">
      <c r="A87" s="9" t="s">
        <v>606</v>
      </c>
      <c r="B87" s="2"/>
      <c r="C87" s="2"/>
      <c r="D87" s="24">
        <v>0.14689674626663582</v>
      </c>
    </row>
    <row r="88" spans="1:4" x14ac:dyDescent="0.2">
      <c r="A88" s="2"/>
      <c r="B88" s="2"/>
      <c r="C88" s="2"/>
      <c r="D88" s="2"/>
    </row>
  </sheetData>
  <mergeCells count="2">
    <mergeCell ref="G3:G4"/>
    <mergeCell ref="A1:G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DC0C-3A32-4068-B6E1-2106A95FB42C}">
  <dimension ref="A1:F81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45" style="1" bestFit="1" customWidth="1"/>
    <col min="3" max="3" width="4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0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14">
        <v>49254</v>
      </c>
      <c r="E7" s="13">
        <v>605.99658899999997</v>
      </c>
      <c r="F7" s="7">
        <v>4.8139304527062272</v>
      </c>
    </row>
    <row r="8" spans="1:6" x14ac:dyDescent="0.2">
      <c r="A8" s="7" t="s">
        <v>12</v>
      </c>
      <c r="B8" s="7" t="s">
        <v>13</v>
      </c>
      <c r="C8" s="7" t="s">
        <v>14</v>
      </c>
      <c r="D8" s="14">
        <v>54190</v>
      </c>
      <c r="E8" s="13">
        <v>293.52013499999998</v>
      </c>
      <c r="F8" s="7">
        <v>2.3316723922334535</v>
      </c>
    </row>
    <row r="9" spans="1:6" x14ac:dyDescent="0.2">
      <c r="A9" s="7" t="s">
        <v>15</v>
      </c>
      <c r="B9" s="7" t="s">
        <v>16</v>
      </c>
      <c r="C9" s="7" t="s">
        <v>679</v>
      </c>
      <c r="D9" s="14">
        <v>134100</v>
      </c>
      <c r="E9" s="13">
        <v>203.83199999999999</v>
      </c>
      <c r="F9" s="7">
        <v>1.6192056025516932</v>
      </c>
    </row>
    <row r="10" spans="1:6" x14ac:dyDescent="0.2">
      <c r="A10" s="7" t="s">
        <v>17</v>
      </c>
      <c r="B10" s="7" t="s">
        <v>18</v>
      </c>
      <c r="C10" s="7" t="s">
        <v>19</v>
      </c>
      <c r="D10" s="14">
        <v>27999</v>
      </c>
      <c r="E10" s="13">
        <v>141.926931</v>
      </c>
      <c r="F10" s="7">
        <v>1.1274426087570528</v>
      </c>
    </row>
    <row r="11" spans="1:6" x14ac:dyDescent="0.2">
      <c r="A11" s="7" t="s">
        <v>20</v>
      </c>
      <c r="B11" s="7" t="s">
        <v>21</v>
      </c>
      <c r="C11" s="7" t="s">
        <v>11</v>
      </c>
      <c r="D11" s="14">
        <v>8892</v>
      </c>
      <c r="E11" s="13">
        <v>140.00453999999999</v>
      </c>
      <c r="F11" s="7">
        <v>1.1121714723432663</v>
      </c>
    </row>
    <row r="12" spans="1:6" x14ac:dyDescent="0.2">
      <c r="A12" s="7" t="s">
        <v>22</v>
      </c>
      <c r="B12" s="7" t="s">
        <v>23</v>
      </c>
      <c r="C12" s="7" t="s">
        <v>24</v>
      </c>
      <c r="D12" s="14">
        <v>56959</v>
      </c>
      <c r="E12" s="13">
        <v>107.025961</v>
      </c>
      <c r="F12" s="7">
        <v>0.85019543383609542</v>
      </c>
    </row>
    <row r="13" spans="1:6" x14ac:dyDescent="0.2">
      <c r="A13" s="7" t="s">
        <v>25</v>
      </c>
      <c r="B13" s="7" t="s">
        <v>26</v>
      </c>
      <c r="C13" s="7" t="s">
        <v>27</v>
      </c>
      <c r="D13" s="14">
        <v>37307</v>
      </c>
      <c r="E13" s="13">
        <v>99.180659500000004</v>
      </c>
      <c r="F13" s="7">
        <v>0.78787373683804218</v>
      </c>
    </row>
    <row r="14" spans="1:6" x14ac:dyDescent="0.2">
      <c r="A14" s="7" t="s">
        <v>28</v>
      </c>
      <c r="B14" s="7" t="s">
        <v>29</v>
      </c>
      <c r="C14" s="7" t="s">
        <v>30</v>
      </c>
      <c r="D14" s="14">
        <v>15620</v>
      </c>
      <c r="E14" s="13">
        <v>96.99239</v>
      </c>
      <c r="F14" s="7">
        <v>0.7704905083248893</v>
      </c>
    </row>
    <row r="15" spans="1:6" x14ac:dyDescent="0.2">
      <c r="A15" s="7" t="s">
        <v>31</v>
      </c>
      <c r="B15" s="7" t="s">
        <v>32</v>
      </c>
      <c r="C15" s="7" t="s">
        <v>33</v>
      </c>
      <c r="D15" s="14">
        <v>54279</v>
      </c>
      <c r="E15" s="13">
        <v>96.453783000000001</v>
      </c>
      <c r="F15" s="7">
        <v>0.76621190892943836</v>
      </c>
    </row>
    <row r="16" spans="1:6" x14ac:dyDescent="0.2">
      <c r="A16" s="7" t="s">
        <v>34</v>
      </c>
      <c r="B16" s="7" t="s">
        <v>35</v>
      </c>
      <c r="C16" s="7" t="s">
        <v>36</v>
      </c>
      <c r="D16" s="14">
        <v>30332</v>
      </c>
      <c r="E16" s="13">
        <v>96.152439999999999</v>
      </c>
      <c r="F16" s="7">
        <v>0.76381809307182158</v>
      </c>
    </row>
    <row r="17" spans="1:6" x14ac:dyDescent="0.2">
      <c r="A17" s="7" t="s">
        <v>37</v>
      </c>
      <c r="B17" s="7" t="s">
        <v>38</v>
      </c>
      <c r="C17" s="7" t="s">
        <v>39</v>
      </c>
      <c r="D17" s="14">
        <v>15402</v>
      </c>
      <c r="E17" s="13">
        <v>83.779178999999999</v>
      </c>
      <c r="F17" s="7">
        <v>0.66552708119422443</v>
      </c>
    </row>
    <row r="18" spans="1:6" x14ac:dyDescent="0.2">
      <c r="A18" s="7" t="s">
        <v>40</v>
      </c>
      <c r="B18" s="7" t="s">
        <v>41</v>
      </c>
      <c r="C18" s="7" t="s">
        <v>42</v>
      </c>
      <c r="D18" s="14">
        <v>668809</v>
      </c>
      <c r="E18" s="13">
        <v>26.083551</v>
      </c>
      <c r="F18" s="7">
        <v>0.20720314726658634</v>
      </c>
    </row>
    <row r="19" spans="1:6" x14ac:dyDescent="0.2">
      <c r="A19" s="6" t="s">
        <v>43</v>
      </c>
      <c r="B19" s="7"/>
      <c r="C19" s="7"/>
      <c r="D19" s="14"/>
      <c r="E19" s="15">
        <v>1990.9481584999996</v>
      </c>
      <c r="F19" s="6">
        <v>15.815742438052789</v>
      </c>
    </row>
    <row r="20" spans="1:6" x14ac:dyDescent="0.2">
      <c r="A20" s="7"/>
      <c r="B20" s="7"/>
      <c r="C20" s="7"/>
      <c r="D20" s="14"/>
      <c r="E20" s="13"/>
      <c r="F20" s="7"/>
    </row>
    <row r="21" spans="1:6" x14ac:dyDescent="0.2">
      <c r="A21" s="6" t="s">
        <v>44</v>
      </c>
      <c r="B21" s="7"/>
      <c r="C21" s="7"/>
      <c r="D21" s="14"/>
      <c r="E21" s="13"/>
      <c r="F21" s="7"/>
    </row>
    <row r="22" spans="1:6" x14ac:dyDescent="0.2">
      <c r="A22" s="30" t="s">
        <v>95</v>
      </c>
      <c r="B22" s="7" t="s">
        <v>96</v>
      </c>
      <c r="C22" s="7" t="s">
        <v>14</v>
      </c>
      <c r="D22" s="14">
        <v>9063</v>
      </c>
      <c r="E22" s="13">
        <v>1142.3581881</v>
      </c>
      <c r="F22" s="7">
        <v>9.0746927778382247</v>
      </c>
    </row>
    <row r="23" spans="1:6" x14ac:dyDescent="0.2">
      <c r="A23" s="30" t="s">
        <v>88</v>
      </c>
      <c r="B23" s="7" t="s">
        <v>89</v>
      </c>
      <c r="C23" s="7" t="s">
        <v>75</v>
      </c>
      <c r="D23" s="14">
        <v>146714</v>
      </c>
      <c r="E23" s="13">
        <v>1020.339609</v>
      </c>
      <c r="F23" s="7">
        <v>8.1053986194425018</v>
      </c>
    </row>
    <row r="24" spans="1:6" x14ac:dyDescent="0.2">
      <c r="A24" s="30" t="s">
        <v>621</v>
      </c>
      <c r="B24" s="7" t="s">
        <v>617</v>
      </c>
      <c r="C24" s="7" t="s">
        <v>75</v>
      </c>
      <c r="D24" s="14">
        <v>32100</v>
      </c>
      <c r="E24" s="13">
        <v>983.1526513</v>
      </c>
      <c r="F24" s="7">
        <v>7.8099919597929235</v>
      </c>
    </row>
    <row r="25" spans="1:6" x14ac:dyDescent="0.2">
      <c r="A25" s="30" t="s">
        <v>48</v>
      </c>
      <c r="B25" s="7" t="s">
        <v>49</v>
      </c>
      <c r="C25" s="7" t="s">
        <v>30</v>
      </c>
      <c r="D25" s="14">
        <v>132124</v>
      </c>
      <c r="E25" s="13">
        <v>939.09824119999996</v>
      </c>
      <c r="F25" s="7">
        <v>7.4600314646251888</v>
      </c>
    </row>
    <row r="26" spans="1:6" x14ac:dyDescent="0.2">
      <c r="A26" s="30" t="s">
        <v>76</v>
      </c>
      <c r="B26" s="7" t="s">
        <v>77</v>
      </c>
      <c r="C26" s="7" t="s">
        <v>78</v>
      </c>
      <c r="D26" s="14">
        <v>31700</v>
      </c>
      <c r="E26" s="13">
        <v>921.36134500000003</v>
      </c>
      <c r="F26" s="7">
        <v>7.3191326769033509</v>
      </c>
    </row>
    <row r="27" spans="1:6" x14ac:dyDescent="0.2">
      <c r="A27" s="30" t="s">
        <v>47</v>
      </c>
      <c r="B27" s="7" t="s">
        <v>656</v>
      </c>
      <c r="C27" s="7" t="s">
        <v>30</v>
      </c>
      <c r="D27" s="14">
        <v>80310</v>
      </c>
      <c r="E27" s="13">
        <v>660.3172237</v>
      </c>
      <c r="F27" s="7">
        <v>5.245444032715274</v>
      </c>
    </row>
    <row r="28" spans="1:6" x14ac:dyDescent="0.2">
      <c r="A28" s="30" t="s">
        <v>97</v>
      </c>
      <c r="B28" s="7" t="s">
        <v>98</v>
      </c>
      <c r="C28" s="7" t="s">
        <v>99</v>
      </c>
      <c r="D28" s="14">
        <v>3660</v>
      </c>
      <c r="E28" s="13">
        <v>318.69246329999999</v>
      </c>
      <c r="F28" s="7">
        <v>2.5316369464380464</v>
      </c>
    </row>
    <row r="29" spans="1:6" x14ac:dyDescent="0.2">
      <c r="A29" s="30" t="s">
        <v>60</v>
      </c>
      <c r="B29" s="7" t="s">
        <v>61</v>
      </c>
      <c r="C29" s="7" t="s">
        <v>11</v>
      </c>
      <c r="D29" s="14">
        <v>195429</v>
      </c>
      <c r="E29" s="13">
        <v>310.8806621</v>
      </c>
      <c r="F29" s="7">
        <v>2.4695813699384779</v>
      </c>
    </row>
    <row r="30" spans="1:6" x14ac:dyDescent="0.2">
      <c r="A30" s="30" t="s">
        <v>643</v>
      </c>
      <c r="B30" s="7" t="s">
        <v>651</v>
      </c>
      <c r="C30" s="7" t="s">
        <v>11</v>
      </c>
      <c r="D30" s="14">
        <v>131360</v>
      </c>
      <c r="E30" s="13">
        <v>284.05116019999997</v>
      </c>
      <c r="F30" s="7">
        <v>2.2564525197571945</v>
      </c>
    </row>
    <row r="31" spans="1:6" x14ac:dyDescent="0.2">
      <c r="A31" s="30" t="s">
        <v>627</v>
      </c>
      <c r="B31" s="7" t="s">
        <v>628</v>
      </c>
      <c r="C31" s="7" t="s">
        <v>78</v>
      </c>
      <c r="D31" s="14">
        <v>14600</v>
      </c>
      <c r="E31" s="13">
        <v>237.69249879999998</v>
      </c>
      <c r="F31" s="7">
        <v>1.8881874570306507</v>
      </c>
    </row>
    <row r="32" spans="1:6" x14ac:dyDescent="0.2">
      <c r="A32" s="30" t="s">
        <v>644</v>
      </c>
      <c r="B32" s="7" t="s">
        <v>652</v>
      </c>
      <c r="C32" s="7" t="s">
        <v>140</v>
      </c>
      <c r="D32" s="14">
        <v>10238</v>
      </c>
      <c r="E32" s="13">
        <v>234.93355110000002</v>
      </c>
      <c r="F32" s="7">
        <v>1.8662708611429244</v>
      </c>
    </row>
    <row r="33" spans="1:6" x14ac:dyDescent="0.2">
      <c r="A33" s="30" t="s">
        <v>81</v>
      </c>
      <c r="B33" s="7" t="s">
        <v>82</v>
      </c>
      <c r="C33" s="7" t="s">
        <v>11</v>
      </c>
      <c r="D33" s="14">
        <v>17142</v>
      </c>
      <c r="E33" s="13">
        <v>232.50665140000001</v>
      </c>
      <c r="F33" s="7">
        <v>1.8469919962391259</v>
      </c>
    </row>
    <row r="34" spans="1:6" x14ac:dyDescent="0.2">
      <c r="A34" s="30" t="s">
        <v>45</v>
      </c>
      <c r="B34" s="7" t="s">
        <v>46</v>
      </c>
      <c r="C34" s="7" t="s">
        <v>11</v>
      </c>
      <c r="D34" s="14">
        <v>67000</v>
      </c>
      <c r="E34" s="13">
        <v>227.63678139999999</v>
      </c>
      <c r="F34" s="7">
        <v>1.8083066044081157</v>
      </c>
    </row>
    <row r="35" spans="1:6" x14ac:dyDescent="0.2">
      <c r="A35" s="30" t="s">
        <v>50</v>
      </c>
      <c r="B35" s="7" t="s">
        <v>51</v>
      </c>
      <c r="C35" s="7" t="s">
        <v>14</v>
      </c>
      <c r="D35" s="14">
        <v>37521</v>
      </c>
      <c r="E35" s="13">
        <v>209.06719200000001</v>
      </c>
      <c r="F35" s="7">
        <v>1.6607930481776687</v>
      </c>
    </row>
    <row r="36" spans="1:6" x14ac:dyDescent="0.2">
      <c r="A36" s="30" t="s">
        <v>83</v>
      </c>
      <c r="B36" s="7" t="s">
        <v>84</v>
      </c>
      <c r="C36" s="7" t="s">
        <v>57</v>
      </c>
      <c r="D36" s="14">
        <v>23512</v>
      </c>
      <c r="E36" s="13">
        <v>202.96579389999999</v>
      </c>
      <c r="F36" s="7">
        <v>1.6123246134524132</v>
      </c>
    </row>
    <row r="37" spans="1:6" x14ac:dyDescent="0.2">
      <c r="A37" s="30" t="s">
        <v>650</v>
      </c>
      <c r="B37" s="7" t="s">
        <v>660</v>
      </c>
      <c r="C37" s="7" t="s">
        <v>36</v>
      </c>
      <c r="D37" s="14">
        <v>87300</v>
      </c>
      <c r="E37" s="13">
        <v>184.0234638</v>
      </c>
      <c r="F37" s="7">
        <v>1.4618500705773811</v>
      </c>
    </row>
    <row r="38" spans="1:6" x14ac:dyDescent="0.2">
      <c r="A38" s="30" t="s">
        <v>52</v>
      </c>
      <c r="B38" s="7" t="s">
        <v>53</v>
      </c>
      <c r="C38" s="7" t="s">
        <v>54</v>
      </c>
      <c r="D38" s="14">
        <v>170000</v>
      </c>
      <c r="E38" s="13">
        <v>181.1309267</v>
      </c>
      <c r="F38" s="7">
        <v>1.4388722639625775</v>
      </c>
    </row>
    <row r="39" spans="1:6" x14ac:dyDescent="0.2">
      <c r="A39" s="30" t="s">
        <v>645</v>
      </c>
      <c r="B39" s="7" t="s">
        <v>654</v>
      </c>
      <c r="C39" s="7" t="s">
        <v>36</v>
      </c>
      <c r="D39" s="14">
        <v>1500</v>
      </c>
      <c r="E39" s="13">
        <v>178.4150827</v>
      </c>
      <c r="F39" s="7">
        <v>1.4172980762959875</v>
      </c>
    </row>
    <row r="40" spans="1:6" x14ac:dyDescent="0.2">
      <c r="A40" s="30" t="s">
        <v>87</v>
      </c>
      <c r="B40" s="49" t="s">
        <v>678</v>
      </c>
      <c r="C40" s="7" t="s">
        <v>14</v>
      </c>
      <c r="D40" s="14">
        <v>91900</v>
      </c>
      <c r="E40" s="13">
        <v>168.6076707</v>
      </c>
      <c r="F40" s="7">
        <v>1.339389718153337</v>
      </c>
    </row>
    <row r="41" spans="1:6" x14ac:dyDescent="0.2">
      <c r="A41" s="30" t="s">
        <v>73</v>
      </c>
      <c r="B41" s="7" t="s">
        <v>74</v>
      </c>
      <c r="C41" s="7" t="s">
        <v>75</v>
      </c>
      <c r="D41" s="14">
        <v>14600</v>
      </c>
      <c r="E41" s="13">
        <v>167.72912259999998</v>
      </c>
      <c r="F41" s="7">
        <v>1.3324106863740719</v>
      </c>
    </row>
    <row r="42" spans="1:6" x14ac:dyDescent="0.2">
      <c r="A42" s="30" t="s">
        <v>62</v>
      </c>
      <c r="B42" s="7" t="s">
        <v>63</v>
      </c>
      <c r="C42" s="7" t="s">
        <v>14</v>
      </c>
      <c r="D42" s="14">
        <v>1925400</v>
      </c>
      <c r="E42" s="13">
        <v>164.58555669999998</v>
      </c>
      <c r="F42" s="7">
        <v>1.3074387510681804</v>
      </c>
    </row>
    <row r="43" spans="1:6" x14ac:dyDescent="0.2">
      <c r="A43" s="30" t="s">
        <v>85</v>
      </c>
      <c r="B43" s="7" t="s">
        <v>86</v>
      </c>
      <c r="C43" s="49" t="s">
        <v>679</v>
      </c>
      <c r="D43" s="14">
        <v>193900</v>
      </c>
      <c r="E43" s="13">
        <v>164.1903106</v>
      </c>
      <c r="F43" s="7">
        <v>1.3042989854793294</v>
      </c>
    </row>
    <row r="44" spans="1:6" x14ac:dyDescent="0.2">
      <c r="A44" s="30" t="s">
        <v>649</v>
      </c>
      <c r="B44" s="7" t="s">
        <v>659</v>
      </c>
      <c r="C44" s="7" t="s">
        <v>14</v>
      </c>
      <c r="D44" s="14">
        <v>300100</v>
      </c>
      <c r="E44" s="13">
        <v>163.38516179999999</v>
      </c>
      <c r="F44" s="7">
        <v>1.2979030248458283</v>
      </c>
    </row>
    <row r="45" spans="1:6" x14ac:dyDescent="0.2">
      <c r="A45" s="30" t="s">
        <v>58</v>
      </c>
      <c r="B45" s="7" t="s">
        <v>59</v>
      </c>
      <c r="C45" s="7" t="s">
        <v>653</v>
      </c>
      <c r="D45" s="14">
        <v>244200</v>
      </c>
      <c r="E45" s="13">
        <v>156.25007479999999</v>
      </c>
      <c r="F45" s="7">
        <v>1.2412231470783839</v>
      </c>
    </row>
    <row r="46" spans="1:6" x14ac:dyDescent="0.2">
      <c r="A46" s="30" t="s">
        <v>66</v>
      </c>
      <c r="B46" s="7" t="s">
        <v>67</v>
      </c>
      <c r="C46" s="7" t="s">
        <v>36</v>
      </c>
      <c r="D46" s="14">
        <v>53000</v>
      </c>
      <c r="E46" s="13">
        <v>150.53926129999999</v>
      </c>
      <c r="F46" s="7">
        <v>1.1958574478048261</v>
      </c>
    </row>
    <row r="47" spans="1:6" x14ac:dyDescent="0.2">
      <c r="A47" s="30" t="s">
        <v>79</v>
      </c>
      <c r="B47" s="7" t="s">
        <v>80</v>
      </c>
      <c r="C47" s="7" t="s">
        <v>36</v>
      </c>
      <c r="D47" s="14">
        <v>101700</v>
      </c>
      <c r="E47" s="13">
        <v>148.71707990000002</v>
      </c>
      <c r="F47" s="7">
        <v>1.1813823588504644</v>
      </c>
    </row>
    <row r="48" spans="1:6" x14ac:dyDescent="0.2">
      <c r="A48" s="30" t="s">
        <v>648</v>
      </c>
      <c r="B48" s="7" t="s">
        <v>658</v>
      </c>
      <c r="C48" s="7" t="s">
        <v>11</v>
      </c>
      <c r="D48" s="14">
        <v>5267</v>
      </c>
      <c r="E48" s="13">
        <v>136.0309197</v>
      </c>
      <c r="F48" s="7">
        <v>1.0806057306924306</v>
      </c>
    </row>
    <row r="49" spans="1:6" x14ac:dyDescent="0.2">
      <c r="A49" s="30" t="s">
        <v>55</v>
      </c>
      <c r="B49" s="7" t="s">
        <v>56</v>
      </c>
      <c r="C49" s="7" t="s">
        <v>653</v>
      </c>
      <c r="D49" s="14">
        <v>125600</v>
      </c>
      <c r="E49" s="13">
        <v>127.05848829999999</v>
      </c>
      <c r="F49" s="7">
        <v>1.0093303117621804</v>
      </c>
    </row>
    <row r="50" spans="1:6" x14ac:dyDescent="0.2">
      <c r="A50" s="30" t="s">
        <v>647</v>
      </c>
      <c r="B50" s="7" t="s">
        <v>657</v>
      </c>
      <c r="C50" s="7" t="s">
        <v>75</v>
      </c>
      <c r="D50" s="14">
        <v>903</v>
      </c>
      <c r="E50" s="13">
        <v>124.8402234</v>
      </c>
      <c r="F50" s="7">
        <v>0.99170880506046655</v>
      </c>
    </row>
    <row r="51" spans="1:6" x14ac:dyDescent="0.2">
      <c r="A51" s="30" t="s">
        <v>90</v>
      </c>
      <c r="B51" s="7" t="s">
        <v>91</v>
      </c>
      <c r="C51" s="7" t="s">
        <v>92</v>
      </c>
      <c r="D51" s="14">
        <v>1000</v>
      </c>
      <c r="E51" s="13">
        <v>104.1445088</v>
      </c>
      <c r="F51" s="7">
        <v>0.82730568371970103</v>
      </c>
    </row>
    <row r="52" spans="1:6" x14ac:dyDescent="0.2">
      <c r="A52" s="30" t="s">
        <v>93</v>
      </c>
      <c r="B52" s="7" t="s">
        <v>94</v>
      </c>
      <c r="C52" s="7" t="s">
        <v>75</v>
      </c>
      <c r="D52" s="14">
        <v>16010</v>
      </c>
      <c r="E52" s="13">
        <v>85.232728000000009</v>
      </c>
      <c r="F52" s="7">
        <v>0.67707381911753106</v>
      </c>
    </row>
    <row r="53" spans="1:6" x14ac:dyDescent="0.2">
      <c r="A53" s="30" t="s">
        <v>71</v>
      </c>
      <c r="B53" s="7" t="s">
        <v>72</v>
      </c>
      <c r="C53" s="7" t="s">
        <v>36</v>
      </c>
      <c r="D53" s="14">
        <v>16000</v>
      </c>
      <c r="E53" s="13">
        <v>45.083407899999997</v>
      </c>
      <c r="F53" s="7">
        <v>0.35813467293557077</v>
      </c>
    </row>
    <row r="54" spans="1:6" x14ac:dyDescent="0.2">
      <c r="A54" s="30" t="s">
        <v>64</v>
      </c>
      <c r="B54" s="7" t="s">
        <v>65</v>
      </c>
      <c r="C54" s="7" t="s">
        <v>19</v>
      </c>
      <c r="D54" s="14">
        <v>10000</v>
      </c>
      <c r="E54" s="13">
        <v>30.306270000000001</v>
      </c>
      <c r="F54" s="7">
        <v>0.24074768523315429</v>
      </c>
    </row>
    <row r="55" spans="1:6" x14ac:dyDescent="0.2">
      <c r="A55" s="30" t="s">
        <v>646</v>
      </c>
      <c r="B55" s="7" t="s">
        <v>655</v>
      </c>
      <c r="C55" s="49" t="s">
        <v>679</v>
      </c>
      <c r="D55" s="14">
        <v>9695</v>
      </c>
      <c r="E55" s="13">
        <v>0.69324800000000009</v>
      </c>
      <c r="F55" s="7">
        <v>5.5070403349707425E-3</v>
      </c>
    </row>
    <row r="56" spans="1:6" x14ac:dyDescent="0.2">
      <c r="A56" s="30" t="s">
        <v>68</v>
      </c>
      <c r="B56" s="7" t="s">
        <v>69</v>
      </c>
      <c r="C56" s="7" t="s">
        <v>70</v>
      </c>
      <c r="D56" s="14">
        <v>32</v>
      </c>
      <c r="E56" s="13">
        <v>8.9442000000000008E-2</v>
      </c>
      <c r="F56" s="25" t="s">
        <v>607</v>
      </c>
    </row>
    <row r="57" spans="1:6" x14ac:dyDescent="0.2">
      <c r="A57" s="6" t="s">
        <v>43</v>
      </c>
      <c r="B57" s="7"/>
      <c r="C57" s="7"/>
      <c r="D57" s="7"/>
      <c r="E57" s="15">
        <v>10406.106960199999</v>
      </c>
      <c r="F57" s="6">
        <v>82.66428573878494</v>
      </c>
    </row>
    <row r="58" spans="1:6" x14ac:dyDescent="0.2">
      <c r="A58" s="7"/>
      <c r="B58" s="7"/>
      <c r="C58" s="7"/>
      <c r="D58" s="7"/>
      <c r="E58" s="13"/>
      <c r="F58" s="7"/>
    </row>
    <row r="59" spans="1:6" x14ac:dyDescent="0.2">
      <c r="A59" s="6" t="s">
        <v>43</v>
      </c>
      <c r="B59" s="7"/>
      <c r="C59" s="7"/>
      <c r="D59" s="7"/>
      <c r="E59" s="15">
        <v>12397.055118699998</v>
      </c>
      <c r="F59" s="15">
        <v>98.480028176837735</v>
      </c>
    </row>
    <row r="60" spans="1:6" x14ac:dyDescent="0.2">
      <c r="A60" s="7"/>
      <c r="B60" s="7"/>
      <c r="C60" s="7"/>
      <c r="D60" s="7"/>
      <c r="E60" s="13"/>
      <c r="F60" s="7"/>
    </row>
    <row r="61" spans="1:6" x14ac:dyDescent="0.2">
      <c r="A61" s="6" t="s">
        <v>100</v>
      </c>
      <c r="B61" s="7"/>
      <c r="C61" s="7"/>
      <c r="D61" s="7"/>
      <c r="E61" s="15">
        <v>191.34005970000001</v>
      </c>
      <c r="F61" s="6">
        <v>1.5199718231622881</v>
      </c>
    </row>
    <row r="62" spans="1:6" x14ac:dyDescent="0.2">
      <c r="A62" s="7"/>
      <c r="B62" s="7"/>
      <c r="C62" s="7"/>
      <c r="D62" s="7"/>
      <c r="E62" s="13"/>
      <c r="F62" s="7"/>
    </row>
    <row r="63" spans="1:6" x14ac:dyDescent="0.2">
      <c r="A63" s="8" t="s">
        <v>101</v>
      </c>
      <c r="B63" s="5"/>
      <c r="C63" s="5"/>
      <c r="D63" s="5"/>
      <c r="E63" s="16">
        <v>12588.395178399998</v>
      </c>
      <c r="F63" s="8">
        <v>100</v>
      </c>
    </row>
    <row r="64" spans="1:6" x14ac:dyDescent="0.2">
      <c r="F64" s="11" t="s">
        <v>608</v>
      </c>
    </row>
    <row r="65" spans="1:4" x14ac:dyDescent="0.2">
      <c r="A65" s="4" t="s">
        <v>102</v>
      </c>
      <c r="B65" s="2"/>
      <c r="C65" s="2"/>
      <c r="D65" s="2"/>
    </row>
    <row r="66" spans="1:4" x14ac:dyDescent="0.2">
      <c r="A66" s="4" t="s">
        <v>103</v>
      </c>
      <c r="B66" s="2"/>
      <c r="C66" s="2"/>
      <c r="D66" s="2"/>
    </row>
    <row r="67" spans="1:4" x14ac:dyDescent="0.2">
      <c r="A67" s="4" t="s">
        <v>104</v>
      </c>
      <c r="B67" s="2"/>
      <c r="C67" s="2"/>
      <c r="D67" s="2"/>
    </row>
    <row r="68" spans="1:4" x14ac:dyDescent="0.2">
      <c r="A68" s="2" t="s">
        <v>598</v>
      </c>
      <c r="B68" s="2"/>
      <c r="C68" s="2"/>
      <c r="D68" s="10">
        <v>22.651900000000001</v>
      </c>
    </row>
    <row r="69" spans="1:4" x14ac:dyDescent="0.2">
      <c r="A69" s="2" t="s">
        <v>599</v>
      </c>
      <c r="B69" s="2"/>
      <c r="C69" s="2"/>
      <c r="D69" s="10">
        <v>13.346</v>
      </c>
    </row>
    <row r="70" spans="1:4" x14ac:dyDescent="0.2">
      <c r="A70" s="2" t="s">
        <v>600</v>
      </c>
      <c r="B70" s="2"/>
      <c r="C70" s="2"/>
      <c r="D70" s="10">
        <v>23.596499999999999</v>
      </c>
    </row>
    <row r="71" spans="1:4" x14ac:dyDescent="0.2">
      <c r="A71" s="2" t="s">
        <v>601</v>
      </c>
      <c r="B71" s="2"/>
      <c r="C71" s="2"/>
      <c r="D71" s="10">
        <v>13.956</v>
      </c>
    </row>
    <row r="72" spans="1:4" x14ac:dyDescent="0.2">
      <c r="A72" s="2"/>
      <c r="B72" s="2"/>
      <c r="C72" s="2"/>
      <c r="D72" s="10"/>
    </row>
    <row r="73" spans="1:4" x14ac:dyDescent="0.2">
      <c r="A73" s="4" t="s">
        <v>105</v>
      </c>
      <c r="B73" s="2"/>
      <c r="C73" s="2"/>
      <c r="D73" s="2"/>
    </row>
    <row r="74" spans="1:4" x14ac:dyDescent="0.2">
      <c r="A74" s="2" t="s">
        <v>598</v>
      </c>
      <c r="B74" s="2"/>
      <c r="C74" s="2"/>
      <c r="D74" s="10">
        <v>22.779499999999999</v>
      </c>
    </row>
    <row r="75" spans="1:4" x14ac:dyDescent="0.2">
      <c r="A75" s="2" t="s">
        <v>599</v>
      </c>
      <c r="B75" s="2"/>
      <c r="C75" s="2"/>
      <c r="D75" s="10">
        <v>13.421200000000001</v>
      </c>
    </row>
    <row r="76" spans="1:4" x14ac:dyDescent="0.2">
      <c r="A76" s="2" t="s">
        <v>600</v>
      </c>
      <c r="B76" s="2"/>
      <c r="C76" s="2"/>
      <c r="D76" s="10">
        <v>23.789100000000001</v>
      </c>
    </row>
    <row r="77" spans="1:4" x14ac:dyDescent="0.2">
      <c r="A77" s="2" t="s">
        <v>601</v>
      </c>
      <c r="B77" s="2"/>
      <c r="C77" s="2"/>
      <c r="D77" s="10">
        <v>14.0656</v>
      </c>
    </row>
    <row r="78" spans="1:4" x14ac:dyDescent="0.2">
      <c r="A78" s="2"/>
      <c r="B78" s="2"/>
      <c r="C78" s="2"/>
      <c r="D78" s="2"/>
    </row>
    <row r="79" spans="1:4" x14ac:dyDescent="0.2">
      <c r="A79" s="4" t="s">
        <v>106</v>
      </c>
      <c r="B79" s="2"/>
      <c r="C79" s="2"/>
      <c r="D79" s="17" t="s">
        <v>107</v>
      </c>
    </row>
    <row r="80" spans="1:4" x14ac:dyDescent="0.2">
      <c r="A80" s="4"/>
      <c r="B80" s="2"/>
      <c r="C80" s="2"/>
      <c r="D80" s="17"/>
    </row>
    <row r="81" spans="1:4" x14ac:dyDescent="0.2">
      <c r="A81" s="9" t="s">
        <v>606</v>
      </c>
      <c r="B81" s="2"/>
      <c r="C81" s="2"/>
      <c r="D81" s="24">
        <v>5.0789533907371846E-3</v>
      </c>
    </row>
  </sheetData>
  <sortState xmlns:xlrd2="http://schemas.microsoft.com/office/spreadsheetml/2017/richdata2" ref="A22:F56">
    <sortCondition descending="1" ref="F22:F56"/>
  </sortState>
  <mergeCells count="1">
    <mergeCell ref="A1:F1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29E8-6E4C-45EE-8E29-DD9B416655D8}">
  <dimension ref="A1:F66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36.7109375" style="1" bestFit="1" customWidth="1"/>
    <col min="3" max="3" width="19.14062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108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109</v>
      </c>
      <c r="B7" s="7" t="s">
        <v>110</v>
      </c>
      <c r="C7" s="7" t="s">
        <v>11</v>
      </c>
      <c r="D7" s="14">
        <v>2700000</v>
      </c>
      <c r="E7" s="13">
        <v>12502.35</v>
      </c>
      <c r="F7" s="7">
        <v>9.9234286633740219</v>
      </c>
    </row>
    <row r="8" spans="1:6" x14ac:dyDescent="0.2">
      <c r="A8" s="7" t="s">
        <v>111</v>
      </c>
      <c r="B8" s="7" t="s">
        <v>112</v>
      </c>
      <c r="C8" s="7" t="s">
        <v>11</v>
      </c>
      <c r="D8" s="14">
        <v>3700000</v>
      </c>
      <c r="E8" s="13">
        <v>11558.8</v>
      </c>
      <c r="F8" s="7">
        <v>9.1745093709748673</v>
      </c>
    </row>
    <row r="9" spans="1:6" x14ac:dyDescent="0.2">
      <c r="A9" s="7" t="s">
        <v>113</v>
      </c>
      <c r="B9" s="7" t="s">
        <v>114</v>
      </c>
      <c r="C9" s="7" t="s">
        <v>42</v>
      </c>
      <c r="D9" s="14">
        <v>2096026</v>
      </c>
      <c r="E9" s="13">
        <v>7844.377305</v>
      </c>
      <c r="F9" s="7">
        <v>6.2262789471385505</v>
      </c>
    </row>
    <row r="10" spans="1:6" x14ac:dyDescent="0.2">
      <c r="A10" s="7" t="s">
        <v>115</v>
      </c>
      <c r="B10" s="7" t="s">
        <v>116</v>
      </c>
      <c r="C10" s="7" t="s">
        <v>117</v>
      </c>
      <c r="D10" s="14">
        <v>5000000</v>
      </c>
      <c r="E10" s="13">
        <v>7340</v>
      </c>
      <c r="F10" s="7">
        <v>5.8259420340308274</v>
      </c>
    </row>
    <row r="11" spans="1:6" x14ac:dyDescent="0.2">
      <c r="A11" s="7" t="s">
        <v>9</v>
      </c>
      <c r="B11" s="7" t="s">
        <v>10</v>
      </c>
      <c r="C11" s="7" t="s">
        <v>11</v>
      </c>
      <c r="D11" s="14">
        <v>550000</v>
      </c>
      <c r="E11" s="13">
        <v>6766.9250000000002</v>
      </c>
      <c r="F11" s="7">
        <v>5.371078037961043</v>
      </c>
    </row>
    <row r="12" spans="1:6" x14ac:dyDescent="0.2">
      <c r="A12" s="7" t="s">
        <v>118</v>
      </c>
      <c r="B12" s="7" t="s">
        <v>119</v>
      </c>
      <c r="C12" s="7" t="s">
        <v>120</v>
      </c>
      <c r="D12" s="14">
        <v>5000000</v>
      </c>
      <c r="E12" s="13">
        <v>6120</v>
      </c>
      <c r="F12" s="7">
        <v>4.85759744526821</v>
      </c>
    </row>
    <row r="13" spans="1:6" x14ac:dyDescent="0.2">
      <c r="A13" s="7" t="s">
        <v>121</v>
      </c>
      <c r="B13" s="7" t="s">
        <v>122</v>
      </c>
      <c r="C13" s="7" t="s">
        <v>11</v>
      </c>
      <c r="D13" s="14">
        <v>800000</v>
      </c>
      <c r="E13" s="13">
        <v>5890.8</v>
      </c>
      <c r="F13" s="7">
        <v>4.6756756585924801</v>
      </c>
    </row>
    <row r="14" spans="1:6" x14ac:dyDescent="0.2">
      <c r="A14" s="7" t="s">
        <v>123</v>
      </c>
      <c r="B14" s="7" t="s">
        <v>124</v>
      </c>
      <c r="C14" s="7" t="s">
        <v>117</v>
      </c>
      <c r="D14" s="14">
        <v>1000000</v>
      </c>
      <c r="E14" s="13">
        <v>5266</v>
      </c>
      <c r="F14" s="7">
        <v>4.1797562331343778</v>
      </c>
    </row>
    <row r="15" spans="1:6" x14ac:dyDescent="0.2">
      <c r="A15" s="7" t="s">
        <v>125</v>
      </c>
      <c r="B15" s="7" t="s">
        <v>126</v>
      </c>
      <c r="C15" s="7" t="s">
        <v>39</v>
      </c>
      <c r="D15" s="14">
        <v>844665</v>
      </c>
      <c r="E15" s="13">
        <v>4987.3244924999999</v>
      </c>
      <c r="F15" s="7">
        <v>3.9585644956685573</v>
      </c>
    </row>
    <row r="16" spans="1:6" x14ac:dyDescent="0.2">
      <c r="A16" s="7" t="s">
        <v>127</v>
      </c>
      <c r="B16" s="7" t="s">
        <v>128</v>
      </c>
      <c r="C16" s="7" t="s">
        <v>57</v>
      </c>
      <c r="D16" s="14">
        <v>110000</v>
      </c>
      <c r="E16" s="13">
        <v>4557.5200000000004</v>
      </c>
      <c r="F16" s="7">
        <v>3.6174178935880352</v>
      </c>
    </row>
    <row r="17" spans="1:6" x14ac:dyDescent="0.2">
      <c r="A17" s="7" t="s">
        <v>129</v>
      </c>
      <c r="B17" s="7" t="s">
        <v>130</v>
      </c>
      <c r="C17" s="7" t="s">
        <v>131</v>
      </c>
      <c r="D17" s="14">
        <v>1473024</v>
      </c>
      <c r="E17" s="13">
        <v>4218.7407359999997</v>
      </c>
      <c r="F17" s="7">
        <v>3.3485202976213282</v>
      </c>
    </row>
    <row r="18" spans="1:6" x14ac:dyDescent="0.2">
      <c r="A18" s="7" t="s">
        <v>132</v>
      </c>
      <c r="B18" s="7" t="s">
        <v>133</v>
      </c>
      <c r="C18" s="7" t="s">
        <v>57</v>
      </c>
      <c r="D18" s="14">
        <v>250000</v>
      </c>
      <c r="E18" s="13">
        <v>3920.125</v>
      </c>
      <c r="F18" s="7">
        <v>3.1115015008385689</v>
      </c>
    </row>
    <row r="19" spans="1:6" x14ac:dyDescent="0.2">
      <c r="A19" s="7" t="s">
        <v>134</v>
      </c>
      <c r="B19" s="7" t="s">
        <v>135</v>
      </c>
      <c r="C19" s="7" t="s">
        <v>54</v>
      </c>
      <c r="D19" s="14">
        <v>2300000</v>
      </c>
      <c r="E19" s="13">
        <v>3259.1</v>
      </c>
      <c r="F19" s="7">
        <v>2.5868293846198731</v>
      </c>
    </row>
    <row r="20" spans="1:6" x14ac:dyDescent="0.2">
      <c r="A20" s="7" t="s">
        <v>136</v>
      </c>
      <c r="B20" s="7" t="s">
        <v>137</v>
      </c>
      <c r="C20" s="7" t="s">
        <v>131</v>
      </c>
      <c r="D20" s="14">
        <v>2300000</v>
      </c>
      <c r="E20" s="13">
        <v>3159.05</v>
      </c>
      <c r="F20" s="7">
        <v>2.5074171910906116</v>
      </c>
    </row>
    <row r="21" spans="1:6" x14ac:dyDescent="0.2">
      <c r="A21" s="7" t="s">
        <v>138</v>
      </c>
      <c r="B21" s="7" t="s">
        <v>139</v>
      </c>
      <c r="C21" s="7" t="s">
        <v>140</v>
      </c>
      <c r="D21" s="14">
        <v>2500000</v>
      </c>
      <c r="E21" s="13">
        <v>2880</v>
      </c>
      <c r="F21" s="7">
        <v>2.2859282095379814</v>
      </c>
    </row>
    <row r="22" spans="1:6" x14ac:dyDescent="0.2">
      <c r="A22" s="7" t="s">
        <v>141</v>
      </c>
      <c r="B22" s="7" t="s">
        <v>142</v>
      </c>
      <c r="C22" s="7" t="s">
        <v>19</v>
      </c>
      <c r="D22" s="14">
        <v>611409</v>
      </c>
      <c r="E22" s="13">
        <v>2589.6228194999999</v>
      </c>
      <c r="F22" s="7">
        <v>2.0554485608188662</v>
      </c>
    </row>
    <row r="23" spans="1:6" x14ac:dyDescent="0.2">
      <c r="A23" s="7" t="s">
        <v>143</v>
      </c>
      <c r="B23" s="7" t="s">
        <v>144</v>
      </c>
      <c r="C23" s="7" t="s">
        <v>57</v>
      </c>
      <c r="D23" s="14">
        <v>825000</v>
      </c>
      <c r="E23" s="13">
        <v>2392.9124999999999</v>
      </c>
      <c r="F23" s="7">
        <v>1.8993146481618244</v>
      </c>
    </row>
    <row r="24" spans="1:6" x14ac:dyDescent="0.2">
      <c r="A24" s="7" t="s">
        <v>145</v>
      </c>
      <c r="B24" s="7" t="s">
        <v>146</v>
      </c>
      <c r="C24" s="7" t="s">
        <v>30</v>
      </c>
      <c r="D24" s="14">
        <v>600000</v>
      </c>
      <c r="E24" s="13">
        <v>2118</v>
      </c>
      <c r="F24" s="7">
        <v>1.6811097040977239</v>
      </c>
    </row>
    <row r="25" spans="1:6" x14ac:dyDescent="0.2">
      <c r="A25" s="7" t="s">
        <v>40</v>
      </c>
      <c r="B25" s="7" t="s">
        <v>41</v>
      </c>
      <c r="C25" s="7" t="s">
        <v>42</v>
      </c>
      <c r="D25" s="14">
        <v>50000000</v>
      </c>
      <c r="E25" s="13">
        <v>1950</v>
      </c>
      <c r="F25" s="7">
        <v>1.547763891874675</v>
      </c>
    </row>
    <row r="26" spans="1:6" x14ac:dyDescent="0.2">
      <c r="A26" s="7" t="s">
        <v>147</v>
      </c>
      <c r="B26" s="7" t="s">
        <v>148</v>
      </c>
      <c r="C26" s="7" t="s">
        <v>39</v>
      </c>
      <c r="D26" s="14">
        <v>500000</v>
      </c>
      <c r="E26" s="13">
        <v>1916.5</v>
      </c>
      <c r="F26" s="7">
        <v>1.5211741019373406</v>
      </c>
    </row>
    <row r="27" spans="1:6" x14ac:dyDescent="0.2">
      <c r="A27" s="7" t="s">
        <v>149</v>
      </c>
      <c r="B27" s="7" t="s">
        <v>597</v>
      </c>
      <c r="C27" s="7" t="s">
        <v>33</v>
      </c>
      <c r="D27" s="14">
        <v>2200000</v>
      </c>
      <c r="E27" s="13">
        <v>1798.5</v>
      </c>
      <c r="F27" s="7">
        <v>1.4275145433521039</v>
      </c>
    </row>
    <row r="28" spans="1:6" x14ac:dyDescent="0.2">
      <c r="A28" s="7" t="s">
        <v>150</v>
      </c>
      <c r="B28" s="7" t="s">
        <v>151</v>
      </c>
      <c r="C28" s="7" t="s">
        <v>39</v>
      </c>
      <c r="D28" s="14">
        <v>1600000</v>
      </c>
      <c r="E28" s="13">
        <v>1744.8</v>
      </c>
      <c r="F28" s="7">
        <v>1.3848915069450936</v>
      </c>
    </row>
    <row r="29" spans="1:6" x14ac:dyDescent="0.2">
      <c r="A29" s="7" t="s">
        <v>152</v>
      </c>
      <c r="B29" s="7" t="s">
        <v>153</v>
      </c>
      <c r="C29" s="7" t="s">
        <v>140</v>
      </c>
      <c r="D29" s="14">
        <v>2000000</v>
      </c>
      <c r="E29" s="13">
        <v>1730</v>
      </c>
      <c r="F29" s="7">
        <v>1.3731443758683013</v>
      </c>
    </row>
    <row r="30" spans="1:6" x14ac:dyDescent="0.2">
      <c r="A30" s="7" t="s">
        <v>154</v>
      </c>
      <c r="B30" s="7" t="s">
        <v>155</v>
      </c>
      <c r="C30" s="7" t="s">
        <v>24</v>
      </c>
      <c r="D30" s="14">
        <v>3500000</v>
      </c>
      <c r="E30" s="13">
        <v>1589</v>
      </c>
      <c r="F30" s="7">
        <v>1.261229140609671</v>
      </c>
    </row>
    <row r="31" spans="1:6" x14ac:dyDescent="0.2">
      <c r="A31" s="7" t="s">
        <v>156</v>
      </c>
      <c r="B31" s="7" t="s">
        <v>157</v>
      </c>
      <c r="C31" s="7" t="s">
        <v>39</v>
      </c>
      <c r="D31" s="14">
        <v>35000</v>
      </c>
      <c r="E31" s="13">
        <v>1504.5274999999999</v>
      </c>
      <c r="F31" s="7">
        <v>1.1941811994012692</v>
      </c>
    </row>
    <row r="32" spans="1:6" x14ac:dyDescent="0.2">
      <c r="A32" s="7" t="s">
        <v>22</v>
      </c>
      <c r="B32" s="7" t="s">
        <v>23</v>
      </c>
      <c r="C32" s="7" t="s">
        <v>24</v>
      </c>
      <c r="D32" s="14">
        <v>700000</v>
      </c>
      <c r="E32" s="13">
        <v>1315.3</v>
      </c>
      <c r="F32" s="7">
        <v>1.0439865881962871</v>
      </c>
    </row>
    <row r="33" spans="1:6" x14ac:dyDescent="0.2">
      <c r="A33" s="7" t="s">
        <v>158</v>
      </c>
      <c r="B33" s="7" t="s">
        <v>159</v>
      </c>
      <c r="C33" s="7" t="s">
        <v>19</v>
      </c>
      <c r="D33" s="14">
        <v>2000000</v>
      </c>
      <c r="E33" s="13">
        <v>1307</v>
      </c>
      <c r="F33" s="7">
        <v>1.0373986700924103</v>
      </c>
    </row>
    <row r="34" spans="1:6" x14ac:dyDescent="0.2">
      <c r="A34" s="7" t="s">
        <v>160</v>
      </c>
      <c r="B34" s="7" t="s">
        <v>161</v>
      </c>
      <c r="C34" s="7" t="s">
        <v>19</v>
      </c>
      <c r="D34" s="14">
        <v>2100000</v>
      </c>
      <c r="E34" s="13">
        <v>1209.5999999999999</v>
      </c>
      <c r="F34" s="7">
        <v>0.96008984800595221</v>
      </c>
    </row>
    <row r="35" spans="1:6" x14ac:dyDescent="0.2">
      <c r="A35" s="7" t="s">
        <v>162</v>
      </c>
      <c r="B35" s="7" t="s">
        <v>163</v>
      </c>
      <c r="C35" s="7" t="s">
        <v>140</v>
      </c>
      <c r="D35" s="14">
        <v>200000</v>
      </c>
      <c r="E35" s="13">
        <v>1176.7</v>
      </c>
      <c r="F35" s="7">
        <v>0.93397629311227182</v>
      </c>
    </row>
    <row r="36" spans="1:6" x14ac:dyDescent="0.2">
      <c r="A36" s="7" t="s">
        <v>164</v>
      </c>
      <c r="B36" s="7" t="s">
        <v>165</v>
      </c>
      <c r="C36" s="7" t="s">
        <v>19</v>
      </c>
      <c r="D36" s="14">
        <v>550000</v>
      </c>
      <c r="E36" s="13">
        <v>1032.625</v>
      </c>
      <c r="F36" s="7">
        <v>0.819620353254916</v>
      </c>
    </row>
    <row r="37" spans="1:6" x14ac:dyDescent="0.2">
      <c r="A37" s="7" t="s">
        <v>166</v>
      </c>
      <c r="B37" s="7" t="s">
        <v>167</v>
      </c>
      <c r="C37" s="7" t="s">
        <v>39</v>
      </c>
      <c r="D37" s="14">
        <v>250000</v>
      </c>
      <c r="E37" s="13">
        <v>1007</v>
      </c>
      <c r="F37" s="7">
        <v>0.79928114826553731</v>
      </c>
    </row>
    <row r="38" spans="1:6" x14ac:dyDescent="0.2">
      <c r="A38" s="7" t="s">
        <v>168</v>
      </c>
      <c r="B38" s="7" t="s">
        <v>169</v>
      </c>
      <c r="C38" s="7" t="s">
        <v>30</v>
      </c>
      <c r="D38" s="14">
        <v>600000</v>
      </c>
      <c r="E38" s="13">
        <v>1006.8</v>
      </c>
      <c r="F38" s="7">
        <v>0.79912240325098594</v>
      </c>
    </row>
    <row r="39" spans="1:6" x14ac:dyDescent="0.2">
      <c r="A39" s="7" t="s">
        <v>170</v>
      </c>
      <c r="B39" s="7" t="s">
        <v>171</v>
      </c>
      <c r="C39" s="7" t="s">
        <v>11</v>
      </c>
      <c r="D39" s="14">
        <v>1100000</v>
      </c>
      <c r="E39" s="13">
        <v>718.85</v>
      </c>
      <c r="F39" s="7">
        <v>0.57056926855082568</v>
      </c>
    </row>
    <row r="40" spans="1:6" x14ac:dyDescent="0.2">
      <c r="A40" s="7" t="s">
        <v>172</v>
      </c>
      <c r="B40" s="7" t="s">
        <v>173</v>
      </c>
      <c r="C40" s="7" t="s">
        <v>70</v>
      </c>
      <c r="D40" s="14">
        <v>400000</v>
      </c>
      <c r="E40" s="13">
        <v>297.60000000000002</v>
      </c>
      <c r="F40" s="7">
        <v>0.23621258165225809</v>
      </c>
    </row>
    <row r="41" spans="1:6" x14ac:dyDescent="0.2">
      <c r="A41" s="6" t="s">
        <v>43</v>
      </c>
      <c r="B41" s="7"/>
      <c r="C41" s="7"/>
      <c r="D41" s="7"/>
      <c r="E41" s="15">
        <f xml:space="preserve"> SUM(E7:E40)</f>
        <v>118676.45035300005</v>
      </c>
      <c r="F41" s="6">
        <f>SUM(F7:F40)</f>
        <v>94.196474190887656</v>
      </c>
    </row>
    <row r="42" spans="1:6" x14ac:dyDescent="0.2">
      <c r="A42" s="7"/>
      <c r="B42" s="7"/>
      <c r="C42" s="7"/>
      <c r="D42" s="7"/>
      <c r="E42" s="13"/>
      <c r="F42" s="7"/>
    </row>
    <row r="43" spans="1:6" x14ac:dyDescent="0.2">
      <c r="A43" s="6" t="s">
        <v>43</v>
      </c>
      <c r="B43" s="7"/>
      <c r="C43" s="7"/>
      <c r="D43" s="7"/>
      <c r="E43" s="15">
        <v>118676.45035300005</v>
      </c>
      <c r="F43" s="6">
        <v>94.196474190887656</v>
      </c>
    </row>
    <row r="44" spans="1:6" x14ac:dyDescent="0.2">
      <c r="A44" s="7"/>
      <c r="B44" s="7"/>
      <c r="C44" s="7"/>
      <c r="D44" s="7"/>
      <c r="E44" s="13"/>
      <c r="F44" s="7"/>
    </row>
    <row r="45" spans="1:6" x14ac:dyDescent="0.2">
      <c r="A45" s="6" t="s">
        <v>100</v>
      </c>
      <c r="B45" s="7"/>
      <c r="C45" s="7"/>
      <c r="D45" s="7"/>
      <c r="E45" s="15">
        <v>7311.7581997999996</v>
      </c>
      <c r="F45" s="6">
        <v>5.8</v>
      </c>
    </row>
    <row r="46" spans="1:6" x14ac:dyDescent="0.2">
      <c r="A46" s="7"/>
      <c r="B46" s="7"/>
      <c r="C46" s="7"/>
      <c r="D46" s="7"/>
      <c r="E46" s="13"/>
      <c r="F46" s="7"/>
    </row>
    <row r="47" spans="1:6" x14ac:dyDescent="0.2">
      <c r="A47" s="8" t="s">
        <v>101</v>
      </c>
      <c r="B47" s="5"/>
      <c r="C47" s="5"/>
      <c r="D47" s="5"/>
      <c r="E47" s="16">
        <v>125988.20855280005</v>
      </c>
      <c r="F47" s="8">
        <f xml:space="preserve"> ROUND(SUM(F43:F46),2)</f>
        <v>100</v>
      </c>
    </row>
    <row r="49" spans="1:4" x14ac:dyDescent="0.2">
      <c r="A49" s="4" t="s">
        <v>102</v>
      </c>
      <c r="B49" s="2"/>
      <c r="C49" s="2"/>
      <c r="D49" s="2"/>
    </row>
    <row r="50" spans="1:4" x14ac:dyDescent="0.2">
      <c r="A50" s="4" t="s">
        <v>103</v>
      </c>
      <c r="B50" s="2"/>
      <c r="C50" s="2"/>
      <c r="D50" s="2"/>
    </row>
    <row r="51" spans="1:4" x14ac:dyDescent="0.2">
      <c r="A51" s="4" t="s">
        <v>104</v>
      </c>
      <c r="B51" s="2"/>
      <c r="C51" s="2"/>
      <c r="D51" s="2"/>
    </row>
    <row r="52" spans="1:4" x14ac:dyDescent="0.2">
      <c r="A52" s="2" t="s">
        <v>598</v>
      </c>
      <c r="B52" s="2"/>
      <c r="C52" s="2"/>
      <c r="D52" s="10">
        <v>42.643099999999997</v>
      </c>
    </row>
    <row r="53" spans="1:4" x14ac:dyDescent="0.2">
      <c r="A53" s="2" t="s">
        <v>599</v>
      </c>
      <c r="B53" s="2"/>
      <c r="C53" s="2"/>
      <c r="D53" s="10">
        <v>22.163399999999999</v>
      </c>
    </row>
    <row r="54" spans="1:4" x14ac:dyDescent="0.2">
      <c r="A54" s="2" t="s">
        <v>600</v>
      </c>
      <c r="B54" s="2"/>
      <c r="C54" s="2"/>
      <c r="D54" s="10">
        <v>45.949300000000001</v>
      </c>
    </row>
    <row r="55" spans="1:4" x14ac:dyDescent="0.2">
      <c r="A55" s="2" t="s">
        <v>601</v>
      </c>
      <c r="B55" s="2"/>
      <c r="C55" s="2"/>
      <c r="D55" s="10">
        <v>24.4483</v>
      </c>
    </row>
    <row r="56" spans="1:4" x14ac:dyDescent="0.2">
      <c r="A56" s="2"/>
      <c r="B56" s="2"/>
      <c r="C56" s="2"/>
      <c r="D56" s="10"/>
    </row>
    <row r="57" spans="1:4" x14ac:dyDescent="0.2">
      <c r="A57" s="4" t="s">
        <v>105</v>
      </c>
      <c r="B57" s="2"/>
      <c r="C57" s="2"/>
      <c r="D57" s="2"/>
    </row>
    <row r="58" spans="1:4" x14ac:dyDescent="0.2">
      <c r="A58" s="2" t="s">
        <v>598</v>
      </c>
      <c r="B58" s="2"/>
      <c r="C58" s="2"/>
      <c r="D58" s="10">
        <v>41.4741</v>
      </c>
    </row>
    <row r="59" spans="1:4" x14ac:dyDescent="0.2">
      <c r="A59" s="2" t="s">
        <v>599</v>
      </c>
      <c r="B59" s="2"/>
      <c r="C59" s="2"/>
      <c r="D59" s="10">
        <v>21.555900000000001</v>
      </c>
    </row>
    <row r="60" spans="1:4" x14ac:dyDescent="0.2">
      <c r="A60" s="2" t="s">
        <v>600</v>
      </c>
      <c r="B60" s="2"/>
      <c r="C60" s="2"/>
      <c r="D60" s="10">
        <v>44.940399999999997</v>
      </c>
    </row>
    <row r="61" spans="1:4" x14ac:dyDescent="0.2">
      <c r="A61" s="2" t="s">
        <v>601</v>
      </c>
      <c r="B61" s="2"/>
      <c r="C61" s="2"/>
      <c r="D61" s="10">
        <v>23.911200000000001</v>
      </c>
    </row>
    <row r="62" spans="1:4" x14ac:dyDescent="0.2">
      <c r="A62" s="2"/>
      <c r="B62" s="2"/>
      <c r="C62" s="2"/>
      <c r="D62" s="2"/>
    </row>
    <row r="63" spans="1:4" x14ac:dyDescent="0.2">
      <c r="A63" s="4" t="s">
        <v>106</v>
      </c>
      <c r="B63" s="2"/>
      <c r="C63" s="2"/>
      <c r="D63" s="17" t="s">
        <v>107</v>
      </c>
    </row>
    <row r="64" spans="1:4" x14ac:dyDescent="0.2">
      <c r="A64" s="4"/>
      <c r="B64" s="2"/>
      <c r="C64" s="2"/>
      <c r="D64" s="17"/>
    </row>
    <row r="65" spans="1:4" x14ac:dyDescent="0.2">
      <c r="A65" s="9" t="s">
        <v>606</v>
      </c>
      <c r="B65" s="2"/>
      <c r="C65" s="2"/>
      <c r="D65" s="24">
        <v>0.17080505341481264</v>
      </c>
    </row>
    <row r="66" spans="1:4" x14ac:dyDescent="0.2">
      <c r="A66" s="2"/>
      <c r="B66" s="2"/>
      <c r="C66" s="2"/>
      <c r="D66" s="2"/>
    </row>
  </sheetData>
  <mergeCells count="1">
    <mergeCell ref="A1:F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7D24-5198-44D2-AF9E-658993A370E9}">
  <dimension ref="A1:F79"/>
  <sheetViews>
    <sheetView showGridLines="0" workbookViewId="0">
      <selection sqref="A1:F1"/>
    </sheetView>
  </sheetViews>
  <sheetFormatPr defaultRowHeight="11.25" x14ac:dyDescent="0.2"/>
  <cols>
    <col min="1" max="1" width="59" style="1" bestFit="1" customWidth="1"/>
    <col min="2" max="2" width="36.5703125" style="1" bestFit="1" customWidth="1"/>
    <col min="3" max="3" width="29.8554687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9" t="s">
        <v>434</v>
      </c>
      <c r="B1" s="109"/>
      <c r="C1" s="109"/>
      <c r="D1" s="109"/>
      <c r="E1" s="109"/>
      <c r="F1" s="109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14">
        <v>250354</v>
      </c>
      <c r="E7" s="13">
        <v>3080.2304389999999</v>
      </c>
      <c r="F7" s="7">
        <v>10.646889538354925</v>
      </c>
    </row>
    <row r="8" spans="1:6" x14ac:dyDescent="0.2">
      <c r="A8" s="7" t="s">
        <v>370</v>
      </c>
      <c r="B8" s="7" t="s">
        <v>371</v>
      </c>
      <c r="C8" s="7" t="s">
        <v>117</v>
      </c>
      <c r="D8" s="14">
        <v>198466</v>
      </c>
      <c r="E8" s="13">
        <v>2906.2368710000001</v>
      </c>
      <c r="F8" s="7">
        <v>10.045476645531991</v>
      </c>
    </row>
    <row r="9" spans="1:6" x14ac:dyDescent="0.2">
      <c r="A9" s="7" t="s">
        <v>293</v>
      </c>
      <c r="B9" s="7" t="s">
        <v>294</v>
      </c>
      <c r="C9" s="7" t="s">
        <v>30</v>
      </c>
      <c r="D9" s="14">
        <v>99727</v>
      </c>
      <c r="E9" s="13">
        <v>2126.079913</v>
      </c>
      <c r="F9" s="7">
        <v>7.3488456242822853</v>
      </c>
    </row>
    <row r="10" spans="1:6" x14ac:dyDescent="0.2">
      <c r="A10" s="7" t="s">
        <v>109</v>
      </c>
      <c r="B10" s="7" t="s">
        <v>110</v>
      </c>
      <c r="C10" s="7" t="s">
        <v>11</v>
      </c>
      <c r="D10" s="14">
        <v>374060</v>
      </c>
      <c r="E10" s="13">
        <v>1732.08483</v>
      </c>
      <c r="F10" s="7">
        <v>5.9869922790767767</v>
      </c>
    </row>
    <row r="11" spans="1:6" x14ac:dyDescent="0.2">
      <c r="A11" s="7" t="s">
        <v>185</v>
      </c>
      <c r="B11" s="7" t="s">
        <v>186</v>
      </c>
      <c r="C11" s="7" t="s">
        <v>78</v>
      </c>
      <c r="D11" s="14">
        <v>216397</v>
      </c>
      <c r="E11" s="13">
        <v>1483.6178319999999</v>
      </c>
      <c r="F11" s="7">
        <v>5.1281602098464347</v>
      </c>
    </row>
    <row r="12" spans="1:6" x14ac:dyDescent="0.2">
      <c r="A12" s="7" t="s">
        <v>404</v>
      </c>
      <c r="B12" s="7" t="s">
        <v>405</v>
      </c>
      <c r="C12" s="7" t="s">
        <v>78</v>
      </c>
      <c r="D12" s="14">
        <v>60916</v>
      </c>
      <c r="E12" s="13">
        <v>1382.5799939999999</v>
      </c>
      <c r="F12" s="7">
        <v>4.778920527399352</v>
      </c>
    </row>
    <row r="13" spans="1:6" x14ac:dyDescent="0.2">
      <c r="A13" s="7" t="s">
        <v>380</v>
      </c>
      <c r="B13" s="7" t="s">
        <v>381</v>
      </c>
      <c r="C13" s="7" t="s">
        <v>36</v>
      </c>
      <c r="D13" s="14">
        <v>497570</v>
      </c>
      <c r="E13" s="13">
        <v>1281.9891050000001</v>
      </c>
      <c r="F13" s="7">
        <v>4.4312257347670139</v>
      </c>
    </row>
    <row r="14" spans="1:6" x14ac:dyDescent="0.2">
      <c r="A14" s="7" t="s">
        <v>20</v>
      </c>
      <c r="B14" s="7" t="s">
        <v>21</v>
      </c>
      <c r="C14" s="7" t="s">
        <v>11</v>
      </c>
      <c r="D14" s="14">
        <v>77484</v>
      </c>
      <c r="E14" s="13">
        <v>1219.98558</v>
      </c>
      <c r="F14" s="7">
        <v>4.2169090806279987</v>
      </c>
    </row>
    <row r="15" spans="1:6" x14ac:dyDescent="0.2">
      <c r="A15" s="7" t="s">
        <v>195</v>
      </c>
      <c r="B15" s="7" t="s">
        <v>196</v>
      </c>
      <c r="C15" s="7" t="s">
        <v>197</v>
      </c>
      <c r="D15" s="14">
        <v>71588</v>
      </c>
      <c r="E15" s="13">
        <v>1054.527034</v>
      </c>
      <c r="F15" s="7">
        <v>3.6449976936959452</v>
      </c>
    </row>
    <row r="16" spans="1:6" x14ac:dyDescent="0.2">
      <c r="A16" s="7" t="s">
        <v>372</v>
      </c>
      <c r="B16" s="7" t="s">
        <v>373</v>
      </c>
      <c r="C16" s="7" t="s">
        <v>36</v>
      </c>
      <c r="D16" s="14">
        <v>41418</v>
      </c>
      <c r="E16" s="13">
        <v>900.98646299999996</v>
      </c>
      <c r="F16" s="7">
        <v>3.1142810699021561</v>
      </c>
    </row>
    <row r="17" spans="1:6" x14ac:dyDescent="0.2">
      <c r="A17" s="7" t="s">
        <v>121</v>
      </c>
      <c r="B17" s="7" t="s">
        <v>122</v>
      </c>
      <c r="C17" s="7" t="s">
        <v>11</v>
      </c>
      <c r="D17" s="14">
        <v>118373</v>
      </c>
      <c r="E17" s="13">
        <v>871.63958549999995</v>
      </c>
      <c r="F17" s="7">
        <v>3.0128428920690804</v>
      </c>
    </row>
    <row r="18" spans="1:6" x14ac:dyDescent="0.2">
      <c r="A18" s="7" t="s">
        <v>111</v>
      </c>
      <c r="B18" s="7" t="s">
        <v>112</v>
      </c>
      <c r="C18" s="7" t="s">
        <v>11</v>
      </c>
      <c r="D18" s="14">
        <v>222498</v>
      </c>
      <c r="E18" s="13">
        <v>695.083752</v>
      </c>
      <c r="F18" s="7">
        <v>2.4025734677993325</v>
      </c>
    </row>
    <row r="19" spans="1:6" x14ac:dyDescent="0.2">
      <c r="A19" s="7" t="s">
        <v>406</v>
      </c>
      <c r="B19" s="7" t="s">
        <v>407</v>
      </c>
      <c r="C19" s="7" t="s">
        <v>33</v>
      </c>
      <c r="D19" s="14">
        <v>7705</v>
      </c>
      <c r="E19" s="13">
        <v>582.45177000000001</v>
      </c>
      <c r="F19" s="7">
        <v>2.0132583517428548</v>
      </c>
    </row>
    <row r="20" spans="1:6" x14ac:dyDescent="0.2">
      <c r="A20" s="7" t="s">
        <v>374</v>
      </c>
      <c r="B20" s="7" t="s">
        <v>375</v>
      </c>
      <c r="C20" s="7" t="s">
        <v>30</v>
      </c>
      <c r="D20" s="14">
        <v>13784</v>
      </c>
      <c r="E20" s="13">
        <v>555.15749200000005</v>
      </c>
      <c r="F20" s="7">
        <v>1.9189150327444573</v>
      </c>
    </row>
    <row r="21" spans="1:6" x14ac:dyDescent="0.2">
      <c r="A21" s="7" t="s">
        <v>378</v>
      </c>
      <c r="B21" s="7" t="s">
        <v>379</v>
      </c>
      <c r="C21" s="7" t="s">
        <v>36</v>
      </c>
      <c r="D21" s="14">
        <v>26138</v>
      </c>
      <c r="E21" s="13">
        <v>472.99324799999999</v>
      </c>
      <c r="F21" s="7">
        <v>1.6349123754126103</v>
      </c>
    </row>
    <row r="22" spans="1:6" x14ac:dyDescent="0.2">
      <c r="A22" s="7" t="s">
        <v>408</v>
      </c>
      <c r="B22" s="7" t="s">
        <v>409</v>
      </c>
      <c r="C22" s="7" t="s">
        <v>11</v>
      </c>
      <c r="D22" s="14">
        <v>31506</v>
      </c>
      <c r="E22" s="13">
        <v>413.73679199999998</v>
      </c>
      <c r="F22" s="7">
        <v>1.4300910303994721</v>
      </c>
    </row>
    <row r="23" spans="1:6" x14ac:dyDescent="0.2">
      <c r="A23" s="7" t="s">
        <v>113</v>
      </c>
      <c r="B23" s="7" t="s">
        <v>114</v>
      </c>
      <c r="C23" s="7" t="s">
        <v>42</v>
      </c>
      <c r="D23" s="14">
        <v>110071</v>
      </c>
      <c r="E23" s="13">
        <v>411.94071750000001</v>
      </c>
      <c r="F23" s="7">
        <v>1.4238828563089763</v>
      </c>
    </row>
    <row r="24" spans="1:6" x14ac:dyDescent="0.2">
      <c r="A24" s="7" t="s">
        <v>181</v>
      </c>
      <c r="B24" s="7" t="s">
        <v>182</v>
      </c>
      <c r="C24" s="7" t="s">
        <v>78</v>
      </c>
      <c r="D24" s="14">
        <v>31454</v>
      </c>
      <c r="E24" s="13">
        <v>365.73138499999999</v>
      </c>
      <c r="F24" s="7">
        <v>1.2641592029941491</v>
      </c>
    </row>
    <row r="25" spans="1:6" x14ac:dyDescent="0.2">
      <c r="A25" s="7" t="s">
        <v>198</v>
      </c>
      <c r="B25" s="7" t="s">
        <v>199</v>
      </c>
      <c r="C25" s="7" t="s">
        <v>33</v>
      </c>
      <c r="D25" s="14">
        <v>54129</v>
      </c>
      <c r="E25" s="13">
        <v>328.26532049999997</v>
      </c>
      <c r="F25" s="7">
        <v>1.1346568628062885</v>
      </c>
    </row>
    <row r="26" spans="1:6" x14ac:dyDescent="0.2">
      <c r="A26" s="7" t="s">
        <v>376</v>
      </c>
      <c r="B26" s="7" t="s">
        <v>377</v>
      </c>
      <c r="C26" s="7" t="s">
        <v>92</v>
      </c>
      <c r="D26" s="14">
        <v>24192</v>
      </c>
      <c r="E26" s="13">
        <v>322.043904</v>
      </c>
      <c r="F26" s="7">
        <v>1.1131523891770028</v>
      </c>
    </row>
    <row r="27" spans="1:6" x14ac:dyDescent="0.2">
      <c r="A27" s="7" t="s">
        <v>238</v>
      </c>
      <c r="B27" s="7" t="s">
        <v>239</v>
      </c>
      <c r="C27" s="7" t="s">
        <v>36</v>
      </c>
      <c r="D27" s="14">
        <v>2075</v>
      </c>
      <c r="E27" s="13">
        <v>310.15025000000003</v>
      </c>
      <c r="F27" s="7">
        <v>1.0720416921518399</v>
      </c>
    </row>
    <row r="28" spans="1:6" x14ac:dyDescent="0.2">
      <c r="A28" s="7" t="s">
        <v>118</v>
      </c>
      <c r="B28" s="7" t="s">
        <v>119</v>
      </c>
      <c r="C28" s="7" t="s">
        <v>120</v>
      </c>
      <c r="D28" s="14">
        <v>252418</v>
      </c>
      <c r="E28" s="13">
        <v>308.959632</v>
      </c>
      <c r="F28" s="7">
        <v>1.0679262928077271</v>
      </c>
    </row>
    <row r="29" spans="1:6" x14ac:dyDescent="0.2">
      <c r="A29" s="7" t="s">
        <v>382</v>
      </c>
      <c r="B29" s="7" t="s">
        <v>383</v>
      </c>
      <c r="C29" s="7" t="s">
        <v>30</v>
      </c>
      <c r="D29" s="14">
        <v>3505</v>
      </c>
      <c r="E29" s="13">
        <v>285.10896750000001</v>
      </c>
      <c r="F29" s="7">
        <v>0.98548590551309867</v>
      </c>
    </row>
    <row r="30" spans="1:6" x14ac:dyDescent="0.2">
      <c r="A30" s="7" t="s">
        <v>291</v>
      </c>
      <c r="B30" s="7" t="s">
        <v>292</v>
      </c>
      <c r="C30" s="7" t="s">
        <v>178</v>
      </c>
      <c r="D30" s="14">
        <v>63990</v>
      </c>
      <c r="E30" s="13">
        <v>277.33265999999998</v>
      </c>
      <c r="F30" s="7">
        <v>0.95860691427903377</v>
      </c>
    </row>
    <row r="31" spans="1:6" x14ac:dyDescent="0.2">
      <c r="A31" s="7" t="s">
        <v>207</v>
      </c>
      <c r="B31" s="7" t="s">
        <v>208</v>
      </c>
      <c r="C31" s="7" t="s">
        <v>120</v>
      </c>
      <c r="D31" s="14">
        <v>136494</v>
      </c>
      <c r="E31" s="13">
        <v>270.73584899999997</v>
      </c>
      <c r="F31" s="7">
        <v>0.93580488066066358</v>
      </c>
    </row>
    <row r="32" spans="1:6" x14ac:dyDescent="0.2">
      <c r="A32" s="7" t="s">
        <v>252</v>
      </c>
      <c r="B32" s="7" t="s">
        <v>253</v>
      </c>
      <c r="C32" s="7" t="s">
        <v>78</v>
      </c>
      <c r="D32" s="14">
        <v>36482</v>
      </c>
      <c r="E32" s="13">
        <v>269.60198000000003</v>
      </c>
      <c r="F32" s="7">
        <v>0.93188563558045356</v>
      </c>
    </row>
    <row r="33" spans="1:6" x14ac:dyDescent="0.2">
      <c r="A33" s="7" t="s">
        <v>134</v>
      </c>
      <c r="B33" s="7" t="s">
        <v>135</v>
      </c>
      <c r="C33" s="7" t="s">
        <v>54</v>
      </c>
      <c r="D33" s="14">
        <v>182347</v>
      </c>
      <c r="E33" s="13">
        <v>258.38569899999999</v>
      </c>
      <c r="F33" s="7">
        <v>0.89311629438891627</v>
      </c>
    </row>
    <row r="34" spans="1:6" x14ac:dyDescent="0.2">
      <c r="A34" s="7" t="s">
        <v>127</v>
      </c>
      <c r="B34" s="7" t="s">
        <v>128</v>
      </c>
      <c r="C34" s="7" t="s">
        <v>57</v>
      </c>
      <c r="D34" s="14">
        <v>6050</v>
      </c>
      <c r="E34" s="13">
        <v>250.6636</v>
      </c>
      <c r="F34" s="7">
        <v>0.86642467612027385</v>
      </c>
    </row>
    <row r="35" spans="1:6" x14ac:dyDescent="0.2">
      <c r="A35" s="7" t="s">
        <v>343</v>
      </c>
      <c r="B35" s="7" t="s">
        <v>344</v>
      </c>
      <c r="C35" s="7" t="s">
        <v>33</v>
      </c>
      <c r="D35" s="14">
        <v>7548</v>
      </c>
      <c r="E35" s="13">
        <v>245.10997800000001</v>
      </c>
      <c r="F35" s="7">
        <v>0.84722845001227709</v>
      </c>
    </row>
    <row r="36" spans="1:6" x14ac:dyDescent="0.2">
      <c r="A36" s="7" t="s">
        <v>123</v>
      </c>
      <c r="B36" s="7" t="s">
        <v>124</v>
      </c>
      <c r="C36" s="7" t="s">
        <v>117</v>
      </c>
      <c r="D36" s="14">
        <v>46535</v>
      </c>
      <c r="E36" s="13">
        <v>245.05331000000001</v>
      </c>
      <c r="F36" s="7">
        <v>0.84703257572679502</v>
      </c>
    </row>
    <row r="37" spans="1:6" x14ac:dyDescent="0.2">
      <c r="A37" s="7" t="s">
        <v>410</v>
      </c>
      <c r="B37" s="7" t="s">
        <v>411</v>
      </c>
      <c r="C37" s="7" t="s">
        <v>78</v>
      </c>
      <c r="D37" s="14">
        <v>86968</v>
      </c>
      <c r="E37" s="13">
        <v>225.50802400000001</v>
      </c>
      <c r="F37" s="7">
        <v>0.77947383128911785</v>
      </c>
    </row>
    <row r="38" spans="1:6" x14ac:dyDescent="0.2">
      <c r="A38" s="7" t="s">
        <v>412</v>
      </c>
      <c r="B38" s="7" t="s">
        <v>413</v>
      </c>
      <c r="C38" s="7" t="s">
        <v>36</v>
      </c>
      <c r="D38" s="14">
        <v>6826</v>
      </c>
      <c r="E38" s="13">
        <v>222.978116</v>
      </c>
      <c r="F38" s="7">
        <v>0.77072914430818373</v>
      </c>
    </row>
    <row r="39" spans="1:6" x14ac:dyDescent="0.2">
      <c r="A39" s="7" t="s">
        <v>325</v>
      </c>
      <c r="B39" s="7" t="s">
        <v>326</v>
      </c>
      <c r="C39" s="7" t="s">
        <v>327</v>
      </c>
      <c r="D39" s="14">
        <v>103619</v>
      </c>
      <c r="E39" s="13">
        <v>215.06123450000001</v>
      </c>
      <c r="F39" s="7">
        <v>0.74336425571039744</v>
      </c>
    </row>
    <row r="40" spans="1:6" x14ac:dyDescent="0.2">
      <c r="A40" s="7" t="s">
        <v>115</v>
      </c>
      <c r="B40" s="7" t="s">
        <v>116</v>
      </c>
      <c r="C40" s="7" t="s">
        <v>117</v>
      </c>
      <c r="D40" s="14">
        <v>141913</v>
      </c>
      <c r="E40" s="13">
        <v>208.328284</v>
      </c>
      <c r="F40" s="7">
        <v>0.72009165268268871</v>
      </c>
    </row>
    <row r="41" spans="1:6" x14ac:dyDescent="0.2">
      <c r="A41" s="7" t="s">
        <v>414</v>
      </c>
      <c r="B41" s="7" t="s">
        <v>415</v>
      </c>
      <c r="C41" s="7" t="s">
        <v>33</v>
      </c>
      <c r="D41" s="14">
        <v>7525</v>
      </c>
      <c r="E41" s="13">
        <v>203.49105</v>
      </c>
      <c r="F41" s="7">
        <v>0.70337163868078345</v>
      </c>
    </row>
    <row r="42" spans="1:6" x14ac:dyDescent="0.2">
      <c r="A42" s="7" t="s">
        <v>176</v>
      </c>
      <c r="B42" s="7" t="s">
        <v>177</v>
      </c>
      <c r="C42" s="7" t="s">
        <v>178</v>
      </c>
      <c r="D42" s="14">
        <v>7029</v>
      </c>
      <c r="E42" s="13">
        <v>195.63112799999999</v>
      </c>
      <c r="F42" s="7">
        <v>0.6762036319451401</v>
      </c>
    </row>
    <row r="43" spans="1:6" x14ac:dyDescent="0.2">
      <c r="A43" s="7" t="s">
        <v>416</v>
      </c>
      <c r="B43" s="7" t="s">
        <v>417</v>
      </c>
      <c r="C43" s="7" t="s">
        <v>418</v>
      </c>
      <c r="D43" s="14">
        <v>31893</v>
      </c>
      <c r="E43" s="13">
        <v>190.2257985</v>
      </c>
      <c r="F43" s="7">
        <v>0.65751998237910481</v>
      </c>
    </row>
    <row r="44" spans="1:6" x14ac:dyDescent="0.2">
      <c r="A44" s="7" t="s">
        <v>31</v>
      </c>
      <c r="B44" s="7" t="s">
        <v>32</v>
      </c>
      <c r="C44" s="7" t="s">
        <v>33</v>
      </c>
      <c r="D44" s="14">
        <v>103791</v>
      </c>
      <c r="E44" s="13">
        <v>184.43660700000001</v>
      </c>
      <c r="F44" s="7">
        <v>0.63750950470948808</v>
      </c>
    </row>
    <row r="45" spans="1:6" x14ac:dyDescent="0.2">
      <c r="A45" s="7" t="s">
        <v>419</v>
      </c>
      <c r="B45" s="7" t="s">
        <v>420</v>
      </c>
      <c r="C45" s="7" t="s">
        <v>33</v>
      </c>
      <c r="D45" s="14">
        <v>805</v>
      </c>
      <c r="E45" s="13">
        <v>181.43170499999999</v>
      </c>
      <c r="F45" s="7">
        <v>0.62712298970641955</v>
      </c>
    </row>
    <row r="46" spans="1:6" x14ac:dyDescent="0.2">
      <c r="A46" s="7" t="s">
        <v>421</v>
      </c>
      <c r="B46" s="7" t="s">
        <v>422</v>
      </c>
      <c r="C46" s="7" t="s">
        <v>140</v>
      </c>
      <c r="D46" s="14">
        <v>44934</v>
      </c>
      <c r="E46" s="13">
        <v>177.848772</v>
      </c>
      <c r="F46" s="7">
        <v>0.61473849684792059</v>
      </c>
    </row>
    <row r="47" spans="1:6" x14ac:dyDescent="0.2">
      <c r="A47" s="7" t="s">
        <v>183</v>
      </c>
      <c r="B47" s="7" t="s">
        <v>184</v>
      </c>
      <c r="C47" s="7" t="s">
        <v>57</v>
      </c>
      <c r="D47" s="14">
        <v>22876</v>
      </c>
      <c r="E47" s="13">
        <v>175.85925</v>
      </c>
      <c r="F47" s="7">
        <v>0.60786166688743104</v>
      </c>
    </row>
    <row r="48" spans="1:6" x14ac:dyDescent="0.2">
      <c r="A48" s="7" t="s">
        <v>262</v>
      </c>
      <c r="B48" s="7" t="s">
        <v>263</v>
      </c>
      <c r="C48" s="7" t="s">
        <v>264</v>
      </c>
      <c r="D48" s="14">
        <v>43759</v>
      </c>
      <c r="E48" s="13">
        <v>166.52487450000001</v>
      </c>
      <c r="F48" s="7">
        <v>0.57559717667276677</v>
      </c>
    </row>
    <row r="49" spans="1:6" x14ac:dyDescent="0.2">
      <c r="A49" s="7" t="s">
        <v>22</v>
      </c>
      <c r="B49" s="7" t="s">
        <v>23</v>
      </c>
      <c r="C49" s="7" t="s">
        <v>24</v>
      </c>
      <c r="D49" s="14">
        <v>84637</v>
      </c>
      <c r="E49" s="13">
        <v>159.03292300000001</v>
      </c>
      <c r="F49" s="7">
        <v>0.54970106869419988</v>
      </c>
    </row>
    <row r="50" spans="1:6" x14ac:dyDescent="0.2">
      <c r="A50" s="7" t="s">
        <v>423</v>
      </c>
      <c r="B50" s="7" t="s">
        <v>424</v>
      </c>
      <c r="C50" s="7" t="s">
        <v>24</v>
      </c>
      <c r="D50" s="14">
        <v>105604</v>
      </c>
      <c r="E50" s="13">
        <v>156.663534</v>
      </c>
      <c r="F50" s="7">
        <v>0.54151121944234226</v>
      </c>
    </row>
    <row r="51" spans="1:6" x14ac:dyDescent="0.2">
      <c r="A51" s="7" t="s">
        <v>136</v>
      </c>
      <c r="B51" s="7" t="s">
        <v>137</v>
      </c>
      <c r="C51" s="7" t="s">
        <v>131</v>
      </c>
      <c r="D51" s="14">
        <v>107211</v>
      </c>
      <c r="E51" s="13">
        <v>147.25430850000001</v>
      </c>
      <c r="F51" s="7">
        <v>0.50898800842813796</v>
      </c>
    </row>
    <row r="52" spans="1:6" x14ac:dyDescent="0.2">
      <c r="A52" s="7" t="s">
        <v>425</v>
      </c>
      <c r="B52" s="7" t="s">
        <v>426</v>
      </c>
      <c r="C52" s="7" t="s">
        <v>178</v>
      </c>
      <c r="D52" s="14">
        <v>29430</v>
      </c>
      <c r="E52" s="13">
        <v>137.39395500000001</v>
      </c>
      <c r="F52" s="7">
        <v>0.47490546278661316</v>
      </c>
    </row>
    <row r="53" spans="1:6" x14ac:dyDescent="0.2">
      <c r="A53" s="7" t="s">
        <v>427</v>
      </c>
      <c r="B53" s="7" t="s">
        <v>428</v>
      </c>
      <c r="C53" s="7" t="s">
        <v>264</v>
      </c>
      <c r="D53" s="14">
        <v>58861</v>
      </c>
      <c r="E53" s="13">
        <v>134.20308</v>
      </c>
      <c r="F53" s="7">
        <v>0.46387612770000591</v>
      </c>
    </row>
    <row r="54" spans="1:6" x14ac:dyDescent="0.2">
      <c r="A54" s="7" t="s">
        <v>429</v>
      </c>
      <c r="B54" s="7" t="s">
        <v>430</v>
      </c>
      <c r="C54" s="7" t="s">
        <v>431</v>
      </c>
      <c r="D54" s="14">
        <v>49329</v>
      </c>
      <c r="E54" s="13">
        <v>93.577112999999997</v>
      </c>
      <c r="F54" s="7">
        <v>0.32345150960608265</v>
      </c>
    </row>
    <row r="55" spans="1:6" x14ac:dyDescent="0.2">
      <c r="A55" s="7" t="s">
        <v>432</v>
      </c>
      <c r="B55" s="7" t="s">
        <v>433</v>
      </c>
      <c r="C55" s="7" t="s">
        <v>70</v>
      </c>
      <c r="D55" s="14">
        <v>34580</v>
      </c>
      <c r="E55" s="13">
        <v>90.115480000000005</v>
      </c>
      <c r="F55" s="7">
        <v>0.31148629307335812</v>
      </c>
    </row>
    <row r="56" spans="1:6" x14ac:dyDescent="0.2">
      <c r="A56" s="7" t="s">
        <v>202</v>
      </c>
      <c r="B56" s="7" t="s">
        <v>203</v>
      </c>
      <c r="C56" s="7" t="s">
        <v>11</v>
      </c>
      <c r="D56" s="14">
        <v>108141</v>
      </c>
      <c r="E56" s="13">
        <v>76.131264000000002</v>
      </c>
      <c r="F56" s="7">
        <v>0.26314951893225447</v>
      </c>
    </row>
    <row r="57" spans="1:6" x14ac:dyDescent="0.2">
      <c r="A57" s="6" t="s">
        <v>43</v>
      </c>
      <c r="B57" s="7"/>
      <c r="C57" s="7"/>
      <c r="D57" s="7"/>
      <c r="E57" s="15">
        <v>28250.160453999986</v>
      </c>
      <c r="F57" s="6">
        <v>97.647349362662624</v>
      </c>
    </row>
    <row r="58" spans="1:6" x14ac:dyDescent="0.2">
      <c r="A58" s="7"/>
      <c r="B58" s="7"/>
      <c r="C58" s="7"/>
      <c r="D58" s="7"/>
      <c r="E58" s="13"/>
      <c r="F58" s="7"/>
    </row>
    <row r="59" spans="1:6" x14ac:dyDescent="0.2">
      <c r="A59" s="6" t="s">
        <v>100</v>
      </c>
      <c r="B59" s="7"/>
      <c r="C59" s="7"/>
      <c r="D59" s="7"/>
      <c r="E59" s="15">
        <v>680.64067720000003</v>
      </c>
      <c r="F59" s="6">
        <v>2.35</v>
      </c>
    </row>
    <row r="60" spans="1:6" x14ac:dyDescent="0.2">
      <c r="A60" s="7"/>
      <c r="B60" s="7"/>
      <c r="C60" s="7"/>
      <c r="D60" s="7"/>
      <c r="E60" s="13"/>
      <c r="F60" s="7"/>
    </row>
    <row r="61" spans="1:6" x14ac:dyDescent="0.2">
      <c r="A61" s="8" t="s">
        <v>101</v>
      </c>
      <c r="B61" s="5"/>
      <c r="C61" s="5"/>
      <c r="D61" s="5"/>
      <c r="E61" s="16">
        <v>28930.801131199987</v>
      </c>
      <c r="F61" s="8">
        <f xml:space="preserve"> ROUND(SUM(F57:F60),2)</f>
        <v>100</v>
      </c>
    </row>
    <row r="63" spans="1:6" x14ac:dyDescent="0.2">
      <c r="A63" s="4" t="s">
        <v>102</v>
      </c>
      <c r="B63" s="2"/>
      <c r="C63" s="2"/>
      <c r="D63" s="2"/>
    </row>
    <row r="64" spans="1:6" x14ac:dyDescent="0.2">
      <c r="A64" s="4" t="s">
        <v>103</v>
      </c>
      <c r="B64" s="2"/>
      <c r="C64" s="2"/>
      <c r="D64" s="2"/>
    </row>
    <row r="65" spans="1:4" x14ac:dyDescent="0.2">
      <c r="A65" s="4" t="s">
        <v>104</v>
      </c>
      <c r="B65" s="2"/>
      <c r="C65" s="2"/>
      <c r="D65" s="2"/>
    </row>
    <row r="66" spans="1:4" x14ac:dyDescent="0.2">
      <c r="A66" s="2" t="s">
        <v>598</v>
      </c>
      <c r="B66" s="2"/>
      <c r="C66" s="2"/>
      <c r="D66" s="10">
        <v>92.745500000000007</v>
      </c>
    </row>
    <row r="67" spans="1:4" x14ac:dyDescent="0.2">
      <c r="A67" s="2" t="s">
        <v>599</v>
      </c>
      <c r="B67" s="2"/>
      <c r="C67" s="2"/>
      <c r="D67" s="10">
        <v>92.745500000000007</v>
      </c>
    </row>
    <row r="68" spans="1:4" x14ac:dyDescent="0.2">
      <c r="A68" s="2" t="s">
        <v>600</v>
      </c>
      <c r="B68" s="2"/>
      <c r="C68" s="2"/>
      <c r="D68" s="10">
        <v>94.976299999999995</v>
      </c>
    </row>
    <row r="69" spans="1:4" x14ac:dyDescent="0.2">
      <c r="A69" s="2" t="s">
        <v>601</v>
      </c>
      <c r="B69" s="2"/>
      <c r="C69" s="2"/>
      <c r="D69" s="10">
        <v>94.976299999999995</v>
      </c>
    </row>
    <row r="70" spans="1:4" x14ac:dyDescent="0.2">
      <c r="A70" s="2"/>
      <c r="B70" s="2"/>
      <c r="C70" s="2"/>
      <c r="D70" s="10"/>
    </row>
    <row r="71" spans="1:4" x14ac:dyDescent="0.2">
      <c r="A71" s="4" t="s">
        <v>105</v>
      </c>
      <c r="B71" s="2"/>
      <c r="C71" s="2"/>
      <c r="D71" s="2"/>
    </row>
    <row r="72" spans="1:4" x14ac:dyDescent="0.2">
      <c r="A72" s="2" t="s">
        <v>598</v>
      </c>
      <c r="B72" s="2"/>
      <c r="C72" s="2"/>
      <c r="D72" s="10">
        <v>94.123900000000006</v>
      </c>
    </row>
    <row r="73" spans="1:4" x14ac:dyDescent="0.2">
      <c r="A73" s="2" t="s">
        <v>599</v>
      </c>
      <c r="B73" s="2"/>
      <c r="C73" s="2"/>
      <c r="D73" s="10">
        <v>94.123900000000006</v>
      </c>
    </row>
    <row r="74" spans="1:4" x14ac:dyDescent="0.2">
      <c r="A74" s="2" t="s">
        <v>600</v>
      </c>
      <c r="B74" s="2"/>
      <c r="C74" s="2"/>
      <c r="D74" s="10">
        <v>96.594899999999996</v>
      </c>
    </row>
    <row r="75" spans="1:4" x14ac:dyDescent="0.2">
      <c r="A75" s="2" t="s">
        <v>601</v>
      </c>
      <c r="B75" s="2"/>
      <c r="C75" s="2"/>
      <c r="D75" s="10">
        <v>96.594899999999996</v>
      </c>
    </row>
    <row r="76" spans="1:4" x14ac:dyDescent="0.2">
      <c r="A76" s="2"/>
      <c r="B76" s="2"/>
      <c r="C76" s="2"/>
      <c r="D76" s="2"/>
    </row>
    <row r="77" spans="1:4" x14ac:dyDescent="0.2">
      <c r="A77" s="4" t="s">
        <v>106</v>
      </c>
      <c r="B77" s="2"/>
      <c r="C77" s="2"/>
      <c r="D77" s="17" t="s">
        <v>107</v>
      </c>
    </row>
    <row r="78" spans="1:4" x14ac:dyDescent="0.2">
      <c r="A78" s="4"/>
      <c r="B78" s="2"/>
      <c r="C78" s="2"/>
      <c r="D78" s="17"/>
    </row>
    <row r="79" spans="1:4" x14ac:dyDescent="0.2">
      <c r="A79" s="9" t="s">
        <v>606</v>
      </c>
      <c r="B79" s="2"/>
      <c r="C79" s="2"/>
      <c r="D79" s="24">
        <v>2.5924501727879135E-2</v>
      </c>
    </row>
  </sheetData>
  <mergeCells count="1">
    <mergeCell ref="A1:F1"/>
  </mergeCells>
  <pageMargins left="0.7" right="0.7" top="0.75" bottom="0.75" header="0.3" footer="0.3"/>
  <ignoredErrors>
    <ignoredError sqref="F6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0D53-B8EF-4481-8BDA-D4C640E9FB23}">
  <dimension ref="A1:G36"/>
  <sheetViews>
    <sheetView showGridLines="0" zoomScaleNormal="100" workbookViewId="0">
      <selection sqref="A1:E1"/>
    </sheetView>
  </sheetViews>
  <sheetFormatPr defaultRowHeight="11.25" x14ac:dyDescent="0.2"/>
  <cols>
    <col min="1" max="1" width="59" style="1" bestFit="1" customWidth="1"/>
    <col min="2" max="2" width="38.140625" style="1" bestFit="1" customWidth="1"/>
    <col min="3" max="3" width="12" style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7" x14ac:dyDescent="0.2">
      <c r="A1" s="109" t="s">
        <v>677</v>
      </c>
      <c r="B1" s="109"/>
      <c r="C1" s="109"/>
      <c r="D1" s="109"/>
      <c r="E1" s="109"/>
      <c r="G1" s="12"/>
    </row>
    <row r="3" spans="1:7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7" x14ac:dyDescent="0.2">
      <c r="A4" s="5"/>
      <c r="B4" s="5"/>
      <c r="C4" s="5"/>
      <c r="D4" s="5"/>
      <c r="E4" s="5"/>
    </row>
    <row r="5" spans="1:7" x14ac:dyDescent="0.2">
      <c r="A5" s="6" t="s">
        <v>669</v>
      </c>
      <c r="B5" s="7"/>
      <c r="C5" s="7"/>
      <c r="D5" s="7"/>
      <c r="E5" s="7"/>
    </row>
    <row r="6" spans="1:7" x14ac:dyDescent="0.2">
      <c r="A6" s="7" t="s">
        <v>175</v>
      </c>
      <c r="B6" s="7" t="s">
        <v>666</v>
      </c>
      <c r="C6" s="14">
        <v>1296648.1499999999</v>
      </c>
      <c r="D6" s="13">
        <v>55718.607332500003</v>
      </c>
      <c r="E6" s="13">
        <v>54.578829842679468</v>
      </c>
    </row>
    <row r="7" spans="1:7" x14ac:dyDescent="0.2">
      <c r="A7" s="30" t="s">
        <v>175</v>
      </c>
      <c r="B7" s="7" t="s">
        <v>676</v>
      </c>
      <c r="C7" s="14">
        <v>7516873.21</v>
      </c>
      <c r="D7" s="13">
        <v>46521.026271899995</v>
      </c>
      <c r="E7" s="13">
        <v>45.56939411369396</v>
      </c>
    </row>
    <row r="8" spans="1:7" x14ac:dyDescent="0.2">
      <c r="A8" s="6" t="s">
        <v>43</v>
      </c>
      <c r="B8" s="7"/>
      <c r="C8" s="7"/>
      <c r="D8" s="15">
        <f>D6+D7</f>
        <v>102239.63360440001</v>
      </c>
      <c r="E8" s="6">
        <f>E6+E7</f>
        <v>100.14822395637343</v>
      </c>
    </row>
    <row r="9" spans="1:7" x14ac:dyDescent="0.2">
      <c r="A9" s="7"/>
      <c r="B9" s="7"/>
      <c r="C9" s="7"/>
      <c r="D9" s="13"/>
      <c r="E9" s="7"/>
    </row>
    <row r="10" spans="1:7" x14ac:dyDescent="0.2">
      <c r="A10" s="6" t="s">
        <v>100</v>
      </c>
      <c r="B10" s="7"/>
      <c r="C10" s="7"/>
      <c r="D10" s="15">
        <v>-151.31933839999999</v>
      </c>
      <c r="E10" s="6">
        <v>-0.15</v>
      </c>
    </row>
    <row r="11" spans="1:7" x14ac:dyDescent="0.2">
      <c r="A11" s="7"/>
      <c r="B11" s="7"/>
      <c r="C11" s="7"/>
      <c r="D11" s="13"/>
      <c r="E11" s="7"/>
    </row>
    <row r="12" spans="1:7" x14ac:dyDescent="0.2">
      <c r="A12" s="8" t="s">
        <v>101</v>
      </c>
      <c r="B12" s="5"/>
      <c r="C12" s="5"/>
      <c r="D12" s="16">
        <v>102088.314266</v>
      </c>
      <c r="E12" s="8">
        <f xml:space="preserve"> ROUND(SUM(E8:E11),2)</f>
        <v>100</v>
      </c>
    </row>
    <row r="14" spans="1:7" x14ac:dyDescent="0.2">
      <c r="A14" s="4" t="s">
        <v>102</v>
      </c>
      <c r="B14" s="2"/>
      <c r="C14" s="2"/>
      <c r="D14" s="2"/>
    </row>
    <row r="15" spans="1:7" x14ac:dyDescent="0.2">
      <c r="A15" s="4" t="s">
        <v>103</v>
      </c>
      <c r="B15" s="2"/>
      <c r="C15" s="2"/>
      <c r="D15" s="2"/>
    </row>
    <row r="16" spans="1:7" x14ac:dyDescent="0.2">
      <c r="A16" s="4" t="s">
        <v>104</v>
      </c>
      <c r="B16" s="2"/>
      <c r="C16" s="2"/>
      <c r="D16" s="2"/>
    </row>
    <row r="17" spans="1:4" x14ac:dyDescent="0.2">
      <c r="A17" s="2" t="s">
        <v>598</v>
      </c>
      <c r="B17" s="2"/>
      <c r="C17" s="2"/>
      <c r="D17" s="10">
        <v>83.912800000000004</v>
      </c>
    </row>
    <row r="18" spans="1:4" x14ac:dyDescent="0.2">
      <c r="A18" s="2" t="s">
        <v>599</v>
      </c>
      <c r="B18" s="2"/>
      <c r="C18" s="2"/>
      <c r="D18" s="10">
        <v>36.840899999999998</v>
      </c>
    </row>
    <row r="19" spans="1:4" x14ac:dyDescent="0.2">
      <c r="A19" s="2" t="s">
        <v>600</v>
      </c>
      <c r="B19" s="2"/>
      <c r="C19" s="2"/>
      <c r="D19" s="10">
        <v>89.316900000000004</v>
      </c>
    </row>
    <row r="20" spans="1:4" x14ac:dyDescent="0.2">
      <c r="A20" s="2" t="s">
        <v>601</v>
      </c>
      <c r="B20" s="2"/>
      <c r="C20" s="2"/>
      <c r="D20" s="10">
        <v>39.957099999999997</v>
      </c>
    </row>
    <row r="21" spans="1:4" x14ac:dyDescent="0.2">
      <c r="A21" s="2"/>
      <c r="B21" s="2"/>
      <c r="C21" s="2"/>
      <c r="D21" s="10"/>
    </row>
    <row r="22" spans="1:4" x14ac:dyDescent="0.2">
      <c r="A22" s="4" t="s">
        <v>105</v>
      </c>
      <c r="B22" s="2"/>
      <c r="C22" s="2"/>
      <c r="D22" s="2"/>
    </row>
    <row r="23" spans="1:4" x14ac:dyDescent="0.2">
      <c r="A23" s="2" t="s">
        <v>598</v>
      </c>
      <c r="B23" s="2"/>
      <c r="C23" s="2"/>
      <c r="D23" s="10">
        <v>85.5274</v>
      </c>
    </row>
    <row r="24" spans="1:4" x14ac:dyDescent="0.2">
      <c r="A24" s="2" t="s">
        <v>599</v>
      </c>
      <c r="B24" s="2"/>
      <c r="C24" s="2"/>
      <c r="D24" s="10">
        <v>36.785699999999999</v>
      </c>
    </row>
    <row r="25" spans="1:4" x14ac:dyDescent="0.2">
      <c r="A25" s="2" t="s">
        <v>600</v>
      </c>
      <c r="B25" s="2"/>
      <c r="C25" s="2"/>
      <c r="D25" s="10">
        <v>91.499899999999997</v>
      </c>
    </row>
    <row r="26" spans="1:4" x14ac:dyDescent="0.2">
      <c r="A26" s="2" t="s">
        <v>601</v>
      </c>
      <c r="B26" s="2"/>
      <c r="C26" s="2"/>
      <c r="D26" s="10">
        <v>40.163800000000002</v>
      </c>
    </row>
    <row r="27" spans="1:4" x14ac:dyDescent="0.2">
      <c r="A27" s="2"/>
      <c r="B27" s="2"/>
      <c r="C27" s="2"/>
      <c r="D27" s="2"/>
    </row>
    <row r="28" spans="1:4" x14ac:dyDescent="0.2">
      <c r="A28" s="4" t="s">
        <v>106</v>
      </c>
      <c r="B28" s="2"/>
      <c r="C28" s="2"/>
      <c r="D28" s="17" t="s">
        <v>319</v>
      </c>
    </row>
    <row r="29" spans="1:4" x14ac:dyDescent="0.2">
      <c r="A29" s="18" t="s">
        <v>602</v>
      </c>
      <c r="B29" s="19"/>
      <c r="C29" s="110" t="s">
        <v>603</v>
      </c>
      <c r="D29" s="111"/>
    </row>
    <row r="30" spans="1:4" x14ac:dyDescent="0.2">
      <c r="A30" s="112"/>
      <c r="B30" s="113"/>
      <c r="C30" s="20" t="s">
        <v>604</v>
      </c>
      <c r="D30" s="20" t="s">
        <v>605</v>
      </c>
    </row>
    <row r="31" spans="1:4" x14ac:dyDescent="0.2">
      <c r="A31" s="21" t="s">
        <v>599</v>
      </c>
      <c r="B31" s="22"/>
      <c r="C31" s="23">
        <v>0.54024202500000007</v>
      </c>
      <c r="D31" s="23">
        <v>0.50026680749999997</v>
      </c>
    </row>
    <row r="32" spans="1:4" x14ac:dyDescent="0.2">
      <c r="A32" s="21" t="s">
        <v>601</v>
      </c>
      <c r="B32" s="22"/>
      <c r="C32" s="23">
        <v>0.54024202500000007</v>
      </c>
      <c r="D32" s="23">
        <v>0.50026680749999997</v>
      </c>
    </row>
    <row r="33" spans="1:4" x14ac:dyDescent="0.2">
      <c r="A33" s="4"/>
      <c r="B33" s="2"/>
      <c r="C33" s="2"/>
      <c r="D33" s="17"/>
    </row>
    <row r="34" spans="1:4" x14ac:dyDescent="0.2">
      <c r="A34" s="9" t="s">
        <v>606</v>
      </c>
      <c r="B34" s="2"/>
      <c r="C34" s="2"/>
      <c r="D34" s="24">
        <v>0.90794933181461068</v>
      </c>
    </row>
    <row r="36" spans="1:4" x14ac:dyDescent="0.2">
      <c r="A36" s="9" t="s">
        <v>1962</v>
      </c>
    </row>
  </sheetData>
  <mergeCells count="3">
    <mergeCell ref="C29:D29"/>
    <mergeCell ref="A30:B30"/>
    <mergeCell ref="A1:E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4553-3B0A-4251-8164-24747AD7027F}">
  <dimension ref="A1:E29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3.5703125" style="1" bestFit="1" customWidth="1"/>
    <col min="3" max="3" width="7.85546875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5" x14ac:dyDescent="0.2">
      <c r="A1" s="109" t="s">
        <v>591</v>
      </c>
      <c r="B1" s="109"/>
      <c r="C1" s="109"/>
      <c r="D1" s="109"/>
      <c r="E1" s="109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613</v>
      </c>
      <c r="B5" s="7"/>
      <c r="C5" s="7"/>
      <c r="D5" s="7"/>
      <c r="E5" s="7"/>
    </row>
    <row r="6" spans="1:5" x14ac:dyDescent="0.2">
      <c r="A6" s="7" t="s">
        <v>661</v>
      </c>
      <c r="B6" s="7" t="s">
        <v>662</v>
      </c>
      <c r="C6" s="14">
        <v>2957358.6090000002</v>
      </c>
      <c r="D6" s="13">
        <v>100282.89763000001</v>
      </c>
      <c r="E6" s="13">
        <v>99.828635210212724</v>
      </c>
    </row>
    <row r="7" spans="1:5" x14ac:dyDescent="0.2">
      <c r="A7" s="6" t="s">
        <v>43</v>
      </c>
      <c r="B7" s="7"/>
      <c r="C7" s="7"/>
      <c r="D7" s="15">
        <f>SUM(D6)</f>
        <v>100282.89763000001</v>
      </c>
      <c r="E7" s="6">
        <f>SUM(E6)</f>
        <v>99.828635210212724</v>
      </c>
    </row>
    <row r="8" spans="1:5" x14ac:dyDescent="0.2">
      <c r="A8" s="7"/>
      <c r="B8" s="7"/>
      <c r="C8" s="7"/>
      <c r="D8" s="13"/>
      <c r="E8" s="7"/>
    </row>
    <row r="9" spans="1:5" x14ac:dyDescent="0.2">
      <c r="A9" s="6" t="s">
        <v>100</v>
      </c>
      <c r="B9" s="7"/>
      <c r="C9" s="7"/>
      <c r="D9" s="15">
        <v>172.14457189999999</v>
      </c>
      <c r="E9" s="6">
        <f>D9/$D$11*100</f>
        <v>0.17136478978727068</v>
      </c>
    </row>
    <row r="10" spans="1:5" x14ac:dyDescent="0.2">
      <c r="A10" s="7"/>
      <c r="B10" s="7"/>
      <c r="C10" s="7"/>
      <c r="D10" s="13"/>
      <c r="E10" s="7"/>
    </row>
    <row r="11" spans="1:5" x14ac:dyDescent="0.2">
      <c r="A11" s="8" t="s">
        <v>101</v>
      </c>
      <c r="B11" s="5"/>
      <c r="C11" s="5"/>
      <c r="D11" s="16">
        <f>D7+D9</f>
        <v>100455.04220190001</v>
      </c>
      <c r="E11" s="8">
        <f xml:space="preserve"> ROUND(SUM(E7:E10),2)</f>
        <v>100</v>
      </c>
    </row>
    <row r="13" spans="1:5" x14ac:dyDescent="0.2">
      <c r="A13" s="4" t="s">
        <v>102</v>
      </c>
      <c r="B13" s="2"/>
      <c r="C13" s="2"/>
      <c r="D13" s="2"/>
    </row>
    <row r="14" spans="1:5" x14ac:dyDescent="0.2">
      <c r="A14" s="4" t="s">
        <v>103</v>
      </c>
      <c r="B14" s="2"/>
      <c r="C14" s="2"/>
      <c r="D14" s="2"/>
    </row>
    <row r="15" spans="1:5" x14ac:dyDescent="0.2">
      <c r="A15" s="4" t="s">
        <v>104</v>
      </c>
      <c r="B15" s="2"/>
      <c r="C15" s="2"/>
      <c r="D15" s="2"/>
    </row>
    <row r="16" spans="1:5" x14ac:dyDescent="0.2">
      <c r="A16" s="2" t="s">
        <v>598</v>
      </c>
      <c r="B16" s="2"/>
      <c r="C16" s="2"/>
      <c r="D16" s="10">
        <v>31.858599999999999</v>
      </c>
    </row>
    <row r="17" spans="1:4" x14ac:dyDescent="0.2">
      <c r="A17" s="2" t="s">
        <v>599</v>
      </c>
      <c r="B17" s="2"/>
      <c r="C17" s="2"/>
      <c r="D17" s="10">
        <v>31.858599999999999</v>
      </c>
    </row>
    <row r="18" spans="1:4" x14ac:dyDescent="0.2">
      <c r="A18" s="2" t="s">
        <v>600</v>
      </c>
      <c r="B18" s="2"/>
      <c r="C18" s="2"/>
      <c r="D18" s="10">
        <v>33.8827</v>
      </c>
    </row>
    <row r="19" spans="1:4" x14ac:dyDescent="0.2">
      <c r="A19" s="2" t="s">
        <v>601</v>
      </c>
      <c r="B19" s="2"/>
      <c r="C19" s="2"/>
      <c r="D19" s="10">
        <v>33.8827</v>
      </c>
    </row>
    <row r="20" spans="1:4" x14ac:dyDescent="0.2">
      <c r="A20" s="2"/>
      <c r="B20" s="2"/>
      <c r="C20" s="2"/>
      <c r="D20" s="10"/>
    </row>
    <row r="21" spans="1:4" x14ac:dyDescent="0.2">
      <c r="A21" s="4" t="s">
        <v>105</v>
      </c>
      <c r="B21" s="2"/>
      <c r="C21" s="2"/>
      <c r="D21" s="2"/>
    </row>
    <row r="22" spans="1:4" x14ac:dyDescent="0.2">
      <c r="A22" s="2" t="s">
        <v>598</v>
      </c>
      <c r="B22" s="2"/>
      <c r="C22" s="2"/>
      <c r="D22" s="10">
        <v>32.390500000000003</v>
      </c>
    </row>
    <row r="23" spans="1:4" x14ac:dyDescent="0.2">
      <c r="A23" s="2" t="s">
        <v>599</v>
      </c>
      <c r="B23" s="2"/>
      <c r="C23" s="2"/>
      <c r="D23" s="10">
        <v>32.390500000000003</v>
      </c>
    </row>
    <row r="24" spans="1:4" x14ac:dyDescent="0.2">
      <c r="A24" s="2" t="s">
        <v>600</v>
      </c>
      <c r="B24" s="2"/>
      <c r="C24" s="2"/>
      <c r="D24" s="10">
        <v>34.597799999999999</v>
      </c>
    </row>
    <row r="25" spans="1:4" x14ac:dyDescent="0.2">
      <c r="A25" s="2" t="s">
        <v>601</v>
      </c>
      <c r="B25" s="2"/>
      <c r="C25" s="2"/>
      <c r="D25" s="10">
        <v>34.597799999999999</v>
      </c>
    </row>
    <row r="26" spans="1:4" x14ac:dyDescent="0.2">
      <c r="A26" s="2"/>
      <c r="B26" s="2"/>
      <c r="C26" s="2"/>
      <c r="D26" s="2"/>
    </row>
    <row r="27" spans="1:4" x14ac:dyDescent="0.2">
      <c r="A27" s="4" t="s">
        <v>106</v>
      </c>
      <c r="B27" s="2"/>
      <c r="C27" s="2"/>
      <c r="D27" s="17" t="s">
        <v>107</v>
      </c>
    </row>
    <row r="28" spans="1:4" x14ac:dyDescent="0.2">
      <c r="A28" s="4"/>
      <c r="B28" s="2"/>
      <c r="C28" s="2"/>
      <c r="D28" s="17"/>
    </row>
    <row r="29" spans="1:4" x14ac:dyDescent="0.2">
      <c r="A29" s="9" t="s">
        <v>606</v>
      </c>
      <c r="B29" s="2"/>
      <c r="C29" s="2"/>
      <c r="D29" s="24">
        <v>3.7442132629578996E-2</v>
      </c>
    </row>
  </sheetData>
  <mergeCells count="1">
    <mergeCell ref="A1:E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3173-606F-492E-A5B6-05BDB21BB841}">
  <dimension ref="A1:E30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3.42578125" style="1" bestFit="1" customWidth="1"/>
    <col min="3" max="3" width="7.85546875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5" x14ac:dyDescent="0.2">
      <c r="A1" s="109" t="s">
        <v>174</v>
      </c>
      <c r="B1" s="109"/>
      <c r="C1" s="109"/>
      <c r="D1" s="109"/>
      <c r="E1" s="109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613</v>
      </c>
      <c r="B5" s="7"/>
      <c r="C5" s="7"/>
      <c r="D5" s="7"/>
      <c r="E5" s="7"/>
    </row>
    <row r="6" spans="1:5" x14ac:dyDescent="0.2">
      <c r="A6" s="7" t="s">
        <v>663</v>
      </c>
      <c r="B6" s="7" t="s">
        <v>664</v>
      </c>
      <c r="C6" s="14">
        <v>78074.842999999993</v>
      </c>
      <c r="D6" s="13">
        <v>1875.4357680000001</v>
      </c>
      <c r="E6" s="13">
        <v>99.578531449130026</v>
      </c>
    </row>
    <row r="7" spans="1:5" x14ac:dyDescent="0.2">
      <c r="A7" s="6" t="s">
        <v>43</v>
      </c>
      <c r="B7" s="7"/>
      <c r="C7" s="7"/>
      <c r="D7" s="15">
        <v>1875.4357680000001</v>
      </c>
      <c r="E7" s="6">
        <v>99.578531449130026</v>
      </c>
    </row>
    <row r="8" spans="1:5" x14ac:dyDescent="0.2">
      <c r="A8" s="7"/>
      <c r="B8" s="7"/>
      <c r="C8" s="7"/>
      <c r="D8" s="7"/>
      <c r="E8" s="7"/>
    </row>
    <row r="9" spans="1:5" x14ac:dyDescent="0.2">
      <c r="A9" s="6" t="s">
        <v>100</v>
      </c>
      <c r="B9" s="7"/>
      <c r="C9" s="7"/>
      <c r="D9" s="15">
        <v>7.937827399999998</v>
      </c>
      <c r="E9" s="6">
        <v>0.42146855086996815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8" t="s">
        <v>101</v>
      </c>
      <c r="B11" s="5"/>
      <c r="C11" s="5"/>
      <c r="D11" s="16">
        <f>D7+D9</f>
        <v>1883.3735954000001</v>
      </c>
      <c r="E11" s="8">
        <v>100</v>
      </c>
    </row>
    <row r="13" spans="1:5" x14ac:dyDescent="0.2">
      <c r="A13" s="4" t="s">
        <v>102</v>
      </c>
      <c r="B13" s="2"/>
      <c r="C13" s="2"/>
      <c r="D13" s="2"/>
    </row>
    <row r="14" spans="1:5" x14ac:dyDescent="0.2">
      <c r="A14" s="4" t="s">
        <v>103</v>
      </c>
      <c r="B14" s="2"/>
      <c r="C14" s="2"/>
      <c r="D14" s="2"/>
    </row>
    <row r="15" spans="1:5" x14ac:dyDescent="0.2">
      <c r="A15" s="4" t="s">
        <v>104</v>
      </c>
      <c r="B15" s="2"/>
      <c r="C15" s="2"/>
      <c r="D15" s="2"/>
    </row>
    <row r="16" spans="1:5" x14ac:dyDescent="0.2">
      <c r="A16" s="2" t="s">
        <v>598</v>
      </c>
      <c r="B16" s="2"/>
      <c r="C16" s="2"/>
      <c r="D16" s="10">
        <v>9.7471999999999994</v>
      </c>
    </row>
    <row r="17" spans="1:4" x14ac:dyDescent="0.2">
      <c r="A17" s="2" t="s">
        <v>599</v>
      </c>
      <c r="B17" s="2"/>
      <c r="C17" s="2"/>
      <c r="D17" s="10">
        <v>9.7471999999999994</v>
      </c>
    </row>
    <row r="18" spans="1:4" x14ac:dyDescent="0.2">
      <c r="A18" s="2" t="s">
        <v>600</v>
      </c>
      <c r="B18" s="2"/>
      <c r="C18" s="2"/>
      <c r="D18" s="10">
        <v>10.398199999999999</v>
      </c>
    </row>
    <row r="19" spans="1:4" x14ac:dyDescent="0.2">
      <c r="A19" s="2" t="s">
        <v>601</v>
      </c>
      <c r="B19" s="2"/>
      <c r="C19" s="2"/>
      <c r="D19" s="10">
        <v>10.398199999999999</v>
      </c>
    </row>
    <row r="20" spans="1:4" x14ac:dyDescent="0.2">
      <c r="A20" s="2"/>
      <c r="B20" s="2"/>
      <c r="C20" s="2"/>
      <c r="D20" s="10"/>
    </row>
    <row r="21" spans="1:4" x14ac:dyDescent="0.2">
      <c r="A21" s="4" t="s">
        <v>105</v>
      </c>
      <c r="B21" s="2"/>
      <c r="C21" s="2"/>
      <c r="D21" s="2"/>
    </row>
    <row r="22" spans="1:4" x14ac:dyDescent="0.2">
      <c r="A22" s="2" t="s">
        <v>598</v>
      </c>
      <c r="B22" s="2"/>
      <c r="C22" s="2"/>
      <c r="D22" s="10">
        <v>9.1997</v>
      </c>
    </row>
    <row r="23" spans="1:4" x14ac:dyDescent="0.2">
      <c r="A23" s="2" t="s">
        <v>599</v>
      </c>
      <c r="B23" s="2"/>
      <c r="C23" s="2"/>
      <c r="D23" s="10">
        <v>9.1997</v>
      </c>
    </row>
    <row r="24" spans="1:4" x14ac:dyDescent="0.2">
      <c r="A24" s="2" t="s">
        <v>600</v>
      </c>
      <c r="B24" s="2"/>
      <c r="C24" s="2"/>
      <c r="D24" s="10">
        <v>9.8595000000000006</v>
      </c>
    </row>
    <row r="25" spans="1:4" x14ac:dyDescent="0.2">
      <c r="A25" s="2" t="s">
        <v>601</v>
      </c>
      <c r="B25" s="2"/>
      <c r="C25" s="2"/>
      <c r="D25" s="10">
        <v>9.8595000000000006</v>
      </c>
    </row>
    <row r="26" spans="1:4" x14ac:dyDescent="0.2">
      <c r="A26" s="2"/>
      <c r="B26" s="2"/>
      <c r="C26" s="2"/>
      <c r="D26" s="2"/>
    </row>
    <row r="27" spans="1:4" x14ac:dyDescent="0.2">
      <c r="A27" s="4" t="s">
        <v>106</v>
      </c>
      <c r="B27" s="2"/>
      <c r="C27" s="2"/>
      <c r="D27" s="17" t="s">
        <v>107</v>
      </c>
    </row>
    <row r="28" spans="1:4" x14ac:dyDescent="0.2">
      <c r="A28" s="4"/>
      <c r="B28" s="2"/>
      <c r="C28" s="2"/>
      <c r="D28" s="17"/>
    </row>
    <row r="29" spans="1:4" x14ac:dyDescent="0.2">
      <c r="A29" s="9" t="s">
        <v>606</v>
      </c>
      <c r="B29" s="2"/>
      <c r="C29" s="2"/>
      <c r="D29" s="24">
        <v>4.535869419030801E-2</v>
      </c>
    </row>
    <row r="30" spans="1:4" x14ac:dyDescent="0.2">
      <c r="A30" s="2"/>
      <c r="B30" s="2"/>
      <c r="C30" s="2"/>
      <c r="D30" s="2"/>
    </row>
  </sheetData>
  <mergeCells count="1">
    <mergeCell ref="A1:E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D747-78E9-4AF2-8694-57C7F3C03363}">
  <dimension ref="A1:E31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8.140625" style="1" bestFit="1" customWidth="1"/>
    <col min="3" max="3" width="9.570312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9" t="s">
        <v>435</v>
      </c>
      <c r="B1" s="109"/>
      <c r="C1" s="109"/>
      <c r="D1" s="109"/>
      <c r="E1" s="109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665</v>
      </c>
      <c r="B5" s="7"/>
      <c r="C5" s="7"/>
      <c r="D5" s="7"/>
      <c r="E5" s="7"/>
    </row>
    <row r="6" spans="1:5" x14ac:dyDescent="0.2">
      <c r="A6" s="52" t="s">
        <v>393</v>
      </c>
      <c r="B6" s="49" t="s">
        <v>667</v>
      </c>
      <c r="C6" s="14">
        <v>229857.63</v>
      </c>
      <c r="D6" s="26">
        <v>1118.6122554999999</v>
      </c>
      <c r="E6" s="13">
        <v>37.865497237743291</v>
      </c>
    </row>
    <row r="7" spans="1:5" x14ac:dyDescent="0.2">
      <c r="A7" s="52" t="s">
        <v>175</v>
      </c>
      <c r="B7" s="49" t="s">
        <v>666</v>
      </c>
      <c r="C7" s="14">
        <v>24844.26</v>
      </c>
      <c r="D7" s="26">
        <v>1067.5892056999999</v>
      </c>
      <c r="E7" s="13">
        <v>36.138345455019824</v>
      </c>
    </row>
    <row r="8" spans="1:5" x14ac:dyDescent="0.2">
      <c r="A8" s="52" t="s">
        <v>668</v>
      </c>
      <c r="B8" s="30" t="s">
        <v>675</v>
      </c>
      <c r="C8" s="14">
        <v>20909</v>
      </c>
      <c r="D8" s="26">
        <v>712.27553950000004</v>
      </c>
      <c r="E8" s="13">
        <v>24.110827805470407</v>
      </c>
    </row>
    <row r="9" spans="1:5" x14ac:dyDescent="0.2">
      <c r="A9" s="6" t="s">
        <v>43</v>
      </c>
      <c r="B9" s="7"/>
      <c r="C9" s="7"/>
      <c r="D9" s="50">
        <v>2898.4770006999997</v>
      </c>
      <c r="E9" s="6">
        <v>98.114670498233522</v>
      </c>
    </row>
    <row r="10" spans="1:5" x14ac:dyDescent="0.2">
      <c r="A10" s="7"/>
      <c r="B10" s="49"/>
      <c r="C10" s="7"/>
      <c r="D10" s="7"/>
      <c r="E10" s="7"/>
    </row>
    <row r="11" spans="1:5" x14ac:dyDescent="0.2">
      <c r="A11" s="6" t="s">
        <v>100</v>
      </c>
      <c r="B11" s="7"/>
      <c r="C11" s="7"/>
      <c r="D11" s="15">
        <v>55.695893099999999</v>
      </c>
      <c r="E11" s="6">
        <v>1.885329501766482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8" t="s">
        <v>101</v>
      </c>
      <c r="B13" s="5"/>
      <c r="C13" s="5"/>
      <c r="D13" s="51">
        <f>D9+D11</f>
        <v>2954.1728937999997</v>
      </c>
      <c r="E13" s="8">
        <f xml:space="preserve"> ROUND(SUM(E9:E12),2)</f>
        <v>100</v>
      </c>
    </row>
    <row r="15" spans="1:5" x14ac:dyDescent="0.2">
      <c r="A15" s="4" t="s">
        <v>102</v>
      </c>
      <c r="B15" s="2"/>
      <c r="C15" s="2"/>
      <c r="D15" s="2"/>
    </row>
    <row r="16" spans="1:5" x14ac:dyDescent="0.2">
      <c r="A16" s="4" t="s">
        <v>103</v>
      </c>
      <c r="B16" s="2"/>
      <c r="C16" s="2"/>
      <c r="D16" s="2"/>
    </row>
    <row r="17" spans="1:4" x14ac:dyDescent="0.2">
      <c r="A17" s="4" t="s">
        <v>104</v>
      </c>
      <c r="B17" s="2"/>
      <c r="C17" s="2"/>
      <c r="D17" s="2"/>
    </row>
    <row r="18" spans="1:4" x14ac:dyDescent="0.2">
      <c r="A18" s="2" t="s">
        <v>598</v>
      </c>
      <c r="B18" s="2"/>
      <c r="C18" s="2"/>
      <c r="D18" s="10">
        <v>12.411799999999999</v>
      </c>
    </row>
    <row r="19" spans="1:4" x14ac:dyDescent="0.2">
      <c r="A19" s="2" t="s">
        <v>599</v>
      </c>
      <c r="B19" s="2"/>
      <c r="C19" s="2"/>
      <c r="D19" s="10">
        <v>12.411799999999999</v>
      </c>
    </row>
    <row r="20" spans="1:4" x14ac:dyDescent="0.2">
      <c r="A20" s="2" t="s">
        <v>600</v>
      </c>
      <c r="B20" s="2"/>
      <c r="C20" s="2"/>
      <c r="D20" s="10">
        <v>13.264099999999999</v>
      </c>
    </row>
    <row r="21" spans="1:4" x14ac:dyDescent="0.2">
      <c r="A21" s="2" t="s">
        <v>601</v>
      </c>
      <c r="B21" s="2"/>
      <c r="C21" s="2"/>
      <c r="D21" s="10">
        <v>13.264099999999999</v>
      </c>
    </row>
    <row r="22" spans="1:4" x14ac:dyDescent="0.2">
      <c r="A22" s="2"/>
      <c r="B22" s="2"/>
      <c r="C22" s="2"/>
      <c r="D22" s="10"/>
    </row>
    <row r="23" spans="1:4" x14ac:dyDescent="0.2">
      <c r="A23" s="4" t="s">
        <v>105</v>
      </c>
      <c r="B23" s="2"/>
      <c r="C23" s="2"/>
      <c r="D23" s="2"/>
    </row>
    <row r="24" spans="1:4" x14ac:dyDescent="0.2">
      <c r="A24" s="2" t="s">
        <v>598</v>
      </c>
      <c r="B24" s="2"/>
      <c r="C24" s="2"/>
      <c r="D24" s="10">
        <v>13.050599999999999</v>
      </c>
    </row>
    <row r="25" spans="1:4" x14ac:dyDescent="0.2">
      <c r="A25" s="2" t="s">
        <v>599</v>
      </c>
      <c r="B25" s="2"/>
      <c r="C25" s="2"/>
      <c r="D25" s="10">
        <v>13.050599999999999</v>
      </c>
    </row>
    <row r="26" spans="1:4" x14ac:dyDescent="0.2">
      <c r="A26" s="2" t="s">
        <v>600</v>
      </c>
      <c r="B26" s="2"/>
      <c r="C26" s="2"/>
      <c r="D26" s="10">
        <v>13.9907</v>
      </c>
    </row>
    <row r="27" spans="1:4" x14ac:dyDescent="0.2">
      <c r="A27" s="2" t="s">
        <v>601</v>
      </c>
      <c r="B27" s="2"/>
      <c r="C27" s="2"/>
      <c r="D27" s="10">
        <v>13.9907</v>
      </c>
    </row>
    <row r="28" spans="1:4" x14ac:dyDescent="0.2">
      <c r="A28" s="2"/>
      <c r="B28" s="2"/>
      <c r="C28" s="2"/>
      <c r="D28" s="2"/>
    </row>
    <row r="29" spans="1:4" x14ac:dyDescent="0.2">
      <c r="A29" s="4" t="s">
        <v>106</v>
      </c>
      <c r="B29" s="2"/>
      <c r="C29" s="2"/>
      <c r="D29" s="17" t="s">
        <v>107</v>
      </c>
    </row>
    <row r="30" spans="1:4" x14ac:dyDescent="0.2">
      <c r="A30" s="4"/>
      <c r="B30" s="2"/>
      <c r="C30" s="2"/>
      <c r="D30" s="17"/>
    </row>
    <row r="31" spans="1:4" x14ac:dyDescent="0.2">
      <c r="A31" s="9" t="s">
        <v>606</v>
      </c>
      <c r="B31" s="2"/>
      <c r="C31" s="2"/>
      <c r="D31" s="24">
        <v>0.55459441209527549</v>
      </c>
    </row>
  </sheetData>
  <mergeCells count="1">
    <mergeCell ref="A1:E1"/>
  </mergeCells>
  <pageMargins left="0.7" right="0.7" top="0.75" bottom="0.75" header="0.3" footer="0.3"/>
  <ignoredErrors>
    <ignoredError sqref="E1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D9A3-7218-4F9C-A677-7188C08787BE}">
  <dimension ref="A1:E35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40" style="1" bestFit="1" customWidth="1"/>
    <col min="3" max="3" width="14.5703125" style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9" t="s">
        <v>403</v>
      </c>
      <c r="B1" s="109"/>
      <c r="C1" s="109"/>
      <c r="D1" s="109"/>
      <c r="E1" s="109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669</v>
      </c>
      <c r="B5" s="7"/>
      <c r="C5" s="7"/>
      <c r="D5" s="7"/>
      <c r="E5" s="7"/>
    </row>
    <row r="6" spans="1:5" x14ac:dyDescent="0.2">
      <c r="A6" s="30" t="s">
        <v>402</v>
      </c>
      <c r="B6" s="7" t="s">
        <v>670</v>
      </c>
      <c r="C6" s="14">
        <v>6281065.6900000004</v>
      </c>
      <c r="D6" s="13">
        <v>2321.2620402000002</v>
      </c>
      <c r="E6" s="13">
        <v>79.036751603524095</v>
      </c>
    </row>
    <row r="7" spans="1:5" x14ac:dyDescent="0.2">
      <c r="A7" s="30" t="s">
        <v>393</v>
      </c>
      <c r="B7" s="7" t="s">
        <v>667</v>
      </c>
      <c r="C7" s="14">
        <v>93620.19</v>
      </c>
      <c r="D7" s="13">
        <v>455.60678849999999</v>
      </c>
      <c r="E7" s="13">
        <v>15.512975247056223</v>
      </c>
    </row>
    <row r="8" spans="1:5" x14ac:dyDescent="0.2">
      <c r="A8" s="30" t="s">
        <v>394</v>
      </c>
      <c r="B8" s="7" t="s">
        <v>671</v>
      </c>
      <c r="C8" s="14">
        <v>60919.09</v>
      </c>
      <c r="D8" s="13">
        <v>154.2370817</v>
      </c>
      <c r="E8" s="13">
        <v>5.2516250657013392</v>
      </c>
    </row>
    <row r="9" spans="1:5" x14ac:dyDescent="0.2">
      <c r="A9" s="6" t="s">
        <v>43</v>
      </c>
      <c r="B9" s="7"/>
      <c r="C9" s="7"/>
      <c r="D9" s="15">
        <f>SUM(D6:D8)</f>
        <v>2931.1059104000005</v>
      </c>
      <c r="E9" s="6">
        <f>SUM(E6:E8)</f>
        <v>99.801351916281646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6" t="s">
        <v>100</v>
      </c>
      <c r="B11" s="7"/>
      <c r="C11" s="7"/>
      <c r="D11" s="6">
        <v>5.8286452000000004</v>
      </c>
      <c r="E11" s="6">
        <v>0.2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8" t="s">
        <v>101</v>
      </c>
      <c r="B13" s="5"/>
      <c r="C13" s="5"/>
      <c r="D13" s="16">
        <v>2936.9400856000007</v>
      </c>
      <c r="E13" s="16">
        <f>E9+E11</f>
        <v>100.00135191628165</v>
      </c>
    </row>
    <row r="15" spans="1:5" x14ac:dyDescent="0.2">
      <c r="A15" s="4" t="s">
        <v>102</v>
      </c>
      <c r="B15" s="2"/>
      <c r="C15" s="2"/>
      <c r="D15" s="2"/>
    </row>
    <row r="16" spans="1:5" x14ac:dyDescent="0.2">
      <c r="A16" s="4" t="s">
        <v>103</v>
      </c>
      <c r="B16" s="2"/>
      <c r="C16" s="2"/>
      <c r="D16" s="2"/>
    </row>
    <row r="17" spans="1:4" x14ac:dyDescent="0.2">
      <c r="A17" s="4" t="s">
        <v>104</v>
      </c>
      <c r="B17" s="2"/>
      <c r="C17" s="2"/>
      <c r="D17" s="2"/>
    </row>
    <row r="18" spans="1:4" x14ac:dyDescent="0.2">
      <c r="A18" s="2" t="s">
        <v>598</v>
      </c>
      <c r="B18" s="2"/>
      <c r="C18" s="2"/>
      <c r="D18" s="10">
        <v>37.805599999999998</v>
      </c>
    </row>
    <row r="19" spans="1:4" x14ac:dyDescent="0.2">
      <c r="A19" s="2" t="s">
        <v>599</v>
      </c>
      <c r="B19" s="2"/>
      <c r="C19" s="2"/>
      <c r="D19" s="10">
        <v>14.2865</v>
      </c>
    </row>
    <row r="20" spans="1:4" x14ac:dyDescent="0.2">
      <c r="A20" s="2" t="s">
        <v>600</v>
      </c>
      <c r="B20" s="2"/>
      <c r="C20" s="2"/>
      <c r="D20" s="10">
        <v>38.7896</v>
      </c>
    </row>
    <row r="21" spans="1:4" x14ac:dyDescent="0.2">
      <c r="A21" s="2" t="s">
        <v>601</v>
      </c>
      <c r="B21" s="2"/>
      <c r="C21" s="2"/>
      <c r="D21" s="10">
        <v>14.6755</v>
      </c>
    </row>
    <row r="22" spans="1:4" x14ac:dyDescent="0.2">
      <c r="A22" s="2"/>
      <c r="B22" s="2"/>
      <c r="C22" s="2"/>
      <c r="D22" s="10"/>
    </row>
    <row r="23" spans="1:4" x14ac:dyDescent="0.2">
      <c r="A23" s="4" t="s">
        <v>105</v>
      </c>
      <c r="B23" s="2"/>
      <c r="C23" s="2"/>
      <c r="D23" s="2"/>
    </row>
    <row r="24" spans="1:4" x14ac:dyDescent="0.2">
      <c r="A24" s="2" t="s">
        <v>598</v>
      </c>
      <c r="B24" s="2"/>
      <c r="C24" s="2"/>
      <c r="D24" s="10">
        <v>38.913499999999999</v>
      </c>
    </row>
    <row r="25" spans="1:4" x14ac:dyDescent="0.2">
      <c r="A25" s="2" t="s">
        <v>599</v>
      </c>
      <c r="B25" s="2"/>
      <c r="C25" s="2"/>
      <c r="D25" s="10">
        <v>14.145899999999999</v>
      </c>
    </row>
    <row r="26" spans="1:4" x14ac:dyDescent="0.2">
      <c r="A26" s="2" t="s">
        <v>600</v>
      </c>
      <c r="B26" s="2"/>
      <c r="C26" s="2"/>
      <c r="D26" s="10">
        <v>40.003700000000002</v>
      </c>
    </row>
    <row r="27" spans="1:4" x14ac:dyDescent="0.2">
      <c r="A27" s="2" t="s">
        <v>601</v>
      </c>
      <c r="B27" s="2"/>
      <c r="C27" s="2"/>
      <c r="D27" s="10">
        <v>14.571099999999999</v>
      </c>
    </row>
    <row r="28" spans="1:4" x14ac:dyDescent="0.2">
      <c r="A28" s="2"/>
      <c r="B28" s="2"/>
      <c r="C28" s="2"/>
      <c r="D28" s="2"/>
    </row>
    <row r="29" spans="1:4" x14ac:dyDescent="0.2">
      <c r="A29" s="4" t="s">
        <v>106</v>
      </c>
      <c r="B29" s="2"/>
      <c r="C29" s="2"/>
      <c r="D29" s="17" t="s">
        <v>319</v>
      </c>
    </row>
    <row r="30" spans="1:4" x14ac:dyDescent="0.2">
      <c r="A30" s="18" t="s">
        <v>602</v>
      </c>
      <c r="B30" s="19"/>
      <c r="C30" s="110" t="s">
        <v>603</v>
      </c>
      <c r="D30" s="111"/>
    </row>
    <row r="31" spans="1:4" x14ac:dyDescent="0.2">
      <c r="A31" s="112"/>
      <c r="B31" s="113"/>
      <c r="C31" s="20" t="s">
        <v>604</v>
      </c>
      <c r="D31" s="20" t="s">
        <v>605</v>
      </c>
    </row>
    <row r="32" spans="1:4" x14ac:dyDescent="0.2">
      <c r="A32" s="21" t="s">
        <v>599</v>
      </c>
      <c r="B32" s="22"/>
      <c r="C32" s="23">
        <v>0.396177485</v>
      </c>
      <c r="D32" s="23">
        <v>0.36686232560000004</v>
      </c>
    </row>
    <row r="33" spans="1:4" x14ac:dyDescent="0.2">
      <c r="A33" s="21" t="s">
        <v>601</v>
      </c>
      <c r="B33" s="22"/>
      <c r="C33" s="23">
        <v>0.396177485</v>
      </c>
      <c r="D33" s="23">
        <v>0.36686232560000004</v>
      </c>
    </row>
    <row r="34" spans="1:4" x14ac:dyDescent="0.2">
      <c r="A34" s="4"/>
      <c r="B34" s="2"/>
      <c r="C34" s="2"/>
      <c r="D34" s="17"/>
    </row>
    <row r="35" spans="1:4" x14ac:dyDescent="0.2">
      <c r="A35" s="9" t="s">
        <v>606</v>
      </c>
      <c r="B35" s="2"/>
      <c r="C35" s="2"/>
      <c r="D35" s="24">
        <v>6.9006716951923203E-2</v>
      </c>
    </row>
  </sheetData>
  <mergeCells count="3">
    <mergeCell ref="A1:E1"/>
    <mergeCell ref="C30:D30"/>
    <mergeCell ref="A31:B3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D679-E31F-40AD-B913-F6D8F9C80F72}">
  <dimension ref="A1:E37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43.140625" style="1" bestFit="1" customWidth="1"/>
    <col min="3" max="3" width="12.140625" style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9" t="s">
        <v>401</v>
      </c>
      <c r="B1" s="109"/>
      <c r="C1" s="109"/>
      <c r="D1" s="109"/>
      <c r="E1" s="109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669</v>
      </c>
      <c r="B5" s="7"/>
      <c r="C5" s="7"/>
      <c r="D5" s="7"/>
      <c r="E5" s="7"/>
    </row>
    <row r="6" spans="1:5" x14ac:dyDescent="0.2">
      <c r="A6" s="7" t="s">
        <v>397</v>
      </c>
      <c r="B6" s="7" t="s">
        <v>672</v>
      </c>
      <c r="C6" s="14">
        <v>411267.72</v>
      </c>
      <c r="D6" s="26">
        <v>298.99903239999998</v>
      </c>
      <c r="E6" s="13">
        <v>49.357286370084111</v>
      </c>
    </row>
    <row r="7" spans="1:5" x14ac:dyDescent="0.2">
      <c r="A7" s="7" t="s">
        <v>396</v>
      </c>
      <c r="B7" s="7" t="s">
        <v>673</v>
      </c>
      <c r="C7" s="14">
        <v>246795.17</v>
      </c>
      <c r="D7" s="26">
        <v>180.46329249999999</v>
      </c>
      <c r="E7" s="13">
        <v>29.7899907424943</v>
      </c>
    </row>
    <row r="8" spans="1:5" x14ac:dyDescent="0.2">
      <c r="A8" s="7" t="s">
        <v>394</v>
      </c>
      <c r="B8" s="7" t="s">
        <v>671</v>
      </c>
      <c r="C8" s="14">
        <v>25058.720000000001</v>
      </c>
      <c r="D8" s="26">
        <v>63.444549400000007</v>
      </c>
      <c r="E8" s="13">
        <v>10.473113468700136</v>
      </c>
    </row>
    <row r="9" spans="1:5" x14ac:dyDescent="0.2">
      <c r="A9" s="7" t="s">
        <v>393</v>
      </c>
      <c r="B9" s="7" t="s">
        <v>667</v>
      </c>
      <c r="C9" s="14">
        <v>12843.19</v>
      </c>
      <c r="D9" s="26">
        <v>62.501944400000006</v>
      </c>
      <c r="E9" s="13">
        <v>10.317512881817189</v>
      </c>
    </row>
    <row r="10" spans="1:5" x14ac:dyDescent="0.2">
      <c r="A10" s="6" t="s">
        <v>43</v>
      </c>
      <c r="B10" s="7"/>
      <c r="C10" s="7"/>
      <c r="D10" s="6">
        <v>605.40881869999998</v>
      </c>
      <c r="E10" s="6">
        <v>99.937903463095736</v>
      </c>
    </row>
    <row r="11" spans="1:5" x14ac:dyDescent="0.2">
      <c r="A11" s="7"/>
      <c r="B11" s="7"/>
      <c r="C11" s="7"/>
      <c r="D11" s="7"/>
      <c r="E11" s="7"/>
    </row>
    <row r="12" spans="1:5" x14ac:dyDescent="0.2">
      <c r="A12" s="6" t="s">
        <v>100</v>
      </c>
      <c r="B12" s="7"/>
      <c r="C12" s="7"/>
      <c r="D12" s="15">
        <v>0.37617149999999966</v>
      </c>
      <c r="E12" s="6">
        <v>6.2096536904258155E-2</v>
      </c>
    </row>
    <row r="13" spans="1:5" x14ac:dyDescent="0.2">
      <c r="A13" s="7"/>
      <c r="B13" s="7"/>
      <c r="C13" s="7"/>
      <c r="D13" s="7"/>
      <c r="E13" s="7"/>
    </row>
    <row r="14" spans="1:5" x14ac:dyDescent="0.2">
      <c r="A14" s="8" t="s">
        <v>101</v>
      </c>
      <c r="B14" s="5"/>
      <c r="C14" s="5"/>
      <c r="D14" s="8">
        <v>605.78499020000004</v>
      </c>
      <c r="E14" s="8">
        <f xml:space="preserve"> ROUND(SUM(E10:E13),2)</f>
        <v>100</v>
      </c>
    </row>
    <row r="16" spans="1:5" x14ac:dyDescent="0.2">
      <c r="A16" s="4" t="s">
        <v>102</v>
      </c>
      <c r="B16" s="2"/>
      <c r="C16" s="2"/>
      <c r="D16" s="2"/>
    </row>
    <row r="17" spans="1:4" x14ac:dyDescent="0.2">
      <c r="A17" s="4" t="s">
        <v>103</v>
      </c>
      <c r="B17" s="2"/>
      <c r="C17" s="2"/>
      <c r="D17" s="2"/>
    </row>
    <row r="18" spans="1:4" x14ac:dyDescent="0.2">
      <c r="A18" s="4" t="s">
        <v>104</v>
      </c>
      <c r="B18" s="2"/>
      <c r="C18" s="2"/>
      <c r="D18" s="2"/>
    </row>
    <row r="19" spans="1:4" x14ac:dyDescent="0.2">
      <c r="A19" s="2" t="s">
        <v>598</v>
      </c>
      <c r="B19" s="2"/>
      <c r="C19" s="2"/>
      <c r="D19" s="10">
        <v>35.902500000000003</v>
      </c>
    </row>
    <row r="20" spans="1:4" x14ac:dyDescent="0.2">
      <c r="A20" s="2" t="s">
        <v>599</v>
      </c>
      <c r="B20" s="2"/>
      <c r="C20" s="2"/>
      <c r="D20" s="10">
        <v>13.391400000000001</v>
      </c>
    </row>
    <row r="21" spans="1:4" x14ac:dyDescent="0.2">
      <c r="A21" s="2" t="s">
        <v>600</v>
      </c>
      <c r="B21" s="2"/>
      <c r="C21" s="2"/>
      <c r="D21" s="10">
        <v>37.496000000000002</v>
      </c>
    </row>
    <row r="22" spans="1:4" x14ac:dyDescent="0.2">
      <c r="A22" s="2" t="s">
        <v>601</v>
      </c>
      <c r="B22" s="2"/>
      <c r="C22" s="2"/>
      <c r="D22" s="10">
        <v>13.975300000000001</v>
      </c>
    </row>
    <row r="23" spans="1:4" x14ac:dyDescent="0.2">
      <c r="A23" s="2"/>
      <c r="B23" s="2"/>
      <c r="C23" s="2"/>
      <c r="D23" s="10"/>
    </row>
    <row r="24" spans="1:4" x14ac:dyDescent="0.2">
      <c r="A24" s="4" t="s">
        <v>105</v>
      </c>
      <c r="B24" s="2"/>
      <c r="C24" s="2"/>
      <c r="D24" s="2"/>
    </row>
    <row r="25" spans="1:4" x14ac:dyDescent="0.2">
      <c r="A25" s="2" t="s">
        <v>598</v>
      </c>
      <c r="B25" s="2"/>
      <c r="C25" s="2"/>
      <c r="D25" s="10">
        <v>36.715499999999999</v>
      </c>
    </row>
    <row r="26" spans="1:4" x14ac:dyDescent="0.2">
      <c r="A26" s="2" t="s">
        <v>599</v>
      </c>
      <c r="B26" s="2"/>
      <c r="C26" s="2"/>
      <c r="D26" s="10">
        <v>13.137700000000001</v>
      </c>
    </row>
    <row r="27" spans="1:4" x14ac:dyDescent="0.2">
      <c r="A27" s="2" t="s">
        <v>600</v>
      </c>
      <c r="B27" s="2"/>
      <c r="C27" s="2"/>
      <c r="D27" s="10">
        <v>38.463299999999997</v>
      </c>
    </row>
    <row r="28" spans="1:4" x14ac:dyDescent="0.2">
      <c r="A28" s="2" t="s">
        <v>601</v>
      </c>
      <c r="B28" s="2"/>
      <c r="C28" s="2"/>
      <c r="D28" s="10">
        <v>13.7681</v>
      </c>
    </row>
    <row r="29" spans="1:4" x14ac:dyDescent="0.2">
      <c r="A29" s="2"/>
      <c r="B29" s="2"/>
      <c r="C29" s="2"/>
      <c r="D29" s="2"/>
    </row>
    <row r="30" spans="1:4" x14ac:dyDescent="0.2">
      <c r="A30" s="4" t="s">
        <v>106</v>
      </c>
      <c r="B30" s="2"/>
      <c r="C30" s="2"/>
      <c r="D30" s="17" t="s">
        <v>319</v>
      </c>
    </row>
    <row r="31" spans="1:4" x14ac:dyDescent="0.2">
      <c r="A31" s="18" t="s">
        <v>602</v>
      </c>
      <c r="B31" s="19"/>
      <c r="C31" s="110" t="s">
        <v>603</v>
      </c>
      <c r="D31" s="111"/>
    </row>
    <row r="32" spans="1:4" x14ac:dyDescent="0.2">
      <c r="A32" s="112"/>
      <c r="B32" s="113"/>
      <c r="C32" s="20" t="s">
        <v>604</v>
      </c>
      <c r="D32" s="20" t="s">
        <v>605</v>
      </c>
    </row>
    <row r="33" spans="1:4" x14ac:dyDescent="0.2">
      <c r="A33" s="21" t="s">
        <v>599</v>
      </c>
      <c r="B33" s="22"/>
      <c r="C33" s="23">
        <v>0.396177485</v>
      </c>
      <c r="D33" s="23">
        <v>0.36686232560000004</v>
      </c>
    </row>
    <row r="34" spans="1:4" x14ac:dyDescent="0.2">
      <c r="A34" s="21" t="s">
        <v>601</v>
      </c>
      <c r="B34" s="22"/>
      <c r="C34" s="23">
        <v>0.396177485</v>
      </c>
      <c r="D34" s="23">
        <v>0.36686232560000004</v>
      </c>
    </row>
    <row r="35" spans="1:4" x14ac:dyDescent="0.2">
      <c r="A35" s="4"/>
      <c r="B35" s="2"/>
      <c r="C35" s="2"/>
      <c r="D35" s="17"/>
    </row>
    <row r="36" spans="1:4" x14ac:dyDescent="0.2">
      <c r="A36" s="9" t="s">
        <v>606</v>
      </c>
      <c r="B36" s="2"/>
      <c r="C36" s="2"/>
      <c r="D36" s="24">
        <v>4.5040219426827996E-2</v>
      </c>
    </row>
    <row r="37" spans="1:4" x14ac:dyDescent="0.2">
      <c r="A37" s="2"/>
      <c r="B37" s="2"/>
      <c r="C37" s="2"/>
      <c r="D37" s="2"/>
    </row>
  </sheetData>
  <mergeCells count="3">
    <mergeCell ref="A1:E1"/>
    <mergeCell ref="C31:D31"/>
    <mergeCell ref="A32:B32"/>
  </mergeCells>
  <pageMargins left="0.7" right="0.7" top="0.75" bottom="0.75" header="0.3" footer="0.3"/>
  <ignoredErrors>
    <ignoredError sqref="E14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3444-E662-4AF7-BDD3-3606F4CA46B4}">
  <dimension ref="A1:E33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43.140625" style="1" bestFit="1" customWidth="1"/>
    <col min="3" max="3" width="9.570312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9" t="s">
        <v>400</v>
      </c>
      <c r="B1" s="109"/>
      <c r="C1" s="109"/>
      <c r="D1" s="109"/>
      <c r="E1" s="109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669</v>
      </c>
      <c r="B5" s="7"/>
      <c r="C5" s="7"/>
      <c r="D5" s="7"/>
      <c r="E5" s="7"/>
    </row>
    <row r="6" spans="1:5" x14ac:dyDescent="0.2">
      <c r="A6" s="7" t="s">
        <v>397</v>
      </c>
      <c r="B6" s="7" t="s">
        <v>672</v>
      </c>
      <c r="C6" s="14">
        <v>629722.53</v>
      </c>
      <c r="D6" s="13">
        <v>457.8196107</v>
      </c>
      <c r="E6" s="13">
        <v>34.295771457492087</v>
      </c>
    </row>
    <row r="7" spans="1:5" x14ac:dyDescent="0.2">
      <c r="A7" s="7" t="s">
        <v>396</v>
      </c>
      <c r="B7" s="7" t="s">
        <v>673</v>
      </c>
      <c r="C7" s="14">
        <v>540735.32999999996</v>
      </c>
      <c r="D7" s="13">
        <v>395.40026950000004</v>
      </c>
      <c r="E7" s="13">
        <v>29.619869835346002</v>
      </c>
    </row>
    <row r="8" spans="1:5" x14ac:dyDescent="0.2">
      <c r="A8" s="7" t="s">
        <v>393</v>
      </c>
      <c r="B8" s="7" t="s">
        <v>667</v>
      </c>
      <c r="C8" s="14">
        <v>56277.58</v>
      </c>
      <c r="D8" s="13">
        <v>273.87732899999997</v>
      </c>
      <c r="E8" s="13">
        <v>20.516452470026024</v>
      </c>
    </row>
    <row r="9" spans="1:5" x14ac:dyDescent="0.2">
      <c r="A9" s="7" t="s">
        <v>395</v>
      </c>
      <c r="B9" s="7" t="s">
        <v>674</v>
      </c>
      <c r="C9" s="14">
        <v>13240.14</v>
      </c>
      <c r="D9" s="13">
        <v>136.22875529999999</v>
      </c>
      <c r="E9" s="13">
        <v>10.205046154671882</v>
      </c>
    </row>
    <row r="10" spans="1:5" x14ac:dyDescent="0.2">
      <c r="A10" s="7" t="s">
        <v>394</v>
      </c>
      <c r="B10" s="7" t="s">
        <v>671</v>
      </c>
      <c r="C10" s="14">
        <v>27450.9</v>
      </c>
      <c r="D10" s="13">
        <v>69.501154499999998</v>
      </c>
      <c r="E10" s="13">
        <v>5.2064080591029338</v>
      </c>
    </row>
    <row r="11" spans="1:5" x14ac:dyDescent="0.2">
      <c r="A11" s="6" t="s">
        <v>43</v>
      </c>
      <c r="B11" s="7"/>
      <c r="C11" s="7"/>
      <c r="D11" s="15">
        <f>SUM(D6:D10)</f>
        <v>1332.8271189999998</v>
      </c>
      <c r="E11" s="6">
        <f>SUM(E6:E10)</f>
        <v>99.843547976638916</v>
      </c>
    </row>
    <row r="12" spans="1:5" x14ac:dyDescent="0.2">
      <c r="A12" s="7"/>
      <c r="B12" s="7"/>
      <c r="C12" s="7"/>
      <c r="D12" s="13"/>
      <c r="E12" s="7"/>
    </row>
    <row r="13" spans="1:5" x14ac:dyDescent="0.2">
      <c r="A13" s="6" t="s">
        <v>100</v>
      </c>
      <c r="B13" s="7"/>
      <c r="C13" s="7"/>
      <c r="D13" s="15">
        <v>2.0884125</v>
      </c>
      <c r="E13" s="6">
        <v>0.16</v>
      </c>
    </row>
    <row r="14" spans="1:5" x14ac:dyDescent="0.2">
      <c r="A14" s="7"/>
      <c r="B14" s="7"/>
      <c r="C14" s="7"/>
      <c r="D14" s="13"/>
      <c r="E14" s="7"/>
    </row>
    <row r="15" spans="1:5" x14ac:dyDescent="0.2">
      <c r="A15" s="8" t="s">
        <v>101</v>
      </c>
      <c r="B15" s="5"/>
      <c r="C15" s="5"/>
      <c r="D15" s="16">
        <v>1334.9155314999998</v>
      </c>
      <c r="E15" s="8">
        <f xml:space="preserve"> ROUND(SUM(E11:E14),2)</f>
        <v>100</v>
      </c>
    </row>
    <row r="17" spans="1:4" x14ac:dyDescent="0.2">
      <c r="A17" s="4" t="s">
        <v>102</v>
      </c>
      <c r="B17" s="2"/>
      <c r="C17" s="2"/>
      <c r="D17" s="2"/>
    </row>
    <row r="18" spans="1:4" x14ac:dyDescent="0.2">
      <c r="A18" s="4" t="s">
        <v>103</v>
      </c>
      <c r="B18" s="2"/>
      <c r="C18" s="2"/>
      <c r="D18" s="2"/>
    </row>
    <row r="19" spans="1:4" x14ac:dyDescent="0.2">
      <c r="A19" s="4" t="s">
        <v>104</v>
      </c>
      <c r="B19" s="2"/>
      <c r="C19" s="2"/>
      <c r="D19" s="2"/>
    </row>
    <row r="20" spans="1:4" x14ac:dyDescent="0.2">
      <c r="A20" s="2" t="s">
        <v>598</v>
      </c>
      <c r="B20" s="2"/>
      <c r="C20" s="2"/>
      <c r="D20" s="10">
        <v>48.078699999999998</v>
      </c>
    </row>
    <row r="21" spans="1:4" x14ac:dyDescent="0.2">
      <c r="A21" s="2" t="s">
        <v>599</v>
      </c>
      <c r="B21" s="2"/>
      <c r="C21" s="2"/>
      <c r="D21" s="10">
        <v>14.956099999999999</v>
      </c>
    </row>
    <row r="22" spans="1:4" x14ac:dyDescent="0.2">
      <c r="A22" s="2" t="s">
        <v>600</v>
      </c>
      <c r="B22" s="2"/>
      <c r="C22" s="2"/>
      <c r="D22" s="10">
        <v>50.177500000000002</v>
      </c>
    </row>
    <row r="23" spans="1:4" x14ac:dyDescent="0.2">
      <c r="A23" s="2" t="s">
        <v>601</v>
      </c>
      <c r="B23" s="2"/>
      <c r="C23" s="2"/>
      <c r="D23" s="10">
        <v>15.5116</v>
      </c>
    </row>
    <row r="24" spans="1:4" x14ac:dyDescent="0.2">
      <c r="A24" s="2"/>
      <c r="B24" s="2"/>
      <c r="C24" s="2"/>
      <c r="D24" s="10"/>
    </row>
    <row r="25" spans="1:4" x14ac:dyDescent="0.2">
      <c r="A25" s="4" t="s">
        <v>105</v>
      </c>
      <c r="B25" s="2"/>
      <c r="C25" s="2"/>
      <c r="D25" s="2"/>
    </row>
    <row r="26" spans="1:4" x14ac:dyDescent="0.2">
      <c r="A26" s="2" t="s">
        <v>598</v>
      </c>
      <c r="B26" s="2"/>
      <c r="C26" s="2"/>
      <c r="D26" s="10">
        <v>49.028300000000002</v>
      </c>
    </row>
    <row r="27" spans="1:4" x14ac:dyDescent="0.2">
      <c r="A27" s="2" t="s">
        <v>599</v>
      </c>
      <c r="B27" s="2"/>
      <c r="C27" s="2"/>
      <c r="D27" s="10">
        <v>15.2515</v>
      </c>
    </row>
    <row r="28" spans="1:4" x14ac:dyDescent="0.2">
      <c r="A28" s="2" t="s">
        <v>600</v>
      </c>
      <c r="B28" s="2"/>
      <c r="C28" s="2"/>
      <c r="D28" s="10">
        <v>51.313800000000001</v>
      </c>
    </row>
    <row r="29" spans="1:4" x14ac:dyDescent="0.2">
      <c r="A29" s="2" t="s">
        <v>601</v>
      </c>
      <c r="B29" s="2"/>
      <c r="C29" s="2"/>
      <c r="D29" s="10">
        <v>15.8543</v>
      </c>
    </row>
    <row r="30" spans="1:4" x14ac:dyDescent="0.2">
      <c r="A30" s="2"/>
      <c r="B30" s="2"/>
      <c r="C30" s="2"/>
      <c r="D30" s="2"/>
    </row>
    <row r="31" spans="1:4" x14ac:dyDescent="0.2">
      <c r="A31" s="4" t="s">
        <v>106</v>
      </c>
      <c r="B31" s="2"/>
      <c r="C31" s="2"/>
      <c r="D31" s="17" t="s">
        <v>107</v>
      </c>
    </row>
    <row r="32" spans="1:4" x14ac:dyDescent="0.2">
      <c r="A32" s="4"/>
      <c r="B32" s="2"/>
      <c r="C32" s="2"/>
      <c r="D32" s="17"/>
    </row>
    <row r="33" spans="1:4" x14ac:dyDescent="0.2">
      <c r="A33" s="9" t="s">
        <v>606</v>
      </c>
      <c r="B33" s="2"/>
      <c r="C33" s="2"/>
      <c r="D33" s="24">
        <v>5.8460235439522001E-2</v>
      </c>
    </row>
  </sheetData>
  <mergeCells count="1">
    <mergeCell ref="A1:E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D578-C870-46F4-AEEF-753E7CECFD5F}">
  <dimension ref="A1:E36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43.140625" style="1" bestFit="1" customWidth="1"/>
    <col min="3" max="3" width="9.570312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9" t="s">
        <v>399</v>
      </c>
      <c r="B1" s="109"/>
      <c r="C1" s="109"/>
      <c r="D1" s="109"/>
      <c r="E1" s="109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669</v>
      </c>
      <c r="B5" s="7"/>
      <c r="C5" s="7"/>
      <c r="D5" s="7"/>
      <c r="E5" s="7"/>
    </row>
    <row r="6" spans="1:5" x14ac:dyDescent="0.2">
      <c r="A6" s="52" t="s">
        <v>393</v>
      </c>
      <c r="B6" s="7" t="s">
        <v>667</v>
      </c>
      <c r="C6" s="14">
        <v>42862.37</v>
      </c>
      <c r="D6" s="26">
        <v>208.59162409999999</v>
      </c>
      <c r="E6" s="13">
        <v>35.528896440282033</v>
      </c>
    </row>
    <row r="7" spans="1:5" x14ac:dyDescent="0.2">
      <c r="A7" s="52" t="s">
        <v>397</v>
      </c>
      <c r="B7" s="7" t="s">
        <v>672</v>
      </c>
      <c r="C7" s="14">
        <v>195780.91</v>
      </c>
      <c r="D7" s="26">
        <v>142.3362449</v>
      </c>
      <c r="E7" s="13">
        <v>24.24378124754589</v>
      </c>
    </row>
    <row r="8" spans="1:5" x14ac:dyDescent="0.2">
      <c r="A8" s="52" t="s">
        <v>396</v>
      </c>
      <c r="B8" s="7" t="s">
        <v>673</v>
      </c>
      <c r="C8" s="14">
        <v>156798.22</v>
      </c>
      <c r="D8" s="26">
        <v>114.6550927</v>
      </c>
      <c r="E8" s="13">
        <v>19.528918922153579</v>
      </c>
    </row>
    <row r="9" spans="1:5" x14ac:dyDescent="0.2">
      <c r="A9" s="52" t="s">
        <v>394</v>
      </c>
      <c r="B9" s="49" t="s">
        <v>671</v>
      </c>
      <c r="C9" s="14">
        <v>23897.78</v>
      </c>
      <c r="D9" s="26">
        <v>60.505240899999997</v>
      </c>
      <c r="E9" s="13">
        <v>10.305708329879277</v>
      </c>
    </row>
    <row r="10" spans="1:5" x14ac:dyDescent="0.2">
      <c r="A10" s="52" t="s">
        <v>395</v>
      </c>
      <c r="B10" s="49" t="s">
        <v>674</v>
      </c>
      <c r="C10" s="14">
        <v>5763.04</v>
      </c>
      <c r="D10" s="26">
        <v>59.296325700000004</v>
      </c>
      <c r="E10" s="13">
        <v>10.09979678797915</v>
      </c>
    </row>
    <row r="11" spans="1:5" x14ac:dyDescent="0.2">
      <c r="A11" s="6" t="s">
        <v>43</v>
      </c>
      <c r="B11" s="49"/>
      <c r="C11" s="7"/>
      <c r="D11" s="6">
        <v>585.38452830000006</v>
      </c>
      <c r="E11" s="6">
        <v>99.707101727839913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6" t="s">
        <v>100</v>
      </c>
      <c r="B13" s="7"/>
      <c r="C13" s="7"/>
      <c r="D13" s="6">
        <v>1.7196179</v>
      </c>
      <c r="E13" s="6">
        <v>0.28999999999999998</v>
      </c>
    </row>
    <row r="14" spans="1:5" x14ac:dyDescent="0.2">
      <c r="A14" s="7"/>
      <c r="B14" s="7"/>
      <c r="C14" s="7"/>
      <c r="D14" s="7"/>
      <c r="E14" s="7"/>
    </row>
    <row r="15" spans="1:5" x14ac:dyDescent="0.2">
      <c r="A15" s="8" t="s">
        <v>101</v>
      </c>
      <c r="B15" s="5"/>
      <c r="C15" s="5"/>
      <c r="D15" s="8">
        <v>587.10414620000006</v>
      </c>
      <c r="E15" s="8">
        <f xml:space="preserve"> ROUND(SUM(E11:E14),2)</f>
        <v>100</v>
      </c>
    </row>
    <row r="17" spans="1:4" x14ac:dyDescent="0.2">
      <c r="A17" s="4" t="s">
        <v>102</v>
      </c>
      <c r="B17" s="2"/>
      <c r="C17" s="2"/>
      <c r="D17" s="2"/>
    </row>
    <row r="18" spans="1:4" x14ac:dyDescent="0.2">
      <c r="A18" s="4" t="s">
        <v>103</v>
      </c>
      <c r="B18" s="2"/>
      <c r="C18" s="2"/>
      <c r="D18" s="2"/>
    </row>
    <row r="19" spans="1:4" x14ac:dyDescent="0.2">
      <c r="A19" s="4" t="s">
        <v>104</v>
      </c>
      <c r="B19" s="2"/>
      <c r="C19" s="2"/>
      <c r="D19" s="2"/>
    </row>
    <row r="20" spans="1:4" x14ac:dyDescent="0.2">
      <c r="A20" s="2" t="s">
        <v>598</v>
      </c>
      <c r="B20" s="2"/>
      <c r="C20" s="2"/>
      <c r="D20" s="10">
        <v>59.973799999999997</v>
      </c>
    </row>
    <row r="21" spans="1:4" x14ac:dyDescent="0.2">
      <c r="A21" s="2" t="s">
        <v>599</v>
      </c>
      <c r="B21" s="2"/>
      <c r="C21" s="2"/>
      <c r="D21" s="10">
        <v>23.143799999999999</v>
      </c>
    </row>
    <row r="22" spans="1:4" x14ac:dyDescent="0.2">
      <c r="A22" s="2" t="s">
        <v>600</v>
      </c>
      <c r="B22" s="2"/>
      <c r="C22" s="2"/>
      <c r="D22" s="10">
        <v>62.197200000000002</v>
      </c>
    </row>
    <row r="23" spans="1:4" x14ac:dyDescent="0.2">
      <c r="A23" s="2" t="s">
        <v>601</v>
      </c>
      <c r="B23" s="2"/>
      <c r="C23" s="2"/>
      <c r="D23" s="10">
        <v>24.1906</v>
      </c>
    </row>
    <row r="24" spans="1:4" x14ac:dyDescent="0.2">
      <c r="A24" s="2"/>
      <c r="B24" s="2"/>
      <c r="C24" s="2"/>
      <c r="D24" s="10"/>
    </row>
    <row r="25" spans="1:4" x14ac:dyDescent="0.2">
      <c r="A25" s="4" t="s">
        <v>105</v>
      </c>
      <c r="B25" s="2"/>
      <c r="C25" s="2"/>
      <c r="D25" s="2"/>
    </row>
    <row r="26" spans="1:4" x14ac:dyDescent="0.2">
      <c r="A26" s="2" t="s">
        <v>598</v>
      </c>
      <c r="B26" s="2"/>
      <c r="C26" s="2"/>
      <c r="D26" s="10">
        <v>60.336300000000001</v>
      </c>
    </row>
    <row r="27" spans="1:4" x14ac:dyDescent="0.2">
      <c r="A27" s="2" t="s">
        <v>599</v>
      </c>
      <c r="B27" s="2"/>
      <c r="C27" s="2"/>
      <c r="D27" s="10">
        <v>23.2837</v>
      </c>
    </row>
    <row r="28" spans="1:4" x14ac:dyDescent="0.2">
      <c r="A28" s="2" t="s">
        <v>600</v>
      </c>
      <c r="B28" s="2"/>
      <c r="C28" s="2"/>
      <c r="D28" s="10">
        <v>62.701900000000002</v>
      </c>
    </row>
    <row r="29" spans="1:4" x14ac:dyDescent="0.2">
      <c r="A29" s="2" t="s">
        <v>601</v>
      </c>
      <c r="B29" s="2"/>
      <c r="C29" s="2"/>
      <c r="D29" s="10">
        <v>24.378900000000002</v>
      </c>
    </row>
    <row r="30" spans="1:4" x14ac:dyDescent="0.2">
      <c r="A30" s="2"/>
      <c r="B30" s="2"/>
      <c r="C30" s="2"/>
      <c r="D30" s="2"/>
    </row>
    <row r="31" spans="1:4" x14ac:dyDescent="0.2">
      <c r="A31" s="4" t="s">
        <v>106</v>
      </c>
      <c r="B31" s="2"/>
      <c r="C31" s="2"/>
      <c r="D31" s="17" t="s">
        <v>107</v>
      </c>
    </row>
    <row r="32" spans="1:4" x14ac:dyDescent="0.2">
      <c r="A32" s="4"/>
      <c r="B32" s="2"/>
      <c r="C32" s="2"/>
      <c r="D32" s="17"/>
    </row>
    <row r="33" spans="1:4" x14ac:dyDescent="0.2">
      <c r="A33" s="9" t="s">
        <v>606</v>
      </c>
      <c r="B33" s="2"/>
      <c r="C33" s="2"/>
      <c r="D33" s="24">
        <v>7.7065945773014594E-2</v>
      </c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</sheetData>
  <mergeCells count="1">
    <mergeCell ref="A1:E1"/>
  </mergeCells>
  <pageMargins left="0.7" right="0.7" top="0.75" bottom="0.75" header="0.3" footer="0.3"/>
  <ignoredErrors>
    <ignoredError sqref="E15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D63A-8209-4AD0-9D40-C13E67E3D8CD}">
  <dimension ref="A1:E34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43.140625" style="1" bestFit="1" customWidth="1"/>
    <col min="3" max="3" width="9.570312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9" t="s">
        <v>398</v>
      </c>
      <c r="B1" s="109"/>
      <c r="C1" s="109"/>
      <c r="D1" s="109"/>
      <c r="E1" s="109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669</v>
      </c>
      <c r="B5" s="7"/>
      <c r="C5" s="7"/>
      <c r="D5" s="7"/>
      <c r="E5" s="7"/>
    </row>
    <row r="6" spans="1:5" x14ac:dyDescent="0.2">
      <c r="A6" s="7" t="s">
        <v>393</v>
      </c>
      <c r="B6" s="7" t="s">
        <v>667</v>
      </c>
      <c r="C6" s="14">
        <v>123358.87</v>
      </c>
      <c r="D6" s="13">
        <v>600.33138810000003</v>
      </c>
      <c r="E6" s="13">
        <v>50.299945894717212</v>
      </c>
    </row>
    <row r="7" spans="1:5" x14ac:dyDescent="0.2">
      <c r="A7" s="7" t="s">
        <v>394</v>
      </c>
      <c r="B7" s="7" t="s">
        <v>671</v>
      </c>
      <c r="C7" s="14">
        <v>72206.600000000006</v>
      </c>
      <c r="D7" s="13">
        <v>182.81520219999999</v>
      </c>
      <c r="E7" s="13">
        <v>15.317531219706995</v>
      </c>
    </row>
    <row r="8" spans="1:5" x14ac:dyDescent="0.2">
      <c r="A8" s="7" t="s">
        <v>395</v>
      </c>
      <c r="B8" s="7" t="s">
        <v>674</v>
      </c>
      <c r="C8" s="14">
        <v>17413.939999999999</v>
      </c>
      <c r="D8" s="13">
        <v>179.17337269999999</v>
      </c>
      <c r="E8" s="13">
        <v>15.012393373445871</v>
      </c>
    </row>
    <row r="9" spans="1:5" x14ac:dyDescent="0.2">
      <c r="A9" s="7" t="s">
        <v>396</v>
      </c>
      <c r="B9" s="7" t="s">
        <v>673</v>
      </c>
      <c r="C9" s="14">
        <v>158073.99</v>
      </c>
      <c r="D9" s="13">
        <v>115.58796880000001</v>
      </c>
      <c r="E9" s="13">
        <v>9.6847652679319598</v>
      </c>
    </row>
    <row r="10" spans="1:5" x14ac:dyDescent="0.2">
      <c r="A10" s="7" t="s">
        <v>397</v>
      </c>
      <c r="B10" s="7" t="s">
        <v>672</v>
      </c>
      <c r="C10" s="14">
        <v>157798.45000000001</v>
      </c>
      <c r="D10" s="13">
        <v>114.72231570000001</v>
      </c>
      <c r="E10" s="13">
        <v>9.6122348206544945</v>
      </c>
    </row>
    <row r="11" spans="1:5" x14ac:dyDescent="0.2">
      <c r="A11" s="6" t="s">
        <v>43</v>
      </c>
      <c r="B11" s="7"/>
      <c r="C11" s="7"/>
      <c r="D11" s="15">
        <v>1192.6302475</v>
      </c>
      <c r="E11" s="6">
        <v>99.926870576456537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6" t="s">
        <v>100</v>
      </c>
      <c r="B13" s="7"/>
      <c r="C13" s="7"/>
      <c r="D13" s="6">
        <v>0.87280190000000002</v>
      </c>
      <c r="E13" s="6">
        <v>7.0000000000000007E-2</v>
      </c>
    </row>
    <row r="14" spans="1:5" x14ac:dyDescent="0.2">
      <c r="A14" s="7"/>
      <c r="B14" s="7"/>
      <c r="C14" s="7"/>
      <c r="D14" s="7"/>
      <c r="E14" s="7"/>
    </row>
    <row r="15" spans="1:5" x14ac:dyDescent="0.2">
      <c r="A15" s="8" t="s">
        <v>101</v>
      </c>
      <c r="B15" s="5"/>
      <c r="C15" s="5"/>
      <c r="D15" s="8">
        <v>1193.5030494</v>
      </c>
      <c r="E15" s="8">
        <f xml:space="preserve"> ROUND(SUM(E11:E14),2)</f>
        <v>100</v>
      </c>
    </row>
    <row r="17" spans="1:4" x14ac:dyDescent="0.2">
      <c r="A17" s="4" t="s">
        <v>102</v>
      </c>
      <c r="B17" s="2"/>
      <c r="C17" s="2"/>
      <c r="D17" s="2"/>
    </row>
    <row r="18" spans="1:4" x14ac:dyDescent="0.2">
      <c r="A18" s="4" t="s">
        <v>103</v>
      </c>
      <c r="B18" s="2"/>
      <c r="C18" s="2"/>
      <c r="D18" s="2"/>
    </row>
    <row r="19" spans="1:4" x14ac:dyDescent="0.2">
      <c r="A19" s="4" t="s">
        <v>104</v>
      </c>
      <c r="B19" s="2"/>
      <c r="C19" s="2"/>
      <c r="D19" s="2"/>
    </row>
    <row r="20" spans="1:4" x14ac:dyDescent="0.2">
      <c r="A20" s="2" t="s">
        <v>598</v>
      </c>
      <c r="B20" s="2"/>
      <c r="C20" s="2"/>
      <c r="D20" s="10">
        <v>83.076099999999997</v>
      </c>
    </row>
    <row r="21" spans="1:4" x14ac:dyDescent="0.2">
      <c r="A21" s="2" t="s">
        <v>599</v>
      </c>
      <c r="B21" s="2"/>
      <c r="C21" s="2"/>
      <c r="D21" s="10">
        <v>29.6799</v>
      </c>
    </row>
    <row r="22" spans="1:4" x14ac:dyDescent="0.2">
      <c r="A22" s="2" t="s">
        <v>600</v>
      </c>
      <c r="B22" s="2"/>
      <c r="C22" s="2"/>
      <c r="D22" s="10">
        <v>85.348399999999998</v>
      </c>
    </row>
    <row r="23" spans="1:4" x14ac:dyDescent="0.2">
      <c r="A23" s="2" t="s">
        <v>601</v>
      </c>
      <c r="B23" s="2"/>
      <c r="C23" s="2"/>
      <c r="D23" s="10">
        <v>30.6768</v>
      </c>
    </row>
    <row r="24" spans="1:4" x14ac:dyDescent="0.2">
      <c r="A24" s="2"/>
      <c r="B24" s="2"/>
      <c r="C24" s="2"/>
      <c r="D24" s="10"/>
    </row>
    <row r="25" spans="1:4" x14ac:dyDescent="0.2">
      <c r="A25" s="4" t="s">
        <v>105</v>
      </c>
      <c r="B25" s="2"/>
      <c r="C25" s="2"/>
      <c r="D25" s="2"/>
    </row>
    <row r="26" spans="1:4" x14ac:dyDescent="0.2">
      <c r="A26" s="2" t="s">
        <v>598</v>
      </c>
      <c r="B26" s="2"/>
      <c r="C26" s="2"/>
      <c r="D26" s="10">
        <v>82.206100000000006</v>
      </c>
    </row>
    <row r="27" spans="1:4" x14ac:dyDescent="0.2">
      <c r="A27" s="2" t="s">
        <v>599</v>
      </c>
      <c r="B27" s="2"/>
      <c r="C27" s="2"/>
      <c r="D27" s="10">
        <v>29.3691</v>
      </c>
    </row>
    <row r="28" spans="1:4" x14ac:dyDescent="0.2">
      <c r="A28" s="2" t="s">
        <v>600</v>
      </c>
      <c r="B28" s="2"/>
      <c r="C28" s="2"/>
      <c r="D28" s="10">
        <v>84.624099999999999</v>
      </c>
    </row>
    <row r="29" spans="1:4" x14ac:dyDescent="0.2">
      <c r="A29" s="2" t="s">
        <v>601</v>
      </c>
      <c r="B29" s="2"/>
      <c r="C29" s="2"/>
      <c r="D29" s="10">
        <v>30.4069</v>
      </c>
    </row>
    <row r="30" spans="1:4" x14ac:dyDescent="0.2">
      <c r="A30" s="2"/>
      <c r="B30" s="2"/>
      <c r="C30" s="2"/>
      <c r="D30" s="2"/>
    </row>
    <row r="31" spans="1:4" x14ac:dyDescent="0.2">
      <c r="A31" s="4" t="s">
        <v>106</v>
      </c>
      <c r="B31" s="2"/>
      <c r="C31" s="2"/>
      <c r="D31" s="17" t="s">
        <v>107</v>
      </c>
    </row>
    <row r="32" spans="1:4" x14ac:dyDescent="0.2">
      <c r="A32" s="4"/>
      <c r="B32" s="2"/>
      <c r="C32" s="2"/>
      <c r="D32" s="17"/>
    </row>
    <row r="33" spans="1:4" x14ac:dyDescent="0.2">
      <c r="A33" s="9" t="s">
        <v>606</v>
      </c>
      <c r="B33" s="2"/>
      <c r="C33" s="2"/>
      <c r="D33" s="24">
        <v>5.7512484422151788E-2</v>
      </c>
    </row>
    <row r="34" spans="1:4" x14ac:dyDescent="0.2">
      <c r="A34" s="2"/>
      <c r="B34" s="2"/>
      <c r="C34" s="2"/>
      <c r="D34" s="2"/>
    </row>
  </sheetData>
  <mergeCells count="1">
    <mergeCell ref="A1:E1"/>
  </mergeCells>
  <pageMargins left="0.7" right="0.7" top="0.75" bottom="0.75" header="0.3" footer="0.3"/>
  <ignoredErrors>
    <ignoredError sqref="E15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2B36-4DA6-4FC1-9AB8-2C29DD5122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FIIOF</vt:lpstr>
      <vt:lpstr>FIUBF</vt:lpstr>
      <vt:lpstr>FISTIP</vt:lpstr>
      <vt:lpstr>FISF</vt:lpstr>
      <vt:lpstr>FIONF</vt:lpstr>
      <vt:lpstr>FILF</vt:lpstr>
      <vt:lpstr>FILDF</vt:lpstr>
      <vt:lpstr>FIGSF</vt:lpstr>
      <vt:lpstr>FIFRF</vt:lpstr>
      <vt:lpstr>FIDA</vt:lpstr>
      <vt:lpstr>FICRF</vt:lpstr>
      <vt:lpstr>FICDF</vt:lpstr>
      <vt:lpstr>FBPF</vt:lpstr>
      <vt:lpstr>FIESF</vt:lpstr>
      <vt:lpstr>FIEHF</vt:lpstr>
      <vt:lpstr>FIDHY</vt:lpstr>
      <vt:lpstr>FIPP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TIVF</vt:lpstr>
      <vt:lpstr>FITX</vt:lpstr>
      <vt:lpstr>FITF</vt:lpstr>
      <vt:lpstr>FISMF</vt:lpstr>
      <vt:lpstr>FIPF</vt:lpstr>
      <vt:lpstr>FIOF</vt:lpstr>
      <vt:lpstr>FIFEF</vt:lpstr>
      <vt:lpstr>TIEIF</vt:lpstr>
      <vt:lpstr>FIEF</vt:lpstr>
      <vt:lpstr>FIBF</vt:lpstr>
      <vt:lpstr>FIEAF</vt:lpstr>
      <vt:lpstr>FAEF</vt:lpstr>
      <vt:lpstr>FBIF</vt:lpstr>
      <vt:lpstr>FIIF-NSE</vt:lpstr>
      <vt:lpstr>FIDAAF</vt:lpstr>
      <vt:lpstr>FIUS</vt:lpstr>
      <vt:lpstr>FEGF</vt:lpstr>
      <vt:lpstr>FIMAS</vt:lpstr>
      <vt:lpstr>FIFOF-50's+</vt:lpstr>
      <vt:lpstr>FIFOF-50's</vt:lpstr>
      <vt:lpstr>FIFOF-40's</vt:lpstr>
      <vt:lpstr>FIFOF-30's</vt:lpstr>
      <vt:lpstr>FIFOF-20's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ISIN_As_on_October_2019</dc:title>
  <dc:creator>Bhogte, Amey</dc:creator>
  <cp:keywords>ISIN_As_on_October_2019; ISIN Portfolio as on 31-10-19; fund information; International Securities Identification Number of funds</cp:keywords>
  <cp:lastModifiedBy>Bhogte, Amey</cp:lastModifiedBy>
  <dcterms:created xsi:type="dcterms:W3CDTF">2019-11-01T17:18:10Z</dcterms:created>
  <dcterms:modified xsi:type="dcterms:W3CDTF">2019-11-08T08:04:30Z</dcterms:modified>
</cp:coreProperties>
</file>