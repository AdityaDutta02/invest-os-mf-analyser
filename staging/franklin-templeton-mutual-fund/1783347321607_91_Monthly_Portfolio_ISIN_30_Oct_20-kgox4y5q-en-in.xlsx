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filterPrivacy="1" defaultThemeVersion="124226"/>
  <xr:revisionPtr revIDLastSave="0" documentId="13_ncr:1_{93E31201-A99F-4B90-9731-E78683424753}" xr6:coauthVersionLast="45" xr6:coauthVersionMax="45" xr10:uidLastSave="{00000000-0000-0000-0000-000000000000}"/>
  <bookViews>
    <workbookView xWindow="-110" yWindow="-110" windowWidth="19420" windowHeight="10420" xr2:uid="{00000000-000D-0000-FFFF-FFFF00000000}"/>
  </bookViews>
  <sheets>
    <sheet name="FILF" sheetId="71" r:id="rId1"/>
    <sheet name="FIONF" sheetId="72" r:id="rId2"/>
    <sheet name="FISF" sheetId="73" r:id="rId3"/>
    <sheet name="FIFRF" sheetId="74" r:id="rId4"/>
    <sheet name="FICDF" sheetId="75" r:id="rId5"/>
    <sheet name="FBPF" sheetId="76" r:id="rId6"/>
    <sheet name="FIGSF" sheetId="77" r:id="rId7"/>
    <sheet name="FIDA" sheetId="78" r:id="rId8"/>
    <sheet name="FILDF" sheetId="79" r:id="rId9"/>
    <sheet name="FIUBF" sheetId="80" r:id="rId10"/>
    <sheet name="FISTIP" sheetId="81" r:id="rId11"/>
    <sheet name="FIIOF" sheetId="82" r:id="rId12"/>
    <sheet name="FICRF" sheetId="83" r:id="rId13"/>
    <sheet name="FMPS6C" sheetId="84" r:id="rId14"/>
    <sheet name="FMPS5F" sheetId="85" r:id="rId15"/>
    <sheet name="FMPS5E" sheetId="86" r:id="rId16"/>
    <sheet name="FMPS5D" sheetId="87" r:id="rId17"/>
    <sheet name="FMPS5C" sheetId="88" r:id="rId18"/>
    <sheet name="FMPS5B" sheetId="89" r:id="rId19"/>
    <sheet name="FMPS5A" sheetId="90" r:id="rId20"/>
    <sheet name="FMPS4F" sheetId="91" r:id="rId21"/>
    <sheet name="FMPS4E" sheetId="92" r:id="rId22"/>
    <sheet name="FMPS4D" sheetId="93" r:id="rId23"/>
    <sheet name="FMPS4C" sheetId="94" r:id="rId24"/>
    <sheet name="FMPS4B" sheetId="95" r:id="rId25"/>
    <sheet name="FMPS4A" sheetId="96" r:id="rId26"/>
    <sheet name="FMPS3F" sheetId="97" r:id="rId27"/>
    <sheet name="FMPS3E" sheetId="98" r:id="rId28"/>
    <sheet name="FMPS3D" sheetId="99" r:id="rId29"/>
    <sheet name="FMPS3C" sheetId="100" r:id="rId30"/>
    <sheet name="FMPS3B" sheetId="101" r:id="rId31"/>
    <sheet name="FMPS3A" sheetId="102" r:id="rId32"/>
    <sheet name="FMPS2C" sheetId="103" r:id="rId33"/>
    <sheet name="FMPS2B" sheetId="104" r:id="rId34"/>
    <sheet name="FMPS2A" sheetId="105" r:id="rId35"/>
    <sheet name="FIPP" sheetId="106" r:id="rId36"/>
    <sheet name="FIDHY" sheetId="107" r:id="rId37"/>
    <sheet name="FIESF" sheetId="39" r:id="rId38"/>
    <sheet name="FIEHF" sheetId="40" r:id="rId39"/>
    <sheet name="TIVF" sheetId="41" r:id="rId40"/>
    <sheet name="TIEIF" sheetId="42" r:id="rId41"/>
    <sheet name="FITF" sheetId="43" r:id="rId42"/>
    <sheet name="FISCF" sheetId="44" r:id="rId43"/>
    <sheet name="FIPF" sheetId="45" r:id="rId44"/>
    <sheet name="FIOF" sheetId="46" r:id="rId45"/>
    <sheet name="FIFEF" sheetId="47" r:id="rId46"/>
    <sheet name="FIEF" sheetId="48" r:id="rId47"/>
    <sheet name="FIEAF" sheetId="49" r:id="rId48"/>
    <sheet name="FIBF" sheetId="50" r:id="rId49"/>
    <sheet name="FBIF" sheetId="51" r:id="rId50"/>
    <sheet name="FAEF" sheetId="52" r:id="rId51"/>
    <sheet name="FIIF-NSE" sheetId="53" r:id="rId52"/>
    <sheet name="FITX" sheetId="54" r:id="rId53"/>
    <sheet name="FIUS" sheetId="55" r:id="rId54"/>
    <sheet name="FEGF" sheetId="56" r:id="rId55"/>
    <sheet name="FIMAS" sheetId="64" r:id="rId56"/>
    <sheet name="FIFOF-50's+" sheetId="65" r:id="rId57"/>
    <sheet name="FIFOF-50's" sheetId="66" r:id="rId58"/>
    <sheet name="FIFOF-40's" sheetId="67" r:id="rId59"/>
    <sheet name="FIFOF-30's" sheetId="68" r:id="rId60"/>
    <sheet name="FIFOF-20's" sheetId="69" r:id="rId61"/>
    <sheet name="FF" sheetId="70"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00" i="107" l="1"/>
  <c r="F102" i="107" s="1"/>
  <c r="E100" i="107"/>
  <c r="E102" i="107" s="1"/>
  <c r="F60" i="107"/>
  <c r="E60" i="107"/>
  <c r="F50" i="107"/>
  <c r="E50" i="107"/>
  <c r="F45" i="107"/>
  <c r="E45" i="107"/>
  <c r="F35" i="107"/>
  <c r="E35" i="107"/>
  <c r="E64" i="107" s="1"/>
  <c r="F73" i="106"/>
  <c r="E73" i="106"/>
  <c r="F62" i="106"/>
  <c r="E62" i="106"/>
  <c r="F56" i="106"/>
  <c r="E56" i="106"/>
  <c r="F52" i="106"/>
  <c r="E52" i="106"/>
  <c r="F40" i="106"/>
  <c r="E40" i="106"/>
  <c r="F41" i="105"/>
  <c r="E41" i="105"/>
  <c r="F37" i="105"/>
  <c r="E37" i="105"/>
  <c r="F32" i="105"/>
  <c r="E32" i="105"/>
  <c r="E43" i="105" s="1"/>
  <c r="F27" i="105"/>
  <c r="E27" i="105"/>
  <c r="F41" i="104"/>
  <c r="E41" i="104"/>
  <c r="F37" i="104"/>
  <c r="E37" i="104"/>
  <c r="F33" i="104"/>
  <c r="E33" i="104"/>
  <c r="F28" i="104"/>
  <c r="E28" i="104"/>
  <c r="F23" i="104"/>
  <c r="F43" i="104" s="1"/>
  <c r="E23" i="104"/>
  <c r="E43" i="104" s="1"/>
  <c r="F44" i="103"/>
  <c r="E44" i="103"/>
  <c r="F40" i="103"/>
  <c r="E40" i="103"/>
  <c r="F36" i="103"/>
  <c r="E36" i="103"/>
  <c r="F31" i="103"/>
  <c r="E31" i="103"/>
  <c r="F25" i="103"/>
  <c r="E25" i="103"/>
  <c r="F41" i="102"/>
  <c r="E41" i="102"/>
  <c r="F37" i="102"/>
  <c r="E37" i="102"/>
  <c r="F33" i="102"/>
  <c r="E33" i="102"/>
  <c r="F28" i="102"/>
  <c r="E28" i="102"/>
  <c r="F22" i="102"/>
  <c r="F45" i="102" s="1"/>
  <c r="E22" i="102"/>
  <c r="E45" i="102" s="1"/>
  <c r="F37" i="101"/>
  <c r="E37" i="101"/>
  <c r="F33" i="101"/>
  <c r="E33" i="101"/>
  <c r="F28" i="101"/>
  <c r="E28" i="101"/>
  <c r="F23" i="101"/>
  <c r="F39" i="101" s="1"/>
  <c r="E23" i="101"/>
  <c r="F39" i="100"/>
  <c r="E39" i="100"/>
  <c r="F35" i="100"/>
  <c r="E35" i="100"/>
  <c r="F30" i="100"/>
  <c r="E30" i="100"/>
  <c r="F25" i="100"/>
  <c r="F41" i="100" s="1"/>
  <c r="E25" i="100"/>
  <c r="F34" i="99"/>
  <c r="E34" i="99"/>
  <c r="F30" i="99"/>
  <c r="E30" i="99"/>
  <c r="F25" i="99"/>
  <c r="E25" i="99"/>
  <c r="F20" i="99"/>
  <c r="F36" i="99" s="1"/>
  <c r="E20" i="99"/>
  <c r="F37" i="98"/>
  <c r="E37" i="98"/>
  <c r="F33" i="98"/>
  <c r="E33" i="98"/>
  <c r="F28" i="98"/>
  <c r="E28" i="98"/>
  <c r="F22" i="98"/>
  <c r="F39" i="98" s="1"/>
  <c r="E22" i="98"/>
  <c r="F36" i="97"/>
  <c r="E36" i="97"/>
  <c r="F31" i="97"/>
  <c r="F40" i="97" s="1"/>
  <c r="E31" i="97"/>
  <c r="E40" i="97" s="1"/>
  <c r="F26" i="97"/>
  <c r="E26" i="97"/>
  <c r="F33" i="96"/>
  <c r="E33" i="96"/>
  <c r="F28" i="96"/>
  <c r="E28" i="96"/>
  <c r="F24" i="96"/>
  <c r="F35" i="96" s="1"/>
  <c r="E24" i="96"/>
  <c r="E37" i="96" s="1"/>
  <c r="F35" i="95"/>
  <c r="E35" i="95"/>
  <c r="F30" i="95"/>
  <c r="E30" i="95"/>
  <c r="E39" i="95" s="1"/>
  <c r="F26" i="95"/>
  <c r="E26" i="95"/>
  <c r="F28" i="94"/>
  <c r="E28" i="94"/>
  <c r="F23" i="94"/>
  <c r="E23" i="94"/>
  <c r="F27" i="93"/>
  <c r="E27" i="93"/>
  <c r="F22" i="93"/>
  <c r="E22" i="93"/>
  <c r="F17" i="93"/>
  <c r="F31" i="93" s="1"/>
  <c r="E17" i="93"/>
  <c r="E29" i="93" s="1"/>
  <c r="F29" i="92"/>
  <c r="E29" i="92"/>
  <c r="F24" i="92"/>
  <c r="F33" i="92" s="1"/>
  <c r="E24" i="92"/>
  <c r="E33" i="92" s="1"/>
  <c r="F20" i="92"/>
  <c r="E20" i="92"/>
  <c r="F27" i="91"/>
  <c r="E27" i="91"/>
  <c r="F23" i="91"/>
  <c r="E23" i="91"/>
  <c r="E31" i="91" s="1"/>
  <c r="F19" i="90"/>
  <c r="F21" i="90" s="1"/>
  <c r="E19" i="90"/>
  <c r="E21" i="90" s="1"/>
  <c r="F24" i="89"/>
  <c r="F26" i="89" s="1"/>
  <c r="E24" i="89"/>
  <c r="E26" i="89" s="1"/>
  <c r="F24" i="88"/>
  <c r="F26" i="88" s="1"/>
  <c r="E24" i="88"/>
  <c r="E26" i="88" s="1"/>
  <c r="F21" i="87"/>
  <c r="F23" i="87" s="1"/>
  <c r="E21" i="87"/>
  <c r="E23" i="87" s="1"/>
  <c r="F20" i="86"/>
  <c r="F22" i="86" s="1"/>
  <c r="E20" i="86"/>
  <c r="E22" i="86" s="1"/>
  <c r="F21" i="85"/>
  <c r="F23" i="85" s="1"/>
  <c r="E21" i="85"/>
  <c r="E23" i="85" s="1"/>
  <c r="F22" i="84"/>
  <c r="F24" i="84" s="1"/>
  <c r="E22" i="84"/>
  <c r="E24" i="84" s="1"/>
  <c r="F152" i="83"/>
  <c r="F150" i="83"/>
  <c r="E150" i="83"/>
  <c r="E152" i="83" s="1"/>
  <c r="F120" i="83"/>
  <c r="E120" i="83"/>
  <c r="F118" i="83"/>
  <c r="E118" i="83"/>
  <c r="E122" i="83" s="1"/>
  <c r="F74" i="83"/>
  <c r="E74" i="83"/>
  <c r="F56" i="83"/>
  <c r="E56" i="83"/>
  <c r="E78" i="83" s="1"/>
  <c r="F95" i="82"/>
  <c r="F93" i="82"/>
  <c r="E93" i="82"/>
  <c r="E95" i="82" s="1"/>
  <c r="F54" i="82"/>
  <c r="F52" i="82"/>
  <c r="E52" i="82"/>
  <c r="F36" i="82"/>
  <c r="E36" i="82"/>
  <c r="E54" i="82" s="1"/>
  <c r="F190" i="81"/>
  <c r="F192" i="81" s="1"/>
  <c r="E190" i="81"/>
  <c r="E192" i="81" s="1"/>
  <c r="F155" i="81"/>
  <c r="F153" i="81"/>
  <c r="E153" i="81"/>
  <c r="E155" i="81" s="1"/>
  <c r="F102" i="81"/>
  <c r="F100" i="81"/>
  <c r="E100" i="81"/>
  <c r="F68" i="81"/>
  <c r="E68" i="81"/>
  <c r="E102" i="81" s="1"/>
  <c r="F56" i="80"/>
  <c r="E56" i="80"/>
  <c r="F48" i="80"/>
  <c r="F58" i="80" s="1"/>
  <c r="E48" i="80"/>
  <c r="E60" i="80" s="1"/>
  <c r="F88" i="79"/>
  <c r="F90" i="79" s="1"/>
  <c r="E88" i="79"/>
  <c r="E92" i="79" s="1"/>
  <c r="F48" i="79"/>
  <c r="E48" i="79"/>
  <c r="F37" i="79"/>
  <c r="F52" i="79" s="1"/>
  <c r="E37" i="79"/>
  <c r="E52" i="79" s="1"/>
  <c r="F135" i="78"/>
  <c r="F137" i="78" s="1"/>
  <c r="E135" i="78"/>
  <c r="E139" i="78" s="1"/>
  <c r="F103" i="78"/>
  <c r="F105" i="78" s="1"/>
  <c r="E103" i="78"/>
  <c r="E107" i="78" s="1"/>
  <c r="F58" i="78"/>
  <c r="E58" i="78"/>
  <c r="F39" i="78"/>
  <c r="F62" i="78" s="1"/>
  <c r="E39" i="78"/>
  <c r="E62" i="78" s="1"/>
  <c r="E15" i="77"/>
  <c r="F13" i="77"/>
  <c r="F17" i="77" s="1"/>
  <c r="E13" i="77"/>
  <c r="E17" i="77" s="1"/>
  <c r="F53" i="76"/>
  <c r="E53" i="76"/>
  <c r="F47" i="76"/>
  <c r="F57" i="76" s="1"/>
  <c r="E47" i="76"/>
  <c r="F40" i="76"/>
  <c r="E40" i="76"/>
  <c r="E57" i="76" s="1"/>
  <c r="F68" i="75"/>
  <c r="E68" i="75"/>
  <c r="F64" i="75"/>
  <c r="E64" i="75"/>
  <c r="F60" i="75"/>
  <c r="E60" i="75"/>
  <c r="F55" i="75"/>
  <c r="E55" i="75"/>
  <c r="F51" i="75"/>
  <c r="F72" i="75" s="1"/>
  <c r="E51" i="75"/>
  <c r="F23" i="74"/>
  <c r="E23" i="74"/>
  <c r="F16" i="74"/>
  <c r="F27" i="74" s="1"/>
  <c r="E16" i="74"/>
  <c r="F11" i="74"/>
  <c r="E11" i="74"/>
  <c r="E25" i="74" s="1"/>
  <c r="F36" i="73"/>
  <c r="E36" i="73"/>
  <c r="F27" i="73"/>
  <c r="E27" i="73"/>
  <c r="E40" i="73" s="1"/>
  <c r="F12" i="73"/>
  <c r="F40" i="73" s="1"/>
  <c r="E12" i="73"/>
  <c r="F34" i="71"/>
  <c r="E34" i="71"/>
  <c r="F23" i="71"/>
  <c r="E23" i="71"/>
  <c r="F14" i="71"/>
  <c r="E14" i="71"/>
  <c r="E36" i="71" s="1"/>
  <c r="F9" i="71"/>
  <c r="F36" i="71" s="1"/>
  <c r="E9" i="71"/>
  <c r="F70" i="75" l="1"/>
  <c r="F60" i="78"/>
  <c r="F50" i="79"/>
  <c r="E58" i="80"/>
  <c r="E194" i="81"/>
  <c r="E26" i="84"/>
  <c r="E25" i="85"/>
  <c r="E24" i="86"/>
  <c r="E25" i="87"/>
  <c r="E28" i="88"/>
  <c r="E28" i="89"/>
  <c r="E23" i="90"/>
  <c r="E41" i="98"/>
  <c r="E38" i="99"/>
  <c r="E43" i="100"/>
  <c r="E41" i="101"/>
  <c r="E43" i="102"/>
  <c r="E29" i="91"/>
  <c r="F64" i="107"/>
  <c r="F25" i="74"/>
  <c r="F55" i="76"/>
  <c r="F15" i="77"/>
  <c r="E137" i="78"/>
  <c r="F104" i="81"/>
  <c r="F56" i="82"/>
  <c r="F78" i="83"/>
  <c r="F31" i="91"/>
  <c r="E31" i="92"/>
  <c r="E31" i="93"/>
  <c r="E30" i="94"/>
  <c r="E37" i="95"/>
  <c r="E38" i="97"/>
  <c r="E39" i="98"/>
  <c r="E36" i="99"/>
  <c r="E41" i="100"/>
  <c r="E39" i="101"/>
  <c r="E48" i="103"/>
  <c r="E45" i="105"/>
  <c r="E77" i="106"/>
  <c r="E75" i="106"/>
  <c r="E62" i="107"/>
  <c r="E76" i="83"/>
  <c r="E38" i="71"/>
  <c r="E38" i="73"/>
  <c r="E72" i="75"/>
  <c r="F31" i="92"/>
  <c r="F30" i="94"/>
  <c r="F39" i="95"/>
  <c r="F37" i="96"/>
  <c r="F38" i="97"/>
  <c r="F48" i="103"/>
  <c r="F46" i="103"/>
  <c r="F43" i="105"/>
  <c r="F77" i="106"/>
  <c r="F62" i="107"/>
  <c r="E55" i="76"/>
  <c r="E32" i="94"/>
  <c r="E35" i="96"/>
  <c r="E45" i="104"/>
  <c r="F38" i="71"/>
  <c r="E104" i="81"/>
  <c r="E157" i="81"/>
  <c r="E56" i="82"/>
  <c r="E97" i="82"/>
  <c r="F76" i="83"/>
  <c r="E154" i="83"/>
  <c r="F26" i="84"/>
  <c r="F25" i="85"/>
  <c r="F24" i="86"/>
  <c r="F25" i="87"/>
  <c r="F28" i="88"/>
  <c r="F28" i="89"/>
  <c r="F23" i="90"/>
  <c r="F29" i="91"/>
  <c r="F32" i="94"/>
  <c r="F41" i="98"/>
  <c r="F38" i="99"/>
  <c r="F43" i="100"/>
  <c r="F41" i="101"/>
  <c r="F43" i="102"/>
  <c r="F45" i="104"/>
  <c r="F45" i="105"/>
  <c r="F75" i="106"/>
  <c r="E27" i="74"/>
  <c r="E70" i="75"/>
  <c r="E60" i="78"/>
  <c r="E105" i="78"/>
  <c r="E50" i="79"/>
  <c r="E90" i="79"/>
  <c r="E46" i="103"/>
  <c r="F60" i="80"/>
  <c r="F38" i="73"/>
  <c r="F29" i="93"/>
  <c r="F37" i="95"/>
  <c r="G43" i="39" l="1"/>
  <c r="D80" i="39" s="1"/>
  <c r="E12" i="70" l="1"/>
  <c r="D12" i="70"/>
  <c r="E10" i="70"/>
  <c r="E14" i="70" s="1"/>
  <c r="D10" i="70"/>
  <c r="D14" i="70" s="1"/>
  <c r="D17" i="69"/>
  <c r="E13" i="69"/>
  <c r="E15" i="69" s="1"/>
  <c r="D13" i="69"/>
  <c r="D15" i="69" s="1"/>
  <c r="E15" i="68"/>
  <c r="D15" i="68"/>
  <c r="E13" i="68"/>
  <c r="E17" i="68" s="1"/>
  <c r="D13" i="68"/>
  <c r="D17" i="68" s="1"/>
  <c r="E13" i="67"/>
  <c r="E15" i="67" s="1"/>
  <c r="D13" i="67"/>
  <c r="D15" i="67" s="1"/>
  <c r="E14" i="66"/>
  <c r="D14" i="66"/>
  <c r="E12" i="66"/>
  <c r="E16" i="66" s="1"/>
  <c r="D12" i="66"/>
  <c r="D16" i="66" s="1"/>
  <c r="E9" i="65"/>
  <c r="E11" i="65" s="1"/>
  <c r="D9" i="65"/>
  <c r="D11" i="65" s="1"/>
  <c r="E13" i="64"/>
  <c r="D13" i="64"/>
  <c r="E11" i="64"/>
  <c r="E15" i="64" s="1"/>
  <c r="D11" i="64"/>
  <c r="D15" i="64" s="1"/>
  <c r="D13" i="65" l="1"/>
  <c r="D17" i="67"/>
  <c r="E13" i="65"/>
  <c r="E17" i="67"/>
  <c r="E17" i="69"/>
  <c r="E7" i="56"/>
  <c r="E11" i="56" s="1"/>
  <c r="D7" i="56"/>
  <c r="D9" i="56" s="1"/>
  <c r="E7" i="55"/>
  <c r="E9" i="55" s="1"/>
  <c r="D7" i="55"/>
  <c r="D11" i="55"/>
  <c r="E69" i="54"/>
  <c r="F67" i="54"/>
  <c r="E67" i="54"/>
  <c r="E71" i="54" s="1"/>
  <c r="F61" i="54"/>
  <c r="F71" i="54" s="1"/>
  <c r="E61" i="54"/>
  <c r="F58" i="53"/>
  <c r="F62" i="53"/>
  <c r="E58" i="53"/>
  <c r="E62" i="53" s="1"/>
  <c r="F62" i="52"/>
  <c r="E62" i="52"/>
  <c r="E66" i="52" s="1"/>
  <c r="F19" i="52"/>
  <c r="E19" i="52"/>
  <c r="F42" i="51"/>
  <c r="E42" i="51"/>
  <c r="F38" i="51"/>
  <c r="F40" i="51" s="1"/>
  <c r="E38" i="51"/>
  <c r="E40" i="51"/>
  <c r="E34" i="50"/>
  <c r="F32" i="50"/>
  <c r="F36" i="50"/>
  <c r="E32" i="50"/>
  <c r="E36" i="50" s="1"/>
  <c r="F61" i="49"/>
  <c r="F65" i="49"/>
  <c r="E61" i="49"/>
  <c r="E65" i="49" s="1"/>
  <c r="F62" i="48"/>
  <c r="E62" i="48"/>
  <c r="E66" i="48" s="1"/>
  <c r="F56" i="48"/>
  <c r="F66" i="48" s="1"/>
  <c r="E56" i="48"/>
  <c r="E64" i="48" s="1"/>
  <c r="F32" i="47"/>
  <c r="F36" i="47"/>
  <c r="E32" i="47"/>
  <c r="E36" i="47" s="1"/>
  <c r="F50" i="46"/>
  <c r="E50" i="46"/>
  <c r="E54" i="46" s="1"/>
  <c r="F43" i="46"/>
  <c r="F52" i="46" s="1"/>
  <c r="E43" i="46"/>
  <c r="E52" i="46" s="1"/>
  <c r="F60" i="45"/>
  <c r="F62" i="45" s="1"/>
  <c r="E60" i="45"/>
  <c r="F56" i="45"/>
  <c r="F64" i="45" s="1"/>
  <c r="E56" i="45"/>
  <c r="E64" i="45" s="1"/>
  <c r="F72" i="44"/>
  <c r="F74" i="44" s="1"/>
  <c r="F76" i="44"/>
  <c r="E72" i="44"/>
  <c r="E74" i="44" s="1"/>
  <c r="F42" i="43"/>
  <c r="E42" i="43"/>
  <c r="F38" i="43"/>
  <c r="E38" i="43"/>
  <c r="F22" i="43"/>
  <c r="E22" i="43"/>
  <c r="F18" i="43"/>
  <c r="E18" i="43"/>
  <c r="F62" i="42"/>
  <c r="E62" i="42"/>
  <c r="F50" i="42"/>
  <c r="E50" i="42"/>
  <c r="F46" i="42"/>
  <c r="F64" i="42" s="1"/>
  <c r="E46" i="42"/>
  <c r="E64" i="42" s="1"/>
  <c r="E66" i="42"/>
  <c r="F43" i="41"/>
  <c r="F47" i="41"/>
  <c r="E43" i="41"/>
  <c r="E47" i="41" s="1"/>
  <c r="F75" i="40"/>
  <c r="E75" i="40"/>
  <c r="F66" i="40"/>
  <c r="E66" i="40"/>
  <c r="F61" i="40"/>
  <c r="E61" i="40"/>
  <c r="F57" i="40"/>
  <c r="E57" i="40"/>
  <c r="F46" i="40"/>
  <c r="E46" i="40"/>
  <c r="F41" i="40"/>
  <c r="F77" i="40" s="1"/>
  <c r="E41" i="40"/>
  <c r="E79" i="40" s="1"/>
  <c r="F53" i="39"/>
  <c r="E53" i="39"/>
  <c r="F48" i="39"/>
  <c r="E48" i="39"/>
  <c r="F43" i="39"/>
  <c r="E43" i="39"/>
  <c r="E58" i="39" s="1"/>
  <c r="D9" i="55"/>
  <c r="F60" i="53"/>
  <c r="E64" i="52"/>
  <c r="F34" i="50"/>
  <c r="F63" i="49"/>
  <c r="E34" i="47"/>
  <c r="F34" i="47"/>
  <c r="F45" i="41"/>
  <c r="F79" i="40" l="1"/>
  <c r="E62" i="45"/>
  <c r="F64" i="48"/>
  <c r="E60" i="53"/>
  <c r="F58" i="39"/>
  <c r="E45" i="41"/>
  <c r="F66" i="42"/>
  <c r="E46" i="43"/>
  <c r="E76" i="44"/>
  <c r="F54" i="46"/>
  <c r="F66" i="52"/>
  <c r="F69" i="54"/>
  <c r="E63" i="49"/>
  <c r="E77" i="40"/>
  <c r="F44" i="43"/>
  <c r="F46" i="43"/>
  <c r="E44" i="43"/>
  <c r="F55" i="39"/>
  <c r="E55" i="39"/>
  <c r="E11" i="55"/>
  <c r="D11" i="56"/>
  <c r="E9" i="56"/>
  <c r="F64" i="52"/>
</calcChain>
</file>

<file path=xl/sharedStrings.xml><?xml version="1.0" encoding="utf-8"?>
<sst xmlns="http://schemas.openxmlformats.org/spreadsheetml/2006/main" count="7683" uniqueCount="1577">
  <si>
    <t>Name of the Instrument</t>
  </si>
  <si>
    <t>Quantity</t>
  </si>
  <si>
    <t>ISIN Number</t>
  </si>
  <si>
    <t xml:space="preserve">Market Value(Rs. in Lakhs) </t>
  </si>
  <si>
    <t>% to Net Assets</t>
  </si>
  <si>
    <t>Industry Classification / Rating</t>
  </si>
  <si>
    <t>YTM</t>
  </si>
  <si>
    <t>Portfolio Statement as on October 30, 2020</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</si>
  <si>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</si>
  <si>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</si>
  <si>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</si>
  <si>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</si>
  <si>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</si>
  <si>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</si>
  <si>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</si>
  <si>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</si>
  <si>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</si>
  <si>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</si>
  <si>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</si>
  <si>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</si>
  <si>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</si>
  <si>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</si>
  <si>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</si>
  <si>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</si>
  <si>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</si>
  <si>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</si>
  <si>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</si>
  <si>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</si>
  <si>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</si>
  <si>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</si>
  <si>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</si>
  <si>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</si>
  <si>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</si>
  <si>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</si>
  <si>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Indostar Capital Finance Ltd (1Y SBI MCLR + 200 Bps) (02-May-2023) **</t>
  </si>
  <si>
    <t>INE896L07561</t>
  </si>
  <si>
    <t>CARE AA-</t>
  </si>
  <si>
    <t>Indostar Capital Finance Ltd (1Y SBI MCLR + 325 Bps) (02-Nov-2021) **</t>
  </si>
  <si>
    <t>INE896L07660</t>
  </si>
  <si>
    <t>CRISIL AA-</t>
  </si>
  <si>
    <t>10.75% The Tata Power Co Ltd (21-Aug-2022) **</t>
  </si>
  <si>
    <t>INE245A08042</t>
  </si>
  <si>
    <t>CRISIL AAA</t>
  </si>
  <si>
    <t>Sub Total</t>
  </si>
  <si>
    <t>(b) Privately Placed / Unlisted</t>
  </si>
  <si>
    <t>0.00% KKR India Financial Services Pvt Ltd (10-Mar-2021) **</t>
  </si>
  <si>
    <t>INE321N07244</t>
  </si>
  <si>
    <t>CRISIL AA</t>
  </si>
  <si>
    <t>Total</t>
  </si>
  <si>
    <t>Net Assets</t>
  </si>
  <si>
    <t>Call, Cash &amp; Other Assets</t>
  </si>
  <si>
    <t>Notes</t>
  </si>
  <si>
    <t>a) NAV at the beginning and at the end of the Half-year ended 30-Oct-2020</t>
  </si>
  <si>
    <t xml:space="preserve">      Plan/Option</t>
  </si>
  <si>
    <t>As on 30-Oct-2020</t>
  </si>
  <si>
    <t>As on 30-Apr-2020</t>
  </si>
  <si>
    <t>b) Aggregate Dividends declared during the Half - year ended 30-Oct-2020</t>
  </si>
  <si>
    <t>Nil</t>
  </si>
  <si>
    <t>(In Years)</t>
  </si>
  <si>
    <t>8.90% Vedanta Ltd (09-Dec-2021) **</t>
  </si>
  <si>
    <t>INE205A07162</t>
  </si>
  <si>
    <t>* Less than 0.01%</t>
  </si>
  <si>
    <t>Money Market Instruments</t>
  </si>
  <si>
    <t>Certificate of Deposit</t>
  </si>
  <si>
    <t>Bank of Baroda (11-Feb-2021) **</t>
  </si>
  <si>
    <t>INE028A16BX1</t>
  </si>
  <si>
    <t>IND A1+</t>
  </si>
  <si>
    <t>CRISIL A1+</t>
  </si>
  <si>
    <t>Plan Name</t>
  </si>
  <si>
    <t>Dividend per unit (Rs.)+++</t>
  </si>
  <si>
    <t>+++ Dividend payouts/ re-investments are subject to deduction of TDS at the applicable rates.</t>
  </si>
  <si>
    <t xml:space="preserve">      Growth Plan</t>
  </si>
  <si>
    <t xml:space="preserve">      Monthly Dividend Plan</t>
  </si>
  <si>
    <t xml:space="preserve">      Quarterly Dividend Plan</t>
  </si>
  <si>
    <t xml:space="preserve">      Direct Growth Plan</t>
  </si>
  <si>
    <t xml:space="preserve">      Direct Monthly Dividend Plan</t>
  </si>
  <si>
    <t xml:space="preserve">      Direct Quarterly Dividend Plan</t>
  </si>
  <si>
    <t xml:space="preserve">      Dividend Plan</t>
  </si>
  <si>
    <t xml:space="preserve">      Direct Dividend Plan</t>
  </si>
  <si>
    <t>Government Securities</t>
  </si>
  <si>
    <t>6.19% GOI 2034 (16-Sep-2034)</t>
  </si>
  <si>
    <t>IN0020200096</t>
  </si>
  <si>
    <t>SOVEREIGN</t>
  </si>
  <si>
    <t>5.77% GOI 2030 (03-Aug-2030)</t>
  </si>
  <si>
    <t>IN0020200153</t>
  </si>
  <si>
    <t>7.27% GOI 2026 (08-Apr-2026)</t>
  </si>
  <si>
    <t>IN0020190016</t>
  </si>
  <si>
    <t>7.32% GOI 2024 (28-Jan-2024)</t>
  </si>
  <si>
    <t>IN0020180488</t>
  </si>
  <si>
    <t>5.22% GOI 2025 (15-Jun-2025)</t>
  </si>
  <si>
    <t>IN0020200112</t>
  </si>
  <si>
    <t xml:space="preserve">      Growth Option</t>
  </si>
  <si>
    <t xml:space="preserve">      Direct Growth Option</t>
  </si>
  <si>
    <t>8.85% REC Ltd (16-Apr-2029) **</t>
  </si>
  <si>
    <t>INE020B08BQ7</t>
  </si>
  <si>
    <t>8.85% Power Finance Corporation Ltd (25-May-2029) **</t>
  </si>
  <si>
    <t>INE134E08KC1</t>
  </si>
  <si>
    <t>Equity &amp; Equity related</t>
  </si>
  <si>
    <t>HDFC Bank Ltd</t>
  </si>
  <si>
    <t>INE040A01034</t>
  </si>
  <si>
    <t>Banks</t>
  </si>
  <si>
    <t>Infosys Ltd</t>
  </si>
  <si>
    <t>INE009A01021</t>
  </si>
  <si>
    <t>Software</t>
  </si>
  <si>
    <t>Axis Bank Ltd</t>
  </si>
  <si>
    <t>INE238A01034</t>
  </si>
  <si>
    <t>Bharti Airtel Ltd</t>
  </si>
  <si>
    <t>INE397D01024</t>
  </si>
  <si>
    <t>Telecom - Services</t>
  </si>
  <si>
    <t>Kotak Mahindra Bank Ltd</t>
  </si>
  <si>
    <t>INE237A01028</t>
  </si>
  <si>
    <t>ICICI Bank Ltd</t>
  </si>
  <si>
    <t>INE090A01021</t>
  </si>
  <si>
    <t>Grasim Industries Ltd</t>
  </si>
  <si>
    <t>INE047A01021</t>
  </si>
  <si>
    <t>Cement</t>
  </si>
  <si>
    <t>Balkrishna Industries Ltd</t>
  </si>
  <si>
    <t>INE787D01026</t>
  </si>
  <si>
    <t>Auto Ancillaries</t>
  </si>
  <si>
    <t>Petronet LNG Ltd</t>
  </si>
  <si>
    <t>INE347G01014</t>
  </si>
  <si>
    <t>Gas</t>
  </si>
  <si>
    <t>Hindalco Industries Ltd</t>
  </si>
  <si>
    <t>INE038A01020</t>
  </si>
  <si>
    <t>Non - Ferrous Metals</t>
  </si>
  <si>
    <t>Voltas Ltd</t>
  </si>
  <si>
    <t>INE226A01021</t>
  </si>
  <si>
    <t>Consumer Durables</t>
  </si>
  <si>
    <t>Colgate Palmolive (India) Ltd</t>
  </si>
  <si>
    <t>INE259A01022</t>
  </si>
  <si>
    <t>Consumer Non Durables</t>
  </si>
  <si>
    <t>Mahindra &amp; Mahindra Ltd</t>
  </si>
  <si>
    <t>INE101A01026</t>
  </si>
  <si>
    <t>Auto</t>
  </si>
  <si>
    <t>Gujarat State Petronet Ltd</t>
  </si>
  <si>
    <t>INE246F01010</t>
  </si>
  <si>
    <t>Tata Steel Ltd</t>
  </si>
  <si>
    <t>INE081A01012</t>
  </si>
  <si>
    <t>Ferrous Metals</t>
  </si>
  <si>
    <t>Cadila Healthcare Ltd</t>
  </si>
  <si>
    <t>INE010B01027</t>
  </si>
  <si>
    <t>Pharmaceuticals</t>
  </si>
  <si>
    <t>Hindustan Petroleum Corporation Ltd</t>
  </si>
  <si>
    <t>INE094A01015</t>
  </si>
  <si>
    <t>Petroleum Products</t>
  </si>
  <si>
    <t>Power Grid Corporation of India Ltd</t>
  </si>
  <si>
    <t>INE752E01010</t>
  </si>
  <si>
    <t>Power</t>
  </si>
  <si>
    <t>NTPC Ltd</t>
  </si>
  <si>
    <t>INE733E01010</t>
  </si>
  <si>
    <t>State Bank of India</t>
  </si>
  <si>
    <t>INE062A01020</t>
  </si>
  <si>
    <t>Bharat Petroleum Corporation Ltd</t>
  </si>
  <si>
    <t>INE029A01011</t>
  </si>
  <si>
    <t>Bajaj Auto Ltd</t>
  </si>
  <si>
    <t>INE917I01010</t>
  </si>
  <si>
    <t>Kansai Nerolac Paints Ltd</t>
  </si>
  <si>
    <t>INE531A01024</t>
  </si>
  <si>
    <t>Cummins India Ltd</t>
  </si>
  <si>
    <t>INE298A01020</t>
  </si>
  <si>
    <t>Industrial Products</t>
  </si>
  <si>
    <t>United Breweries Ltd</t>
  </si>
  <si>
    <t>INE686F01025</t>
  </si>
  <si>
    <t>TVS Motor Co Ltd</t>
  </si>
  <si>
    <t>INE494B01023</t>
  </si>
  <si>
    <t>Aditya Birla Fashion and Retail Ltd</t>
  </si>
  <si>
    <t>INE647O01011</t>
  </si>
  <si>
    <t>Retailing</t>
  </si>
  <si>
    <t>Tata Motors Ltd</t>
  </si>
  <si>
    <t>INE155A01022</t>
  </si>
  <si>
    <t>Karur Vysya Bank Ltd</t>
  </si>
  <si>
    <t>INE036D01028</t>
  </si>
  <si>
    <t>Jagran Prakashan Ltd</t>
  </si>
  <si>
    <t>INE199G01027</t>
  </si>
  <si>
    <t>Media &amp; Entertainment</t>
  </si>
  <si>
    <t>Aditya Birla Fashion and Retail Ltd – Partly Paid</t>
  </si>
  <si>
    <t>IN9647O01019</t>
  </si>
  <si>
    <t>Coal India Ltd</t>
  </si>
  <si>
    <t>INE522F01014</t>
  </si>
  <si>
    <t>Minerals/Mining</t>
  </si>
  <si>
    <t>6.95% Housing Development Finance Corporation Ltd (27-Apr-2023) **</t>
  </si>
  <si>
    <t>INE001A07SK8</t>
  </si>
  <si>
    <t>6.18% GOI 2024 (04-Nov-2024)</t>
  </si>
  <si>
    <t>IN0020190396</t>
  </si>
  <si>
    <t>Dr. Reddy's Laboratories Ltd</t>
  </si>
  <si>
    <t>INE089A01023</t>
  </si>
  <si>
    <t>Housing Development Finance Corporation Ltd</t>
  </si>
  <si>
    <t>INE001A01036</t>
  </si>
  <si>
    <t>Finance</t>
  </si>
  <si>
    <t>Sun TV Network Ltd</t>
  </si>
  <si>
    <t>INE424H01027</t>
  </si>
  <si>
    <t>Maruti Suzuki India Ltd</t>
  </si>
  <si>
    <t>INE585B01010</t>
  </si>
  <si>
    <t>Tata Power Co Ltd</t>
  </si>
  <si>
    <t>INE245A01021</t>
  </si>
  <si>
    <t>NHPC Ltd</t>
  </si>
  <si>
    <t>INE848E01016</t>
  </si>
  <si>
    <t>Tech Mahindra Ltd</t>
  </si>
  <si>
    <t>INE669C01036</t>
  </si>
  <si>
    <t>Cholamandalam Financial Holdings Ltd</t>
  </si>
  <si>
    <t>INE149A01033</t>
  </si>
  <si>
    <t>Dabur India Ltd</t>
  </si>
  <si>
    <t>INE016A01026</t>
  </si>
  <si>
    <t>Nestle India Ltd</t>
  </si>
  <si>
    <t>INE239A01016</t>
  </si>
  <si>
    <t>Larsen &amp; Toubro Ltd</t>
  </si>
  <si>
    <t>INE018A01030</t>
  </si>
  <si>
    <t>Construction Project</t>
  </si>
  <si>
    <t>Indian Hotels Co Ltd</t>
  </si>
  <si>
    <t>INE053A01029</t>
  </si>
  <si>
    <t>Hotels/ Resorts And Other Recreational Activities</t>
  </si>
  <si>
    <t>Himatsingka Seide Ltd</t>
  </si>
  <si>
    <t>INE049A01027</t>
  </si>
  <si>
    <t>Textile Products</t>
  </si>
  <si>
    <t>Indian Oil Corporation Ltd</t>
  </si>
  <si>
    <t>INE242A01010</t>
  </si>
  <si>
    <t>Mahindra CIE Automotive Ltd</t>
  </si>
  <si>
    <t>INE536H01010</t>
  </si>
  <si>
    <t>PNB Housing Finance Ltd</t>
  </si>
  <si>
    <t>INE572E01012</t>
  </si>
  <si>
    <t>GAIL (India) Ltd</t>
  </si>
  <si>
    <t>INE129A01019</t>
  </si>
  <si>
    <t>Federal Bank Ltd</t>
  </si>
  <si>
    <t>INE171A01029</t>
  </si>
  <si>
    <t>c) Portfolio Turnover Ratio during the Half - year 30-Oct-2020</t>
  </si>
  <si>
    <t>d) Average Maturity as on 30-Oct-2020</t>
  </si>
  <si>
    <t xml:space="preserve">e) During the month additional instances of fair valuation/deviation from valuation price provided by the valuation agencies </t>
  </si>
  <si>
    <t>Tata Consultancy Services Ltd</t>
  </si>
  <si>
    <t>INE467B01029</t>
  </si>
  <si>
    <t>Titan Co Ltd</t>
  </si>
  <si>
    <t>INE280A01028</t>
  </si>
  <si>
    <t xml:space="preserve">(b) Unlisted </t>
  </si>
  <si>
    <t>INE671B01018</t>
  </si>
  <si>
    <t>Commercial Services</t>
  </si>
  <si>
    <t>National Bank For Agriculture &amp; Rural Development (18-Feb-2021) **</t>
  </si>
  <si>
    <t>INE261F16504</t>
  </si>
  <si>
    <t>Tata Motors Ltd DVR</t>
  </si>
  <si>
    <t>IN9155A01020</t>
  </si>
  <si>
    <t>ITC Ltd</t>
  </si>
  <si>
    <t>INE154A01025</t>
  </si>
  <si>
    <t>HCL Technologies Ltd</t>
  </si>
  <si>
    <t>INE860A01027</t>
  </si>
  <si>
    <t>Emami Ltd</t>
  </si>
  <si>
    <t>INE548C01032</t>
  </si>
  <si>
    <t>Bharat Electronics Ltd</t>
  </si>
  <si>
    <t>INE263A01024</t>
  </si>
  <si>
    <t>Industrial Capital Goods</t>
  </si>
  <si>
    <t>Oil &amp; Natural Gas Corporation Ltd</t>
  </si>
  <si>
    <t>INE213A01029</t>
  </si>
  <si>
    <t>Oil</t>
  </si>
  <si>
    <t>Finolex Cables Ltd</t>
  </si>
  <si>
    <t>INE235A01022</t>
  </si>
  <si>
    <t>Tata Chemicals Ltd</t>
  </si>
  <si>
    <t>INE092A01019</t>
  </si>
  <si>
    <t>Chemicals</t>
  </si>
  <si>
    <t>Container Corporation Of India Ltd</t>
  </si>
  <si>
    <t>INE111A01025</t>
  </si>
  <si>
    <t>Transportation</t>
  </si>
  <si>
    <t>Cyient Ltd</t>
  </si>
  <si>
    <t>INE136B01020</t>
  </si>
  <si>
    <t>ACC Ltd</t>
  </si>
  <si>
    <t>INE012A01025</t>
  </si>
  <si>
    <t>Gulf Oil Lubricants India Ltd</t>
  </si>
  <si>
    <t>INE635Q01029</t>
  </si>
  <si>
    <t>Apollo Tyres Ltd</t>
  </si>
  <si>
    <t>INE438A01022</t>
  </si>
  <si>
    <t>Bosch Ltd</t>
  </si>
  <si>
    <t>INE323A01026</t>
  </si>
  <si>
    <t>Century Textile &amp; Industries Ltd</t>
  </si>
  <si>
    <t>INE055A01016</t>
  </si>
  <si>
    <t>Paper</t>
  </si>
  <si>
    <t>Equitas Holdings Ltd</t>
  </si>
  <si>
    <t>INE988K01017</t>
  </si>
  <si>
    <t>Vardhman Textiles Ltd</t>
  </si>
  <si>
    <t>INE825A01012</t>
  </si>
  <si>
    <t>Textiles - Cotton</t>
  </si>
  <si>
    <t>Industry Classification</t>
  </si>
  <si>
    <t>Tata Investment Corporation Ltd</t>
  </si>
  <si>
    <t>INE672A01018</t>
  </si>
  <si>
    <t>Finolex Industries Ltd</t>
  </si>
  <si>
    <t>INE183A01016</t>
  </si>
  <si>
    <t>Tata Consumer Products Ltd</t>
  </si>
  <si>
    <t>INE192A01025</t>
  </si>
  <si>
    <t>Redington (India) Ltd</t>
  </si>
  <si>
    <t>INE891D01026</t>
  </si>
  <si>
    <t>J.K. Cement Ltd</t>
  </si>
  <si>
    <t>INE823G01014</t>
  </si>
  <si>
    <t>K.P.R. Mill Ltd</t>
  </si>
  <si>
    <t>INE930H01023</t>
  </si>
  <si>
    <t>Ashok Leyland Ltd</t>
  </si>
  <si>
    <t>INE208A01029</t>
  </si>
  <si>
    <t>National Aluminium Co Ltd</t>
  </si>
  <si>
    <t>INE139A01034</t>
  </si>
  <si>
    <t>Hindustan Unilever Ltd</t>
  </si>
  <si>
    <t>INE030A01027</t>
  </si>
  <si>
    <t>Sundaram Clayton Ltd</t>
  </si>
  <si>
    <t>INE105A01035</t>
  </si>
  <si>
    <t>Dalmia Bharat Ltd</t>
  </si>
  <si>
    <t>INE00R701025</t>
  </si>
  <si>
    <t>NMDC Ltd</t>
  </si>
  <si>
    <t>INE584A01023</t>
  </si>
  <si>
    <t>CESC Ltd</t>
  </si>
  <si>
    <t>INE486A01013</t>
  </si>
  <si>
    <t>(b) Units of Real Estate Investment Trusts (REITs)</t>
  </si>
  <si>
    <t>Embassy Office Parks REIT</t>
  </si>
  <si>
    <t>INE041025011</t>
  </si>
  <si>
    <t>Foreign Equity Securities</t>
  </si>
  <si>
    <t>Xinyi Solar Holdings Ltd</t>
  </si>
  <si>
    <t>KYG9829N1025</t>
  </si>
  <si>
    <t>US9047677045</t>
  </si>
  <si>
    <t>Aramex PJSC</t>
  </si>
  <si>
    <t>AEA002301017</t>
  </si>
  <si>
    <t>Novatek Microelectronics Corp. Ltd</t>
  </si>
  <si>
    <t>TW0003034005</t>
  </si>
  <si>
    <t>Semiconductors</t>
  </si>
  <si>
    <t>Travelsky Technology Ltd, H</t>
  </si>
  <si>
    <t>CNE1000004J3</t>
  </si>
  <si>
    <t>Xtep International Holdings Ltd</t>
  </si>
  <si>
    <t>KYG982771092</t>
  </si>
  <si>
    <t>Primax Electronics Ltd</t>
  </si>
  <si>
    <t>TW0004915004</t>
  </si>
  <si>
    <t>Hardware</t>
  </si>
  <si>
    <t>Mahle-Metal Leve S A</t>
  </si>
  <si>
    <t>BRLEVEACNOR2</t>
  </si>
  <si>
    <t>Fanhua Inc, (ADR)</t>
  </si>
  <si>
    <t>US30712A1034</t>
  </si>
  <si>
    <t>Info Edge (India) Ltd</t>
  </si>
  <si>
    <t>INE663F01024</t>
  </si>
  <si>
    <t>Larsen &amp; Toubro Infotech Ltd</t>
  </si>
  <si>
    <t>INE214T01019</t>
  </si>
  <si>
    <t>Happiest Minds Technologies Ltd</t>
  </si>
  <si>
    <t>INE419U01012</t>
  </si>
  <si>
    <t>Indiamart Intermesh Ltd</t>
  </si>
  <si>
    <t>INE933S01016</t>
  </si>
  <si>
    <t>JustDial Ltd</t>
  </si>
  <si>
    <t>INE599M01018</t>
  </si>
  <si>
    <t>Taiwan Semiconductor Manufacturing Co. Ltd</t>
  </si>
  <si>
    <t>TW0002330008</t>
  </si>
  <si>
    <t>Cognizant Technology Solutions Corp., A</t>
  </si>
  <si>
    <t>US1924461023</t>
  </si>
  <si>
    <t>Makemytrip Ltd</t>
  </si>
  <si>
    <t>MU0295S00016</t>
  </si>
  <si>
    <t>Twitter Inc.</t>
  </si>
  <si>
    <t>US90184L1026</t>
  </si>
  <si>
    <t>Samsung Electronics Co. Ltd</t>
  </si>
  <si>
    <t>KR7005930003</t>
  </si>
  <si>
    <t>Qualcomm Inc.</t>
  </si>
  <si>
    <t>US7475251036</t>
  </si>
  <si>
    <t>Telecom -  Equipment &amp; Accessories</t>
  </si>
  <si>
    <t>Mediatek Inc</t>
  </si>
  <si>
    <t>TW0002454006</t>
  </si>
  <si>
    <t>Salesforce.Com Inc</t>
  </si>
  <si>
    <t>US79466L3024</t>
  </si>
  <si>
    <t xml:space="preserve">Software                                </t>
  </si>
  <si>
    <t>Nvidia Corp</t>
  </si>
  <si>
    <t>US67066G1040</t>
  </si>
  <si>
    <t>Alphabet Inc</t>
  </si>
  <si>
    <t>US02079K3059</t>
  </si>
  <si>
    <t>Intel Corp</t>
  </si>
  <si>
    <t>US4581401001</t>
  </si>
  <si>
    <t>Sunny Optical Technology Group Co. Ltd</t>
  </si>
  <si>
    <t>KYG8586D1097</t>
  </si>
  <si>
    <t>Microsoft Corp</t>
  </si>
  <si>
    <t>US5949181045</t>
  </si>
  <si>
    <t>Foreign Mutual Fund Units</t>
  </si>
  <si>
    <t>Franklin Technology Fund, Class I (Acc)</t>
  </si>
  <si>
    <t>LU0626261944</t>
  </si>
  <si>
    <t>Foreign Mutual Fund</t>
  </si>
  <si>
    <t>Deepak Nitrite Ltd</t>
  </si>
  <si>
    <t>INE288B01029</t>
  </si>
  <si>
    <t>J.B. Chemicals &amp; Pharmaceuticals Ltd</t>
  </si>
  <si>
    <t>INE572A01028</t>
  </si>
  <si>
    <t>Brigade Enterprises Ltd</t>
  </si>
  <si>
    <t>INE791I01019</t>
  </si>
  <si>
    <t>Construction</t>
  </si>
  <si>
    <t>Nesco Ltd</t>
  </si>
  <si>
    <t>INE317F01035</t>
  </si>
  <si>
    <t>Jyothy Labs Ltd</t>
  </si>
  <si>
    <t>INE668F01031</t>
  </si>
  <si>
    <t>CCL Products (India) Ltd</t>
  </si>
  <si>
    <t>INE421D01022</t>
  </si>
  <si>
    <t>Blue Star Ltd</t>
  </si>
  <si>
    <t>INE472A01039</t>
  </si>
  <si>
    <t>Eris Lifesciences Ltd</t>
  </si>
  <si>
    <t>INE406M01024</t>
  </si>
  <si>
    <t>Atul Ltd</t>
  </si>
  <si>
    <t>INE100A01010</t>
  </si>
  <si>
    <t>Quess Corp Ltd</t>
  </si>
  <si>
    <t>INE615P01015</t>
  </si>
  <si>
    <t>Services</t>
  </si>
  <si>
    <t>TTK Prestige Ltd</t>
  </si>
  <si>
    <t>INE690A01010</t>
  </si>
  <si>
    <t>Teamlease Services Ltd</t>
  </si>
  <si>
    <t>INE985S01024</t>
  </si>
  <si>
    <t>Multi Commodity Exchange Of India Ltd</t>
  </si>
  <si>
    <t>INE745G01035</t>
  </si>
  <si>
    <t>Navneet Education Ltd</t>
  </si>
  <si>
    <t>INE060A01024</t>
  </si>
  <si>
    <t>Sobha Ltd</t>
  </si>
  <si>
    <t>INE671H01015</t>
  </si>
  <si>
    <t>Narayana Hrudayalaya Ltd</t>
  </si>
  <si>
    <t>INE410P01011</t>
  </si>
  <si>
    <t>Healthcare Services</t>
  </si>
  <si>
    <t>Carborundum Universal Ltd</t>
  </si>
  <si>
    <t>INE120A01034</t>
  </si>
  <si>
    <t>Metropolis Healthcare Ltd</t>
  </si>
  <si>
    <t>INE112L01020</t>
  </si>
  <si>
    <t>DCB Bank Ltd</t>
  </si>
  <si>
    <t>INE503A01015</t>
  </si>
  <si>
    <t>Ahluwalia Contracts (India) Ltd</t>
  </si>
  <si>
    <t>INE758C01029</t>
  </si>
  <si>
    <t>KNR Constructions Ltd</t>
  </si>
  <si>
    <t>INE634I01029</t>
  </si>
  <si>
    <t>JK Lakshmi Cement Ltd</t>
  </si>
  <si>
    <t>INE786A01032</t>
  </si>
  <si>
    <t>Tube Investments of India Ltd</t>
  </si>
  <si>
    <t>INE974X01010</t>
  </si>
  <si>
    <t>Cholamandalam Investment and Finance Co Ltd</t>
  </si>
  <si>
    <t>INE121A01024</t>
  </si>
  <si>
    <t>City Union Bank Ltd</t>
  </si>
  <si>
    <t>INE491A01021</t>
  </si>
  <si>
    <t>Lemon Tree Hotels Ltd</t>
  </si>
  <si>
    <t>INE970X01018</t>
  </si>
  <si>
    <t>GHCL Ltd</t>
  </si>
  <si>
    <t>INE539A01019</t>
  </si>
  <si>
    <t>V.I.P. Industries Ltd</t>
  </si>
  <si>
    <t>INE054A01027</t>
  </si>
  <si>
    <t>TV Today Network Ltd</t>
  </si>
  <si>
    <t>INE038F01029</t>
  </si>
  <si>
    <t>Music Broadcast Ltd</t>
  </si>
  <si>
    <t>INE919I01024</t>
  </si>
  <si>
    <t>Schaeffler India Ltd</t>
  </si>
  <si>
    <t>INE513A01014</t>
  </si>
  <si>
    <t>Ramkrishna Forgings Ltd</t>
  </si>
  <si>
    <t>INE399G01015</t>
  </si>
  <si>
    <t>Himadri Speciality Chemical Ltd</t>
  </si>
  <si>
    <t>INE019C01026</t>
  </si>
  <si>
    <t>KPIT Technologies Ltd</t>
  </si>
  <si>
    <t>INE04I401011</t>
  </si>
  <si>
    <t>Techno Electric &amp; Engineering Co Ltd</t>
  </si>
  <si>
    <t>INE285K01026</t>
  </si>
  <si>
    <t>Ashoka Buildcon Ltd</t>
  </si>
  <si>
    <t>INE442H01029</t>
  </si>
  <si>
    <t>M M Forgings Ltd</t>
  </si>
  <si>
    <t>INE227C01017</t>
  </si>
  <si>
    <t>Inox Leisure Ltd</t>
  </si>
  <si>
    <t>INE312H01016</t>
  </si>
  <si>
    <t>INE063P01018</t>
  </si>
  <si>
    <t>CARE Ratings Ltd</t>
  </si>
  <si>
    <t>INE752H01013</t>
  </si>
  <si>
    <t>Shankara Building Products Ltd</t>
  </si>
  <si>
    <t>INE274V01019</t>
  </si>
  <si>
    <t>Majesco Ltd</t>
  </si>
  <si>
    <t>INE898S01029</t>
  </si>
  <si>
    <t>Sanghi Industries Ltd</t>
  </si>
  <si>
    <t>INE999B01013</t>
  </si>
  <si>
    <t>Computer Age Management Services Ltd</t>
  </si>
  <si>
    <t>INE596I01012</t>
  </si>
  <si>
    <t>HT Media Ltd</t>
  </si>
  <si>
    <t>INE501G01024</t>
  </si>
  <si>
    <t>Pennar Industries Ltd</t>
  </si>
  <si>
    <t>INE932A01024</t>
  </si>
  <si>
    <t>Rallis India Ltd</t>
  </si>
  <si>
    <t>INE613A01020</t>
  </si>
  <si>
    <t>Pesticides</t>
  </si>
  <si>
    <t>The Ramco Cements Ltd</t>
  </si>
  <si>
    <t>INE331A01037</t>
  </si>
  <si>
    <t>Crompton Greaves Consumer Electricals Ltd</t>
  </si>
  <si>
    <t>INE299U01018</t>
  </si>
  <si>
    <t>Aarti Industries Ltd</t>
  </si>
  <si>
    <t>INE769A01020</t>
  </si>
  <si>
    <t>Apollo Hospitals Enterprise Ltd</t>
  </si>
  <si>
    <t>INE437A01024</t>
  </si>
  <si>
    <t>Trent Ltd</t>
  </si>
  <si>
    <t>INE849A01020</t>
  </si>
  <si>
    <t>PI Industries Ltd</t>
  </si>
  <si>
    <t>INE603J01030</t>
  </si>
  <si>
    <t>SKF India Ltd</t>
  </si>
  <si>
    <t>INE640A01023</t>
  </si>
  <si>
    <t>Oberoi Realty Ltd</t>
  </si>
  <si>
    <t>INE093I01010</t>
  </si>
  <si>
    <t>Sundaram Finance Ltd</t>
  </si>
  <si>
    <t>INE660A01013</t>
  </si>
  <si>
    <t>Coromandel International Ltd</t>
  </si>
  <si>
    <t>INE169A01031</t>
  </si>
  <si>
    <t>Fertilisers</t>
  </si>
  <si>
    <t>Mphasis Ltd</t>
  </si>
  <si>
    <t>INE356A01018</t>
  </si>
  <si>
    <t>AIA Engineering Ltd</t>
  </si>
  <si>
    <t>INE212H01026</t>
  </si>
  <si>
    <t>Kajaria Ceramics Ltd</t>
  </si>
  <si>
    <t>INE217B01036</t>
  </si>
  <si>
    <t>Sundram Fasteners Ltd</t>
  </si>
  <si>
    <t>INE387A01021</t>
  </si>
  <si>
    <t>RBL Bank Ltd</t>
  </si>
  <si>
    <t>INE976G01028</t>
  </si>
  <si>
    <t>EPL Ltd</t>
  </si>
  <si>
    <t>INE255A01020</t>
  </si>
  <si>
    <t>Torrent Power Ltd</t>
  </si>
  <si>
    <t>INE813H01021</t>
  </si>
  <si>
    <t>Bharat Forge Ltd</t>
  </si>
  <si>
    <t>INE465A01025</t>
  </si>
  <si>
    <t>Phoenix Mills Ltd</t>
  </si>
  <si>
    <t>INE211B01039</t>
  </si>
  <si>
    <t>Asian Paints Ltd</t>
  </si>
  <si>
    <t>INE021A01026</t>
  </si>
  <si>
    <t>GTPL Hathway Ltd</t>
  </si>
  <si>
    <t>INE869I01013</t>
  </si>
  <si>
    <t>Caplin Point Laboratories Ltd</t>
  </si>
  <si>
    <t>INE475E01026</t>
  </si>
  <si>
    <t>Kalyani Invest Co Ltd</t>
  </si>
  <si>
    <t>INE029L01018</t>
  </si>
  <si>
    <t>INE696201123</t>
  </si>
  <si>
    <t>Ultratech Cement Ltd</t>
  </si>
  <si>
    <t>INE481G01011</t>
  </si>
  <si>
    <t>Interglobe Aviation Ltd</t>
  </si>
  <si>
    <t>INE646L01027</t>
  </si>
  <si>
    <t>Lupin Ltd</t>
  </si>
  <si>
    <t>INE326A01037</t>
  </si>
  <si>
    <t>KEI Industries Ltd</t>
  </si>
  <si>
    <t>INE878B01027</t>
  </si>
  <si>
    <t>Orient Cement Ltd</t>
  </si>
  <si>
    <t>INE876N01018</t>
  </si>
  <si>
    <t>Spicejet Ltd</t>
  </si>
  <si>
    <t>INE285B01017</t>
  </si>
  <si>
    <t>ITD Cementation India Ltd</t>
  </si>
  <si>
    <t>INE686A01026</t>
  </si>
  <si>
    <t>Somany Ceramics Ltd</t>
  </si>
  <si>
    <t>INE355A01028</t>
  </si>
  <si>
    <t>Hindustan Aeronautics Ltd</t>
  </si>
  <si>
    <t>INE066F01012</t>
  </si>
  <si>
    <t>Aerospace &amp; Defense</t>
  </si>
  <si>
    <t>Marico Ltd</t>
  </si>
  <si>
    <t>INE196A01026</t>
  </si>
  <si>
    <t>United Spirits Ltd</t>
  </si>
  <si>
    <t>INE854D01024</t>
  </si>
  <si>
    <t>ICICI Prudential Life Insurance Co Ltd</t>
  </si>
  <si>
    <t>INE726G01019</t>
  </si>
  <si>
    <t>Sun Pharmaceutical Industries Ltd</t>
  </si>
  <si>
    <t>INE044A01036</t>
  </si>
  <si>
    <t>Aditya Birla Capital Ltd</t>
  </si>
  <si>
    <t>INE674K01013</t>
  </si>
  <si>
    <t>Gujarat Pipavav Port Ltd</t>
  </si>
  <si>
    <t>INE517F01014</t>
  </si>
  <si>
    <t>CG Power and Industrial Solutions Ltd</t>
  </si>
  <si>
    <t>INE067A01029</t>
  </si>
  <si>
    <t>Arvind Fashions Ltd</t>
  </si>
  <si>
    <t>INE955V01021</t>
  </si>
  <si>
    <t>Vodafone Idea Ltd</t>
  </si>
  <si>
    <t>INE669E01016</t>
  </si>
  <si>
    <t>IndusInd Bank Ltd</t>
  </si>
  <si>
    <t>INE095A01012</t>
  </si>
  <si>
    <t>NRB Bearings Ltd</t>
  </si>
  <si>
    <t>INE349A01021</t>
  </si>
  <si>
    <t>Dish TV India Ltd</t>
  </si>
  <si>
    <t>INE836F01026</t>
  </si>
  <si>
    <t>Ambuja Cements Ltd</t>
  </si>
  <si>
    <t>INE079A01024</t>
  </si>
  <si>
    <t>Gateway Distriparks Ltd</t>
  </si>
  <si>
    <t>INE852F01015</t>
  </si>
  <si>
    <t>Puravankara Ltd</t>
  </si>
  <si>
    <t>INE323I01011</t>
  </si>
  <si>
    <t>The New India Assurance Co Ltd</t>
  </si>
  <si>
    <t>INE470Y01017</t>
  </si>
  <si>
    <t>Hindustan Media Vent Ltd</t>
  </si>
  <si>
    <t>INE871K01015</t>
  </si>
  <si>
    <t>Godrej Properties Ltd</t>
  </si>
  <si>
    <t>INE484J01027</t>
  </si>
  <si>
    <t>Motilal Oswal Financial Services Ltd</t>
  </si>
  <si>
    <t>INE338I01027</t>
  </si>
  <si>
    <t>Tencent Holdings Ltd</t>
  </si>
  <si>
    <t>KYG875721634</t>
  </si>
  <si>
    <t>Alibaba Group Holding Ltd (ADR)</t>
  </si>
  <si>
    <t>US01609W1027</t>
  </si>
  <si>
    <t>Meituan Dianping</t>
  </si>
  <si>
    <t>KYG596691041</t>
  </si>
  <si>
    <t>AIA Group Ltd</t>
  </si>
  <si>
    <t>HK0000069689</t>
  </si>
  <si>
    <t>Ping An Insurance (Group) Co. Of China Ltd, H</t>
  </si>
  <si>
    <t>CNE1000003X6</t>
  </si>
  <si>
    <t>New Oriental Education &amp; Technology Group Inc, (ADR)</t>
  </si>
  <si>
    <t>US6475811070</t>
  </si>
  <si>
    <t>Diversified Consumer Service</t>
  </si>
  <si>
    <t>China Mengniu Dairy Co. Ltd</t>
  </si>
  <si>
    <t>KYG210961051</t>
  </si>
  <si>
    <t>Techtronic Industries Co. Ltd</t>
  </si>
  <si>
    <t>HK0669013440</t>
  </si>
  <si>
    <t>Naver Corp</t>
  </si>
  <si>
    <t>KR7035420009</t>
  </si>
  <si>
    <t>Bank Central Asia Tbk Pt</t>
  </si>
  <si>
    <t>ID1000109507</t>
  </si>
  <si>
    <t>Kweichow Moutai Co. Ltd, A</t>
  </si>
  <si>
    <t>CNE0000018R8</t>
  </si>
  <si>
    <t>China Merchants Bank Co Ltd</t>
  </si>
  <si>
    <t>CNE1000002M1</t>
  </si>
  <si>
    <t>China Resources Land Ltd</t>
  </si>
  <si>
    <t>KYG2108Y1052</t>
  </si>
  <si>
    <t>SM Investments Corp</t>
  </si>
  <si>
    <t>PHY806761029</t>
  </si>
  <si>
    <t>Semen Indonesia (Persero) Tbk PT</t>
  </si>
  <si>
    <t>ID1000106800</t>
  </si>
  <si>
    <t>Alibaba Health Information Technology Ltd</t>
  </si>
  <si>
    <t>BMG0171K1018</t>
  </si>
  <si>
    <t>Budweiser Brewing Co APAC Ltd</t>
  </si>
  <si>
    <t>KYG1674K1013</t>
  </si>
  <si>
    <t>JD.Com Inc</t>
  </si>
  <si>
    <t>KYG8208B1014</t>
  </si>
  <si>
    <t>Midea Group Co Ltd</t>
  </si>
  <si>
    <t>CNE100001QQ5</t>
  </si>
  <si>
    <t>Yum China Holdings INC</t>
  </si>
  <si>
    <t>US98850P1093</t>
  </si>
  <si>
    <t>Sea Ltd (ADR)</t>
  </si>
  <si>
    <t>US81141R1005</t>
  </si>
  <si>
    <t>China Resources Cement Holdings Ltd</t>
  </si>
  <si>
    <t>KYG2113L1068</t>
  </si>
  <si>
    <t>Country Garden Services Holdings Co Ltd</t>
  </si>
  <si>
    <t>KYG2453A1085</t>
  </si>
  <si>
    <t>Trip.Com Group Ltd, (ADR)</t>
  </si>
  <si>
    <t>US89677Q1076</t>
  </si>
  <si>
    <t>Indocement Tunggal Prakarsa Tbk Pt</t>
  </si>
  <si>
    <t>ID1000061302</t>
  </si>
  <si>
    <t>CNOOC Ltd</t>
  </si>
  <si>
    <t>HK0883013259</t>
  </si>
  <si>
    <t>ACE Hardware Indonesia Tbk Pt</t>
  </si>
  <si>
    <t>ID1000125503</t>
  </si>
  <si>
    <t>The Siam Cement PCL, Fgn.</t>
  </si>
  <si>
    <t>TH0003010Z12</t>
  </si>
  <si>
    <t>Beijing Oriental Yuhong Waterproof Technology Co Ltd</t>
  </si>
  <si>
    <t>CNE100000CS3</t>
  </si>
  <si>
    <t>Engineering Services</t>
  </si>
  <si>
    <t>SK Hynix Inc</t>
  </si>
  <si>
    <t>KR7000660001</t>
  </si>
  <si>
    <t>Minor International Pcl, Fgn.</t>
  </si>
  <si>
    <t>TH0128B10Z17</t>
  </si>
  <si>
    <t>Largan Precision Co. Ltd</t>
  </si>
  <si>
    <t>TW0003008009</t>
  </si>
  <si>
    <t>Samsonite International S A</t>
  </si>
  <si>
    <t>LU0633102719</t>
  </si>
  <si>
    <t>Health &amp; Happiness H&amp;H International Holdings Ltd</t>
  </si>
  <si>
    <t>KYG4387E1070</t>
  </si>
  <si>
    <t>Minor International PCL- Warrants (31-July-2023)</t>
  </si>
  <si>
    <t>TH0128053707</t>
  </si>
  <si>
    <t>Minor International PCL- Warrants (30-Sep-2021)</t>
  </si>
  <si>
    <t>TH0128051909</t>
  </si>
  <si>
    <t>Reliance Industries Ltd</t>
  </si>
  <si>
    <t>INE002A01018</t>
  </si>
  <si>
    <t>Bajaj Finance Ltd</t>
  </si>
  <si>
    <t>INE296A01024</t>
  </si>
  <si>
    <t>Wipro Ltd</t>
  </si>
  <si>
    <t>INE075A01022</t>
  </si>
  <si>
    <t>HDFC Life Insurance Co Ltd</t>
  </si>
  <si>
    <t>INE795G01014</t>
  </si>
  <si>
    <t>Britannia Industries Ltd</t>
  </si>
  <si>
    <t>INE216A01030</t>
  </si>
  <si>
    <t>Divi's Laboratories Ltd</t>
  </si>
  <si>
    <t>INE361B01024</t>
  </si>
  <si>
    <t>Cipla Ltd</t>
  </si>
  <si>
    <t>INE059A01026</t>
  </si>
  <si>
    <t>Hero MotoCorp Ltd</t>
  </si>
  <si>
    <t>INE158A01026</t>
  </si>
  <si>
    <t>Bajaj Finserv Ltd</t>
  </si>
  <si>
    <t>INE918I01018</t>
  </si>
  <si>
    <t>JSW Steel Ltd</t>
  </si>
  <si>
    <t>INE019A01038</t>
  </si>
  <si>
    <t>Eicher Motors Ltd</t>
  </si>
  <si>
    <t>INE066A01021</t>
  </si>
  <si>
    <t>Shree Cement Ltd</t>
  </si>
  <si>
    <t>INE070A01015</t>
  </si>
  <si>
    <t>SBI Life Insurance Co Ltd</t>
  </si>
  <si>
    <t>INE123W01016</t>
  </si>
  <si>
    <t>Adani Ports and Special Economic Zone Ltd</t>
  </si>
  <si>
    <t>INE742F01042</t>
  </si>
  <si>
    <t>UPL Ltd</t>
  </si>
  <si>
    <t>INE628A01036</t>
  </si>
  <si>
    <t>Yes Bank Ltd</t>
  </si>
  <si>
    <t>INE528G01035</t>
  </si>
  <si>
    <t>Prestige Estates Projects Ltd</t>
  </si>
  <si>
    <t>INE811K01011</t>
  </si>
  <si>
    <t>Franklin U.S. Opportunities Fund, Class I (Acc)</t>
  </si>
  <si>
    <t>LU0195948665</t>
  </si>
  <si>
    <t>Templeton European Opportunities Fund, Class I (Acc)</t>
  </si>
  <si>
    <t>LU0195949390</t>
  </si>
  <si>
    <t>Mutual Fund Units</t>
  </si>
  <si>
    <t>Franklin India Bluechip Fund Direct-Growth Plan</t>
  </si>
  <si>
    <t>INF090I01FN7</t>
  </si>
  <si>
    <t>Franklin India Short-Term Income Plan (No. of Segregated Portfolios in the Scheme- 3) - (under winding up) Direct-Growth Plan ^^</t>
  </si>
  <si>
    <t>INF090I01GK1</t>
  </si>
  <si>
    <t>Nippon India ETF Gold Bees</t>
  </si>
  <si>
    <t>INF204KB17I5</t>
  </si>
  <si>
    <t>Franklin India Short Term Income Plan-Segregated Portfolio 3- 9.50% Yes Bank Ltd CO 23Dec21-Direct-Growth Plan</t>
  </si>
  <si>
    <t>INF090I01VS3</t>
  </si>
  <si>
    <t>Franklin India Short Term Income Plan- Segregated Portfolio 2- 10.90% Vodafone Idea Ltd 02Sep2023 (P/C 03Sep2021)-Direct-Growth Plan</t>
  </si>
  <si>
    <t>INF090I01UY3</t>
  </si>
  <si>
    <t>Franklin India Savings Fund Direct-Growth Plan</t>
  </si>
  <si>
    <t>INF090I01GV8</t>
  </si>
  <si>
    <t>Templeton India Value Fund Direct-Growth Plan</t>
  </si>
  <si>
    <t>INF090I01GY2</t>
  </si>
  <si>
    <t xml:space="preserve">      Dividend Option</t>
  </si>
  <si>
    <t xml:space="preserve">      Direct Dividend Option</t>
  </si>
  <si>
    <t>Franklin India Corporate Debt Fund Direct-Growth Plan</t>
  </si>
  <si>
    <t>INF090I01FW8</t>
  </si>
  <si>
    <t>Franklin India Dynamic Accrual Fund (No. of Segregated Portfolios in the Scheme- 3) - (under winding up) Direct-Growth Plan ^^</t>
  </si>
  <si>
    <t>INF090I01HB8</t>
  </si>
  <si>
    <t>Franklin India Dynamic Accrual Fund- Segregated Portfolio 3- 9.50% Yes Bank Ltd CO 23Dec21-Direct-Growth Plan</t>
  </si>
  <si>
    <t>INF090I01WD3</t>
  </si>
  <si>
    <t>Franklin India Dynamic Accrual Fund- Segregated Portfolio 2- 10.90% Vodafone Idea Ltd 02Sep2023 (P/C 03Sep2021)-Direct-Growth Plan</t>
  </si>
  <si>
    <t>INF090I01TX7</t>
  </si>
  <si>
    <t>Franklin India Prima Fund Direct-Growth Plan</t>
  </si>
  <si>
    <t>INF090I01FH9</t>
  </si>
  <si>
    <t>Franklin India Equity Fund Direct-Growth Plan</t>
  </si>
  <si>
    <t>INF090I01FK3</t>
  </si>
  <si>
    <t>Portfolio Statement as on October 29, 2020</t>
  </si>
  <si>
    <t>^^ Securities are fair Valued</t>
  </si>
  <si>
    <t>a) NAV at the beginning and at the end of the Half-year ended 29-Oct-2020</t>
  </si>
  <si>
    <t>As on 29-Oct-2020</t>
  </si>
  <si>
    <t>b) Aggregate Dividends declared during the Half - year ended 29-Oct-2020</t>
  </si>
  <si>
    <t>c) Portfolio Turnover Ratio during the Half - year 29-Oct-2020</t>
  </si>
  <si>
    <t>^ Franklin India Feeder - Franklin European Growth Fund is renamed as Franklin India Feeder - Templeton European Opportunities Fund effective Aug 18, 2020.</t>
  </si>
  <si>
    <t>Franklin India Feeder - Templeton European Opportunities Fund ^</t>
  </si>
  <si>
    <t>Unilever PLC (ADR)</t>
  </si>
  <si>
    <t>% to Net Assets Derivative</t>
  </si>
  <si>
    <t>% to Net Assets(Hedged &amp; Unhedged)</t>
  </si>
  <si>
    <t>Margin on Derivatives</t>
  </si>
  <si>
    <t>Equitas Small Finance Bank Ltd ##</t>
  </si>
  <si>
    <t>## Awaiting Listing</t>
  </si>
  <si>
    <t>Franklin India Liquid Fund</t>
  </si>
  <si>
    <t>Rating</t>
  </si>
  <si>
    <t>INE916DA7PH7</t>
  </si>
  <si>
    <t>0.00% Kotak Mahindra Prime Ltd (23-Dec-2020)</t>
  </si>
  <si>
    <t>INE001A07RC7</t>
  </si>
  <si>
    <t>7.40% Housing Development Finance Corporation Ltd (17-Nov-2020) **</t>
  </si>
  <si>
    <t>INE514E16BP8</t>
  </si>
  <si>
    <t>Export-Import Bank Of India (02-Dec-2020)</t>
  </si>
  <si>
    <t>Commercial Paper</t>
  </si>
  <si>
    <t>INE028E14HF2</t>
  </si>
  <si>
    <t>Kotak Securities Ltd (12-Nov-2020) **@</t>
  </si>
  <si>
    <t>ICRA A1+</t>
  </si>
  <si>
    <t>INE763G14IO9</t>
  </si>
  <si>
    <t>ICICI Securities Ltd (12-Nov-2020) **@</t>
  </si>
  <si>
    <t>INE001A14WY7</t>
  </si>
  <si>
    <t>Housing Development Finance Corporation Ltd (22-Jan-2021) **@</t>
  </si>
  <si>
    <t>INE002A14FV6</t>
  </si>
  <si>
    <t>Reliance Industries Ltd (02-Nov-2020)@</t>
  </si>
  <si>
    <t>CARE A1+</t>
  </si>
  <si>
    <t>INE763G14IY8</t>
  </si>
  <si>
    <t>ICICI Securities Ltd (06-Nov-2020) **@</t>
  </si>
  <si>
    <t>INE027E14JU9</t>
  </si>
  <si>
    <t>L&amp;T Finance Ltd (20-Jan-2021) **@</t>
  </si>
  <si>
    <t>Treasury Bill</t>
  </si>
  <si>
    <t>IN002020Y066</t>
  </si>
  <si>
    <t>182 DTB (12-Nov-2020)</t>
  </si>
  <si>
    <t>IN002020X233</t>
  </si>
  <si>
    <t>91 DTB (26-Nov-2020)</t>
  </si>
  <si>
    <t>IN002020Y058</t>
  </si>
  <si>
    <t>182 DTB (06-Nov-2020)</t>
  </si>
  <si>
    <t>IN002020X209</t>
  </si>
  <si>
    <t>91 DTB (05-Nov-2020)</t>
  </si>
  <si>
    <t>IN002020Y074</t>
  </si>
  <si>
    <t>182 DTB (19-Nov-2020)</t>
  </si>
  <si>
    <t>IN002020Y108</t>
  </si>
  <si>
    <t>182 DTB (10-Dec-2020)</t>
  </si>
  <si>
    <t>IN002020X266</t>
  </si>
  <si>
    <t>91 DTB (17-Dec-2020)</t>
  </si>
  <si>
    <t>IN002020X217</t>
  </si>
  <si>
    <t>91 DTB (12-Nov-2020)</t>
  </si>
  <si>
    <t>@ Listed</t>
  </si>
  <si>
    <t>** Non- Traded Scrips</t>
  </si>
  <si>
    <t xml:space="preserve">      Regular Plan Growth Option</t>
  </si>
  <si>
    <t xml:space="preserve">      Regular Plan Daily Dividend Reinvestment Option</t>
  </si>
  <si>
    <t xml:space="preserve">      Regular Plan Weekly Dividend Option</t>
  </si>
  <si>
    <t xml:space="preserve">      Institutional Plan Growth Option</t>
  </si>
  <si>
    <t>N..A **</t>
  </si>
  <si>
    <t xml:space="preserve">      Institutional Plan Daily Dividend Reinvestment Option</t>
  </si>
  <si>
    <t xml:space="preserve">      Institutional Plan Weekly Dividend Option</t>
  </si>
  <si>
    <t xml:space="preserve">      Super Institutional Plan Growth Option</t>
  </si>
  <si>
    <t xml:space="preserve">      Super Institutional Plan Daily Dividend Reinvestment Option</t>
  </si>
  <si>
    <t xml:space="preserve">      Super Institutional Plan Weekly Dividend Option</t>
  </si>
  <si>
    <t xml:space="preserve">      Direct Super Institutional Growth Option</t>
  </si>
  <si>
    <t xml:space="preserve">      Direct Super Institutional Daily Dividend Reinvestment Option</t>
  </si>
  <si>
    <t xml:space="preserve">      Direct Super Institutional Weekly Dividend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</si>
  <si>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</si>
  <si>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</si>
  <si>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</si>
  <si>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</si>
  <si>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 Plan closed effective 09 July 2020</t>
  </si>
  <si>
    <t>c) Average Maturity as on 29-Oct-2020</t>
  </si>
  <si>
    <t xml:space="preserve">d) During the month additional instances of fair valuation/deviation from valuation price provided by the valuation agencies </t>
  </si>
  <si>
    <t>Franklin India Overnight Fund</t>
  </si>
  <si>
    <t xml:space="preserve">      Daily Dividend Plan</t>
  </si>
  <si>
    <t xml:space="preserve">      Weekly Dividend Plan</t>
  </si>
  <si>
    <t xml:space="preserve">      Direct Daily Dividend Plan</t>
  </si>
  <si>
    <t xml:space="preserve">      Direct Weekly Dividend Plan</t>
  </si>
  <si>
    <t>Franklin India Savings Fund</t>
  </si>
  <si>
    <t>INE028A16BY9</t>
  </si>
  <si>
    <t>Bank of Baroda (09-Mar-2021) **</t>
  </si>
  <si>
    <t>INE261F16488</t>
  </si>
  <si>
    <t>National Bank For Agriculture &amp; Rural Development (03-Feb-2021) **</t>
  </si>
  <si>
    <t>INE261F16512</t>
  </si>
  <si>
    <t>National Bank For Agriculture &amp; Rural Development (05-Mar-2021)</t>
  </si>
  <si>
    <t>INE480Q16465</t>
  </si>
  <si>
    <t>Cooperatieve Rabobank (MIBOR+110 Bps) (27-Nov-2020) **</t>
  </si>
  <si>
    <t>INE916D14S54</t>
  </si>
  <si>
    <t>Kotak Mahindra Prime Ltd (27-Nov-2020) **@</t>
  </si>
  <si>
    <t>INE535H14ID2</t>
  </si>
  <si>
    <t>Fullerton India Credit Co Ltd (08-Dec-2020) **@</t>
  </si>
  <si>
    <t>INE110L14NK1</t>
  </si>
  <si>
    <t>Reliance Jio Infocomm Ltd (09-Feb-2021) **@</t>
  </si>
  <si>
    <t>INE691I14JS7</t>
  </si>
  <si>
    <t>L&amp;T Infrastructure Finance Co Ltd (29-Jan-2021) **@</t>
  </si>
  <si>
    <t>INE134E14AR8</t>
  </si>
  <si>
    <t>Power Finance Corporation Ltd (30-Jul-2021) **@</t>
  </si>
  <si>
    <t>INE001A14WG4</t>
  </si>
  <si>
    <t>Housing Development Finance Corporation Ltd (13-Jan-2021) **@</t>
  </si>
  <si>
    <t>INE377Y14710</t>
  </si>
  <si>
    <t>Bajaj Housing Finance Ltd (29-Jan-2021) **@</t>
  </si>
  <si>
    <t>INE691I14JR9</t>
  </si>
  <si>
    <t>L&amp;T Infrastructure Finance Co Ltd (08-Feb-2021) **@</t>
  </si>
  <si>
    <t>INE002A14FM5</t>
  </si>
  <si>
    <t>Reliance Industries Ltd (05-Mar-2021) **@</t>
  </si>
  <si>
    <t>INE002A14EY3</t>
  </si>
  <si>
    <t>Reliance Industries Ltd (15-Mar-2021) **@</t>
  </si>
  <si>
    <t>INE975F14SW3</t>
  </si>
  <si>
    <t>Kotak Mahindra Investments Ltd (23-Mar-2021) **@</t>
  </si>
  <si>
    <t>INE001A14WM2</t>
  </si>
  <si>
    <t>Housing Development Finance Corporation Ltd (10-Mar-2021) **@</t>
  </si>
  <si>
    <t>IN002020Y223</t>
  </si>
  <si>
    <t>182 DTB (04-Mar-2021)</t>
  </si>
  <si>
    <t xml:space="preserve"> SOVEREIGN</t>
  </si>
  <si>
    <t>IN002019Z537</t>
  </si>
  <si>
    <t>364 DTB (25-Mar-2021)</t>
  </si>
  <si>
    <t>IN002019Z511</t>
  </si>
  <si>
    <t>364 DTB (11-Mar-2021)</t>
  </si>
  <si>
    <t>IN002019Z545</t>
  </si>
  <si>
    <t>364 DTB (30-Mar-2021)</t>
  </si>
  <si>
    <t>IN002020Y132</t>
  </si>
  <si>
    <t>182 DTB (31-Dec-2020)</t>
  </si>
  <si>
    <t>IN002020Y249</t>
  </si>
  <si>
    <t>182 DTB (18-Mar-2021)</t>
  </si>
  <si>
    <t xml:space="preserve">      Retail Plan Growth Option</t>
  </si>
  <si>
    <t xml:space="preserve">      Retail Plan Daily Dividend Option</t>
  </si>
  <si>
    <t xml:space="preserve">      Retail Plan Monthly Dividend Option</t>
  </si>
  <si>
    <t xml:space="preserve">      Retail Plan Quarterly Dividend Option</t>
  </si>
  <si>
    <t xml:space="preserve">      Institutional Plan Dividend Option</t>
  </si>
  <si>
    <t xml:space="preserve">      Direct Retail Plan Growth Option</t>
  </si>
  <si>
    <t xml:space="preserve">      Direct Retail Plan Daily Dividend Option</t>
  </si>
  <si>
    <t xml:space="preserve">      Direct Retail Plan Monthly Dividend Option</t>
  </si>
  <si>
    <t xml:space="preserve">      Direct Retail Plan Quarterly Dividend Option</t>
  </si>
  <si>
    <t>** Plan closed effective 19 June 2020</t>
  </si>
  <si>
    <t>Franklin India Floating Rate Fund</t>
  </si>
  <si>
    <t>INE831R07268</t>
  </si>
  <si>
    <t>Aditya Birla Housing Finance Ltd (364DTB +250 Bps) (17-Feb-2023) **</t>
  </si>
  <si>
    <t>ICRA AAA</t>
  </si>
  <si>
    <t>INE756I07CA5</t>
  </si>
  <si>
    <t>HDB Financial Services Ltd (91DTB + 205 Bps) (12-Jul-2021) **</t>
  </si>
  <si>
    <t>INE651J07739</t>
  </si>
  <si>
    <t>JM Financial Credit Solutions Ltd (1Y SBI MCLR + 460 Bps) (23-Jul-2024) **</t>
  </si>
  <si>
    <t>ICRA AA</t>
  </si>
  <si>
    <t>IN0020092071</t>
  </si>
  <si>
    <t>GOI FRB 2020 (21-Dec-2020)</t>
  </si>
  <si>
    <t>IN0020160050</t>
  </si>
  <si>
    <t>6.84% GOI 2022 (19-Dec-2022)</t>
  </si>
  <si>
    <t>Franklin India Corporate Debt Fund</t>
  </si>
  <si>
    <t>INE861G08019</t>
  </si>
  <si>
    <t>8.62% Food Corporation Of India (22-Mar-2023) **</t>
  </si>
  <si>
    <t>ICRA AAA(CE)</t>
  </si>
  <si>
    <t>INE941D07133</t>
  </si>
  <si>
    <t>8.45% Sikka Ports &amp; Terminals Ltd (12-Jun-2023) **</t>
  </si>
  <si>
    <t>INE001A07SL6</t>
  </si>
  <si>
    <t>7.06% Housing Development Finance Corporation Ltd (13-Dec-2021) **</t>
  </si>
  <si>
    <t>INE721A08DC8</t>
  </si>
  <si>
    <t>10.25% Shriram Transport Finance Co Ltd (26-Apr-2024) **</t>
  </si>
  <si>
    <t>CRISIL AA+</t>
  </si>
  <si>
    <t>INE163N08065</t>
  </si>
  <si>
    <t>8.60% ONGC Petro Additions Ltd (11-Mar-2022) **</t>
  </si>
  <si>
    <t>CARE AAA(CE)</t>
  </si>
  <si>
    <t>INE295J08022</t>
  </si>
  <si>
    <t>9.90% Coastal Gujarat Power Ltd (25-Aug-2028) **</t>
  </si>
  <si>
    <t>CARE AA(CE)</t>
  </si>
  <si>
    <t>INE163N08073</t>
  </si>
  <si>
    <t>8.85% ONGC Petro Additions Ltd (19-Apr-2022) **</t>
  </si>
  <si>
    <t>INE134E08JC3</t>
  </si>
  <si>
    <t>7.44% Power Finance Corporation Ltd (11-Jun-2027) **</t>
  </si>
  <si>
    <t>INE261F08BI5</t>
  </si>
  <si>
    <t>7.90% National Bank For Agriculture &amp; Rural Development (18-Apr-2022) **</t>
  </si>
  <si>
    <t>INE906B07FG1</t>
  </si>
  <si>
    <t>7.60% National Highways Authority Of India (18-Mar-2022) **</t>
  </si>
  <si>
    <t>INE020B08CM4</t>
  </si>
  <si>
    <t>6.99% REC Ltd (30-Sep-2024) **</t>
  </si>
  <si>
    <t>INE020B08AM8</t>
  </si>
  <si>
    <t>7.09% REC Ltd (17-Oct-2022) **</t>
  </si>
  <si>
    <t>INE053F07CC9</t>
  </si>
  <si>
    <t>6.19% Indian Railway Finance Corporation Ltd (28-Apr-2023)</t>
  </si>
  <si>
    <t>INE557F08FJ5</t>
  </si>
  <si>
    <t>5.80% National Housing Bank (15-May-2023) **</t>
  </si>
  <si>
    <t>INE848E07989</t>
  </si>
  <si>
    <t>7.52% NHPC Ltd (06-Jun-2023) **</t>
  </si>
  <si>
    <t>CARE AAA</t>
  </si>
  <si>
    <t>INE094A08036</t>
  </si>
  <si>
    <t>7.00% Hindustan Petroleum Corporation Ltd (14-Aug-2024)</t>
  </si>
  <si>
    <t>INE115A07NM3</t>
  </si>
  <si>
    <t>0.00% LIC Housing Finance Ltd (25-Feb-2022) **</t>
  </si>
  <si>
    <t>INE941D08065</t>
  </si>
  <si>
    <t>10.25% Sikka Ports &amp; Terminals Ltd (22-Aug-2021) **</t>
  </si>
  <si>
    <t>INE906B07FE6</t>
  </si>
  <si>
    <t>7.17% National Highways Authority Of India (23-Dec-2021) **</t>
  </si>
  <si>
    <t>INE514E08EQ7</t>
  </si>
  <si>
    <t>8.02% Export-Import Bank of India (29-Oct-2025) **</t>
  </si>
  <si>
    <t>INE261F08AL1</t>
  </si>
  <si>
    <t>8.39% National Bank For Agriculture &amp; Rural Development (19-Jul-2021) **</t>
  </si>
  <si>
    <t>INE020B08930</t>
  </si>
  <si>
    <t>8.30% REC Ltd (10-Apr-2025) **</t>
  </si>
  <si>
    <t>INE134E08KH0</t>
  </si>
  <si>
    <t>7.42% Power Finance Corporation Ltd (19-Nov-2024) **</t>
  </si>
  <si>
    <t>INE134E08KN8</t>
  </si>
  <si>
    <t>6.98% Power Finance Corporation Ltd (20-Apr-2023)</t>
  </si>
  <si>
    <t>INE261F08AI7</t>
  </si>
  <si>
    <t>8.60% National Bank For Agriculture &amp; Rural Development (31-Jan-2022) **</t>
  </si>
  <si>
    <t>INE134E08JW1</t>
  </si>
  <si>
    <t>8.18% Power Finance Corporation Ltd (19-Mar-2022) **</t>
  </si>
  <si>
    <t>INE031A08699</t>
  </si>
  <si>
    <t>8.41% Housing &amp; Urban Development Corporation Ltd (15-Mar-2029) **</t>
  </si>
  <si>
    <t>INE941D07125</t>
  </si>
  <si>
    <t>10.40% Sikka Ports &amp; Terminals Ltd (18-Jul-2021) **</t>
  </si>
  <si>
    <t>INE535H07AG6</t>
  </si>
  <si>
    <t>0.00% Fullerton India Credit Co Ltd (08-Apr-2021) **</t>
  </si>
  <si>
    <t>INE134E08JY7</t>
  </si>
  <si>
    <t>9.25% Power Finance Corporation Ltd (25-Sep-2024) **</t>
  </si>
  <si>
    <t>INE115A07NW2</t>
  </si>
  <si>
    <t>0.00% LIC Housing Finance Ltd (04-May-2022) **</t>
  </si>
  <si>
    <t>INE556F08JI1</t>
  </si>
  <si>
    <t>8.81% Small Industries Development Bank Of India (25-Jan-2022) **</t>
  </si>
  <si>
    <t>INE134E08IH4</t>
  </si>
  <si>
    <t>7.50% Power Finance Corporation Ltd (16-Aug-2021) **</t>
  </si>
  <si>
    <t>INE002A08526</t>
  </si>
  <si>
    <t>7.07% Reliance Industries Ltd (24-Dec-2020)</t>
  </si>
  <si>
    <t>INE752E07MZ9</t>
  </si>
  <si>
    <t>8.40% Power Grid Corporation of India Ltd (14-Sep-2021) **</t>
  </si>
  <si>
    <t>INE756I07CD9</t>
  </si>
  <si>
    <t>0.00% HDB Financial Services Ltd (29-Oct-2021) **</t>
  </si>
  <si>
    <t>INE848E07815</t>
  </si>
  <si>
    <t>8.50% NHPC Ltd (14-Jul-2021) **</t>
  </si>
  <si>
    <t>INE860H07GE0</t>
  </si>
  <si>
    <t>0.00% Aditya Birla Finance Ltd (08-Apr-2022) **</t>
  </si>
  <si>
    <t>INE029A07075</t>
  </si>
  <si>
    <t>7.35% Bharat Petroleum Corporation Ltd (10-Mar-2022) **</t>
  </si>
  <si>
    <t>INE053F07AK6</t>
  </si>
  <si>
    <t>7.65% Indian Railway Finance Corporation Ltd (15-Mar-2021) **</t>
  </si>
  <si>
    <t>INE053F09HR2</t>
  </si>
  <si>
    <t>9.57% Indian Railway Finance Corporation Ltd (31-May-2021) **</t>
  </si>
  <si>
    <t>INE053F07942</t>
  </si>
  <si>
    <t>6.70% Indian Railway Finance Corporation Ltd (24-Nov-2021)</t>
  </si>
  <si>
    <t>INE801J08019</t>
  </si>
  <si>
    <t>7.48% Bennett Coleman and Co Ltd (26-Apr-2021) **</t>
  </si>
  <si>
    <t>IN0020170026</t>
  </si>
  <si>
    <t>6.79% GOI 2027 (15-May-2027)</t>
  </si>
  <si>
    <t xml:space="preserve">      Half Yearly Dividend Plan</t>
  </si>
  <si>
    <t xml:space="preserve">      Annual Dividend Plan</t>
  </si>
  <si>
    <t xml:space="preserve">      Direct Half Yearly Dividend Plan</t>
  </si>
  <si>
    <t xml:space="preserve">      Direct Annual Dividend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</si>
  <si>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</si>
  <si>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</si>
  <si>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Franklin India Banking &amp; PSU Debt Fund</t>
  </si>
  <si>
    <t>INE557F08FG1</t>
  </si>
  <si>
    <t>7.05% National Housing Bank (18-Dec-2024) **</t>
  </si>
  <si>
    <t>INE514E08FG5</t>
  </si>
  <si>
    <t>7.62% Export-Import Bank of India (01-Sep-2026) **</t>
  </si>
  <si>
    <t>INE556F08JM3</t>
  </si>
  <si>
    <t>7.29% Small Industries Development Bank Of India (01-Aug-2022) **</t>
  </si>
  <si>
    <t>INE733E07JO9</t>
  </si>
  <si>
    <t>9.17% NTPC Ltd (21-Sep-2024) **</t>
  </si>
  <si>
    <t>INE906B07FT4</t>
  </si>
  <si>
    <t>7.27% National Highways Authority Of India (06-Jun-2022) **</t>
  </si>
  <si>
    <t>INE261F08BQ8</t>
  </si>
  <si>
    <t>6.70% National Bank For Agriculture &amp; Rural Development (11-Nov-2022)</t>
  </si>
  <si>
    <t>INE094A08077</t>
  </si>
  <si>
    <t>5.36% Hindustan Petroleum Corporation Ltd (11-Apr-2025) **</t>
  </si>
  <si>
    <t>INE206D08261</t>
  </si>
  <si>
    <t>8.14% Nuclear Power Corporation of India Ltd (25-Mar-2026) **</t>
  </si>
  <si>
    <t>INE020B08906</t>
  </si>
  <si>
    <t>8.27% REC Ltd (06-Feb-2025) **</t>
  </si>
  <si>
    <t>INE848E07AZ0</t>
  </si>
  <si>
    <t>7.13% NHPC Ltd (11-Feb-2027) **</t>
  </si>
  <si>
    <t>INE848E07BK0</t>
  </si>
  <si>
    <t>6.80% NHPC Ltd (23-Apr-2027) **</t>
  </si>
  <si>
    <t>INE976G08064</t>
  </si>
  <si>
    <t>10.20% RBL Bank Ltd (15-Apr-2023) **</t>
  </si>
  <si>
    <t>ICRA AA-</t>
  </si>
  <si>
    <t>INE020B08BS3</t>
  </si>
  <si>
    <t>8.80% REC Ltd (14-May-2029) **</t>
  </si>
  <si>
    <t>INE733E07JX0</t>
  </si>
  <si>
    <t>8.19% NTPC Ltd (15-Dec-2025) **</t>
  </si>
  <si>
    <t>INE514E08EP9</t>
  </si>
  <si>
    <t>8.25% Export-Import Bank of India (28-Sep-2025) **</t>
  </si>
  <si>
    <t>INE752E07MQ8</t>
  </si>
  <si>
    <t>8.40% Power Grid Corporation of India Ltd (27-May-2024) **</t>
  </si>
  <si>
    <t>INE861G08035</t>
  </si>
  <si>
    <t>9.95% Food Corporation Of India (07-Mar-2022) **</t>
  </si>
  <si>
    <t>CRISIL AAA(CE)</t>
  </si>
  <si>
    <t>INE020B08BM6</t>
  </si>
  <si>
    <t>8.35% REC Ltd (11-Mar-2022) **</t>
  </si>
  <si>
    <t>INE752E07NN3</t>
  </si>
  <si>
    <t>8.13% Power Grid Corporation of India Ltd (23-Apr-2021) **</t>
  </si>
  <si>
    <t>INE261F16538</t>
  </si>
  <si>
    <t>National Bank For Agriculture &amp; Rural Development (10-Jun-2021)</t>
  </si>
  <si>
    <t>IN0020170174</t>
  </si>
  <si>
    <t>7.17% GOI 2028 (08-Jan-2028)</t>
  </si>
  <si>
    <t>Franklin India Government Securities Fund</t>
  </si>
  <si>
    <t xml:space="preserve">      Quarterly Dividend Option</t>
  </si>
  <si>
    <t xml:space="preserve">      Direct Quarterly Dividend Option</t>
  </si>
  <si>
    <t>Franklin India Dynamic Accrual Fund (No. of segregated Portfolios in the scheme - 3) - (under winding up)</t>
  </si>
  <si>
    <t>Main Portfolio</t>
  </si>
  <si>
    <t>INE540P07301</t>
  </si>
  <si>
    <t>10.15% Uttar Pradesh Power Corporation Ltd (20-Jan-2023) **</t>
  </si>
  <si>
    <t>CRISIL A+(CE)</t>
  </si>
  <si>
    <t>INE265J07373</t>
  </si>
  <si>
    <t>12.50% JM Financial Asset Reconstruction Co Ltd (02-Aug-2022) **</t>
  </si>
  <si>
    <t>INE657N07605</t>
  </si>
  <si>
    <t>Edelweiss Rural &amp; Corporate Services Ltd (1Y SBI MCLR + 250 Bps) (29-Nov-2021) - Series II **</t>
  </si>
  <si>
    <t>INE01E708040</t>
  </si>
  <si>
    <t>10.32% Andhra Pradesh Capital Region Development Authority (16-Aug-2027) **</t>
  </si>
  <si>
    <t>INE922K07047</t>
  </si>
  <si>
    <t>11.25% India Shelter Finance Corporation Ltd (01-Oct-2026) **</t>
  </si>
  <si>
    <t>ICRA A</t>
  </si>
  <si>
    <t>INE641O08035</t>
  </si>
  <si>
    <t>9.55% Piramal Capital &amp; Housing Finance Ltd (08-Mar-2027) **</t>
  </si>
  <si>
    <t>CARE AA</t>
  </si>
  <si>
    <t>INE516Y07105</t>
  </si>
  <si>
    <t>9.50% Piramal Capital &amp; Housing Finance Ltd (15-Apr-2022) **</t>
  </si>
  <si>
    <t>INE155A08365</t>
  </si>
  <si>
    <t>7.40% Tata Motors Ltd (29-Jun-2021) **</t>
  </si>
  <si>
    <t>INE128S07390</t>
  </si>
  <si>
    <t>12.64% Five-Star Business Finance Ltd (28-May-2022) **</t>
  </si>
  <si>
    <t>INE459T07058</t>
  </si>
  <si>
    <t>9.95% Vastu Housing Finance Corporation Ltd Series D (27-Feb-2025) **</t>
  </si>
  <si>
    <t>BWR A+</t>
  </si>
  <si>
    <t>INE615S07065</t>
  </si>
  <si>
    <t>13.55% Sterlite Power Grid Ventures Ltd (28-Mar-2022) **</t>
  </si>
  <si>
    <t>IND A</t>
  </si>
  <si>
    <t>INE764L07181</t>
  </si>
  <si>
    <t>0.00% Sadbhav Infrastructure Project Ltd (06-Jun-2023) **</t>
  </si>
  <si>
    <t>CARE BBB+(CE)</t>
  </si>
  <si>
    <t>INE146O08100</t>
  </si>
  <si>
    <t>9.40% Hinduja Leyland Finance Ltd (28-Aug-2024) **</t>
  </si>
  <si>
    <t>INE657N07381</t>
  </si>
  <si>
    <t>8.70% Edelweiss Rural &amp; Corporate Services Ltd (30-Jun-2027) **</t>
  </si>
  <si>
    <t>ICRA A+</t>
  </si>
  <si>
    <t>INE516Y07089</t>
  </si>
  <si>
    <t>9.50% Piramal Capital &amp; Housing Finance Ltd (21-Apr-2022) **</t>
  </si>
  <si>
    <t>INE540P07210</t>
  </si>
  <si>
    <t>9.75% Uttar Pradesh Power Corporation Ltd (20-Oct-2022) **</t>
  </si>
  <si>
    <t>INE540P07228</t>
  </si>
  <si>
    <t>9.75% Uttar Pradesh Power Corporation Ltd (20-Oct-2023) **</t>
  </si>
  <si>
    <t>INE128S07374</t>
  </si>
  <si>
    <t>12.64% Five-Star Business Finance Ltd (16-Apr-2022) **</t>
  </si>
  <si>
    <t>INE205A07139</t>
  </si>
  <si>
    <t>8.50% Vedanta Ltd (05-Apr-2021) **</t>
  </si>
  <si>
    <t>INE616U07036</t>
  </si>
  <si>
    <t>INE146O08159</t>
  </si>
  <si>
    <t>11.60% Hinduja Leyland Finance Ltd (29-Sep-2024) **</t>
  </si>
  <si>
    <t>INE764L07173</t>
  </si>
  <si>
    <t>0.00% Sadbhav Infrastructure Project Ltd (23-Apr-2023) **</t>
  </si>
  <si>
    <t>INE540P07293</t>
  </si>
  <si>
    <t>10.15% Uttar Pradesh Power Corporation Ltd (20-Jan-2022) **</t>
  </si>
  <si>
    <t>INE146O08068</t>
  </si>
  <si>
    <t>11.50% Hinduja Leyland Finance Ltd (31-May-2021) **</t>
  </si>
  <si>
    <t>INE922K07013</t>
  </si>
  <si>
    <t>9.99% India Shelter Finance Corporation Ltd (10-Feb-2022) **</t>
  </si>
  <si>
    <t>INE146O08092</t>
  </si>
  <si>
    <t>11.10% Hinduja Leyland Finance Ltd (08-Apr-2022) **</t>
  </si>
  <si>
    <t>INE245A08034</t>
  </si>
  <si>
    <t>11.40% Tata Power Co Ltd (02-Jun-2021) **</t>
  </si>
  <si>
    <t>INE660N07062</t>
  </si>
  <si>
    <t>11.50% S D Corporation Pvt Ltd (03-Jun-2022) **</t>
  </si>
  <si>
    <t>CARE A+(CE)</t>
  </si>
  <si>
    <t>INE660N07047</t>
  </si>
  <si>
    <t>11.50% S. D. Corporation Pvt Ltd (03-Jun-2022) **</t>
  </si>
  <si>
    <t>INE659X07014</t>
  </si>
  <si>
    <t>9.95% Molagavalli Renewable Pvt Ltd (31-Mar-2023) **</t>
  </si>
  <si>
    <t>INE964Q07012</t>
  </si>
  <si>
    <t>9.60% Renew Wind Energy (Rajasthan One) Pvt Ltd (31-Mar-2023) **</t>
  </si>
  <si>
    <t>INE575P08024</t>
  </si>
  <si>
    <t>10.20% Star Health &amp; Allied Insurance Co Ltd (31-Oct-2024) **</t>
  </si>
  <si>
    <t>IND A+</t>
  </si>
  <si>
    <t>INE003S07189</t>
  </si>
  <si>
    <t>9.45% Renew Power Pvt Ltd (31-Jul-2025) **</t>
  </si>
  <si>
    <t>CARE A+</t>
  </si>
  <si>
    <t>INE458O07036</t>
  </si>
  <si>
    <t>9.41% Renew Wind Energy Delhi Pvt Ltd (30-Sep-2030) **</t>
  </si>
  <si>
    <t>CARE A+(SO)</t>
  </si>
  <si>
    <t>INE01EA07016</t>
  </si>
  <si>
    <t>11.90% Vishal Mega Mart Pvt Ltd (20-Oct-2023) **</t>
  </si>
  <si>
    <t>INE139S07017</t>
  </si>
  <si>
    <t>12.41% Renew Solar Power Pvt Ltd (01-Nov-2022) **</t>
  </si>
  <si>
    <t>INE575P08016</t>
  </si>
  <si>
    <t>10.25% Star Health &amp; Allied Insurance Co Ltd (06-Sep-2024) **</t>
  </si>
  <si>
    <t>INE209W07028</t>
  </si>
  <si>
    <t>9.95% Narmada Wind Energy Pvt Ltd (31-Mar-2023) **</t>
  </si>
  <si>
    <t>INE333T07063</t>
  </si>
  <si>
    <t>11.49% Reliance Big Pvt Ltd Series III (14-Jan-2021) $$ ^^ **</t>
  </si>
  <si>
    <t>BWR D</t>
  </si>
  <si>
    <t>INE971Z07190</t>
  </si>
  <si>
    <t>13.00% Rivaaz Trade Ventures Pvt Ltd (31-Dec-2023) $$ @@@ **</t>
  </si>
  <si>
    <t>BWR D(CE)</t>
  </si>
  <si>
    <t>INE971Z07141</t>
  </si>
  <si>
    <t>12.65% Rivaaz Trade Ventures Pvt Ltd (07-Nov-2020) $$ @@@ **</t>
  </si>
  <si>
    <t>INE971Z07133</t>
  </si>
  <si>
    <t>12.25% Rivaaz Trade Ventures Pvt Ltd (30-Jun-2023) $$ @@@ **</t>
  </si>
  <si>
    <t>INE946S07189</t>
  </si>
  <si>
    <t>13.55% Nufuture Digital (India) Ltd (31-Dec-2023) $$ @@@ **</t>
  </si>
  <si>
    <t xml:space="preserve"> $$ Indicates securties below investment grade or default</t>
  </si>
  <si>
    <t>^^ Securities are fair valued. This amount only reflects the realizable value as on the date of disclosure and does not indicate any reduction or write-off of the amount repayable by the issuers.</t>
  </si>
  <si>
    <t>Refer below link for rationale of devation under Valuation policy</t>
  </si>
  <si>
    <t>https://www.franklintempletonindia.com/investor/reports?firstFilter-4</t>
  </si>
  <si>
    <t>e)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Dynamic Accrual Fund is 366.55 Lakhs. For further details refer below link</t>
  </si>
  <si>
    <t>https://www.franklintempletonindia.com/downloadsServlet/pdf/franklin-templeton-update-on-essel-infraproject-september-18-2020-kf3gzax7</t>
  </si>
  <si>
    <t>f) @@@ Coupons/ part payments/ maturity payments were due to be paid by Nufuture Digital (India) Ltd. &amp; Future Ideas Co Ltd. on July 31, 2020, by Rivaaz Trade Ventures Pvt. Ltd on August 31, 2020, by Nufuture Digital (India) Ltd on September 02, 2020 and by Rivaaz Trade Ventures Pvt. Ltd &amp;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</si>
  <si>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https://www.franklintempletonindia.com/downloadsServlet/pdf/franklin-templeton-update-on-future-group-july-31-2020-kd193hq1</t>
  </si>
  <si>
    <t>https://www.franklintempletonindia.com/downloadsServlet/pdf/franklin-templeton-update-on-future-group-aug-31-2020-kegstinm</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</si>
  <si>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</si>
  <si>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Dynamic Accrual Fund - Segregated Portfolio 2 - 10.90% Vodafone Idea Ltd (02-Sep-2023) P/C 03 Sep 2021</t>
  </si>
  <si>
    <t>INE669E08318</t>
  </si>
  <si>
    <t>10.90% Vodafone Idea Ltd (02-Sep-2023) $$ ^^ **</t>
  </si>
  <si>
    <t>CARE B+</t>
  </si>
  <si>
    <t xml:space="preserve">b) During the month additional instances of fair valuation/deviation from valuation price provided by the valuation agencies </t>
  </si>
  <si>
    <t>Franklin India Dynamic Accrual Fund - Segregated Portfolio 3 - 9.50% Yes Bank Ltd CO 23 Dec 2021</t>
  </si>
  <si>
    <t>INE528G08352</t>
  </si>
  <si>
    <t>9.50% Yes Bank Ltd (23-Dec-2021)  $$ **</t>
  </si>
  <si>
    <t>CARE D</t>
  </si>
  <si>
    <t>Franklin India Low Duration Fund (No. of segregated Portfolio in the scheme -2) - (under winding up)</t>
  </si>
  <si>
    <t>INE003S07213</t>
  </si>
  <si>
    <t>12.75% Renew Power Pvt Ltd (26-Feb-2021) **</t>
  </si>
  <si>
    <t>INE265J07324</t>
  </si>
  <si>
    <t>11.50% JM Financial Asset Reconstruction Co Ltd (29-Mar-2022) **</t>
  </si>
  <si>
    <t>INE265J07316</t>
  </si>
  <si>
    <t>11.50% JM Financial Asset Reconstruction Co Ltd (29-May-2022) **</t>
  </si>
  <si>
    <t>INE124N07309</t>
  </si>
  <si>
    <t>12.00% Ess Kay Fincorp Ltd (01-Aug-2023) **</t>
  </si>
  <si>
    <t>CRISIL A</t>
  </si>
  <si>
    <t>INE657N07597</t>
  </si>
  <si>
    <t>Edelweiss Rural &amp; Corporate Services Ltd (1Y SBI MCLR + 250 Bps) (29-Nov-2021) **</t>
  </si>
  <si>
    <t>INE694L07123</t>
  </si>
  <si>
    <t>9.23% Talwandi Sabo Power Ltd (30-Jul-2021) **</t>
  </si>
  <si>
    <t>CRISIL AA(CE)</t>
  </si>
  <si>
    <t>INE157D08027</t>
  </si>
  <si>
    <t>11.25% Clix Capital Services Pvt Ltd (27-Jun-2023) **</t>
  </si>
  <si>
    <t>INE721A08DE4</t>
  </si>
  <si>
    <t>10.25% Shriram Transport Finance Co Ltd (27-Dec-2024) **</t>
  </si>
  <si>
    <t>INE721A07NQ9</t>
  </si>
  <si>
    <t>0.00% Shriram Transport Finance Co Ltd (31-May-2021)</t>
  </si>
  <si>
    <t>INE945W07035</t>
  </si>
  <si>
    <t>10.25% Incred Financial Services Pvt Ltd (26-Apr-2021) **</t>
  </si>
  <si>
    <t>CARE A</t>
  </si>
  <si>
    <t>INE540P07202</t>
  </si>
  <si>
    <t>9.75% Uttar Pradesh Power Corporation Ltd (20-Oct-2021) **</t>
  </si>
  <si>
    <t>INE540P07285</t>
  </si>
  <si>
    <t>10.15% Uttar Pradesh Power Corporation Ltd (20-Jan-2021) **</t>
  </si>
  <si>
    <t>INE146O08084</t>
  </si>
  <si>
    <t>11.30% Hinduja Leyland Finance Ltd (21-Jul-2021) **</t>
  </si>
  <si>
    <t>INE128S07408</t>
  </si>
  <si>
    <t>12.64% Five-Star Business Finance Ltd (28-Jun-2022) **</t>
  </si>
  <si>
    <t>INE265J07365</t>
  </si>
  <si>
    <t>12.40% JM Financial Asset Reconstruction Co Ltd (02-Aug-2021) **</t>
  </si>
  <si>
    <t>INE721A08DF1</t>
  </si>
  <si>
    <t>9.90% Shriram Transport Finance Co Ltd (21-Jun-2024) **</t>
  </si>
  <si>
    <t>INE128S07333</t>
  </si>
  <si>
    <t>10.21% Five-Star Business Finance Ltd Series C (28-Mar-2023) **</t>
  </si>
  <si>
    <t>INE252T07040</t>
  </si>
  <si>
    <t>9.70% Xander Finance Pvt Ltd (15-Mar-2021) **</t>
  </si>
  <si>
    <t>INE721A08DA2</t>
  </si>
  <si>
    <t>9.00% Shriram Transport Finance Co Ltd (28-Mar-2028) **</t>
  </si>
  <si>
    <t>INE540P07319</t>
  </si>
  <si>
    <t>10.15% Uttar Pradesh Power Corporation Ltd (19-Jan-2024) **</t>
  </si>
  <si>
    <t>INE540P07327</t>
  </si>
  <si>
    <t>10.15% Uttar Pradesh Power Corporation Ltd (20-Jan-2025) **</t>
  </si>
  <si>
    <t>INE918T07020</t>
  </si>
  <si>
    <t>0.00% Hero Wind Energy Pvt Ltd (08-Feb-2022) **</t>
  </si>
  <si>
    <t>INE209W07010</t>
  </si>
  <si>
    <t>9.60% Narmada Wind Energy Pvt Ltd (31-Mar-2023) **</t>
  </si>
  <si>
    <t>INE428K07011</t>
  </si>
  <si>
    <t>11.49% Reliance Infrastructure Consulting &amp; Engineers Pvt Ltd (15-Jan-2021) $$ ^^ **</t>
  </si>
  <si>
    <t>INE333T07048</t>
  </si>
  <si>
    <t>11.49% Reliance Big Pvt Ltd  Series I (14-Jan-2021) $$ ^^ **</t>
  </si>
  <si>
    <t>e)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Low Duration Fund is 4,387.74 Lakhs. For further details refer below link</t>
  </si>
  <si>
    <t>f)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</si>
  <si>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Low Duration Fund-Segregated Portfolio 2 - 10.90% Vodafone Idea Ltd (02-Sep-2023) P/C 03 Sep 2021</t>
  </si>
  <si>
    <t>Franklin India Ultra Short Bond Fund - (No. of segregated Portfolio in the scheme -1) - (under winding up)</t>
  </si>
  <si>
    <t>INE140A07567</t>
  </si>
  <si>
    <t>9.60% Piramal Enterprises Ltd (06-May-2022) **</t>
  </si>
  <si>
    <t>INE371K08128</t>
  </si>
  <si>
    <t>0.00% Tata Realty &amp; Infrastructure Ltd (04-Jun-2021) **</t>
  </si>
  <si>
    <t>INE157D08019</t>
  </si>
  <si>
    <t>11.25% Clix Capital Services Pvt Ltd (25-May-2023) **</t>
  </si>
  <si>
    <t>INE572E09361</t>
  </si>
  <si>
    <t>8.47% PNB Housing Finance Ltd (01-Jul-2021) **</t>
  </si>
  <si>
    <t>INE157D08068</t>
  </si>
  <si>
    <t>12.50% Clix Capital Services Pvt Ltd (06-Jul-2021) **</t>
  </si>
  <si>
    <t>INE157D08050</t>
  </si>
  <si>
    <t>12.50% Clix Capital Services Pvt Ltd (06-May-2021) **</t>
  </si>
  <si>
    <t>INE157D08035</t>
  </si>
  <si>
    <t>12.50% Clix Capital Services Pvt Ltd (06-Sep-2021) **</t>
  </si>
  <si>
    <t>INE572E09452</t>
  </si>
  <si>
    <t>7.63% PNB Housing Finance Ltd (15-Dec-2020) **</t>
  </si>
  <si>
    <t>INE572E09429</t>
  </si>
  <si>
    <t>7.80% PNB Housing Finance Ltd (07-May-2021) **</t>
  </si>
  <si>
    <t>INE157D08043</t>
  </si>
  <si>
    <t>12.50% Clix Capital Services Pvt Ltd (12-Nov-2021) **</t>
  </si>
  <si>
    <t>INE850M08069</t>
  </si>
  <si>
    <t>Northern ARC Capital Ltd (6M SBI MCLR + 305 Bps) Series B (16-Jul-2021) **</t>
  </si>
  <si>
    <t>INE850M08051</t>
  </si>
  <si>
    <t>Northern ARC Capital Ltd (6M SBI MCLR + 305 Bps) Series A (16-Jul-2021) **</t>
  </si>
  <si>
    <t>INE850M08077</t>
  </si>
  <si>
    <t>Northern ARC Capital Ltd (6M SBI MCLR + 305 Bps) Series C (16-Jul-2021) **</t>
  </si>
  <si>
    <t>INE949L08152</t>
  </si>
  <si>
    <t>11.75% AU Small Finance Bank Ltd (04-May-2021) **</t>
  </si>
  <si>
    <t>IND AA-</t>
  </si>
  <si>
    <t>INE081A08165</t>
  </si>
  <si>
    <t>11.80% Tata Steel Ltd (18-Mar-2021) **</t>
  </si>
  <si>
    <t>INE572E09569</t>
  </si>
  <si>
    <t>7.58% PNB Housing Finance Ltd (15-Mar-2021) **</t>
  </si>
  <si>
    <t>INE721A07NI6</t>
  </si>
  <si>
    <t>8.55% Shriram Transport Finance Co Ltd (21-May-2021) **</t>
  </si>
  <si>
    <t>INE721A07NV9</t>
  </si>
  <si>
    <t>9.10% Shriram Transport Finance Co Ltd (12-Jul-2021)</t>
  </si>
  <si>
    <t>INE252T07057</t>
  </si>
  <si>
    <t>9.70% Xander Finance Pvt Ltd (30-Apr-2021) **</t>
  </si>
  <si>
    <t>INE721A07MW9</t>
  </si>
  <si>
    <t>7.6414% Shriram Transport Finance Co Ltd (10-Nov-2020) **</t>
  </si>
  <si>
    <t>INE01HV07015</t>
  </si>
  <si>
    <t>12.00% Vivriti Capital Pvt Ltd (19-Mar-2021) **</t>
  </si>
  <si>
    <t>ICRA A-</t>
  </si>
  <si>
    <t>INE155A08316</t>
  </si>
  <si>
    <t>7.50% Tata Motors Ltd (20-Oct-2021) **</t>
  </si>
  <si>
    <t>INE403D08025</t>
  </si>
  <si>
    <t>0.00% Bharti Telecom Ltd (19-Feb-2021) **</t>
  </si>
  <si>
    <t>INE587B08037</t>
  </si>
  <si>
    <t>12.50% Clix Finance India Pvt Ltd (06-Jan-2022) **</t>
  </si>
  <si>
    <t>INE003S07155</t>
  </si>
  <si>
    <t>11.96% Renew Power Pvt Ltd (28-Sep-2022) **</t>
  </si>
  <si>
    <t xml:space="preserve">      Retail Plan Weekly Dividend Option</t>
  </si>
  <si>
    <t xml:space="preserve">      Institutional Plan Daily Dividend Option</t>
  </si>
  <si>
    <t xml:space="preserve">      Super Institutional Plan Daily Dividend Option</t>
  </si>
  <si>
    <t xml:space="preserve">      Direct Super Institutional Plan Growth Option</t>
  </si>
  <si>
    <t xml:space="preserve">      Direct Super Institutional Plan Daily Dividend Option</t>
  </si>
  <si>
    <t xml:space="preserve">      Direct Super Institutional Plan Weekly Dividend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</si>
  <si>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</si>
  <si>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Short-Term Income Plan (No. of segregated Portfolios in the scheme - 3) - (under winding up)</t>
  </si>
  <si>
    <t>INE01E708024</t>
  </si>
  <si>
    <t>10.32% Andhra Pradesh Capital Region Development Authority (16-Aug-2025) **</t>
  </si>
  <si>
    <t>INE01E708016</t>
  </si>
  <si>
    <t>10.32% Andhra Pradesh Capital Region Development Authority (16-Aug-2024) **</t>
  </si>
  <si>
    <t>INE852O07097</t>
  </si>
  <si>
    <t>10.00% Aptus Value Housing Finance India Ltd (20-Aug-2025) **</t>
  </si>
  <si>
    <t>INE572E09403</t>
  </si>
  <si>
    <t>7.91% PNB Housing Finance Ltd (29-Mar-2022) **</t>
  </si>
  <si>
    <t>INE265J07357</t>
  </si>
  <si>
    <t>12.40% JM Financial Asset Reconstruction Co Ltd (02-Feb-2022) **</t>
  </si>
  <si>
    <t>INE852O07089</t>
  </si>
  <si>
    <t>10.00% Aptus Value Housing Finance India Ltd (20-Jul-2025) **</t>
  </si>
  <si>
    <t>INE540P07335</t>
  </si>
  <si>
    <t>10.15% Uttar Pradesh Power Corporation Ltd (20-Jan-2026) **</t>
  </si>
  <si>
    <t>INE016P07146</t>
  </si>
  <si>
    <t>10.50% Vistaar Financial Services Pvt Ltd (24-Aug-2025) **</t>
  </si>
  <si>
    <t>INE128S07358</t>
  </si>
  <si>
    <t>12.64% Five-Star Business Finance Ltd (29-Mar-2022) **</t>
  </si>
  <si>
    <t>INE459T07090</t>
  </si>
  <si>
    <t>10.40% Vastu Housing Finance Corporation Ltd Series D (27-Nov-2025) **</t>
  </si>
  <si>
    <t>INE459T07082</t>
  </si>
  <si>
    <t>10.40% Vastu Housing Finance Corporation Ltd Series C (27-Nov-2025) **</t>
  </si>
  <si>
    <t>INE01E708032</t>
  </si>
  <si>
    <t>10.32% Andhra Pradesh Capital Region Development Authority (16-Aug-2026) **</t>
  </si>
  <si>
    <t>INE459T07025</t>
  </si>
  <si>
    <t>9.95% Vastu Housing Finance Corporation Ltd Series A (27-Feb-2025) **</t>
  </si>
  <si>
    <t>INE608A08025</t>
  </si>
  <si>
    <t>10.90% Punjab &amp; Sind Bank (07-May-2022) **</t>
  </si>
  <si>
    <t>INE205A07154</t>
  </si>
  <si>
    <t>9.18% Vedanta Ltd (02-Jul-2021) **</t>
  </si>
  <si>
    <t>INE503A08028</t>
  </si>
  <si>
    <t>9.85% DCB Bank Ltd (18-Nov-2026) **</t>
  </si>
  <si>
    <t>INE146O08027</t>
  </si>
  <si>
    <t>12.00% Hinduja Leyland Finance Ltd (28-Mar-2021) **</t>
  </si>
  <si>
    <t>INE540P07343</t>
  </si>
  <si>
    <t>10.15% Uttar Pradesh Power Corporation Ltd (20-Jan-2027) **</t>
  </si>
  <si>
    <t>INE540P07350</t>
  </si>
  <si>
    <t>10.15% Uttar Pradesh Power Corporation Ltd (20-Jan-2028) **</t>
  </si>
  <si>
    <t>INE028A08083</t>
  </si>
  <si>
    <t>8.50% Bank of Baroda (02-Dec-2021) **</t>
  </si>
  <si>
    <t>INE128S07317</t>
  </si>
  <si>
    <t>10.21% Five-Star Business Finance Ltd Series A (28-Mar-2023) **</t>
  </si>
  <si>
    <t>INE852O07055</t>
  </si>
  <si>
    <t>10.00% Aptus Value Housing Finance India Ltd (24-Jan-2025) **</t>
  </si>
  <si>
    <t>INE535H07AU7</t>
  </si>
  <si>
    <t>9.30% Fullerton India Credit Co Ltd (15-Mar-2021) **</t>
  </si>
  <si>
    <t>INE774D07RY7</t>
  </si>
  <si>
    <t>0.00% Mahindra &amp; Mahindra Financial Services Ltd (07-Apr-2021) **</t>
  </si>
  <si>
    <t>IND AAA</t>
  </si>
  <si>
    <t>INE110L07070</t>
  </si>
  <si>
    <t>8.32% Reliance Industries Ltd (08-Jul-2021) **</t>
  </si>
  <si>
    <t>INE00MX08011</t>
  </si>
  <si>
    <t>11.70% Svatantra Microfin Pvt Ltd (30-Nov-2023) **</t>
  </si>
  <si>
    <t>INE895D08634</t>
  </si>
  <si>
    <t>8.01% Tata Sons Pvt Ltd (02-Sep-2021) **</t>
  </si>
  <si>
    <t>INE333T07055</t>
  </si>
  <si>
    <t>11.49% Reliance Big Pvt Ltd Series II (14-Jan-2021) $$ ^^ **</t>
  </si>
  <si>
    <t>INE971Z07182</t>
  </si>
  <si>
    <t>13.00% Rivaaz Trade Ventures Pvt Ltd (30-Dec-2022) $$ @@@ **</t>
  </si>
  <si>
    <t>INE080T07102</t>
  </si>
  <si>
    <t>14.15% Future Ideas Co Ltd (31-Jan-2022) $$ @@@ **</t>
  </si>
  <si>
    <t>INE971Z07117</t>
  </si>
  <si>
    <t>12.25% Rivaaz Trade Ventures Pvt Ltd (30-Jun-2021) $$ @@@ **</t>
  </si>
  <si>
    <t>INE971Z07166</t>
  </si>
  <si>
    <t>13.00% Rivaaz Trade Ventures Pvt Ltd (30-Dec-2020) $$ @@@ **</t>
  </si>
  <si>
    <t>INE080T07110</t>
  </si>
  <si>
    <t>14.15% Future Ideas Co Ltd (31-Jan-2023) $$ @@@ **</t>
  </si>
  <si>
    <t>INE080T07094</t>
  </si>
  <si>
    <t>14.15% Future Ideas Co Ltd (31-Jan-2021) $$ @@@ **</t>
  </si>
  <si>
    <t>INE946S07155</t>
  </si>
  <si>
    <t>13.55% Nufuture Digital (India) Ltd (31-Dec-2020) $$ @@@ **</t>
  </si>
  <si>
    <t>INE971Z07174</t>
  </si>
  <si>
    <t>13.00% Rivaaz Trade Ventures Pvt Ltd (30-Dec-2021) $$ @@@ **</t>
  </si>
  <si>
    <t>INE971Z07125</t>
  </si>
  <si>
    <t>12.25% Rivaaz Trade Ventures Pvt Ltd (30-Jun-2022) $$ @@@ **</t>
  </si>
  <si>
    <t>INE946S07163</t>
  </si>
  <si>
    <t>13.55% Nufuture Digital (India) Ltd (31-Dec-2021) $$ @@@ **</t>
  </si>
  <si>
    <t xml:space="preserve">      Direct Retail Plan Weekly Dividend Option</t>
  </si>
  <si>
    <t>e)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Short Term Income Plan is 2,927.76 Lakhs. For further details refer below link</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</si>
  <si>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</si>
  <si>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on August 31, 2020, by Nufuture Digital (India) Ltd on September 02, 2020 and by Rivaaz Trade Ventures Pvt. Ltd and Nufuture Digital (India)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</si>
  <si>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</si>
  <si>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Franklin India Short Term Income Plan - Segregated Portfolio 2 - 10.90% Vodafone Idea Ltd (02-Sep-2023) P/C 03 Sep 2021</t>
  </si>
  <si>
    <t>Franklin India Short Term Income Plan - Segregated Portfolio 3 - 9.50% Yes Bank Ltd CO 23 Dec 2021</t>
  </si>
  <si>
    <t>Franklin India Income Opportunities Fund (No. of segregated Portfolio in the scheme - 2) - (under winding up)</t>
  </si>
  <si>
    <t>INE503A08044</t>
  </si>
  <si>
    <t>9.85% DCB Bank Ltd (12-Jan-2028) **</t>
  </si>
  <si>
    <t>INE01E708057</t>
  </si>
  <si>
    <t>10.32% Andhra Pradesh Capital Region Development Authority (16-Aug-2028) **</t>
  </si>
  <si>
    <t>INE146O08134</t>
  </si>
  <si>
    <t>10.15% Hinduja Leyland Finance Ltd (27-Mar-2025) **</t>
  </si>
  <si>
    <t>INE459T07041</t>
  </si>
  <si>
    <t>9.95% Vastu Housing Finance Corporation Ltd Series C (27-Feb-2025) **</t>
  </si>
  <si>
    <t>INE852O07063</t>
  </si>
  <si>
    <t>10.00% Aptus Value Housing Finance India Ltd (26-Feb-2025) **</t>
  </si>
  <si>
    <t>INE922K07039</t>
  </si>
  <si>
    <t>0.00% India Shelter Finance Corporation Ltd (02-May-2025) **</t>
  </si>
  <si>
    <t>INE146O08118</t>
  </si>
  <si>
    <t>9.20% Hinduja Leyland Finance Ltd (13-Sep-2024) **</t>
  </si>
  <si>
    <t>INE080T07128</t>
  </si>
  <si>
    <t>14.15% Future Ideas Co Ltd (31-Dec-2023) $$ @@@ **</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</si>
  <si>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</si>
  <si>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Franklin India Income Opportunities Fund-Segregated Portfolio 2 - 10.90% Vodafone Idea Ltd (02-Sep-2023) P/C 03 Sep 2021</t>
  </si>
  <si>
    <t>Franklin India Credit Risk Fund (No. of segregated Portfolios in the scheme -3) - (under winding up)</t>
  </si>
  <si>
    <t>INE016P07120</t>
  </si>
  <si>
    <t>10.50% Vistaar Financial Services Pvt Ltd (22-Jun-2023) **</t>
  </si>
  <si>
    <t>INE016P07138</t>
  </si>
  <si>
    <t>10.50% Vistaar Financial Services Pvt Ltd (23-Jul-2024) **</t>
  </si>
  <si>
    <t>INE128S07325</t>
  </si>
  <si>
    <t>10.21% Five-Star Business Finance Ltd Series B (28-Mar-2023) **</t>
  </si>
  <si>
    <t>INE128S07341</t>
  </si>
  <si>
    <t>10.21% Five-Star Business Finance Ltd Series D (28-Mar-2023) **</t>
  </si>
  <si>
    <t>INE852O07048</t>
  </si>
  <si>
    <t>10.00% Aptus Value Housing Finance India Ltd (26-Dec-2024) **</t>
  </si>
  <si>
    <t>INE852O07071</t>
  </si>
  <si>
    <t>10.00% Aptus Value Housing Finance India Ltd (20-Jun-2025) **</t>
  </si>
  <si>
    <t>INE027E07709</t>
  </si>
  <si>
    <t>8.9492% L&amp;T Finance Ltd (16-Aug-2021) **</t>
  </si>
  <si>
    <t>INE001A07OO9</t>
  </si>
  <si>
    <t>8.75% Housing Development Finance Corporation Ltd (04-Mar-2021) **</t>
  </si>
  <si>
    <t>INE660N07054</t>
  </si>
  <si>
    <t>INE946S07171</t>
  </si>
  <si>
    <t>13.55% Nufuture Digital (India) Ltd (31-Dec-2022) $$ @@@ **</t>
  </si>
  <si>
    <t>e) Essel Infra Projects Ltd - Further to the favorable decision from the Delhi High Court, the Debenture Trustees have sold the entire shares of Zee Entertainment Enterprises Ltd. and recovered Rs. 9,234.61 Lakhs (across the 4 schemes) which is slightly higher that the value at which the Essel Infraprojects NCDs were valued in these schemes as on the maturity date of the securities i.e. May 22, 2020. We will continue our efforts to recover the maximum value for the benefit of the unitholders. Recovery made by Franklin India Credit Risk Fund is 1,552.26 Lakhs. For further details refer below link</t>
  </si>
  <si>
    <t>f) @@@ Coupons/ part payments/ maturity payments were due to be paid by Nufuture Digital (India) Ltd. &amp; Future Ideas Co Ltd. on July 31, 2020, by Rivaaz Trade Ventures Pvt. Ltd on August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</si>
  <si>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Franklin India Credit Risk Fund-Segregated Portfolio 2 - 10.90% Vodafone Idea Ltd (02-Sep-2023) P/C 03 Sep 2021</t>
  </si>
  <si>
    <t>Franklin India Credit Risk Fund - Segregated Portfolio 3 - 9.50% Yes Bank Ltd CO 23 Dec 2021</t>
  </si>
  <si>
    <t>Franklin India Fixed Maturity Plans-Series 6 – Plan C  (1169 days)</t>
  </si>
  <si>
    <t>INE891K07416</t>
  </si>
  <si>
    <t>0.00% Axis Finance Ltd (19-Apr-2022) **</t>
  </si>
  <si>
    <t>INE377Y07052</t>
  </si>
  <si>
    <t>0.00% Bajaj Housing Finance Ltd (05-Apr-2022) **</t>
  </si>
  <si>
    <t>INE774D07SQ1</t>
  </si>
  <si>
    <t>0.00% Mahindra &amp; Mahindra Financial Services Ltd (29-Mar-2022) **</t>
  </si>
  <si>
    <t>INE296A07QQ5</t>
  </si>
  <si>
    <t>0.00% Bajaj Finance Ltd (05-Apr-2022) **</t>
  </si>
  <si>
    <t>INE031A08657</t>
  </si>
  <si>
    <t>8.23% Housing &amp; Urban Development Corporation Ltd (15-Apr-2022) **</t>
  </si>
  <si>
    <t>INE535H07AT9</t>
  </si>
  <si>
    <t>0.00% Fullerton India Credit Co Ltd (13-Apr-2022) **</t>
  </si>
  <si>
    <t xml:space="preserve">      Dividend Plan </t>
  </si>
  <si>
    <t>Franklin India Fixed Maturity Plans-Series 5 – Plan F (1203 days)</t>
  </si>
  <si>
    <t>INE020B08BF0</t>
  </si>
  <si>
    <t>8.45% REC Ltd (22-Mar-2022) **</t>
  </si>
  <si>
    <t>INE134E08GT3</t>
  </si>
  <si>
    <t>8.55% Power Finance Corporation Ltd (09-Dec-2021) **</t>
  </si>
  <si>
    <t>INE831R07235</t>
  </si>
  <si>
    <t>0.00% Aditya Birla Housing Finance Ltd (13-Apr-2022) **</t>
  </si>
  <si>
    <t>Franklin India Fixed Maturity Plans-Series 5 – Plan E (1224 days)</t>
  </si>
  <si>
    <t>INE377Y07086</t>
  </si>
  <si>
    <t>0.00% Bajaj Housing Finance Ltd (05-May-2022) **</t>
  </si>
  <si>
    <t>INE756I07CI8</t>
  </si>
  <si>
    <t>0.00% HDB Financial Services Ltd (05-Apr-2022) **</t>
  </si>
  <si>
    <t>INE306N07KG9</t>
  </si>
  <si>
    <t>9.4756% Tata Capital Financial Services Ltd (08-Apr-2022)</t>
  </si>
  <si>
    <t>Franklin India Fixed Maturity Plans – Series 5 – Plan D (1238 days)</t>
  </si>
  <si>
    <t>INE774D07SS7</t>
  </si>
  <si>
    <t>9.05% Mahindra &amp; Mahindra Financial Services Ltd (18-Apr-2022) **</t>
  </si>
  <si>
    <t>Franklin India Fixed Maturity Plans - Series 5 -Plan C (1259 Days)</t>
  </si>
  <si>
    <t>INE535H07AQ5</t>
  </si>
  <si>
    <t>0.00% Fullerton India Credit Co Ltd (19-Apr-2022) **</t>
  </si>
  <si>
    <t>INE476M07BR8</t>
  </si>
  <si>
    <t>9.3772% L&amp;T Housing Finance Ltd (11-Mar-2022) **</t>
  </si>
  <si>
    <t>Franklin India Fixed Maturity Plans – Series 5 - Plan B (1244 days)</t>
  </si>
  <si>
    <t>INE033L07GA4</t>
  </si>
  <si>
    <t>9.1791% Tata Capital Housing Finance Ltd (13-Apr-2022) **</t>
  </si>
  <si>
    <t>Franklin India Fixed Maturity Plans - Series 5 - Plan A (1273 days)</t>
  </si>
  <si>
    <t>Franklin India Fixed Maturity Plans - Series 4 - Plan F (1286 Days)</t>
  </si>
  <si>
    <t>INE115A07LM7</t>
  </si>
  <si>
    <t>7.95% LIC Housing Finance Ltd (24-Mar-2022) **</t>
  </si>
  <si>
    <t>INE134E08IN2</t>
  </si>
  <si>
    <t>7.27% Power Finance Corporation Ltd (22-Dec-2021) **</t>
  </si>
  <si>
    <t>INE895D08790</t>
  </si>
  <si>
    <t>8.25% Tata Sons Pvt Ltd (23-Mar-2022) **</t>
  </si>
  <si>
    <t>Franklin India Fixed Maturity Plans - Series 4 - Plan E (1098 days)</t>
  </si>
  <si>
    <t>INE481G08057</t>
  </si>
  <si>
    <t>8.36% Ultratech Cement Ltd (07-Jun-2021) **</t>
  </si>
  <si>
    <t>INE556F08JH3</t>
  </si>
  <si>
    <t>8.40% Small Industries Development Bank Of India (10-Aug-2021) **</t>
  </si>
  <si>
    <t>INE261F08AM9</t>
  </si>
  <si>
    <t>8.37% National Bank For Agriculture &amp; Rural Development (03-Aug-2021) **</t>
  </si>
  <si>
    <t>INE660A07PT8</t>
  </si>
  <si>
    <t>0.00% Sundaram Finance Ltd (31-Aug-2021) **</t>
  </si>
  <si>
    <t>INE020B08AO4</t>
  </si>
  <si>
    <t>7.18% REC Ltd (21-May-2021) **</t>
  </si>
  <si>
    <t>INE860H07FW4</t>
  </si>
  <si>
    <t>0.00% Aditya Birla Finance Ltd (26-Jul-2021) **</t>
  </si>
  <si>
    <t>Franklin India Fixed Maturity Plans - Series 4 - Plan D (1098 Days)</t>
  </si>
  <si>
    <t>INE377Y07045</t>
  </si>
  <si>
    <t>8.1352% Bajaj Housing Finance Ltd (04-Jun-2021) **</t>
  </si>
  <si>
    <t>Franklin India Fixed Maturity Plans - Series 4 - Plan C (1098 Days)</t>
  </si>
  <si>
    <t>INE115A07MX2</t>
  </si>
  <si>
    <t>0.00% LIC Housing Finance Ltd (25-Mar-2021) **</t>
  </si>
  <si>
    <t>INE891K07440</t>
  </si>
  <si>
    <t>0.00% Axis Finance Ltd (31-Aug-2021) **</t>
  </si>
  <si>
    <t>INE831R07201</t>
  </si>
  <si>
    <t>0.00% Aditya Birla Housing Finance Ltd (26-Jul-2021) **</t>
  </si>
  <si>
    <t>Franklin India Fixed Maturity Plans - Series 4 - Plan B (1098 days)</t>
  </si>
  <si>
    <t>INE020B07IW2</t>
  </si>
  <si>
    <t>9.40% REC Ltd (17-Jul-2021) **</t>
  </si>
  <si>
    <t>INE535H07AK8</t>
  </si>
  <si>
    <t>0.00% Fullerton India Credit Co Ltd (15-Jul-2021) **</t>
  </si>
  <si>
    <t>INE134E08DN3</t>
  </si>
  <si>
    <t>9.70% Power Finance Corporation Ltd (09-Jun-2021) **</t>
  </si>
  <si>
    <t>INE027E07642</t>
  </si>
  <si>
    <t>8.25% L&amp;T Finance Ltd (21-Jun-2021) **</t>
  </si>
  <si>
    <t>INE134E08ID3</t>
  </si>
  <si>
    <t>8.05% Power Finance Corporation Ltd (27-Apr-2021) **</t>
  </si>
  <si>
    <t>INE752E07MN5</t>
  </si>
  <si>
    <t>8.40% Power Grid Corporation of India Ltd (27-May-2021) **</t>
  </si>
  <si>
    <t>INE660A07PN1</t>
  </si>
  <si>
    <t>0.00% Sundaram Finance Ltd (15-Jun-2021) **</t>
  </si>
  <si>
    <t>INE071G07314</t>
  </si>
  <si>
    <t>8.22% ICICI Home Finance Co Ltd (27-May-2021) **</t>
  </si>
  <si>
    <t>INE377Y07029</t>
  </si>
  <si>
    <t>0.00% Bajaj Housing Finance Ltd (06-Apr-2021) **</t>
  </si>
  <si>
    <t>INE115A07MT0</t>
  </si>
  <si>
    <t>7.88% LIC Housing Finance Ltd (28-Jan-2021) **</t>
  </si>
  <si>
    <t>Franklin India Fixed Maturity Plans-Series 4 - Plan A (1098 Days)</t>
  </si>
  <si>
    <t>INE891K07390</t>
  </si>
  <si>
    <t>0.00% Axis Finance Ltd (14-Jun-2021) **</t>
  </si>
  <si>
    <t>INE110L07112</t>
  </si>
  <si>
    <t>8.70% Reliance Industries Ltd (15-Jun-2021) **</t>
  </si>
  <si>
    <t>INE556F08JF7</t>
  </si>
  <si>
    <t>8.50% Small Industries Development Bank of India (21-Jun-2021) **</t>
  </si>
  <si>
    <t>INE020B08AW7</t>
  </si>
  <si>
    <t>7.73% REC Ltd (15-Jun-2021) **</t>
  </si>
  <si>
    <t>INE476M07BM9</t>
  </si>
  <si>
    <t>8.80% L&amp;T Housing Finance Ltd (23-Jun-2021) **</t>
  </si>
  <si>
    <t>Franklin India Fixed Maturity Plans - Series 3 - Plan F (1098 days)</t>
  </si>
  <si>
    <t>INE031A08566</t>
  </si>
  <si>
    <t>7.73% Housing &amp; Urban Development Corporation Ltd (15-Apr-2021) **</t>
  </si>
  <si>
    <t>INE774D07SB3</t>
  </si>
  <si>
    <t>8.10% Mahindra &amp; Mahindra Financial Services Ltd (19-Apr-2021) **</t>
  </si>
  <si>
    <t>INE556F08JD2</t>
  </si>
  <si>
    <t>7.65% Small Industries Development Bank Of India (15-Apr-2021) **</t>
  </si>
  <si>
    <t>INE883A07174</t>
  </si>
  <si>
    <t>10.09% MRF Ltd (27-May-2021) **</t>
  </si>
  <si>
    <t>INE134E08DM5</t>
  </si>
  <si>
    <t>9.18% Power Finance Corporation Ltd (15-Apr-2021) **</t>
  </si>
  <si>
    <t>INE756I07BW1</t>
  </si>
  <si>
    <t>0.00% HDB Financial Services Ltd (06-Apr-2021) **</t>
  </si>
  <si>
    <t>INE115A07IO9</t>
  </si>
  <si>
    <t>8.50% LIC Housing Finance Ltd (05-Jan-2021) **</t>
  </si>
  <si>
    <t>INE244N07065</t>
  </si>
  <si>
    <t>8.19% Mahindra Vehicle Manufacturers Ltd (23-Feb-2021) **</t>
  </si>
  <si>
    <t>Franklin India Fixed Maturity Plans - Series 3 - Plan E (1104 Days)</t>
  </si>
  <si>
    <t>INE134E08JM2</t>
  </si>
  <si>
    <t>7.75% Power Finance Corporation Ltd (15-Apr-2021) **</t>
  </si>
  <si>
    <t>INE020B08AS5</t>
  </si>
  <si>
    <t>7.70% REC Ltd (15-Mar-2021) **</t>
  </si>
  <si>
    <t>INE031A08590</t>
  </si>
  <si>
    <t>7.68% Housing &amp; Urban Development Corporation Ltd (05-Apr-2021) **</t>
  </si>
  <si>
    <t>INE916DA7PO3</t>
  </si>
  <si>
    <t>0.00% Kotak Mahindra Prime Ltd (27-May-2021) **</t>
  </si>
  <si>
    <t>INE261F08956</t>
  </si>
  <si>
    <t>7.40% National Bank For Agriculture &amp; Rural Development (01-Feb-2021) **</t>
  </si>
  <si>
    <t>INE895D08899</t>
  </si>
  <si>
    <t>8.25% Tata Sons Pvt Ltd (24-Mar-2021) **</t>
  </si>
  <si>
    <t>INE002A14EM8</t>
  </si>
  <si>
    <t>Reliance Industries Ltd (02-Mar-2021) **@</t>
  </si>
  <si>
    <t>Franklin India Fixed Maturity Plans - Series 3 - Plan D (1132 Days)</t>
  </si>
  <si>
    <t>INE916DA7PI5</t>
  </si>
  <si>
    <t>0.00% Kotak Mahindra Prime Ltd (26-Apr-2021) **</t>
  </si>
  <si>
    <t>Franklin India Fixed Maturity Plans - Series 3 - Plan C (1132 Days)</t>
  </si>
  <si>
    <t>INE134E08JK6</t>
  </si>
  <si>
    <t>7.73% Power Finance Corporation Ltd (05-Apr-2021) **</t>
  </si>
  <si>
    <t>INE556F08JA8</t>
  </si>
  <si>
    <t>7.52% Small Industries Development Bank of India (10-Feb-2021) **</t>
  </si>
  <si>
    <t>INE020B08AR7</t>
  </si>
  <si>
    <t>7.60% REC Ltd (17-Apr-2021) **</t>
  </si>
  <si>
    <t>INE752E07GX6</t>
  </si>
  <si>
    <t>8.84% Power Grid Corporation of India Ltd (29-Mar-2021) **</t>
  </si>
  <si>
    <t>INE895D08881</t>
  </si>
  <si>
    <t>8.25% Tata Sons Pvt Ltd (23-Mar-2021) **</t>
  </si>
  <si>
    <t>Franklin India Fixed Maturity Plans - Series 3 - Plan B (1139 Days)</t>
  </si>
  <si>
    <t>Franklin India Fixed Maturity Plans-Series 3-Plan A (1157 Days)</t>
  </si>
  <si>
    <t>INE115A07AL2</t>
  </si>
  <si>
    <t>9.60% LIC Housing Finance Ltd (07-Mar-2021) **</t>
  </si>
  <si>
    <t>INE031A08541</t>
  </si>
  <si>
    <t>7.14% Housing &amp; Urban Development Corporation Ltd (22-Dec-2020) **</t>
  </si>
  <si>
    <t>Franklin India Fixed Maturity Plans- Series 2 - Plan C (1205 Days)</t>
  </si>
  <si>
    <t>INE756I07BU5</t>
  </si>
  <si>
    <t>7.9407% HDB Financial Services Ltd (15-Apr-2021) **</t>
  </si>
  <si>
    <t>Franklin India Fixed Maturity Plans - Series 2 - Plan B (1224 Days)</t>
  </si>
  <si>
    <t>INE477A07274</t>
  </si>
  <si>
    <t>7.64% Can Fin Homes Ltd (28-Feb-2021) **</t>
  </si>
  <si>
    <t>INE115A07JB4</t>
  </si>
  <si>
    <t>8.75% LIC Housing Finance Ltd (12-Feb-2021) **</t>
  </si>
  <si>
    <t>INE895D08725</t>
  </si>
  <si>
    <t>7.85% Tata Sons Pvt Ltd (31-Jan-2021) **</t>
  </si>
  <si>
    <t>Franklin India Fixed Maturity Plans - Series 2- Plan A (1224 Days)</t>
  </si>
  <si>
    <t>INE733E07JZ5</t>
  </si>
  <si>
    <t>8.33% NTPC Ltd (24-Feb-2021) **</t>
  </si>
  <si>
    <t>INE134E07505</t>
  </si>
  <si>
    <t>9.70% Power Finance Corporation Ltd (31-Jan-2021) **</t>
  </si>
  <si>
    <t>INE537P07117</t>
  </si>
  <si>
    <t>8.62% India Infradebt Ltd (08-Mar-2021) **</t>
  </si>
  <si>
    <t>INE235P07167</t>
  </si>
  <si>
    <t>8.70% L&amp;T Infrastructure Debt Fund Ltd (24-Feb-2021) **</t>
  </si>
  <si>
    <t>INE848E07419</t>
  </si>
  <si>
    <t>8.78% NHPC Ltd (11-Feb-2021) **</t>
  </si>
  <si>
    <t>INE752E07ER3</t>
  </si>
  <si>
    <t>9.47% Power Grid Corporation of India Ltd (31-Mar-2021) **</t>
  </si>
  <si>
    <t>INE514E08951</t>
  </si>
  <si>
    <t>9.15% Export-Import Bank of India (18-Mar-2021) **</t>
  </si>
  <si>
    <t>INE514E08928</t>
  </si>
  <si>
    <t>9.15% Export-Import Bank of India (25-Feb-2021) **</t>
  </si>
  <si>
    <t>Franklin India Pension Plan</t>
  </si>
  <si>
    <t>INE685A01028</t>
  </si>
  <si>
    <t>Torrent Pharmaceuticals Ltd</t>
  </si>
  <si>
    <t>INE110L08037</t>
  </si>
  <si>
    <t>9.25% Reliance Industries Ltd (17-Jun-2024) **</t>
  </si>
  <si>
    <t>c) Average Maturity as on 30-Oct-2020</t>
  </si>
  <si>
    <t>Franklin India Debt Hybrid Fund (No. of segregated Portfolio in the scheme - 1)</t>
  </si>
  <si>
    <t>Franklin India Debt Hybrid Fund - Segregated Portfolio 1 - 10.25% Yes Bank Ltd CO 05 Mar 2020</t>
  </si>
  <si>
    <t>INE528G09061</t>
  </si>
  <si>
    <t>10.25% Yes Bank Ltd (05-Mar-2110)  $$ **</t>
  </si>
  <si>
    <t>Numero Uno International Ltd  **</t>
  </si>
  <si>
    <t>Numero Uno International Ltd **</t>
  </si>
  <si>
    <t>Quantum Information Systems **</t>
  </si>
  <si>
    <t>Quantum Information Services **</t>
  </si>
  <si>
    <t>Brillio Technologies Pvt Ltd **</t>
  </si>
  <si>
    <t>Chennai Interactive Business Services Pvt Ltd **</t>
  </si>
  <si>
    <t>Globsyn Technologies Ltd **</t>
  </si>
  <si>
    <t>d) Outstanding derivative exposure as % to net assets</t>
  </si>
  <si>
    <t>e) Portfolio Turnover Ratio during the Half - year 30-Oct-2020</t>
  </si>
  <si>
    <t>f) Average Maturity as on 30-Oct-2020</t>
  </si>
  <si>
    <t xml:space="preserve">g) During the month additional instances of fair valuation/deviation from valuation price provided by the valuation agencies </t>
  </si>
  <si>
    <t xml:space="preserve">c) Total outstanding position (as at October 30, 2020) in Derivative Instruments (Gross Notional) </t>
  </si>
  <si>
    <t>Rs.3,698.11 Lacs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</si>
</sst>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3"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sz val="8"/>
      <name val="Arial"/>
      <family val="2"/>
    </font>
    <font>
      <u/>
      <sz val="11"/>
      <color theme="10"/>
      <name val="Calibri"/>
      <family val="2"/>
      <scheme val="minor"/>
    </font>
    <font>
      <u/>
      <sz val="8"/>
      <color theme="10"/>
      <name val="Arial"/>
      <family val="2"/>
    </font>
    <font>
      <b/>
      <sz val="9"/>
      <color theme="1"/>
      <name val="Arial"/>
      <family val="2"/>
    </font>
    <font>
      <sz val="11"/>
      <color theme="1"/>
      <name val="Calibri"/>
      <family val="2"/>
      <scheme val="minor"/>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9" fillId="0" borderId="0" applyNumberFormat="0" applyFill="0" applyBorder="0" applyAlignment="0" applyProtection="0"/>
    <xf numFmtId="9" fontId="12" fillId="0" borderId="0" applyFont="0" applyFill="0" applyBorder="0" applyAlignment="0" applyProtection="0"/>
  </cellStyleXfs>
  <cellXfs count="88">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7" fillId="2" borderId="4" xfId="0" applyFont="1" applyFill="1" applyBorder="1" applyAlignment="1">
      <alignment wrapText="1"/>
    </xf>
    <xf numFmtId="0" fontId="7" fillId="2" borderId="4" xfId="0" applyFont="1" applyFill="1" applyBorder="1" applyAlignment="1">
      <alignment vertical="center" wrapText="1"/>
    </xf>
    <xf numFmtId="165" fontId="7" fillId="0" borderId="0" xfId="0" applyNumberFormat="1" applyFont="1" applyFill="1"/>
    <xf numFmtId="165" fontId="8" fillId="0" borderId="0" xfId="0" applyNumberFormat="1" applyFont="1" applyFill="1"/>
    <xf numFmtId="0" fontId="7" fillId="2" borderId="4" xfId="0" applyFont="1" applyFill="1" applyBorder="1" applyAlignment="1">
      <alignment vertical="center"/>
    </xf>
    <xf numFmtId="2" fontId="6" fillId="0" borderId="1" xfId="0" applyNumberFormat="1" applyFont="1" applyBorder="1" applyAlignment="1">
      <alignment horizontal="center" vertical="center" wrapText="1"/>
    </xf>
    <xf numFmtId="0" fontId="7" fillId="0" borderId="4" xfId="0" applyFont="1" applyFill="1" applyBorder="1"/>
    <xf numFmtId="3" fontId="7" fillId="0" borderId="4" xfId="0" applyNumberFormat="1" applyFont="1" applyFill="1" applyBorder="1"/>
    <xf numFmtId="39" fontId="7" fillId="0" borderId="4" xfId="0" applyNumberFormat="1" applyFont="1" applyFill="1" applyBorder="1"/>
    <xf numFmtId="164" fontId="7" fillId="3" borderId="0" xfId="0" applyNumberFormat="1" applyFont="1" applyFill="1" applyAlignment="1">
      <alignment horizontal="right"/>
    </xf>
    <xf numFmtId="164" fontId="7" fillId="2" borderId="0" xfId="0" applyNumberFormat="1" applyFont="1" applyFill="1" applyAlignment="1">
      <alignment horizontal="right"/>
    </xf>
    <xf numFmtId="0" fontId="10" fillId="0" borderId="0" xfId="1" applyFont="1" applyAlignment="1">
      <alignment vertical="center"/>
    </xf>
    <xf numFmtId="0" fontId="11" fillId="2" borderId="0" xfId="0" applyFont="1" applyFill="1"/>
    <xf numFmtId="0" fontId="10" fillId="2" borderId="0" xfId="1" applyFont="1" applyFill="1"/>
    <xf numFmtId="0" fontId="10" fillId="2" borderId="0" xfId="1" applyFont="1" applyFill="1" applyAlignment="1"/>
    <xf numFmtId="0" fontId="6" fillId="2" borderId="0" xfId="0" quotePrefix="1" applyFont="1" applyFill="1" applyAlignment="1">
      <alignment horizontal="justify" vertical="top" wrapText="1"/>
    </xf>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6" fillId="3" borderId="0" xfId="0" applyFont="1" applyFill="1"/>
    <xf numFmtId="0" fontId="7" fillId="3" borderId="0" xfId="0" applyFont="1" applyFill="1"/>
    <xf numFmtId="0" fontId="9" fillId="2" borderId="0" xfId="1" applyFill="1"/>
    <xf numFmtId="0" fontId="7" fillId="3" borderId="0" xfId="0" applyNumberFormat="1" applyFont="1" applyFill="1"/>
    <xf numFmtId="0" fontId="10" fillId="3" borderId="0" xfId="1" applyFont="1" applyFill="1"/>
    <xf numFmtId="4" fontId="6" fillId="2" borderId="0" xfId="0" applyNumberFormat="1" applyFont="1" applyFill="1"/>
    <xf numFmtId="4" fontId="6" fillId="0" borderId="0" xfId="0" applyNumberFormat="1" applyFont="1" applyFill="1"/>
    <xf numFmtId="4" fontId="6" fillId="2" borderId="4" xfId="0" applyNumberFormat="1" applyFont="1" applyFill="1" applyBorder="1"/>
    <xf numFmtId="4" fontId="6" fillId="2" borderId="5" xfId="0" applyNumberFormat="1" applyFont="1" applyFill="1" applyBorder="1"/>
    <xf numFmtId="0" fontId="8" fillId="3" borderId="0" xfId="0" applyFont="1" applyFill="1" applyAlignment="1">
      <alignment horizontal="right"/>
    </xf>
    <xf numFmtId="10" fontId="7" fillId="3" borderId="0" xfId="2"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justify" vertical="top" wrapText="1"/>
    </xf>
    <xf numFmtId="0" fontId="6" fillId="2" borderId="0" xfId="0" quotePrefix="1" applyFont="1" applyFill="1" applyAlignment="1">
      <alignment horizontal="justify" vertical="top" wrapText="1"/>
    </xf>
    <xf numFmtId="0" fontId="10" fillId="0" borderId="0" xfId="1" quotePrefix="1" applyFont="1" applyFill="1" applyAlignment="1">
      <alignment horizontal="left" vertical="top" wrapText="1"/>
    </xf>
    <xf numFmtId="0" fontId="6" fillId="2" borderId="0" xfId="0" applyFont="1" applyFill="1" applyAlignment="1">
      <alignment horizontal="justify" vertical="top"/>
    </xf>
    <xf numFmtId="0" fontId="6" fillId="2" borderId="0" xfId="0" applyFont="1" applyFill="1" applyAlignment="1">
      <alignment horizontal="justify" vertical="center" wrapText="1"/>
    </xf>
  </cellXfs>
  <cellStyles count="3">
    <cellStyle name="Hyperlink" xfId="1" builtinId="8"/>
    <cellStyle name="Normal" xfId="0" builtinId="0"/>
    <cellStyle name="Percent" xfId="2" builtinId="5"/>
  </cellStyles>
  <dxfs count="89">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aug-31-2020-kegstinm" TargetMode="External"/><Relationship Id="rId7" Type="http://schemas.openxmlformats.org/officeDocument/2006/relationships/printerSettings" Target="../printerSettings/printerSettings8.bin"/><Relationship Id="rId2" Type="http://schemas.openxmlformats.org/officeDocument/2006/relationships/hyperlink" Target="https://www.franklintempletonindia.com/downloadsServlet/pdf/franklin-templeton-update-on-future-group-july-31-2020-kd193hq1"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franklin-templeton-update-on-essel-infraproject-september-18-2020-kf3gzax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essel-infraproject-september-18-2020-kf3gzax7" TargetMode="External"/><Relationship Id="rId1" Type="http://schemas.openxmlformats.org/officeDocument/2006/relationships/hyperlink" Target="https://www.franklintempletonindia.com/investor/reports?firstFilter-4" TargetMode="Externa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printerSettings" Target="../printerSettings/printerSettings11.bin"/><Relationship Id="rId3" Type="http://schemas.openxmlformats.org/officeDocument/2006/relationships/hyperlink" Target="https://www.franklintempletonindia.com/downloadsServlet/pdf/franklin-templeton-update-on-reliance-broadcast-july-23-2020-kcg9m1gq" TargetMode="External"/><Relationship Id="rId7" Type="http://schemas.openxmlformats.org/officeDocument/2006/relationships/hyperlink" Target="https://www.franklintempletonindia.com/investor/reports?firstFilter-4" TargetMode="External"/><Relationship Id="rId2" Type="http://schemas.openxmlformats.org/officeDocument/2006/relationships/hyperlink" Target="https://www.franklintempletonindia.com/downloadsServlet/pdf/franklin-templeton-update-on-essel-infraproject-september-18-2020-kf3gzax7"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downloadsServlet/pdf/franklin-templeton-update-on-future-group-aug-31-2020-kegstinm" TargetMode="External"/><Relationship Id="rId4" Type="http://schemas.openxmlformats.org/officeDocument/2006/relationships/hyperlink" Target="https://www.franklintempletonindia.com/downloadsServlet/pdf/franklin-templeton-update-on-future-group-july-31-2020-kd193hq1"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aug-31-2020-kegstinm" TargetMode="External"/><Relationship Id="rId2" Type="http://schemas.openxmlformats.org/officeDocument/2006/relationships/hyperlink" Target="https://www.franklintempletonindia.com/downloadsServlet/pdf/franklin-templeton-update-on-future-group-july-31-2020-kd193hq1" TargetMode="External"/><Relationship Id="rId1" Type="http://schemas.openxmlformats.org/officeDocument/2006/relationships/hyperlink" Target="https://www.franklintempletonindia.com/investor/reports?firstFilter-4" TargetMode="External"/><Relationship Id="rId5" Type="http://schemas.openxmlformats.org/officeDocument/2006/relationships/printerSettings" Target="../printerSettings/printerSettings12.bin"/><Relationship Id="rId4" Type="http://schemas.openxmlformats.org/officeDocument/2006/relationships/hyperlink" Target="https://www.franklintempletonindia.com/investor/reports?firstFilter-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aug-31-2020-kegstinm" TargetMode="External"/><Relationship Id="rId7" Type="http://schemas.openxmlformats.org/officeDocument/2006/relationships/printerSettings" Target="../printerSettings/printerSettings13.bin"/><Relationship Id="rId2" Type="http://schemas.openxmlformats.org/officeDocument/2006/relationships/hyperlink" Target="https://www.franklintempletonindia.com/downloadsServlet/pdf/franklin-templeton-update-on-future-group-july-31-2020-kd193hq1"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franklin-templeton-update-on-essel-infraproject-september-18-2020-kf3gzax7"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investor/reports?firstFilter-4"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1"/>
  <sheetViews>
    <sheetView tabSelected="1"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9" t="s">
        <v>725</v>
      </c>
      <c r="B1" s="80"/>
      <c r="C1" s="80"/>
      <c r="D1" s="80"/>
      <c r="E1" s="80"/>
      <c r="F1" s="80"/>
      <c r="G1" s="80"/>
    </row>
    <row r="2" spans="1:9" s="1" customFormat="1" ht="11.5" x14ac:dyDescent="0.25">
      <c r="D2" s="6"/>
      <c r="E2" s="7"/>
      <c r="F2" s="12"/>
      <c r="G2" s="13"/>
    </row>
    <row r="3" spans="1:9" s="1" customFormat="1" ht="11.5" x14ac:dyDescent="0.25">
      <c r="A3" s="11" t="s">
        <v>711</v>
      </c>
      <c r="B3" s="2"/>
      <c r="C3" s="3"/>
      <c r="D3" s="4"/>
      <c r="E3" s="5"/>
      <c r="F3" s="12"/>
      <c r="G3" s="13"/>
    </row>
    <row r="4" spans="1:9" s="1" customFormat="1" ht="17.5" customHeight="1" x14ac:dyDescent="0.25">
      <c r="A4" s="8" t="s">
        <v>2</v>
      </c>
      <c r="B4" s="8" t="s">
        <v>0</v>
      </c>
      <c r="C4" s="17" t="s">
        <v>726</v>
      </c>
      <c r="D4" s="16" t="s">
        <v>1</v>
      </c>
      <c r="E4" s="15" t="s">
        <v>3</v>
      </c>
      <c r="F4" s="15" t="s">
        <v>4</v>
      </c>
      <c r="G4" s="15" t="s">
        <v>6</v>
      </c>
    </row>
    <row r="5" spans="1:9" ht="10.5" x14ac:dyDescent="0.25">
      <c r="A5" s="21" t="s">
        <v>32</v>
      </c>
      <c r="B5" s="22"/>
      <c r="C5" s="22"/>
      <c r="D5" s="23"/>
      <c r="E5" s="24"/>
      <c r="F5" s="25"/>
      <c r="G5" s="24"/>
    </row>
    <row r="6" spans="1:9" ht="10.5" x14ac:dyDescent="0.25">
      <c r="A6" s="26" t="s">
        <v>33</v>
      </c>
      <c r="B6" s="27"/>
      <c r="C6" s="27"/>
      <c r="D6" s="28"/>
      <c r="E6" s="29"/>
      <c r="F6" s="30"/>
      <c r="G6" s="29"/>
    </row>
    <row r="7" spans="1:9" x14ac:dyDescent="0.2">
      <c r="A7" s="27" t="s">
        <v>727</v>
      </c>
      <c r="B7" s="27" t="s">
        <v>728</v>
      </c>
      <c r="C7" s="27" t="s">
        <v>42</v>
      </c>
      <c r="D7" s="31">
        <v>500</v>
      </c>
      <c r="E7" s="29">
        <v>6226.375</v>
      </c>
      <c r="F7" s="30">
        <v>3.64678651776505</v>
      </c>
      <c r="G7" s="29">
        <v>3.3454000000000002</v>
      </c>
    </row>
    <row r="8" spans="1:9" x14ac:dyDescent="0.2">
      <c r="A8" s="27" t="s">
        <v>729</v>
      </c>
      <c r="B8" s="27" t="s">
        <v>730</v>
      </c>
      <c r="C8" s="27" t="s">
        <v>42</v>
      </c>
      <c r="D8" s="31">
        <v>25</v>
      </c>
      <c r="E8" s="29">
        <v>2504.7674999999999</v>
      </c>
      <c r="F8" s="30">
        <v>1.4670417938425</v>
      </c>
      <c r="G8" s="29">
        <v>3.2850000000000001</v>
      </c>
    </row>
    <row r="9" spans="1:9" ht="10.5" x14ac:dyDescent="0.25">
      <c r="A9" s="26" t="s">
        <v>43</v>
      </c>
      <c r="B9" s="26"/>
      <c r="C9" s="26"/>
      <c r="D9" s="32"/>
      <c r="E9" s="33">
        <f>SUM(E6:E8)</f>
        <v>8731.1424999999999</v>
      </c>
      <c r="F9" s="34">
        <f>SUM(F6:F8)</f>
        <v>5.1138283116075502</v>
      </c>
      <c r="G9" s="33"/>
      <c r="H9" s="18"/>
      <c r="I9" s="18"/>
    </row>
    <row r="10" spans="1:9" x14ac:dyDescent="0.2">
      <c r="A10" s="27"/>
      <c r="B10" s="27"/>
      <c r="C10" s="27"/>
      <c r="D10" s="28"/>
      <c r="E10" s="29"/>
      <c r="F10" s="30"/>
      <c r="G10" s="29"/>
    </row>
    <row r="11" spans="1:9" ht="10.5" x14ac:dyDescent="0.25">
      <c r="A11" s="26" t="s">
        <v>62</v>
      </c>
      <c r="B11" s="27"/>
      <c r="C11" s="27"/>
      <c r="D11" s="28"/>
      <c r="E11" s="29"/>
      <c r="F11" s="30"/>
      <c r="G11" s="29"/>
    </row>
    <row r="12" spans="1:9" ht="10.5" x14ac:dyDescent="0.25">
      <c r="A12" s="26" t="s">
        <v>63</v>
      </c>
      <c r="B12" s="27"/>
      <c r="C12" s="27"/>
      <c r="D12" s="28"/>
      <c r="E12" s="29"/>
      <c r="F12" s="30"/>
      <c r="G12" s="29"/>
    </row>
    <row r="13" spans="1:9" x14ac:dyDescent="0.2">
      <c r="A13" s="27" t="s">
        <v>731</v>
      </c>
      <c r="B13" s="27" t="s">
        <v>732</v>
      </c>
      <c r="C13" s="27" t="s">
        <v>67</v>
      </c>
      <c r="D13" s="31">
        <v>2500</v>
      </c>
      <c r="E13" s="29">
        <v>2492.855</v>
      </c>
      <c r="F13" s="30">
        <v>1.4600646451174499</v>
      </c>
      <c r="G13" s="29">
        <v>3.1701999999999999</v>
      </c>
    </row>
    <row r="14" spans="1:9" ht="10.5" x14ac:dyDescent="0.25">
      <c r="A14" s="26" t="s">
        <v>43</v>
      </c>
      <c r="B14" s="26"/>
      <c r="C14" s="26"/>
      <c r="D14" s="32"/>
      <c r="E14" s="33">
        <f>SUM(E12:E13)</f>
        <v>2492.855</v>
      </c>
      <c r="F14" s="34">
        <f>SUM(F12:F13)</f>
        <v>1.4600646451174499</v>
      </c>
      <c r="G14" s="33"/>
      <c r="H14" s="18"/>
      <c r="I14" s="18"/>
    </row>
    <row r="15" spans="1:9" x14ac:dyDescent="0.2">
      <c r="A15" s="27"/>
      <c r="B15" s="27"/>
      <c r="C15" s="27"/>
      <c r="D15" s="28"/>
      <c r="E15" s="29"/>
      <c r="F15" s="30"/>
      <c r="G15" s="29"/>
    </row>
    <row r="16" spans="1:9" ht="10.5" x14ac:dyDescent="0.25">
      <c r="A16" s="26" t="s">
        <v>733</v>
      </c>
      <c r="B16" s="27"/>
      <c r="C16" s="27"/>
      <c r="D16" s="28"/>
      <c r="E16" s="29"/>
      <c r="F16" s="30"/>
      <c r="G16" s="29"/>
    </row>
    <row r="17" spans="1:9" x14ac:dyDescent="0.2">
      <c r="A17" s="27" t="s">
        <v>734</v>
      </c>
      <c r="B17" s="27" t="s">
        <v>735</v>
      </c>
      <c r="C17" s="27" t="s">
        <v>736</v>
      </c>
      <c r="D17" s="31">
        <v>2000</v>
      </c>
      <c r="E17" s="29">
        <v>9988.3700000000008</v>
      </c>
      <c r="F17" s="30">
        <v>5.8501861918771203</v>
      </c>
      <c r="G17" s="29">
        <v>3.2690999999999999</v>
      </c>
    </row>
    <row r="18" spans="1:9" x14ac:dyDescent="0.2">
      <c r="A18" s="27" t="s">
        <v>737</v>
      </c>
      <c r="B18" s="27" t="s">
        <v>738</v>
      </c>
      <c r="C18" s="27" t="s">
        <v>67</v>
      </c>
      <c r="D18" s="31">
        <v>1500</v>
      </c>
      <c r="E18" s="29">
        <v>7491.1424999999999</v>
      </c>
      <c r="F18" s="30">
        <v>4.3875605744364501</v>
      </c>
      <c r="G18" s="29">
        <v>3.3197999999999999</v>
      </c>
    </row>
    <row r="19" spans="1:9" x14ac:dyDescent="0.2">
      <c r="A19" s="27" t="s">
        <v>739</v>
      </c>
      <c r="B19" s="27" t="s">
        <v>740</v>
      </c>
      <c r="C19" s="27" t="s">
        <v>736</v>
      </c>
      <c r="D19" s="31">
        <v>1500</v>
      </c>
      <c r="E19" s="29">
        <v>7443.1274999999996</v>
      </c>
      <c r="F19" s="30">
        <v>4.3594381991136499</v>
      </c>
      <c r="G19" s="29">
        <v>3.3201999999999998</v>
      </c>
    </row>
    <row r="20" spans="1:9" x14ac:dyDescent="0.2">
      <c r="A20" s="27" t="s">
        <v>741</v>
      </c>
      <c r="B20" s="27" t="s">
        <v>742</v>
      </c>
      <c r="C20" s="27" t="s">
        <v>743</v>
      </c>
      <c r="D20" s="31">
        <v>1000</v>
      </c>
      <c r="E20" s="29">
        <v>4998.7</v>
      </c>
      <c r="F20" s="30">
        <v>2.92773753048156</v>
      </c>
      <c r="G20" s="29">
        <v>3.1642000000000001</v>
      </c>
    </row>
    <row r="21" spans="1:9" x14ac:dyDescent="0.2">
      <c r="A21" s="27" t="s">
        <v>744</v>
      </c>
      <c r="B21" s="27" t="s">
        <v>745</v>
      </c>
      <c r="C21" s="27" t="s">
        <v>67</v>
      </c>
      <c r="D21" s="31">
        <v>1000</v>
      </c>
      <c r="E21" s="29">
        <v>4996.84</v>
      </c>
      <c r="F21" s="30">
        <v>2.9266481288758102</v>
      </c>
      <c r="G21" s="29">
        <v>3.2974999999999999</v>
      </c>
    </row>
    <row r="22" spans="1:9" x14ac:dyDescent="0.2">
      <c r="A22" s="27" t="s">
        <v>746</v>
      </c>
      <c r="B22" s="27" t="s">
        <v>747</v>
      </c>
      <c r="C22" s="27" t="s">
        <v>743</v>
      </c>
      <c r="D22" s="31">
        <v>1000</v>
      </c>
      <c r="E22" s="29">
        <v>4961.7650000000003</v>
      </c>
      <c r="F22" s="30">
        <v>2.9061047088102598</v>
      </c>
      <c r="G22" s="29">
        <v>3.4300999999999999</v>
      </c>
    </row>
    <row r="23" spans="1:9" ht="10.5" x14ac:dyDescent="0.25">
      <c r="A23" s="26" t="s">
        <v>43</v>
      </c>
      <c r="B23" s="26"/>
      <c r="C23" s="26"/>
      <c r="D23" s="32"/>
      <c r="E23" s="33">
        <f>SUM(E16:E22)</f>
        <v>39879.945</v>
      </c>
      <c r="F23" s="34">
        <f>SUM(F16:F22)</f>
        <v>23.357675333594855</v>
      </c>
      <c r="G23" s="33"/>
      <c r="H23" s="18"/>
      <c r="I23" s="18"/>
    </row>
    <row r="24" spans="1:9" x14ac:dyDescent="0.2">
      <c r="A24" s="27"/>
      <c r="B24" s="27"/>
      <c r="C24" s="27"/>
      <c r="D24" s="28"/>
      <c r="E24" s="29"/>
      <c r="F24" s="30"/>
      <c r="G24" s="29"/>
    </row>
    <row r="25" spans="1:9" ht="10.5" x14ac:dyDescent="0.25">
      <c r="A25" s="26" t="s">
        <v>748</v>
      </c>
      <c r="B25" s="27"/>
      <c r="C25" s="27"/>
      <c r="D25" s="28"/>
      <c r="E25" s="29"/>
      <c r="F25" s="30"/>
      <c r="G25" s="29"/>
    </row>
    <row r="26" spans="1:9" x14ac:dyDescent="0.2">
      <c r="A26" s="27" t="s">
        <v>749</v>
      </c>
      <c r="B26" s="27" t="s">
        <v>750</v>
      </c>
      <c r="C26" s="27" t="s">
        <v>82</v>
      </c>
      <c r="D26" s="31">
        <v>15000000</v>
      </c>
      <c r="E26" s="29">
        <v>14983.17</v>
      </c>
      <c r="F26" s="30">
        <v>8.7756394931853201</v>
      </c>
      <c r="G26" s="29">
        <v>3.1551999999999998</v>
      </c>
    </row>
    <row r="27" spans="1:9" x14ac:dyDescent="0.2">
      <c r="A27" s="27" t="s">
        <v>751</v>
      </c>
      <c r="B27" s="27" t="s">
        <v>752</v>
      </c>
      <c r="C27" s="27" t="s">
        <v>82</v>
      </c>
      <c r="D27" s="31">
        <v>15000000</v>
      </c>
      <c r="E27" s="29">
        <v>14965.125</v>
      </c>
      <c r="F27" s="30">
        <v>8.7650705405101199</v>
      </c>
      <c r="G27" s="29">
        <v>3.1503999999999999</v>
      </c>
    </row>
    <row r="28" spans="1:9" x14ac:dyDescent="0.2">
      <c r="A28" s="27" t="s">
        <v>753</v>
      </c>
      <c r="B28" s="27" t="s">
        <v>754</v>
      </c>
      <c r="C28" s="27" t="s">
        <v>82</v>
      </c>
      <c r="D28" s="31">
        <v>13500000</v>
      </c>
      <c r="E28" s="29">
        <v>13491.7245</v>
      </c>
      <c r="F28" s="30">
        <v>7.9021001799603097</v>
      </c>
      <c r="G28" s="29">
        <v>3.1983000000000001</v>
      </c>
    </row>
    <row r="29" spans="1:9" x14ac:dyDescent="0.2">
      <c r="A29" s="27" t="s">
        <v>755</v>
      </c>
      <c r="B29" s="27" t="s">
        <v>756</v>
      </c>
      <c r="C29" s="27" t="s">
        <v>82</v>
      </c>
      <c r="D29" s="31">
        <v>10000000</v>
      </c>
      <c r="E29" s="29">
        <v>9994.82</v>
      </c>
      <c r="F29" s="30">
        <v>5.8539639555099798</v>
      </c>
      <c r="G29" s="29">
        <v>3.1528</v>
      </c>
    </row>
    <row r="30" spans="1:9" x14ac:dyDescent="0.2">
      <c r="A30" s="27" t="s">
        <v>757</v>
      </c>
      <c r="B30" s="27" t="s">
        <v>758</v>
      </c>
      <c r="C30" s="27" t="s">
        <v>82</v>
      </c>
      <c r="D30" s="31">
        <v>10000000</v>
      </c>
      <c r="E30" s="29">
        <v>9982.77</v>
      </c>
      <c r="F30" s="30">
        <v>5.8469062730640902</v>
      </c>
      <c r="G30" s="29">
        <v>3.1499000000000001</v>
      </c>
    </row>
    <row r="31" spans="1:9" x14ac:dyDescent="0.2">
      <c r="A31" s="27" t="s">
        <v>759</v>
      </c>
      <c r="B31" s="27" t="s">
        <v>760</v>
      </c>
      <c r="C31" s="27" t="s">
        <v>82</v>
      </c>
      <c r="D31" s="31">
        <v>10000000</v>
      </c>
      <c r="E31" s="29">
        <v>9964.74</v>
      </c>
      <c r="F31" s="30">
        <v>5.8363461058857</v>
      </c>
      <c r="G31" s="29">
        <v>3.1501000000000001</v>
      </c>
    </row>
    <row r="32" spans="1:9" x14ac:dyDescent="0.2">
      <c r="A32" s="27" t="s">
        <v>761</v>
      </c>
      <c r="B32" s="27" t="s">
        <v>762</v>
      </c>
      <c r="C32" s="27" t="s">
        <v>82</v>
      </c>
      <c r="D32" s="31">
        <v>10000000</v>
      </c>
      <c r="E32" s="29">
        <v>9959.01</v>
      </c>
      <c r="F32" s="30">
        <v>5.83299004610023</v>
      </c>
      <c r="G32" s="29">
        <v>3.1297999999999999</v>
      </c>
    </row>
    <row r="33" spans="1:9" x14ac:dyDescent="0.2">
      <c r="A33" s="27" t="s">
        <v>763</v>
      </c>
      <c r="B33" s="27" t="s">
        <v>764</v>
      </c>
      <c r="C33" s="27" t="s">
        <v>82</v>
      </c>
      <c r="D33" s="31">
        <v>5000000</v>
      </c>
      <c r="E33" s="29">
        <v>4994.3900000000003</v>
      </c>
      <c r="F33" s="30">
        <v>2.9252131643951098</v>
      </c>
      <c r="G33" s="29">
        <v>3.1551999999999998</v>
      </c>
    </row>
    <row r="34" spans="1:9" ht="10.5" x14ac:dyDescent="0.25">
      <c r="A34" s="26" t="s">
        <v>43</v>
      </c>
      <c r="B34" s="26"/>
      <c r="C34" s="26"/>
      <c r="D34" s="32"/>
      <c r="E34" s="33">
        <f>SUM(E25:E33)</f>
        <v>88335.749499999991</v>
      </c>
      <c r="F34" s="34">
        <f>SUM(F25:F33)</f>
        <v>51.738229758610863</v>
      </c>
      <c r="G34" s="33"/>
      <c r="H34" s="18"/>
      <c r="I34" s="18"/>
    </row>
    <row r="35" spans="1:9" x14ac:dyDescent="0.2">
      <c r="A35" s="27"/>
      <c r="B35" s="27"/>
      <c r="C35" s="27"/>
      <c r="D35" s="28"/>
      <c r="E35" s="29"/>
      <c r="F35" s="30"/>
      <c r="G35" s="29"/>
    </row>
    <row r="36" spans="1:9" ht="10.5" x14ac:dyDescent="0.25">
      <c r="A36" s="26" t="s">
        <v>48</v>
      </c>
      <c r="B36" s="26"/>
      <c r="C36" s="26"/>
      <c r="D36" s="32"/>
      <c r="E36" s="33">
        <f>E9+E14+E23+E34</f>
        <v>139439.69199999998</v>
      </c>
      <c r="F36" s="34">
        <f>F9+F14+F23+F34</f>
        <v>81.669798048930716</v>
      </c>
      <c r="G36" s="33"/>
      <c r="H36" s="18"/>
      <c r="I36" s="18"/>
    </row>
    <row r="37" spans="1:9" ht="10.5" x14ac:dyDescent="0.25">
      <c r="A37" s="26"/>
      <c r="B37" s="26"/>
      <c r="C37" s="26"/>
      <c r="D37" s="32"/>
      <c r="E37" s="33"/>
      <c r="F37" s="34"/>
      <c r="G37" s="33"/>
      <c r="H37" s="18"/>
      <c r="I37" s="18"/>
    </row>
    <row r="38" spans="1:9" ht="10.5" x14ac:dyDescent="0.25">
      <c r="A38" s="26" t="s">
        <v>50</v>
      </c>
      <c r="B38" s="26"/>
      <c r="C38" s="26"/>
      <c r="D38" s="32"/>
      <c r="E38" s="33">
        <f>E40-(E9+E14+E23+E34)</f>
        <v>31296.241394200013</v>
      </c>
      <c r="F38" s="34">
        <f>F40-(F9+F14+F23+F34)</f>
        <v>18.330201951069284</v>
      </c>
      <c r="G38" s="33"/>
      <c r="H38" s="18"/>
      <c r="I38" s="18"/>
    </row>
    <row r="39" spans="1:9" ht="10.5" x14ac:dyDescent="0.25">
      <c r="A39" s="26"/>
      <c r="B39" s="26"/>
      <c r="C39" s="26"/>
      <c r="D39" s="32"/>
      <c r="E39" s="33"/>
      <c r="F39" s="34"/>
      <c r="G39" s="33"/>
      <c r="H39" s="18"/>
      <c r="I39" s="18"/>
    </row>
    <row r="40" spans="1:9" ht="10.5" x14ac:dyDescent="0.25">
      <c r="A40" s="35" t="s">
        <v>49</v>
      </c>
      <c r="B40" s="35"/>
      <c r="C40" s="35"/>
      <c r="D40" s="36"/>
      <c r="E40" s="37">
        <v>170735.93339419999</v>
      </c>
      <c r="F40" s="38">
        <v>100</v>
      </c>
      <c r="G40" s="37"/>
      <c r="H40" s="18"/>
      <c r="I40" s="18"/>
    </row>
    <row r="42" spans="1:9" ht="10.5" x14ac:dyDescent="0.25">
      <c r="A42" s="18" t="s">
        <v>765</v>
      </c>
    </row>
    <row r="43" spans="1:9" ht="10.5" x14ac:dyDescent="0.25">
      <c r="A43" s="18" t="s">
        <v>766</v>
      </c>
    </row>
    <row r="45" spans="1:9" ht="10.5" x14ac:dyDescent="0.25">
      <c r="A45" s="18" t="s">
        <v>51</v>
      </c>
    </row>
    <row r="46" spans="1:9" ht="10.5" x14ac:dyDescent="0.25">
      <c r="A46" s="18" t="s">
        <v>713</v>
      </c>
    </row>
    <row r="47" spans="1:9" ht="10.5" x14ac:dyDescent="0.25">
      <c r="A47" s="18" t="s">
        <v>53</v>
      </c>
      <c r="B47" s="18"/>
      <c r="C47" s="39" t="s">
        <v>55</v>
      </c>
      <c r="D47" s="19" t="s">
        <v>714</v>
      </c>
    </row>
    <row r="48" spans="1:9" x14ac:dyDescent="0.2">
      <c r="A48" s="9" t="s">
        <v>767</v>
      </c>
      <c r="C48" s="40">
        <v>4643.6669000000002</v>
      </c>
      <c r="D48" s="40">
        <v>4711.4303</v>
      </c>
    </row>
    <row r="49" spans="1:4" x14ac:dyDescent="0.2">
      <c r="A49" s="9" t="s">
        <v>768</v>
      </c>
      <c r="C49" s="40">
        <v>1510.5263</v>
      </c>
      <c r="D49" s="40">
        <v>1510.5263</v>
      </c>
    </row>
    <row r="50" spans="1:4" x14ac:dyDescent="0.2">
      <c r="A50" s="9" t="s">
        <v>769</v>
      </c>
      <c r="C50" s="40">
        <v>1244.4712999999999</v>
      </c>
      <c r="D50" s="40">
        <v>1244.6015</v>
      </c>
    </row>
    <row r="51" spans="1:4" x14ac:dyDescent="0.2">
      <c r="A51" s="9" t="s">
        <v>770</v>
      </c>
      <c r="C51" s="40">
        <v>3019.0203000000001</v>
      </c>
      <c r="D51" s="55" t="s">
        <v>771</v>
      </c>
    </row>
    <row r="52" spans="1:4" x14ac:dyDescent="0.2">
      <c r="A52" s="9" t="s">
        <v>772</v>
      </c>
      <c r="C52" s="40">
        <v>1000</v>
      </c>
      <c r="D52" s="40">
        <v>1000</v>
      </c>
    </row>
    <row r="53" spans="1:4" x14ac:dyDescent="0.2">
      <c r="A53" s="9" t="s">
        <v>773</v>
      </c>
      <c r="C53" s="40">
        <v>1054.8970999999999</v>
      </c>
      <c r="D53" s="40">
        <v>1055.0094999999999</v>
      </c>
    </row>
    <row r="54" spans="1:4" x14ac:dyDescent="0.2">
      <c r="A54" s="9" t="s">
        <v>774</v>
      </c>
      <c r="C54" s="40">
        <v>2983.2501000000002</v>
      </c>
      <c r="D54" s="40">
        <v>3036.9164999999998</v>
      </c>
    </row>
    <row r="55" spans="1:4" x14ac:dyDescent="0.2">
      <c r="A55" s="9" t="s">
        <v>775</v>
      </c>
      <c r="C55" s="40">
        <v>1000</v>
      </c>
      <c r="D55" s="40">
        <v>1000</v>
      </c>
    </row>
    <row r="56" spans="1:4" x14ac:dyDescent="0.2">
      <c r="A56" s="9" t="s">
        <v>776</v>
      </c>
      <c r="C56" s="40">
        <v>1022.1427</v>
      </c>
      <c r="D56" s="40">
        <v>1022.2499</v>
      </c>
    </row>
    <row r="57" spans="1:4" x14ac:dyDescent="0.2">
      <c r="A57" s="9" t="s">
        <v>777</v>
      </c>
      <c r="C57" s="40">
        <v>2996.4072000000001</v>
      </c>
      <c r="D57" s="40">
        <v>3051.6134000000002</v>
      </c>
    </row>
    <row r="58" spans="1:4" x14ac:dyDescent="0.2">
      <c r="A58" s="9" t="s">
        <v>778</v>
      </c>
      <c r="C58" s="40">
        <v>1002.2243</v>
      </c>
      <c r="D58" s="40">
        <v>1002.2243</v>
      </c>
    </row>
    <row r="59" spans="1:4" x14ac:dyDescent="0.2">
      <c r="A59" s="9" t="s">
        <v>779</v>
      </c>
      <c r="C59" s="40">
        <v>1021.6152</v>
      </c>
      <c r="D59" s="40">
        <v>1021.7224</v>
      </c>
    </row>
    <row r="60" spans="1:4" x14ac:dyDescent="0.2">
      <c r="A60" s="9" t="s">
        <v>780</v>
      </c>
      <c r="C60" s="40">
        <v>12.6501</v>
      </c>
      <c r="D60" s="40">
        <v>12.882199999999999</v>
      </c>
    </row>
    <row r="61" spans="1:4" x14ac:dyDescent="0.2">
      <c r="A61" s="9" t="s">
        <v>781</v>
      </c>
      <c r="C61" s="40">
        <v>12.6501</v>
      </c>
      <c r="D61" s="40">
        <v>12.882199999999999</v>
      </c>
    </row>
    <row r="62" spans="1:4" x14ac:dyDescent="0.2">
      <c r="A62" s="9" t="s">
        <v>782</v>
      </c>
      <c r="C62" s="40">
        <v>10</v>
      </c>
      <c r="D62" s="40">
        <v>10</v>
      </c>
    </row>
    <row r="63" spans="1:4" x14ac:dyDescent="0.2">
      <c r="A63" s="9" t="s">
        <v>783</v>
      </c>
      <c r="C63" s="40">
        <v>10</v>
      </c>
      <c r="D63" s="40">
        <v>10</v>
      </c>
    </row>
    <row r="65" spans="1:5" ht="10.5" x14ac:dyDescent="0.25">
      <c r="A65" s="18" t="s">
        <v>784</v>
      </c>
    </row>
    <row r="67" spans="1:5" ht="10.5" x14ac:dyDescent="0.25">
      <c r="A67" s="18" t="s">
        <v>715</v>
      </c>
    </row>
    <row r="68" spans="1:5" ht="10.5" x14ac:dyDescent="0.25">
      <c r="A68" s="81" t="s">
        <v>68</v>
      </c>
      <c r="B68" s="82"/>
      <c r="C68" s="43" t="s">
        <v>69</v>
      </c>
    </row>
    <row r="69" spans="1:5" x14ac:dyDescent="0.2">
      <c r="A69" s="77" t="s">
        <v>768</v>
      </c>
      <c r="B69" s="78"/>
      <c r="C69" s="44">
        <v>21.884575338000001</v>
      </c>
    </row>
    <row r="70" spans="1:5" x14ac:dyDescent="0.2">
      <c r="A70" s="77" t="s">
        <v>769</v>
      </c>
      <c r="B70" s="78"/>
      <c r="C70" s="44">
        <v>17.901589773000001</v>
      </c>
    </row>
    <row r="71" spans="1:5" x14ac:dyDescent="0.2">
      <c r="A71" s="77" t="s">
        <v>772</v>
      </c>
      <c r="B71" s="78"/>
      <c r="C71" s="44">
        <v>15.733256332</v>
      </c>
    </row>
    <row r="72" spans="1:5" x14ac:dyDescent="0.2">
      <c r="A72" s="77" t="s">
        <v>773</v>
      </c>
      <c r="B72" s="78"/>
      <c r="C72" s="44">
        <v>16.520444084000001</v>
      </c>
    </row>
    <row r="73" spans="1:5" x14ac:dyDescent="0.2">
      <c r="A73" s="77" t="s">
        <v>775</v>
      </c>
      <c r="B73" s="78"/>
      <c r="C73" s="44">
        <v>17.824743384000001</v>
      </c>
    </row>
    <row r="74" spans="1:5" x14ac:dyDescent="0.2">
      <c r="A74" s="77" t="s">
        <v>776</v>
      </c>
      <c r="B74" s="78"/>
      <c r="C74" s="44">
        <v>18.118828123</v>
      </c>
    </row>
    <row r="75" spans="1:5" x14ac:dyDescent="0.2">
      <c r="A75" s="77" t="s">
        <v>778</v>
      </c>
      <c r="B75" s="78"/>
      <c r="C75" s="44">
        <v>18.212901809000002</v>
      </c>
    </row>
    <row r="76" spans="1:5" x14ac:dyDescent="0.2">
      <c r="A76" s="77" t="s">
        <v>779</v>
      </c>
      <c r="B76" s="78"/>
      <c r="C76" s="44">
        <v>18.469994149000001</v>
      </c>
    </row>
    <row r="77" spans="1:5" x14ac:dyDescent="0.2">
      <c r="A77" s="9" t="s">
        <v>70</v>
      </c>
    </row>
    <row r="79" spans="1:5" ht="10.5" x14ac:dyDescent="0.25">
      <c r="A79" s="18" t="s">
        <v>785</v>
      </c>
      <c r="D79" s="42">
        <v>6.1245407232876699E-2</v>
      </c>
      <c r="E79" s="13" t="s">
        <v>58</v>
      </c>
    </row>
    <row r="81" spans="1:4" ht="10.5" x14ac:dyDescent="0.25">
      <c r="A81" s="18" t="s">
        <v>786</v>
      </c>
      <c r="D81" s="41" t="s">
        <v>57</v>
      </c>
    </row>
  </sheetData>
  <mergeCells count="10">
    <mergeCell ref="A73:B73"/>
    <mergeCell ref="A74:B74"/>
    <mergeCell ref="A75:B75"/>
    <mergeCell ref="A76:B76"/>
    <mergeCell ref="A1:G1"/>
    <mergeCell ref="A68:B68"/>
    <mergeCell ref="A69:B69"/>
    <mergeCell ref="A70:B70"/>
    <mergeCell ref="A71:B71"/>
    <mergeCell ref="A72:B72"/>
  </mergeCells>
  <conditionalFormatting sqref="F2:F3 F5:F65536">
    <cfRule type="cellIs" dxfId="8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workbookViewId="0">
      <selection sqref="A1:G1"/>
    </sheetView>
  </sheetViews>
  <sheetFormatPr defaultColWidth="9.1796875" defaultRowHeight="10" x14ac:dyDescent="0.2"/>
  <cols>
    <col min="1" max="1" width="40.7265625" style="9" customWidth="1"/>
    <col min="2" max="2" width="30.7265625" style="9" customWidth="1"/>
    <col min="3" max="3" width="25.7265625" style="9"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9" t="s">
        <v>787</v>
      </c>
      <c r="B1" s="80"/>
      <c r="C1" s="80"/>
      <c r="D1" s="80"/>
      <c r="E1" s="80"/>
      <c r="F1" s="80"/>
      <c r="G1" s="80"/>
    </row>
    <row r="2" spans="1:9" s="1" customFormat="1" ht="11.5" x14ac:dyDescent="0.25">
      <c r="D2" s="6"/>
      <c r="E2" s="7"/>
      <c r="F2" s="12"/>
      <c r="G2" s="13"/>
    </row>
    <row r="3" spans="1:9" s="1" customFormat="1" ht="11.5" x14ac:dyDescent="0.25">
      <c r="A3" s="11" t="s">
        <v>711</v>
      </c>
      <c r="B3" s="2"/>
      <c r="C3" s="3"/>
      <c r="D3" s="4"/>
      <c r="E3" s="5"/>
      <c r="F3" s="12"/>
      <c r="G3" s="13"/>
    </row>
    <row r="4" spans="1:9" s="1" customFormat="1" ht="17.5" customHeight="1" x14ac:dyDescent="0.25">
      <c r="A4" s="8" t="s">
        <v>2</v>
      </c>
      <c r="B4" s="8" t="s">
        <v>0</v>
      </c>
      <c r="C4" s="17" t="s">
        <v>726</v>
      </c>
      <c r="D4" s="16" t="s">
        <v>1</v>
      </c>
      <c r="E4" s="15" t="s">
        <v>3</v>
      </c>
      <c r="F4" s="15" t="s">
        <v>4</v>
      </c>
      <c r="G4" s="15" t="s">
        <v>6</v>
      </c>
    </row>
    <row r="5" spans="1:9" ht="10.5" x14ac:dyDescent="0.25">
      <c r="A5" s="26" t="s">
        <v>50</v>
      </c>
      <c r="B5" s="26"/>
      <c r="C5" s="26"/>
      <c r="D5" s="32"/>
      <c r="E5" s="33">
        <v>35435.1623052</v>
      </c>
      <c r="F5" s="34">
        <v>100</v>
      </c>
      <c r="G5" s="33"/>
      <c r="H5" s="18"/>
      <c r="I5" s="18"/>
    </row>
    <row r="6" spans="1:9" ht="10.5" x14ac:dyDescent="0.25">
      <c r="A6" s="26"/>
      <c r="B6" s="26"/>
      <c r="C6" s="26"/>
      <c r="D6" s="32"/>
      <c r="E6" s="33"/>
      <c r="F6" s="34"/>
      <c r="G6" s="33"/>
      <c r="H6" s="18"/>
      <c r="I6" s="18"/>
    </row>
    <row r="7" spans="1:9" ht="10.5" x14ac:dyDescent="0.25">
      <c r="A7" s="35" t="s">
        <v>49</v>
      </c>
      <c r="B7" s="35"/>
      <c r="C7" s="35"/>
      <c r="D7" s="36"/>
      <c r="E7" s="37">
        <v>35435.1623052</v>
      </c>
      <c r="F7" s="38">
        <v>100</v>
      </c>
      <c r="G7" s="37"/>
      <c r="H7" s="18"/>
      <c r="I7" s="18"/>
    </row>
    <row r="10" spans="1:9" ht="10.5" x14ac:dyDescent="0.25">
      <c r="A10" s="18" t="s">
        <v>51</v>
      </c>
    </row>
    <row r="11" spans="1:9" ht="10.5" x14ac:dyDescent="0.25">
      <c r="A11" s="18" t="s">
        <v>713</v>
      </c>
    </row>
    <row r="12" spans="1:9" ht="10.5" x14ac:dyDescent="0.25">
      <c r="A12" s="18" t="s">
        <v>53</v>
      </c>
      <c r="B12" s="18"/>
      <c r="C12" s="39" t="s">
        <v>55</v>
      </c>
      <c r="D12" s="19" t="s">
        <v>714</v>
      </c>
    </row>
    <row r="13" spans="1:9" x14ac:dyDescent="0.2">
      <c r="A13" s="9" t="s">
        <v>71</v>
      </c>
      <c r="C13" s="40">
        <v>1046.3344</v>
      </c>
      <c r="D13" s="40">
        <v>1061.5063</v>
      </c>
    </row>
    <row r="14" spans="1:9" x14ac:dyDescent="0.2">
      <c r="A14" s="9" t="s">
        <v>788</v>
      </c>
      <c r="C14" s="40">
        <v>1000</v>
      </c>
      <c r="D14" s="40">
        <v>1000</v>
      </c>
    </row>
    <row r="15" spans="1:9" x14ac:dyDescent="0.2">
      <c r="A15" s="9" t="s">
        <v>789</v>
      </c>
      <c r="C15" s="40">
        <v>1000.2988</v>
      </c>
      <c r="D15" s="40">
        <v>1000.3157</v>
      </c>
    </row>
    <row r="16" spans="1:9" x14ac:dyDescent="0.2">
      <c r="A16" s="9" t="s">
        <v>74</v>
      </c>
      <c r="C16" s="40">
        <v>1046.9403</v>
      </c>
      <c r="D16" s="40">
        <v>1062.4494999999999</v>
      </c>
    </row>
    <row r="17" spans="1:5" x14ac:dyDescent="0.2">
      <c r="A17" s="9" t="s">
        <v>790</v>
      </c>
      <c r="C17" s="40">
        <v>1000</v>
      </c>
      <c r="D17" s="40">
        <v>1000</v>
      </c>
    </row>
    <row r="18" spans="1:5" x14ac:dyDescent="0.2">
      <c r="A18" s="9" t="s">
        <v>791</v>
      </c>
      <c r="C18" s="40">
        <v>1000.3093</v>
      </c>
      <c r="D18" s="40">
        <v>1000.3211</v>
      </c>
    </row>
    <row r="20" spans="1:5" ht="10.5" x14ac:dyDescent="0.25">
      <c r="A20" s="18" t="s">
        <v>715</v>
      </c>
    </row>
    <row r="21" spans="1:5" ht="10.5" x14ac:dyDescent="0.25">
      <c r="A21" s="81" t="s">
        <v>68</v>
      </c>
      <c r="B21" s="82"/>
      <c r="C21" s="43" t="s">
        <v>69</v>
      </c>
    </row>
    <row r="22" spans="1:5" x14ac:dyDescent="0.2">
      <c r="A22" s="77" t="s">
        <v>788</v>
      </c>
      <c r="B22" s="78"/>
      <c r="C22" s="44">
        <v>14.396587666</v>
      </c>
    </row>
    <row r="23" spans="1:5" x14ac:dyDescent="0.2">
      <c r="A23" s="77" t="s">
        <v>789</v>
      </c>
      <c r="B23" s="78"/>
      <c r="C23" s="44">
        <v>14.407397003</v>
      </c>
    </row>
    <row r="24" spans="1:5" x14ac:dyDescent="0.2">
      <c r="A24" s="77" t="s">
        <v>790</v>
      </c>
      <c r="B24" s="78"/>
      <c r="C24" s="44">
        <v>14.690106353999999</v>
      </c>
    </row>
    <row r="25" spans="1:5" x14ac:dyDescent="0.2">
      <c r="A25" s="77" t="s">
        <v>791</v>
      </c>
      <c r="B25" s="78"/>
      <c r="C25" s="44">
        <v>14.708475311000001</v>
      </c>
    </row>
    <row r="26" spans="1:5" x14ac:dyDescent="0.2">
      <c r="A26" s="9" t="s">
        <v>70</v>
      </c>
    </row>
    <row r="28" spans="1:5" ht="10.5" x14ac:dyDescent="0.25">
      <c r="A28" s="18" t="s">
        <v>785</v>
      </c>
      <c r="D28" s="42">
        <v>1.0958904109589E-2</v>
      </c>
      <c r="E28" s="13" t="s">
        <v>58</v>
      </c>
    </row>
    <row r="30" spans="1:5" ht="10.5" x14ac:dyDescent="0.25">
      <c r="A30" s="18" t="s">
        <v>786</v>
      </c>
      <c r="D30" s="41" t="s">
        <v>57</v>
      </c>
    </row>
  </sheetData>
  <mergeCells count="6">
    <mergeCell ref="A25:B25"/>
    <mergeCell ref="A1:G1"/>
    <mergeCell ref="A21:B21"/>
    <mergeCell ref="A22:B22"/>
    <mergeCell ref="A23:B23"/>
    <mergeCell ref="A24:B24"/>
  </mergeCells>
  <conditionalFormatting sqref="F2:F3 F5:F65536">
    <cfRule type="cellIs" dxfId="8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5"/>
  <sheetViews>
    <sheetView workbookViewId="0">
      <selection sqref="A1:G1"/>
    </sheetView>
  </sheetViews>
  <sheetFormatPr defaultColWidth="9.1796875" defaultRowHeight="10" x14ac:dyDescent="0.2"/>
  <cols>
    <col min="1" max="1" width="35" style="9" bestFit="1" customWidth="1"/>
    <col min="2" max="2" width="49"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9" t="s">
        <v>792</v>
      </c>
      <c r="B1" s="80"/>
      <c r="C1" s="80"/>
      <c r="D1" s="80"/>
      <c r="E1" s="80"/>
      <c r="F1" s="80"/>
      <c r="G1" s="80"/>
    </row>
    <row r="2" spans="1:9" s="1" customFormat="1" ht="11.5" x14ac:dyDescent="0.25">
      <c r="D2" s="6"/>
      <c r="E2" s="7"/>
      <c r="F2" s="12"/>
      <c r="G2" s="13"/>
    </row>
    <row r="3" spans="1:9" s="1" customFormat="1" ht="11.5" x14ac:dyDescent="0.25">
      <c r="A3" s="11" t="s">
        <v>711</v>
      </c>
      <c r="B3" s="2"/>
      <c r="C3" s="3"/>
      <c r="D3" s="4"/>
      <c r="E3" s="5"/>
      <c r="F3" s="12"/>
      <c r="G3" s="13"/>
    </row>
    <row r="4" spans="1:9" s="1" customFormat="1" ht="17.5" customHeight="1" x14ac:dyDescent="0.25">
      <c r="A4" s="8" t="s">
        <v>2</v>
      </c>
      <c r="B4" s="8" t="s">
        <v>0</v>
      </c>
      <c r="C4" s="17" t="s">
        <v>726</v>
      </c>
      <c r="D4" s="16" t="s">
        <v>1</v>
      </c>
      <c r="E4" s="15" t="s">
        <v>3</v>
      </c>
      <c r="F4" s="15" t="s">
        <v>4</v>
      </c>
      <c r="G4" s="15" t="s">
        <v>6</v>
      </c>
    </row>
    <row r="5" spans="1:9" ht="10.5" x14ac:dyDescent="0.25">
      <c r="A5" s="21" t="s">
        <v>62</v>
      </c>
      <c r="B5" s="22"/>
      <c r="C5" s="22"/>
      <c r="D5" s="23"/>
      <c r="E5" s="24"/>
      <c r="F5" s="25"/>
      <c r="G5" s="24"/>
    </row>
    <row r="6" spans="1:9" ht="10.5" x14ac:dyDescent="0.25">
      <c r="A6" s="26" t="s">
        <v>63</v>
      </c>
      <c r="B6" s="27"/>
      <c r="C6" s="27"/>
      <c r="D6" s="28"/>
      <c r="E6" s="29"/>
      <c r="F6" s="30"/>
      <c r="G6" s="29"/>
    </row>
    <row r="7" spans="1:9" x14ac:dyDescent="0.2">
      <c r="A7" s="27" t="s">
        <v>65</v>
      </c>
      <c r="B7" s="27" t="s">
        <v>64</v>
      </c>
      <c r="C7" s="27" t="s">
        <v>66</v>
      </c>
      <c r="D7" s="31">
        <v>10000</v>
      </c>
      <c r="E7" s="29">
        <v>9907.41</v>
      </c>
      <c r="F7" s="30">
        <v>7.41570455789177</v>
      </c>
      <c r="G7" s="29">
        <v>3.2799</v>
      </c>
    </row>
    <row r="8" spans="1:9" x14ac:dyDescent="0.2">
      <c r="A8" s="27" t="s">
        <v>793</v>
      </c>
      <c r="B8" s="27" t="s">
        <v>794</v>
      </c>
      <c r="C8" s="27" t="s">
        <v>67</v>
      </c>
      <c r="D8" s="31">
        <v>5000</v>
      </c>
      <c r="E8" s="29">
        <v>4942.2650000000003</v>
      </c>
      <c r="F8" s="30">
        <v>3.69928942950872</v>
      </c>
      <c r="G8" s="29">
        <v>3.2801</v>
      </c>
    </row>
    <row r="9" spans="1:9" x14ac:dyDescent="0.2">
      <c r="A9" s="27" t="s">
        <v>795</v>
      </c>
      <c r="B9" s="27" t="s">
        <v>796</v>
      </c>
      <c r="C9" s="27" t="s">
        <v>66</v>
      </c>
      <c r="D9" s="31">
        <v>2500</v>
      </c>
      <c r="E9" s="29">
        <v>2478.4875000000002</v>
      </c>
      <c r="F9" s="30">
        <v>1.8551499383217001</v>
      </c>
      <c r="G9" s="29">
        <v>3.3001</v>
      </c>
    </row>
    <row r="10" spans="1:9" x14ac:dyDescent="0.2">
      <c r="A10" s="27" t="s">
        <v>797</v>
      </c>
      <c r="B10" s="27" t="s">
        <v>798</v>
      </c>
      <c r="C10" s="27" t="s">
        <v>67</v>
      </c>
      <c r="D10" s="31">
        <v>1022</v>
      </c>
      <c r="E10" s="29">
        <v>1010.4892139999999</v>
      </c>
      <c r="F10" s="30">
        <v>0.756352010259015</v>
      </c>
      <c r="G10" s="29">
        <v>3.2999000000000001</v>
      </c>
    </row>
    <row r="11" spans="1:9" x14ac:dyDescent="0.2">
      <c r="A11" s="27" t="s">
        <v>799</v>
      </c>
      <c r="B11" s="27" t="s">
        <v>800</v>
      </c>
      <c r="C11" s="27" t="s">
        <v>67</v>
      </c>
      <c r="D11" s="31">
        <v>200</v>
      </c>
      <c r="E11" s="29">
        <v>200.01320000000001</v>
      </c>
      <c r="F11" s="30">
        <v>0.149710045196325</v>
      </c>
      <c r="G11" s="29">
        <v>4.335</v>
      </c>
    </row>
    <row r="12" spans="1:9" ht="10.5" x14ac:dyDescent="0.25">
      <c r="A12" s="26" t="s">
        <v>43</v>
      </c>
      <c r="B12" s="26"/>
      <c r="C12" s="26"/>
      <c r="D12" s="32"/>
      <c r="E12" s="33">
        <f>SUM(E6:E11)</f>
        <v>18538.664914000001</v>
      </c>
      <c r="F12" s="34">
        <f>SUM(F6:F11)</f>
        <v>13.876205981177531</v>
      </c>
      <c r="G12" s="33"/>
      <c r="H12" s="18"/>
      <c r="I12" s="18"/>
    </row>
    <row r="13" spans="1:9" x14ac:dyDescent="0.2">
      <c r="A13" s="27"/>
      <c r="B13" s="27"/>
      <c r="C13" s="27"/>
      <c r="D13" s="28"/>
      <c r="E13" s="29"/>
      <c r="F13" s="30"/>
      <c r="G13" s="29"/>
    </row>
    <row r="14" spans="1:9" ht="10.5" x14ac:dyDescent="0.25">
      <c r="A14" s="26" t="s">
        <v>733</v>
      </c>
      <c r="B14" s="27"/>
      <c r="C14" s="27"/>
      <c r="D14" s="28"/>
      <c r="E14" s="29"/>
      <c r="F14" s="30"/>
      <c r="G14" s="29"/>
    </row>
    <row r="15" spans="1:9" x14ac:dyDescent="0.2">
      <c r="A15" s="27" t="s">
        <v>801</v>
      </c>
      <c r="B15" s="27" t="s">
        <v>802</v>
      </c>
      <c r="C15" s="27" t="s">
        <v>736</v>
      </c>
      <c r="D15" s="31">
        <v>2500</v>
      </c>
      <c r="E15" s="29">
        <v>12469.2</v>
      </c>
      <c r="F15" s="30">
        <v>9.3332064861819592</v>
      </c>
      <c r="G15" s="29">
        <v>3.2199</v>
      </c>
    </row>
    <row r="16" spans="1:9" x14ac:dyDescent="0.2">
      <c r="A16" s="27" t="s">
        <v>803</v>
      </c>
      <c r="B16" s="27" t="s">
        <v>804</v>
      </c>
      <c r="C16" s="27" t="s">
        <v>736</v>
      </c>
      <c r="D16" s="31">
        <v>2000</v>
      </c>
      <c r="E16" s="29">
        <v>9960.09</v>
      </c>
      <c r="F16" s="30">
        <v>7.4551355813489302</v>
      </c>
      <c r="G16" s="29">
        <v>3.7501000000000002</v>
      </c>
    </row>
    <row r="17" spans="1:9" x14ac:dyDescent="0.2">
      <c r="A17" s="27" t="s">
        <v>805</v>
      </c>
      <c r="B17" s="27" t="s">
        <v>806</v>
      </c>
      <c r="C17" s="27" t="s">
        <v>743</v>
      </c>
      <c r="D17" s="31">
        <v>2000</v>
      </c>
      <c r="E17" s="29">
        <v>9904.92</v>
      </c>
      <c r="F17" s="30">
        <v>7.4138407908376998</v>
      </c>
      <c r="G17" s="29">
        <v>3.4350000000000001</v>
      </c>
    </row>
    <row r="18" spans="1:9" x14ac:dyDescent="0.2">
      <c r="A18" s="27" t="s">
        <v>807</v>
      </c>
      <c r="B18" s="27" t="s">
        <v>808</v>
      </c>
      <c r="C18" s="27" t="s">
        <v>736</v>
      </c>
      <c r="D18" s="31">
        <v>1500</v>
      </c>
      <c r="E18" s="29">
        <v>7434.66</v>
      </c>
      <c r="F18" s="30">
        <v>5.56484914305309</v>
      </c>
      <c r="G18" s="29">
        <v>3.5251000000000001</v>
      </c>
    </row>
    <row r="19" spans="1:9" x14ac:dyDescent="0.2">
      <c r="A19" s="27" t="s">
        <v>809</v>
      </c>
      <c r="B19" s="27" t="s">
        <v>810</v>
      </c>
      <c r="C19" s="27" t="s">
        <v>743</v>
      </c>
      <c r="D19" s="31">
        <v>1500</v>
      </c>
      <c r="E19" s="29">
        <v>7300.6875</v>
      </c>
      <c r="F19" s="30">
        <v>5.4645706162855303</v>
      </c>
      <c r="G19" s="29">
        <v>3.6501000000000001</v>
      </c>
    </row>
    <row r="20" spans="1:9" x14ac:dyDescent="0.2">
      <c r="A20" s="27" t="s">
        <v>811</v>
      </c>
      <c r="B20" s="27" t="s">
        <v>812</v>
      </c>
      <c r="C20" s="27" t="s">
        <v>736</v>
      </c>
      <c r="D20" s="31">
        <v>1000</v>
      </c>
      <c r="E20" s="29">
        <v>4966.12</v>
      </c>
      <c r="F20" s="30">
        <v>3.71714491668736</v>
      </c>
      <c r="G20" s="29">
        <v>3.3201999999999998</v>
      </c>
    </row>
    <row r="21" spans="1:9" x14ac:dyDescent="0.2">
      <c r="A21" s="27" t="s">
        <v>813</v>
      </c>
      <c r="B21" s="27" t="s">
        <v>814</v>
      </c>
      <c r="C21" s="27" t="s">
        <v>67</v>
      </c>
      <c r="D21" s="31">
        <v>1000</v>
      </c>
      <c r="E21" s="29">
        <v>4958.0349999999999</v>
      </c>
      <c r="F21" s="30">
        <v>3.7110932875178202</v>
      </c>
      <c r="G21" s="29">
        <v>3.3948999999999998</v>
      </c>
    </row>
    <row r="22" spans="1:9" x14ac:dyDescent="0.2">
      <c r="A22" s="27" t="s">
        <v>815</v>
      </c>
      <c r="B22" s="27" t="s">
        <v>816</v>
      </c>
      <c r="C22" s="27" t="s">
        <v>736</v>
      </c>
      <c r="D22" s="31">
        <v>1000</v>
      </c>
      <c r="E22" s="29">
        <v>4950.1400000000003</v>
      </c>
      <c r="F22" s="30">
        <v>3.7051838735050202</v>
      </c>
      <c r="G22" s="29">
        <v>3.64</v>
      </c>
    </row>
    <row r="23" spans="1:9" x14ac:dyDescent="0.2">
      <c r="A23" s="27" t="s">
        <v>817</v>
      </c>
      <c r="B23" s="27" t="s">
        <v>818</v>
      </c>
      <c r="C23" s="27" t="s">
        <v>743</v>
      </c>
      <c r="D23" s="31">
        <v>1000</v>
      </c>
      <c r="E23" s="29">
        <v>4942.08</v>
      </c>
      <c r="F23" s="30">
        <v>3.6991509568561098</v>
      </c>
      <c r="G23" s="29">
        <v>3.395</v>
      </c>
    </row>
    <row r="24" spans="1:9" x14ac:dyDescent="0.2">
      <c r="A24" s="27" t="s">
        <v>819</v>
      </c>
      <c r="B24" s="27" t="s">
        <v>820</v>
      </c>
      <c r="C24" s="27" t="s">
        <v>67</v>
      </c>
      <c r="D24" s="31">
        <v>1000</v>
      </c>
      <c r="E24" s="29">
        <v>4937.54</v>
      </c>
      <c r="F24" s="30">
        <v>3.6957527631109399</v>
      </c>
      <c r="G24" s="29">
        <v>3.395</v>
      </c>
    </row>
    <row r="25" spans="1:9" x14ac:dyDescent="0.2">
      <c r="A25" s="27" t="s">
        <v>821</v>
      </c>
      <c r="B25" s="27" t="s">
        <v>822</v>
      </c>
      <c r="C25" s="27" t="s">
        <v>67</v>
      </c>
      <c r="D25" s="31">
        <v>1000</v>
      </c>
      <c r="E25" s="29">
        <v>4931.2299999999996</v>
      </c>
      <c r="F25" s="30">
        <v>3.6910297229056499</v>
      </c>
      <c r="G25" s="29">
        <v>3.5350000000000001</v>
      </c>
    </row>
    <row r="26" spans="1:9" x14ac:dyDescent="0.2">
      <c r="A26" s="27" t="s">
        <v>823</v>
      </c>
      <c r="B26" s="27" t="s">
        <v>824</v>
      </c>
      <c r="C26" s="27" t="s">
        <v>67</v>
      </c>
      <c r="D26" s="31">
        <v>500</v>
      </c>
      <c r="E26" s="29">
        <v>2469.73</v>
      </c>
      <c r="F26" s="30">
        <v>1.8485949423474</v>
      </c>
      <c r="G26" s="29">
        <v>3.4150999999999998</v>
      </c>
    </row>
    <row r="27" spans="1:9" ht="10.5" x14ac:dyDescent="0.25">
      <c r="A27" s="26" t="s">
        <v>43</v>
      </c>
      <c r="B27" s="26"/>
      <c r="C27" s="26"/>
      <c r="D27" s="32"/>
      <c r="E27" s="33">
        <f>SUM(E14:E26)</f>
        <v>79224.432499999981</v>
      </c>
      <c r="F27" s="34">
        <f>SUM(F14:F26)</f>
        <v>59.299553080637502</v>
      </c>
      <c r="G27" s="33"/>
      <c r="H27" s="18"/>
      <c r="I27" s="18"/>
    </row>
    <row r="28" spans="1:9" x14ac:dyDescent="0.2">
      <c r="A28" s="27"/>
      <c r="B28" s="27"/>
      <c r="C28" s="27"/>
      <c r="D28" s="28"/>
      <c r="E28" s="29"/>
      <c r="F28" s="30"/>
      <c r="G28" s="29"/>
    </row>
    <row r="29" spans="1:9" ht="10.5" x14ac:dyDescent="0.25">
      <c r="A29" s="26" t="s">
        <v>748</v>
      </c>
      <c r="B29" s="27"/>
      <c r="C29" s="27"/>
      <c r="D29" s="28"/>
      <c r="E29" s="29"/>
      <c r="F29" s="30"/>
      <c r="G29" s="29"/>
    </row>
    <row r="30" spans="1:9" x14ac:dyDescent="0.2">
      <c r="A30" s="27" t="s">
        <v>825</v>
      </c>
      <c r="B30" s="27" t="s">
        <v>826</v>
      </c>
      <c r="C30" s="27" t="s">
        <v>827</v>
      </c>
      <c r="D30" s="31">
        <v>10000000</v>
      </c>
      <c r="E30" s="29">
        <v>9889.92</v>
      </c>
      <c r="F30" s="30">
        <v>7.4026132784637904</v>
      </c>
      <c r="G30" s="29">
        <v>3.2501000000000002</v>
      </c>
    </row>
    <row r="31" spans="1:9" x14ac:dyDescent="0.2">
      <c r="A31" s="27" t="s">
        <v>828</v>
      </c>
      <c r="B31" s="27" t="s">
        <v>829</v>
      </c>
      <c r="C31" s="27" t="s">
        <v>827</v>
      </c>
      <c r="D31" s="31">
        <v>5700000</v>
      </c>
      <c r="E31" s="29">
        <v>5625.7290000000003</v>
      </c>
      <c r="F31" s="30">
        <v>4.2108627973167501</v>
      </c>
      <c r="G31" s="29">
        <v>3.3006000000000002</v>
      </c>
    </row>
    <row r="32" spans="1:9" x14ac:dyDescent="0.2">
      <c r="A32" s="27" t="s">
        <v>830</v>
      </c>
      <c r="B32" s="27" t="s">
        <v>831</v>
      </c>
      <c r="C32" s="27" t="s">
        <v>827</v>
      </c>
      <c r="D32" s="31">
        <v>5000000</v>
      </c>
      <c r="E32" s="29">
        <v>4941.0200000000004</v>
      </c>
      <c r="F32" s="30">
        <v>3.69835754598168</v>
      </c>
      <c r="G32" s="29">
        <v>3.3007</v>
      </c>
    </row>
    <row r="33" spans="1:9" x14ac:dyDescent="0.2">
      <c r="A33" s="27" t="s">
        <v>832</v>
      </c>
      <c r="B33" s="27" t="s">
        <v>833</v>
      </c>
      <c r="C33" s="27" t="s">
        <v>827</v>
      </c>
      <c r="D33" s="31">
        <v>5000000</v>
      </c>
      <c r="E33" s="29">
        <v>4932.66</v>
      </c>
      <c r="F33" s="30">
        <v>3.6921000790852898</v>
      </c>
      <c r="G33" s="29">
        <v>3.3</v>
      </c>
    </row>
    <row r="34" spans="1:9" x14ac:dyDescent="0.2">
      <c r="A34" s="27" t="s">
        <v>834</v>
      </c>
      <c r="B34" s="27" t="s">
        <v>835</v>
      </c>
      <c r="C34" s="27" t="s">
        <v>827</v>
      </c>
      <c r="D34" s="31">
        <v>2500000</v>
      </c>
      <c r="E34" s="29">
        <v>2486.6750000000002</v>
      </c>
      <c r="F34" s="30">
        <v>1.8612782888257899</v>
      </c>
      <c r="G34" s="29">
        <v>3.1549</v>
      </c>
    </row>
    <row r="35" spans="1:9" x14ac:dyDescent="0.2">
      <c r="A35" s="27" t="s">
        <v>836</v>
      </c>
      <c r="B35" s="27" t="s">
        <v>837</v>
      </c>
      <c r="C35" s="27" t="s">
        <v>827</v>
      </c>
      <c r="D35" s="31">
        <v>2500000</v>
      </c>
      <c r="E35" s="29">
        <v>2468.9324999999999</v>
      </c>
      <c r="F35" s="30">
        <v>1.8479980129395199</v>
      </c>
      <c r="G35" s="29">
        <v>3.3043</v>
      </c>
    </row>
    <row r="36" spans="1:9" ht="10.5" x14ac:dyDescent="0.25">
      <c r="A36" s="26" t="s">
        <v>43</v>
      </c>
      <c r="B36" s="26"/>
      <c r="C36" s="26"/>
      <c r="D36" s="32"/>
      <c r="E36" s="33">
        <f>SUM(E29:E35)</f>
        <v>30344.9365</v>
      </c>
      <c r="F36" s="34">
        <f>SUM(F29:F35)</f>
        <v>22.713210002612819</v>
      </c>
      <c r="G36" s="33"/>
      <c r="H36" s="18"/>
      <c r="I36" s="18"/>
    </row>
    <row r="37" spans="1:9" x14ac:dyDescent="0.2">
      <c r="A37" s="27"/>
      <c r="B37" s="27"/>
      <c r="C37" s="27"/>
      <c r="D37" s="28"/>
      <c r="E37" s="29"/>
      <c r="F37" s="30"/>
      <c r="G37" s="29"/>
    </row>
    <row r="38" spans="1:9" ht="10.5" x14ac:dyDescent="0.25">
      <c r="A38" s="26" t="s">
        <v>48</v>
      </c>
      <c r="B38" s="26"/>
      <c r="C38" s="26"/>
      <c r="D38" s="32"/>
      <c r="E38" s="33">
        <f>E12+E27+E36</f>
        <v>128108.03391399999</v>
      </c>
      <c r="F38" s="34">
        <f>F12+F27+F36</f>
        <v>95.88896906442784</v>
      </c>
      <c r="G38" s="33"/>
      <c r="H38" s="18"/>
      <c r="I38" s="18"/>
    </row>
    <row r="39" spans="1:9" ht="10.5" x14ac:dyDescent="0.25">
      <c r="A39" s="26"/>
      <c r="B39" s="26"/>
      <c r="C39" s="26"/>
      <c r="D39" s="32"/>
      <c r="E39" s="33"/>
      <c r="F39" s="34"/>
      <c r="G39" s="33"/>
      <c r="H39" s="18"/>
      <c r="I39" s="18"/>
    </row>
    <row r="40" spans="1:9" ht="10.5" x14ac:dyDescent="0.25">
      <c r="A40" s="26" t="s">
        <v>50</v>
      </c>
      <c r="B40" s="26"/>
      <c r="C40" s="26"/>
      <c r="D40" s="32"/>
      <c r="E40" s="33">
        <f>E42-(E12+E27+E36)</f>
        <v>5492.3532462000294</v>
      </c>
      <c r="F40" s="34">
        <f>F42-(F12+F27+F36)</f>
        <v>4.1110309355721597</v>
      </c>
      <c r="G40" s="33"/>
      <c r="H40" s="18"/>
      <c r="I40" s="18"/>
    </row>
    <row r="41" spans="1:9" ht="10.5" x14ac:dyDescent="0.25">
      <c r="A41" s="26"/>
      <c r="B41" s="26"/>
      <c r="C41" s="26"/>
      <c r="D41" s="32"/>
      <c r="E41" s="33"/>
      <c r="F41" s="34"/>
      <c r="G41" s="33"/>
      <c r="H41" s="18"/>
      <c r="I41" s="18"/>
    </row>
    <row r="42" spans="1:9" ht="10.5" x14ac:dyDescent="0.25">
      <c r="A42" s="35" t="s">
        <v>49</v>
      </c>
      <c r="B42" s="35"/>
      <c r="C42" s="35"/>
      <c r="D42" s="36"/>
      <c r="E42" s="37">
        <v>133600.38716020001</v>
      </c>
      <c r="F42" s="38">
        <v>100</v>
      </c>
      <c r="G42" s="37"/>
      <c r="H42" s="18"/>
      <c r="I42" s="18"/>
    </row>
    <row r="44" spans="1:9" ht="10.5" x14ac:dyDescent="0.25">
      <c r="A44" s="18" t="s">
        <v>765</v>
      </c>
    </row>
    <row r="45" spans="1:9" ht="10.5" x14ac:dyDescent="0.25">
      <c r="A45" s="18" t="s">
        <v>766</v>
      </c>
    </row>
    <row r="47" spans="1:9" ht="10.5" x14ac:dyDescent="0.25">
      <c r="A47" s="18" t="s">
        <v>51</v>
      </c>
    </row>
    <row r="48" spans="1:9" ht="10.5" x14ac:dyDescent="0.25">
      <c r="A48" s="18" t="s">
        <v>713</v>
      </c>
    </row>
    <row r="49" spans="1:4" ht="10.5" x14ac:dyDescent="0.25">
      <c r="A49" s="18" t="s">
        <v>53</v>
      </c>
      <c r="B49" s="18"/>
      <c r="C49" s="39" t="s">
        <v>55</v>
      </c>
      <c r="D49" s="19" t="s">
        <v>714</v>
      </c>
    </row>
    <row r="50" spans="1:4" x14ac:dyDescent="0.2">
      <c r="A50" s="9" t="s">
        <v>838</v>
      </c>
      <c r="C50" s="40">
        <v>37.219099999999997</v>
      </c>
      <c r="D50" s="40">
        <v>38.3857</v>
      </c>
    </row>
    <row r="51" spans="1:4" x14ac:dyDescent="0.2">
      <c r="A51" s="9" t="s">
        <v>839</v>
      </c>
      <c r="C51" s="40">
        <v>10.0723</v>
      </c>
      <c r="D51" s="40">
        <v>10.110799999999999</v>
      </c>
    </row>
    <row r="52" spans="1:4" x14ac:dyDescent="0.2">
      <c r="A52" s="9" t="s">
        <v>840</v>
      </c>
      <c r="C52" s="40">
        <v>10.180099999999999</v>
      </c>
      <c r="D52" s="40">
        <v>10.1755</v>
      </c>
    </row>
    <row r="53" spans="1:4" x14ac:dyDescent="0.2">
      <c r="A53" s="9" t="s">
        <v>841</v>
      </c>
      <c r="C53" s="40">
        <v>10.869899999999999</v>
      </c>
      <c r="D53" s="40">
        <v>10.7661</v>
      </c>
    </row>
    <row r="54" spans="1:4" x14ac:dyDescent="0.2">
      <c r="A54" s="9" t="s">
        <v>842</v>
      </c>
      <c r="C54" s="40">
        <v>10.3323</v>
      </c>
      <c r="D54" s="56" t="s">
        <v>771</v>
      </c>
    </row>
    <row r="55" spans="1:4" x14ac:dyDescent="0.2">
      <c r="A55" s="9" t="s">
        <v>843</v>
      </c>
      <c r="C55" s="40">
        <v>38.141599999999997</v>
      </c>
      <c r="D55" s="40">
        <v>39.366999999999997</v>
      </c>
    </row>
    <row r="56" spans="1:4" x14ac:dyDescent="0.2">
      <c r="A56" s="9" t="s">
        <v>844</v>
      </c>
      <c r="C56" s="40">
        <v>10.082800000000001</v>
      </c>
      <c r="D56" s="40">
        <v>10.1205</v>
      </c>
    </row>
    <row r="57" spans="1:4" x14ac:dyDescent="0.2">
      <c r="A57" s="9" t="s">
        <v>845</v>
      </c>
      <c r="C57" s="40">
        <v>10.4971</v>
      </c>
      <c r="D57" s="40">
        <v>10.510400000000001</v>
      </c>
    </row>
    <row r="58" spans="1:4" x14ac:dyDescent="0.2">
      <c r="A58" s="9" t="s">
        <v>846</v>
      </c>
      <c r="C58" s="40">
        <v>11.2334</v>
      </c>
      <c r="D58" s="40">
        <v>11.1496</v>
      </c>
    </row>
    <row r="59" spans="1:4" x14ac:dyDescent="0.2">
      <c r="C59" s="40"/>
      <c r="D59" s="40"/>
    </row>
    <row r="60" spans="1:4" ht="10.5" x14ac:dyDescent="0.25">
      <c r="A60" s="18" t="s">
        <v>847</v>
      </c>
      <c r="C60" s="40"/>
      <c r="D60" s="40"/>
    </row>
    <row r="62" spans="1:4" ht="10.5" x14ac:dyDescent="0.25">
      <c r="A62" s="18" t="s">
        <v>715</v>
      </c>
    </row>
    <row r="63" spans="1:4" ht="10.5" x14ac:dyDescent="0.25">
      <c r="A63" s="81" t="s">
        <v>68</v>
      </c>
      <c r="B63" s="82"/>
      <c r="C63" s="43" t="s">
        <v>69</v>
      </c>
    </row>
    <row r="64" spans="1:4" x14ac:dyDescent="0.2">
      <c r="A64" s="77" t="s">
        <v>839</v>
      </c>
      <c r="B64" s="78"/>
      <c r="C64" s="44">
        <v>0.27320303239999999</v>
      </c>
    </row>
    <row r="65" spans="1:5" x14ac:dyDescent="0.2">
      <c r="A65" s="77" t="s">
        <v>840</v>
      </c>
      <c r="B65" s="78"/>
      <c r="C65" s="44">
        <v>0.32</v>
      </c>
    </row>
    <row r="66" spans="1:5" x14ac:dyDescent="0.2">
      <c r="A66" s="77" t="s">
        <v>841</v>
      </c>
      <c r="B66" s="78"/>
      <c r="C66" s="44">
        <v>0.44</v>
      </c>
    </row>
    <row r="67" spans="1:5" x14ac:dyDescent="0.2">
      <c r="A67" s="77" t="s">
        <v>842</v>
      </c>
      <c r="B67" s="78"/>
      <c r="C67" s="44">
        <v>0.10009999999999999</v>
      </c>
    </row>
    <row r="68" spans="1:5" x14ac:dyDescent="0.2">
      <c r="A68" s="77" t="s">
        <v>844</v>
      </c>
      <c r="B68" s="78"/>
      <c r="C68" s="44">
        <v>0.28190648540000002</v>
      </c>
    </row>
    <row r="69" spans="1:5" x14ac:dyDescent="0.2">
      <c r="A69" s="77" t="s">
        <v>845</v>
      </c>
      <c r="B69" s="78"/>
      <c r="C69" s="44">
        <v>0.32</v>
      </c>
    </row>
    <row r="70" spans="1:5" x14ac:dyDescent="0.2">
      <c r="A70" s="77" t="s">
        <v>846</v>
      </c>
      <c r="B70" s="78"/>
      <c r="C70" s="44">
        <v>0.44</v>
      </c>
    </row>
    <row r="71" spans="1:5" x14ac:dyDescent="0.2">
      <c r="A71" s="9" t="s">
        <v>70</v>
      </c>
    </row>
    <row r="73" spans="1:5" ht="10.5" x14ac:dyDescent="0.25">
      <c r="A73" s="18" t="s">
        <v>785</v>
      </c>
      <c r="D73" s="42">
        <v>0.291049864273973</v>
      </c>
      <c r="E73" s="13" t="s">
        <v>58</v>
      </c>
    </row>
    <row r="75" spans="1:5" ht="10.5" x14ac:dyDescent="0.25">
      <c r="A75" s="18" t="s">
        <v>786</v>
      </c>
      <c r="D75" s="41" t="s">
        <v>57</v>
      </c>
    </row>
  </sheetData>
  <mergeCells count="9">
    <mergeCell ref="A68:B68"/>
    <mergeCell ref="A69:B69"/>
    <mergeCell ref="A70:B70"/>
    <mergeCell ref="A1:G1"/>
    <mergeCell ref="A63:B63"/>
    <mergeCell ref="A64:B64"/>
    <mergeCell ref="A65:B65"/>
    <mergeCell ref="A66:B66"/>
    <mergeCell ref="A67:B67"/>
  </mergeCells>
  <conditionalFormatting sqref="F2:F3 F5:F65536">
    <cfRule type="cellIs" dxfId="8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9"/>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9" t="s">
        <v>848</v>
      </c>
      <c r="B1" s="80"/>
      <c r="C1" s="80"/>
      <c r="D1" s="80"/>
      <c r="E1" s="80"/>
      <c r="F1" s="80"/>
      <c r="G1" s="80"/>
    </row>
    <row r="2" spans="1:9" s="1" customFormat="1" ht="11.5" x14ac:dyDescent="0.25">
      <c r="D2" s="6"/>
      <c r="E2" s="7"/>
      <c r="F2" s="12"/>
      <c r="G2" s="13"/>
    </row>
    <row r="3" spans="1:9" s="1" customFormat="1" ht="11.5" x14ac:dyDescent="0.25">
      <c r="A3" s="11" t="s">
        <v>711</v>
      </c>
      <c r="B3" s="2"/>
      <c r="C3" s="3"/>
      <c r="D3" s="4"/>
      <c r="E3" s="5"/>
      <c r="F3" s="12"/>
      <c r="G3" s="13"/>
    </row>
    <row r="4" spans="1:9" s="1" customFormat="1" ht="17.5" customHeight="1" x14ac:dyDescent="0.25">
      <c r="A4" s="8" t="s">
        <v>2</v>
      </c>
      <c r="B4" s="8" t="s">
        <v>0</v>
      </c>
      <c r="C4" s="17" t="s">
        <v>726</v>
      </c>
      <c r="D4" s="16" t="s">
        <v>1</v>
      </c>
      <c r="E4" s="15" t="s">
        <v>3</v>
      </c>
      <c r="F4" s="15" t="s">
        <v>4</v>
      </c>
      <c r="G4" s="15" t="s">
        <v>6</v>
      </c>
    </row>
    <row r="5" spans="1:9" ht="10.5" x14ac:dyDescent="0.25">
      <c r="A5" s="21" t="s">
        <v>32</v>
      </c>
      <c r="B5" s="22"/>
      <c r="C5" s="22"/>
      <c r="D5" s="23"/>
      <c r="E5" s="24"/>
      <c r="F5" s="25"/>
      <c r="G5" s="24"/>
    </row>
    <row r="6" spans="1:9" ht="10.5" x14ac:dyDescent="0.25">
      <c r="A6" s="26" t="s">
        <v>33</v>
      </c>
      <c r="B6" s="27"/>
      <c r="C6" s="27"/>
      <c r="D6" s="28"/>
      <c r="E6" s="29"/>
      <c r="F6" s="30"/>
      <c r="G6" s="29"/>
    </row>
    <row r="7" spans="1:9" x14ac:dyDescent="0.2">
      <c r="A7" s="27" t="s">
        <v>849</v>
      </c>
      <c r="B7" s="27" t="s">
        <v>850</v>
      </c>
      <c r="C7" s="27" t="s">
        <v>851</v>
      </c>
      <c r="D7" s="31">
        <v>250</v>
      </c>
      <c r="E7" s="29">
        <v>2564.8125</v>
      </c>
      <c r="F7" s="30">
        <v>15.135667746814001</v>
      </c>
      <c r="G7" s="29">
        <v>6.4249999999999998</v>
      </c>
    </row>
    <row r="8" spans="1:9" x14ac:dyDescent="0.2">
      <c r="A8" s="27" t="s">
        <v>852</v>
      </c>
      <c r="B8" s="27" t="s">
        <v>853</v>
      </c>
      <c r="C8" s="27" t="s">
        <v>42</v>
      </c>
      <c r="D8" s="31">
        <v>250</v>
      </c>
      <c r="E8" s="29">
        <v>2513.2575000000002</v>
      </c>
      <c r="F8" s="30">
        <v>14.831427436582</v>
      </c>
      <c r="G8" s="29">
        <v>4.5999999999999996</v>
      </c>
    </row>
    <row r="9" spans="1:9" x14ac:dyDescent="0.2">
      <c r="A9" s="27" t="s">
        <v>854</v>
      </c>
      <c r="B9" s="27" t="s">
        <v>855</v>
      </c>
      <c r="C9" s="27" t="s">
        <v>856</v>
      </c>
      <c r="D9" s="31">
        <v>100</v>
      </c>
      <c r="E9" s="29">
        <v>1005.548</v>
      </c>
      <c r="F9" s="30">
        <v>5.9340167873765903</v>
      </c>
      <c r="G9" s="29">
        <v>9.8545999999999996</v>
      </c>
    </row>
    <row r="10" spans="1:9" x14ac:dyDescent="0.2">
      <c r="A10" s="27" t="s">
        <v>35</v>
      </c>
      <c r="B10" s="27" t="s">
        <v>34</v>
      </c>
      <c r="C10" s="27" t="s">
        <v>36</v>
      </c>
      <c r="D10" s="31">
        <v>100</v>
      </c>
      <c r="E10" s="29">
        <v>994.42200000000003</v>
      </c>
      <c r="F10" s="30">
        <v>5.8683591849783499</v>
      </c>
      <c r="G10" s="29">
        <v>10.625999999999999</v>
      </c>
    </row>
    <row r="11" spans="1:9" ht="10.5" x14ac:dyDescent="0.25">
      <c r="A11" s="26" t="s">
        <v>43</v>
      </c>
      <c r="B11" s="26"/>
      <c r="C11" s="26"/>
      <c r="D11" s="32"/>
      <c r="E11" s="33">
        <f>SUM(E6:E10)</f>
        <v>7078.0399999999991</v>
      </c>
      <c r="F11" s="34">
        <f>SUM(F6:F10)</f>
        <v>41.769471155750942</v>
      </c>
      <c r="G11" s="33"/>
      <c r="H11" s="18"/>
      <c r="I11" s="18"/>
    </row>
    <row r="12" spans="1:9" x14ac:dyDescent="0.2">
      <c r="A12" s="27"/>
      <c r="B12" s="27"/>
      <c r="C12" s="27"/>
      <c r="D12" s="28"/>
      <c r="E12" s="29"/>
      <c r="F12" s="30"/>
      <c r="G12" s="29"/>
    </row>
    <row r="13" spans="1:9" ht="10.5" x14ac:dyDescent="0.25">
      <c r="A13" s="26" t="s">
        <v>62</v>
      </c>
      <c r="B13" s="27"/>
      <c r="C13" s="27"/>
      <c r="D13" s="28"/>
      <c r="E13" s="29"/>
      <c r="F13" s="30"/>
      <c r="G13" s="29"/>
    </row>
    <row r="14" spans="1:9" ht="10.5" x14ac:dyDescent="0.25">
      <c r="A14" s="26" t="s">
        <v>63</v>
      </c>
      <c r="B14" s="27"/>
      <c r="C14" s="27"/>
      <c r="D14" s="28"/>
      <c r="E14" s="29"/>
      <c r="F14" s="30"/>
      <c r="G14" s="29"/>
    </row>
    <row r="15" spans="1:9" x14ac:dyDescent="0.2">
      <c r="A15" s="27" t="s">
        <v>799</v>
      </c>
      <c r="B15" s="27" t="s">
        <v>800</v>
      </c>
      <c r="C15" s="27" t="s">
        <v>67</v>
      </c>
      <c r="D15" s="31">
        <v>2300</v>
      </c>
      <c r="E15" s="29">
        <v>2300.1518000000001</v>
      </c>
      <c r="F15" s="30">
        <v>13.5738317760211</v>
      </c>
      <c r="G15" s="29">
        <v>4.335</v>
      </c>
    </row>
    <row r="16" spans="1:9" ht="10.5" x14ac:dyDescent="0.25">
      <c r="A16" s="26" t="s">
        <v>43</v>
      </c>
      <c r="B16" s="26"/>
      <c r="C16" s="26"/>
      <c r="D16" s="32"/>
      <c r="E16" s="33">
        <f>SUM(E14:E15)</f>
        <v>2300.1518000000001</v>
      </c>
      <c r="F16" s="34">
        <f>SUM(F14:F15)</f>
        <v>13.5738317760211</v>
      </c>
      <c r="G16" s="33"/>
      <c r="H16" s="18"/>
      <c r="I16" s="18"/>
    </row>
    <row r="17" spans="1:9" x14ac:dyDescent="0.2">
      <c r="A17" s="27"/>
      <c r="B17" s="27"/>
      <c r="C17" s="27"/>
      <c r="D17" s="28"/>
      <c r="E17" s="29"/>
      <c r="F17" s="30"/>
      <c r="G17" s="29"/>
    </row>
    <row r="18" spans="1:9" ht="10.5" x14ac:dyDescent="0.25">
      <c r="A18" s="26" t="s">
        <v>79</v>
      </c>
      <c r="B18" s="27"/>
      <c r="C18" s="27"/>
      <c r="D18" s="28"/>
      <c r="E18" s="29"/>
      <c r="F18" s="30"/>
      <c r="G18" s="29"/>
    </row>
    <row r="19" spans="1:9" x14ac:dyDescent="0.2">
      <c r="A19" s="27" t="s">
        <v>857</v>
      </c>
      <c r="B19" s="27" t="s">
        <v>858</v>
      </c>
      <c r="C19" s="27" t="s">
        <v>82</v>
      </c>
      <c r="D19" s="31">
        <v>3000000</v>
      </c>
      <c r="E19" s="29">
        <v>3000.9780000000001</v>
      </c>
      <c r="F19" s="30">
        <v>17.709600964397399</v>
      </c>
      <c r="G19" s="29">
        <v>3.1905999999999999</v>
      </c>
    </row>
    <row r="20" spans="1:9" x14ac:dyDescent="0.2">
      <c r="A20" s="27" t="s">
        <v>90</v>
      </c>
      <c r="B20" s="27" t="s">
        <v>89</v>
      </c>
      <c r="C20" s="27" t="s">
        <v>82</v>
      </c>
      <c r="D20" s="31">
        <v>2000000</v>
      </c>
      <c r="E20" s="29">
        <v>2004.25</v>
      </c>
      <c r="F20" s="30">
        <v>11.827633435797701</v>
      </c>
      <c r="G20" s="29">
        <v>5.1661999999999999</v>
      </c>
    </row>
    <row r="21" spans="1:9" x14ac:dyDescent="0.2">
      <c r="A21" s="27" t="s">
        <v>859</v>
      </c>
      <c r="B21" s="27" t="s">
        <v>860</v>
      </c>
      <c r="C21" s="27" t="s">
        <v>82</v>
      </c>
      <c r="D21" s="31">
        <v>500000</v>
      </c>
      <c r="E21" s="29">
        <v>526.41899999999998</v>
      </c>
      <c r="F21" s="30">
        <v>3.1065440766567098</v>
      </c>
      <c r="G21" s="29">
        <v>4.2237</v>
      </c>
    </row>
    <row r="22" spans="1:9" x14ac:dyDescent="0.2">
      <c r="A22" s="27" t="s">
        <v>84</v>
      </c>
      <c r="B22" s="27" t="s">
        <v>83</v>
      </c>
      <c r="C22" s="27" t="s">
        <v>82</v>
      </c>
      <c r="D22" s="31">
        <v>500000</v>
      </c>
      <c r="E22" s="29">
        <v>495.95249999999999</v>
      </c>
      <c r="F22" s="30">
        <v>2.9267528360072199</v>
      </c>
      <c r="G22" s="29">
        <v>5.8788</v>
      </c>
    </row>
    <row r="23" spans="1:9" ht="10.5" x14ac:dyDescent="0.25">
      <c r="A23" s="26" t="s">
        <v>43</v>
      </c>
      <c r="B23" s="26"/>
      <c r="C23" s="26"/>
      <c r="D23" s="32"/>
      <c r="E23" s="33">
        <f>SUM(E19:E22)</f>
        <v>6027.5995000000003</v>
      </c>
      <c r="F23" s="34">
        <f>SUM(F19:F22)</f>
        <v>35.570531312859025</v>
      </c>
      <c r="G23" s="33"/>
      <c r="H23" s="18"/>
      <c r="I23" s="18"/>
    </row>
    <row r="24" spans="1:9" x14ac:dyDescent="0.2">
      <c r="A24" s="27"/>
      <c r="B24" s="27"/>
      <c r="C24" s="27"/>
      <c r="D24" s="28"/>
      <c r="E24" s="29"/>
      <c r="F24" s="30"/>
      <c r="G24" s="29"/>
    </row>
    <row r="25" spans="1:9" ht="10.5" x14ac:dyDescent="0.25">
      <c r="A25" s="26" t="s">
        <v>48</v>
      </c>
      <c r="B25" s="26"/>
      <c r="C25" s="26"/>
      <c r="D25" s="32"/>
      <c r="E25" s="33">
        <f>E11+E16+E23</f>
        <v>15405.791299999999</v>
      </c>
      <c r="F25" s="34">
        <f>F11+F16+F23</f>
        <v>90.913834244631062</v>
      </c>
      <c r="G25" s="33"/>
      <c r="H25" s="18"/>
      <c r="I25" s="18"/>
    </row>
    <row r="26" spans="1:9" ht="10.5" x14ac:dyDescent="0.25">
      <c r="A26" s="26"/>
      <c r="B26" s="26"/>
      <c r="C26" s="26"/>
      <c r="D26" s="32"/>
      <c r="E26" s="33"/>
      <c r="F26" s="34"/>
      <c r="G26" s="33"/>
      <c r="H26" s="18"/>
      <c r="I26" s="18"/>
    </row>
    <row r="27" spans="1:9" ht="10.5" x14ac:dyDescent="0.25">
      <c r="A27" s="26" t="s">
        <v>50</v>
      </c>
      <c r="B27" s="26"/>
      <c r="C27" s="26"/>
      <c r="D27" s="32"/>
      <c r="E27" s="33">
        <f>E29-(E11+E16+E23)</f>
        <v>1539.6949705999996</v>
      </c>
      <c r="F27" s="34">
        <f>F29-(F11+F16+F23)</f>
        <v>9.0861657553689383</v>
      </c>
      <c r="G27" s="33"/>
      <c r="H27" s="18"/>
      <c r="I27" s="18"/>
    </row>
    <row r="28" spans="1:9" ht="10.5" x14ac:dyDescent="0.25">
      <c r="A28" s="26"/>
      <c r="B28" s="26"/>
      <c r="C28" s="26"/>
      <c r="D28" s="32"/>
      <c r="E28" s="33"/>
      <c r="F28" s="34"/>
      <c r="G28" s="33"/>
      <c r="H28" s="18"/>
      <c r="I28" s="18"/>
    </row>
    <row r="29" spans="1:9" ht="10.5" x14ac:dyDescent="0.25">
      <c r="A29" s="35" t="s">
        <v>49</v>
      </c>
      <c r="B29" s="35"/>
      <c r="C29" s="35"/>
      <c r="D29" s="36"/>
      <c r="E29" s="37">
        <v>16945.486270599999</v>
      </c>
      <c r="F29" s="38">
        <v>100</v>
      </c>
      <c r="G29" s="37"/>
      <c r="H29" s="18"/>
      <c r="I29" s="18"/>
    </row>
    <row r="31" spans="1:9" ht="10.5" x14ac:dyDescent="0.25">
      <c r="A31" s="18" t="s">
        <v>766</v>
      </c>
    </row>
    <row r="33" spans="1:5" ht="10.5" x14ac:dyDescent="0.25">
      <c r="A33" s="18" t="s">
        <v>51</v>
      </c>
    </row>
    <row r="34" spans="1:5" ht="10.5" x14ac:dyDescent="0.25">
      <c r="A34" s="18" t="s">
        <v>713</v>
      </c>
    </row>
    <row r="35" spans="1:5" ht="10.5" x14ac:dyDescent="0.25">
      <c r="A35" s="18" t="s">
        <v>53</v>
      </c>
      <c r="B35" s="18"/>
      <c r="C35" s="39" t="s">
        <v>55</v>
      </c>
      <c r="D35" s="19" t="s">
        <v>714</v>
      </c>
    </row>
    <row r="36" spans="1:5" x14ac:dyDescent="0.2">
      <c r="A36" s="9" t="s">
        <v>71</v>
      </c>
      <c r="C36" s="40">
        <v>29.802399999999999</v>
      </c>
      <c r="D36" s="40">
        <v>30.896599999999999</v>
      </c>
    </row>
    <row r="37" spans="1:5" x14ac:dyDescent="0.2">
      <c r="A37" s="9" t="s">
        <v>788</v>
      </c>
      <c r="C37" s="40">
        <v>9.9755000000000003</v>
      </c>
      <c r="D37" s="40">
        <v>10.1637</v>
      </c>
    </row>
    <row r="38" spans="1:5" x14ac:dyDescent="0.2">
      <c r="A38" s="9" t="s">
        <v>74</v>
      </c>
      <c r="C38" s="40">
        <v>31.3644</v>
      </c>
      <c r="D38" s="40">
        <v>32.643999999999998</v>
      </c>
    </row>
    <row r="39" spans="1:5" x14ac:dyDescent="0.2">
      <c r="A39" s="9" t="s">
        <v>790</v>
      </c>
      <c r="C39" s="40">
        <v>9.9652999999999992</v>
      </c>
      <c r="D39" s="40">
        <v>10.0646</v>
      </c>
    </row>
    <row r="41" spans="1:5" ht="10.5" x14ac:dyDescent="0.25">
      <c r="A41" s="18" t="s">
        <v>715</v>
      </c>
    </row>
    <row r="42" spans="1:5" ht="10.5" x14ac:dyDescent="0.25">
      <c r="A42" s="81" t="s">
        <v>68</v>
      </c>
      <c r="B42" s="82"/>
      <c r="C42" s="43" t="s">
        <v>69</v>
      </c>
    </row>
    <row r="43" spans="1:5" x14ac:dyDescent="0.2">
      <c r="A43" s="77" t="s">
        <v>788</v>
      </c>
      <c r="B43" s="78"/>
      <c r="C43" s="44">
        <v>0.17595710349999999</v>
      </c>
    </row>
    <row r="44" spans="1:5" x14ac:dyDescent="0.2">
      <c r="A44" s="77" t="s">
        <v>790</v>
      </c>
      <c r="B44" s="78"/>
      <c r="C44" s="44">
        <v>0.30122015689999998</v>
      </c>
    </row>
    <row r="45" spans="1:5" x14ac:dyDescent="0.2">
      <c r="A45" s="9" t="s">
        <v>70</v>
      </c>
    </row>
    <row r="47" spans="1:5" ht="10.5" x14ac:dyDescent="0.25">
      <c r="A47" s="18" t="s">
        <v>785</v>
      </c>
      <c r="D47" s="42">
        <v>1.7506990318082201</v>
      </c>
      <c r="E47" s="13" t="s">
        <v>58</v>
      </c>
    </row>
    <row r="49" spans="1:4" ht="10.5" x14ac:dyDescent="0.25">
      <c r="A49" s="18" t="s">
        <v>786</v>
      </c>
      <c r="D49" s="41" t="s">
        <v>57</v>
      </c>
    </row>
  </sheetData>
  <mergeCells count="4">
    <mergeCell ref="A1:G1"/>
    <mergeCell ref="A42:B42"/>
    <mergeCell ref="A43:B43"/>
    <mergeCell ref="A44:B44"/>
  </mergeCells>
  <conditionalFormatting sqref="F2:F3 F5:F65536">
    <cfRule type="cellIs" dxfId="8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861</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862</v>
      </c>
      <c r="B7" s="27" t="s">
        <v>863</v>
      </c>
      <c r="C7" s="27" t="s">
        <v>864</v>
      </c>
      <c r="D7" s="31">
        <v>550</v>
      </c>
      <c r="E7" s="29">
        <v>5984.3959999999997</v>
      </c>
      <c r="F7" s="30">
        <v>7.0934008351896098</v>
      </c>
      <c r="G7" s="29">
        <v>4.6249000000000002</v>
      </c>
    </row>
    <row r="8" spans="1:7" x14ac:dyDescent="0.2">
      <c r="A8" s="27" t="s">
        <v>865</v>
      </c>
      <c r="B8" s="27" t="s">
        <v>866</v>
      </c>
      <c r="C8" s="27" t="s">
        <v>42</v>
      </c>
      <c r="D8" s="31">
        <v>500</v>
      </c>
      <c r="E8" s="29">
        <v>5373.0249999999996</v>
      </c>
      <c r="F8" s="30">
        <v>6.3687329552547398</v>
      </c>
      <c r="G8" s="29">
        <v>5.3</v>
      </c>
    </row>
    <row r="9" spans="1:7" x14ac:dyDescent="0.2">
      <c r="A9" s="27" t="s">
        <v>867</v>
      </c>
      <c r="B9" s="27" t="s">
        <v>868</v>
      </c>
      <c r="C9" s="27" t="s">
        <v>42</v>
      </c>
      <c r="D9" s="31">
        <v>500</v>
      </c>
      <c r="E9" s="29">
        <v>5156.1099999999997</v>
      </c>
      <c r="F9" s="30">
        <v>6.1116201167719399</v>
      </c>
      <c r="G9" s="29">
        <v>4.1500000000000004</v>
      </c>
    </row>
    <row r="10" spans="1:7" x14ac:dyDescent="0.2">
      <c r="A10" s="27" t="s">
        <v>869</v>
      </c>
      <c r="B10" s="27" t="s">
        <v>870</v>
      </c>
      <c r="C10" s="27" t="s">
        <v>871</v>
      </c>
      <c r="D10" s="31">
        <v>500</v>
      </c>
      <c r="E10" s="29">
        <v>4687.6949999999997</v>
      </c>
      <c r="F10" s="30">
        <v>5.5564002830217403</v>
      </c>
      <c r="G10" s="29">
        <v>13.2049</v>
      </c>
    </row>
    <row r="11" spans="1:7" x14ac:dyDescent="0.2">
      <c r="A11" s="27" t="s">
        <v>872</v>
      </c>
      <c r="B11" s="27" t="s">
        <v>873</v>
      </c>
      <c r="C11" s="27" t="s">
        <v>874</v>
      </c>
      <c r="D11" s="31">
        <v>430</v>
      </c>
      <c r="E11" s="29">
        <v>4450.2119000000002</v>
      </c>
      <c r="F11" s="30">
        <v>5.2749077447800499</v>
      </c>
      <c r="G11" s="29">
        <v>5.8688000000000002</v>
      </c>
    </row>
    <row r="12" spans="1:7" x14ac:dyDescent="0.2">
      <c r="A12" s="27" t="s">
        <v>875</v>
      </c>
      <c r="B12" s="27" t="s">
        <v>876</v>
      </c>
      <c r="C12" s="27" t="s">
        <v>877</v>
      </c>
      <c r="D12" s="31">
        <v>310</v>
      </c>
      <c r="E12" s="29">
        <v>3422.4495999999999</v>
      </c>
      <c r="F12" s="30">
        <v>4.0566845594834202</v>
      </c>
      <c r="G12" s="29">
        <v>8.0469000000000008</v>
      </c>
    </row>
    <row r="13" spans="1:7" x14ac:dyDescent="0.2">
      <c r="A13" s="27" t="s">
        <v>878</v>
      </c>
      <c r="B13" s="27" t="s">
        <v>879</v>
      </c>
      <c r="C13" s="27" t="s">
        <v>864</v>
      </c>
      <c r="D13" s="31">
        <v>264</v>
      </c>
      <c r="E13" s="29">
        <v>2739.5279999999998</v>
      </c>
      <c r="F13" s="30">
        <v>3.2472066025084798</v>
      </c>
      <c r="G13" s="29">
        <v>6.0583</v>
      </c>
    </row>
    <row r="14" spans="1:7" x14ac:dyDescent="0.2">
      <c r="A14" s="27" t="s">
        <v>880</v>
      </c>
      <c r="B14" s="27" t="s">
        <v>881</v>
      </c>
      <c r="C14" s="27" t="s">
        <v>42</v>
      </c>
      <c r="D14" s="31">
        <v>250</v>
      </c>
      <c r="E14" s="29">
        <v>2636.7424999999998</v>
      </c>
      <c r="F14" s="30">
        <v>3.1253732960987102</v>
      </c>
      <c r="G14" s="29">
        <v>6.3898999999999999</v>
      </c>
    </row>
    <row r="15" spans="1:7" x14ac:dyDescent="0.2">
      <c r="A15" s="27" t="s">
        <v>882</v>
      </c>
      <c r="B15" s="27" t="s">
        <v>883</v>
      </c>
      <c r="C15" s="27" t="s">
        <v>42</v>
      </c>
      <c r="D15" s="31">
        <v>250</v>
      </c>
      <c r="E15" s="29">
        <v>2623.6750000000002</v>
      </c>
      <c r="F15" s="30">
        <v>3.1098841781636999</v>
      </c>
      <c r="G15" s="29">
        <v>4.3150000000000004</v>
      </c>
    </row>
    <row r="16" spans="1:7" x14ac:dyDescent="0.2">
      <c r="A16" s="27" t="s">
        <v>884</v>
      </c>
      <c r="B16" s="27" t="s">
        <v>885</v>
      </c>
      <c r="C16" s="27" t="s">
        <v>42</v>
      </c>
      <c r="D16" s="31">
        <v>250</v>
      </c>
      <c r="E16" s="29">
        <v>2617.23</v>
      </c>
      <c r="F16" s="30">
        <v>3.1022448159986902</v>
      </c>
      <c r="G16" s="29">
        <v>4.0149999999999997</v>
      </c>
    </row>
    <row r="17" spans="1:7" x14ac:dyDescent="0.2">
      <c r="A17" s="27" t="s">
        <v>886</v>
      </c>
      <c r="B17" s="27" t="s">
        <v>887</v>
      </c>
      <c r="C17" s="27" t="s">
        <v>42</v>
      </c>
      <c r="D17" s="31">
        <v>250</v>
      </c>
      <c r="E17" s="29">
        <v>2610.2750000000001</v>
      </c>
      <c r="F17" s="30">
        <v>3.0940009426305601</v>
      </c>
      <c r="G17" s="29">
        <v>5.7</v>
      </c>
    </row>
    <row r="18" spans="1:7" x14ac:dyDescent="0.2">
      <c r="A18" s="27" t="s">
        <v>888</v>
      </c>
      <c r="B18" s="27" t="s">
        <v>889</v>
      </c>
      <c r="C18" s="27" t="s">
        <v>42</v>
      </c>
      <c r="D18" s="31">
        <v>250</v>
      </c>
      <c r="E18" s="29">
        <v>2606.9299999999998</v>
      </c>
      <c r="F18" s="30">
        <v>3.0900360603277002</v>
      </c>
      <c r="G18" s="29">
        <v>4.7549999999999999</v>
      </c>
    </row>
    <row r="19" spans="1:7" x14ac:dyDescent="0.2">
      <c r="A19" s="27" t="s">
        <v>890</v>
      </c>
      <c r="B19" s="27" t="s">
        <v>891</v>
      </c>
      <c r="C19" s="27" t="s">
        <v>42</v>
      </c>
      <c r="D19" s="31">
        <v>250</v>
      </c>
      <c r="E19" s="29">
        <v>2585.09</v>
      </c>
      <c r="F19" s="30">
        <v>3.0641487570408601</v>
      </c>
      <c r="G19" s="29">
        <v>4.7</v>
      </c>
    </row>
    <row r="20" spans="1:7" x14ac:dyDescent="0.2">
      <c r="A20" s="27" t="s">
        <v>892</v>
      </c>
      <c r="B20" s="27" t="s">
        <v>893</v>
      </c>
      <c r="C20" s="27" t="s">
        <v>42</v>
      </c>
      <c r="D20" s="31">
        <v>250</v>
      </c>
      <c r="E20" s="29">
        <v>2567.1675</v>
      </c>
      <c r="F20" s="30">
        <v>3.0429049295152999</v>
      </c>
      <c r="G20" s="29">
        <v>4.6399999999999997</v>
      </c>
    </row>
    <row r="21" spans="1:7" x14ac:dyDescent="0.2">
      <c r="A21" s="27" t="s">
        <v>894</v>
      </c>
      <c r="B21" s="27" t="s">
        <v>895</v>
      </c>
      <c r="C21" s="27" t="s">
        <v>896</v>
      </c>
      <c r="D21" s="31">
        <v>200</v>
      </c>
      <c r="E21" s="29">
        <v>2135.5059999999999</v>
      </c>
      <c r="F21" s="30">
        <v>2.5312496104790601</v>
      </c>
      <c r="G21" s="29">
        <v>4.6749999999999998</v>
      </c>
    </row>
    <row r="22" spans="1:7" x14ac:dyDescent="0.2">
      <c r="A22" s="27" t="s">
        <v>897</v>
      </c>
      <c r="B22" s="27" t="s">
        <v>898</v>
      </c>
      <c r="C22" s="27" t="s">
        <v>42</v>
      </c>
      <c r="D22" s="31">
        <v>200</v>
      </c>
      <c r="E22" s="29">
        <v>2127.4160000000002</v>
      </c>
      <c r="F22" s="30">
        <v>2.5216604033549501</v>
      </c>
      <c r="G22" s="29">
        <v>5.0999999999999996</v>
      </c>
    </row>
    <row r="23" spans="1:7" x14ac:dyDescent="0.2">
      <c r="A23" s="27" t="s">
        <v>899</v>
      </c>
      <c r="B23" s="27" t="s">
        <v>900</v>
      </c>
      <c r="C23" s="27" t="s">
        <v>42</v>
      </c>
      <c r="D23" s="31">
        <v>166</v>
      </c>
      <c r="E23" s="29">
        <v>2084.3142600000001</v>
      </c>
      <c r="F23" s="30">
        <v>2.4705712176603298</v>
      </c>
      <c r="G23" s="29">
        <v>4.2763999999999998</v>
      </c>
    </row>
    <row r="24" spans="1:7" x14ac:dyDescent="0.2">
      <c r="A24" s="27" t="s">
        <v>901</v>
      </c>
      <c r="B24" s="27" t="s">
        <v>902</v>
      </c>
      <c r="C24" s="27" t="s">
        <v>42</v>
      </c>
      <c r="D24" s="31">
        <v>187</v>
      </c>
      <c r="E24" s="29">
        <v>1960.11904</v>
      </c>
      <c r="F24" s="30">
        <v>2.3233606257685899</v>
      </c>
      <c r="G24" s="29">
        <v>4.0347999999999997</v>
      </c>
    </row>
    <row r="25" spans="1:7" x14ac:dyDescent="0.2">
      <c r="A25" s="27" t="s">
        <v>903</v>
      </c>
      <c r="B25" s="27" t="s">
        <v>904</v>
      </c>
      <c r="C25" s="27" t="s">
        <v>42</v>
      </c>
      <c r="D25" s="31">
        <v>180</v>
      </c>
      <c r="E25" s="29">
        <v>1865.7503999999999</v>
      </c>
      <c r="F25" s="30">
        <v>2.2115039588983301</v>
      </c>
      <c r="G25" s="29">
        <v>3.84</v>
      </c>
    </row>
    <row r="26" spans="1:7" x14ac:dyDescent="0.2">
      <c r="A26" s="27" t="s">
        <v>905</v>
      </c>
      <c r="B26" s="27" t="s">
        <v>906</v>
      </c>
      <c r="C26" s="27" t="s">
        <v>42</v>
      </c>
      <c r="D26" s="31">
        <v>140</v>
      </c>
      <c r="E26" s="29">
        <v>1551.8538000000001</v>
      </c>
      <c r="F26" s="30">
        <v>1.8394372700289501</v>
      </c>
      <c r="G26" s="29">
        <v>5.48</v>
      </c>
    </row>
    <row r="27" spans="1:7" x14ac:dyDescent="0.2">
      <c r="A27" s="27" t="s">
        <v>907</v>
      </c>
      <c r="B27" s="27" t="s">
        <v>908</v>
      </c>
      <c r="C27" s="27" t="s">
        <v>42</v>
      </c>
      <c r="D27" s="31">
        <v>118</v>
      </c>
      <c r="E27" s="29">
        <v>1217.32222</v>
      </c>
      <c r="F27" s="30">
        <v>1.44291160746095</v>
      </c>
      <c r="G27" s="29">
        <v>3.7749999999999999</v>
      </c>
    </row>
    <row r="28" spans="1:7" x14ac:dyDescent="0.2">
      <c r="A28" s="27" t="s">
        <v>909</v>
      </c>
      <c r="B28" s="27" t="s">
        <v>910</v>
      </c>
      <c r="C28" s="27" t="s">
        <v>42</v>
      </c>
      <c r="D28" s="31">
        <v>100</v>
      </c>
      <c r="E28" s="29">
        <v>1093.8420000000001</v>
      </c>
      <c r="F28" s="30">
        <v>1.29654851656967</v>
      </c>
      <c r="G28" s="29">
        <v>5.8445999999999998</v>
      </c>
    </row>
    <row r="29" spans="1:7" x14ac:dyDescent="0.2">
      <c r="A29" s="27" t="s">
        <v>911</v>
      </c>
      <c r="B29" s="27" t="s">
        <v>912</v>
      </c>
      <c r="C29" s="27" t="s">
        <v>42</v>
      </c>
      <c r="D29" s="31">
        <v>100</v>
      </c>
      <c r="E29" s="29">
        <v>1063.3969999999999</v>
      </c>
      <c r="F29" s="30">
        <v>1.2604615683751801</v>
      </c>
      <c r="G29" s="29">
        <v>5.625</v>
      </c>
    </row>
    <row r="30" spans="1:7" x14ac:dyDescent="0.2">
      <c r="A30" s="27" t="s">
        <v>913</v>
      </c>
      <c r="B30" s="27" t="s">
        <v>914</v>
      </c>
      <c r="C30" s="27" t="s">
        <v>42</v>
      </c>
      <c r="D30" s="31">
        <v>100</v>
      </c>
      <c r="E30" s="29">
        <v>1042.2059999999999</v>
      </c>
      <c r="F30" s="30">
        <v>1.23534353522722</v>
      </c>
      <c r="G30" s="29">
        <v>5.0999999999999996</v>
      </c>
    </row>
    <row r="31" spans="1:7" x14ac:dyDescent="0.2">
      <c r="A31" s="27" t="s">
        <v>915</v>
      </c>
      <c r="B31" s="27" t="s">
        <v>916</v>
      </c>
      <c r="C31" s="27" t="s">
        <v>42</v>
      </c>
      <c r="D31" s="31">
        <v>76</v>
      </c>
      <c r="E31" s="29">
        <v>800.50268000000005</v>
      </c>
      <c r="F31" s="30">
        <v>0.94884870233913698</v>
      </c>
      <c r="G31" s="29">
        <v>4.125</v>
      </c>
    </row>
    <row r="32" spans="1:7" x14ac:dyDescent="0.2">
      <c r="A32" s="27" t="s">
        <v>917</v>
      </c>
      <c r="B32" s="27" t="s">
        <v>918</v>
      </c>
      <c r="C32" s="27" t="s">
        <v>851</v>
      </c>
      <c r="D32" s="31">
        <v>59</v>
      </c>
      <c r="E32" s="29">
        <v>620.90597000000002</v>
      </c>
      <c r="F32" s="30">
        <v>0.73596983324168697</v>
      </c>
      <c r="G32" s="29">
        <v>4.1749999999999998</v>
      </c>
    </row>
    <row r="33" spans="1:7" x14ac:dyDescent="0.2">
      <c r="A33" s="27" t="s">
        <v>919</v>
      </c>
      <c r="B33" s="27" t="s">
        <v>920</v>
      </c>
      <c r="C33" s="27" t="s">
        <v>896</v>
      </c>
      <c r="D33" s="31">
        <v>50</v>
      </c>
      <c r="E33" s="29">
        <v>561.55449999999996</v>
      </c>
      <c r="F33" s="30">
        <v>0.66561958120827702</v>
      </c>
      <c r="G33" s="29">
        <v>6.5848000000000004</v>
      </c>
    </row>
    <row r="34" spans="1:7" x14ac:dyDescent="0.2">
      <c r="A34" s="27" t="s">
        <v>921</v>
      </c>
      <c r="B34" s="27" t="s">
        <v>922</v>
      </c>
      <c r="C34" s="27" t="s">
        <v>896</v>
      </c>
      <c r="D34" s="31">
        <v>53</v>
      </c>
      <c r="E34" s="29">
        <v>553.16417999999999</v>
      </c>
      <c r="F34" s="30">
        <v>0.65567439995765298</v>
      </c>
      <c r="G34" s="29">
        <v>3.9948999999999999</v>
      </c>
    </row>
    <row r="35" spans="1:7" x14ac:dyDescent="0.2">
      <c r="A35" s="27" t="s">
        <v>923</v>
      </c>
      <c r="B35" s="27" t="s">
        <v>924</v>
      </c>
      <c r="C35" s="27" t="s">
        <v>896</v>
      </c>
      <c r="D35" s="31">
        <v>44</v>
      </c>
      <c r="E35" s="29">
        <v>550.81971999999996</v>
      </c>
      <c r="F35" s="30">
        <v>0.65289547381003998</v>
      </c>
      <c r="G35" s="29">
        <v>5.2949999999999999</v>
      </c>
    </row>
    <row r="36" spans="1:7" x14ac:dyDescent="0.2">
      <c r="A36" s="27" t="s">
        <v>925</v>
      </c>
      <c r="B36" s="27" t="s">
        <v>926</v>
      </c>
      <c r="C36" s="27" t="s">
        <v>42</v>
      </c>
      <c r="D36" s="31">
        <v>45</v>
      </c>
      <c r="E36" s="29">
        <v>497.6748</v>
      </c>
      <c r="F36" s="30">
        <v>0.58990194532126905</v>
      </c>
      <c r="G36" s="29">
        <v>6.1143999999999998</v>
      </c>
    </row>
    <row r="37" spans="1:7" x14ac:dyDescent="0.2">
      <c r="A37" s="27" t="s">
        <v>927</v>
      </c>
      <c r="B37" s="27" t="s">
        <v>928</v>
      </c>
      <c r="C37" s="27" t="s">
        <v>42</v>
      </c>
      <c r="D37" s="31">
        <v>31</v>
      </c>
      <c r="E37" s="29">
        <v>377.97370000000001</v>
      </c>
      <c r="F37" s="30">
        <v>0.44801830615148303</v>
      </c>
      <c r="G37" s="29">
        <v>4.6399999999999997</v>
      </c>
    </row>
    <row r="38" spans="1:7" x14ac:dyDescent="0.2">
      <c r="A38" s="27" t="s">
        <v>929</v>
      </c>
      <c r="B38" s="27" t="s">
        <v>930</v>
      </c>
      <c r="C38" s="27" t="s">
        <v>896</v>
      </c>
      <c r="D38" s="31">
        <v>34</v>
      </c>
      <c r="E38" s="29">
        <v>359.24502000000001</v>
      </c>
      <c r="F38" s="30">
        <v>0.42581890050486498</v>
      </c>
      <c r="G38" s="29">
        <v>4.0049999999999999</v>
      </c>
    </row>
    <row r="39" spans="1:7" x14ac:dyDescent="0.2">
      <c r="A39" s="27" t="s">
        <v>931</v>
      </c>
      <c r="B39" s="27" t="s">
        <v>932</v>
      </c>
      <c r="C39" s="27" t="s">
        <v>42</v>
      </c>
      <c r="D39" s="31">
        <v>33</v>
      </c>
      <c r="E39" s="29">
        <v>339.16377</v>
      </c>
      <c r="F39" s="30">
        <v>0.40201627188174999</v>
      </c>
      <c r="G39" s="29">
        <v>3.84</v>
      </c>
    </row>
    <row r="40" spans="1:7" x14ac:dyDescent="0.2">
      <c r="A40" s="27" t="s">
        <v>94</v>
      </c>
      <c r="B40" s="27" t="s">
        <v>93</v>
      </c>
      <c r="C40" s="27" t="s">
        <v>42</v>
      </c>
      <c r="D40" s="31">
        <v>25</v>
      </c>
      <c r="E40" s="29">
        <v>281.30874999999997</v>
      </c>
      <c r="F40" s="30">
        <v>0.333439786103083</v>
      </c>
      <c r="G40" s="29">
        <v>6.84</v>
      </c>
    </row>
    <row r="41" spans="1:7" x14ac:dyDescent="0.2">
      <c r="A41" s="27" t="s">
        <v>933</v>
      </c>
      <c r="B41" s="27" t="s">
        <v>934</v>
      </c>
      <c r="C41" s="27" t="s">
        <v>42</v>
      </c>
      <c r="D41" s="31">
        <v>23</v>
      </c>
      <c r="E41" s="29">
        <v>231.24682999999999</v>
      </c>
      <c r="F41" s="30">
        <v>0.27410058710301799</v>
      </c>
      <c r="G41" s="29">
        <v>3.2496999999999998</v>
      </c>
    </row>
    <row r="42" spans="1:7" x14ac:dyDescent="0.2">
      <c r="A42" s="27" t="s">
        <v>96</v>
      </c>
      <c r="B42" s="27" t="s">
        <v>95</v>
      </c>
      <c r="C42" s="27" t="s">
        <v>42</v>
      </c>
      <c r="D42" s="31">
        <v>20</v>
      </c>
      <c r="E42" s="29">
        <v>225.4614</v>
      </c>
      <c r="F42" s="30">
        <v>0.26724302386790899</v>
      </c>
      <c r="G42" s="29">
        <v>6.8273999999999999</v>
      </c>
    </row>
    <row r="43" spans="1:7" x14ac:dyDescent="0.2">
      <c r="A43" s="27" t="s">
        <v>935</v>
      </c>
      <c r="B43" s="27" t="s">
        <v>936</v>
      </c>
      <c r="C43" s="27" t="s">
        <v>896</v>
      </c>
      <c r="D43" s="31">
        <v>19</v>
      </c>
      <c r="E43" s="29">
        <v>197.56466</v>
      </c>
      <c r="F43" s="30">
        <v>0.23417656923906</v>
      </c>
      <c r="G43" s="29">
        <v>3.66</v>
      </c>
    </row>
    <row r="44" spans="1:7" x14ac:dyDescent="0.2">
      <c r="A44" s="27" t="s">
        <v>937</v>
      </c>
      <c r="B44" s="27" t="s">
        <v>938</v>
      </c>
      <c r="C44" s="27" t="s">
        <v>42</v>
      </c>
      <c r="D44" s="31">
        <v>15</v>
      </c>
      <c r="E44" s="29">
        <v>189.15465</v>
      </c>
      <c r="F44" s="30">
        <v>0.224208049114731</v>
      </c>
      <c r="G44" s="29">
        <v>4.1749999999999998</v>
      </c>
    </row>
    <row r="45" spans="1:7" x14ac:dyDescent="0.2">
      <c r="A45" s="27" t="s">
        <v>939</v>
      </c>
      <c r="B45" s="27" t="s">
        <v>940</v>
      </c>
      <c r="C45" s="27" t="s">
        <v>896</v>
      </c>
      <c r="D45" s="31">
        <v>70</v>
      </c>
      <c r="E45" s="29">
        <v>72.304259999999999</v>
      </c>
      <c r="F45" s="30">
        <v>8.5703402360366304E-2</v>
      </c>
      <c r="G45" s="29">
        <v>3.6150000000000002</v>
      </c>
    </row>
    <row r="46" spans="1:7" x14ac:dyDescent="0.2">
      <c r="A46" s="27" t="s">
        <v>941</v>
      </c>
      <c r="B46" s="27" t="s">
        <v>942</v>
      </c>
      <c r="C46" s="27" t="s">
        <v>851</v>
      </c>
      <c r="D46" s="31">
        <v>3</v>
      </c>
      <c r="E46" s="29">
        <v>37.751130000000003</v>
      </c>
      <c r="F46" s="30">
        <v>4.4747021599398099E-2</v>
      </c>
      <c r="G46" s="29">
        <v>5.9749999999999996</v>
      </c>
    </row>
    <row r="47" spans="1:7" x14ac:dyDescent="0.2">
      <c r="A47" s="27" t="s">
        <v>943</v>
      </c>
      <c r="B47" s="27" t="s">
        <v>944</v>
      </c>
      <c r="C47" s="27" t="s">
        <v>42</v>
      </c>
      <c r="D47" s="31">
        <v>3</v>
      </c>
      <c r="E47" s="29">
        <v>31.102530000000002</v>
      </c>
      <c r="F47" s="30">
        <v>3.6866329079578E-2</v>
      </c>
      <c r="G47" s="29">
        <v>4.5762999999999998</v>
      </c>
    </row>
    <row r="48" spans="1:7" x14ac:dyDescent="0.2">
      <c r="A48" s="27" t="s">
        <v>945</v>
      </c>
      <c r="B48" s="27" t="s">
        <v>946</v>
      </c>
      <c r="C48" s="27" t="s">
        <v>42</v>
      </c>
      <c r="D48" s="31">
        <v>3</v>
      </c>
      <c r="E48" s="29">
        <v>30.460650000000001</v>
      </c>
      <c r="F48" s="30">
        <v>3.6105498391219203E-2</v>
      </c>
      <c r="G48" s="29">
        <v>3.4649000000000001</v>
      </c>
    </row>
    <row r="49" spans="1:9" x14ac:dyDescent="0.2">
      <c r="A49" s="27" t="s">
        <v>947</v>
      </c>
      <c r="B49" s="27" t="s">
        <v>948</v>
      </c>
      <c r="C49" s="27" t="s">
        <v>42</v>
      </c>
      <c r="D49" s="31">
        <v>2</v>
      </c>
      <c r="E49" s="29">
        <v>20.701160000000002</v>
      </c>
      <c r="F49" s="30">
        <v>2.4537417917095398E-2</v>
      </c>
      <c r="G49" s="29">
        <v>3.51</v>
      </c>
    </row>
    <row r="50" spans="1:9" x14ac:dyDescent="0.2">
      <c r="A50" s="27" t="s">
        <v>949</v>
      </c>
      <c r="B50" s="27" t="s">
        <v>950</v>
      </c>
      <c r="C50" s="27" t="s">
        <v>42</v>
      </c>
      <c r="D50" s="31">
        <v>2</v>
      </c>
      <c r="E50" s="29">
        <v>20.6082</v>
      </c>
      <c r="F50" s="30">
        <v>2.44272309338745E-2</v>
      </c>
      <c r="G50" s="29">
        <v>3.75</v>
      </c>
    </row>
    <row r="51" spans="1:9" ht="10.5" x14ac:dyDescent="0.25">
      <c r="A51" s="26" t="s">
        <v>43</v>
      </c>
      <c r="B51" s="26"/>
      <c r="C51" s="26"/>
      <c r="D51" s="32"/>
      <c r="E51" s="33">
        <f>SUM(E6:E50)</f>
        <v>72200.920780000015</v>
      </c>
      <c r="F51" s="34">
        <f>SUM(F6:F50)</f>
        <v>85.580912720734219</v>
      </c>
      <c r="G51" s="33"/>
      <c r="H51" s="18"/>
      <c r="I51" s="18"/>
    </row>
    <row r="52" spans="1:9" x14ac:dyDescent="0.2">
      <c r="A52" s="27"/>
      <c r="B52" s="27"/>
      <c r="C52" s="27"/>
      <c r="D52" s="28"/>
      <c r="E52" s="29"/>
      <c r="F52" s="30"/>
      <c r="G52" s="29"/>
    </row>
    <row r="53" spans="1:9" ht="10.5" x14ac:dyDescent="0.25">
      <c r="A53" s="26" t="s">
        <v>44</v>
      </c>
      <c r="B53" s="27"/>
      <c r="C53" s="27"/>
      <c r="D53" s="28"/>
      <c r="E53" s="29"/>
      <c r="F53" s="30"/>
      <c r="G53" s="29"/>
    </row>
    <row r="54" spans="1:9" x14ac:dyDescent="0.2">
      <c r="A54" s="27" t="s">
        <v>951</v>
      </c>
      <c r="B54" s="27" t="s">
        <v>952</v>
      </c>
      <c r="C54" s="27" t="s">
        <v>42</v>
      </c>
      <c r="D54" s="31">
        <v>49</v>
      </c>
      <c r="E54" s="29">
        <v>498.57353000000001</v>
      </c>
      <c r="F54" s="30">
        <v>0.59096722444594796</v>
      </c>
      <c r="G54" s="29">
        <v>3.6871</v>
      </c>
    </row>
    <row r="55" spans="1:9" ht="10.5" x14ac:dyDescent="0.25">
      <c r="A55" s="26" t="s">
        <v>43</v>
      </c>
      <c r="B55" s="26"/>
      <c r="C55" s="26"/>
      <c r="D55" s="32"/>
      <c r="E55" s="33">
        <f>SUM(E53:E54)</f>
        <v>498.57353000000001</v>
      </c>
      <c r="F55" s="34">
        <f>SUM(F53:F54)</f>
        <v>0.59096722444594796</v>
      </c>
      <c r="G55" s="33"/>
      <c r="H55" s="18"/>
      <c r="I55" s="18"/>
    </row>
    <row r="56" spans="1:9" x14ac:dyDescent="0.2">
      <c r="A56" s="27"/>
      <c r="B56" s="27"/>
      <c r="C56" s="27"/>
      <c r="D56" s="28"/>
      <c r="E56" s="29"/>
      <c r="F56" s="30"/>
      <c r="G56" s="29"/>
    </row>
    <row r="57" spans="1:9" ht="10.5" x14ac:dyDescent="0.25">
      <c r="A57" s="26" t="s">
        <v>62</v>
      </c>
      <c r="B57" s="27"/>
      <c r="C57" s="27"/>
      <c r="D57" s="28"/>
      <c r="E57" s="29"/>
      <c r="F57" s="30"/>
      <c r="G57" s="29"/>
    </row>
    <row r="58" spans="1:9" ht="10.5" x14ac:dyDescent="0.25">
      <c r="A58" s="26" t="s">
        <v>63</v>
      </c>
      <c r="B58" s="27"/>
      <c r="C58" s="27"/>
      <c r="D58" s="28"/>
      <c r="E58" s="29"/>
      <c r="F58" s="30"/>
      <c r="G58" s="29"/>
    </row>
    <row r="59" spans="1:9" x14ac:dyDescent="0.2">
      <c r="A59" s="27" t="s">
        <v>793</v>
      </c>
      <c r="B59" s="27" t="s">
        <v>794</v>
      </c>
      <c r="C59" s="27" t="s">
        <v>67</v>
      </c>
      <c r="D59" s="31">
        <v>1000</v>
      </c>
      <c r="E59" s="29">
        <v>988.45299999999997</v>
      </c>
      <c r="F59" s="30">
        <v>1.17162923973375</v>
      </c>
      <c r="G59" s="29">
        <v>3.2801</v>
      </c>
    </row>
    <row r="60" spans="1:9" ht="10.5" x14ac:dyDescent="0.25">
      <c r="A60" s="26" t="s">
        <v>43</v>
      </c>
      <c r="B60" s="26"/>
      <c r="C60" s="26"/>
      <c r="D60" s="32"/>
      <c r="E60" s="33">
        <f>SUM(E58:E59)</f>
        <v>988.45299999999997</v>
      </c>
      <c r="F60" s="34">
        <f>SUM(F58:F59)</f>
        <v>1.17162923973375</v>
      </c>
      <c r="G60" s="33"/>
      <c r="H60" s="18"/>
      <c r="I60" s="18"/>
    </row>
    <row r="61" spans="1:9" x14ac:dyDescent="0.2">
      <c r="A61" s="27"/>
      <c r="B61" s="27"/>
      <c r="C61" s="27"/>
      <c r="D61" s="28"/>
      <c r="E61" s="29"/>
      <c r="F61" s="30"/>
      <c r="G61" s="29"/>
    </row>
    <row r="62" spans="1:9" ht="10.5" x14ac:dyDescent="0.25">
      <c r="A62" s="26" t="s">
        <v>748</v>
      </c>
      <c r="B62" s="27"/>
      <c r="C62" s="27"/>
      <c r="D62" s="28"/>
      <c r="E62" s="29"/>
      <c r="F62" s="30"/>
      <c r="G62" s="29"/>
    </row>
    <row r="63" spans="1:9" x14ac:dyDescent="0.2">
      <c r="A63" s="27" t="s">
        <v>828</v>
      </c>
      <c r="B63" s="27" t="s">
        <v>829</v>
      </c>
      <c r="C63" s="27" t="s">
        <v>827</v>
      </c>
      <c r="D63" s="31">
        <v>500000</v>
      </c>
      <c r="E63" s="29">
        <v>493.48500000000001</v>
      </c>
      <c r="F63" s="30">
        <v>0.58493570799017103</v>
      </c>
      <c r="G63" s="29">
        <v>3.3006000000000002</v>
      </c>
    </row>
    <row r="64" spans="1:9" ht="10.5" x14ac:dyDescent="0.25">
      <c r="A64" s="26" t="s">
        <v>43</v>
      </c>
      <c r="B64" s="26"/>
      <c r="C64" s="26"/>
      <c r="D64" s="32"/>
      <c r="E64" s="33">
        <f>SUM(E62:E63)</f>
        <v>493.48500000000001</v>
      </c>
      <c r="F64" s="34">
        <f>SUM(F62:F63)</f>
        <v>0.58493570799017103</v>
      </c>
      <c r="G64" s="33"/>
      <c r="H64" s="18"/>
      <c r="I64" s="18"/>
    </row>
    <row r="65" spans="1:9" x14ac:dyDescent="0.2">
      <c r="A65" s="27"/>
      <c r="B65" s="27"/>
      <c r="C65" s="27"/>
      <c r="D65" s="28"/>
      <c r="E65" s="29"/>
      <c r="F65" s="30"/>
      <c r="G65" s="29"/>
    </row>
    <row r="66" spans="1:9" ht="10.5" x14ac:dyDescent="0.25">
      <c r="A66" s="26" t="s">
        <v>79</v>
      </c>
      <c r="B66" s="27"/>
      <c r="C66" s="27"/>
      <c r="D66" s="28"/>
      <c r="E66" s="29"/>
      <c r="F66" s="30"/>
      <c r="G66" s="29"/>
    </row>
    <row r="67" spans="1:9" x14ac:dyDescent="0.2">
      <c r="A67" s="27" t="s">
        <v>953</v>
      </c>
      <c r="B67" s="27" t="s">
        <v>954</v>
      </c>
      <c r="C67" s="27" t="s">
        <v>82</v>
      </c>
      <c r="D67" s="31">
        <v>6500000</v>
      </c>
      <c r="E67" s="29">
        <v>6877.52</v>
      </c>
      <c r="F67" s="30">
        <v>8.1520350778981303</v>
      </c>
      <c r="G67" s="29">
        <v>5.7127999999999997</v>
      </c>
    </row>
    <row r="68" spans="1:9" ht="10.5" x14ac:dyDescent="0.25">
      <c r="A68" s="26" t="s">
        <v>43</v>
      </c>
      <c r="B68" s="26"/>
      <c r="C68" s="26"/>
      <c r="D68" s="32"/>
      <c r="E68" s="33">
        <f>SUM(E67:E67)</f>
        <v>6877.52</v>
      </c>
      <c r="F68" s="34">
        <f>SUM(F67:F67)</f>
        <v>8.1520350778981303</v>
      </c>
      <c r="G68" s="33"/>
      <c r="H68" s="18"/>
      <c r="I68" s="18"/>
    </row>
    <row r="69" spans="1:9" x14ac:dyDescent="0.2">
      <c r="A69" s="27"/>
      <c r="B69" s="27"/>
      <c r="C69" s="27"/>
      <c r="D69" s="28"/>
      <c r="E69" s="29"/>
      <c r="F69" s="30"/>
      <c r="G69" s="29"/>
    </row>
    <row r="70" spans="1:9" ht="10.5" x14ac:dyDescent="0.25">
      <c r="A70" s="26" t="s">
        <v>48</v>
      </c>
      <c r="B70" s="26"/>
      <c r="C70" s="26"/>
      <c r="D70" s="32"/>
      <c r="E70" s="33">
        <f>E51+E55+E60+E64+E68</f>
        <v>81058.952310000008</v>
      </c>
      <c r="F70" s="34">
        <f>F51+F55+F60+F64+F68</f>
        <v>96.080479970802216</v>
      </c>
      <c r="G70" s="33"/>
      <c r="H70" s="18"/>
      <c r="I70" s="18"/>
    </row>
    <row r="71" spans="1:9" ht="10.5" x14ac:dyDescent="0.25">
      <c r="A71" s="26"/>
      <c r="B71" s="26"/>
      <c r="C71" s="26"/>
      <c r="D71" s="32"/>
      <c r="E71" s="33"/>
      <c r="F71" s="34"/>
      <c r="G71" s="33"/>
      <c r="H71" s="18"/>
      <c r="I71" s="18"/>
    </row>
    <row r="72" spans="1:9" ht="10.5" x14ac:dyDescent="0.25">
      <c r="A72" s="26" t="s">
        <v>50</v>
      </c>
      <c r="B72" s="26"/>
      <c r="C72" s="26"/>
      <c r="D72" s="32"/>
      <c r="E72" s="33">
        <f>E74-(E51+E55+E60+E64+E68)</f>
        <v>3306.7298083999922</v>
      </c>
      <c r="F72" s="34">
        <f>F74-(F51+F55+F60+F64+F68)</f>
        <v>3.9195200291977841</v>
      </c>
      <c r="G72" s="33"/>
      <c r="H72" s="18"/>
      <c r="I72" s="18"/>
    </row>
    <row r="73" spans="1:9" ht="10.5" x14ac:dyDescent="0.25">
      <c r="A73" s="26"/>
      <c r="B73" s="26"/>
      <c r="C73" s="26"/>
      <c r="D73" s="32"/>
      <c r="E73" s="33"/>
      <c r="F73" s="34"/>
      <c r="G73" s="33"/>
      <c r="H73" s="18"/>
      <c r="I73" s="18"/>
    </row>
    <row r="74" spans="1:9" ht="10.5" x14ac:dyDescent="0.25">
      <c r="A74" s="35" t="s">
        <v>49</v>
      </c>
      <c r="B74" s="35"/>
      <c r="C74" s="35"/>
      <c r="D74" s="36"/>
      <c r="E74" s="37">
        <v>84365.6821184</v>
      </c>
      <c r="F74" s="38">
        <v>100</v>
      </c>
      <c r="G74" s="37"/>
      <c r="H74" s="18"/>
      <c r="I74" s="18"/>
    </row>
    <row r="76" spans="1:9" ht="10.5" x14ac:dyDescent="0.25">
      <c r="A76" s="18" t="s">
        <v>766</v>
      </c>
    </row>
    <row r="78" spans="1:9" ht="10.5" x14ac:dyDescent="0.25">
      <c r="A78" s="18" t="s">
        <v>51</v>
      </c>
    </row>
    <row r="79" spans="1:9" ht="10.5" x14ac:dyDescent="0.25">
      <c r="A79" s="18" t="s">
        <v>713</v>
      </c>
    </row>
    <row r="80" spans="1:9" ht="10.5" x14ac:dyDescent="0.25">
      <c r="A80" s="18" t="s">
        <v>53</v>
      </c>
      <c r="B80" s="18"/>
      <c r="C80" s="39" t="s">
        <v>55</v>
      </c>
      <c r="D80" s="19" t="s">
        <v>714</v>
      </c>
    </row>
    <row r="81" spans="1:4" x14ac:dyDescent="0.2">
      <c r="A81" s="9" t="s">
        <v>71</v>
      </c>
      <c r="C81" s="40">
        <v>71.115899999999996</v>
      </c>
      <c r="D81" s="40">
        <v>75.753500000000003</v>
      </c>
    </row>
    <row r="82" spans="1:4" x14ac:dyDescent="0.2">
      <c r="A82" s="9" t="s">
        <v>72</v>
      </c>
      <c r="C82" s="40">
        <v>15.816700000000001</v>
      </c>
      <c r="D82" s="40">
        <v>16.232700000000001</v>
      </c>
    </row>
    <row r="83" spans="1:4" x14ac:dyDescent="0.2">
      <c r="A83" s="9" t="s">
        <v>73</v>
      </c>
      <c r="C83" s="40">
        <v>13.2143</v>
      </c>
      <c r="D83" s="40">
        <v>13.510999999999999</v>
      </c>
    </row>
    <row r="84" spans="1:4" x14ac:dyDescent="0.2">
      <c r="A84" s="9" t="s">
        <v>955</v>
      </c>
      <c r="C84" s="40">
        <v>13.6934</v>
      </c>
      <c r="D84" s="40">
        <v>14.0273</v>
      </c>
    </row>
    <row r="85" spans="1:4" x14ac:dyDescent="0.2">
      <c r="A85" s="9" t="s">
        <v>956</v>
      </c>
      <c r="C85" s="40">
        <v>17.098700000000001</v>
      </c>
      <c r="D85" s="40">
        <v>18.213699999999999</v>
      </c>
    </row>
    <row r="86" spans="1:4" x14ac:dyDescent="0.2">
      <c r="A86" s="9" t="s">
        <v>74</v>
      </c>
      <c r="C86" s="40">
        <v>74.861999999999995</v>
      </c>
      <c r="D86" s="40">
        <v>79.971999999999994</v>
      </c>
    </row>
    <row r="87" spans="1:4" x14ac:dyDescent="0.2">
      <c r="A87" s="9" t="s">
        <v>75</v>
      </c>
      <c r="C87" s="40">
        <v>16.9832</v>
      </c>
      <c r="D87" s="40">
        <v>17.526199999999999</v>
      </c>
    </row>
    <row r="88" spans="1:4" x14ac:dyDescent="0.2">
      <c r="A88" s="9" t="s">
        <v>76</v>
      </c>
      <c r="C88" s="40">
        <v>14.221299999999999</v>
      </c>
      <c r="D88" s="40">
        <v>14.626300000000001</v>
      </c>
    </row>
    <row r="89" spans="1:4" x14ac:dyDescent="0.2">
      <c r="A89" s="9" t="s">
        <v>957</v>
      </c>
      <c r="C89" s="40">
        <v>15.021800000000001</v>
      </c>
      <c r="D89" s="40">
        <v>15.489000000000001</v>
      </c>
    </row>
    <row r="90" spans="1:4" x14ac:dyDescent="0.2">
      <c r="A90" s="9" t="s">
        <v>958</v>
      </c>
      <c r="C90" s="40">
        <v>18.433</v>
      </c>
      <c r="D90" s="40">
        <v>19.691700000000001</v>
      </c>
    </row>
    <row r="92" spans="1:4" ht="10.5" x14ac:dyDescent="0.25">
      <c r="A92" s="18" t="s">
        <v>715</v>
      </c>
    </row>
    <row r="93" spans="1:4" ht="10.5" x14ac:dyDescent="0.25">
      <c r="A93" s="81" t="s">
        <v>68</v>
      </c>
      <c r="B93" s="82"/>
      <c r="C93" s="43" t="s">
        <v>69</v>
      </c>
    </row>
    <row r="94" spans="1:4" x14ac:dyDescent="0.2">
      <c r="A94" s="77" t="s">
        <v>72</v>
      </c>
      <c r="B94" s="78"/>
      <c r="C94" s="44">
        <v>0.6</v>
      </c>
    </row>
    <row r="95" spans="1:4" x14ac:dyDescent="0.2">
      <c r="A95" s="77" t="s">
        <v>73</v>
      </c>
      <c r="B95" s="78"/>
      <c r="C95" s="44">
        <v>0.55000000000000004</v>
      </c>
    </row>
    <row r="96" spans="1:4" x14ac:dyDescent="0.2">
      <c r="A96" s="77" t="s">
        <v>955</v>
      </c>
      <c r="B96" s="78"/>
      <c r="C96" s="44">
        <v>0.55000000000000004</v>
      </c>
    </row>
    <row r="97" spans="1:5" x14ac:dyDescent="0.2">
      <c r="A97" s="77" t="s">
        <v>75</v>
      </c>
      <c r="B97" s="78"/>
      <c r="C97" s="44">
        <v>0.6</v>
      </c>
    </row>
    <row r="98" spans="1:5" x14ac:dyDescent="0.2">
      <c r="A98" s="77" t="s">
        <v>76</v>
      </c>
      <c r="B98" s="78"/>
      <c r="C98" s="44">
        <v>0.55000000000000004</v>
      </c>
    </row>
    <row r="99" spans="1:5" x14ac:dyDescent="0.2">
      <c r="A99" s="77" t="s">
        <v>957</v>
      </c>
      <c r="B99" s="78"/>
      <c r="C99" s="44">
        <v>0.55000000000000004</v>
      </c>
    </row>
    <row r="100" spans="1:5" x14ac:dyDescent="0.2">
      <c r="A100" s="9" t="s">
        <v>70</v>
      </c>
    </row>
    <row r="102" spans="1:5" ht="10.5" x14ac:dyDescent="0.25">
      <c r="A102" s="18" t="s">
        <v>785</v>
      </c>
      <c r="D102" s="42">
        <v>2.8737113147123301</v>
      </c>
      <c r="E102" s="13" t="s">
        <v>58</v>
      </c>
    </row>
    <row r="104" spans="1:5" ht="10.5" x14ac:dyDescent="0.25">
      <c r="A104" s="18" t="s">
        <v>786</v>
      </c>
      <c r="D104" s="41" t="s">
        <v>57</v>
      </c>
    </row>
    <row r="106" spans="1:5" ht="10.5" x14ac:dyDescent="0.25">
      <c r="A106" s="18" t="s">
        <v>959</v>
      </c>
    </row>
    <row r="107" spans="1:5" x14ac:dyDescent="0.2">
      <c r="A107" s="57" t="s">
        <v>960</v>
      </c>
    </row>
  </sheetData>
  <mergeCells count="8">
    <mergeCell ref="A98:B98"/>
    <mergeCell ref="A99:B99"/>
    <mergeCell ref="A1:G1"/>
    <mergeCell ref="A93:B93"/>
    <mergeCell ref="A94:B94"/>
    <mergeCell ref="A95:B95"/>
    <mergeCell ref="A96:B96"/>
    <mergeCell ref="A97:B97"/>
  </mergeCells>
  <conditionalFormatting sqref="F2:F3 F5:F65536">
    <cfRule type="cellIs" dxfId="84" priority="1" stopIfTrue="1" operator="between">
      <formula>0.009</formula>
      <formula>-0.009</formula>
    </cfRule>
  </conditionalFormatting>
  <hyperlinks>
    <hyperlink ref="A107" r:id="rId1" xr:uid="{00000000-0004-0000-04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7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961</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962</v>
      </c>
      <c r="B7" s="27" t="s">
        <v>963</v>
      </c>
      <c r="C7" s="27" t="s">
        <v>42</v>
      </c>
      <c r="D7" s="31">
        <v>750</v>
      </c>
      <c r="E7" s="29">
        <v>8025.7349999999997</v>
      </c>
      <c r="F7" s="30">
        <v>7.8514638612852297</v>
      </c>
      <c r="G7" s="29">
        <v>5.12</v>
      </c>
    </row>
    <row r="8" spans="1:7" x14ac:dyDescent="0.2">
      <c r="A8" s="27" t="s">
        <v>964</v>
      </c>
      <c r="B8" s="27" t="s">
        <v>965</v>
      </c>
      <c r="C8" s="27" t="s">
        <v>42</v>
      </c>
      <c r="D8" s="31">
        <v>400</v>
      </c>
      <c r="E8" s="29">
        <v>4332.5559999999996</v>
      </c>
      <c r="F8" s="30">
        <v>4.2384787014515801</v>
      </c>
      <c r="G8" s="29">
        <v>5.8898999999999999</v>
      </c>
    </row>
    <row r="9" spans="1:7" x14ac:dyDescent="0.2">
      <c r="A9" s="27" t="s">
        <v>911</v>
      </c>
      <c r="B9" s="27" t="s">
        <v>912</v>
      </c>
      <c r="C9" s="27" t="s">
        <v>42</v>
      </c>
      <c r="D9" s="31">
        <v>400</v>
      </c>
      <c r="E9" s="29">
        <v>4253.5879999999997</v>
      </c>
      <c r="F9" s="30">
        <v>4.1612254158399802</v>
      </c>
      <c r="G9" s="29">
        <v>5.625</v>
      </c>
    </row>
    <row r="10" spans="1:7" x14ac:dyDescent="0.2">
      <c r="A10" s="27" t="s">
        <v>894</v>
      </c>
      <c r="B10" s="27" t="s">
        <v>895</v>
      </c>
      <c r="C10" s="27" t="s">
        <v>896</v>
      </c>
      <c r="D10" s="31">
        <v>300</v>
      </c>
      <c r="E10" s="29">
        <v>3203.259</v>
      </c>
      <c r="F10" s="30">
        <v>3.1337033027924099</v>
      </c>
      <c r="G10" s="29">
        <v>4.6749999999999998</v>
      </c>
    </row>
    <row r="11" spans="1:7" x14ac:dyDescent="0.2">
      <c r="A11" s="27" t="s">
        <v>966</v>
      </c>
      <c r="B11" s="27" t="s">
        <v>967</v>
      </c>
      <c r="C11" s="27" t="s">
        <v>896</v>
      </c>
      <c r="D11" s="31">
        <v>300</v>
      </c>
      <c r="E11" s="29">
        <v>3147.6</v>
      </c>
      <c r="F11" s="30">
        <v>3.0792528845995299</v>
      </c>
      <c r="G11" s="29">
        <v>4.2999000000000001</v>
      </c>
    </row>
    <row r="12" spans="1:7" x14ac:dyDescent="0.2">
      <c r="A12" s="27" t="s">
        <v>872</v>
      </c>
      <c r="B12" s="27" t="s">
        <v>873</v>
      </c>
      <c r="C12" s="27" t="s">
        <v>874</v>
      </c>
      <c r="D12" s="31">
        <v>300</v>
      </c>
      <c r="E12" s="29">
        <v>3104.799</v>
      </c>
      <c r="F12" s="30">
        <v>3.0373812672676701</v>
      </c>
      <c r="G12" s="29">
        <v>5.8688000000000002</v>
      </c>
    </row>
    <row r="13" spans="1:7" x14ac:dyDescent="0.2">
      <c r="A13" s="27" t="s">
        <v>968</v>
      </c>
      <c r="B13" s="27" t="s">
        <v>969</v>
      </c>
      <c r="C13" s="27" t="s">
        <v>42</v>
      </c>
      <c r="D13" s="31">
        <v>250</v>
      </c>
      <c r="E13" s="29">
        <v>2849.3249999999998</v>
      </c>
      <c r="F13" s="30">
        <v>2.7874546401739599</v>
      </c>
      <c r="G13" s="29">
        <v>5.1150000000000002</v>
      </c>
    </row>
    <row r="14" spans="1:7" x14ac:dyDescent="0.2">
      <c r="A14" s="27" t="s">
        <v>970</v>
      </c>
      <c r="B14" s="27" t="s">
        <v>971</v>
      </c>
      <c r="C14" s="27" t="s">
        <v>896</v>
      </c>
      <c r="D14" s="31">
        <v>250</v>
      </c>
      <c r="E14" s="29">
        <v>2616.91</v>
      </c>
      <c r="F14" s="30">
        <v>2.5600863090092001</v>
      </c>
      <c r="G14" s="29">
        <v>4.1649000000000003</v>
      </c>
    </row>
    <row r="15" spans="1:7" x14ac:dyDescent="0.2">
      <c r="A15" s="27" t="s">
        <v>972</v>
      </c>
      <c r="B15" s="27" t="s">
        <v>973</v>
      </c>
      <c r="C15" s="27" t="s">
        <v>42</v>
      </c>
      <c r="D15" s="31">
        <v>250</v>
      </c>
      <c r="E15" s="29">
        <v>2602.04</v>
      </c>
      <c r="F15" s="30">
        <v>2.5455391967986301</v>
      </c>
      <c r="G15" s="29">
        <v>4.55</v>
      </c>
    </row>
    <row r="16" spans="1:7" x14ac:dyDescent="0.2">
      <c r="A16" s="27" t="s">
        <v>974</v>
      </c>
      <c r="B16" s="27" t="s">
        <v>975</v>
      </c>
      <c r="C16" s="27" t="s">
        <v>42</v>
      </c>
      <c r="D16" s="31">
        <v>250</v>
      </c>
      <c r="E16" s="29">
        <v>2493.7024999999999</v>
      </c>
      <c r="F16" s="30">
        <v>2.4395541417137001</v>
      </c>
      <c r="G16" s="29">
        <v>5.4249000000000001</v>
      </c>
    </row>
    <row r="17" spans="1:7" x14ac:dyDescent="0.2">
      <c r="A17" s="27" t="s">
        <v>905</v>
      </c>
      <c r="B17" s="27" t="s">
        <v>906</v>
      </c>
      <c r="C17" s="27" t="s">
        <v>42</v>
      </c>
      <c r="D17" s="31">
        <v>210</v>
      </c>
      <c r="E17" s="29">
        <v>2327.7806999999998</v>
      </c>
      <c r="F17" s="30">
        <v>2.2772351744789998</v>
      </c>
      <c r="G17" s="29">
        <v>5.48</v>
      </c>
    </row>
    <row r="18" spans="1:7" x14ac:dyDescent="0.2">
      <c r="A18" s="27" t="s">
        <v>913</v>
      </c>
      <c r="B18" s="27" t="s">
        <v>914</v>
      </c>
      <c r="C18" s="27" t="s">
        <v>42</v>
      </c>
      <c r="D18" s="31">
        <v>150</v>
      </c>
      <c r="E18" s="29">
        <v>1563.309</v>
      </c>
      <c r="F18" s="30">
        <v>1.5293632443037199</v>
      </c>
      <c r="G18" s="29">
        <v>5.0999999999999996</v>
      </c>
    </row>
    <row r="19" spans="1:7" x14ac:dyDescent="0.2">
      <c r="A19" s="27" t="s">
        <v>921</v>
      </c>
      <c r="B19" s="27" t="s">
        <v>922</v>
      </c>
      <c r="C19" s="27" t="s">
        <v>896</v>
      </c>
      <c r="D19" s="31">
        <v>120</v>
      </c>
      <c r="E19" s="29">
        <v>1252.4472000000001</v>
      </c>
      <c r="F19" s="30">
        <v>1.2252515101692101</v>
      </c>
      <c r="G19" s="29">
        <v>3.9948999999999999</v>
      </c>
    </row>
    <row r="20" spans="1:7" x14ac:dyDescent="0.2">
      <c r="A20" s="27" t="s">
        <v>903</v>
      </c>
      <c r="B20" s="27" t="s">
        <v>904</v>
      </c>
      <c r="C20" s="27" t="s">
        <v>42</v>
      </c>
      <c r="D20" s="31">
        <v>120</v>
      </c>
      <c r="E20" s="29">
        <v>1243.8335999999999</v>
      </c>
      <c r="F20" s="30">
        <v>1.2168249462326299</v>
      </c>
      <c r="G20" s="29">
        <v>3.84</v>
      </c>
    </row>
    <row r="21" spans="1:7" x14ac:dyDescent="0.2">
      <c r="A21" s="27" t="s">
        <v>925</v>
      </c>
      <c r="B21" s="27" t="s">
        <v>926</v>
      </c>
      <c r="C21" s="27" t="s">
        <v>42</v>
      </c>
      <c r="D21" s="31">
        <v>110</v>
      </c>
      <c r="E21" s="29">
        <v>1216.5383999999999</v>
      </c>
      <c r="F21" s="30">
        <v>1.19012243532409</v>
      </c>
      <c r="G21" s="29">
        <v>6.1143999999999998</v>
      </c>
    </row>
    <row r="22" spans="1:7" x14ac:dyDescent="0.2">
      <c r="A22" s="27" t="s">
        <v>976</v>
      </c>
      <c r="B22" s="27" t="s">
        <v>977</v>
      </c>
      <c r="C22" s="27" t="s">
        <v>896</v>
      </c>
      <c r="D22" s="31">
        <v>100</v>
      </c>
      <c r="E22" s="29">
        <v>1107.047</v>
      </c>
      <c r="F22" s="30">
        <v>1.08300853607106</v>
      </c>
      <c r="G22" s="29">
        <v>5.8846999999999996</v>
      </c>
    </row>
    <row r="23" spans="1:7" x14ac:dyDescent="0.2">
      <c r="A23" s="27" t="s">
        <v>978</v>
      </c>
      <c r="B23" s="27" t="s">
        <v>979</v>
      </c>
      <c r="C23" s="27" t="s">
        <v>42</v>
      </c>
      <c r="D23" s="31">
        <v>100</v>
      </c>
      <c r="E23" s="29">
        <v>1090.1559999999999</v>
      </c>
      <c r="F23" s="30">
        <v>1.0664843079373101</v>
      </c>
      <c r="G23" s="29">
        <v>5.8196000000000003</v>
      </c>
    </row>
    <row r="24" spans="1:7" x14ac:dyDescent="0.2">
      <c r="A24" s="27" t="s">
        <v>980</v>
      </c>
      <c r="B24" s="27" t="s">
        <v>981</v>
      </c>
      <c r="C24" s="27" t="s">
        <v>896</v>
      </c>
      <c r="D24" s="31">
        <v>500</v>
      </c>
      <c r="E24" s="29">
        <v>1054.4090000000001</v>
      </c>
      <c r="F24" s="30">
        <v>1.03151351976036</v>
      </c>
      <c r="G24" s="29">
        <v>6.0549999999999997</v>
      </c>
    </row>
    <row r="25" spans="1:7" x14ac:dyDescent="0.2">
      <c r="A25" s="27" t="s">
        <v>982</v>
      </c>
      <c r="B25" s="27" t="s">
        <v>983</v>
      </c>
      <c r="C25" s="27" t="s">
        <v>896</v>
      </c>
      <c r="D25" s="31">
        <v>500</v>
      </c>
      <c r="E25" s="29">
        <v>1038.479</v>
      </c>
      <c r="F25" s="30">
        <v>1.01592942443323</v>
      </c>
      <c r="G25" s="29">
        <v>6.0549999999999997</v>
      </c>
    </row>
    <row r="26" spans="1:7" x14ac:dyDescent="0.2">
      <c r="A26" s="27" t="s">
        <v>984</v>
      </c>
      <c r="B26" s="27" t="s">
        <v>985</v>
      </c>
      <c r="C26" s="27" t="s">
        <v>986</v>
      </c>
      <c r="D26" s="31">
        <v>100</v>
      </c>
      <c r="E26" s="29">
        <v>1038.1389999999999</v>
      </c>
      <c r="F26" s="30">
        <v>1.0155968072071599</v>
      </c>
      <c r="G26" s="29">
        <v>8.7346000000000004</v>
      </c>
    </row>
    <row r="27" spans="1:7" x14ac:dyDescent="0.2">
      <c r="A27" s="27" t="s">
        <v>987</v>
      </c>
      <c r="B27" s="27" t="s">
        <v>988</v>
      </c>
      <c r="C27" s="27" t="s">
        <v>42</v>
      </c>
      <c r="D27" s="31">
        <v>50</v>
      </c>
      <c r="E27" s="29">
        <v>561.46749999999997</v>
      </c>
      <c r="F27" s="30">
        <v>0.54927577169395203</v>
      </c>
      <c r="G27" s="29">
        <v>6.84</v>
      </c>
    </row>
    <row r="28" spans="1:7" x14ac:dyDescent="0.2">
      <c r="A28" s="27" t="s">
        <v>989</v>
      </c>
      <c r="B28" s="27" t="s">
        <v>990</v>
      </c>
      <c r="C28" s="27" t="s">
        <v>42</v>
      </c>
      <c r="D28" s="31">
        <v>50</v>
      </c>
      <c r="E28" s="29">
        <v>559.06399999999996</v>
      </c>
      <c r="F28" s="30">
        <v>0.54692446139145701</v>
      </c>
      <c r="G28" s="29">
        <v>5.4790000000000001</v>
      </c>
    </row>
    <row r="29" spans="1:7" x14ac:dyDescent="0.2">
      <c r="A29" s="27" t="s">
        <v>991</v>
      </c>
      <c r="B29" s="27" t="s">
        <v>992</v>
      </c>
      <c r="C29" s="27" t="s">
        <v>42</v>
      </c>
      <c r="D29" s="31">
        <v>50</v>
      </c>
      <c r="E29" s="29">
        <v>558.18150000000003</v>
      </c>
      <c r="F29" s="30">
        <v>0.54606112403262497</v>
      </c>
      <c r="G29" s="29">
        <v>5.48</v>
      </c>
    </row>
    <row r="30" spans="1:7" x14ac:dyDescent="0.2">
      <c r="A30" s="27" t="s">
        <v>993</v>
      </c>
      <c r="B30" s="27" t="s">
        <v>994</v>
      </c>
      <c r="C30" s="27" t="s">
        <v>42</v>
      </c>
      <c r="D30" s="31">
        <v>50</v>
      </c>
      <c r="E30" s="29">
        <v>553.452</v>
      </c>
      <c r="F30" s="30">
        <v>0.54143432058945795</v>
      </c>
      <c r="G30" s="29">
        <v>5.0397999999999996</v>
      </c>
    </row>
    <row r="31" spans="1:7" x14ac:dyDescent="0.2">
      <c r="A31" s="27" t="s">
        <v>909</v>
      </c>
      <c r="B31" s="27" t="s">
        <v>910</v>
      </c>
      <c r="C31" s="27" t="s">
        <v>42</v>
      </c>
      <c r="D31" s="31">
        <v>50</v>
      </c>
      <c r="E31" s="29">
        <v>546.92100000000005</v>
      </c>
      <c r="F31" s="30">
        <v>0.53504513499112305</v>
      </c>
      <c r="G31" s="29">
        <v>5.8445999999999998</v>
      </c>
    </row>
    <row r="32" spans="1:7" x14ac:dyDescent="0.2">
      <c r="A32" s="27" t="s">
        <v>878</v>
      </c>
      <c r="B32" s="27" t="s">
        <v>879</v>
      </c>
      <c r="C32" s="27" t="s">
        <v>864</v>
      </c>
      <c r="D32" s="31">
        <v>50</v>
      </c>
      <c r="E32" s="29">
        <v>518.85</v>
      </c>
      <c r="F32" s="30">
        <v>0.50758366983557801</v>
      </c>
      <c r="G32" s="29">
        <v>6.0583</v>
      </c>
    </row>
    <row r="33" spans="1:9" x14ac:dyDescent="0.2">
      <c r="A33" s="27" t="s">
        <v>94</v>
      </c>
      <c r="B33" s="27" t="s">
        <v>93</v>
      </c>
      <c r="C33" s="27" t="s">
        <v>42</v>
      </c>
      <c r="D33" s="31">
        <v>30</v>
      </c>
      <c r="E33" s="29">
        <v>337.57049999999998</v>
      </c>
      <c r="F33" s="30">
        <v>0.330240480328093</v>
      </c>
      <c r="G33" s="29">
        <v>6.84</v>
      </c>
    </row>
    <row r="34" spans="1:9" x14ac:dyDescent="0.2">
      <c r="A34" s="27" t="s">
        <v>882</v>
      </c>
      <c r="B34" s="27" t="s">
        <v>883</v>
      </c>
      <c r="C34" s="27" t="s">
        <v>42</v>
      </c>
      <c r="D34" s="31">
        <v>32</v>
      </c>
      <c r="E34" s="29">
        <v>335.8304</v>
      </c>
      <c r="F34" s="30">
        <v>0.32853816493080901</v>
      </c>
      <c r="G34" s="29">
        <v>4.3150000000000004</v>
      </c>
    </row>
    <row r="35" spans="1:9" x14ac:dyDescent="0.2">
      <c r="A35" s="27" t="s">
        <v>995</v>
      </c>
      <c r="B35" s="27" t="s">
        <v>996</v>
      </c>
      <c r="C35" s="27" t="s">
        <v>997</v>
      </c>
      <c r="D35" s="31">
        <v>27</v>
      </c>
      <c r="E35" s="29">
        <v>290.32155</v>
      </c>
      <c r="F35" s="30">
        <v>0.284017495964832</v>
      </c>
      <c r="G35" s="29">
        <v>4.0750000000000002</v>
      </c>
    </row>
    <row r="36" spans="1:9" x14ac:dyDescent="0.2">
      <c r="A36" s="27" t="s">
        <v>949</v>
      </c>
      <c r="B36" s="27" t="s">
        <v>950</v>
      </c>
      <c r="C36" s="27" t="s">
        <v>42</v>
      </c>
      <c r="D36" s="31">
        <v>23</v>
      </c>
      <c r="E36" s="29">
        <v>236.99430000000001</v>
      </c>
      <c r="F36" s="30">
        <v>0.231848196056883</v>
      </c>
      <c r="G36" s="29">
        <v>3.75</v>
      </c>
    </row>
    <row r="37" spans="1:9" x14ac:dyDescent="0.2">
      <c r="A37" s="27" t="s">
        <v>998</v>
      </c>
      <c r="B37" s="27" t="s">
        <v>999</v>
      </c>
      <c r="C37" s="27" t="s">
        <v>896</v>
      </c>
      <c r="D37" s="31">
        <v>5</v>
      </c>
      <c r="E37" s="29">
        <v>52.672049999999999</v>
      </c>
      <c r="F37" s="30">
        <v>5.1528326947601497E-2</v>
      </c>
      <c r="G37" s="29">
        <v>4.2</v>
      </c>
    </row>
    <row r="38" spans="1:9" x14ac:dyDescent="0.2">
      <c r="A38" s="27" t="s">
        <v>945</v>
      </c>
      <c r="B38" s="27" t="s">
        <v>946</v>
      </c>
      <c r="C38" s="27" t="s">
        <v>42</v>
      </c>
      <c r="D38" s="31">
        <v>2</v>
      </c>
      <c r="E38" s="29">
        <v>20.307099999999998</v>
      </c>
      <c r="F38" s="30">
        <v>1.98661507983388E-2</v>
      </c>
      <c r="G38" s="29">
        <v>3.4649000000000001</v>
      </c>
    </row>
    <row r="39" spans="1:9" x14ac:dyDescent="0.2">
      <c r="A39" s="27" t="s">
        <v>1000</v>
      </c>
      <c r="B39" s="27" t="s">
        <v>1001</v>
      </c>
      <c r="C39" s="27" t="s">
        <v>42</v>
      </c>
      <c r="D39" s="31">
        <v>1</v>
      </c>
      <c r="E39" s="29">
        <v>10.20974</v>
      </c>
      <c r="F39" s="30">
        <v>9.9880452872065009E-3</v>
      </c>
      <c r="G39" s="29">
        <v>3.5348999999999999</v>
      </c>
    </row>
    <row r="40" spans="1:9" ht="10.5" x14ac:dyDescent="0.25">
      <c r="A40" s="26" t="s">
        <v>43</v>
      </c>
      <c r="B40" s="26"/>
      <c r="C40" s="26"/>
      <c r="D40" s="32"/>
      <c r="E40" s="33">
        <f>SUM(E6:E39)</f>
        <v>54143.495039999994</v>
      </c>
      <c r="F40" s="34">
        <f>SUM(F6:F39)</f>
        <v>52.967820969697613</v>
      </c>
      <c r="G40" s="33"/>
      <c r="H40" s="18"/>
      <c r="I40" s="18"/>
    </row>
    <row r="41" spans="1:9" x14ac:dyDescent="0.2">
      <c r="A41" s="27"/>
      <c r="B41" s="27"/>
      <c r="C41" s="27"/>
      <c r="D41" s="28"/>
      <c r="E41" s="29"/>
      <c r="F41" s="30"/>
      <c r="G41" s="29"/>
    </row>
    <row r="42" spans="1:9" ht="10.5" x14ac:dyDescent="0.25">
      <c r="A42" s="26" t="s">
        <v>62</v>
      </c>
      <c r="B42" s="27"/>
      <c r="C42" s="27"/>
      <c r="D42" s="28"/>
      <c r="E42" s="29"/>
      <c r="F42" s="30"/>
      <c r="G42" s="29"/>
    </row>
    <row r="43" spans="1:9" ht="10.5" x14ac:dyDescent="0.25">
      <c r="A43" s="26" t="s">
        <v>63</v>
      </c>
      <c r="B43" s="27"/>
      <c r="C43" s="27"/>
      <c r="D43" s="28"/>
      <c r="E43" s="29"/>
      <c r="F43" s="30"/>
      <c r="G43" s="29"/>
    </row>
    <row r="44" spans="1:9" x14ac:dyDescent="0.2">
      <c r="A44" s="27" t="s">
        <v>793</v>
      </c>
      <c r="B44" s="27" t="s">
        <v>794</v>
      </c>
      <c r="C44" s="27" t="s">
        <v>67</v>
      </c>
      <c r="D44" s="31">
        <v>9000</v>
      </c>
      <c r="E44" s="29">
        <v>8896.0769999999993</v>
      </c>
      <c r="F44" s="30">
        <v>8.70290721942734</v>
      </c>
      <c r="G44" s="29">
        <v>3.2801</v>
      </c>
    </row>
    <row r="45" spans="1:9" x14ac:dyDescent="0.2">
      <c r="A45" s="27" t="s">
        <v>797</v>
      </c>
      <c r="B45" s="27" t="s">
        <v>798</v>
      </c>
      <c r="C45" s="27" t="s">
        <v>67</v>
      </c>
      <c r="D45" s="31">
        <v>2500</v>
      </c>
      <c r="E45" s="29">
        <v>2471.8425000000002</v>
      </c>
      <c r="F45" s="30">
        <v>2.4181688106496102</v>
      </c>
      <c r="G45" s="29">
        <v>3.2999000000000001</v>
      </c>
    </row>
    <row r="46" spans="1:9" x14ac:dyDescent="0.2">
      <c r="A46" s="27" t="s">
        <v>1002</v>
      </c>
      <c r="B46" s="27" t="s">
        <v>1003</v>
      </c>
      <c r="C46" s="27" t="s">
        <v>67</v>
      </c>
      <c r="D46" s="31">
        <v>2500</v>
      </c>
      <c r="E46" s="29">
        <v>2447.66</v>
      </c>
      <c r="F46" s="30">
        <v>2.3945114104457002</v>
      </c>
      <c r="G46" s="29">
        <v>3.5</v>
      </c>
    </row>
    <row r="47" spans="1:9" ht="10.5" x14ac:dyDescent="0.25">
      <c r="A47" s="26" t="s">
        <v>43</v>
      </c>
      <c r="B47" s="26"/>
      <c r="C47" s="26"/>
      <c r="D47" s="32"/>
      <c r="E47" s="33">
        <f>SUM(E43:E46)</f>
        <v>13815.5795</v>
      </c>
      <c r="F47" s="34">
        <f>SUM(F43:F46)</f>
        <v>13.515587440522649</v>
      </c>
      <c r="G47" s="33"/>
      <c r="H47" s="18"/>
      <c r="I47" s="18"/>
    </row>
    <row r="48" spans="1:9" x14ac:dyDescent="0.2">
      <c r="A48" s="27"/>
      <c r="B48" s="27"/>
      <c r="C48" s="27"/>
      <c r="D48" s="28"/>
      <c r="E48" s="29"/>
      <c r="F48" s="30"/>
      <c r="G48" s="29"/>
    </row>
    <row r="49" spans="1:9" ht="10.5" x14ac:dyDescent="0.25">
      <c r="A49" s="26" t="s">
        <v>79</v>
      </c>
      <c r="B49" s="27"/>
      <c r="C49" s="27"/>
      <c r="D49" s="28"/>
      <c r="E49" s="29"/>
      <c r="F49" s="30"/>
      <c r="G49" s="29"/>
    </row>
    <row r="50" spans="1:9" x14ac:dyDescent="0.2">
      <c r="A50" s="27" t="s">
        <v>953</v>
      </c>
      <c r="B50" s="27" t="s">
        <v>954</v>
      </c>
      <c r="C50" s="27" t="s">
        <v>82</v>
      </c>
      <c r="D50" s="31">
        <v>9000000</v>
      </c>
      <c r="E50" s="29">
        <v>9522.7199999999993</v>
      </c>
      <c r="F50" s="30">
        <v>9.3159432676431599</v>
      </c>
      <c r="G50" s="29">
        <v>5.7127999999999997</v>
      </c>
    </row>
    <row r="51" spans="1:9" x14ac:dyDescent="0.2">
      <c r="A51" s="27" t="s">
        <v>84</v>
      </c>
      <c r="B51" s="27" t="s">
        <v>83</v>
      </c>
      <c r="C51" s="27" t="s">
        <v>82</v>
      </c>
      <c r="D51" s="31">
        <v>7500000</v>
      </c>
      <c r="E51" s="29">
        <v>7439.2875000000004</v>
      </c>
      <c r="F51" s="30">
        <v>7.2777505063350496</v>
      </c>
      <c r="G51" s="29">
        <v>5.8788</v>
      </c>
    </row>
    <row r="52" spans="1:9" x14ac:dyDescent="0.2">
      <c r="A52" s="27" t="s">
        <v>1004</v>
      </c>
      <c r="B52" s="27" t="s">
        <v>1005</v>
      </c>
      <c r="C52" s="27" t="s">
        <v>82</v>
      </c>
      <c r="D52" s="31">
        <v>5000000</v>
      </c>
      <c r="E52" s="29">
        <v>5387.2250000000004</v>
      </c>
      <c r="F52" s="30">
        <v>5.2702465755612797</v>
      </c>
      <c r="G52" s="29">
        <v>5.8335999999999997</v>
      </c>
    </row>
    <row r="53" spans="1:9" ht="10.5" x14ac:dyDescent="0.25">
      <c r="A53" s="26" t="s">
        <v>43</v>
      </c>
      <c r="B53" s="26"/>
      <c r="C53" s="26"/>
      <c r="D53" s="32"/>
      <c r="E53" s="33">
        <f>SUM(E50:E52)</f>
        <v>22349.232499999998</v>
      </c>
      <c r="F53" s="34">
        <f>SUM(F50:F52)</f>
        <v>21.86394034953949</v>
      </c>
      <c r="G53" s="33"/>
      <c r="H53" s="18"/>
      <c r="I53" s="18"/>
    </row>
    <row r="54" spans="1:9" x14ac:dyDescent="0.2">
      <c r="A54" s="27"/>
      <c r="B54" s="27"/>
      <c r="C54" s="27"/>
      <c r="D54" s="28"/>
      <c r="E54" s="29"/>
      <c r="F54" s="30"/>
      <c r="G54" s="29"/>
    </row>
    <row r="55" spans="1:9" ht="10.5" x14ac:dyDescent="0.25">
      <c r="A55" s="26" t="s">
        <v>48</v>
      </c>
      <c r="B55" s="26"/>
      <c r="C55" s="26"/>
      <c r="D55" s="32"/>
      <c r="E55" s="33">
        <f>E40+E47+E53</f>
        <v>90308.30704</v>
      </c>
      <c r="F55" s="34">
        <f>F40+F47+F53</f>
        <v>88.347348759759754</v>
      </c>
      <c r="G55" s="33"/>
      <c r="H55" s="18"/>
      <c r="I55" s="18"/>
    </row>
    <row r="56" spans="1:9" ht="10.5" x14ac:dyDescent="0.25">
      <c r="A56" s="26"/>
      <c r="B56" s="26"/>
      <c r="C56" s="26"/>
      <c r="D56" s="32"/>
      <c r="E56" s="33"/>
      <c r="F56" s="34"/>
      <c r="G56" s="33"/>
      <c r="H56" s="18"/>
      <c r="I56" s="18"/>
    </row>
    <row r="57" spans="1:9" ht="10.5" x14ac:dyDescent="0.25">
      <c r="A57" s="26" t="s">
        <v>50</v>
      </c>
      <c r="B57" s="26"/>
      <c r="C57" s="26"/>
      <c r="D57" s="32"/>
      <c r="E57" s="33">
        <f>E59-(E40+E47+E53)</f>
        <v>11911.293556699995</v>
      </c>
      <c r="F57" s="34">
        <f>F59-(F40+F47+F53)</f>
        <v>11.652651240240246</v>
      </c>
      <c r="G57" s="33"/>
      <c r="H57" s="18"/>
      <c r="I57" s="18"/>
    </row>
    <row r="58" spans="1:9" ht="10.5" x14ac:dyDescent="0.25">
      <c r="A58" s="26"/>
      <c r="B58" s="26"/>
      <c r="C58" s="26"/>
      <c r="D58" s="32"/>
      <c r="E58" s="33"/>
      <c r="F58" s="34"/>
      <c r="G58" s="33"/>
      <c r="H58" s="18"/>
      <c r="I58" s="18"/>
    </row>
    <row r="59" spans="1:9" ht="10.5" x14ac:dyDescent="0.25">
      <c r="A59" s="35" t="s">
        <v>49</v>
      </c>
      <c r="B59" s="35"/>
      <c r="C59" s="35"/>
      <c r="D59" s="36"/>
      <c r="E59" s="37">
        <v>102219.60059669999</v>
      </c>
      <c r="F59" s="38">
        <v>100</v>
      </c>
      <c r="G59" s="37"/>
      <c r="H59" s="18"/>
      <c r="I59" s="18"/>
    </row>
    <row r="61" spans="1:9" ht="10.5" x14ac:dyDescent="0.25">
      <c r="A61" s="18" t="s">
        <v>766</v>
      </c>
    </row>
    <row r="63" spans="1:9" ht="10.5" x14ac:dyDescent="0.25">
      <c r="A63" s="18" t="s">
        <v>51</v>
      </c>
    </row>
    <row r="64" spans="1:9" ht="10.5" x14ac:dyDescent="0.25">
      <c r="A64" s="18" t="s">
        <v>713</v>
      </c>
    </row>
    <row r="65" spans="1:5" ht="10.5" x14ac:dyDescent="0.25">
      <c r="A65" s="18" t="s">
        <v>53</v>
      </c>
      <c r="B65" s="18"/>
      <c r="C65" s="39" t="s">
        <v>55</v>
      </c>
      <c r="D65" s="19" t="s">
        <v>714</v>
      </c>
    </row>
    <row r="66" spans="1:5" x14ac:dyDescent="0.2">
      <c r="A66" s="9" t="s">
        <v>71</v>
      </c>
      <c r="C66" s="40">
        <v>16.4801</v>
      </c>
      <c r="D66" s="40">
        <v>17.281300000000002</v>
      </c>
    </row>
    <row r="67" spans="1:5" x14ac:dyDescent="0.2">
      <c r="A67" s="9" t="s">
        <v>77</v>
      </c>
      <c r="C67" s="40">
        <v>10.757300000000001</v>
      </c>
      <c r="D67" s="40">
        <v>10.872</v>
      </c>
    </row>
    <row r="68" spans="1:5" x14ac:dyDescent="0.2">
      <c r="A68" s="9" t="s">
        <v>74</v>
      </c>
      <c r="C68" s="40">
        <v>16.9236</v>
      </c>
      <c r="D68" s="40">
        <v>17.774999999999999</v>
      </c>
    </row>
    <row r="69" spans="1:5" x14ac:dyDescent="0.2">
      <c r="A69" s="9" t="s">
        <v>78</v>
      </c>
      <c r="C69" s="40">
        <v>11.1099</v>
      </c>
      <c r="D69" s="40">
        <v>11.2601</v>
      </c>
    </row>
    <row r="71" spans="1:5" ht="10.5" x14ac:dyDescent="0.25">
      <c r="A71" s="18" t="s">
        <v>715</v>
      </c>
    </row>
    <row r="72" spans="1:5" ht="10.5" x14ac:dyDescent="0.25">
      <c r="A72" s="81" t="s">
        <v>68</v>
      </c>
      <c r="B72" s="82"/>
      <c r="C72" s="43" t="s">
        <v>69</v>
      </c>
    </row>
    <row r="73" spans="1:5" x14ac:dyDescent="0.2">
      <c r="A73" s="77" t="s">
        <v>77</v>
      </c>
      <c r="B73" s="78"/>
      <c r="C73" s="44">
        <v>0.4</v>
      </c>
    </row>
    <row r="74" spans="1:5" x14ac:dyDescent="0.2">
      <c r="A74" s="77" t="s">
        <v>78</v>
      </c>
      <c r="B74" s="78"/>
      <c r="C74" s="44">
        <v>0.4</v>
      </c>
    </row>
    <row r="75" spans="1:5" x14ac:dyDescent="0.2">
      <c r="A75" s="9" t="s">
        <v>70</v>
      </c>
    </row>
    <row r="77" spans="1:5" ht="10.5" x14ac:dyDescent="0.25">
      <c r="A77" s="18" t="s">
        <v>785</v>
      </c>
      <c r="D77" s="42">
        <v>3.6565328987397301</v>
      </c>
      <c r="E77" s="13" t="s">
        <v>58</v>
      </c>
    </row>
    <row r="79" spans="1:5" ht="10.5" x14ac:dyDescent="0.25">
      <c r="A79" s="18" t="s">
        <v>786</v>
      </c>
      <c r="D79" s="41" t="s">
        <v>57</v>
      </c>
    </row>
  </sheetData>
  <mergeCells count="4">
    <mergeCell ref="A1:G1"/>
    <mergeCell ref="A72:B72"/>
    <mergeCell ref="A73:B73"/>
    <mergeCell ref="A74:B74"/>
  </mergeCells>
  <conditionalFormatting sqref="F2:F3 F5:F65536">
    <cfRule type="cellIs" dxfId="8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8"/>
  <sheetViews>
    <sheetView workbookViewId="0">
      <selection sqref="A1:G1"/>
    </sheetView>
  </sheetViews>
  <sheetFormatPr defaultColWidth="9.1796875" defaultRowHeight="10" x14ac:dyDescent="0.2"/>
  <cols>
    <col min="1" max="1" width="35" style="9" bestFit="1" customWidth="1"/>
    <col min="2" max="2" width="23.4531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9" t="s">
        <v>1006</v>
      </c>
      <c r="B1" s="80"/>
      <c r="C1" s="80"/>
      <c r="D1" s="80"/>
      <c r="E1" s="80"/>
      <c r="F1" s="80"/>
      <c r="G1" s="80"/>
    </row>
    <row r="2" spans="1:9" s="1" customFormat="1" ht="11.5" x14ac:dyDescent="0.25">
      <c r="D2" s="6"/>
      <c r="E2" s="7"/>
      <c r="F2" s="12"/>
      <c r="G2" s="13"/>
    </row>
    <row r="3" spans="1:9" s="1" customFormat="1" ht="11.5" x14ac:dyDescent="0.25">
      <c r="A3" s="11" t="s">
        <v>711</v>
      </c>
      <c r="B3" s="2"/>
      <c r="C3" s="3"/>
      <c r="D3" s="4"/>
      <c r="E3" s="5"/>
      <c r="F3" s="12"/>
      <c r="G3" s="13"/>
    </row>
    <row r="4" spans="1:9" s="1" customFormat="1" ht="17.5" customHeight="1" x14ac:dyDescent="0.25">
      <c r="A4" s="8" t="s">
        <v>2</v>
      </c>
      <c r="B4" s="8" t="s">
        <v>0</v>
      </c>
      <c r="C4" s="17" t="s">
        <v>726</v>
      </c>
      <c r="D4" s="16" t="s">
        <v>1</v>
      </c>
      <c r="E4" s="15" t="s">
        <v>3</v>
      </c>
      <c r="F4" s="15" t="s">
        <v>4</v>
      </c>
      <c r="G4" s="15" t="s">
        <v>6</v>
      </c>
    </row>
    <row r="5" spans="1:9" ht="10.5" x14ac:dyDescent="0.25">
      <c r="A5" s="21" t="s">
        <v>79</v>
      </c>
      <c r="B5" s="22"/>
      <c r="C5" s="22"/>
      <c r="D5" s="23"/>
      <c r="E5" s="24"/>
      <c r="F5" s="25"/>
      <c r="G5" s="24"/>
    </row>
    <row r="6" spans="1:9" x14ac:dyDescent="0.2">
      <c r="A6" s="27" t="s">
        <v>81</v>
      </c>
      <c r="B6" s="27" t="s">
        <v>80</v>
      </c>
      <c r="C6" s="27" t="s">
        <v>82</v>
      </c>
      <c r="D6" s="31">
        <v>10000000</v>
      </c>
      <c r="E6" s="29">
        <v>9964.35</v>
      </c>
      <c r="F6" s="30">
        <v>38.474417510501603</v>
      </c>
      <c r="G6" s="29">
        <v>6.2278000000000002</v>
      </c>
    </row>
    <row r="7" spans="1:9" x14ac:dyDescent="0.2">
      <c r="A7" s="27" t="s">
        <v>953</v>
      </c>
      <c r="B7" s="27" t="s">
        <v>954</v>
      </c>
      <c r="C7" s="27" t="s">
        <v>82</v>
      </c>
      <c r="D7" s="31">
        <v>5200000</v>
      </c>
      <c r="E7" s="29">
        <v>5502.0159999999996</v>
      </c>
      <c r="F7" s="30">
        <v>21.244422439342301</v>
      </c>
      <c r="G7" s="29">
        <v>5.7127999999999997</v>
      </c>
    </row>
    <row r="8" spans="1:9" x14ac:dyDescent="0.2">
      <c r="A8" s="27" t="s">
        <v>1004</v>
      </c>
      <c r="B8" s="27" t="s">
        <v>1005</v>
      </c>
      <c r="C8" s="27" t="s">
        <v>82</v>
      </c>
      <c r="D8" s="31">
        <v>3450000</v>
      </c>
      <c r="E8" s="29">
        <v>3717.18525</v>
      </c>
      <c r="F8" s="30">
        <v>14.3528215360137</v>
      </c>
      <c r="G8" s="29">
        <v>5.8335999999999997</v>
      </c>
    </row>
    <row r="9" spans="1:9" x14ac:dyDescent="0.2">
      <c r="A9" s="27" t="s">
        <v>84</v>
      </c>
      <c r="B9" s="27" t="s">
        <v>83</v>
      </c>
      <c r="C9" s="27" t="s">
        <v>82</v>
      </c>
      <c r="D9" s="31">
        <v>2700000</v>
      </c>
      <c r="E9" s="29">
        <v>2678.1435000000001</v>
      </c>
      <c r="F9" s="30">
        <v>10.340866305583001</v>
      </c>
      <c r="G9" s="29">
        <v>5.8788</v>
      </c>
    </row>
    <row r="10" spans="1:9" x14ac:dyDescent="0.2">
      <c r="A10" s="27" t="s">
        <v>86</v>
      </c>
      <c r="B10" s="27" t="s">
        <v>85</v>
      </c>
      <c r="C10" s="27" t="s">
        <v>82</v>
      </c>
      <c r="D10" s="31">
        <v>1900000</v>
      </c>
      <c r="E10" s="29">
        <v>2063.0542</v>
      </c>
      <c r="F10" s="30">
        <v>7.9658792231900701</v>
      </c>
      <c r="G10" s="29">
        <v>5.4256000000000002</v>
      </c>
    </row>
    <row r="11" spans="1:9" x14ac:dyDescent="0.2">
      <c r="A11" s="27" t="s">
        <v>88</v>
      </c>
      <c r="B11" s="27" t="s">
        <v>87</v>
      </c>
      <c r="C11" s="27" t="s">
        <v>82</v>
      </c>
      <c r="D11" s="31">
        <v>300000</v>
      </c>
      <c r="E11" s="29">
        <v>324.03750000000002</v>
      </c>
      <c r="F11" s="30">
        <v>1.2511758483051201</v>
      </c>
      <c r="G11" s="29">
        <v>4.6284000000000001</v>
      </c>
    </row>
    <row r="12" spans="1:9" x14ac:dyDescent="0.2">
      <c r="A12" s="27" t="s">
        <v>90</v>
      </c>
      <c r="B12" s="27" t="s">
        <v>89</v>
      </c>
      <c r="C12" s="27" t="s">
        <v>82</v>
      </c>
      <c r="D12" s="31">
        <v>200000</v>
      </c>
      <c r="E12" s="29">
        <v>200.42500000000001</v>
      </c>
      <c r="F12" s="30">
        <v>0.77388240372350303</v>
      </c>
      <c r="G12" s="29">
        <v>5.1661999999999999</v>
      </c>
    </row>
    <row r="13" spans="1:9" ht="10.5" x14ac:dyDescent="0.25">
      <c r="A13" s="26" t="s">
        <v>43</v>
      </c>
      <c r="B13" s="26"/>
      <c r="C13" s="26"/>
      <c r="D13" s="32"/>
      <c r="E13" s="33">
        <f>SUM(E6:E12)</f>
        <v>24449.211449999999</v>
      </c>
      <c r="F13" s="34">
        <f>SUM(F6:F12)</f>
        <v>94.40346526665931</v>
      </c>
      <c r="G13" s="33"/>
      <c r="H13" s="18"/>
      <c r="I13" s="18"/>
    </row>
    <row r="14" spans="1:9" x14ac:dyDescent="0.2">
      <c r="A14" s="27"/>
      <c r="B14" s="27"/>
      <c r="C14" s="27"/>
      <c r="D14" s="28"/>
      <c r="E14" s="29"/>
      <c r="F14" s="30"/>
      <c r="G14" s="29"/>
    </row>
    <row r="15" spans="1:9" ht="10.5" x14ac:dyDescent="0.25">
      <c r="A15" s="26" t="s">
        <v>48</v>
      </c>
      <c r="B15" s="26"/>
      <c r="C15" s="26"/>
      <c r="D15" s="32"/>
      <c r="E15" s="33">
        <f>E13</f>
        <v>24449.211449999999</v>
      </c>
      <c r="F15" s="34">
        <f>F13</f>
        <v>94.40346526665931</v>
      </c>
      <c r="G15" s="33"/>
      <c r="H15" s="18"/>
      <c r="I15" s="18"/>
    </row>
    <row r="16" spans="1:9" ht="10.5" x14ac:dyDescent="0.25">
      <c r="A16" s="26"/>
      <c r="B16" s="26"/>
      <c r="C16" s="26"/>
      <c r="D16" s="32"/>
      <c r="E16" s="33"/>
      <c r="F16" s="34"/>
      <c r="G16" s="33"/>
      <c r="H16" s="18"/>
      <c r="I16" s="18"/>
    </row>
    <row r="17" spans="1:9" ht="10.5" x14ac:dyDescent="0.25">
      <c r="A17" s="26" t="s">
        <v>50</v>
      </c>
      <c r="B17" s="26"/>
      <c r="C17" s="26"/>
      <c r="D17" s="32"/>
      <c r="E17" s="33">
        <f>E19-(E13)</f>
        <v>1449.4262546000027</v>
      </c>
      <c r="F17" s="34">
        <f>F19-(F13)</f>
        <v>5.5965347333406896</v>
      </c>
      <c r="G17" s="33"/>
      <c r="H17" s="18"/>
      <c r="I17" s="18"/>
    </row>
    <row r="18" spans="1:9" ht="10.5" x14ac:dyDescent="0.25">
      <c r="A18" s="26"/>
      <c r="B18" s="26"/>
      <c r="C18" s="26"/>
      <c r="D18" s="32"/>
      <c r="E18" s="33"/>
      <c r="F18" s="34"/>
      <c r="G18" s="33"/>
      <c r="H18" s="18"/>
      <c r="I18" s="18"/>
    </row>
    <row r="19" spans="1:9" ht="10.5" x14ac:dyDescent="0.25">
      <c r="A19" s="35" t="s">
        <v>49</v>
      </c>
      <c r="B19" s="35"/>
      <c r="C19" s="35"/>
      <c r="D19" s="36"/>
      <c r="E19" s="37">
        <v>25898.637704600002</v>
      </c>
      <c r="F19" s="38">
        <v>100</v>
      </c>
      <c r="G19" s="37"/>
      <c r="H19" s="18"/>
      <c r="I19" s="18"/>
    </row>
    <row r="22" spans="1:9" ht="10.5" x14ac:dyDescent="0.25">
      <c r="A22" s="18" t="s">
        <v>51</v>
      </c>
    </row>
    <row r="23" spans="1:9" ht="10.5" x14ac:dyDescent="0.25">
      <c r="A23" s="18" t="s">
        <v>713</v>
      </c>
    </row>
    <row r="24" spans="1:9" ht="10.5" x14ac:dyDescent="0.25">
      <c r="A24" s="18" t="s">
        <v>53</v>
      </c>
      <c r="B24" s="18"/>
      <c r="C24" s="39" t="s">
        <v>55</v>
      </c>
      <c r="D24" s="19" t="s">
        <v>714</v>
      </c>
    </row>
    <row r="25" spans="1:9" x14ac:dyDescent="0.2">
      <c r="A25" s="9" t="s">
        <v>91</v>
      </c>
      <c r="C25" s="40">
        <v>46.148099999999999</v>
      </c>
      <c r="D25" s="40">
        <v>47.131799999999998</v>
      </c>
    </row>
    <row r="26" spans="1:9" x14ac:dyDescent="0.2">
      <c r="A26" s="9" t="s">
        <v>1007</v>
      </c>
      <c r="C26" s="40">
        <v>11.045999999999999</v>
      </c>
      <c r="D26" s="40">
        <v>10.8378</v>
      </c>
    </row>
    <row r="27" spans="1:9" x14ac:dyDescent="0.2">
      <c r="A27" s="9" t="s">
        <v>92</v>
      </c>
      <c r="C27" s="40">
        <v>49.3262</v>
      </c>
      <c r="D27" s="40">
        <v>50.501600000000003</v>
      </c>
    </row>
    <row r="28" spans="1:9" x14ac:dyDescent="0.2">
      <c r="A28" s="9" t="s">
        <v>1008</v>
      </c>
      <c r="C28" s="40">
        <v>12.076499999999999</v>
      </c>
      <c r="D28" s="40">
        <v>11.919700000000001</v>
      </c>
    </row>
    <row r="30" spans="1:9" ht="10.5" x14ac:dyDescent="0.25">
      <c r="A30" s="18" t="s">
        <v>715</v>
      </c>
    </row>
    <row r="31" spans="1:9" ht="10.5" x14ac:dyDescent="0.25">
      <c r="A31" s="81" t="s">
        <v>68</v>
      </c>
      <c r="B31" s="82"/>
      <c r="C31" s="43" t="s">
        <v>69</v>
      </c>
    </row>
    <row r="32" spans="1:9" x14ac:dyDescent="0.2">
      <c r="A32" s="77" t="s">
        <v>1007</v>
      </c>
      <c r="B32" s="78"/>
      <c r="C32" s="44">
        <v>0.44</v>
      </c>
    </row>
    <row r="33" spans="1:5" x14ac:dyDescent="0.2">
      <c r="A33" s="77" t="s">
        <v>1008</v>
      </c>
      <c r="B33" s="78"/>
      <c r="C33" s="44">
        <v>0.44</v>
      </c>
    </row>
    <row r="34" spans="1:5" x14ac:dyDescent="0.2">
      <c r="A34" s="9" t="s">
        <v>70</v>
      </c>
    </row>
    <row r="36" spans="1:5" ht="10.5" x14ac:dyDescent="0.25">
      <c r="A36" s="18" t="s">
        <v>785</v>
      </c>
      <c r="D36" s="42">
        <v>9.28789673947945</v>
      </c>
      <c r="E36" s="13" t="s">
        <v>58</v>
      </c>
    </row>
    <row r="38" spans="1:5" ht="10.5" x14ac:dyDescent="0.25">
      <c r="A38" s="18" t="s">
        <v>786</v>
      </c>
      <c r="D38" s="41" t="s">
        <v>57</v>
      </c>
    </row>
  </sheetData>
  <mergeCells count="4">
    <mergeCell ref="A1:G1"/>
    <mergeCell ref="A31:B31"/>
    <mergeCell ref="A32:B32"/>
    <mergeCell ref="A33:B33"/>
  </mergeCells>
  <conditionalFormatting sqref="F2:F3 F5:F65536">
    <cfRule type="cellIs" dxfId="8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56"/>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9" t="s">
        <v>1009</v>
      </c>
      <c r="B1" s="80"/>
      <c r="C1" s="80"/>
      <c r="D1" s="80"/>
      <c r="E1" s="80"/>
      <c r="F1" s="80"/>
      <c r="G1" s="80"/>
    </row>
    <row r="2" spans="1:7" s="1" customFormat="1" ht="11.5" x14ac:dyDescent="0.25">
      <c r="A2" s="58" t="s">
        <v>1010</v>
      </c>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869</v>
      </c>
      <c r="B7" s="27" t="s">
        <v>870</v>
      </c>
      <c r="C7" s="27" t="s">
        <v>871</v>
      </c>
      <c r="D7" s="31">
        <v>2750</v>
      </c>
      <c r="E7" s="29">
        <v>25782.322499999998</v>
      </c>
      <c r="F7" s="30">
        <v>10.4170544445836</v>
      </c>
      <c r="G7" s="29">
        <v>13.2049</v>
      </c>
    </row>
    <row r="8" spans="1:7" x14ac:dyDescent="0.2">
      <c r="A8" s="27" t="s">
        <v>1011</v>
      </c>
      <c r="B8" s="27" t="s">
        <v>1012</v>
      </c>
      <c r="C8" s="27" t="s">
        <v>1013</v>
      </c>
      <c r="D8" s="31">
        <v>1112</v>
      </c>
      <c r="E8" s="29">
        <v>11016.77304</v>
      </c>
      <c r="F8" s="30">
        <v>4.4512019644972396</v>
      </c>
      <c r="G8" s="29">
        <v>11.151899999999999</v>
      </c>
    </row>
    <row r="9" spans="1:7" x14ac:dyDescent="0.2">
      <c r="A9" s="27" t="s">
        <v>1014</v>
      </c>
      <c r="B9" s="27" t="s">
        <v>1015</v>
      </c>
      <c r="C9" s="27" t="s">
        <v>986</v>
      </c>
      <c r="D9" s="31">
        <v>1000</v>
      </c>
      <c r="E9" s="29">
        <v>10024.34</v>
      </c>
      <c r="F9" s="30">
        <v>4.0502206715868097</v>
      </c>
      <c r="G9" s="29">
        <v>12.249700000000001</v>
      </c>
    </row>
    <row r="10" spans="1:7" x14ac:dyDescent="0.2">
      <c r="A10" s="27" t="s">
        <v>1016</v>
      </c>
      <c r="B10" s="27" t="s">
        <v>1017</v>
      </c>
      <c r="C10" s="27" t="s">
        <v>39</v>
      </c>
      <c r="D10" s="31">
        <v>1000</v>
      </c>
      <c r="E10" s="29">
        <v>9918.85</v>
      </c>
      <c r="F10" s="30">
        <v>4.00759863575745</v>
      </c>
      <c r="G10" s="29">
        <v>16.4498</v>
      </c>
    </row>
    <row r="11" spans="1:7" x14ac:dyDescent="0.2">
      <c r="A11" s="27" t="s">
        <v>1018</v>
      </c>
      <c r="B11" s="27" t="s">
        <v>1019</v>
      </c>
      <c r="C11" s="27" t="s">
        <v>1013</v>
      </c>
      <c r="D11" s="31">
        <v>4810</v>
      </c>
      <c r="E11" s="29">
        <v>9561.0390200000002</v>
      </c>
      <c r="F11" s="30">
        <v>3.8630291750531298</v>
      </c>
      <c r="G11" s="29">
        <v>10.8696</v>
      </c>
    </row>
    <row r="12" spans="1:7" x14ac:dyDescent="0.2">
      <c r="A12" s="27" t="s">
        <v>1020</v>
      </c>
      <c r="B12" s="27" t="s">
        <v>1021</v>
      </c>
      <c r="C12" s="27" t="s">
        <v>1022</v>
      </c>
      <c r="D12" s="31">
        <v>1000</v>
      </c>
      <c r="E12" s="29">
        <v>8523.0128000000004</v>
      </c>
      <c r="F12" s="30">
        <v>3.4436264758337201</v>
      </c>
      <c r="G12" s="29">
        <v>12.2127</v>
      </c>
    </row>
    <row r="13" spans="1:7" x14ac:dyDescent="0.2">
      <c r="A13" s="27" t="s">
        <v>1023</v>
      </c>
      <c r="B13" s="27" t="s">
        <v>1024</v>
      </c>
      <c r="C13" s="27" t="s">
        <v>1025</v>
      </c>
      <c r="D13" s="31">
        <v>990</v>
      </c>
      <c r="E13" s="29">
        <v>8498.2194</v>
      </c>
      <c r="F13" s="30">
        <v>3.43360898428825</v>
      </c>
      <c r="G13" s="29">
        <v>12.919</v>
      </c>
    </row>
    <row r="14" spans="1:7" x14ac:dyDescent="0.2">
      <c r="A14" s="27" t="s">
        <v>60</v>
      </c>
      <c r="B14" s="27" t="s">
        <v>59</v>
      </c>
      <c r="C14" s="27" t="s">
        <v>39</v>
      </c>
      <c r="D14" s="31">
        <v>800</v>
      </c>
      <c r="E14" s="29">
        <v>7746.1279999999997</v>
      </c>
      <c r="F14" s="30">
        <v>3.1297350000456299</v>
      </c>
      <c r="G14" s="29">
        <v>12.0749</v>
      </c>
    </row>
    <row r="15" spans="1:7" x14ac:dyDescent="0.2">
      <c r="A15" s="27" t="s">
        <v>1026</v>
      </c>
      <c r="B15" s="27" t="s">
        <v>1027</v>
      </c>
      <c r="C15" s="27" t="s">
        <v>1025</v>
      </c>
      <c r="D15" s="31">
        <v>937</v>
      </c>
      <c r="E15" s="29">
        <v>7383.230176</v>
      </c>
      <c r="F15" s="30">
        <v>2.9831102578243298</v>
      </c>
      <c r="G15" s="29">
        <v>11.154500000000001</v>
      </c>
    </row>
    <row r="16" spans="1:7" x14ac:dyDescent="0.2">
      <c r="A16" s="27" t="s">
        <v>1028</v>
      </c>
      <c r="B16" s="27" t="s">
        <v>1029</v>
      </c>
      <c r="C16" s="27" t="s">
        <v>36</v>
      </c>
      <c r="D16" s="31">
        <v>600</v>
      </c>
      <c r="E16" s="29">
        <v>6112.3559999999998</v>
      </c>
      <c r="F16" s="30">
        <v>2.4696279878074399</v>
      </c>
      <c r="G16" s="29">
        <v>4.41</v>
      </c>
    </row>
    <row r="17" spans="1:7" x14ac:dyDescent="0.2">
      <c r="A17" s="27" t="s">
        <v>1030</v>
      </c>
      <c r="B17" s="27" t="s">
        <v>1031</v>
      </c>
      <c r="C17" s="27" t="s">
        <v>1022</v>
      </c>
      <c r="D17" s="31">
        <v>560</v>
      </c>
      <c r="E17" s="29">
        <v>5632.4967999999999</v>
      </c>
      <c r="F17" s="30">
        <v>2.2757463306318999</v>
      </c>
      <c r="G17" s="29">
        <v>12.074999999999999</v>
      </c>
    </row>
    <row r="18" spans="1:7" x14ac:dyDescent="0.2">
      <c r="A18" s="27" t="s">
        <v>1032</v>
      </c>
      <c r="B18" s="27" t="s">
        <v>1033</v>
      </c>
      <c r="C18" s="27" t="s">
        <v>1034</v>
      </c>
      <c r="D18" s="31">
        <v>560</v>
      </c>
      <c r="E18" s="29">
        <v>5559.1592000000001</v>
      </c>
      <c r="F18" s="30">
        <v>2.2461151066785399</v>
      </c>
      <c r="G18" s="29">
        <v>9.5549999999999997</v>
      </c>
    </row>
    <row r="19" spans="1:7" x14ac:dyDescent="0.2">
      <c r="A19" s="27" t="s">
        <v>1035</v>
      </c>
      <c r="B19" s="27" t="s">
        <v>1036</v>
      </c>
      <c r="C19" s="27" t="s">
        <v>1037</v>
      </c>
      <c r="D19" s="31">
        <v>537</v>
      </c>
      <c r="E19" s="29">
        <v>5424.0329400000001</v>
      </c>
      <c r="F19" s="30">
        <v>2.1915188767495701</v>
      </c>
      <c r="G19" s="29">
        <v>10.483700000000001</v>
      </c>
    </row>
    <row r="20" spans="1:7" x14ac:dyDescent="0.2">
      <c r="A20" s="27" t="s">
        <v>1038</v>
      </c>
      <c r="B20" s="27" t="s">
        <v>1039</v>
      </c>
      <c r="C20" s="27" t="s">
        <v>1040</v>
      </c>
      <c r="D20" s="31">
        <v>385</v>
      </c>
      <c r="E20" s="29">
        <v>4865.1679999999997</v>
      </c>
      <c r="F20" s="30">
        <v>1.96571584806009</v>
      </c>
      <c r="G20" s="29">
        <v>10.8049</v>
      </c>
    </row>
    <row r="21" spans="1:7" x14ac:dyDescent="0.2">
      <c r="A21" s="27" t="s">
        <v>1041</v>
      </c>
      <c r="B21" s="27" t="s">
        <v>1042</v>
      </c>
      <c r="C21" s="27" t="s">
        <v>36</v>
      </c>
      <c r="D21" s="31">
        <v>450</v>
      </c>
      <c r="E21" s="29">
        <v>4152.6405000000004</v>
      </c>
      <c r="F21" s="30">
        <v>1.6778272080524601</v>
      </c>
      <c r="G21" s="29">
        <v>12.0061</v>
      </c>
    </row>
    <row r="22" spans="1:7" x14ac:dyDescent="0.2">
      <c r="A22" s="27" t="s">
        <v>1043</v>
      </c>
      <c r="B22" s="27" t="s">
        <v>1044</v>
      </c>
      <c r="C22" s="27" t="s">
        <v>1045</v>
      </c>
      <c r="D22" s="31">
        <v>450</v>
      </c>
      <c r="E22" s="29">
        <v>3769.3710000000001</v>
      </c>
      <c r="F22" s="30">
        <v>1.52297152162435</v>
      </c>
      <c r="G22" s="29">
        <v>21.105499999999999</v>
      </c>
    </row>
    <row r="23" spans="1:7" x14ac:dyDescent="0.2">
      <c r="A23" s="27" t="s">
        <v>1046</v>
      </c>
      <c r="B23" s="27" t="s">
        <v>1047</v>
      </c>
      <c r="C23" s="27" t="s">
        <v>1025</v>
      </c>
      <c r="D23" s="31">
        <v>475</v>
      </c>
      <c r="E23" s="29">
        <v>3742.2438000000002</v>
      </c>
      <c r="F23" s="30">
        <v>1.5120110847075801</v>
      </c>
      <c r="G23" s="29">
        <v>11.154400000000001</v>
      </c>
    </row>
    <row r="24" spans="1:7" x14ac:dyDescent="0.2">
      <c r="A24" s="27" t="s">
        <v>41</v>
      </c>
      <c r="B24" s="27" t="s">
        <v>40</v>
      </c>
      <c r="C24" s="27" t="s">
        <v>39</v>
      </c>
      <c r="D24" s="31">
        <v>290</v>
      </c>
      <c r="E24" s="29">
        <v>3084.0079000000001</v>
      </c>
      <c r="F24" s="30">
        <v>1.2460583487707899</v>
      </c>
      <c r="G24" s="29">
        <v>7.0876000000000001</v>
      </c>
    </row>
    <row r="25" spans="1:7" x14ac:dyDescent="0.2">
      <c r="A25" s="27" t="s">
        <v>1048</v>
      </c>
      <c r="B25" s="27" t="s">
        <v>1049</v>
      </c>
      <c r="C25" s="27" t="s">
        <v>1013</v>
      </c>
      <c r="D25" s="31">
        <v>300</v>
      </c>
      <c r="E25" s="29">
        <v>2961.9119999999998</v>
      </c>
      <c r="F25" s="30">
        <v>1.19672688773735</v>
      </c>
      <c r="G25" s="29">
        <v>11.0603</v>
      </c>
    </row>
    <row r="26" spans="1:7" x14ac:dyDescent="0.2">
      <c r="A26" s="27" t="s">
        <v>1050</v>
      </c>
      <c r="B26" s="27" t="s">
        <v>1051</v>
      </c>
      <c r="C26" s="27" t="s">
        <v>1013</v>
      </c>
      <c r="D26" s="31">
        <v>270</v>
      </c>
      <c r="E26" s="29">
        <v>2639.3769000000002</v>
      </c>
      <c r="F26" s="30">
        <v>1.0664102455113</v>
      </c>
      <c r="G26" s="29">
        <v>11.1968</v>
      </c>
    </row>
    <row r="27" spans="1:7" x14ac:dyDescent="0.2">
      <c r="A27" s="27" t="s">
        <v>1052</v>
      </c>
      <c r="B27" s="27" t="s">
        <v>1053</v>
      </c>
      <c r="C27" s="27" t="s">
        <v>1022</v>
      </c>
      <c r="D27" s="31">
        <v>250</v>
      </c>
      <c r="E27" s="29">
        <v>2515.7550000000001</v>
      </c>
      <c r="F27" s="30">
        <v>1.01646222151761</v>
      </c>
      <c r="G27" s="29">
        <v>11.803900000000001</v>
      </c>
    </row>
    <row r="28" spans="1:7" x14ac:dyDescent="0.2">
      <c r="A28" s="27" t="s">
        <v>1054</v>
      </c>
      <c r="B28" s="27" t="s">
        <v>1055</v>
      </c>
      <c r="C28" s="27" t="s">
        <v>39</v>
      </c>
      <c r="D28" s="31">
        <v>250</v>
      </c>
      <c r="E28" s="29">
        <v>2465.1525000000001</v>
      </c>
      <c r="F28" s="30">
        <v>0.99601685638295401</v>
      </c>
      <c r="G28" s="29">
        <v>11.3492</v>
      </c>
    </row>
    <row r="29" spans="1:7" x14ac:dyDescent="0.2">
      <c r="A29" s="27" t="s">
        <v>1056</v>
      </c>
      <c r="B29" s="27" t="s">
        <v>1044</v>
      </c>
      <c r="C29" s="27" t="s">
        <v>1045</v>
      </c>
      <c r="D29" s="31">
        <v>250</v>
      </c>
      <c r="E29" s="29">
        <v>2092.0225</v>
      </c>
      <c r="F29" s="30">
        <v>0.84525791971588304</v>
      </c>
      <c r="G29" s="29">
        <v>21.178999999999998</v>
      </c>
    </row>
    <row r="30" spans="1:7" x14ac:dyDescent="0.2">
      <c r="A30" s="27" t="s">
        <v>1057</v>
      </c>
      <c r="B30" s="27" t="s">
        <v>1058</v>
      </c>
      <c r="C30" s="27" t="s">
        <v>36</v>
      </c>
      <c r="D30" s="31">
        <v>200</v>
      </c>
      <c r="E30" s="29">
        <v>1970.0119999999999</v>
      </c>
      <c r="F30" s="30">
        <v>0.79596096358204804</v>
      </c>
      <c r="G30" s="29">
        <v>12.0846</v>
      </c>
    </row>
    <row r="31" spans="1:7" x14ac:dyDescent="0.2">
      <c r="A31" s="27" t="s">
        <v>1059</v>
      </c>
      <c r="B31" s="27" t="s">
        <v>1060</v>
      </c>
      <c r="C31" s="27" t="s">
        <v>1040</v>
      </c>
      <c r="D31" s="31">
        <v>150</v>
      </c>
      <c r="E31" s="29">
        <v>1919.037</v>
      </c>
      <c r="F31" s="30">
        <v>0.77536509405506304</v>
      </c>
      <c r="G31" s="29">
        <v>10.74</v>
      </c>
    </row>
    <row r="32" spans="1:7" x14ac:dyDescent="0.2">
      <c r="A32" s="27" t="s">
        <v>875</v>
      </c>
      <c r="B32" s="27" t="s">
        <v>876</v>
      </c>
      <c r="C32" s="27" t="s">
        <v>877</v>
      </c>
      <c r="D32" s="31">
        <v>170</v>
      </c>
      <c r="E32" s="29">
        <v>1876.8271999999999</v>
      </c>
      <c r="F32" s="30">
        <v>0.75831070399012701</v>
      </c>
      <c r="G32" s="29">
        <v>8.0469000000000008</v>
      </c>
    </row>
    <row r="33" spans="1:9" x14ac:dyDescent="0.2">
      <c r="A33" s="27" t="s">
        <v>1061</v>
      </c>
      <c r="B33" s="27" t="s">
        <v>1062</v>
      </c>
      <c r="C33" s="27" t="s">
        <v>1013</v>
      </c>
      <c r="D33" s="31">
        <v>160</v>
      </c>
      <c r="E33" s="29">
        <v>1597.2991999999999</v>
      </c>
      <c r="F33" s="30">
        <v>0.64537059183438195</v>
      </c>
      <c r="G33" s="29">
        <v>10.775499999999999</v>
      </c>
    </row>
    <row r="34" spans="1:9" x14ac:dyDescent="0.2">
      <c r="A34" s="27" t="s">
        <v>1063</v>
      </c>
      <c r="B34" s="27" t="s">
        <v>1064</v>
      </c>
      <c r="C34" s="27" t="s">
        <v>986</v>
      </c>
      <c r="D34" s="31">
        <v>140</v>
      </c>
      <c r="E34" s="29">
        <v>1413.3742</v>
      </c>
      <c r="F34" s="30">
        <v>0.57105778550283304</v>
      </c>
      <c r="G34" s="29">
        <v>9.8941999999999997</v>
      </c>
    </row>
    <row r="35" spans="1:9" x14ac:dyDescent="0.2">
      <c r="A35" s="27" t="s">
        <v>1065</v>
      </c>
      <c r="B35" s="27" t="s">
        <v>1066</v>
      </c>
      <c r="C35" s="27" t="s">
        <v>1022</v>
      </c>
      <c r="D35" s="31">
        <v>2500</v>
      </c>
      <c r="E35" s="29">
        <v>1070.592858</v>
      </c>
      <c r="F35" s="30">
        <v>0.43256087925238002</v>
      </c>
      <c r="G35" s="29">
        <v>10.62355</v>
      </c>
    </row>
    <row r="36" spans="1:9" x14ac:dyDescent="0.2">
      <c r="A36" s="27" t="s">
        <v>1067</v>
      </c>
      <c r="B36" s="27" t="s">
        <v>1068</v>
      </c>
      <c r="C36" s="27" t="s">
        <v>36</v>
      </c>
      <c r="D36" s="31">
        <v>100</v>
      </c>
      <c r="E36" s="29">
        <v>1004.5069999999999</v>
      </c>
      <c r="F36" s="30">
        <v>0.405859639253422</v>
      </c>
      <c r="G36" s="29">
        <v>10.7118</v>
      </c>
    </row>
    <row r="37" spans="1:9" x14ac:dyDescent="0.2">
      <c r="A37" s="27" t="s">
        <v>1069</v>
      </c>
      <c r="B37" s="27" t="s">
        <v>1070</v>
      </c>
      <c r="C37" s="27" t="s">
        <v>1025</v>
      </c>
      <c r="D37" s="31">
        <v>20</v>
      </c>
      <c r="E37" s="29">
        <v>205.6534</v>
      </c>
      <c r="F37" s="30">
        <v>8.3091919454259394E-2</v>
      </c>
      <c r="G37" s="29">
        <v>6.5594999999999999</v>
      </c>
    </row>
    <row r="38" spans="1:9" x14ac:dyDescent="0.2">
      <c r="A38" s="27" t="s">
        <v>94</v>
      </c>
      <c r="B38" s="27" t="s">
        <v>93</v>
      </c>
      <c r="C38" s="27" t="s">
        <v>42</v>
      </c>
      <c r="D38" s="31">
        <v>5</v>
      </c>
      <c r="E38" s="29">
        <v>56.261749999999999</v>
      </c>
      <c r="F38" s="30">
        <v>2.2731920791757801E-2</v>
      </c>
      <c r="G38" s="29">
        <v>6.84</v>
      </c>
    </row>
    <row r="39" spans="1:9" ht="10.5" x14ac:dyDescent="0.25">
      <c r="A39" s="26" t="s">
        <v>43</v>
      </c>
      <c r="B39" s="26"/>
      <c r="C39" s="26"/>
      <c r="D39" s="32"/>
      <c r="E39" s="33">
        <f>SUM(E6:E38)</f>
        <v>164583.17458399999</v>
      </c>
      <c r="F39" s="34">
        <f>SUM(F6:F38)</f>
        <v>66.497961551134225</v>
      </c>
      <c r="G39" s="33"/>
      <c r="H39" s="18"/>
      <c r="I39" s="18"/>
    </row>
    <row r="40" spans="1:9" x14ac:dyDescent="0.2">
      <c r="A40" s="27"/>
      <c r="B40" s="27"/>
      <c r="C40" s="27"/>
      <c r="D40" s="28"/>
      <c r="E40" s="29"/>
      <c r="F40" s="30"/>
      <c r="G40" s="29"/>
    </row>
    <row r="41" spans="1:9" ht="10.5" x14ac:dyDescent="0.25">
      <c r="A41" s="26" t="s">
        <v>44</v>
      </c>
      <c r="B41" s="27"/>
      <c r="C41" s="27"/>
      <c r="D41" s="28"/>
      <c r="E41" s="29"/>
      <c r="F41" s="30"/>
      <c r="G41" s="29"/>
    </row>
    <row r="42" spans="1:9" x14ac:dyDescent="0.2">
      <c r="A42" s="27" t="s">
        <v>1071</v>
      </c>
      <c r="B42" s="27" t="s">
        <v>1072</v>
      </c>
      <c r="C42" s="27" t="s">
        <v>1073</v>
      </c>
      <c r="D42" s="31">
        <v>550</v>
      </c>
      <c r="E42" s="29">
        <v>4934.8474999999999</v>
      </c>
      <c r="F42" s="30">
        <v>1.99386905827501</v>
      </c>
      <c r="G42" s="29">
        <v>26.074999999999999</v>
      </c>
    </row>
    <row r="43" spans="1:9" x14ac:dyDescent="0.2">
      <c r="A43" s="27" t="s">
        <v>1074</v>
      </c>
      <c r="B43" s="27" t="s">
        <v>1075</v>
      </c>
      <c r="C43" s="27" t="s">
        <v>1073</v>
      </c>
      <c r="D43" s="31">
        <v>450</v>
      </c>
      <c r="E43" s="29">
        <v>4046.6970000000001</v>
      </c>
      <c r="F43" s="30">
        <v>1.6350219407011699</v>
      </c>
      <c r="G43" s="29">
        <v>26.074999999999999</v>
      </c>
    </row>
    <row r="44" spans="1:9" x14ac:dyDescent="0.2">
      <c r="A44" s="27" t="s">
        <v>1076</v>
      </c>
      <c r="B44" s="27" t="s">
        <v>1077</v>
      </c>
      <c r="C44" s="27" t="s">
        <v>1073</v>
      </c>
      <c r="D44" s="31">
        <v>440</v>
      </c>
      <c r="E44" s="29">
        <v>3975.238625</v>
      </c>
      <c r="F44" s="30">
        <v>1.60614999625565</v>
      </c>
      <c r="G44" s="29">
        <v>11.6548</v>
      </c>
    </row>
    <row r="45" spans="1:9" x14ac:dyDescent="0.2">
      <c r="A45" s="27" t="s">
        <v>1078</v>
      </c>
      <c r="B45" s="27" t="s">
        <v>1079</v>
      </c>
      <c r="C45" s="27" t="s">
        <v>1073</v>
      </c>
      <c r="D45" s="31">
        <v>450</v>
      </c>
      <c r="E45" s="29">
        <v>3869.3287129999999</v>
      </c>
      <c r="F45" s="30">
        <v>1.5633582997541</v>
      </c>
      <c r="G45" s="29">
        <v>11.6525</v>
      </c>
    </row>
    <row r="46" spans="1:9" x14ac:dyDescent="0.2">
      <c r="A46" s="27" t="s">
        <v>1080</v>
      </c>
      <c r="B46" s="27" t="s">
        <v>1081</v>
      </c>
      <c r="C46" s="27" t="s">
        <v>1082</v>
      </c>
      <c r="D46" s="31">
        <v>390</v>
      </c>
      <c r="E46" s="29">
        <v>3866.6705999999999</v>
      </c>
      <c r="F46" s="30">
        <v>1.56228431940028</v>
      </c>
      <c r="G46" s="29">
        <v>9.98</v>
      </c>
    </row>
    <row r="47" spans="1:9" x14ac:dyDescent="0.2">
      <c r="A47" s="27" t="s">
        <v>1083</v>
      </c>
      <c r="B47" s="27" t="s">
        <v>1084</v>
      </c>
      <c r="C47" s="27" t="s">
        <v>1085</v>
      </c>
      <c r="D47" s="31">
        <v>400</v>
      </c>
      <c r="E47" s="29">
        <v>3777.848</v>
      </c>
      <c r="F47" s="30">
        <v>1.5263965571511799</v>
      </c>
      <c r="G47" s="29">
        <v>12.1</v>
      </c>
    </row>
    <row r="48" spans="1:9" x14ac:dyDescent="0.2">
      <c r="A48" s="27" t="s">
        <v>1086</v>
      </c>
      <c r="B48" s="27" t="s">
        <v>1087</v>
      </c>
      <c r="C48" s="27" t="s">
        <v>1088</v>
      </c>
      <c r="D48" s="31">
        <v>400</v>
      </c>
      <c r="E48" s="29">
        <v>3014.4588840000001</v>
      </c>
      <c r="F48" s="30">
        <v>1.2179578591333999</v>
      </c>
      <c r="G48" s="29">
        <v>11.255000000000001</v>
      </c>
    </row>
    <row r="49" spans="1:9" x14ac:dyDescent="0.2">
      <c r="A49" s="27" t="s">
        <v>1089</v>
      </c>
      <c r="B49" s="27" t="s">
        <v>1090</v>
      </c>
      <c r="C49" s="27" t="s">
        <v>1082</v>
      </c>
      <c r="D49" s="31">
        <v>10</v>
      </c>
      <c r="E49" s="29">
        <v>1016.647</v>
      </c>
      <c r="F49" s="30">
        <v>0.41076466830801001</v>
      </c>
      <c r="G49" s="29">
        <v>8.6892999999999994</v>
      </c>
    </row>
    <row r="50" spans="1:9" x14ac:dyDescent="0.2">
      <c r="A50" s="27" t="s">
        <v>1091</v>
      </c>
      <c r="B50" s="27" t="s">
        <v>1092</v>
      </c>
      <c r="C50" s="27" t="s">
        <v>1073</v>
      </c>
      <c r="D50" s="31">
        <v>100</v>
      </c>
      <c r="E50" s="29">
        <v>1012.474</v>
      </c>
      <c r="F50" s="30">
        <v>0.409078615075325</v>
      </c>
      <c r="G50" s="29">
        <v>12.61</v>
      </c>
    </row>
    <row r="51" spans="1:9" x14ac:dyDescent="0.2">
      <c r="A51" s="27" t="s">
        <v>1093</v>
      </c>
      <c r="B51" s="27" t="s">
        <v>1094</v>
      </c>
      <c r="C51" s="27" t="s">
        <v>1082</v>
      </c>
      <c r="D51" s="31">
        <v>100</v>
      </c>
      <c r="E51" s="29">
        <v>992.77700000000004</v>
      </c>
      <c r="F51" s="30">
        <v>0.40112026604005202</v>
      </c>
      <c r="G51" s="29">
        <v>9.9250000000000007</v>
      </c>
    </row>
    <row r="52" spans="1:9" x14ac:dyDescent="0.2">
      <c r="A52" s="27" t="s">
        <v>1095</v>
      </c>
      <c r="B52" s="27" t="s">
        <v>1096</v>
      </c>
      <c r="C52" s="27" t="s">
        <v>1073</v>
      </c>
      <c r="D52" s="31">
        <v>50</v>
      </c>
      <c r="E52" s="29">
        <v>442.363854</v>
      </c>
      <c r="F52" s="30">
        <v>0.17873208867951501</v>
      </c>
      <c r="G52" s="29">
        <v>11.6548</v>
      </c>
    </row>
    <row r="53" spans="1:9" x14ac:dyDescent="0.2">
      <c r="A53" s="27" t="s">
        <v>1097</v>
      </c>
      <c r="B53" s="27" t="s">
        <v>1098</v>
      </c>
      <c r="C53" s="27" t="s">
        <v>1099</v>
      </c>
      <c r="D53" s="31">
        <v>321</v>
      </c>
      <c r="E53" s="29">
        <v>42.018900000000002</v>
      </c>
      <c r="F53" s="30">
        <v>1.6977259089111001E-2</v>
      </c>
      <c r="G53" s="29">
        <v>0</v>
      </c>
    </row>
    <row r="54" spans="1:9" x14ac:dyDescent="0.2">
      <c r="A54" s="27" t="s">
        <v>1100</v>
      </c>
      <c r="B54" s="27" t="s">
        <v>1101</v>
      </c>
      <c r="C54" s="27" t="s">
        <v>1102</v>
      </c>
      <c r="D54" s="31">
        <v>250</v>
      </c>
      <c r="E54" s="29">
        <v>0</v>
      </c>
      <c r="F54" s="29">
        <v>0</v>
      </c>
      <c r="G54" s="29">
        <v>0</v>
      </c>
    </row>
    <row r="55" spans="1:9" x14ac:dyDescent="0.2">
      <c r="A55" s="27" t="s">
        <v>1103</v>
      </c>
      <c r="B55" s="27" t="s">
        <v>1104</v>
      </c>
      <c r="C55" s="27" t="s">
        <v>1102</v>
      </c>
      <c r="D55" s="31">
        <v>250</v>
      </c>
      <c r="E55" s="29">
        <v>0</v>
      </c>
      <c r="F55" s="29">
        <v>0</v>
      </c>
      <c r="G55" s="29">
        <v>0</v>
      </c>
    </row>
    <row r="56" spans="1:9" x14ac:dyDescent="0.2">
      <c r="A56" s="27" t="s">
        <v>1105</v>
      </c>
      <c r="B56" s="27" t="s">
        <v>1106</v>
      </c>
      <c r="C56" s="27" t="s">
        <v>1102</v>
      </c>
      <c r="D56" s="31">
        <v>600</v>
      </c>
      <c r="E56" s="29">
        <v>0</v>
      </c>
      <c r="F56" s="29">
        <v>0</v>
      </c>
      <c r="G56" s="29">
        <v>0</v>
      </c>
    </row>
    <row r="57" spans="1:9" x14ac:dyDescent="0.2">
      <c r="A57" s="27" t="s">
        <v>1107</v>
      </c>
      <c r="B57" s="27" t="s">
        <v>1108</v>
      </c>
      <c r="C57" s="27" t="s">
        <v>1102</v>
      </c>
      <c r="D57" s="31">
        <v>250</v>
      </c>
      <c r="E57" s="29">
        <v>0</v>
      </c>
      <c r="F57" s="29">
        <v>0</v>
      </c>
      <c r="G57" s="29">
        <v>0</v>
      </c>
    </row>
    <row r="58" spans="1:9" ht="10.5" x14ac:dyDescent="0.25">
      <c r="A58" s="26" t="s">
        <v>43</v>
      </c>
      <c r="B58" s="26"/>
      <c r="C58" s="26"/>
      <c r="D58" s="32"/>
      <c r="E58" s="33">
        <f>SUM(E41:E57)</f>
        <v>30991.370075999999</v>
      </c>
      <c r="F58" s="34">
        <f>SUM(F41:F57)</f>
        <v>12.521710927862804</v>
      </c>
      <c r="G58" s="33"/>
      <c r="H58" s="18"/>
      <c r="I58" s="18"/>
    </row>
    <row r="59" spans="1:9" x14ac:dyDescent="0.2">
      <c r="A59" s="27"/>
      <c r="B59" s="27"/>
      <c r="C59" s="27"/>
      <c r="D59" s="28"/>
      <c r="E59" s="29"/>
      <c r="F59" s="30"/>
      <c r="G59" s="29"/>
    </row>
    <row r="60" spans="1:9" ht="10.5" x14ac:dyDescent="0.25">
      <c r="A60" s="26" t="s">
        <v>48</v>
      </c>
      <c r="B60" s="26"/>
      <c r="C60" s="26"/>
      <c r="D60" s="32"/>
      <c r="E60" s="33">
        <f>E39+E58</f>
        <v>195574.54465999999</v>
      </c>
      <c r="F60" s="34">
        <f>F39+F58</f>
        <v>79.019672478997023</v>
      </c>
      <c r="G60" s="33"/>
      <c r="H60" s="18"/>
      <c r="I60" s="18"/>
    </row>
    <row r="61" spans="1:9" ht="10.5" x14ac:dyDescent="0.25">
      <c r="A61" s="26"/>
      <c r="B61" s="26"/>
      <c r="C61" s="26"/>
      <c r="D61" s="32"/>
      <c r="E61" s="33"/>
      <c r="F61" s="34"/>
      <c r="G61" s="33"/>
      <c r="H61" s="18"/>
      <c r="I61" s="18"/>
    </row>
    <row r="62" spans="1:9" ht="10.5" x14ac:dyDescent="0.25">
      <c r="A62" s="26" t="s">
        <v>50</v>
      </c>
      <c r="B62" s="26"/>
      <c r="C62" s="26"/>
      <c r="D62" s="32"/>
      <c r="E62" s="33">
        <f>E64-(E39+E58)</f>
        <v>51926.537696400017</v>
      </c>
      <c r="F62" s="34">
        <f>F64-(F39+F58)</f>
        <v>20.980327521002977</v>
      </c>
      <c r="G62" s="33"/>
      <c r="H62" s="18"/>
      <c r="I62" s="18"/>
    </row>
    <row r="63" spans="1:9" ht="10.5" x14ac:dyDescent="0.25">
      <c r="A63" s="26"/>
      <c r="B63" s="26"/>
      <c r="C63" s="26"/>
      <c r="D63" s="32"/>
      <c r="E63" s="33"/>
      <c r="F63" s="34"/>
      <c r="G63" s="33"/>
      <c r="H63" s="18"/>
      <c r="I63" s="18"/>
    </row>
    <row r="64" spans="1:9" ht="10.5" x14ac:dyDescent="0.25">
      <c r="A64" s="35" t="s">
        <v>49</v>
      </c>
      <c r="B64" s="35"/>
      <c r="C64" s="35"/>
      <c r="D64" s="36"/>
      <c r="E64" s="37">
        <v>247501.0823564</v>
      </c>
      <c r="F64" s="38">
        <v>100</v>
      </c>
      <c r="G64" s="37"/>
      <c r="H64" s="18"/>
      <c r="I64" s="18"/>
    </row>
    <row r="65" spans="1:6" ht="10.5" x14ac:dyDescent="0.25">
      <c r="F65" s="20"/>
    </row>
    <row r="66" spans="1:6" ht="10.5" x14ac:dyDescent="0.25">
      <c r="A66" s="18" t="s">
        <v>766</v>
      </c>
    </row>
    <row r="67" spans="1:6" ht="10.5" x14ac:dyDescent="0.25">
      <c r="A67" s="18" t="s">
        <v>1109</v>
      </c>
    </row>
    <row r="68" spans="1:6" ht="10.5" x14ac:dyDescent="0.25">
      <c r="A68" s="18" t="s">
        <v>1110</v>
      </c>
    </row>
    <row r="70" spans="1:6" ht="10.5" x14ac:dyDescent="0.25">
      <c r="A70" s="18" t="s">
        <v>51</v>
      </c>
    </row>
    <row r="71" spans="1:6" ht="10.5" x14ac:dyDescent="0.25">
      <c r="A71" s="18" t="s">
        <v>713</v>
      </c>
    </row>
    <row r="72" spans="1:6" ht="10.5" x14ac:dyDescent="0.25">
      <c r="A72" s="18" t="s">
        <v>53</v>
      </c>
      <c r="B72" s="18"/>
      <c r="C72" s="39" t="s">
        <v>55</v>
      </c>
      <c r="D72" s="19" t="s">
        <v>714</v>
      </c>
    </row>
    <row r="73" spans="1:6" x14ac:dyDescent="0.2">
      <c r="A73" s="9" t="s">
        <v>71</v>
      </c>
      <c r="C73" s="40">
        <v>65.007099999999994</v>
      </c>
      <c r="D73" s="40">
        <v>65.972700000000003</v>
      </c>
    </row>
    <row r="74" spans="1:6" x14ac:dyDescent="0.2">
      <c r="A74" s="9" t="s">
        <v>77</v>
      </c>
      <c r="C74" s="40">
        <v>10.744899999999999</v>
      </c>
      <c r="D74" s="40">
        <v>10.904500000000001</v>
      </c>
    </row>
    <row r="75" spans="1:6" x14ac:dyDescent="0.2">
      <c r="A75" s="9" t="s">
        <v>74</v>
      </c>
      <c r="C75" s="40">
        <v>69.011700000000005</v>
      </c>
      <c r="D75" s="40">
        <v>70.316699999999997</v>
      </c>
    </row>
    <row r="76" spans="1:6" x14ac:dyDescent="0.2">
      <c r="A76" s="9" t="s">
        <v>78</v>
      </c>
      <c r="C76" s="40">
        <v>11.6317</v>
      </c>
      <c r="D76" s="40">
        <v>11.851599999999999</v>
      </c>
    </row>
    <row r="78" spans="1:6" ht="10.5" x14ac:dyDescent="0.25">
      <c r="A78" s="18" t="s">
        <v>715</v>
      </c>
      <c r="D78" s="41" t="s">
        <v>57</v>
      </c>
    </row>
    <row r="80" spans="1:6" ht="10.5" x14ac:dyDescent="0.25">
      <c r="A80" s="18" t="s">
        <v>785</v>
      </c>
      <c r="D80" s="42">
        <v>2.14818280345205</v>
      </c>
      <c r="E80" s="13" t="s">
        <v>58</v>
      </c>
    </row>
    <row r="82" spans="1:7" ht="10.5" x14ac:dyDescent="0.25">
      <c r="A82" s="18" t="s">
        <v>786</v>
      </c>
      <c r="D82" s="19">
        <v>1</v>
      </c>
    </row>
    <row r="83" spans="1:7" x14ac:dyDescent="0.2">
      <c r="A83" s="9" t="s">
        <v>1111</v>
      </c>
    </row>
    <row r="84" spans="1:7" x14ac:dyDescent="0.2">
      <c r="A84" s="59" t="s">
        <v>1112</v>
      </c>
    </row>
    <row r="86" spans="1:7" ht="40" customHeight="1" x14ac:dyDescent="0.2">
      <c r="A86" s="83" t="s">
        <v>1113</v>
      </c>
      <c r="B86" s="83"/>
      <c r="C86" s="83"/>
      <c r="D86" s="83"/>
      <c r="E86" s="83"/>
      <c r="F86" s="83"/>
      <c r="G86" s="83"/>
    </row>
    <row r="87" spans="1:7" x14ac:dyDescent="0.2">
      <c r="A87" s="60" t="s">
        <v>1114</v>
      </c>
    </row>
    <row r="88" spans="1:7" x14ac:dyDescent="0.2">
      <c r="A88" s="60"/>
    </row>
    <row r="89" spans="1:7" ht="50.15" customHeight="1" x14ac:dyDescent="0.2">
      <c r="A89" s="84" t="s">
        <v>1115</v>
      </c>
      <c r="B89" s="84"/>
      <c r="C89" s="84"/>
      <c r="D89" s="84"/>
      <c r="E89" s="84"/>
      <c r="F89" s="84"/>
      <c r="G89" s="84"/>
    </row>
    <row r="90" spans="1:7" ht="10.5" x14ac:dyDescent="0.2">
      <c r="A90" s="57" t="s">
        <v>1116</v>
      </c>
      <c r="B90" s="61"/>
      <c r="C90" s="61"/>
      <c r="D90" s="61"/>
      <c r="E90" s="61"/>
      <c r="F90" s="61"/>
    </row>
    <row r="91" spans="1:7" x14ac:dyDescent="0.2">
      <c r="A91" s="85" t="s">
        <v>1117</v>
      </c>
      <c r="B91" s="85"/>
      <c r="C91" s="85"/>
      <c r="D91" s="85"/>
      <c r="E91" s="85"/>
      <c r="F91" s="85"/>
    </row>
    <row r="92" spans="1:7" x14ac:dyDescent="0.2">
      <c r="A92" s="60"/>
    </row>
    <row r="93" spans="1:7" ht="25" customHeight="1" x14ac:dyDescent="0.2">
      <c r="A93" s="83" t="s">
        <v>1118</v>
      </c>
      <c r="B93" s="83"/>
      <c r="C93" s="83"/>
      <c r="D93" s="83"/>
      <c r="E93" s="83"/>
      <c r="F93" s="83"/>
      <c r="G93" s="83"/>
    </row>
    <row r="97" spans="1:9" s="1" customFormat="1" ht="14" x14ac:dyDescent="0.25">
      <c r="A97" s="79" t="s">
        <v>1119</v>
      </c>
      <c r="B97" s="80"/>
      <c r="C97" s="80"/>
      <c r="D97" s="80"/>
      <c r="E97" s="80"/>
      <c r="F97" s="80"/>
      <c r="G97" s="80"/>
    </row>
    <row r="98" spans="1:9" ht="10.5" x14ac:dyDescent="0.25">
      <c r="A98" s="18" t="s">
        <v>711</v>
      </c>
    </row>
    <row r="99" spans="1:9" s="1" customFormat="1" ht="17.5" customHeight="1" x14ac:dyDescent="0.25">
      <c r="A99" s="8" t="s">
        <v>2</v>
      </c>
      <c r="B99" s="8" t="s">
        <v>0</v>
      </c>
      <c r="C99" s="17" t="s">
        <v>726</v>
      </c>
      <c r="D99" s="16" t="s">
        <v>1</v>
      </c>
      <c r="E99" s="15" t="s">
        <v>3</v>
      </c>
      <c r="F99" s="15" t="s">
        <v>4</v>
      </c>
      <c r="G99" s="15" t="s">
        <v>6</v>
      </c>
    </row>
    <row r="100" spans="1:9" ht="10.5" x14ac:dyDescent="0.25">
      <c r="A100" s="21" t="s">
        <v>32</v>
      </c>
      <c r="B100" s="22"/>
      <c r="C100" s="22"/>
      <c r="D100" s="23"/>
      <c r="E100" s="24"/>
      <c r="F100" s="25"/>
      <c r="G100" s="24"/>
    </row>
    <row r="101" spans="1:9" ht="10.5" x14ac:dyDescent="0.25">
      <c r="A101" s="26" t="s">
        <v>33</v>
      </c>
      <c r="B101" s="27"/>
      <c r="C101" s="27"/>
      <c r="D101" s="28"/>
      <c r="E101" s="29"/>
      <c r="F101" s="30"/>
      <c r="G101" s="29"/>
    </row>
    <row r="102" spans="1:9" x14ac:dyDescent="0.2">
      <c r="A102" s="27" t="s">
        <v>1120</v>
      </c>
      <c r="B102" s="27" t="s">
        <v>1121</v>
      </c>
      <c r="C102" s="27" t="s">
        <v>1122</v>
      </c>
      <c r="D102" s="31">
        <v>940</v>
      </c>
      <c r="E102" s="29">
        <v>0</v>
      </c>
      <c r="F102" s="62">
        <v>100</v>
      </c>
      <c r="G102" s="29">
        <v>0</v>
      </c>
    </row>
    <row r="103" spans="1:9" ht="10.5" x14ac:dyDescent="0.25">
      <c r="A103" s="26" t="s">
        <v>43</v>
      </c>
      <c r="B103" s="26"/>
      <c r="C103" s="26"/>
      <c r="D103" s="32"/>
      <c r="E103" s="33">
        <f>SUM(E101:E102)</f>
        <v>0</v>
      </c>
      <c r="F103" s="63">
        <f>SUM(F101:F102)</f>
        <v>100</v>
      </c>
      <c r="G103" s="33"/>
      <c r="H103" s="18"/>
      <c r="I103" s="18"/>
    </row>
    <row r="104" spans="1:9" x14ac:dyDescent="0.2">
      <c r="A104" s="27"/>
      <c r="B104" s="27"/>
      <c r="C104" s="27"/>
      <c r="D104" s="28"/>
      <c r="E104" s="29"/>
      <c r="F104" s="64"/>
      <c r="G104" s="29"/>
    </row>
    <row r="105" spans="1:9" ht="10.5" x14ac:dyDescent="0.25">
      <c r="A105" s="26" t="s">
        <v>48</v>
      </c>
      <c r="B105" s="26"/>
      <c r="C105" s="26"/>
      <c r="D105" s="32"/>
      <c r="E105" s="33">
        <f>E103</f>
        <v>0</v>
      </c>
      <c r="F105" s="63">
        <f>F103</f>
        <v>100</v>
      </c>
      <c r="G105" s="33"/>
      <c r="H105" s="18"/>
      <c r="I105" s="18"/>
    </row>
    <row r="106" spans="1:9" ht="10.5" x14ac:dyDescent="0.25">
      <c r="A106" s="26"/>
      <c r="B106" s="26"/>
      <c r="C106" s="26"/>
      <c r="D106" s="32"/>
      <c r="E106" s="33"/>
      <c r="F106" s="63"/>
      <c r="G106" s="33"/>
      <c r="H106" s="18"/>
      <c r="I106" s="18"/>
    </row>
    <row r="107" spans="1:9" ht="10.5" x14ac:dyDescent="0.25">
      <c r="A107" s="26" t="s">
        <v>50</v>
      </c>
      <c r="B107" s="26"/>
      <c r="C107" s="26"/>
      <c r="D107" s="32"/>
      <c r="E107" s="33">
        <f>E109-(E103)</f>
        <v>0</v>
      </c>
      <c r="F107" s="34">
        <v>0</v>
      </c>
      <c r="G107" s="33"/>
      <c r="H107" s="18"/>
      <c r="I107" s="18"/>
    </row>
    <row r="108" spans="1:9" ht="10.5" x14ac:dyDescent="0.25">
      <c r="A108" s="26"/>
      <c r="B108" s="26"/>
      <c r="C108" s="26"/>
      <c r="D108" s="32"/>
      <c r="E108" s="33"/>
      <c r="F108" s="63"/>
      <c r="G108" s="33"/>
      <c r="H108" s="18"/>
      <c r="I108" s="18"/>
    </row>
    <row r="109" spans="1:9" ht="10.5" x14ac:dyDescent="0.25">
      <c r="A109" s="35" t="s">
        <v>49</v>
      </c>
      <c r="B109" s="35"/>
      <c r="C109" s="35"/>
      <c r="D109" s="36"/>
      <c r="E109" s="37">
        <v>0</v>
      </c>
      <c r="F109" s="65">
        <v>100</v>
      </c>
      <c r="G109" s="37"/>
      <c r="H109" s="18"/>
      <c r="I109" s="18"/>
    </row>
    <row r="110" spans="1:9" ht="10.5" x14ac:dyDescent="0.25">
      <c r="F110" s="20"/>
    </row>
    <row r="111" spans="1:9" ht="10.5" x14ac:dyDescent="0.25">
      <c r="A111" s="18" t="s">
        <v>766</v>
      </c>
    </row>
    <row r="112" spans="1:9" ht="10.5" x14ac:dyDescent="0.25">
      <c r="A112" s="18" t="s">
        <v>1109</v>
      </c>
    </row>
    <row r="113" spans="1:4" ht="10.5" x14ac:dyDescent="0.25">
      <c r="A113" s="18" t="s">
        <v>1110</v>
      </c>
    </row>
    <row r="116" spans="1:4" ht="10.5" x14ac:dyDescent="0.25">
      <c r="A116" s="18" t="s">
        <v>51</v>
      </c>
    </row>
    <row r="117" spans="1:4" ht="10.5" x14ac:dyDescent="0.25">
      <c r="A117" s="18" t="s">
        <v>713</v>
      </c>
    </row>
    <row r="118" spans="1:4" ht="10.5" x14ac:dyDescent="0.25">
      <c r="A118" s="18" t="s">
        <v>53</v>
      </c>
      <c r="B118" s="18"/>
      <c r="C118" s="39" t="s">
        <v>55</v>
      </c>
      <c r="D118" s="19" t="s">
        <v>714</v>
      </c>
    </row>
    <row r="119" spans="1:4" x14ac:dyDescent="0.2">
      <c r="A119" s="9" t="s">
        <v>71</v>
      </c>
      <c r="C119" s="40">
        <v>0</v>
      </c>
      <c r="D119" s="40">
        <v>0</v>
      </c>
    </row>
    <row r="120" spans="1:4" x14ac:dyDescent="0.2">
      <c r="A120" s="9" t="s">
        <v>77</v>
      </c>
      <c r="C120" s="40">
        <v>0</v>
      </c>
      <c r="D120" s="40">
        <v>0</v>
      </c>
    </row>
    <row r="121" spans="1:4" x14ac:dyDescent="0.2">
      <c r="A121" s="9" t="s">
        <v>74</v>
      </c>
      <c r="C121" s="40">
        <v>0</v>
      </c>
      <c r="D121" s="40">
        <v>0</v>
      </c>
    </row>
    <row r="122" spans="1:4" x14ac:dyDescent="0.2">
      <c r="A122" s="9" t="s">
        <v>78</v>
      </c>
      <c r="C122" s="40">
        <v>0</v>
      </c>
      <c r="D122" s="40">
        <v>0</v>
      </c>
    </row>
    <row r="124" spans="1:4" ht="10.5" x14ac:dyDescent="0.25">
      <c r="A124" s="18" t="s">
        <v>1123</v>
      </c>
      <c r="D124" s="41" t="s">
        <v>57</v>
      </c>
    </row>
    <row r="125" spans="1:4" x14ac:dyDescent="0.2">
      <c r="A125" s="9" t="s">
        <v>1111</v>
      </c>
    </row>
    <row r="126" spans="1:4" x14ac:dyDescent="0.2">
      <c r="A126" s="59" t="s">
        <v>1112</v>
      </c>
    </row>
    <row r="129" spans="1:9" s="1" customFormat="1" ht="14" x14ac:dyDescent="0.25">
      <c r="A129" s="79" t="s">
        <v>1124</v>
      </c>
      <c r="B129" s="80"/>
      <c r="C129" s="80"/>
      <c r="D129" s="80"/>
      <c r="E129" s="80"/>
      <c r="F129" s="80"/>
      <c r="G129" s="80"/>
    </row>
    <row r="130" spans="1:9" ht="10.5" x14ac:dyDescent="0.25">
      <c r="A130" s="18" t="s">
        <v>711</v>
      </c>
    </row>
    <row r="131" spans="1:9" s="1" customFormat="1" ht="17.5" customHeight="1" x14ac:dyDescent="0.25">
      <c r="A131" s="8" t="s">
        <v>2</v>
      </c>
      <c r="B131" s="8" t="s">
        <v>0</v>
      </c>
      <c r="C131" s="17" t="s">
        <v>726</v>
      </c>
      <c r="D131" s="16" t="s">
        <v>1</v>
      </c>
      <c r="E131" s="15" t="s">
        <v>3</v>
      </c>
      <c r="F131" s="15" t="s">
        <v>4</v>
      </c>
      <c r="G131" s="15" t="s">
        <v>6</v>
      </c>
    </row>
    <row r="132" spans="1:9" ht="10.5" x14ac:dyDescent="0.25">
      <c r="A132" s="21" t="s">
        <v>32</v>
      </c>
      <c r="B132" s="22"/>
      <c r="C132" s="22"/>
      <c r="D132" s="23"/>
      <c r="E132" s="24"/>
      <c r="F132" s="25"/>
      <c r="G132" s="24"/>
    </row>
    <row r="133" spans="1:9" ht="10.5" x14ac:dyDescent="0.25">
      <c r="A133" s="26" t="s">
        <v>33</v>
      </c>
      <c r="B133" s="27"/>
      <c r="C133" s="27"/>
      <c r="D133" s="28"/>
      <c r="E133" s="29"/>
      <c r="F133" s="30"/>
      <c r="G133" s="29"/>
    </row>
    <row r="134" spans="1:9" x14ac:dyDescent="0.2">
      <c r="A134" s="27" t="s">
        <v>1125</v>
      </c>
      <c r="B134" s="27" t="s">
        <v>1126</v>
      </c>
      <c r="C134" s="27" t="s">
        <v>1127</v>
      </c>
      <c r="D134" s="31">
        <v>682</v>
      </c>
      <c r="E134" s="29">
        <v>0</v>
      </c>
      <c r="F134" s="62">
        <v>100</v>
      </c>
      <c r="G134" s="29">
        <v>0</v>
      </c>
    </row>
    <row r="135" spans="1:9" ht="10.5" x14ac:dyDescent="0.25">
      <c r="A135" s="26" t="s">
        <v>43</v>
      </c>
      <c r="B135" s="26"/>
      <c r="C135" s="26"/>
      <c r="D135" s="32"/>
      <c r="E135" s="33">
        <f>SUM(E133:E134)</f>
        <v>0</v>
      </c>
      <c r="F135" s="63">
        <f>SUM(F133:F134)</f>
        <v>100</v>
      </c>
      <c r="G135" s="33"/>
      <c r="H135" s="18"/>
      <c r="I135" s="18"/>
    </row>
    <row r="136" spans="1:9" x14ac:dyDescent="0.2">
      <c r="A136" s="27"/>
      <c r="B136" s="27"/>
      <c r="C136" s="27"/>
      <c r="D136" s="28"/>
      <c r="E136" s="29"/>
      <c r="F136" s="64"/>
      <c r="G136" s="29"/>
    </row>
    <row r="137" spans="1:9" ht="10.5" x14ac:dyDescent="0.25">
      <c r="A137" s="26" t="s">
        <v>48</v>
      </c>
      <c r="B137" s="26"/>
      <c r="C137" s="26"/>
      <c r="D137" s="32"/>
      <c r="E137" s="33">
        <f>E135</f>
        <v>0</v>
      </c>
      <c r="F137" s="63">
        <f>F135</f>
        <v>100</v>
      </c>
      <c r="G137" s="33"/>
      <c r="H137" s="18"/>
      <c r="I137" s="18"/>
    </row>
    <row r="138" spans="1:9" ht="10.5" x14ac:dyDescent="0.25">
      <c r="A138" s="26"/>
      <c r="B138" s="26"/>
      <c r="C138" s="26"/>
      <c r="D138" s="32"/>
      <c r="E138" s="33"/>
      <c r="F138" s="63"/>
      <c r="G138" s="33"/>
      <c r="H138" s="18"/>
      <c r="I138" s="18"/>
    </row>
    <row r="139" spans="1:9" ht="10.5" x14ac:dyDescent="0.25">
      <c r="A139" s="26" t="s">
        <v>50</v>
      </c>
      <c r="B139" s="26"/>
      <c r="C139" s="26"/>
      <c r="D139" s="32"/>
      <c r="E139" s="33">
        <f>E141-(E135)</f>
        <v>0</v>
      </c>
      <c r="F139" s="34">
        <v>0</v>
      </c>
      <c r="G139" s="33"/>
      <c r="H139" s="18"/>
      <c r="I139" s="18"/>
    </row>
    <row r="140" spans="1:9" ht="10.5" x14ac:dyDescent="0.25">
      <c r="A140" s="26"/>
      <c r="B140" s="26"/>
      <c r="C140" s="26"/>
      <c r="D140" s="32"/>
      <c r="E140" s="33"/>
      <c r="F140" s="63"/>
      <c r="G140" s="33"/>
      <c r="H140" s="18"/>
      <c r="I140" s="18"/>
    </row>
    <row r="141" spans="1:9" ht="10.5" x14ac:dyDescent="0.25">
      <c r="A141" s="35" t="s">
        <v>49</v>
      </c>
      <c r="B141" s="35"/>
      <c r="C141" s="35"/>
      <c r="D141" s="36"/>
      <c r="E141" s="37">
        <v>0</v>
      </c>
      <c r="F141" s="65">
        <v>100</v>
      </c>
      <c r="G141" s="37"/>
      <c r="H141" s="18"/>
      <c r="I141" s="18"/>
    </row>
    <row r="142" spans="1:9" ht="10.5" x14ac:dyDescent="0.25">
      <c r="F142" s="20"/>
    </row>
    <row r="143" spans="1:9" ht="10.5" x14ac:dyDescent="0.25">
      <c r="A143" s="18" t="s">
        <v>766</v>
      </c>
    </row>
    <row r="144" spans="1:9" ht="10.5" x14ac:dyDescent="0.25">
      <c r="A144" s="66" t="s">
        <v>1109</v>
      </c>
    </row>
    <row r="146" spans="1:4" ht="10.5" x14ac:dyDescent="0.25">
      <c r="A146" s="18" t="s">
        <v>51</v>
      </c>
    </row>
    <row r="147" spans="1:4" ht="10.5" x14ac:dyDescent="0.25">
      <c r="A147" s="18" t="s">
        <v>713</v>
      </c>
    </row>
    <row r="148" spans="1:4" ht="10.5" x14ac:dyDescent="0.25">
      <c r="A148" s="18" t="s">
        <v>53</v>
      </c>
      <c r="B148" s="18"/>
      <c r="C148" s="39" t="s">
        <v>55</v>
      </c>
      <c r="D148" s="19" t="s">
        <v>714</v>
      </c>
    </row>
    <row r="149" spans="1:4" x14ac:dyDescent="0.2">
      <c r="A149" s="9" t="s">
        <v>71</v>
      </c>
      <c r="C149" s="40">
        <v>0</v>
      </c>
      <c r="D149" s="40">
        <v>0</v>
      </c>
    </row>
    <row r="150" spans="1:4" x14ac:dyDescent="0.2">
      <c r="A150" s="9" t="s">
        <v>77</v>
      </c>
      <c r="C150" s="40">
        <v>0</v>
      </c>
      <c r="D150" s="40">
        <v>0</v>
      </c>
    </row>
    <row r="151" spans="1:4" x14ac:dyDescent="0.2">
      <c r="A151" s="9" t="s">
        <v>74</v>
      </c>
      <c r="C151" s="40">
        <v>0</v>
      </c>
      <c r="D151" s="40">
        <v>0</v>
      </c>
    </row>
    <row r="152" spans="1:4" x14ac:dyDescent="0.2">
      <c r="A152" s="9" t="s">
        <v>78</v>
      </c>
      <c r="C152" s="40">
        <v>0</v>
      </c>
      <c r="D152" s="40">
        <v>0</v>
      </c>
    </row>
    <row r="154" spans="1:4" ht="10.5" x14ac:dyDescent="0.25">
      <c r="A154" s="18" t="s">
        <v>1123</v>
      </c>
      <c r="D154" s="41" t="s">
        <v>57</v>
      </c>
    </row>
    <row r="155" spans="1:4" x14ac:dyDescent="0.2">
      <c r="A155" s="9" t="s">
        <v>1111</v>
      </c>
    </row>
    <row r="156" spans="1:4" x14ac:dyDescent="0.2">
      <c r="A156" s="59" t="s">
        <v>1112</v>
      </c>
    </row>
  </sheetData>
  <mergeCells count="7">
    <mergeCell ref="A129:G129"/>
    <mergeCell ref="A1:G1"/>
    <mergeCell ref="A86:G86"/>
    <mergeCell ref="A89:G89"/>
    <mergeCell ref="A91:F91"/>
    <mergeCell ref="A93:G93"/>
    <mergeCell ref="A97:G97"/>
  </mergeCells>
  <conditionalFormatting sqref="F2:F3 F5:F53 F100:F101 F132:F133 F94:F96 F98 F111:F128 F130 F143:F65536 F58:F85">
    <cfRule type="cellIs" dxfId="81" priority="7" stopIfTrue="1" operator="between">
      <formula>0.009</formula>
      <formula>-0.009</formula>
    </cfRule>
  </conditionalFormatting>
  <conditionalFormatting sqref="F92">
    <cfRule type="cellIs" dxfId="80" priority="6" stopIfTrue="1" operator="between">
      <formula>0.009</formula>
      <formula>-0.009</formula>
    </cfRule>
  </conditionalFormatting>
  <conditionalFormatting sqref="F87:F88">
    <cfRule type="cellIs" dxfId="79" priority="5" stopIfTrue="1" operator="between">
      <formula>0.009</formula>
      <formula>-0.009</formula>
    </cfRule>
  </conditionalFormatting>
  <conditionalFormatting sqref="F110">
    <cfRule type="cellIs" dxfId="78" priority="4" stopIfTrue="1" operator="between">
      <formula>0.009</formula>
      <formula>-0.009</formula>
    </cfRule>
  </conditionalFormatting>
  <conditionalFormatting sqref="F103:F106 F108:F109">
    <cfRule type="cellIs" dxfId="77" priority="3" stopIfTrue="1" operator="between">
      <formula>0.009</formula>
      <formula>-0.009</formula>
    </cfRule>
  </conditionalFormatting>
  <conditionalFormatting sqref="F142">
    <cfRule type="cellIs" dxfId="76" priority="2" stopIfTrue="1" operator="between">
      <formula>0.009</formula>
      <formula>-0.009</formula>
    </cfRule>
  </conditionalFormatting>
  <conditionalFormatting sqref="F135:F138 F140:F141">
    <cfRule type="cellIs" dxfId="75" priority="1" stopIfTrue="1" operator="between">
      <formula>0.009</formula>
      <formula>-0.009</formula>
    </cfRule>
  </conditionalFormatting>
  <hyperlinks>
    <hyperlink ref="A84" r:id="rId1" xr:uid="{00000000-0004-0000-0700-000000000000}"/>
    <hyperlink ref="A90" r:id="rId2" xr:uid="{00000000-0004-0000-0700-000001000000}"/>
    <hyperlink ref="A91" r:id="rId3" xr:uid="{00000000-0004-0000-0700-000002000000}"/>
    <hyperlink ref="A87" r:id="rId4" xr:uid="{00000000-0004-0000-0700-000003000000}"/>
    <hyperlink ref="A126" r:id="rId5" xr:uid="{00000000-0004-0000-0700-000004000000}"/>
    <hyperlink ref="A156" r:id="rId6" xr:uid="{00000000-0004-0000-0700-000005000000}"/>
  </hyperlinks>
  <pageMargins left="0.7" right="0.7" top="0.75" bottom="0.75" header="0.3" footer="0.3"/>
  <pageSetup paperSize="9" orientation="portrait" r:id="rId7"/>
  <headerFooter>
    <oddFooter>&amp;LPUBLIC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12"/>
  <sheetViews>
    <sheetView workbookViewId="0">
      <selection sqref="A1:G1"/>
    </sheetView>
  </sheetViews>
  <sheetFormatPr defaultColWidth="9.1796875" defaultRowHeight="10" x14ac:dyDescent="0.2"/>
  <cols>
    <col min="1" max="1" width="38.7265625" style="9" bestFit="1" customWidth="1"/>
    <col min="2" max="2" width="62" style="9" bestFit="1" customWidth="1"/>
    <col min="3" max="3" width="15.2695312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1128</v>
      </c>
      <c r="B1" s="80"/>
      <c r="C1" s="80"/>
      <c r="D1" s="80"/>
      <c r="E1" s="80"/>
      <c r="F1" s="80"/>
      <c r="G1" s="80"/>
    </row>
    <row r="2" spans="1:7" s="1" customFormat="1" ht="11.5" x14ac:dyDescent="0.25">
      <c r="A2" s="58" t="s">
        <v>1010</v>
      </c>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1129</v>
      </c>
      <c r="B7" s="27" t="s">
        <v>1130</v>
      </c>
      <c r="C7" s="27" t="s">
        <v>1085</v>
      </c>
      <c r="D7" s="31">
        <v>2170</v>
      </c>
      <c r="E7" s="29">
        <v>21661.287199999999</v>
      </c>
      <c r="F7" s="30">
        <v>8.7150961873475996</v>
      </c>
      <c r="G7" s="29">
        <v>11.945</v>
      </c>
    </row>
    <row r="8" spans="1:7" x14ac:dyDescent="0.2">
      <c r="A8" s="27" t="s">
        <v>1131</v>
      </c>
      <c r="B8" s="27" t="s">
        <v>1132</v>
      </c>
      <c r="C8" s="27" t="s">
        <v>986</v>
      </c>
      <c r="D8" s="31">
        <v>1500</v>
      </c>
      <c r="E8" s="29">
        <v>14851.5</v>
      </c>
      <c r="F8" s="30">
        <v>5.9752797620629297</v>
      </c>
      <c r="G8" s="29">
        <v>12.175000000000001</v>
      </c>
    </row>
    <row r="9" spans="1:7" x14ac:dyDescent="0.2">
      <c r="A9" s="27" t="s">
        <v>1133</v>
      </c>
      <c r="B9" s="27" t="s">
        <v>1134</v>
      </c>
      <c r="C9" s="27" t="s">
        <v>986</v>
      </c>
      <c r="D9" s="31">
        <v>1300</v>
      </c>
      <c r="E9" s="29">
        <v>12860.679</v>
      </c>
      <c r="F9" s="30">
        <v>5.1743025926733202</v>
      </c>
      <c r="G9" s="29">
        <v>12.2248</v>
      </c>
    </row>
    <row r="10" spans="1:7" x14ac:dyDescent="0.2">
      <c r="A10" s="27" t="s">
        <v>1035</v>
      </c>
      <c r="B10" s="27" t="s">
        <v>1036</v>
      </c>
      <c r="C10" s="27" t="s">
        <v>1037</v>
      </c>
      <c r="D10" s="31">
        <v>1198</v>
      </c>
      <c r="E10" s="29">
        <v>12100.54276</v>
      </c>
      <c r="F10" s="30">
        <v>4.8684731012897799</v>
      </c>
      <c r="G10" s="29">
        <v>10.483700000000001</v>
      </c>
    </row>
    <row r="11" spans="1:7" x14ac:dyDescent="0.2">
      <c r="A11" s="27" t="s">
        <v>1135</v>
      </c>
      <c r="B11" s="27" t="s">
        <v>1136</v>
      </c>
      <c r="C11" s="27" t="s">
        <v>1137</v>
      </c>
      <c r="D11" s="31">
        <v>1000</v>
      </c>
      <c r="E11" s="29">
        <v>10034.49</v>
      </c>
      <c r="F11" s="30">
        <v>4.0372275540937199</v>
      </c>
      <c r="G11" s="29">
        <v>11.705</v>
      </c>
    </row>
    <row r="12" spans="1:7" x14ac:dyDescent="0.2">
      <c r="A12" s="27" t="s">
        <v>1138</v>
      </c>
      <c r="B12" s="27" t="s">
        <v>1139</v>
      </c>
      <c r="C12" s="27" t="s">
        <v>1045</v>
      </c>
      <c r="D12" s="31">
        <v>2000</v>
      </c>
      <c r="E12" s="29">
        <v>9945.7000000000007</v>
      </c>
      <c r="F12" s="30">
        <v>4.0015042204187701</v>
      </c>
      <c r="G12" s="29">
        <v>16.434999999999999</v>
      </c>
    </row>
    <row r="13" spans="1:7" x14ac:dyDescent="0.2">
      <c r="A13" s="27" t="s">
        <v>1140</v>
      </c>
      <c r="B13" s="27" t="s">
        <v>1141</v>
      </c>
      <c r="C13" s="27" t="s">
        <v>1142</v>
      </c>
      <c r="D13" s="31">
        <v>1000</v>
      </c>
      <c r="E13" s="29">
        <v>9745.2099999999991</v>
      </c>
      <c r="F13" s="30">
        <v>3.9208400558902001</v>
      </c>
      <c r="G13" s="29">
        <v>12.6647</v>
      </c>
    </row>
    <row r="14" spans="1:7" x14ac:dyDescent="0.2">
      <c r="A14" s="27" t="s">
        <v>41</v>
      </c>
      <c r="B14" s="27" t="s">
        <v>40</v>
      </c>
      <c r="C14" s="27" t="s">
        <v>39</v>
      </c>
      <c r="D14" s="31">
        <v>780</v>
      </c>
      <c r="E14" s="29">
        <v>8294.9177999999993</v>
      </c>
      <c r="F14" s="30">
        <v>3.3373365961899899</v>
      </c>
      <c r="G14" s="29">
        <v>7.0876000000000001</v>
      </c>
    </row>
    <row r="15" spans="1:7" x14ac:dyDescent="0.2">
      <c r="A15" s="27" t="s">
        <v>1143</v>
      </c>
      <c r="B15" s="27" t="s">
        <v>1144</v>
      </c>
      <c r="C15" s="27" t="s">
        <v>1085</v>
      </c>
      <c r="D15" s="31">
        <v>650</v>
      </c>
      <c r="E15" s="29">
        <v>6465.9269999999997</v>
      </c>
      <c r="F15" s="30">
        <v>2.6014693967664102</v>
      </c>
      <c r="G15" s="29">
        <v>12.7818</v>
      </c>
    </row>
    <row r="16" spans="1:7" x14ac:dyDescent="0.2">
      <c r="A16" s="27" t="s">
        <v>854</v>
      </c>
      <c r="B16" s="27" t="s">
        <v>855</v>
      </c>
      <c r="C16" s="27" t="s">
        <v>856</v>
      </c>
      <c r="D16" s="31">
        <v>500</v>
      </c>
      <c r="E16" s="29">
        <v>5027.74</v>
      </c>
      <c r="F16" s="30">
        <v>2.0228362839386098</v>
      </c>
      <c r="G16" s="29">
        <v>9.8545999999999996</v>
      </c>
    </row>
    <row r="17" spans="1:7" x14ac:dyDescent="0.2">
      <c r="A17" s="27" t="s">
        <v>1145</v>
      </c>
      <c r="B17" s="27" t="s">
        <v>1146</v>
      </c>
      <c r="C17" s="27" t="s">
        <v>871</v>
      </c>
      <c r="D17" s="31">
        <v>500</v>
      </c>
      <c r="E17" s="29">
        <v>4641.7299999999996</v>
      </c>
      <c r="F17" s="30">
        <v>1.86753091135309</v>
      </c>
      <c r="G17" s="29">
        <v>13.2049</v>
      </c>
    </row>
    <row r="18" spans="1:7" x14ac:dyDescent="0.2">
      <c r="A18" s="27" t="s">
        <v>38</v>
      </c>
      <c r="B18" s="27" t="s">
        <v>37</v>
      </c>
      <c r="C18" s="27" t="s">
        <v>36</v>
      </c>
      <c r="D18" s="31">
        <v>350</v>
      </c>
      <c r="E18" s="29">
        <v>3504.2665000000002</v>
      </c>
      <c r="F18" s="30">
        <v>1.4098894184644699</v>
      </c>
      <c r="G18" s="29">
        <v>10.2308</v>
      </c>
    </row>
    <row r="19" spans="1:7" x14ac:dyDescent="0.2">
      <c r="A19" s="27" t="s">
        <v>1147</v>
      </c>
      <c r="B19" s="27" t="s">
        <v>1148</v>
      </c>
      <c r="C19" s="27" t="s">
        <v>871</v>
      </c>
      <c r="D19" s="31">
        <v>250</v>
      </c>
      <c r="E19" s="29">
        <v>3063.5225</v>
      </c>
      <c r="F19" s="30">
        <v>1.2325626364255799</v>
      </c>
      <c r="G19" s="29">
        <v>10.174899999999999</v>
      </c>
    </row>
    <row r="20" spans="1:7" x14ac:dyDescent="0.2">
      <c r="A20" s="27" t="s">
        <v>1149</v>
      </c>
      <c r="B20" s="27" t="s">
        <v>1150</v>
      </c>
      <c r="C20" s="27" t="s">
        <v>1151</v>
      </c>
      <c r="D20" s="31">
        <v>300</v>
      </c>
      <c r="E20" s="29">
        <v>3010.0079999999998</v>
      </c>
      <c r="F20" s="30">
        <v>1.2110318746286599</v>
      </c>
      <c r="G20" s="29">
        <v>9.0624000000000002</v>
      </c>
    </row>
    <row r="21" spans="1:7" x14ac:dyDescent="0.2">
      <c r="A21" s="27" t="s">
        <v>1152</v>
      </c>
      <c r="B21" s="27" t="s">
        <v>1153</v>
      </c>
      <c r="C21" s="27" t="s">
        <v>1013</v>
      </c>
      <c r="D21" s="31">
        <v>300</v>
      </c>
      <c r="E21" s="29">
        <v>3005.4720000000002</v>
      </c>
      <c r="F21" s="30">
        <v>1.2092068826075999</v>
      </c>
      <c r="G21" s="29">
        <v>9.7750000000000004</v>
      </c>
    </row>
    <row r="22" spans="1:7" x14ac:dyDescent="0.2">
      <c r="A22" s="27" t="s">
        <v>1059</v>
      </c>
      <c r="B22" s="27" t="s">
        <v>1060</v>
      </c>
      <c r="C22" s="27" t="s">
        <v>1040</v>
      </c>
      <c r="D22" s="31">
        <v>232</v>
      </c>
      <c r="E22" s="29">
        <v>2968.1105600000001</v>
      </c>
      <c r="F22" s="30">
        <v>1.1941750638476401</v>
      </c>
      <c r="G22" s="29">
        <v>10.74</v>
      </c>
    </row>
    <row r="23" spans="1:7" x14ac:dyDescent="0.2">
      <c r="A23" s="27" t="s">
        <v>1154</v>
      </c>
      <c r="B23" s="27" t="s">
        <v>1155</v>
      </c>
      <c r="C23" s="27" t="s">
        <v>1013</v>
      </c>
      <c r="D23" s="31">
        <v>1102</v>
      </c>
      <c r="E23" s="29">
        <v>2759.27576</v>
      </c>
      <c r="F23" s="30">
        <v>1.1101534933628801</v>
      </c>
      <c r="G23" s="29">
        <v>9.4442000000000004</v>
      </c>
    </row>
    <row r="24" spans="1:7" x14ac:dyDescent="0.2">
      <c r="A24" s="27" t="s">
        <v>1156</v>
      </c>
      <c r="B24" s="27" t="s">
        <v>1157</v>
      </c>
      <c r="C24" s="27" t="s">
        <v>986</v>
      </c>
      <c r="D24" s="31">
        <v>250</v>
      </c>
      <c r="E24" s="29">
        <v>2520.4475000000002</v>
      </c>
      <c r="F24" s="30">
        <v>1.0140645011003699</v>
      </c>
      <c r="G24" s="29">
        <v>10.118399999999999</v>
      </c>
    </row>
    <row r="25" spans="1:7" x14ac:dyDescent="0.2">
      <c r="A25" s="27" t="s">
        <v>1158</v>
      </c>
      <c r="B25" s="27" t="s">
        <v>1159</v>
      </c>
      <c r="C25" s="27" t="s">
        <v>1022</v>
      </c>
      <c r="D25" s="31">
        <v>250</v>
      </c>
      <c r="E25" s="29">
        <v>2516.06</v>
      </c>
      <c r="F25" s="30">
        <v>1.0122992558419099</v>
      </c>
      <c r="G25" s="29">
        <v>12.0749</v>
      </c>
    </row>
    <row r="26" spans="1:7" x14ac:dyDescent="0.2">
      <c r="A26" s="27" t="s">
        <v>1160</v>
      </c>
      <c r="B26" s="27" t="s">
        <v>1161</v>
      </c>
      <c r="C26" s="27" t="s">
        <v>986</v>
      </c>
      <c r="D26" s="31">
        <v>240</v>
      </c>
      <c r="E26" s="29">
        <v>2421.7752</v>
      </c>
      <c r="F26" s="30">
        <v>0.97436517125043998</v>
      </c>
      <c r="G26" s="29">
        <v>11.3748</v>
      </c>
    </row>
    <row r="27" spans="1:7" x14ac:dyDescent="0.2">
      <c r="A27" s="27" t="s">
        <v>1162</v>
      </c>
      <c r="B27" s="27" t="s">
        <v>1163</v>
      </c>
      <c r="C27" s="27" t="s">
        <v>871</v>
      </c>
      <c r="D27" s="31">
        <v>250</v>
      </c>
      <c r="E27" s="29">
        <v>2263.33</v>
      </c>
      <c r="F27" s="30">
        <v>0.91061710560346698</v>
      </c>
      <c r="G27" s="29">
        <v>13.342700000000001</v>
      </c>
    </row>
    <row r="28" spans="1:7" x14ac:dyDescent="0.2">
      <c r="A28" s="27" t="s">
        <v>1061</v>
      </c>
      <c r="B28" s="27" t="s">
        <v>1062</v>
      </c>
      <c r="C28" s="27" t="s">
        <v>1013</v>
      </c>
      <c r="D28" s="31">
        <v>176</v>
      </c>
      <c r="E28" s="29">
        <v>1757.0291199999999</v>
      </c>
      <c r="F28" s="30">
        <v>0.70691448958632097</v>
      </c>
      <c r="G28" s="29">
        <v>10.775499999999999</v>
      </c>
    </row>
    <row r="29" spans="1:7" x14ac:dyDescent="0.2">
      <c r="A29" s="27" t="s">
        <v>1056</v>
      </c>
      <c r="B29" s="27" t="s">
        <v>1044</v>
      </c>
      <c r="C29" s="27" t="s">
        <v>1045</v>
      </c>
      <c r="D29" s="31">
        <v>200</v>
      </c>
      <c r="E29" s="29">
        <v>1673.6179999999999</v>
      </c>
      <c r="F29" s="30">
        <v>0.67335526814289703</v>
      </c>
      <c r="G29" s="29">
        <v>21.178999999999998</v>
      </c>
    </row>
    <row r="30" spans="1:7" x14ac:dyDescent="0.2">
      <c r="A30" s="27" t="s">
        <v>1164</v>
      </c>
      <c r="B30" s="27" t="s">
        <v>1165</v>
      </c>
      <c r="C30" s="27" t="s">
        <v>1151</v>
      </c>
      <c r="D30" s="31">
        <v>150</v>
      </c>
      <c r="E30" s="29">
        <v>1485.5145</v>
      </c>
      <c r="F30" s="30">
        <v>0.59767462735084198</v>
      </c>
      <c r="G30" s="29">
        <v>11.57</v>
      </c>
    </row>
    <row r="31" spans="1:7" x14ac:dyDescent="0.2">
      <c r="A31" s="27" t="s">
        <v>1046</v>
      </c>
      <c r="B31" s="27" t="s">
        <v>1047</v>
      </c>
      <c r="C31" s="27" t="s">
        <v>1025</v>
      </c>
      <c r="D31" s="31">
        <v>150</v>
      </c>
      <c r="E31" s="29">
        <v>1181.7611999999999</v>
      </c>
      <c r="F31" s="30">
        <v>0.47546401252070197</v>
      </c>
      <c r="G31" s="29">
        <v>11.154400000000001</v>
      </c>
    </row>
    <row r="32" spans="1:7" x14ac:dyDescent="0.2">
      <c r="A32" s="27" t="s">
        <v>1166</v>
      </c>
      <c r="B32" s="27" t="s">
        <v>1167</v>
      </c>
      <c r="C32" s="27" t="s">
        <v>1045</v>
      </c>
      <c r="D32" s="31">
        <v>400</v>
      </c>
      <c r="E32" s="29">
        <v>1005.164</v>
      </c>
      <c r="F32" s="30">
        <v>0.40441276010869098</v>
      </c>
      <c r="G32" s="29">
        <v>8.5336999999999996</v>
      </c>
    </row>
    <row r="33" spans="1:9" x14ac:dyDescent="0.2">
      <c r="A33" s="27" t="s">
        <v>1168</v>
      </c>
      <c r="B33" s="27" t="s">
        <v>1169</v>
      </c>
      <c r="C33" s="27" t="s">
        <v>871</v>
      </c>
      <c r="D33" s="31">
        <v>115</v>
      </c>
      <c r="E33" s="29">
        <v>884.37414999999999</v>
      </c>
      <c r="F33" s="30">
        <v>0.35581476353140101</v>
      </c>
      <c r="G33" s="29">
        <v>14.2072</v>
      </c>
    </row>
    <row r="34" spans="1:9" x14ac:dyDescent="0.2">
      <c r="A34" s="27" t="s">
        <v>1170</v>
      </c>
      <c r="B34" s="27" t="s">
        <v>1171</v>
      </c>
      <c r="C34" s="27" t="s">
        <v>1013</v>
      </c>
      <c r="D34" s="31">
        <v>62</v>
      </c>
      <c r="E34" s="29">
        <v>610.86058000000003</v>
      </c>
      <c r="F34" s="30">
        <v>0.24577065354449201</v>
      </c>
      <c r="G34" s="29">
        <v>11.201700000000001</v>
      </c>
    </row>
    <row r="35" spans="1:9" x14ac:dyDescent="0.2">
      <c r="A35" s="27" t="s">
        <v>1172</v>
      </c>
      <c r="B35" s="27" t="s">
        <v>1173</v>
      </c>
      <c r="C35" s="27" t="s">
        <v>1013</v>
      </c>
      <c r="D35" s="31">
        <v>62</v>
      </c>
      <c r="E35" s="29">
        <v>607.61735999999996</v>
      </c>
      <c r="F35" s="30">
        <v>0.24446579229613899</v>
      </c>
      <c r="G35" s="29">
        <v>11.236499999999999</v>
      </c>
    </row>
    <row r="36" spans="1:9" x14ac:dyDescent="0.2">
      <c r="A36" s="27" t="s">
        <v>1011</v>
      </c>
      <c r="B36" s="27" t="s">
        <v>1012</v>
      </c>
      <c r="C36" s="27" t="s">
        <v>1013</v>
      </c>
      <c r="D36" s="31">
        <v>55</v>
      </c>
      <c r="E36" s="29">
        <v>544.89435000000003</v>
      </c>
      <c r="F36" s="30">
        <v>0.21923012369238401</v>
      </c>
      <c r="G36" s="29">
        <v>11.151899999999999</v>
      </c>
    </row>
    <row r="37" spans="1:9" ht="10.5" x14ac:dyDescent="0.25">
      <c r="A37" s="26" t="s">
        <v>43</v>
      </c>
      <c r="B37" s="26"/>
      <c r="C37" s="26"/>
      <c r="D37" s="32"/>
      <c r="E37" s="33">
        <f>SUM(E6:E36)</f>
        <v>153412.82503999994</v>
      </c>
      <c r="F37" s="34">
        <f>SUM(F6:F36)</f>
        <v>61.723364555931298</v>
      </c>
      <c r="G37" s="33"/>
      <c r="H37" s="18"/>
      <c r="I37" s="18"/>
    </row>
    <row r="38" spans="1:9" x14ac:dyDescent="0.2">
      <c r="A38" s="27"/>
      <c r="B38" s="27"/>
      <c r="C38" s="27"/>
      <c r="D38" s="28"/>
      <c r="E38" s="29"/>
      <c r="F38" s="30"/>
      <c r="G38" s="29"/>
    </row>
    <row r="39" spans="1:9" ht="10.5" x14ac:dyDescent="0.25">
      <c r="A39" s="26" t="s">
        <v>44</v>
      </c>
      <c r="B39" s="27"/>
      <c r="C39" s="27"/>
      <c r="D39" s="28"/>
      <c r="E39" s="29"/>
      <c r="F39" s="30"/>
      <c r="G39" s="29"/>
    </row>
    <row r="40" spans="1:9" x14ac:dyDescent="0.2">
      <c r="A40" s="27" t="s">
        <v>1091</v>
      </c>
      <c r="B40" s="27" t="s">
        <v>1092</v>
      </c>
      <c r="C40" s="27" t="s">
        <v>1073</v>
      </c>
      <c r="D40" s="31">
        <v>1498</v>
      </c>
      <c r="E40" s="29">
        <v>15166.86052</v>
      </c>
      <c r="F40" s="30">
        <v>6.1021603689315702</v>
      </c>
      <c r="G40" s="29">
        <v>12.61</v>
      </c>
    </row>
    <row r="41" spans="1:9" x14ac:dyDescent="0.2">
      <c r="A41" s="27" t="s">
        <v>1074</v>
      </c>
      <c r="B41" s="27" t="s">
        <v>1075</v>
      </c>
      <c r="C41" s="27" t="s">
        <v>1073</v>
      </c>
      <c r="D41" s="31">
        <v>600</v>
      </c>
      <c r="E41" s="29">
        <v>5395.5959999999995</v>
      </c>
      <c r="F41" s="30">
        <v>2.1708376650888899</v>
      </c>
      <c r="G41" s="29">
        <v>26.074999999999999</v>
      </c>
    </row>
    <row r="42" spans="1:9" x14ac:dyDescent="0.2">
      <c r="A42" s="27" t="s">
        <v>1174</v>
      </c>
      <c r="B42" s="27" t="s">
        <v>1175</v>
      </c>
      <c r="C42" s="27" t="s">
        <v>1022</v>
      </c>
      <c r="D42" s="31">
        <v>310</v>
      </c>
      <c r="E42" s="29">
        <v>4789.2055</v>
      </c>
      <c r="F42" s="30">
        <v>1.9268654816355599</v>
      </c>
      <c r="G42" s="29">
        <v>10.473000000000001</v>
      </c>
    </row>
    <row r="43" spans="1:9" x14ac:dyDescent="0.2">
      <c r="A43" s="27" t="s">
        <v>1078</v>
      </c>
      <c r="B43" s="27" t="s">
        <v>1079</v>
      </c>
      <c r="C43" s="27" t="s">
        <v>1073</v>
      </c>
      <c r="D43" s="31">
        <v>180</v>
      </c>
      <c r="E43" s="29">
        <v>1547.731485</v>
      </c>
      <c r="F43" s="30">
        <v>0.62270670433478803</v>
      </c>
      <c r="G43" s="29">
        <v>11.6525</v>
      </c>
    </row>
    <row r="44" spans="1:9" x14ac:dyDescent="0.2">
      <c r="A44" s="27" t="s">
        <v>1095</v>
      </c>
      <c r="B44" s="27" t="s">
        <v>1096</v>
      </c>
      <c r="C44" s="27" t="s">
        <v>1073</v>
      </c>
      <c r="D44" s="31">
        <v>120</v>
      </c>
      <c r="E44" s="29">
        <v>1061.6732500000001</v>
      </c>
      <c r="F44" s="30">
        <v>0.42714841495125599</v>
      </c>
      <c r="G44" s="29">
        <v>11.6548</v>
      </c>
    </row>
    <row r="45" spans="1:9" x14ac:dyDescent="0.2">
      <c r="A45" s="27" t="s">
        <v>1176</v>
      </c>
      <c r="B45" s="27" t="s">
        <v>1177</v>
      </c>
      <c r="C45" s="27" t="s">
        <v>1073</v>
      </c>
      <c r="D45" s="31">
        <v>40</v>
      </c>
      <c r="E45" s="29">
        <v>335.82007729999998</v>
      </c>
      <c r="F45" s="30">
        <v>0.135112204934525</v>
      </c>
      <c r="G45" s="29">
        <v>11.6548</v>
      </c>
    </row>
    <row r="46" spans="1:9" x14ac:dyDescent="0.2">
      <c r="A46" s="27" t="s">
        <v>1178</v>
      </c>
      <c r="B46" s="27" t="s">
        <v>1179</v>
      </c>
      <c r="C46" s="27" t="s">
        <v>1099</v>
      </c>
      <c r="D46" s="31">
        <v>1088</v>
      </c>
      <c r="E46" s="29">
        <v>70.502399999999994</v>
      </c>
      <c r="F46" s="30">
        <v>2.8365590270132E-2</v>
      </c>
      <c r="G46" s="29">
        <v>0</v>
      </c>
    </row>
    <row r="47" spans="1:9" x14ac:dyDescent="0.2">
      <c r="A47" s="27" t="s">
        <v>1180</v>
      </c>
      <c r="B47" s="27" t="s">
        <v>1181</v>
      </c>
      <c r="C47" s="27" t="s">
        <v>1099</v>
      </c>
      <c r="D47" s="31">
        <v>327</v>
      </c>
      <c r="E47" s="29">
        <v>42.804299999999998</v>
      </c>
      <c r="F47" s="30">
        <v>1.7221672391291801E-2</v>
      </c>
      <c r="G47" s="29">
        <v>0</v>
      </c>
    </row>
    <row r="48" spans="1:9" ht="10.5" x14ac:dyDescent="0.25">
      <c r="A48" s="26" t="s">
        <v>43</v>
      </c>
      <c r="B48" s="26"/>
      <c r="C48" s="26"/>
      <c r="D48" s="32"/>
      <c r="E48" s="33">
        <f>SUM(E39:E47)</f>
        <v>28410.1935323</v>
      </c>
      <c r="F48" s="34">
        <f>SUM(F39:F47)</f>
        <v>11.430418102538015</v>
      </c>
      <c r="G48" s="33"/>
      <c r="H48" s="18"/>
      <c r="I48" s="18"/>
    </row>
    <row r="49" spans="1:9" x14ac:dyDescent="0.2">
      <c r="A49" s="27"/>
      <c r="B49" s="27"/>
      <c r="C49" s="27"/>
      <c r="D49" s="28"/>
      <c r="E49" s="29"/>
      <c r="F49" s="30"/>
      <c r="G49" s="29"/>
    </row>
    <row r="50" spans="1:9" ht="10.5" x14ac:dyDescent="0.25">
      <c r="A50" s="26" t="s">
        <v>48</v>
      </c>
      <c r="B50" s="26"/>
      <c r="C50" s="26"/>
      <c r="D50" s="32"/>
      <c r="E50" s="33">
        <f>E37+E48</f>
        <v>181823.01857229994</v>
      </c>
      <c r="F50" s="34">
        <f>F37+F48</f>
        <v>73.153782658469311</v>
      </c>
      <c r="G50" s="33"/>
      <c r="H50" s="18"/>
      <c r="I50" s="18"/>
    </row>
    <row r="51" spans="1:9" ht="10.5" x14ac:dyDescent="0.25">
      <c r="A51" s="26"/>
      <c r="B51" s="26"/>
      <c r="C51" s="26"/>
      <c r="D51" s="32"/>
      <c r="E51" s="33"/>
      <c r="F51" s="34"/>
      <c r="G51" s="33"/>
      <c r="H51" s="18"/>
      <c r="I51" s="18"/>
    </row>
    <row r="52" spans="1:9" ht="10.5" x14ac:dyDescent="0.25">
      <c r="A52" s="26" t="s">
        <v>50</v>
      </c>
      <c r="B52" s="26"/>
      <c r="C52" s="26"/>
      <c r="D52" s="32"/>
      <c r="E52" s="33">
        <f>E54-(E37+E48)</f>
        <v>66726.013295500044</v>
      </c>
      <c r="F52" s="34">
        <f>F54-(F37+F48)</f>
        <v>26.846217341530689</v>
      </c>
      <c r="G52" s="33"/>
      <c r="H52" s="18"/>
      <c r="I52" s="18"/>
    </row>
    <row r="53" spans="1:9" ht="10.5" x14ac:dyDescent="0.25">
      <c r="A53" s="26"/>
      <c r="B53" s="26"/>
      <c r="C53" s="26"/>
      <c r="D53" s="32"/>
      <c r="E53" s="33"/>
      <c r="F53" s="34"/>
      <c r="G53" s="33"/>
      <c r="H53" s="18"/>
      <c r="I53" s="18"/>
    </row>
    <row r="54" spans="1:9" ht="10.5" x14ac:dyDescent="0.25">
      <c r="A54" s="35" t="s">
        <v>49</v>
      </c>
      <c r="B54" s="35"/>
      <c r="C54" s="35"/>
      <c r="D54" s="36"/>
      <c r="E54" s="37">
        <v>248549.03186779999</v>
      </c>
      <c r="F54" s="38">
        <v>100</v>
      </c>
      <c r="G54" s="37"/>
      <c r="H54" s="18"/>
      <c r="I54" s="18"/>
    </row>
    <row r="56" spans="1:9" ht="10.5" x14ac:dyDescent="0.25">
      <c r="A56" s="18" t="s">
        <v>766</v>
      </c>
    </row>
    <row r="58" spans="1:9" ht="10.5" x14ac:dyDescent="0.25">
      <c r="A58" s="18" t="s">
        <v>51</v>
      </c>
    </row>
    <row r="59" spans="1:9" ht="10.5" x14ac:dyDescent="0.25">
      <c r="A59" s="18" t="s">
        <v>713</v>
      </c>
    </row>
    <row r="60" spans="1:9" ht="10.5" x14ac:dyDescent="0.25">
      <c r="A60" s="18" t="s">
        <v>53</v>
      </c>
      <c r="B60" s="18"/>
      <c r="C60" s="39" t="s">
        <v>55</v>
      </c>
      <c r="D60" s="19" t="s">
        <v>714</v>
      </c>
    </row>
    <row r="61" spans="1:9" x14ac:dyDescent="0.2">
      <c r="A61" s="9" t="s">
        <v>71</v>
      </c>
      <c r="C61" s="40">
        <v>20.597200000000001</v>
      </c>
      <c r="D61" s="40">
        <v>21.846699999999998</v>
      </c>
    </row>
    <row r="62" spans="1:9" x14ac:dyDescent="0.2">
      <c r="A62" s="9" t="s">
        <v>72</v>
      </c>
      <c r="C62" s="40">
        <v>9.4974000000000007</v>
      </c>
      <c r="D62" s="40">
        <v>10.073499999999999</v>
      </c>
    </row>
    <row r="63" spans="1:9" x14ac:dyDescent="0.2">
      <c r="A63" s="9" t="s">
        <v>73</v>
      </c>
      <c r="C63" s="40">
        <v>9.3277000000000001</v>
      </c>
      <c r="D63" s="40">
        <v>9.8935999999999993</v>
      </c>
    </row>
    <row r="64" spans="1:9" x14ac:dyDescent="0.2">
      <c r="A64" s="9" t="s">
        <v>74</v>
      </c>
      <c r="C64" s="40">
        <v>21.088200000000001</v>
      </c>
      <c r="D64" s="40">
        <v>22.407599999999999</v>
      </c>
    </row>
    <row r="65" spans="1:7" x14ac:dyDescent="0.2">
      <c r="A65" s="9" t="s">
        <v>75</v>
      </c>
      <c r="C65" s="40">
        <v>9.8007000000000009</v>
      </c>
      <c r="D65" s="40">
        <v>10.4139</v>
      </c>
    </row>
    <row r="66" spans="1:7" x14ac:dyDescent="0.2">
      <c r="A66" s="9" t="s">
        <v>76</v>
      </c>
      <c r="C66" s="40">
        <v>9.6310000000000002</v>
      </c>
      <c r="D66" s="40">
        <v>10.233599999999999</v>
      </c>
    </row>
    <row r="68" spans="1:7" ht="10.5" x14ac:dyDescent="0.25">
      <c r="A68" s="18" t="s">
        <v>715</v>
      </c>
      <c r="D68" s="41" t="s">
        <v>57</v>
      </c>
    </row>
    <row r="70" spans="1:7" ht="10.5" x14ac:dyDescent="0.25">
      <c r="A70" s="18" t="s">
        <v>785</v>
      </c>
      <c r="D70" s="42">
        <v>1.1121927929863</v>
      </c>
      <c r="E70" s="13" t="s">
        <v>58</v>
      </c>
    </row>
    <row r="72" spans="1:7" ht="10.5" x14ac:dyDescent="0.25">
      <c r="A72" s="18" t="s">
        <v>786</v>
      </c>
      <c r="D72" s="19">
        <v>2</v>
      </c>
    </row>
    <row r="73" spans="1:7" x14ac:dyDescent="0.2">
      <c r="A73" s="9" t="s">
        <v>1111</v>
      </c>
    </row>
    <row r="74" spans="1:7" x14ac:dyDescent="0.2">
      <c r="A74" s="59" t="s">
        <v>1112</v>
      </c>
    </row>
    <row r="75" spans="1:7" x14ac:dyDescent="0.2">
      <c r="A75" s="59"/>
    </row>
    <row r="76" spans="1:7" ht="40" customHeight="1" x14ac:dyDescent="0.2">
      <c r="A76" s="83" t="s">
        <v>1182</v>
      </c>
      <c r="B76" s="83"/>
      <c r="C76" s="83"/>
      <c r="D76" s="83"/>
      <c r="E76" s="83"/>
      <c r="F76" s="83"/>
      <c r="G76" s="83"/>
    </row>
    <row r="77" spans="1:7" x14ac:dyDescent="0.2">
      <c r="A77" s="60" t="s">
        <v>1114</v>
      </c>
    </row>
    <row r="78" spans="1:7" x14ac:dyDescent="0.2">
      <c r="A78" s="59"/>
    </row>
    <row r="79" spans="1:7" ht="22" customHeight="1" x14ac:dyDescent="0.2">
      <c r="A79" s="83" t="s">
        <v>1183</v>
      </c>
      <c r="B79" s="83"/>
      <c r="C79" s="83"/>
      <c r="D79" s="83"/>
      <c r="E79" s="83"/>
      <c r="F79" s="83"/>
      <c r="G79" s="83"/>
    </row>
    <row r="82" spans="1:9" s="1" customFormat="1" ht="14" x14ac:dyDescent="0.25">
      <c r="A82" s="79" t="s">
        <v>1184</v>
      </c>
      <c r="B82" s="80"/>
      <c r="C82" s="80"/>
      <c r="D82" s="80"/>
      <c r="E82" s="80"/>
      <c r="F82" s="80"/>
      <c r="G82" s="80"/>
    </row>
    <row r="83" spans="1:9" ht="10.5" x14ac:dyDescent="0.25">
      <c r="A83" s="18" t="s">
        <v>711</v>
      </c>
    </row>
    <row r="84" spans="1:9" s="1" customFormat="1" ht="17.5" customHeight="1" x14ac:dyDescent="0.25">
      <c r="A84" s="8" t="s">
        <v>2</v>
      </c>
      <c r="B84" s="8" t="s">
        <v>0</v>
      </c>
      <c r="C84" s="17" t="s">
        <v>726</v>
      </c>
      <c r="D84" s="16" t="s">
        <v>1</v>
      </c>
      <c r="E84" s="15" t="s">
        <v>3</v>
      </c>
      <c r="F84" s="15" t="s">
        <v>4</v>
      </c>
      <c r="G84" s="15" t="s">
        <v>6</v>
      </c>
    </row>
    <row r="85" spans="1:9" ht="10.5" x14ac:dyDescent="0.25">
      <c r="A85" s="21" t="s">
        <v>32</v>
      </c>
      <c r="B85" s="22"/>
      <c r="C85" s="22"/>
      <c r="D85" s="23"/>
      <c r="E85" s="24"/>
      <c r="F85" s="25"/>
      <c r="G85" s="24"/>
    </row>
    <row r="86" spans="1:9" ht="10.5" x14ac:dyDescent="0.25">
      <c r="A86" s="26" t="s">
        <v>33</v>
      </c>
      <c r="B86" s="27"/>
      <c r="C86" s="27"/>
      <c r="D86" s="28"/>
      <c r="E86" s="29"/>
      <c r="F86" s="30"/>
      <c r="G86" s="29"/>
    </row>
    <row r="87" spans="1:9" x14ac:dyDescent="0.2">
      <c r="A87" s="27" t="s">
        <v>1120</v>
      </c>
      <c r="B87" s="27" t="s">
        <v>1121</v>
      </c>
      <c r="C87" s="27" t="s">
        <v>1122</v>
      </c>
      <c r="D87" s="31">
        <v>1510</v>
      </c>
      <c r="E87" s="29">
        <v>0</v>
      </c>
      <c r="F87" s="30">
        <v>100</v>
      </c>
      <c r="G87" s="29">
        <v>0</v>
      </c>
    </row>
    <row r="88" spans="1:9" ht="10.5" x14ac:dyDescent="0.25">
      <c r="A88" s="26" t="s">
        <v>43</v>
      </c>
      <c r="B88" s="26"/>
      <c r="C88" s="26"/>
      <c r="D88" s="32"/>
      <c r="E88" s="33">
        <f>SUM(E86:E87)</f>
        <v>0</v>
      </c>
      <c r="F88" s="34">
        <f>SUM(F86:F87)</f>
        <v>100</v>
      </c>
      <c r="G88" s="33"/>
      <c r="H88" s="18"/>
      <c r="I88" s="18"/>
    </row>
    <row r="89" spans="1:9" x14ac:dyDescent="0.2">
      <c r="A89" s="27"/>
      <c r="B89" s="27"/>
      <c r="C89" s="27"/>
      <c r="D89" s="28"/>
      <c r="E89" s="29"/>
      <c r="F89" s="30"/>
      <c r="G89" s="29"/>
    </row>
    <row r="90" spans="1:9" ht="10.5" x14ac:dyDescent="0.25">
      <c r="A90" s="26" t="s">
        <v>48</v>
      </c>
      <c r="B90" s="26"/>
      <c r="C90" s="26"/>
      <c r="D90" s="32"/>
      <c r="E90" s="33">
        <f>E88</f>
        <v>0</v>
      </c>
      <c r="F90" s="34">
        <f>F88</f>
        <v>100</v>
      </c>
      <c r="G90" s="33"/>
      <c r="H90" s="18"/>
      <c r="I90" s="18"/>
    </row>
    <row r="91" spans="1:9" ht="10.5" x14ac:dyDescent="0.25">
      <c r="A91" s="26"/>
      <c r="B91" s="26"/>
      <c r="C91" s="26"/>
      <c r="D91" s="32"/>
      <c r="E91" s="33"/>
      <c r="F91" s="34"/>
      <c r="G91" s="33"/>
      <c r="H91" s="18"/>
      <c r="I91" s="18"/>
    </row>
    <row r="92" spans="1:9" ht="10.5" x14ac:dyDescent="0.25">
      <c r="A92" s="26" t="s">
        <v>50</v>
      </c>
      <c r="B92" s="26"/>
      <c r="C92" s="26"/>
      <c r="D92" s="32"/>
      <c r="E92" s="33">
        <f>E94-(E88)</f>
        <v>0</v>
      </c>
      <c r="F92" s="34">
        <v>0</v>
      </c>
      <c r="G92" s="33"/>
      <c r="H92" s="18"/>
      <c r="I92" s="18"/>
    </row>
    <row r="93" spans="1:9" ht="10.5" x14ac:dyDescent="0.25">
      <c r="A93" s="26"/>
      <c r="B93" s="26"/>
      <c r="C93" s="26"/>
      <c r="D93" s="32"/>
      <c r="E93" s="33"/>
      <c r="F93" s="34"/>
      <c r="G93" s="33"/>
      <c r="H93" s="18"/>
      <c r="I93" s="18"/>
    </row>
    <row r="94" spans="1:9" ht="10.5" x14ac:dyDescent="0.25">
      <c r="A94" s="35" t="s">
        <v>49</v>
      </c>
      <c r="B94" s="35"/>
      <c r="C94" s="35"/>
      <c r="D94" s="36"/>
      <c r="E94" s="37">
        <v>0</v>
      </c>
      <c r="F94" s="38">
        <v>100</v>
      </c>
      <c r="G94" s="37"/>
      <c r="H94" s="18"/>
      <c r="I94" s="18"/>
    </row>
    <row r="95" spans="1:9" ht="10.5" x14ac:dyDescent="0.25">
      <c r="F95" s="20"/>
    </row>
    <row r="96" spans="1:9" ht="10.5" x14ac:dyDescent="0.25">
      <c r="A96" s="66" t="s">
        <v>766</v>
      </c>
    </row>
    <row r="97" spans="1:4" ht="10.5" x14ac:dyDescent="0.25">
      <c r="A97" s="66" t="s">
        <v>1109</v>
      </c>
    </row>
    <row r="98" spans="1:4" ht="10.5" x14ac:dyDescent="0.25">
      <c r="A98" s="18" t="s">
        <v>1110</v>
      </c>
    </row>
    <row r="100" spans="1:4" ht="10.5" x14ac:dyDescent="0.25">
      <c r="A100" s="18" t="s">
        <v>51</v>
      </c>
    </row>
    <row r="101" spans="1:4" ht="10.5" x14ac:dyDescent="0.25">
      <c r="A101" s="18" t="s">
        <v>713</v>
      </c>
    </row>
    <row r="102" spans="1:4" ht="10.5" x14ac:dyDescent="0.25">
      <c r="A102" s="18" t="s">
        <v>53</v>
      </c>
      <c r="B102" s="18"/>
      <c r="C102" s="39" t="s">
        <v>55</v>
      </c>
      <c r="D102" s="19" t="s">
        <v>714</v>
      </c>
    </row>
    <row r="103" spans="1:4" x14ac:dyDescent="0.2">
      <c r="A103" s="9" t="s">
        <v>71</v>
      </c>
      <c r="C103" s="40">
        <v>0</v>
      </c>
      <c r="D103" s="40">
        <v>0</v>
      </c>
    </row>
    <row r="104" spans="1:4" x14ac:dyDescent="0.2">
      <c r="A104" s="9" t="s">
        <v>72</v>
      </c>
      <c r="C104" s="40">
        <v>0</v>
      </c>
      <c r="D104" s="40">
        <v>0</v>
      </c>
    </row>
    <row r="105" spans="1:4" x14ac:dyDescent="0.2">
      <c r="A105" s="9" t="s">
        <v>73</v>
      </c>
      <c r="C105" s="40">
        <v>0</v>
      </c>
      <c r="D105" s="40">
        <v>0</v>
      </c>
    </row>
    <row r="106" spans="1:4" x14ac:dyDescent="0.2">
      <c r="A106" s="9" t="s">
        <v>74</v>
      </c>
      <c r="C106" s="40">
        <v>0</v>
      </c>
      <c r="D106" s="40">
        <v>0</v>
      </c>
    </row>
    <row r="107" spans="1:4" x14ac:dyDescent="0.2">
      <c r="A107" s="9" t="s">
        <v>75</v>
      </c>
      <c r="C107" s="40">
        <v>0</v>
      </c>
      <c r="D107" s="40">
        <v>0</v>
      </c>
    </row>
    <row r="108" spans="1:4" x14ac:dyDescent="0.2">
      <c r="A108" s="9" t="s">
        <v>76</v>
      </c>
      <c r="C108" s="40">
        <v>0</v>
      </c>
      <c r="D108" s="40">
        <v>0</v>
      </c>
    </row>
    <row r="110" spans="1:4" ht="10.5" x14ac:dyDescent="0.25">
      <c r="A110" s="18" t="s">
        <v>1123</v>
      </c>
      <c r="D110" s="41" t="s">
        <v>57</v>
      </c>
    </row>
    <row r="111" spans="1:4" x14ac:dyDescent="0.2">
      <c r="A111" s="9" t="s">
        <v>1111</v>
      </c>
    </row>
    <row r="112" spans="1:4" x14ac:dyDescent="0.2">
      <c r="A112" s="59" t="s">
        <v>1112</v>
      </c>
    </row>
  </sheetData>
  <mergeCells count="4">
    <mergeCell ref="A1:G1"/>
    <mergeCell ref="A76:G76"/>
    <mergeCell ref="A79:G79"/>
    <mergeCell ref="A82:G82"/>
  </mergeCells>
  <conditionalFormatting sqref="F2:F3 F5:F75 F85:F86 F77:F78 F80:F81 F83 F96:F65536">
    <cfRule type="cellIs" dxfId="74" priority="3" stopIfTrue="1" operator="between">
      <formula>0.009</formula>
      <formula>-0.009</formula>
    </cfRule>
  </conditionalFormatting>
  <conditionalFormatting sqref="F95">
    <cfRule type="cellIs" dxfId="73" priority="2" stopIfTrue="1" operator="between">
      <formula>0.009</formula>
      <formula>-0.009</formula>
    </cfRule>
  </conditionalFormatting>
  <conditionalFormatting sqref="F87:F91 F93:F94">
    <cfRule type="cellIs" dxfId="72" priority="1" stopIfTrue="1" operator="between">
      <formula>0.009</formula>
      <formula>-0.009</formula>
    </cfRule>
  </conditionalFormatting>
  <hyperlinks>
    <hyperlink ref="A74" r:id="rId1" xr:uid="{00000000-0004-0000-0800-000000000000}"/>
    <hyperlink ref="A77" r:id="rId2" xr:uid="{00000000-0004-0000-0800-000001000000}"/>
    <hyperlink ref="A112" r:id="rId3" xr:uid="{00000000-0004-0000-0800-000002000000}"/>
  </hyperlinks>
  <pageMargins left="0.7" right="0.7" top="0.75" bottom="0.75" header="0.3" footer="0.3"/>
  <pageSetup paperSize="9" orientation="portrait" r:id="rId4"/>
  <headerFooter>
    <oddFooter>&amp;LPUBLIC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7"/>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1185</v>
      </c>
      <c r="B1" s="80"/>
      <c r="C1" s="80"/>
      <c r="D1" s="80"/>
      <c r="E1" s="80"/>
      <c r="F1" s="80"/>
      <c r="G1" s="80"/>
    </row>
    <row r="2" spans="1:7" s="1" customFormat="1" ht="11.5" x14ac:dyDescent="0.25">
      <c r="A2" s="58" t="s">
        <v>1010</v>
      </c>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854</v>
      </c>
      <c r="B7" s="27" t="s">
        <v>855</v>
      </c>
      <c r="C7" s="27" t="s">
        <v>856</v>
      </c>
      <c r="D7" s="31">
        <v>5400</v>
      </c>
      <c r="E7" s="29">
        <v>54299.591999999997</v>
      </c>
      <c r="F7" s="30">
        <v>5.3945789274570597</v>
      </c>
      <c r="G7" s="29">
        <v>9.8545999999999996</v>
      </c>
    </row>
    <row r="8" spans="1:7" x14ac:dyDescent="0.2">
      <c r="A8" s="27" t="s">
        <v>35</v>
      </c>
      <c r="B8" s="27" t="s">
        <v>34</v>
      </c>
      <c r="C8" s="27" t="s">
        <v>36</v>
      </c>
      <c r="D8" s="31">
        <v>4400</v>
      </c>
      <c r="E8" s="29">
        <v>43754.567999999999</v>
      </c>
      <c r="F8" s="30">
        <v>4.3469474045548404</v>
      </c>
      <c r="G8" s="29">
        <v>10.625999999999999</v>
      </c>
    </row>
    <row r="9" spans="1:7" x14ac:dyDescent="0.2">
      <c r="A9" s="27" t="s">
        <v>38</v>
      </c>
      <c r="B9" s="27" t="s">
        <v>37</v>
      </c>
      <c r="C9" s="27" t="s">
        <v>36</v>
      </c>
      <c r="D9" s="31">
        <v>3900</v>
      </c>
      <c r="E9" s="29">
        <v>39047.540999999997</v>
      </c>
      <c r="F9" s="30">
        <v>3.8793116870494302</v>
      </c>
      <c r="G9" s="29">
        <v>10.2308</v>
      </c>
    </row>
    <row r="10" spans="1:7" x14ac:dyDescent="0.2">
      <c r="A10" s="27" t="s">
        <v>1138</v>
      </c>
      <c r="B10" s="27" t="s">
        <v>1139</v>
      </c>
      <c r="C10" s="27" t="s">
        <v>1045</v>
      </c>
      <c r="D10" s="31">
        <v>7500</v>
      </c>
      <c r="E10" s="29">
        <v>37296.375</v>
      </c>
      <c r="F10" s="30">
        <v>3.70533610354819</v>
      </c>
      <c r="G10" s="29">
        <v>16.434999999999999</v>
      </c>
    </row>
    <row r="11" spans="1:7" x14ac:dyDescent="0.2">
      <c r="A11" s="27" t="s">
        <v>1016</v>
      </c>
      <c r="B11" s="27" t="s">
        <v>1017</v>
      </c>
      <c r="C11" s="27" t="s">
        <v>39</v>
      </c>
      <c r="D11" s="31">
        <v>3650</v>
      </c>
      <c r="E11" s="29">
        <v>36203.802499999998</v>
      </c>
      <c r="F11" s="30">
        <v>3.5967907467945102</v>
      </c>
      <c r="G11" s="29">
        <v>16.4498</v>
      </c>
    </row>
    <row r="12" spans="1:7" x14ac:dyDescent="0.2">
      <c r="A12" s="27" t="s">
        <v>1129</v>
      </c>
      <c r="B12" s="27" t="s">
        <v>1130</v>
      </c>
      <c r="C12" s="27" t="s">
        <v>1085</v>
      </c>
      <c r="D12" s="31">
        <v>2890</v>
      </c>
      <c r="E12" s="29">
        <v>28848.4424</v>
      </c>
      <c r="F12" s="30">
        <v>2.8660473077035</v>
      </c>
      <c r="G12" s="29">
        <v>11.945</v>
      </c>
    </row>
    <row r="13" spans="1:7" x14ac:dyDescent="0.2">
      <c r="A13" s="27" t="s">
        <v>1186</v>
      </c>
      <c r="B13" s="27" t="s">
        <v>1187</v>
      </c>
      <c r="C13" s="27" t="s">
        <v>1025</v>
      </c>
      <c r="D13" s="31">
        <v>2550</v>
      </c>
      <c r="E13" s="29">
        <v>25547.710500000001</v>
      </c>
      <c r="F13" s="30">
        <v>2.5381247930568902</v>
      </c>
      <c r="G13" s="29">
        <v>9.1212999999999997</v>
      </c>
    </row>
    <row r="14" spans="1:7" x14ac:dyDescent="0.2">
      <c r="A14" s="27" t="s">
        <v>1143</v>
      </c>
      <c r="B14" s="27" t="s">
        <v>1144</v>
      </c>
      <c r="C14" s="27" t="s">
        <v>1085</v>
      </c>
      <c r="D14" s="31">
        <v>2350</v>
      </c>
      <c r="E14" s="29">
        <v>23376.812999999998</v>
      </c>
      <c r="F14" s="30">
        <v>2.3224495462305499</v>
      </c>
      <c r="G14" s="29">
        <v>12.7818</v>
      </c>
    </row>
    <row r="15" spans="1:7" x14ac:dyDescent="0.2">
      <c r="A15" s="27" t="s">
        <v>1188</v>
      </c>
      <c r="B15" s="27" t="s">
        <v>1189</v>
      </c>
      <c r="C15" s="27" t="s">
        <v>856</v>
      </c>
      <c r="D15" s="31">
        <v>2000</v>
      </c>
      <c r="E15" s="29">
        <v>23290.86</v>
      </c>
      <c r="F15" s="30">
        <v>2.3139102510816798</v>
      </c>
      <c r="G15" s="29">
        <v>4.9375</v>
      </c>
    </row>
    <row r="16" spans="1:7" x14ac:dyDescent="0.2">
      <c r="A16" s="27" t="s">
        <v>1190</v>
      </c>
      <c r="B16" s="27" t="s">
        <v>1191</v>
      </c>
      <c r="C16" s="27" t="s">
        <v>1085</v>
      </c>
      <c r="D16" s="31">
        <v>2000</v>
      </c>
      <c r="E16" s="29">
        <v>19909.18</v>
      </c>
      <c r="F16" s="30">
        <v>1.977945670217</v>
      </c>
      <c r="G16" s="29">
        <v>12.782500000000001</v>
      </c>
    </row>
    <row r="17" spans="1:7" x14ac:dyDescent="0.2">
      <c r="A17" s="27" t="s">
        <v>1192</v>
      </c>
      <c r="B17" s="27" t="s">
        <v>1193</v>
      </c>
      <c r="C17" s="27" t="s">
        <v>1025</v>
      </c>
      <c r="D17" s="31">
        <v>1910</v>
      </c>
      <c r="E17" s="29">
        <v>18971.6862</v>
      </c>
      <c r="F17" s="30">
        <v>1.8848071380139999</v>
      </c>
      <c r="G17" s="29">
        <v>9.7748000000000008</v>
      </c>
    </row>
    <row r="18" spans="1:7" x14ac:dyDescent="0.2">
      <c r="A18" s="27" t="s">
        <v>1194</v>
      </c>
      <c r="B18" s="27" t="s">
        <v>1195</v>
      </c>
      <c r="C18" s="27" t="s">
        <v>1085</v>
      </c>
      <c r="D18" s="31">
        <v>1000</v>
      </c>
      <c r="E18" s="29">
        <v>10088.31</v>
      </c>
      <c r="F18" s="30">
        <v>1.0022577064603799</v>
      </c>
      <c r="G18" s="29">
        <v>12.7822</v>
      </c>
    </row>
    <row r="19" spans="1:7" x14ac:dyDescent="0.2">
      <c r="A19" s="27" t="s">
        <v>1196</v>
      </c>
      <c r="B19" s="27" t="s">
        <v>1197</v>
      </c>
      <c r="C19" s="27" t="s">
        <v>1085</v>
      </c>
      <c r="D19" s="31">
        <v>1000</v>
      </c>
      <c r="E19" s="29">
        <v>10075.049999999999</v>
      </c>
      <c r="F19" s="30">
        <v>1.0009403463487601</v>
      </c>
      <c r="G19" s="29">
        <v>12.8032</v>
      </c>
    </row>
    <row r="20" spans="1:7" x14ac:dyDescent="0.2">
      <c r="A20" s="27" t="s">
        <v>1198</v>
      </c>
      <c r="B20" s="27" t="s">
        <v>1199</v>
      </c>
      <c r="C20" s="27" t="s">
        <v>1085</v>
      </c>
      <c r="D20" s="31">
        <v>1000</v>
      </c>
      <c r="E20" s="29">
        <v>10071.24</v>
      </c>
      <c r="F20" s="30">
        <v>1.0005618288506199</v>
      </c>
      <c r="G20" s="29">
        <v>13.2767</v>
      </c>
    </row>
    <row r="21" spans="1:7" x14ac:dyDescent="0.2">
      <c r="A21" s="27" t="s">
        <v>1200</v>
      </c>
      <c r="B21" s="27" t="s">
        <v>1201</v>
      </c>
      <c r="C21" s="27" t="s">
        <v>1025</v>
      </c>
      <c r="D21" s="31">
        <v>1000</v>
      </c>
      <c r="E21" s="29">
        <v>9975.6</v>
      </c>
      <c r="F21" s="30">
        <v>0.99106014551160204</v>
      </c>
      <c r="G21" s="29">
        <v>9.1800999999999995</v>
      </c>
    </row>
    <row r="22" spans="1:7" x14ac:dyDescent="0.2">
      <c r="A22" s="27" t="s">
        <v>1202</v>
      </c>
      <c r="B22" s="27" t="s">
        <v>1203</v>
      </c>
      <c r="C22" s="27" t="s">
        <v>1025</v>
      </c>
      <c r="D22" s="31">
        <v>1000</v>
      </c>
      <c r="E22" s="29">
        <v>9907.4500000000007</v>
      </c>
      <c r="F22" s="30">
        <v>0.98428955036778998</v>
      </c>
      <c r="G22" s="29">
        <v>9.5998000000000001</v>
      </c>
    </row>
    <row r="23" spans="1:7" x14ac:dyDescent="0.2">
      <c r="A23" s="27" t="s">
        <v>1061</v>
      </c>
      <c r="B23" s="27" t="s">
        <v>1062</v>
      </c>
      <c r="C23" s="27" t="s">
        <v>1013</v>
      </c>
      <c r="D23" s="31">
        <v>938</v>
      </c>
      <c r="E23" s="29">
        <v>9364.1665599999997</v>
      </c>
      <c r="F23" s="30">
        <v>0.93031519643414795</v>
      </c>
      <c r="G23" s="29">
        <v>10.775499999999999</v>
      </c>
    </row>
    <row r="24" spans="1:7" x14ac:dyDescent="0.2">
      <c r="A24" s="27" t="s">
        <v>1204</v>
      </c>
      <c r="B24" s="27" t="s">
        <v>1205</v>
      </c>
      <c r="C24" s="27" t="s">
        <v>1085</v>
      </c>
      <c r="D24" s="31">
        <v>900</v>
      </c>
      <c r="E24" s="29">
        <v>9064.7639999999992</v>
      </c>
      <c r="F24" s="30">
        <v>0.90057002374477102</v>
      </c>
      <c r="G24" s="29">
        <v>13.388</v>
      </c>
    </row>
    <row r="25" spans="1:7" x14ac:dyDescent="0.2">
      <c r="A25" s="27" t="s">
        <v>1206</v>
      </c>
      <c r="B25" s="27" t="s">
        <v>1207</v>
      </c>
      <c r="C25" s="27" t="s">
        <v>1045</v>
      </c>
      <c r="D25" s="31">
        <v>800</v>
      </c>
      <c r="E25" s="29">
        <v>8009.1279999999997</v>
      </c>
      <c r="F25" s="30">
        <v>0.79569425008030104</v>
      </c>
      <c r="G25" s="29">
        <v>9.7151999999999994</v>
      </c>
    </row>
    <row r="26" spans="1:7" x14ac:dyDescent="0.2">
      <c r="A26" s="27" t="s">
        <v>1208</v>
      </c>
      <c r="B26" s="27" t="s">
        <v>1209</v>
      </c>
      <c r="C26" s="27" t="s">
        <v>1045</v>
      </c>
      <c r="D26" s="31">
        <v>800</v>
      </c>
      <c r="E26" s="29">
        <v>8009.1279999999997</v>
      </c>
      <c r="F26" s="30">
        <v>0.79569425008030104</v>
      </c>
      <c r="G26" s="29">
        <v>9.7151999999999994</v>
      </c>
    </row>
    <row r="27" spans="1:7" x14ac:dyDescent="0.2">
      <c r="A27" s="27" t="s">
        <v>1210</v>
      </c>
      <c r="B27" s="27" t="s">
        <v>1211</v>
      </c>
      <c r="C27" s="27" t="s">
        <v>1045</v>
      </c>
      <c r="D27" s="31">
        <v>780</v>
      </c>
      <c r="E27" s="29">
        <v>7808.8998000000001</v>
      </c>
      <c r="F27" s="30">
        <v>0.77580189382829301</v>
      </c>
      <c r="G27" s="29">
        <v>9.7151999999999994</v>
      </c>
    </row>
    <row r="28" spans="1:7" x14ac:dyDescent="0.2">
      <c r="A28" s="27" t="s">
        <v>1212</v>
      </c>
      <c r="B28" s="27" t="s">
        <v>1213</v>
      </c>
      <c r="C28" s="27" t="s">
        <v>1214</v>
      </c>
      <c r="D28" s="31">
        <v>750</v>
      </c>
      <c r="E28" s="29">
        <v>7674.6225000000004</v>
      </c>
      <c r="F28" s="30">
        <v>0.762461655599324</v>
      </c>
      <c r="G28" s="29">
        <v>7.1266999999999996</v>
      </c>
    </row>
    <row r="29" spans="1:7" x14ac:dyDescent="0.2">
      <c r="A29" s="27" t="s">
        <v>1215</v>
      </c>
      <c r="B29" s="27" t="s">
        <v>1216</v>
      </c>
      <c r="C29" s="27" t="s">
        <v>36</v>
      </c>
      <c r="D29" s="31">
        <v>750</v>
      </c>
      <c r="E29" s="29">
        <v>7653.57</v>
      </c>
      <c r="F29" s="30">
        <v>0.76037012288817096</v>
      </c>
      <c r="G29" s="29">
        <v>6.335</v>
      </c>
    </row>
    <row r="30" spans="1:7" x14ac:dyDescent="0.2">
      <c r="A30" s="27" t="s">
        <v>1140</v>
      </c>
      <c r="B30" s="27" t="s">
        <v>1141</v>
      </c>
      <c r="C30" s="27" t="s">
        <v>1142</v>
      </c>
      <c r="D30" s="31">
        <v>750</v>
      </c>
      <c r="E30" s="29">
        <v>7308.9075000000003</v>
      </c>
      <c r="F30" s="30">
        <v>0.72612844645744001</v>
      </c>
      <c r="G30" s="29">
        <v>12.6647</v>
      </c>
    </row>
    <row r="31" spans="1:7" x14ac:dyDescent="0.2">
      <c r="A31" s="27" t="s">
        <v>1069</v>
      </c>
      <c r="B31" s="27" t="s">
        <v>1070</v>
      </c>
      <c r="C31" s="27" t="s">
        <v>1025</v>
      </c>
      <c r="D31" s="31">
        <v>670</v>
      </c>
      <c r="E31" s="29">
        <v>6889.3888999999999</v>
      </c>
      <c r="F31" s="30">
        <v>0.684449934411967</v>
      </c>
      <c r="G31" s="29">
        <v>6.5594999999999999</v>
      </c>
    </row>
    <row r="32" spans="1:7" x14ac:dyDescent="0.2">
      <c r="A32" s="27" t="s">
        <v>1154</v>
      </c>
      <c r="B32" s="27" t="s">
        <v>1155</v>
      </c>
      <c r="C32" s="27" t="s">
        <v>1013</v>
      </c>
      <c r="D32" s="31">
        <v>2244</v>
      </c>
      <c r="E32" s="29">
        <v>5618.7067200000001</v>
      </c>
      <c r="F32" s="30">
        <v>0.55820966152514295</v>
      </c>
      <c r="G32" s="29">
        <v>9.4442000000000004</v>
      </c>
    </row>
    <row r="33" spans="1:9" x14ac:dyDescent="0.2">
      <c r="A33" s="27" t="s">
        <v>1217</v>
      </c>
      <c r="B33" s="27" t="s">
        <v>1218</v>
      </c>
      <c r="C33" s="27" t="s">
        <v>1025</v>
      </c>
      <c r="D33" s="31">
        <v>550</v>
      </c>
      <c r="E33" s="29">
        <v>5456.2475000000004</v>
      </c>
      <c r="F33" s="30">
        <v>0.54206959393894305</v>
      </c>
      <c r="G33" s="29">
        <v>9.3449000000000009</v>
      </c>
    </row>
    <row r="34" spans="1:9" x14ac:dyDescent="0.2">
      <c r="A34" s="27" t="s">
        <v>1219</v>
      </c>
      <c r="B34" s="27" t="s">
        <v>1220</v>
      </c>
      <c r="C34" s="27" t="s">
        <v>871</v>
      </c>
      <c r="D34" s="31">
        <v>550</v>
      </c>
      <c r="E34" s="29">
        <v>5441.777</v>
      </c>
      <c r="F34" s="30">
        <v>0.54063197255921402</v>
      </c>
      <c r="G34" s="29">
        <v>10.175000000000001</v>
      </c>
    </row>
    <row r="35" spans="1:9" x14ac:dyDescent="0.2">
      <c r="A35" s="27" t="s">
        <v>41</v>
      </c>
      <c r="B35" s="27" t="s">
        <v>40</v>
      </c>
      <c r="C35" s="27" t="s">
        <v>39</v>
      </c>
      <c r="D35" s="31">
        <v>500</v>
      </c>
      <c r="E35" s="29">
        <v>5317.2550000000001</v>
      </c>
      <c r="F35" s="30">
        <v>0.52826090801779302</v>
      </c>
      <c r="G35" s="29">
        <v>7.0876000000000001</v>
      </c>
    </row>
    <row r="36" spans="1:9" x14ac:dyDescent="0.2">
      <c r="A36" s="27" t="s">
        <v>1028</v>
      </c>
      <c r="B36" s="27" t="s">
        <v>1029</v>
      </c>
      <c r="C36" s="27" t="s">
        <v>36</v>
      </c>
      <c r="D36" s="31">
        <v>502</v>
      </c>
      <c r="E36" s="29">
        <v>5114.0045200000004</v>
      </c>
      <c r="F36" s="30">
        <v>0.508068293008761</v>
      </c>
      <c r="G36" s="29">
        <v>4.41</v>
      </c>
    </row>
    <row r="37" spans="1:9" x14ac:dyDescent="0.2">
      <c r="A37" s="27" t="s">
        <v>1166</v>
      </c>
      <c r="B37" s="27" t="s">
        <v>1167</v>
      </c>
      <c r="C37" s="27" t="s">
        <v>1045</v>
      </c>
      <c r="D37" s="31">
        <v>1600</v>
      </c>
      <c r="E37" s="29">
        <v>4020.6559999999999</v>
      </c>
      <c r="F37" s="30">
        <v>0.399445839890543</v>
      </c>
      <c r="G37" s="29">
        <v>8.5336999999999996</v>
      </c>
    </row>
    <row r="38" spans="1:9" x14ac:dyDescent="0.2">
      <c r="A38" s="27" t="s">
        <v>1221</v>
      </c>
      <c r="B38" s="27" t="s">
        <v>1222</v>
      </c>
      <c r="C38" s="27" t="s">
        <v>871</v>
      </c>
      <c r="D38" s="31">
        <v>300000</v>
      </c>
      <c r="E38" s="29">
        <v>2970.0210000000002</v>
      </c>
      <c r="F38" s="30">
        <v>0.29506690769803501</v>
      </c>
      <c r="G38" s="29">
        <v>10.35</v>
      </c>
    </row>
    <row r="39" spans="1:9" x14ac:dyDescent="0.2">
      <c r="A39" s="27" t="s">
        <v>1156</v>
      </c>
      <c r="B39" s="27" t="s">
        <v>1157</v>
      </c>
      <c r="C39" s="27" t="s">
        <v>986</v>
      </c>
      <c r="D39" s="31">
        <v>280</v>
      </c>
      <c r="E39" s="29">
        <v>2822.9011999999998</v>
      </c>
      <c r="F39" s="30">
        <v>0.28045078732475998</v>
      </c>
      <c r="G39" s="29">
        <v>10.118399999999999</v>
      </c>
    </row>
    <row r="40" spans="1:9" x14ac:dyDescent="0.2">
      <c r="A40" s="27" t="s">
        <v>1223</v>
      </c>
      <c r="B40" s="27" t="s">
        <v>1224</v>
      </c>
      <c r="C40" s="27" t="s">
        <v>1045</v>
      </c>
      <c r="D40" s="31">
        <v>500</v>
      </c>
      <c r="E40" s="29">
        <v>2505.6849999999999</v>
      </c>
      <c r="F40" s="30">
        <v>0.24893585756307801</v>
      </c>
      <c r="G40" s="29">
        <v>9.0687999999999995</v>
      </c>
    </row>
    <row r="41" spans="1:9" x14ac:dyDescent="0.2">
      <c r="A41" s="27" t="s">
        <v>1225</v>
      </c>
      <c r="B41" s="27" t="s">
        <v>1226</v>
      </c>
      <c r="C41" s="27" t="s">
        <v>871</v>
      </c>
      <c r="D41" s="31">
        <v>200</v>
      </c>
      <c r="E41" s="29">
        <v>1998.8</v>
      </c>
      <c r="F41" s="30">
        <v>0.198577631305244</v>
      </c>
      <c r="G41" s="29">
        <v>9.4788999999999994</v>
      </c>
    </row>
    <row r="42" spans="1:9" x14ac:dyDescent="0.2">
      <c r="A42" s="27" t="s">
        <v>1065</v>
      </c>
      <c r="B42" s="27" t="s">
        <v>1066</v>
      </c>
      <c r="C42" s="27" t="s">
        <v>1022</v>
      </c>
      <c r="D42" s="31">
        <v>2500</v>
      </c>
      <c r="E42" s="29">
        <v>1070.592858</v>
      </c>
      <c r="F42" s="30">
        <v>0.10636171394534299</v>
      </c>
      <c r="G42" s="29">
        <v>10.62355</v>
      </c>
    </row>
    <row r="43" spans="1:9" x14ac:dyDescent="0.2">
      <c r="A43" s="27" t="s">
        <v>1227</v>
      </c>
      <c r="B43" s="27" t="s">
        <v>1228</v>
      </c>
      <c r="C43" s="27" t="s">
        <v>1229</v>
      </c>
      <c r="D43" s="31">
        <v>200</v>
      </c>
      <c r="E43" s="29">
        <v>1002.378</v>
      </c>
      <c r="F43" s="30">
        <v>9.9584675261400704E-2</v>
      </c>
      <c r="G43" s="29">
        <v>11.645</v>
      </c>
    </row>
    <row r="44" spans="1:9" x14ac:dyDescent="0.2">
      <c r="A44" s="27" t="s">
        <v>1011</v>
      </c>
      <c r="B44" s="27" t="s">
        <v>1012</v>
      </c>
      <c r="C44" s="27" t="s">
        <v>1013</v>
      </c>
      <c r="D44" s="31">
        <v>61</v>
      </c>
      <c r="E44" s="29">
        <v>604.33736999999996</v>
      </c>
      <c r="F44" s="30">
        <v>6.0039965701341201E-2</v>
      </c>
      <c r="G44" s="29">
        <v>11.151899999999999</v>
      </c>
    </row>
    <row r="45" spans="1:9" x14ac:dyDescent="0.2">
      <c r="A45" s="27" t="s">
        <v>1056</v>
      </c>
      <c r="B45" s="27" t="s">
        <v>1044</v>
      </c>
      <c r="C45" s="27" t="s">
        <v>1045</v>
      </c>
      <c r="D45" s="31">
        <v>70</v>
      </c>
      <c r="E45" s="29">
        <v>585.7663</v>
      </c>
      <c r="F45" s="30">
        <v>5.8194959151709497E-2</v>
      </c>
      <c r="G45" s="29">
        <v>21.178999999999998</v>
      </c>
    </row>
    <row r="46" spans="1:9" x14ac:dyDescent="0.2">
      <c r="A46" s="27" t="s">
        <v>1230</v>
      </c>
      <c r="B46" s="27" t="s">
        <v>1231</v>
      </c>
      <c r="C46" s="27" t="s">
        <v>36</v>
      </c>
      <c r="D46" s="31">
        <v>34</v>
      </c>
      <c r="E46" s="29">
        <v>345.94116000000002</v>
      </c>
      <c r="F46" s="30">
        <v>3.4368709287466701E-2</v>
      </c>
      <c r="G46" s="29">
        <v>5.5941000000000001</v>
      </c>
    </row>
    <row r="47" spans="1:9" x14ac:dyDescent="0.2">
      <c r="A47" s="27" t="s">
        <v>901</v>
      </c>
      <c r="B47" s="27" t="s">
        <v>902</v>
      </c>
      <c r="C47" s="27" t="s">
        <v>42</v>
      </c>
      <c r="D47" s="31">
        <v>22</v>
      </c>
      <c r="E47" s="29">
        <v>230.60223999999999</v>
      </c>
      <c r="F47" s="30">
        <v>2.29099692780085E-2</v>
      </c>
      <c r="G47" s="29">
        <v>4.0347999999999997</v>
      </c>
    </row>
    <row r="48" spans="1:9" ht="10.5" x14ac:dyDescent="0.25">
      <c r="A48" s="26" t="s">
        <v>43</v>
      </c>
      <c r="B48" s="26"/>
      <c r="C48" s="26"/>
      <c r="D48" s="32"/>
      <c r="E48" s="33">
        <f>SUM(E6:E47)</f>
        <v>517552.46772800013</v>
      </c>
      <c r="F48" s="34">
        <f>SUM(F6:F47)</f>
        <v>51.4180223722283</v>
      </c>
      <c r="G48" s="33"/>
      <c r="H48" s="18"/>
      <c r="I48" s="18"/>
    </row>
    <row r="49" spans="1:9" x14ac:dyDescent="0.2">
      <c r="A49" s="27"/>
      <c r="B49" s="27"/>
      <c r="C49" s="27"/>
      <c r="D49" s="28"/>
      <c r="E49" s="29"/>
      <c r="F49" s="30"/>
      <c r="G49" s="29"/>
    </row>
    <row r="50" spans="1:9" ht="10.5" x14ac:dyDescent="0.25">
      <c r="A50" s="26" t="s">
        <v>44</v>
      </c>
      <c r="B50" s="27"/>
      <c r="C50" s="27"/>
      <c r="D50" s="28"/>
      <c r="E50" s="29"/>
      <c r="F50" s="30"/>
      <c r="G50" s="29"/>
    </row>
    <row r="51" spans="1:9" x14ac:dyDescent="0.2">
      <c r="A51" s="27" t="s">
        <v>1232</v>
      </c>
      <c r="B51" s="27" t="s">
        <v>1233</v>
      </c>
      <c r="C51" s="27" t="s">
        <v>871</v>
      </c>
      <c r="D51" s="31">
        <v>2400</v>
      </c>
      <c r="E51" s="29">
        <v>30360.671999999999</v>
      </c>
      <c r="F51" s="30">
        <v>3.0162849362594799</v>
      </c>
      <c r="G51" s="29">
        <v>4.0694999999999997</v>
      </c>
    </row>
    <row r="52" spans="1:9" x14ac:dyDescent="0.2">
      <c r="A52" s="27" t="s">
        <v>1174</v>
      </c>
      <c r="B52" s="27" t="s">
        <v>1175</v>
      </c>
      <c r="C52" s="27" t="s">
        <v>1022</v>
      </c>
      <c r="D52" s="31">
        <v>890</v>
      </c>
      <c r="E52" s="29">
        <v>13749.654500000001</v>
      </c>
      <c r="F52" s="30">
        <v>1.36600651484665</v>
      </c>
      <c r="G52" s="29">
        <v>10.473000000000001</v>
      </c>
    </row>
    <row r="53" spans="1:9" x14ac:dyDescent="0.2">
      <c r="A53" s="27" t="s">
        <v>1234</v>
      </c>
      <c r="B53" s="27" t="s">
        <v>1235</v>
      </c>
      <c r="C53" s="27" t="s">
        <v>1085</v>
      </c>
      <c r="D53" s="31">
        <v>1000</v>
      </c>
      <c r="E53" s="29">
        <v>10065.219999999999</v>
      </c>
      <c r="F53" s="30">
        <v>0.99996375133388404</v>
      </c>
      <c r="G53" s="29">
        <v>13.5905</v>
      </c>
    </row>
    <row r="54" spans="1:9" x14ac:dyDescent="0.2">
      <c r="A54" s="27" t="s">
        <v>1236</v>
      </c>
      <c r="B54" s="27" t="s">
        <v>1237</v>
      </c>
      <c r="C54" s="27" t="s">
        <v>1085</v>
      </c>
      <c r="D54" s="31">
        <v>850</v>
      </c>
      <c r="E54" s="29">
        <v>8574.8340000000007</v>
      </c>
      <c r="F54" s="30">
        <v>0.85189625002785196</v>
      </c>
      <c r="G54" s="29">
        <v>12.244999999999999</v>
      </c>
    </row>
    <row r="55" spans="1:9" x14ac:dyDescent="0.2">
      <c r="A55" s="27" t="s">
        <v>46</v>
      </c>
      <c r="B55" s="27" t="s">
        <v>45</v>
      </c>
      <c r="C55" s="27" t="s">
        <v>47</v>
      </c>
      <c r="D55" s="31">
        <v>7</v>
      </c>
      <c r="E55" s="29">
        <v>966.19039999999995</v>
      </c>
      <c r="F55" s="30">
        <v>9.5989494207457504E-2</v>
      </c>
      <c r="G55" s="29">
        <v>10.46</v>
      </c>
    </row>
    <row r="56" spans="1:9" ht="10.5" x14ac:dyDescent="0.25">
      <c r="A56" s="26" t="s">
        <v>43</v>
      </c>
      <c r="B56" s="26"/>
      <c r="C56" s="26"/>
      <c r="D56" s="32"/>
      <c r="E56" s="33">
        <f>SUM(E50:E55)</f>
        <v>63716.570899999999</v>
      </c>
      <c r="F56" s="34">
        <f>SUM(F50:F55)</f>
        <v>6.3301409466753231</v>
      </c>
      <c r="G56" s="33"/>
      <c r="H56" s="18"/>
      <c r="I56" s="18"/>
    </row>
    <row r="57" spans="1:9" x14ac:dyDescent="0.2">
      <c r="A57" s="27"/>
      <c r="B57" s="27"/>
      <c r="C57" s="27"/>
      <c r="D57" s="28"/>
      <c r="E57" s="29"/>
      <c r="F57" s="30"/>
      <c r="G57" s="29"/>
    </row>
    <row r="58" spans="1:9" ht="10.5" x14ac:dyDescent="0.25">
      <c r="A58" s="26" t="s">
        <v>48</v>
      </c>
      <c r="B58" s="26"/>
      <c r="C58" s="26"/>
      <c r="D58" s="32"/>
      <c r="E58" s="33">
        <f>E48+E56</f>
        <v>581269.03862800018</v>
      </c>
      <c r="F58" s="34">
        <f>F48+F56</f>
        <v>57.748163318903622</v>
      </c>
      <c r="G58" s="33"/>
      <c r="H58" s="18"/>
      <c r="I58" s="18"/>
    </row>
    <row r="59" spans="1:9" ht="10.5" x14ac:dyDescent="0.25">
      <c r="A59" s="26"/>
      <c r="B59" s="26"/>
      <c r="C59" s="26"/>
      <c r="D59" s="32"/>
      <c r="E59" s="33"/>
      <c r="F59" s="34"/>
      <c r="G59" s="33"/>
      <c r="H59" s="18"/>
      <c r="I59" s="18"/>
    </row>
    <row r="60" spans="1:9" ht="10.5" x14ac:dyDescent="0.25">
      <c r="A60" s="26" t="s">
        <v>50</v>
      </c>
      <c r="B60" s="26"/>
      <c r="C60" s="26"/>
      <c r="D60" s="32"/>
      <c r="E60" s="33">
        <f>E62-(E48+E56)</f>
        <v>425289.44777449977</v>
      </c>
      <c r="F60" s="34">
        <f>F62-(F48+F56)</f>
        <v>42.251836681096378</v>
      </c>
      <c r="G60" s="33"/>
      <c r="H60" s="18"/>
      <c r="I60" s="18"/>
    </row>
    <row r="61" spans="1:9" ht="10.5" x14ac:dyDescent="0.25">
      <c r="A61" s="26"/>
      <c r="B61" s="26"/>
      <c r="C61" s="26"/>
      <c r="D61" s="32"/>
      <c r="E61" s="33"/>
      <c r="F61" s="34"/>
      <c r="G61" s="33"/>
      <c r="H61" s="18"/>
      <c r="I61" s="18"/>
    </row>
    <row r="62" spans="1:9" ht="10.5" x14ac:dyDescent="0.25">
      <c r="A62" s="35" t="s">
        <v>49</v>
      </c>
      <c r="B62" s="35"/>
      <c r="C62" s="35"/>
      <c r="D62" s="36"/>
      <c r="E62" s="37">
        <v>1006558.4864025</v>
      </c>
      <c r="F62" s="38">
        <v>100</v>
      </c>
      <c r="G62" s="37"/>
      <c r="H62" s="18"/>
      <c r="I62" s="18"/>
    </row>
    <row r="64" spans="1:9" ht="10.5" x14ac:dyDescent="0.25">
      <c r="A64" s="18" t="s">
        <v>766</v>
      </c>
    </row>
    <row r="66" spans="1:4" ht="10.5" x14ac:dyDescent="0.25">
      <c r="A66" s="18" t="s">
        <v>51</v>
      </c>
    </row>
    <row r="67" spans="1:4" ht="10.5" x14ac:dyDescent="0.25">
      <c r="A67" s="18" t="s">
        <v>713</v>
      </c>
    </row>
    <row r="68" spans="1:4" ht="10.5" x14ac:dyDescent="0.25">
      <c r="A68" s="18" t="s">
        <v>53</v>
      </c>
      <c r="B68" s="18"/>
      <c r="C68" s="39" t="s">
        <v>55</v>
      </c>
      <c r="D68" s="19" t="s">
        <v>714</v>
      </c>
    </row>
    <row r="69" spans="1:4" x14ac:dyDescent="0.2">
      <c r="A69" s="9" t="s">
        <v>838</v>
      </c>
      <c r="C69" s="40">
        <v>25.998899999999999</v>
      </c>
      <c r="D69" s="40">
        <v>27.262699999999999</v>
      </c>
    </row>
    <row r="70" spans="1:4" x14ac:dyDescent="0.2">
      <c r="A70" s="9" t="s">
        <v>839</v>
      </c>
      <c r="C70" s="40">
        <v>9.8019999999999996</v>
      </c>
      <c r="D70" s="40">
        <v>10.278499999999999</v>
      </c>
    </row>
    <row r="71" spans="1:4" x14ac:dyDescent="0.2">
      <c r="A71" s="9" t="s">
        <v>1238</v>
      </c>
      <c r="C71" s="40">
        <v>9.8831000000000007</v>
      </c>
      <c r="D71" s="40">
        <v>10.3635</v>
      </c>
    </row>
    <row r="72" spans="1:4" x14ac:dyDescent="0.2">
      <c r="A72" s="9" t="s">
        <v>770</v>
      </c>
      <c r="C72" s="40">
        <v>26.648599999999998</v>
      </c>
      <c r="D72" s="40">
        <v>27.956499999999998</v>
      </c>
    </row>
    <row r="73" spans="1:4" x14ac:dyDescent="0.2">
      <c r="A73" s="9" t="s">
        <v>1239</v>
      </c>
      <c r="C73" s="40">
        <v>9.7594999999999992</v>
      </c>
      <c r="D73" s="40">
        <v>10.2385</v>
      </c>
    </row>
    <row r="74" spans="1:4" x14ac:dyDescent="0.2">
      <c r="A74" s="9" t="s">
        <v>774</v>
      </c>
      <c r="C74" s="40">
        <v>27.531500000000001</v>
      </c>
      <c r="D74" s="40">
        <v>28.891300000000001</v>
      </c>
    </row>
    <row r="75" spans="1:4" x14ac:dyDescent="0.2">
      <c r="A75" s="9" t="s">
        <v>1240</v>
      </c>
      <c r="C75" s="40">
        <v>9.8404000000000007</v>
      </c>
      <c r="D75" s="40">
        <v>10.3264</v>
      </c>
    </row>
    <row r="76" spans="1:4" x14ac:dyDescent="0.2">
      <c r="A76" s="9" t="s">
        <v>776</v>
      </c>
      <c r="C76" s="40">
        <v>9.8658999999999999</v>
      </c>
      <c r="D76" s="40">
        <v>10.353199999999999</v>
      </c>
    </row>
    <row r="77" spans="1:4" x14ac:dyDescent="0.2">
      <c r="A77" s="9" t="s">
        <v>1241</v>
      </c>
      <c r="C77" s="40">
        <v>27.6816</v>
      </c>
      <c r="D77" s="40">
        <v>29.061900000000001</v>
      </c>
    </row>
    <row r="78" spans="1:4" x14ac:dyDescent="0.2">
      <c r="A78" s="9" t="s">
        <v>1242</v>
      </c>
      <c r="C78" s="40">
        <v>9.8249999999999993</v>
      </c>
      <c r="D78" s="40">
        <v>10.3149</v>
      </c>
    </row>
    <row r="79" spans="1:4" x14ac:dyDescent="0.2">
      <c r="A79" s="9" t="s">
        <v>1243</v>
      </c>
      <c r="C79" s="40">
        <v>9.8613</v>
      </c>
      <c r="D79" s="40">
        <v>10.353</v>
      </c>
    </row>
    <row r="81" spans="1:7" ht="10.5" x14ac:dyDescent="0.25">
      <c r="A81" s="18" t="s">
        <v>715</v>
      </c>
      <c r="D81" s="41" t="s">
        <v>57</v>
      </c>
    </row>
    <row r="83" spans="1:7" ht="10.5" x14ac:dyDescent="0.25">
      <c r="A83" s="18" t="s">
        <v>785</v>
      </c>
      <c r="D83" s="42">
        <v>0.768609089534247</v>
      </c>
      <c r="E83" s="13" t="s">
        <v>58</v>
      </c>
    </row>
    <row r="85" spans="1:7" ht="10.5" x14ac:dyDescent="0.25">
      <c r="A85" s="18" t="s">
        <v>786</v>
      </c>
      <c r="D85" s="41" t="s">
        <v>57</v>
      </c>
    </row>
    <row r="87" spans="1:7" ht="30" customHeight="1" x14ac:dyDescent="0.2">
      <c r="A87" s="86" t="s">
        <v>1244</v>
      </c>
      <c r="B87" s="86"/>
      <c r="C87" s="86"/>
      <c r="D87" s="86"/>
      <c r="E87" s="86"/>
      <c r="F87" s="86"/>
      <c r="G87" s="86"/>
    </row>
  </sheetData>
  <mergeCells count="2">
    <mergeCell ref="A1:G1"/>
    <mergeCell ref="A87:G87"/>
  </mergeCells>
  <conditionalFormatting sqref="F2:F3 F5:F86 F88:F65536">
    <cfRule type="cellIs" dxfId="7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16"/>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9" t="s">
        <v>1245</v>
      </c>
      <c r="B1" s="80"/>
      <c r="C1" s="80"/>
      <c r="D1" s="80"/>
      <c r="E1" s="80"/>
      <c r="F1" s="80"/>
      <c r="G1" s="80"/>
    </row>
    <row r="2" spans="1:7" s="1" customFormat="1" ht="11.5" x14ac:dyDescent="0.25">
      <c r="A2" s="58" t="s">
        <v>1010</v>
      </c>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869</v>
      </c>
      <c r="B7" s="27" t="s">
        <v>870</v>
      </c>
      <c r="C7" s="27" t="s">
        <v>871</v>
      </c>
      <c r="D7" s="31">
        <v>7200</v>
      </c>
      <c r="E7" s="29">
        <v>67502.808000000005</v>
      </c>
      <c r="F7" s="30">
        <v>12.7267982433548</v>
      </c>
      <c r="G7" s="29">
        <v>13.2049</v>
      </c>
    </row>
    <row r="8" spans="1:7" x14ac:dyDescent="0.2">
      <c r="A8" s="27" t="s">
        <v>1026</v>
      </c>
      <c r="B8" s="27" t="s">
        <v>1027</v>
      </c>
      <c r="C8" s="27" t="s">
        <v>1025</v>
      </c>
      <c r="D8" s="31">
        <v>4813</v>
      </c>
      <c r="E8" s="29">
        <v>37924.745819999996</v>
      </c>
      <c r="F8" s="30">
        <v>7.1502297872061096</v>
      </c>
      <c r="G8" s="29">
        <v>11.154500000000001</v>
      </c>
    </row>
    <row r="9" spans="1:7" x14ac:dyDescent="0.2">
      <c r="A9" s="27" t="s">
        <v>1056</v>
      </c>
      <c r="B9" s="27" t="s">
        <v>1044</v>
      </c>
      <c r="C9" s="27" t="s">
        <v>1045</v>
      </c>
      <c r="D9" s="31">
        <v>3100</v>
      </c>
      <c r="E9" s="29">
        <v>25941.079000000002</v>
      </c>
      <c r="F9" s="30">
        <v>4.8908614090235902</v>
      </c>
      <c r="G9" s="29">
        <v>21.178999999999998</v>
      </c>
    </row>
    <row r="10" spans="1:7" x14ac:dyDescent="0.2">
      <c r="A10" s="27" t="s">
        <v>1246</v>
      </c>
      <c r="B10" s="27" t="s">
        <v>1247</v>
      </c>
      <c r="C10" s="27" t="s">
        <v>1013</v>
      </c>
      <c r="D10" s="31">
        <v>11135</v>
      </c>
      <c r="E10" s="29">
        <v>22585.85541</v>
      </c>
      <c r="F10" s="30">
        <v>4.2582765587567</v>
      </c>
      <c r="G10" s="29">
        <v>10.2935</v>
      </c>
    </row>
    <row r="11" spans="1:7" x14ac:dyDescent="0.2">
      <c r="A11" s="27" t="s">
        <v>1248</v>
      </c>
      <c r="B11" s="27" t="s">
        <v>1249</v>
      </c>
      <c r="C11" s="27" t="s">
        <v>1013</v>
      </c>
      <c r="D11" s="31">
        <v>10675</v>
      </c>
      <c r="E11" s="29">
        <v>21788.059300000001</v>
      </c>
      <c r="F11" s="30">
        <v>4.1078622214553002</v>
      </c>
      <c r="G11" s="29">
        <v>9.9596</v>
      </c>
    </row>
    <row r="12" spans="1:7" x14ac:dyDescent="0.2">
      <c r="A12" s="27" t="s">
        <v>1016</v>
      </c>
      <c r="B12" s="27" t="s">
        <v>1017</v>
      </c>
      <c r="C12" s="27" t="s">
        <v>39</v>
      </c>
      <c r="D12" s="31">
        <v>2020</v>
      </c>
      <c r="E12" s="29">
        <v>20036.077000000001</v>
      </c>
      <c r="F12" s="30">
        <v>3.7775481809189699</v>
      </c>
      <c r="G12" s="29">
        <v>16.4498</v>
      </c>
    </row>
    <row r="13" spans="1:7" x14ac:dyDescent="0.2">
      <c r="A13" s="27" t="s">
        <v>1035</v>
      </c>
      <c r="B13" s="27" t="s">
        <v>1036</v>
      </c>
      <c r="C13" s="27" t="s">
        <v>1037</v>
      </c>
      <c r="D13" s="31">
        <v>1735</v>
      </c>
      <c r="E13" s="29">
        <v>17524.575700000001</v>
      </c>
      <c r="F13" s="30">
        <v>3.30403646666519</v>
      </c>
      <c r="G13" s="29">
        <v>10.483700000000001</v>
      </c>
    </row>
    <row r="14" spans="1:7" x14ac:dyDescent="0.2">
      <c r="A14" s="27" t="s">
        <v>1061</v>
      </c>
      <c r="B14" s="27" t="s">
        <v>1062</v>
      </c>
      <c r="C14" s="27" t="s">
        <v>1013</v>
      </c>
      <c r="D14" s="31">
        <v>1349</v>
      </c>
      <c r="E14" s="29">
        <v>13467.228880000001</v>
      </c>
      <c r="F14" s="30">
        <v>2.5390751871069099</v>
      </c>
      <c r="G14" s="29">
        <v>10.775499999999999</v>
      </c>
    </row>
    <row r="15" spans="1:7" x14ac:dyDescent="0.2">
      <c r="A15" s="27" t="s">
        <v>1250</v>
      </c>
      <c r="B15" s="27" t="s">
        <v>1251</v>
      </c>
      <c r="C15" s="27" t="s">
        <v>1045</v>
      </c>
      <c r="D15" s="31">
        <v>12500</v>
      </c>
      <c r="E15" s="29">
        <v>12272.7</v>
      </c>
      <c r="F15" s="30">
        <v>2.3138619181771101</v>
      </c>
      <c r="G15" s="29">
        <v>11.3003</v>
      </c>
    </row>
    <row r="16" spans="1:7" x14ac:dyDescent="0.2">
      <c r="A16" s="27" t="s">
        <v>1252</v>
      </c>
      <c r="B16" s="27" t="s">
        <v>1253</v>
      </c>
      <c r="C16" s="27" t="s">
        <v>1025</v>
      </c>
      <c r="D16" s="31">
        <v>1250</v>
      </c>
      <c r="E16" s="29">
        <v>12148.2</v>
      </c>
      <c r="F16" s="30">
        <v>2.29038902233405</v>
      </c>
      <c r="G16" s="29">
        <v>10.345000000000001</v>
      </c>
    </row>
    <row r="17" spans="1:7" x14ac:dyDescent="0.2">
      <c r="A17" s="27" t="s">
        <v>1254</v>
      </c>
      <c r="B17" s="27" t="s">
        <v>1255</v>
      </c>
      <c r="C17" s="27" t="s">
        <v>986</v>
      </c>
      <c r="D17" s="31">
        <v>1180</v>
      </c>
      <c r="E17" s="29">
        <v>11872.8886</v>
      </c>
      <c r="F17" s="30">
        <v>2.2384825499115202</v>
      </c>
      <c r="G17" s="29">
        <v>12.174899999999999</v>
      </c>
    </row>
    <row r="18" spans="1:7" x14ac:dyDescent="0.2">
      <c r="A18" s="27" t="s">
        <v>1162</v>
      </c>
      <c r="B18" s="27" t="s">
        <v>1163</v>
      </c>
      <c r="C18" s="27" t="s">
        <v>871</v>
      </c>
      <c r="D18" s="31">
        <v>1300</v>
      </c>
      <c r="E18" s="29">
        <v>11769.316000000001</v>
      </c>
      <c r="F18" s="30">
        <v>2.2189552498955001</v>
      </c>
      <c r="G18" s="29">
        <v>13.342700000000001</v>
      </c>
    </row>
    <row r="19" spans="1:7" x14ac:dyDescent="0.2">
      <c r="A19" s="27" t="s">
        <v>1052</v>
      </c>
      <c r="B19" s="27" t="s">
        <v>1053</v>
      </c>
      <c r="C19" s="27" t="s">
        <v>1022</v>
      </c>
      <c r="D19" s="31">
        <v>1150</v>
      </c>
      <c r="E19" s="29">
        <v>11572.473</v>
      </c>
      <c r="F19" s="30">
        <v>2.18184299900045</v>
      </c>
      <c r="G19" s="29">
        <v>11.803900000000001</v>
      </c>
    </row>
    <row r="20" spans="1:7" x14ac:dyDescent="0.2">
      <c r="A20" s="27" t="s">
        <v>1054</v>
      </c>
      <c r="B20" s="27" t="s">
        <v>1055</v>
      </c>
      <c r="C20" s="27" t="s">
        <v>39</v>
      </c>
      <c r="D20" s="31">
        <v>1000</v>
      </c>
      <c r="E20" s="29">
        <v>9860.61</v>
      </c>
      <c r="F20" s="30">
        <v>1.85909294360624</v>
      </c>
      <c r="G20" s="29">
        <v>11.3492</v>
      </c>
    </row>
    <row r="21" spans="1:7" x14ac:dyDescent="0.2">
      <c r="A21" s="27" t="s">
        <v>1011</v>
      </c>
      <c r="B21" s="27" t="s">
        <v>1012</v>
      </c>
      <c r="C21" s="27" t="s">
        <v>1013</v>
      </c>
      <c r="D21" s="31">
        <v>879</v>
      </c>
      <c r="E21" s="29">
        <v>8708.4024300000001</v>
      </c>
      <c r="F21" s="30">
        <v>1.6418588208738101</v>
      </c>
      <c r="G21" s="29">
        <v>11.151899999999999</v>
      </c>
    </row>
    <row r="22" spans="1:7" x14ac:dyDescent="0.2">
      <c r="A22" s="27" t="s">
        <v>1043</v>
      </c>
      <c r="B22" s="27" t="s">
        <v>1044</v>
      </c>
      <c r="C22" s="27" t="s">
        <v>1045</v>
      </c>
      <c r="D22" s="31">
        <v>1000</v>
      </c>
      <c r="E22" s="29">
        <v>8376.3799999999992</v>
      </c>
      <c r="F22" s="30">
        <v>1.579260203067</v>
      </c>
      <c r="G22" s="29">
        <v>21.105499999999999</v>
      </c>
    </row>
    <row r="23" spans="1:7" x14ac:dyDescent="0.2">
      <c r="A23" s="27" t="s">
        <v>1256</v>
      </c>
      <c r="B23" s="27" t="s">
        <v>1257</v>
      </c>
      <c r="C23" s="27" t="s">
        <v>1045</v>
      </c>
      <c r="D23" s="31">
        <v>8500</v>
      </c>
      <c r="E23" s="29">
        <v>8349.652</v>
      </c>
      <c r="F23" s="30">
        <v>1.57422097768472</v>
      </c>
      <c r="G23" s="29">
        <v>11.3004</v>
      </c>
    </row>
    <row r="24" spans="1:7" x14ac:dyDescent="0.2">
      <c r="A24" s="27" t="s">
        <v>1170</v>
      </c>
      <c r="B24" s="27" t="s">
        <v>1171</v>
      </c>
      <c r="C24" s="27" t="s">
        <v>1013</v>
      </c>
      <c r="D24" s="31">
        <v>822</v>
      </c>
      <c r="E24" s="29">
        <v>8098.8289800000002</v>
      </c>
      <c r="F24" s="30">
        <v>1.5269314787007899</v>
      </c>
      <c r="G24" s="29">
        <v>11.201700000000001</v>
      </c>
    </row>
    <row r="25" spans="1:7" x14ac:dyDescent="0.2">
      <c r="A25" s="27" t="s">
        <v>1172</v>
      </c>
      <c r="B25" s="27" t="s">
        <v>1173</v>
      </c>
      <c r="C25" s="27" t="s">
        <v>1013</v>
      </c>
      <c r="D25" s="31">
        <v>822</v>
      </c>
      <c r="E25" s="29">
        <v>8055.8301600000004</v>
      </c>
      <c r="F25" s="30">
        <v>1.51882459658645</v>
      </c>
      <c r="G25" s="29">
        <v>11.236499999999999</v>
      </c>
    </row>
    <row r="26" spans="1:7" x14ac:dyDescent="0.2">
      <c r="A26" s="27" t="s">
        <v>1160</v>
      </c>
      <c r="B26" s="27" t="s">
        <v>1161</v>
      </c>
      <c r="C26" s="27" t="s">
        <v>986</v>
      </c>
      <c r="D26" s="31">
        <v>760</v>
      </c>
      <c r="E26" s="29">
        <v>7668.9548000000004</v>
      </c>
      <c r="F26" s="30">
        <v>1.4458841545822501</v>
      </c>
      <c r="G26" s="29">
        <v>11.3748</v>
      </c>
    </row>
    <row r="27" spans="1:7" x14ac:dyDescent="0.2">
      <c r="A27" s="27" t="s">
        <v>1030</v>
      </c>
      <c r="B27" s="27" t="s">
        <v>1031</v>
      </c>
      <c r="C27" s="27" t="s">
        <v>1022</v>
      </c>
      <c r="D27" s="31">
        <v>750</v>
      </c>
      <c r="E27" s="29">
        <v>7543.5225</v>
      </c>
      <c r="F27" s="30">
        <v>1.4222354853994801</v>
      </c>
      <c r="G27" s="29">
        <v>12.074999999999999</v>
      </c>
    </row>
    <row r="28" spans="1:7" x14ac:dyDescent="0.2">
      <c r="A28" s="27" t="s">
        <v>1258</v>
      </c>
      <c r="B28" s="27" t="s">
        <v>1259</v>
      </c>
      <c r="C28" s="27" t="s">
        <v>1013</v>
      </c>
      <c r="D28" s="31">
        <v>754</v>
      </c>
      <c r="E28" s="29">
        <v>7336.3295200000002</v>
      </c>
      <c r="F28" s="30">
        <v>1.3831718770544801</v>
      </c>
      <c r="G28" s="29">
        <v>11.3277</v>
      </c>
    </row>
    <row r="29" spans="1:7" x14ac:dyDescent="0.2">
      <c r="A29" s="27" t="s">
        <v>1227</v>
      </c>
      <c r="B29" s="27" t="s">
        <v>1228</v>
      </c>
      <c r="C29" s="27" t="s">
        <v>1229</v>
      </c>
      <c r="D29" s="31">
        <v>1390</v>
      </c>
      <c r="E29" s="29">
        <v>6966.5271000000002</v>
      </c>
      <c r="F29" s="30">
        <v>1.3134503213342501</v>
      </c>
      <c r="G29" s="29">
        <v>11.645</v>
      </c>
    </row>
    <row r="30" spans="1:7" x14ac:dyDescent="0.2">
      <c r="A30" s="27" t="s">
        <v>1260</v>
      </c>
      <c r="B30" s="27" t="s">
        <v>1261</v>
      </c>
      <c r="C30" s="27" t="s">
        <v>1229</v>
      </c>
      <c r="D30" s="31">
        <v>690</v>
      </c>
      <c r="E30" s="29">
        <v>6832.1454000000003</v>
      </c>
      <c r="F30" s="30">
        <v>1.2881143562955899</v>
      </c>
      <c r="G30" s="29">
        <v>11.470599999999999</v>
      </c>
    </row>
    <row r="31" spans="1:7" x14ac:dyDescent="0.2">
      <c r="A31" s="27" t="s">
        <v>1057</v>
      </c>
      <c r="B31" s="27" t="s">
        <v>1058</v>
      </c>
      <c r="C31" s="27" t="s">
        <v>36</v>
      </c>
      <c r="D31" s="31">
        <v>550</v>
      </c>
      <c r="E31" s="29">
        <v>5417.5330000000004</v>
      </c>
      <c r="F31" s="30">
        <v>1.0214071312072901</v>
      </c>
      <c r="G31" s="29">
        <v>12.0846</v>
      </c>
    </row>
    <row r="32" spans="1:7" x14ac:dyDescent="0.2">
      <c r="A32" s="27" t="s">
        <v>875</v>
      </c>
      <c r="B32" s="27" t="s">
        <v>876</v>
      </c>
      <c r="C32" s="27" t="s">
        <v>877</v>
      </c>
      <c r="D32" s="31">
        <v>460</v>
      </c>
      <c r="E32" s="29">
        <v>5078.4736000000003</v>
      </c>
      <c r="F32" s="30">
        <v>0.95748178196385403</v>
      </c>
      <c r="G32" s="29">
        <v>8.0469000000000008</v>
      </c>
    </row>
    <row r="33" spans="1:7" x14ac:dyDescent="0.2">
      <c r="A33" s="27" t="s">
        <v>1262</v>
      </c>
      <c r="B33" s="27" t="s">
        <v>1263</v>
      </c>
      <c r="C33" s="27" t="s">
        <v>1022</v>
      </c>
      <c r="D33" s="31">
        <v>500</v>
      </c>
      <c r="E33" s="29">
        <v>5031.51</v>
      </c>
      <c r="F33" s="30">
        <v>0.948627390869759</v>
      </c>
      <c r="G33" s="29">
        <v>11.803900000000001</v>
      </c>
    </row>
    <row r="34" spans="1:7" x14ac:dyDescent="0.2">
      <c r="A34" s="27" t="s">
        <v>1135</v>
      </c>
      <c r="B34" s="27" t="s">
        <v>1136</v>
      </c>
      <c r="C34" s="27" t="s">
        <v>1137</v>
      </c>
      <c r="D34" s="31">
        <v>500</v>
      </c>
      <c r="E34" s="29">
        <v>5017.2449999999999</v>
      </c>
      <c r="F34" s="30">
        <v>0.94593790605689798</v>
      </c>
      <c r="G34" s="29">
        <v>11.705</v>
      </c>
    </row>
    <row r="35" spans="1:7" x14ac:dyDescent="0.2">
      <c r="A35" s="27" t="s">
        <v>1264</v>
      </c>
      <c r="B35" s="27" t="s">
        <v>1265</v>
      </c>
      <c r="C35" s="27" t="s">
        <v>1034</v>
      </c>
      <c r="D35" s="31">
        <v>500</v>
      </c>
      <c r="E35" s="29">
        <v>4969.8950000000004</v>
      </c>
      <c r="F35" s="30">
        <v>0.937010664143897</v>
      </c>
      <c r="G35" s="29">
        <v>10.824999999999999</v>
      </c>
    </row>
    <row r="36" spans="1:7" x14ac:dyDescent="0.2">
      <c r="A36" s="27" t="s">
        <v>1266</v>
      </c>
      <c r="B36" s="27" t="s">
        <v>1267</v>
      </c>
      <c r="C36" s="27" t="s">
        <v>1034</v>
      </c>
      <c r="D36" s="31">
        <v>500</v>
      </c>
      <c r="E36" s="29">
        <v>4969.4350000000004</v>
      </c>
      <c r="F36" s="30">
        <v>0.93692393697853305</v>
      </c>
      <c r="G36" s="29">
        <v>10.824999999999999</v>
      </c>
    </row>
    <row r="37" spans="1:7" x14ac:dyDescent="0.2">
      <c r="A37" s="27" t="s">
        <v>1202</v>
      </c>
      <c r="B37" s="27" t="s">
        <v>1203</v>
      </c>
      <c r="C37" s="27" t="s">
        <v>1025</v>
      </c>
      <c r="D37" s="31">
        <v>500</v>
      </c>
      <c r="E37" s="29">
        <v>4953.7250000000004</v>
      </c>
      <c r="F37" s="30">
        <v>0.93396201574404003</v>
      </c>
      <c r="G37" s="29">
        <v>9.5998000000000001</v>
      </c>
    </row>
    <row r="38" spans="1:7" x14ac:dyDescent="0.2">
      <c r="A38" s="27" t="s">
        <v>1186</v>
      </c>
      <c r="B38" s="27" t="s">
        <v>1187</v>
      </c>
      <c r="C38" s="27" t="s">
        <v>1025</v>
      </c>
      <c r="D38" s="31">
        <v>450</v>
      </c>
      <c r="E38" s="29">
        <v>4508.4195</v>
      </c>
      <c r="F38" s="30">
        <v>0.85000531197023199</v>
      </c>
      <c r="G38" s="29">
        <v>9.1212999999999997</v>
      </c>
    </row>
    <row r="39" spans="1:7" x14ac:dyDescent="0.2">
      <c r="A39" s="27" t="s">
        <v>1268</v>
      </c>
      <c r="B39" s="27" t="s">
        <v>1269</v>
      </c>
      <c r="C39" s="27" t="s">
        <v>1013</v>
      </c>
      <c r="D39" s="31">
        <v>2125</v>
      </c>
      <c r="E39" s="29">
        <v>4233.4589999999998</v>
      </c>
      <c r="F39" s="30">
        <v>0.79816499729188595</v>
      </c>
      <c r="G39" s="29">
        <v>10.8293</v>
      </c>
    </row>
    <row r="40" spans="1:7" x14ac:dyDescent="0.2">
      <c r="A40" s="27" t="s">
        <v>1063</v>
      </c>
      <c r="B40" s="27" t="s">
        <v>1064</v>
      </c>
      <c r="C40" s="27" t="s">
        <v>986</v>
      </c>
      <c r="D40" s="31">
        <v>370</v>
      </c>
      <c r="E40" s="29">
        <v>3735.3461000000002</v>
      </c>
      <c r="F40" s="30">
        <v>0.70425212805669302</v>
      </c>
      <c r="G40" s="29">
        <v>9.8941999999999997</v>
      </c>
    </row>
    <row r="41" spans="1:7" x14ac:dyDescent="0.2">
      <c r="A41" s="27" t="s">
        <v>1152</v>
      </c>
      <c r="B41" s="27" t="s">
        <v>1153</v>
      </c>
      <c r="C41" s="27" t="s">
        <v>1013</v>
      </c>
      <c r="D41" s="31">
        <v>350</v>
      </c>
      <c r="E41" s="29">
        <v>3506.384</v>
      </c>
      <c r="F41" s="30">
        <v>0.66108422825502999</v>
      </c>
      <c r="G41" s="29">
        <v>9.7750000000000004</v>
      </c>
    </row>
    <row r="42" spans="1:7" x14ac:dyDescent="0.2">
      <c r="A42" s="27" t="s">
        <v>1270</v>
      </c>
      <c r="B42" s="27" t="s">
        <v>1271</v>
      </c>
      <c r="C42" s="27" t="s">
        <v>1034</v>
      </c>
      <c r="D42" s="31">
        <v>350</v>
      </c>
      <c r="E42" s="29">
        <v>3473.2950000000001</v>
      </c>
      <c r="F42" s="30">
        <v>0.65484571700562599</v>
      </c>
      <c r="G42" s="29">
        <v>9.5549999999999997</v>
      </c>
    </row>
    <row r="43" spans="1:7" x14ac:dyDescent="0.2">
      <c r="A43" s="27" t="s">
        <v>1272</v>
      </c>
      <c r="B43" s="27" t="s">
        <v>1273</v>
      </c>
      <c r="C43" s="27" t="s">
        <v>1151</v>
      </c>
      <c r="D43" s="31">
        <v>272</v>
      </c>
      <c r="E43" s="29">
        <v>2715.84656</v>
      </c>
      <c r="F43" s="30">
        <v>0.51203842111322595</v>
      </c>
      <c r="G43" s="29">
        <v>10.91</v>
      </c>
    </row>
    <row r="44" spans="1:7" x14ac:dyDescent="0.2">
      <c r="A44" s="27" t="s">
        <v>1223</v>
      </c>
      <c r="B44" s="27" t="s">
        <v>1224</v>
      </c>
      <c r="C44" s="27" t="s">
        <v>1045</v>
      </c>
      <c r="D44" s="31">
        <v>500</v>
      </c>
      <c r="E44" s="29">
        <v>2505.6849999999999</v>
      </c>
      <c r="F44" s="30">
        <v>0.47241512466267399</v>
      </c>
      <c r="G44" s="29">
        <v>9.0687999999999995</v>
      </c>
    </row>
    <row r="45" spans="1:7" x14ac:dyDescent="0.2">
      <c r="A45" s="27" t="s">
        <v>1192</v>
      </c>
      <c r="B45" s="27" t="s">
        <v>1193</v>
      </c>
      <c r="C45" s="27" t="s">
        <v>1025</v>
      </c>
      <c r="D45" s="31">
        <v>250</v>
      </c>
      <c r="E45" s="29">
        <v>2483.2049999999999</v>
      </c>
      <c r="F45" s="30">
        <v>0.468176805798804</v>
      </c>
      <c r="G45" s="29">
        <v>9.7748000000000008</v>
      </c>
    </row>
    <row r="46" spans="1:7" x14ac:dyDescent="0.2">
      <c r="A46" s="27" t="s">
        <v>1164</v>
      </c>
      <c r="B46" s="27" t="s">
        <v>1165</v>
      </c>
      <c r="C46" s="27" t="s">
        <v>1151</v>
      </c>
      <c r="D46" s="31">
        <v>240</v>
      </c>
      <c r="E46" s="29">
        <v>2376.8231999999998</v>
      </c>
      <c r="F46" s="30">
        <v>0.44811986675465398</v>
      </c>
      <c r="G46" s="29">
        <v>11.57</v>
      </c>
    </row>
    <row r="47" spans="1:7" x14ac:dyDescent="0.2">
      <c r="A47" s="27" t="s">
        <v>1133</v>
      </c>
      <c r="B47" s="27" t="s">
        <v>1134</v>
      </c>
      <c r="C47" s="27" t="s">
        <v>986</v>
      </c>
      <c r="D47" s="31">
        <v>200</v>
      </c>
      <c r="E47" s="29">
        <v>1978.566</v>
      </c>
      <c r="F47" s="30">
        <v>0.37303352318560701</v>
      </c>
      <c r="G47" s="29">
        <v>12.2248</v>
      </c>
    </row>
    <row r="48" spans="1:7" x14ac:dyDescent="0.2">
      <c r="A48" s="27" t="s">
        <v>1274</v>
      </c>
      <c r="B48" s="27" t="s">
        <v>1275</v>
      </c>
      <c r="C48" s="27" t="s">
        <v>39</v>
      </c>
      <c r="D48" s="31">
        <v>200</v>
      </c>
      <c r="E48" s="29">
        <v>1963.37</v>
      </c>
      <c r="F48" s="30">
        <v>0.370168510131543</v>
      </c>
      <c r="G48" s="29">
        <v>11.774800000000001</v>
      </c>
    </row>
    <row r="49" spans="1:7" x14ac:dyDescent="0.2">
      <c r="A49" s="27" t="s">
        <v>1154</v>
      </c>
      <c r="B49" s="27" t="s">
        <v>1155</v>
      </c>
      <c r="C49" s="27" t="s">
        <v>1013</v>
      </c>
      <c r="D49" s="31">
        <v>650</v>
      </c>
      <c r="E49" s="29">
        <v>1627.5219999999999</v>
      </c>
      <c r="F49" s="30">
        <v>0.30684862962473097</v>
      </c>
      <c r="G49" s="29">
        <v>9.4442000000000004</v>
      </c>
    </row>
    <row r="50" spans="1:7" x14ac:dyDescent="0.2">
      <c r="A50" s="27" t="s">
        <v>1158</v>
      </c>
      <c r="B50" s="27" t="s">
        <v>1159</v>
      </c>
      <c r="C50" s="27" t="s">
        <v>1022</v>
      </c>
      <c r="D50" s="31">
        <v>150</v>
      </c>
      <c r="E50" s="29">
        <v>1509.636</v>
      </c>
      <c r="F50" s="30">
        <v>0.28462271958975699</v>
      </c>
      <c r="G50" s="29">
        <v>12.0749</v>
      </c>
    </row>
    <row r="51" spans="1:7" x14ac:dyDescent="0.2">
      <c r="A51" s="27" t="s">
        <v>1067</v>
      </c>
      <c r="B51" s="27" t="s">
        <v>1068</v>
      </c>
      <c r="C51" s="27" t="s">
        <v>36</v>
      </c>
      <c r="D51" s="31">
        <v>150</v>
      </c>
      <c r="E51" s="29">
        <v>1506.7605000000001</v>
      </c>
      <c r="F51" s="30">
        <v>0.28408058053757501</v>
      </c>
      <c r="G51" s="29">
        <v>10.7118</v>
      </c>
    </row>
    <row r="52" spans="1:7" x14ac:dyDescent="0.2">
      <c r="A52" s="27" t="s">
        <v>1276</v>
      </c>
      <c r="B52" s="27" t="s">
        <v>1277</v>
      </c>
      <c r="C52" s="27" t="s">
        <v>1045</v>
      </c>
      <c r="D52" s="31">
        <v>1400</v>
      </c>
      <c r="E52" s="29">
        <v>1428.6104</v>
      </c>
      <c r="F52" s="30">
        <v>0.26934637043778198</v>
      </c>
      <c r="G52" s="29">
        <v>7.9314999999999998</v>
      </c>
    </row>
    <row r="53" spans="1:7" x14ac:dyDescent="0.2">
      <c r="A53" s="27" t="s">
        <v>1204</v>
      </c>
      <c r="B53" s="27" t="s">
        <v>1205</v>
      </c>
      <c r="C53" s="27" t="s">
        <v>1085</v>
      </c>
      <c r="D53" s="31">
        <v>100</v>
      </c>
      <c r="E53" s="29">
        <v>1007.196</v>
      </c>
      <c r="F53" s="30">
        <v>0.18989403053446299</v>
      </c>
      <c r="G53" s="29">
        <v>13.388</v>
      </c>
    </row>
    <row r="54" spans="1:7" x14ac:dyDescent="0.2">
      <c r="A54" s="27" t="s">
        <v>1278</v>
      </c>
      <c r="B54" s="27" t="s">
        <v>1279</v>
      </c>
      <c r="C54" s="27" t="s">
        <v>1214</v>
      </c>
      <c r="D54" s="31">
        <v>100</v>
      </c>
      <c r="E54" s="29">
        <v>1006.853</v>
      </c>
      <c r="F54" s="30">
        <v>0.18982936223507199</v>
      </c>
      <c r="G54" s="29">
        <v>9.6403999999999996</v>
      </c>
    </row>
    <row r="55" spans="1:7" x14ac:dyDescent="0.2">
      <c r="A55" s="27" t="s">
        <v>60</v>
      </c>
      <c r="B55" s="27" t="s">
        <v>59</v>
      </c>
      <c r="C55" s="27" t="s">
        <v>39</v>
      </c>
      <c r="D55" s="31">
        <v>100</v>
      </c>
      <c r="E55" s="29">
        <v>968.26599999999996</v>
      </c>
      <c r="F55" s="30">
        <v>0.182554272822254</v>
      </c>
      <c r="G55" s="29">
        <v>12.0749</v>
      </c>
    </row>
    <row r="56" spans="1:7" x14ac:dyDescent="0.2">
      <c r="A56" s="27" t="s">
        <v>1280</v>
      </c>
      <c r="B56" s="27" t="s">
        <v>1281</v>
      </c>
      <c r="C56" s="27" t="s">
        <v>1013</v>
      </c>
      <c r="D56" s="31">
        <v>62</v>
      </c>
      <c r="E56" s="29">
        <v>599.77250000000004</v>
      </c>
      <c r="F56" s="30">
        <v>0.11307949736568799</v>
      </c>
      <c r="G56" s="29">
        <v>11.367900000000001</v>
      </c>
    </row>
    <row r="57" spans="1:7" x14ac:dyDescent="0.2">
      <c r="A57" s="27" t="s">
        <v>1282</v>
      </c>
      <c r="B57" s="27" t="s">
        <v>1283</v>
      </c>
      <c r="C57" s="27" t="s">
        <v>1013</v>
      </c>
      <c r="D57" s="31">
        <v>62</v>
      </c>
      <c r="E57" s="29">
        <v>592.32816000000003</v>
      </c>
      <c r="F57" s="30">
        <v>0.11167596148263299</v>
      </c>
      <c r="G57" s="29">
        <v>11.5595</v>
      </c>
    </row>
    <row r="58" spans="1:7" x14ac:dyDescent="0.2">
      <c r="A58" s="27" t="s">
        <v>1284</v>
      </c>
      <c r="B58" s="27" t="s">
        <v>1285</v>
      </c>
      <c r="C58" s="27" t="s">
        <v>1025</v>
      </c>
      <c r="D58" s="31">
        <v>55</v>
      </c>
      <c r="E58" s="29">
        <v>555.78599999999994</v>
      </c>
      <c r="F58" s="30">
        <v>0.104786400715081</v>
      </c>
      <c r="G58" s="29">
        <v>7.4349999999999996</v>
      </c>
    </row>
    <row r="59" spans="1:7" x14ac:dyDescent="0.2">
      <c r="A59" s="27" t="s">
        <v>1156</v>
      </c>
      <c r="B59" s="27" t="s">
        <v>1157</v>
      </c>
      <c r="C59" s="27" t="s">
        <v>986</v>
      </c>
      <c r="D59" s="31">
        <v>50</v>
      </c>
      <c r="E59" s="29">
        <v>504.08949999999999</v>
      </c>
      <c r="F59" s="30">
        <v>9.5039681358049799E-2</v>
      </c>
      <c r="G59" s="29">
        <v>10.118399999999999</v>
      </c>
    </row>
    <row r="60" spans="1:7" x14ac:dyDescent="0.2">
      <c r="A60" s="27" t="s">
        <v>1286</v>
      </c>
      <c r="B60" s="27" t="s">
        <v>1287</v>
      </c>
      <c r="C60" s="27" t="s">
        <v>1151</v>
      </c>
      <c r="D60" s="31">
        <v>50</v>
      </c>
      <c r="E60" s="29">
        <v>495.90050000000002</v>
      </c>
      <c r="F60" s="30">
        <v>9.3495749277256499E-2</v>
      </c>
      <c r="G60" s="29">
        <v>11.41</v>
      </c>
    </row>
    <row r="61" spans="1:7" x14ac:dyDescent="0.2">
      <c r="A61" s="27" t="s">
        <v>1288</v>
      </c>
      <c r="B61" s="27" t="s">
        <v>1289</v>
      </c>
      <c r="C61" s="27" t="s">
        <v>1045</v>
      </c>
      <c r="D61" s="31">
        <v>500</v>
      </c>
      <c r="E61" s="29">
        <v>493.72649999999999</v>
      </c>
      <c r="F61" s="30">
        <v>9.30858691522541E-2</v>
      </c>
      <c r="G61" s="29">
        <v>11.170299999999999</v>
      </c>
    </row>
    <row r="62" spans="1:7" x14ac:dyDescent="0.2">
      <c r="A62" s="27" t="s">
        <v>1290</v>
      </c>
      <c r="B62" s="27" t="s">
        <v>1291</v>
      </c>
      <c r="C62" s="27" t="s">
        <v>42</v>
      </c>
      <c r="D62" s="31">
        <v>28</v>
      </c>
      <c r="E62" s="29">
        <v>284.33832000000001</v>
      </c>
      <c r="F62" s="30">
        <v>5.3608383691156399E-2</v>
      </c>
      <c r="G62" s="29">
        <v>5.0199999999999996</v>
      </c>
    </row>
    <row r="63" spans="1:7" x14ac:dyDescent="0.2">
      <c r="A63" s="27" t="s">
        <v>1292</v>
      </c>
      <c r="B63" s="27" t="s">
        <v>1293</v>
      </c>
      <c r="C63" s="27" t="s">
        <v>1294</v>
      </c>
      <c r="D63" s="31">
        <v>18</v>
      </c>
      <c r="E63" s="29">
        <v>224.52858000000001</v>
      </c>
      <c r="F63" s="30">
        <v>4.2332015840392201E-2</v>
      </c>
      <c r="G63" s="29">
        <v>4.0374999999999996</v>
      </c>
    </row>
    <row r="64" spans="1:7" x14ac:dyDescent="0.2">
      <c r="A64" s="27" t="s">
        <v>907</v>
      </c>
      <c r="B64" s="27" t="s">
        <v>908</v>
      </c>
      <c r="C64" s="27" t="s">
        <v>42</v>
      </c>
      <c r="D64" s="31">
        <v>12</v>
      </c>
      <c r="E64" s="29">
        <v>123.79548</v>
      </c>
      <c r="F64" s="30">
        <v>2.3340067533179801E-2</v>
      </c>
      <c r="G64" s="29">
        <v>3.7749999999999999</v>
      </c>
    </row>
    <row r="65" spans="1:9" x14ac:dyDescent="0.2">
      <c r="A65" s="27" t="s">
        <v>1295</v>
      </c>
      <c r="B65" s="27" t="s">
        <v>1296</v>
      </c>
      <c r="C65" s="27" t="s">
        <v>42</v>
      </c>
      <c r="D65" s="31">
        <v>12</v>
      </c>
      <c r="E65" s="29">
        <v>123.52164</v>
      </c>
      <c r="F65" s="30">
        <v>2.3288438474564001E-2</v>
      </c>
      <c r="G65" s="29">
        <v>3.84</v>
      </c>
    </row>
    <row r="66" spans="1:9" x14ac:dyDescent="0.2">
      <c r="A66" s="27" t="s">
        <v>1221</v>
      </c>
      <c r="B66" s="27" t="s">
        <v>1222</v>
      </c>
      <c r="C66" s="27" t="s">
        <v>871</v>
      </c>
      <c r="D66" s="31">
        <v>4000</v>
      </c>
      <c r="E66" s="29">
        <v>39.600279999999998</v>
      </c>
      <c r="F66" s="29">
        <v>7.4661305043837497E-3</v>
      </c>
      <c r="G66" s="29">
        <v>10.35</v>
      </c>
    </row>
    <row r="67" spans="1:9" x14ac:dyDescent="0.2">
      <c r="A67" s="27" t="s">
        <v>1028</v>
      </c>
      <c r="B67" s="27" t="s">
        <v>1029</v>
      </c>
      <c r="C67" s="27" t="s">
        <v>36</v>
      </c>
      <c r="D67" s="31">
        <v>3</v>
      </c>
      <c r="E67" s="29">
        <v>30.561779999999999</v>
      </c>
      <c r="F67" s="29">
        <v>5.7620359736412297E-3</v>
      </c>
      <c r="G67" s="29">
        <v>4.41</v>
      </c>
    </row>
    <row r="68" spans="1:9" ht="10.5" x14ac:dyDescent="0.25">
      <c r="A68" s="26" t="s">
        <v>43</v>
      </c>
      <c r="B68" s="26"/>
      <c r="C68" s="26"/>
      <c r="D68" s="32"/>
      <c r="E68" s="33">
        <f>SUM(E6:E67)</f>
        <v>456244.19869999995</v>
      </c>
      <c r="F68" s="34">
        <f>SUM(F6:F67)</f>
        <v>86.019056667331441</v>
      </c>
      <c r="G68" s="33"/>
      <c r="H68" s="18"/>
      <c r="I68" s="18"/>
    </row>
    <row r="69" spans="1:9" x14ac:dyDescent="0.2">
      <c r="A69" s="27"/>
      <c r="B69" s="27"/>
      <c r="C69" s="27"/>
      <c r="D69" s="28"/>
      <c r="E69" s="29"/>
      <c r="F69" s="30"/>
      <c r="G69" s="29"/>
    </row>
    <row r="70" spans="1:9" ht="10.5" x14ac:dyDescent="0.25">
      <c r="A70" s="26" t="s">
        <v>44</v>
      </c>
      <c r="B70" s="27"/>
      <c r="C70" s="27"/>
      <c r="D70" s="28"/>
      <c r="E70" s="29"/>
      <c r="F70" s="30"/>
      <c r="G70" s="29"/>
    </row>
    <row r="71" spans="1:9" x14ac:dyDescent="0.2">
      <c r="A71" s="27" t="s">
        <v>1089</v>
      </c>
      <c r="B71" s="27" t="s">
        <v>1090</v>
      </c>
      <c r="C71" s="27" t="s">
        <v>1082</v>
      </c>
      <c r="D71" s="31">
        <v>350</v>
      </c>
      <c r="E71" s="29">
        <v>35582.644999999997</v>
      </c>
      <c r="F71" s="30">
        <v>6.7086563847820804</v>
      </c>
      <c r="G71" s="29">
        <v>8.6892999999999994</v>
      </c>
    </row>
    <row r="72" spans="1:9" x14ac:dyDescent="0.2">
      <c r="A72" s="27" t="s">
        <v>1083</v>
      </c>
      <c r="B72" s="27" t="s">
        <v>1084</v>
      </c>
      <c r="C72" s="27" t="s">
        <v>1085</v>
      </c>
      <c r="D72" s="31">
        <v>2560</v>
      </c>
      <c r="E72" s="29">
        <v>24178.227200000001</v>
      </c>
      <c r="F72" s="30">
        <v>4.5584980621308997</v>
      </c>
      <c r="G72" s="29">
        <v>12.1</v>
      </c>
    </row>
    <row r="73" spans="1:9" x14ac:dyDescent="0.2">
      <c r="A73" s="27" t="s">
        <v>1074</v>
      </c>
      <c r="B73" s="27" t="s">
        <v>1075</v>
      </c>
      <c r="C73" s="27" t="s">
        <v>1073</v>
      </c>
      <c r="D73" s="31">
        <v>2450</v>
      </c>
      <c r="E73" s="29">
        <v>22032.017</v>
      </c>
      <c r="F73" s="30">
        <v>4.1538573514329</v>
      </c>
      <c r="G73" s="29">
        <v>26.074999999999999</v>
      </c>
    </row>
    <row r="74" spans="1:9" x14ac:dyDescent="0.2">
      <c r="A74" s="27" t="s">
        <v>1093</v>
      </c>
      <c r="B74" s="27" t="s">
        <v>1094</v>
      </c>
      <c r="C74" s="27" t="s">
        <v>1082</v>
      </c>
      <c r="D74" s="31">
        <v>1480</v>
      </c>
      <c r="E74" s="29">
        <v>14693.0996</v>
      </c>
      <c r="F74" s="30">
        <v>2.77019756242907</v>
      </c>
      <c r="G74" s="29">
        <v>9.9250000000000007</v>
      </c>
    </row>
    <row r="75" spans="1:9" x14ac:dyDescent="0.2">
      <c r="A75" s="27" t="s">
        <v>1176</v>
      </c>
      <c r="B75" s="27" t="s">
        <v>1177</v>
      </c>
      <c r="C75" s="27" t="s">
        <v>1073</v>
      </c>
      <c r="D75" s="31">
        <v>1660</v>
      </c>
      <c r="E75" s="29">
        <v>13936.53321</v>
      </c>
      <c r="F75" s="30">
        <v>2.6275565658762599</v>
      </c>
      <c r="G75" s="29">
        <v>11.6548</v>
      </c>
    </row>
    <row r="76" spans="1:9" x14ac:dyDescent="0.2">
      <c r="A76" s="27" t="s">
        <v>1236</v>
      </c>
      <c r="B76" s="27" t="s">
        <v>1237</v>
      </c>
      <c r="C76" s="27" t="s">
        <v>1085</v>
      </c>
      <c r="D76" s="31">
        <v>1150</v>
      </c>
      <c r="E76" s="29">
        <v>11601.245999999999</v>
      </c>
      <c r="F76" s="30">
        <v>2.1872677831939602</v>
      </c>
      <c r="G76" s="29">
        <v>12.244999999999999</v>
      </c>
    </row>
    <row r="77" spans="1:9" x14ac:dyDescent="0.2">
      <c r="A77" s="27" t="s">
        <v>1078</v>
      </c>
      <c r="B77" s="27" t="s">
        <v>1079</v>
      </c>
      <c r="C77" s="27" t="s">
        <v>1073</v>
      </c>
      <c r="D77" s="31">
        <v>1280</v>
      </c>
      <c r="E77" s="29">
        <v>11006.090560000001</v>
      </c>
      <c r="F77" s="30">
        <v>2.0750587739285198</v>
      </c>
      <c r="G77" s="29">
        <v>11.6525</v>
      </c>
    </row>
    <row r="78" spans="1:9" x14ac:dyDescent="0.2">
      <c r="A78" s="27" t="s">
        <v>1071</v>
      </c>
      <c r="B78" s="27" t="s">
        <v>1072</v>
      </c>
      <c r="C78" s="27" t="s">
        <v>1073</v>
      </c>
      <c r="D78" s="31">
        <v>650</v>
      </c>
      <c r="E78" s="29">
        <v>5832.0924999999997</v>
      </c>
      <c r="F78" s="30">
        <v>1.0995670666631101</v>
      </c>
      <c r="G78" s="29">
        <v>26.074999999999999</v>
      </c>
    </row>
    <row r="79" spans="1:9" x14ac:dyDescent="0.2">
      <c r="A79" s="27" t="s">
        <v>1076</v>
      </c>
      <c r="B79" s="27" t="s">
        <v>1077</v>
      </c>
      <c r="C79" s="27" t="s">
        <v>1073</v>
      </c>
      <c r="D79" s="31">
        <v>385</v>
      </c>
      <c r="E79" s="29">
        <v>3478.3337959999999</v>
      </c>
      <c r="F79" s="30">
        <v>0.65579571807938097</v>
      </c>
      <c r="G79" s="29">
        <v>11.6548</v>
      </c>
    </row>
    <row r="80" spans="1:9" x14ac:dyDescent="0.2">
      <c r="A80" s="27" t="s">
        <v>1297</v>
      </c>
      <c r="B80" s="27" t="s">
        <v>1298</v>
      </c>
      <c r="C80" s="27" t="s">
        <v>1229</v>
      </c>
      <c r="D80" s="31">
        <v>300</v>
      </c>
      <c r="E80" s="29">
        <v>2950.3139999999999</v>
      </c>
      <c r="F80" s="30">
        <v>0.55624428294220296</v>
      </c>
      <c r="G80" s="29">
        <v>12.3544</v>
      </c>
    </row>
    <row r="81" spans="1:7" x14ac:dyDescent="0.2">
      <c r="A81" s="27" t="s">
        <v>46</v>
      </c>
      <c r="B81" s="27" t="s">
        <v>45</v>
      </c>
      <c r="C81" s="27" t="s">
        <v>47</v>
      </c>
      <c r="D81" s="31">
        <v>15</v>
      </c>
      <c r="E81" s="29">
        <v>2070.4079999999999</v>
      </c>
      <c r="F81" s="30">
        <v>0.39034916736245701</v>
      </c>
      <c r="G81" s="29">
        <v>10.46</v>
      </c>
    </row>
    <row r="82" spans="1:7" x14ac:dyDescent="0.2">
      <c r="A82" s="27" t="s">
        <v>1095</v>
      </c>
      <c r="B82" s="27" t="s">
        <v>1096</v>
      </c>
      <c r="C82" s="27" t="s">
        <v>1073</v>
      </c>
      <c r="D82" s="31">
        <v>150</v>
      </c>
      <c r="E82" s="29">
        <v>1327.0915620000001</v>
      </c>
      <c r="F82" s="30">
        <v>0.25020628119696298</v>
      </c>
      <c r="G82" s="29">
        <v>11.6548</v>
      </c>
    </row>
    <row r="83" spans="1:7" x14ac:dyDescent="0.2">
      <c r="A83" s="27" t="s">
        <v>1091</v>
      </c>
      <c r="B83" s="27" t="s">
        <v>1092</v>
      </c>
      <c r="C83" s="27" t="s">
        <v>1073</v>
      </c>
      <c r="D83" s="31">
        <v>102</v>
      </c>
      <c r="E83" s="29">
        <v>1032.7234800000001</v>
      </c>
      <c r="F83" s="30">
        <v>0.19470691309812299</v>
      </c>
      <c r="G83" s="29">
        <v>12.61</v>
      </c>
    </row>
    <row r="84" spans="1:7" x14ac:dyDescent="0.2">
      <c r="A84" s="27" t="s">
        <v>1299</v>
      </c>
      <c r="B84" s="27" t="s">
        <v>1300</v>
      </c>
      <c r="C84" s="27" t="s">
        <v>42</v>
      </c>
      <c r="D84" s="31">
        <v>13</v>
      </c>
      <c r="E84" s="29">
        <v>133.78482</v>
      </c>
      <c r="F84" s="30">
        <v>2.5223430885475798E-2</v>
      </c>
      <c r="G84" s="29">
        <v>4.4099000000000004</v>
      </c>
    </row>
    <row r="85" spans="1:7" x14ac:dyDescent="0.2">
      <c r="A85" s="27" t="s">
        <v>1178</v>
      </c>
      <c r="B85" s="27" t="s">
        <v>1179</v>
      </c>
      <c r="C85" s="27" t="s">
        <v>1099</v>
      </c>
      <c r="D85" s="31">
        <v>1678</v>
      </c>
      <c r="E85" s="29">
        <v>108.73439999999999</v>
      </c>
      <c r="F85" s="30">
        <v>2.0500491933790999E-2</v>
      </c>
      <c r="G85" s="29">
        <v>0</v>
      </c>
    </row>
    <row r="86" spans="1:7" x14ac:dyDescent="0.2">
      <c r="A86" s="27" t="s">
        <v>1301</v>
      </c>
      <c r="B86" s="27" t="s">
        <v>1302</v>
      </c>
      <c r="C86" s="27" t="s">
        <v>1099</v>
      </c>
      <c r="D86" s="31">
        <v>786</v>
      </c>
      <c r="E86" s="29">
        <v>102.8874</v>
      </c>
      <c r="F86" s="30">
        <v>1.9398114247089499E-2</v>
      </c>
      <c r="G86" s="29">
        <v>0</v>
      </c>
    </row>
    <row r="87" spans="1:7" x14ac:dyDescent="0.2">
      <c r="A87" s="27" t="s">
        <v>1180</v>
      </c>
      <c r="B87" s="27" t="s">
        <v>1181</v>
      </c>
      <c r="C87" s="27" t="s">
        <v>1099</v>
      </c>
      <c r="D87" s="31">
        <v>28</v>
      </c>
      <c r="E87" s="29">
        <v>3.6652</v>
      </c>
      <c r="F87" s="30">
        <v>6.9102697063423105E-4</v>
      </c>
      <c r="G87" s="29">
        <v>0</v>
      </c>
    </row>
    <row r="88" spans="1:7" x14ac:dyDescent="0.2">
      <c r="A88" s="27" t="s">
        <v>1303</v>
      </c>
      <c r="B88" s="27" t="s">
        <v>1304</v>
      </c>
      <c r="C88" s="27" t="s">
        <v>1102</v>
      </c>
      <c r="D88" s="31">
        <v>350</v>
      </c>
      <c r="E88" s="29">
        <v>0</v>
      </c>
      <c r="F88" s="30">
        <v>0</v>
      </c>
      <c r="G88" s="29">
        <v>0</v>
      </c>
    </row>
    <row r="89" spans="1:7" x14ac:dyDescent="0.2">
      <c r="A89" s="27" t="s">
        <v>1100</v>
      </c>
      <c r="B89" s="27" t="s">
        <v>1101</v>
      </c>
      <c r="C89" s="27" t="s">
        <v>1102</v>
      </c>
      <c r="D89" s="31">
        <v>1000</v>
      </c>
      <c r="E89" s="29">
        <v>0</v>
      </c>
      <c r="F89" s="30">
        <v>0</v>
      </c>
      <c r="G89" s="29">
        <v>0</v>
      </c>
    </row>
    <row r="90" spans="1:7" x14ac:dyDescent="0.2">
      <c r="A90" s="27" t="s">
        <v>1305</v>
      </c>
      <c r="B90" s="27" t="s">
        <v>1306</v>
      </c>
      <c r="C90" s="27" t="s">
        <v>1102</v>
      </c>
      <c r="D90" s="31">
        <v>200</v>
      </c>
      <c r="E90" s="29">
        <v>0</v>
      </c>
      <c r="F90" s="30">
        <v>0</v>
      </c>
      <c r="G90" s="29">
        <v>0</v>
      </c>
    </row>
    <row r="91" spans="1:7" x14ac:dyDescent="0.2">
      <c r="A91" s="27" t="s">
        <v>1103</v>
      </c>
      <c r="B91" s="27" t="s">
        <v>1104</v>
      </c>
      <c r="C91" s="27" t="s">
        <v>1102</v>
      </c>
      <c r="D91" s="31">
        <v>394</v>
      </c>
      <c r="E91" s="29">
        <v>0</v>
      </c>
      <c r="F91" s="30">
        <v>0</v>
      </c>
      <c r="G91" s="29">
        <v>0</v>
      </c>
    </row>
    <row r="92" spans="1:7" x14ac:dyDescent="0.2">
      <c r="A92" s="27" t="s">
        <v>1307</v>
      </c>
      <c r="B92" s="27" t="s">
        <v>1308</v>
      </c>
      <c r="C92" s="27" t="s">
        <v>1102</v>
      </c>
      <c r="D92" s="31">
        <v>600</v>
      </c>
      <c r="E92" s="29">
        <v>0</v>
      </c>
      <c r="F92" s="30">
        <v>0</v>
      </c>
      <c r="G92" s="29">
        <v>0</v>
      </c>
    </row>
    <row r="93" spans="1:7" x14ac:dyDescent="0.2">
      <c r="A93" s="27" t="s">
        <v>1309</v>
      </c>
      <c r="B93" s="27" t="s">
        <v>1310</v>
      </c>
      <c r="C93" s="27" t="s">
        <v>1102</v>
      </c>
      <c r="D93" s="31">
        <v>250</v>
      </c>
      <c r="E93" s="29">
        <v>0</v>
      </c>
      <c r="F93" s="30">
        <v>0</v>
      </c>
      <c r="G93" s="29">
        <v>0</v>
      </c>
    </row>
    <row r="94" spans="1:7" x14ac:dyDescent="0.2">
      <c r="A94" s="27" t="s">
        <v>1311</v>
      </c>
      <c r="B94" s="27" t="s">
        <v>1312</v>
      </c>
      <c r="C94" s="27" t="s">
        <v>1102</v>
      </c>
      <c r="D94" s="31">
        <v>300</v>
      </c>
      <c r="E94" s="29">
        <v>0</v>
      </c>
      <c r="F94" s="30">
        <v>0</v>
      </c>
      <c r="G94" s="29">
        <v>0</v>
      </c>
    </row>
    <row r="95" spans="1:7" x14ac:dyDescent="0.2">
      <c r="A95" s="27" t="s">
        <v>1313</v>
      </c>
      <c r="B95" s="27" t="s">
        <v>1314</v>
      </c>
      <c r="C95" s="27" t="s">
        <v>1102</v>
      </c>
      <c r="D95" s="31">
        <v>100</v>
      </c>
      <c r="E95" s="29">
        <v>0</v>
      </c>
      <c r="F95" s="30">
        <v>0</v>
      </c>
      <c r="G95" s="29">
        <v>0</v>
      </c>
    </row>
    <row r="96" spans="1:7" x14ac:dyDescent="0.2">
      <c r="A96" s="27" t="s">
        <v>1315</v>
      </c>
      <c r="B96" s="27" t="s">
        <v>1316</v>
      </c>
      <c r="C96" s="27" t="s">
        <v>1102</v>
      </c>
      <c r="D96" s="31">
        <v>250</v>
      </c>
      <c r="E96" s="29">
        <v>0</v>
      </c>
      <c r="F96" s="30">
        <v>0</v>
      </c>
      <c r="G96" s="29">
        <v>0</v>
      </c>
    </row>
    <row r="97" spans="1:9" x14ac:dyDescent="0.2">
      <c r="A97" s="27" t="s">
        <v>1317</v>
      </c>
      <c r="B97" s="27" t="s">
        <v>1318</v>
      </c>
      <c r="C97" s="27" t="s">
        <v>1102</v>
      </c>
      <c r="D97" s="31">
        <v>375</v>
      </c>
      <c r="E97" s="29">
        <v>0</v>
      </c>
      <c r="F97" s="30">
        <v>0</v>
      </c>
      <c r="G97" s="29">
        <v>0</v>
      </c>
    </row>
    <row r="98" spans="1:9" x14ac:dyDescent="0.2">
      <c r="A98" s="27" t="s">
        <v>1319</v>
      </c>
      <c r="B98" s="27" t="s">
        <v>1320</v>
      </c>
      <c r="C98" s="27" t="s">
        <v>1102</v>
      </c>
      <c r="D98" s="31">
        <v>800</v>
      </c>
      <c r="E98" s="29">
        <v>0</v>
      </c>
      <c r="F98" s="30">
        <v>0</v>
      </c>
      <c r="G98" s="29">
        <v>0</v>
      </c>
    </row>
    <row r="99" spans="1:9" x14ac:dyDescent="0.2">
      <c r="A99" s="27" t="s">
        <v>1321</v>
      </c>
      <c r="B99" s="27" t="s">
        <v>1322</v>
      </c>
      <c r="C99" s="27" t="s">
        <v>1102</v>
      </c>
      <c r="D99" s="31">
        <v>500</v>
      </c>
      <c r="E99" s="29">
        <v>0</v>
      </c>
      <c r="F99" s="30">
        <v>0</v>
      </c>
      <c r="G99" s="29">
        <v>0</v>
      </c>
    </row>
    <row r="100" spans="1:9" ht="10.5" x14ac:dyDescent="0.25">
      <c r="A100" s="26" t="s">
        <v>43</v>
      </c>
      <c r="B100" s="26"/>
      <c r="C100" s="26"/>
      <c r="D100" s="32"/>
      <c r="E100" s="33">
        <f>SUM(E70:E99)</f>
        <v>150069.89372799997</v>
      </c>
      <c r="F100" s="34">
        <f>SUM(F70:F99)</f>
        <v>28.293774977152918</v>
      </c>
      <c r="G100" s="33"/>
      <c r="H100" s="18"/>
      <c r="I100" s="18"/>
    </row>
    <row r="101" spans="1:9" x14ac:dyDescent="0.2">
      <c r="A101" s="27"/>
      <c r="B101" s="27"/>
      <c r="C101" s="27"/>
      <c r="D101" s="28"/>
      <c r="E101" s="29"/>
      <c r="F101" s="30"/>
      <c r="G101" s="29"/>
    </row>
    <row r="102" spans="1:9" ht="10.5" x14ac:dyDescent="0.25">
      <c r="A102" s="26" t="s">
        <v>48</v>
      </c>
      <c r="B102" s="26"/>
      <c r="C102" s="26"/>
      <c r="D102" s="32"/>
      <c r="E102" s="33">
        <f>E68+E100</f>
        <v>606314.09242799995</v>
      </c>
      <c r="F102" s="34">
        <f>F68+F100</f>
        <v>114.31283164448436</v>
      </c>
      <c r="G102" s="33"/>
      <c r="H102" s="18"/>
      <c r="I102" s="18"/>
    </row>
    <row r="103" spans="1:9" ht="10.5" x14ac:dyDescent="0.25">
      <c r="A103" s="26"/>
      <c r="B103" s="26"/>
      <c r="C103" s="26"/>
      <c r="D103" s="32"/>
      <c r="E103" s="33"/>
      <c r="F103" s="34"/>
      <c r="G103" s="33"/>
      <c r="H103" s="18"/>
      <c r="I103" s="18"/>
    </row>
    <row r="104" spans="1:9" ht="10.5" x14ac:dyDescent="0.25">
      <c r="A104" s="26" t="s">
        <v>50</v>
      </c>
      <c r="B104" s="26"/>
      <c r="C104" s="26"/>
      <c r="D104" s="32"/>
      <c r="E104" s="33">
        <f>E106-(E68+E100)</f>
        <v>-75915.112973399926</v>
      </c>
      <c r="F104" s="34">
        <f>F106-(F68+F100)</f>
        <v>-14.312831644484362</v>
      </c>
      <c r="G104" s="33"/>
      <c r="H104" s="18"/>
      <c r="I104" s="18"/>
    </row>
    <row r="105" spans="1:9" ht="10.5" x14ac:dyDescent="0.25">
      <c r="A105" s="26"/>
      <c r="B105" s="26"/>
      <c r="C105" s="26"/>
      <c r="D105" s="32"/>
      <c r="E105" s="33"/>
      <c r="F105" s="34"/>
      <c r="G105" s="33"/>
      <c r="H105" s="18"/>
      <c r="I105" s="18"/>
    </row>
    <row r="106" spans="1:9" ht="10.5" x14ac:dyDescent="0.25">
      <c r="A106" s="35" t="s">
        <v>49</v>
      </c>
      <c r="B106" s="35"/>
      <c r="C106" s="35"/>
      <c r="D106" s="36"/>
      <c r="E106" s="37">
        <v>530398.97945460002</v>
      </c>
      <c r="F106" s="38">
        <v>100</v>
      </c>
      <c r="G106" s="37"/>
      <c r="H106" s="18"/>
      <c r="I106" s="18"/>
    </row>
    <row r="107" spans="1:9" ht="10.5" x14ac:dyDescent="0.25">
      <c r="F107" s="20" t="s">
        <v>61</v>
      </c>
    </row>
    <row r="108" spans="1:9" ht="10.5" x14ac:dyDescent="0.25">
      <c r="A108" s="18" t="s">
        <v>766</v>
      </c>
    </row>
    <row r="109" spans="1:9" ht="10.5" x14ac:dyDescent="0.25">
      <c r="A109" s="18" t="s">
        <v>1109</v>
      </c>
    </row>
    <row r="110" spans="1:9" ht="10.5" x14ac:dyDescent="0.25">
      <c r="A110" s="18" t="s">
        <v>1110</v>
      </c>
    </row>
    <row r="112" spans="1:9" ht="10.5" x14ac:dyDescent="0.25">
      <c r="A112" s="18" t="s">
        <v>51</v>
      </c>
    </row>
    <row r="113" spans="1:5" ht="10.5" x14ac:dyDescent="0.25">
      <c r="A113" s="18" t="s">
        <v>713</v>
      </c>
    </row>
    <row r="114" spans="1:5" ht="10.5" x14ac:dyDescent="0.25">
      <c r="A114" s="18" t="s">
        <v>53</v>
      </c>
      <c r="B114" s="18"/>
      <c r="C114" s="39" t="s">
        <v>55</v>
      </c>
      <c r="D114" s="19" t="s">
        <v>714</v>
      </c>
    </row>
    <row r="115" spans="1:5" x14ac:dyDescent="0.2">
      <c r="A115" s="9" t="s">
        <v>838</v>
      </c>
      <c r="C115" s="40">
        <v>3688.9522000000002</v>
      </c>
      <c r="D115" s="40">
        <v>3678.6842999999999</v>
      </c>
    </row>
    <row r="116" spans="1:5" x14ac:dyDescent="0.2">
      <c r="A116" s="9" t="s">
        <v>1238</v>
      </c>
      <c r="C116" s="40">
        <v>932.36329999999998</v>
      </c>
      <c r="D116" s="40">
        <v>929.76750000000004</v>
      </c>
    </row>
    <row r="117" spans="1:5" x14ac:dyDescent="0.2">
      <c r="A117" s="9" t="s">
        <v>840</v>
      </c>
      <c r="C117" s="40">
        <v>1029.375</v>
      </c>
      <c r="D117" s="40">
        <v>1026.5091</v>
      </c>
    </row>
    <row r="118" spans="1:5" x14ac:dyDescent="0.2">
      <c r="A118" s="9" t="s">
        <v>841</v>
      </c>
      <c r="C118" s="40">
        <v>1070.8680999999999</v>
      </c>
      <c r="D118" s="40">
        <v>1067.8867</v>
      </c>
    </row>
    <row r="119" spans="1:5" x14ac:dyDescent="0.2">
      <c r="A119" s="9" t="s">
        <v>770</v>
      </c>
      <c r="C119" s="40">
        <v>3056.0976000000001</v>
      </c>
      <c r="D119" s="40">
        <v>3047.6235000000001</v>
      </c>
    </row>
    <row r="120" spans="1:5" x14ac:dyDescent="0.2">
      <c r="A120" s="9" t="s">
        <v>843</v>
      </c>
      <c r="C120" s="40">
        <v>3903.7730999999999</v>
      </c>
      <c r="D120" s="40">
        <v>3907.4901</v>
      </c>
    </row>
    <row r="121" spans="1:5" x14ac:dyDescent="0.2">
      <c r="A121" s="9" t="s">
        <v>1323</v>
      </c>
      <c r="C121" s="40">
        <v>936.79560000000004</v>
      </c>
      <c r="D121" s="40">
        <v>937.68759999999997</v>
      </c>
    </row>
    <row r="122" spans="1:5" x14ac:dyDescent="0.2">
      <c r="A122" s="9" t="s">
        <v>845</v>
      </c>
      <c r="C122" s="40">
        <v>1107.0469000000001</v>
      </c>
      <c r="D122" s="40">
        <v>1108.1010000000001</v>
      </c>
    </row>
    <row r="123" spans="1:5" x14ac:dyDescent="0.2">
      <c r="A123" s="9" t="s">
        <v>846</v>
      </c>
      <c r="C123" s="40">
        <v>1153.2346</v>
      </c>
      <c r="D123" s="40">
        <v>1154.3326999999999</v>
      </c>
    </row>
    <row r="125" spans="1:5" ht="10.5" x14ac:dyDescent="0.25">
      <c r="A125" s="18" t="s">
        <v>715</v>
      </c>
      <c r="D125" s="41" t="s">
        <v>57</v>
      </c>
    </row>
    <row r="127" spans="1:5" ht="10.5" x14ac:dyDescent="0.25">
      <c r="A127" s="18" t="s">
        <v>785</v>
      </c>
      <c r="D127" s="42">
        <v>3.1616157123561601</v>
      </c>
      <c r="E127" s="13" t="s">
        <v>58</v>
      </c>
    </row>
    <row r="129" spans="1:7" ht="10.5" x14ac:dyDescent="0.25">
      <c r="A129" s="18" t="s">
        <v>786</v>
      </c>
      <c r="D129" s="19">
        <v>3</v>
      </c>
    </row>
    <row r="130" spans="1:7" x14ac:dyDescent="0.2">
      <c r="A130" s="9" t="s">
        <v>1111</v>
      </c>
    </row>
    <row r="131" spans="1:7" x14ac:dyDescent="0.2">
      <c r="A131" s="59" t="s">
        <v>1112</v>
      </c>
    </row>
    <row r="132" spans="1:7" x14ac:dyDescent="0.2">
      <c r="A132" s="59"/>
    </row>
    <row r="133" spans="1:7" ht="40" customHeight="1" x14ac:dyDescent="0.2">
      <c r="A133" s="83" t="s">
        <v>1324</v>
      </c>
      <c r="B133" s="83"/>
      <c r="C133" s="83"/>
      <c r="D133" s="83"/>
      <c r="E133" s="83"/>
      <c r="F133" s="83"/>
      <c r="G133" s="83"/>
    </row>
    <row r="134" spans="1:7" x14ac:dyDescent="0.2">
      <c r="A134" s="60" t="s">
        <v>1114</v>
      </c>
      <c r="G134" s="9"/>
    </row>
    <row r="135" spans="1:7" x14ac:dyDescent="0.2">
      <c r="A135" s="60"/>
      <c r="G135" s="9"/>
    </row>
    <row r="136" spans="1:7" ht="10.5" x14ac:dyDescent="0.25">
      <c r="A136" s="18" t="s">
        <v>1325</v>
      </c>
      <c r="G136" s="9"/>
    </row>
    <row r="137" spans="1:7" x14ac:dyDescent="0.2">
      <c r="A137" s="57" t="s">
        <v>960</v>
      </c>
      <c r="G137" s="9"/>
    </row>
    <row r="138" spans="1:7" x14ac:dyDescent="0.2">
      <c r="G138" s="9"/>
    </row>
    <row r="139" spans="1:7" ht="50.15" customHeight="1" x14ac:dyDescent="0.2">
      <c r="A139" s="84" t="s">
        <v>1326</v>
      </c>
      <c r="B139" s="84"/>
      <c r="C139" s="84"/>
      <c r="D139" s="84"/>
      <c r="E139" s="84"/>
      <c r="F139" s="84"/>
      <c r="G139" s="84"/>
    </row>
    <row r="140" spans="1:7" ht="10.5" x14ac:dyDescent="0.2">
      <c r="A140" s="57" t="s">
        <v>1116</v>
      </c>
      <c r="B140" s="61"/>
      <c r="C140" s="61"/>
      <c r="D140" s="61"/>
      <c r="E140" s="61"/>
      <c r="F140" s="61"/>
      <c r="G140" s="9"/>
    </row>
    <row r="141" spans="1:7" x14ac:dyDescent="0.2">
      <c r="A141" s="85" t="s">
        <v>1117</v>
      </c>
      <c r="B141" s="85"/>
      <c r="C141" s="85"/>
      <c r="D141" s="85"/>
      <c r="E141" s="85"/>
      <c r="F141" s="85"/>
      <c r="G141" s="67"/>
    </row>
    <row r="142" spans="1:7" ht="10.5" x14ac:dyDescent="0.2">
      <c r="A142" s="61"/>
      <c r="B142" s="61"/>
      <c r="C142" s="61"/>
      <c r="D142" s="61"/>
      <c r="E142" s="61"/>
      <c r="F142" s="61"/>
      <c r="G142" s="9"/>
    </row>
    <row r="143" spans="1:7" ht="25" customHeight="1" x14ac:dyDescent="0.2">
      <c r="A143" s="83" t="s">
        <v>1327</v>
      </c>
      <c r="B143" s="83"/>
      <c r="C143" s="83"/>
      <c r="D143" s="83"/>
      <c r="E143" s="83"/>
      <c r="F143" s="83"/>
      <c r="G143" s="83"/>
    </row>
    <row r="147" spans="1:9" s="1" customFormat="1" ht="14" x14ac:dyDescent="0.25">
      <c r="A147" s="79" t="s">
        <v>1328</v>
      </c>
      <c r="B147" s="80"/>
      <c r="C147" s="80"/>
      <c r="D147" s="80"/>
      <c r="E147" s="80"/>
      <c r="F147" s="80"/>
      <c r="G147" s="80"/>
    </row>
    <row r="148" spans="1:9" ht="10.5" x14ac:dyDescent="0.25">
      <c r="A148" s="18" t="s">
        <v>711</v>
      </c>
    </row>
    <row r="149" spans="1:9" s="1" customFormat="1" ht="17.5" customHeight="1" x14ac:dyDescent="0.25">
      <c r="A149" s="8" t="s">
        <v>2</v>
      </c>
      <c r="B149" s="8" t="s">
        <v>0</v>
      </c>
      <c r="C149" s="17" t="s">
        <v>726</v>
      </c>
      <c r="D149" s="16" t="s">
        <v>1</v>
      </c>
      <c r="E149" s="15" t="s">
        <v>3</v>
      </c>
      <c r="F149" s="15" t="s">
        <v>4</v>
      </c>
      <c r="G149" s="15" t="s">
        <v>6</v>
      </c>
    </row>
    <row r="150" spans="1:9" ht="10.5" x14ac:dyDescent="0.25">
      <c r="A150" s="21" t="s">
        <v>32</v>
      </c>
      <c r="B150" s="22"/>
      <c r="C150" s="22"/>
      <c r="D150" s="23"/>
      <c r="E150" s="24"/>
      <c r="F150" s="25"/>
      <c r="G150" s="24"/>
    </row>
    <row r="151" spans="1:9" ht="10.5" x14ac:dyDescent="0.25">
      <c r="A151" s="26" t="s">
        <v>33</v>
      </c>
      <c r="B151" s="27"/>
      <c r="C151" s="27"/>
      <c r="D151" s="28"/>
      <c r="E151" s="29"/>
      <c r="F151" s="30"/>
      <c r="G151" s="29"/>
    </row>
    <row r="152" spans="1:9" x14ac:dyDescent="0.2">
      <c r="A152" s="27" t="s">
        <v>1120</v>
      </c>
      <c r="B152" s="27" t="s">
        <v>1121</v>
      </c>
      <c r="C152" s="27" t="s">
        <v>1122</v>
      </c>
      <c r="D152" s="31">
        <v>5230</v>
      </c>
      <c r="E152" s="29">
        <v>0</v>
      </c>
      <c r="F152" s="30">
        <v>100</v>
      </c>
      <c r="G152" s="29">
        <v>0</v>
      </c>
    </row>
    <row r="153" spans="1:9" ht="10.5" x14ac:dyDescent="0.25">
      <c r="A153" s="26" t="s">
        <v>43</v>
      </c>
      <c r="B153" s="26"/>
      <c r="C153" s="26"/>
      <c r="D153" s="32"/>
      <c r="E153" s="33">
        <f>SUM(E151:E152)</f>
        <v>0</v>
      </c>
      <c r="F153" s="34">
        <f>SUM(F151:F152)</f>
        <v>100</v>
      </c>
      <c r="G153" s="33"/>
      <c r="H153" s="18"/>
      <c r="I153" s="18"/>
    </row>
    <row r="154" spans="1:9" x14ac:dyDescent="0.2">
      <c r="A154" s="27"/>
      <c r="B154" s="27"/>
      <c r="C154" s="27"/>
      <c r="D154" s="28"/>
      <c r="E154" s="29"/>
      <c r="F154" s="30"/>
      <c r="G154" s="29"/>
    </row>
    <row r="155" spans="1:9" ht="10.5" x14ac:dyDescent="0.25">
      <c r="A155" s="26" t="s">
        <v>48</v>
      </c>
      <c r="B155" s="26"/>
      <c r="C155" s="26"/>
      <c r="D155" s="32"/>
      <c r="E155" s="33">
        <f>E153</f>
        <v>0</v>
      </c>
      <c r="F155" s="34">
        <f>F153</f>
        <v>100</v>
      </c>
      <c r="G155" s="33"/>
      <c r="H155" s="18"/>
      <c r="I155" s="18"/>
    </row>
    <row r="156" spans="1:9" ht="10.5" x14ac:dyDescent="0.25">
      <c r="A156" s="26"/>
      <c r="B156" s="26"/>
      <c r="C156" s="26"/>
      <c r="D156" s="32"/>
      <c r="E156" s="33"/>
      <c r="F156" s="34"/>
      <c r="G156" s="33"/>
      <c r="H156" s="18"/>
      <c r="I156" s="18"/>
    </row>
    <row r="157" spans="1:9" ht="10.5" x14ac:dyDescent="0.25">
      <c r="A157" s="26" t="s">
        <v>50</v>
      </c>
      <c r="B157" s="26"/>
      <c r="C157" s="26"/>
      <c r="D157" s="32"/>
      <c r="E157" s="33">
        <f>E159-(E153)</f>
        <v>0</v>
      </c>
      <c r="F157" s="34">
        <v>0</v>
      </c>
      <c r="G157" s="33"/>
      <c r="H157" s="18"/>
      <c r="I157" s="18"/>
    </row>
    <row r="158" spans="1:9" ht="10.5" x14ac:dyDescent="0.25">
      <c r="A158" s="26"/>
      <c r="B158" s="26"/>
      <c r="C158" s="26"/>
      <c r="D158" s="32"/>
      <c r="E158" s="33"/>
      <c r="F158" s="34"/>
      <c r="G158" s="33"/>
      <c r="H158" s="18"/>
      <c r="I158" s="18"/>
    </row>
    <row r="159" spans="1:9" ht="10.5" x14ac:dyDescent="0.25">
      <c r="A159" s="35" t="s">
        <v>49</v>
      </c>
      <c r="B159" s="35"/>
      <c r="C159" s="35"/>
      <c r="D159" s="36"/>
      <c r="E159" s="37">
        <v>0</v>
      </c>
      <c r="F159" s="38">
        <v>100</v>
      </c>
      <c r="G159" s="37"/>
      <c r="H159" s="18"/>
      <c r="I159" s="18"/>
    </row>
    <row r="160" spans="1:9" ht="10.5" x14ac:dyDescent="0.25">
      <c r="F160" s="20"/>
    </row>
    <row r="161" spans="1:4" ht="10.5" x14ac:dyDescent="0.25">
      <c r="A161" s="66" t="s">
        <v>766</v>
      </c>
    </row>
    <row r="162" spans="1:4" ht="10.5" x14ac:dyDescent="0.25">
      <c r="A162" s="66" t="s">
        <v>1109</v>
      </c>
    </row>
    <row r="163" spans="1:4" ht="10.5" x14ac:dyDescent="0.25">
      <c r="A163" s="18" t="s">
        <v>1110</v>
      </c>
    </row>
    <row r="165" spans="1:4" ht="10.5" x14ac:dyDescent="0.25">
      <c r="A165" s="18" t="s">
        <v>51</v>
      </c>
    </row>
    <row r="166" spans="1:4" ht="10.5" x14ac:dyDescent="0.25">
      <c r="A166" s="18" t="s">
        <v>713</v>
      </c>
    </row>
    <row r="167" spans="1:4" ht="10.5" x14ac:dyDescent="0.25">
      <c r="A167" s="18" t="s">
        <v>53</v>
      </c>
      <c r="B167" s="18"/>
      <c r="C167" s="39" t="s">
        <v>55</v>
      </c>
      <c r="D167" s="19" t="s">
        <v>714</v>
      </c>
    </row>
    <row r="168" spans="1:4" x14ac:dyDescent="0.2">
      <c r="A168" s="9" t="s">
        <v>838</v>
      </c>
      <c r="C168" s="40">
        <v>0</v>
      </c>
      <c r="D168" s="40">
        <v>0</v>
      </c>
    </row>
    <row r="169" spans="1:4" x14ac:dyDescent="0.2">
      <c r="A169" s="9" t="s">
        <v>1238</v>
      </c>
      <c r="C169" s="40">
        <v>0</v>
      </c>
      <c r="D169" s="40">
        <v>0</v>
      </c>
    </row>
    <row r="170" spans="1:4" x14ac:dyDescent="0.2">
      <c r="A170" s="9" t="s">
        <v>840</v>
      </c>
      <c r="C170" s="40">
        <v>0</v>
      </c>
      <c r="D170" s="40">
        <v>0</v>
      </c>
    </row>
    <row r="171" spans="1:4" x14ac:dyDescent="0.2">
      <c r="A171" s="9" t="s">
        <v>841</v>
      </c>
      <c r="C171" s="40">
        <v>0</v>
      </c>
      <c r="D171" s="40">
        <v>0</v>
      </c>
    </row>
    <row r="172" spans="1:4" x14ac:dyDescent="0.2">
      <c r="A172" s="9" t="s">
        <v>770</v>
      </c>
      <c r="C172" s="40">
        <v>0</v>
      </c>
      <c r="D172" s="40">
        <v>0</v>
      </c>
    </row>
    <row r="173" spans="1:4" x14ac:dyDescent="0.2">
      <c r="A173" s="9" t="s">
        <v>843</v>
      </c>
      <c r="C173" s="40">
        <v>0</v>
      </c>
      <c r="D173" s="40">
        <v>0</v>
      </c>
    </row>
    <row r="174" spans="1:4" x14ac:dyDescent="0.2">
      <c r="A174" s="9" t="s">
        <v>1323</v>
      </c>
      <c r="C174" s="40">
        <v>0</v>
      </c>
      <c r="D174" s="40">
        <v>0</v>
      </c>
    </row>
    <row r="175" spans="1:4" x14ac:dyDescent="0.2">
      <c r="A175" s="9" t="s">
        <v>845</v>
      </c>
      <c r="C175" s="40">
        <v>0</v>
      </c>
      <c r="D175" s="40">
        <v>0</v>
      </c>
    </row>
    <row r="176" spans="1:4" x14ac:dyDescent="0.2">
      <c r="A176" s="9" t="s">
        <v>846</v>
      </c>
      <c r="C176" s="40">
        <v>0</v>
      </c>
      <c r="D176" s="40">
        <v>0</v>
      </c>
    </row>
    <row r="178" spans="1:9" ht="10.5" x14ac:dyDescent="0.25">
      <c r="A178" s="18" t="s">
        <v>1123</v>
      </c>
      <c r="D178" s="41" t="s">
        <v>57</v>
      </c>
    </row>
    <row r="179" spans="1:9" x14ac:dyDescent="0.2">
      <c r="A179" s="9" t="s">
        <v>1111</v>
      </c>
    </row>
    <row r="180" spans="1:9" x14ac:dyDescent="0.2">
      <c r="A180" s="59" t="s">
        <v>1112</v>
      </c>
    </row>
    <row r="181" spans="1:9" x14ac:dyDescent="0.2">
      <c r="A181" s="59"/>
    </row>
    <row r="182" spans="1:9" x14ac:dyDescent="0.2">
      <c r="A182" s="59"/>
    </row>
    <row r="184" spans="1:9" s="1" customFormat="1" ht="14" x14ac:dyDescent="0.25">
      <c r="A184" s="79" t="s">
        <v>1329</v>
      </c>
      <c r="B184" s="80"/>
      <c r="C184" s="80"/>
      <c r="D184" s="80"/>
      <c r="E184" s="80"/>
      <c r="F184" s="80"/>
      <c r="G184" s="80"/>
    </row>
    <row r="185" spans="1:9" ht="10.5" x14ac:dyDescent="0.25">
      <c r="A185" s="18" t="s">
        <v>711</v>
      </c>
    </row>
    <row r="186" spans="1:9" s="1" customFormat="1" ht="17.5" customHeight="1" x14ac:dyDescent="0.25">
      <c r="A186" s="8" t="s">
        <v>2</v>
      </c>
      <c r="B186" s="8" t="s">
        <v>0</v>
      </c>
      <c r="C186" s="17" t="s">
        <v>726</v>
      </c>
      <c r="D186" s="16" t="s">
        <v>1</v>
      </c>
      <c r="E186" s="15" t="s">
        <v>3</v>
      </c>
      <c r="F186" s="15" t="s">
        <v>4</v>
      </c>
      <c r="G186" s="15" t="s">
        <v>6</v>
      </c>
    </row>
    <row r="187" spans="1:9" ht="10.5" x14ac:dyDescent="0.25">
      <c r="A187" s="21" t="s">
        <v>32</v>
      </c>
      <c r="B187" s="22"/>
      <c r="C187" s="22"/>
      <c r="D187" s="23"/>
      <c r="E187" s="24"/>
      <c r="F187" s="25"/>
      <c r="G187" s="24"/>
    </row>
    <row r="188" spans="1:9" ht="10.5" x14ac:dyDescent="0.25">
      <c r="A188" s="26" t="s">
        <v>33</v>
      </c>
      <c r="B188" s="27"/>
      <c r="C188" s="27"/>
      <c r="D188" s="28"/>
      <c r="E188" s="29"/>
      <c r="F188" s="30"/>
      <c r="G188" s="29"/>
    </row>
    <row r="189" spans="1:9" x14ac:dyDescent="0.2">
      <c r="A189" s="27" t="s">
        <v>1125</v>
      </c>
      <c r="B189" s="27" t="s">
        <v>1126</v>
      </c>
      <c r="C189" s="27" t="s">
        <v>1127</v>
      </c>
      <c r="D189" s="31">
        <v>3523</v>
      </c>
      <c r="E189" s="29">
        <v>0</v>
      </c>
      <c r="F189" s="30">
        <v>100</v>
      </c>
      <c r="G189" s="29">
        <v>0</v>
      </c>
    </row>
    <row r="190" spans="1:9" ht="10.5" x14ac:dyDescent="0.25">
      <c r="A190" s="26" t="s">
        <v>43</v>
      </c>
      <c r="B190" s="26"/>
      <c r="C190" s="26"/>
      <c r="D190" s="32"/>
      <c r="E190" s="33">
        <f>SUM(E188:E189)</f>
        <v>0</v>
      </c>
      <c r="F190" s="34">
        <f>SUM(F188:F189)</f>
        <v>100</v>
      </c>
      <c r="G190" s="33"/>
      <c r="H190" s="18"/>
      <c r="I190" s="18"/>
    </row>
    <row r="191" spans="1:9" x14ac:dyDescent="0.2">
      <c r="A191" s="27"/>
      <c r="B191" s="27"/>
      <c r="C191" s="27"/>
      <c r="D191" s="28"/>
      <c r="E191" s="29"/>
      <c r="F191" s="30"/>
      <c r="G191" s="29"/>
    </row>
    <row r="192" spans="1:9" ht="10.5" x14ac:dyDescent="0.25">
      <c r="A192" s="26" t="s">
        <v>48</v>
      </c>
      <c r="B192" s="26"/>
      <c r="C192" s="26"/>
      <c r="D192" s="32"/>
      <c r="E192" s="33">
        <f>E190</f>
        <v>0</v>
      </c>
      <c r="F192" s="34">
        <f>F190</f>
        <v>100</v>
      </c>
      <c r="G192" s="33"/>
      <c r="H192" s="18"/>
      <c r="I192" s="18"/>
    </row>
    <row r="193" spans="1:9" ht="10.5" x14ac:dyDescent="0.25">
      <c r="A193" s="26"/>
      <c r="B193" s="26"/>
      <c r="C193" s="26"/>
      <c r="D193" s="32"/>
      <c r="E193" s="33"/>
      <c r="F193" s="34"/>
      <c r="G193" s="33"/>
      <c r="H193" s="18"/>
      <c r="I193" s="18"/>
    </row>
    <row r="194" spans="1:9" ht="10.5" x14ac:dyDescent="0.25">
      <c r="A194" s="26" t="s">
        <v>50</v>
      </c>
      <c r="B194" s="26"/>
      <c r="C194" s="26"/>
      <c r="D194" s="32"/>
      <c r="E194" s="33">
        <f>E196-(E190)</f>
        <v>0</v>
      </c>
      <c r="F194" s="34">
        <v>0</v>
      </c>
      <c r="G194" s="33"/>
      <c r="H194" s="18"/>
      <c r="I194" s="18"/>
    </row>
    <row r="195" spans="1:9" ht="10.5" x14ac:dyDescent="0.25">
      <c r="A195" s="26"/>
      <c r="B195" s="26"/>
      <c r="C195" s="26"/>
      <c r="D195" s="32"/>
      <c r="E195" s="33"/>
      <c r="F195" s="34"/>
      <c r="G195" s="33"/>
      <c r="H195" s="18"/>
      <c r="I195" s="18"/>
    </row>
    <row r="196" spans="1:9" ht="10.5" x14ac:dyDescent="0.25">
      <c r="A196" s="35" t="s">
        <v>49</v>
      </c>
      <c r="B196" s="35"/>
      <c r="C196" s="35"/>
      <c r="D196" s="36"/>
      <c r="E196" s="37">
        <v>0</v>
      </c>
      <c r="F196" s="38">
        <v>100</v>
      </c>
      <c r="G196" s="37"/>
      <c r="H196" s="18"/>
      <c r="I196" s="18"/>
    </row>
    <row r="197" spans="1:9" ht="10.5" x14ac:dyDescent="0.25">
      <c r="F197" s="20"/>
    </row>
    <row r="198" spans="1:9" ht="10.5" x14ac:dyDescent="0.25">
      <c r="A198" s="18" t="s">
        <v>766</v>
      </c>
    </row>
    <row r="199" spans="1:9" ht="10.5" x14ac:dyDescent="0.25">
      <c r="A199" s="66" t="s">
        <v>1109</v>
      </c>
    </row>
    <row r="201" spans="1:9" ht="10.5" x14ac:dyDescent="0.25">
      <c r="A201" s="18" t="s">
        <v>51</v>
      </c>
    </row>
    <row r="202" spans="1:9" ht="10.5" x14ac:dyDescent="0.25">
      <c r="A202" s="18" t="s">
        <v>713</v>
      </c>
    </row>
    <row r="203" spans="1:9" ht="10.5" x14ac:dyDescent="0.25">
      <c r="A203" s="18" t="s">
        <v>53</v>
      </c>
      <c r="B203" s="18"/>
      <c r="C203" s="39" t="s">
        <v>55</v>
      </c>
      <c r="D203" s="19" t="s">
        <v>714</v>
      </c>
    </row>
    <row r="204" spans="1:9" x14ac:dyDescent="0.2">
      <c r="A204" s="9" t="s">
        <v>838</v>
      </c>
      <c r="C204" s="40">
        <v>0</v>
      </c>
      <c r="D204" s="40">
        <v>0</v>
      </c>
    </row>
    <row r="205" spans="1:9" x14ac:dyDescent="0.2">
      <c r="A205" s="9" t="s">
        <v>1238</v>
      </c>
      <c r="C205" s="40">
        <v>0</v>
      </c>
      <c r="D205" s="40">
        <v>0</v>
      </c>
    </row>
    <row r="206" spans="1:9" x14ac:dyDescent="0.2">
      <c r="A206" s="9" t="s">
        <v>840</v>
      </c>
      <c r="C206" s="40">
        <v>0</v>
      </c>
      <c r="D206" s="40">
        <v>0</v>
      </c>
    </row>
    <row r="207" spans="1:9" x14ac:dyDescent="0.2">
      <c r="A207" s="9" t="s">
        <v>841</v>
      </c>
      <c r="C207" s="40">
        <v>0</v>
      </c>
      <c r="D207" s="40">
        <v>0</v>
      </c>
    </row>
    <row r="208" spans="1:9" x14ac:dyDescent="0.2">
      <c r="A208" s="9" t="s">
        <v>770</v>
      </c>
      <c r="C208" s="40">
        <v>0</v>
      </c>
      <c r="D208" s="40">
        <v>0</v>
      </c>
    </row>
    <row r="209" spans="1:4" x14ac:dyDescent="0.2">
      <c r="A209" s="9" t="s">
        <v>843</v>
      </c>
      <c r="C209" s="40">
        <v>0</v>
      </c>
      <c r="D209" s="40">
        <v>0</v>
      </c>
    </row>
    <row r="210" spans="1:4" x14ac:dyDescent="0.2">
      <c r="A210" s="9" t="s">
        <v>1323</v>
      </c>
      <c r="C210" s="40">
        <v>0</v>
      </c>
      <c r="D210" s="40">
        <v>0</v>
      </c>
    </row>
    <row r="211" spans="1:4" x14ac:dyDescent="0.2">
      <c r="A211" s="9" t="s">
        <v>845</v>
      </c>
      <c r="C211" s="40">
        <v>0</v>
      </c>
      <c r="D211" s="40">
        <v>0</v>
      </c>
    </row>
    <row r="212" spans="1:4" x14ac:dyDescent="0.2">
      <c r="A212" s="9" t="s">
        <v>846</v>
      </c>
      <c r="C212" s="40">
        <v>0</v>
      </c>
      <c r="D212" s="40">
        <v>0</v>
      </c>
    </row>
    <row r="214" spans="1:4" ht="10.5" x14ac:dyDescent="0.25">
      <c r="A214" s="18" t="s">
        <v>1123</v>
      </c>
      <c r="D214" s="41" t="s">
        <v>57</v>
      </c>
    </row>
    <row r="215" spans="1:4" x14ac:dyDescent="0.2">
      <c r="A215" s="9" t="s">
        <v>1111</v>
      </c>
    </row>
    <row r="216" spans="1:4" x14ac:dyDescent="0.2">
      <c r="A216" s="59" t="s">
        <v>1112</v>
      </c>
    </row>
  </sheetData>
  <mergeCells count="7">
    <mergeCell ref="A184:G184"/>
    <mergeCell ref="A1:G1"/>
    <mergeCell ref="A133:G133"/>
    <mergeCell ref="A139:G139"/>
    <mergeCell ref="A141:F141"/>
    <mergeCell ref="A143:G143"/>
    <mergeCell ref="A147:G147"/>
  </mergeCells>
  <conditionalFormatting sqref="F2:F3 F5:F65 F150:F151 F187:F188 F185 F148 F68:F132 F144:F146 F161:F183 F198:F65536">
    <cfRule type="cellIs" dxfId="70" priority="5" stopIfTrue="1" operator="between">
      <formula>0.009</formula>
      <formula>-0.009</formula>
    </cfRule>
  </conditionalFormatting>
  <conditionalFormatting sqref="F136:F138">
    <cfRule type="cellIs" dxfId="69" priority="4" stopIfTrue="1" operator="between">
      <formula>0.009</formula>
      <formula>-0.009</formula>
    </cfRule>
  </conditionalFormatting>
  <conditionalFormatting sqref="F134:F135">
    <cfRule type="cellIs" dxfId="68" priority="3" stopIfTrue="1" operator="between">
      <formula>0.009</formula>
      <formula>-0.009</formula>
    </cfRule>
  </conditionalFormatting>
  <conditionalFormatting sqref="F152:F156 F158:F160">
    <cfRule type="cellIs" dxfId="67" priority="2" stopIfTrue="1" operator="between">
      <formula>0.009</formula>
      <formula>-0.009</formula>
    </cfRule>
  </conditionalFormatting>
  <conditionalFormatting sqref="F189:F193 F195:F197">
    <cfRule type="cellIs" dxfId="66" priority="1" stopIfTrue="1" operator="between">
      <formula>0.009</formula>
      <formula>-0.009</formula>
    </cfRule>
  </conditionalFormatting>
  <hyperlinks>
    <hyperlink ref="A131" r:id="rId1" xr:uid="{00000000-0004-0000-0A00-000000000000}"/>
    <hyperlink ref="A134" r:id="rId2" xr:uid="{00000000-0004-0000-0A00-000001000000}"/>
    <hyperlink ref="A137" r:id="rId3" xr:uid="{00000000-0004-0000-0A00-000002000000}"/>
    <hyperlink ref="A140" r:id="rId4" xr:uid="{00000000-0004-0000-0A00-000003000000}"/>
    <hyperlink ref="A141" r:id="rId5" xr:uid="{00000000-0004-0000-0A00-000004000000}"/>
    <hyperlink ref="A180" r:id="rId6" xr:uid="{00000000-0004-0000-0A00-000005000000}"/>
    <hyperlink ref="A216" r:id="rId7" xr:uid="{00000000-0004-0000-0A00-000006000000}"/>
  </hyperlinks>
  <pageMargins left="0.7" right="0.7" top="0.75" bottom="0.75" header="0.3" footer="0.3"/>
  <pageSetup paperSize="9" orientation="portrait" r:id="rId8"/>
  <headerFooter>
    <oddFooter>&amp;LPUBLIC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5"/>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9" t="s">
        <v>1330</v>
      </c>
      <c r="B1" s="80"/>
      <c r="C1" s="80"/>
      <c r="D1" s="80"/>
      <c r="E1" s="80"/>
      <c r="F1" s="80"/>
      <c r="G1" s="80"/>
    </row>
    <row r="2" spans="1:7" s="1" customFormat="1" ht="11.5" x14ac:dyDescent="0.25">
      <c r="A2" s="58" t="s">
        <v>1010</v>
      </c>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1023</v>
      </c>
      <c r="B7" s="27" t="s">
        <v>1024</v>
      </c>
      <c r="C7" s="27" t="s">
        <v>1025</v>
      </c>
      <c r="D7" s="31">
        <v>2797</v>
      </c>
      <c r="E7" s="29">
        <v>24009.615819999999</v>
      </c>
      <c r="F7" s="30">
        <v>14.7183149876344</v>
      </c>
      <c r="G7" s="29">
        <v>12.919</v>
      </c>
    </row>
    <row r="8" spans="1:7" x14ac:dyDescent="0.2">
      <c r="A8" s="27" t="s">
        <v>875</v>
      </c>
      <c r="B8" s="27" t="s">
        <v>876</v>
      </c>
      <c r="C8" s="27" t="s">
        <v>877</v>
      </c>
      <c r="D8" s="31">
        <v>1910</v>
      </c>
      <c r="E8" s="29">
        <v>21086.705600000001</v>
      </c>
      <c r="F8" s="30">
        <v>12.9265198326824</v>
      </c>
      <c r="G8" s="29">
        <v>8.0469000000000008</v>
      </c>
    </row>
    <row r="9" spans="1:7" x14ac:dyDescent="0.2">
      <c r="A9" s="27" t="s">
        <v>1162</v>
      </c>
      <c r="B9" s="27" t="s">
        <v>1163</v>
      </c>
      <c r="C9" s="27" t="s">
        <v>871</v>
      </c>
      <c r="D9" s="31">
        <v>1550</v>
      </c>
      <c r="E9" s="29">
        <v>14032.646000000001</v>
      </c>
      <c r="F9" s="30">
        <v>8.6022577573241694</v>
      </c>
      <c r="G9" s="29">
        <v>13.342700000000001</v>
      </c>
    </row>
    <row r="10" spans="1:7" x14ac:dyDescent="0.2">
      <c r="A10" s="27" t="s">
        <v>1331</v>
      </c>
      <c r="B10" s="27" t="s">
        <v>1332</v>
      </c>
      <c r="C10" s="27" t="s">
        <v>39</v>
      </c>
      <c r="D10" s="31">
        <v>12100</v>
      </c>
      <c r="E10" s="29">
        <v>12414.200699999999</v>
      </c>
      <c r="F10" s="30">
        <v>7.6101224439463602</v>
      </c>
      <c r="G10" s="29">
        <v>8.7005999999999997</v>
      </c>
    </row>
    <row r="11" spans="1:7" x14ac:dyDescent="0.2">
      <c r="A11" s="27" t="s">
        <v>1333</v>
      </c>
      <c r="B11" s="27" t="s">
        <v>1334</v>
      </c>
      <c r="C11" s="27" t="s">
        <v>1013</v>
      </c>
      <c r="D11" s="31">
        <v>5858</v>
      </c>
      <c r="E11" s="29">
        <v>11431.84014</v>
      </c>
      <c r="F11" s="30">
        <v>7.0079182161942102</v>
      </c>
      <c r="G11" s="29">
        <v>11.2445</v>
      </c>
    </row>
    <row r="12" spans="1:7" x14ac:dyDescent="0.2">
      <c r="A12" s="27" t="s">
        <v>1335</v>
      </c>
      <c r="B12" s="27" t="s">
        <v>1336</v>
      </c>
      <c r="C12" s="27" t="s">
        <v>36</v>
      </c>
      <c r="D12" s="31">
        <v>1000</v>
      </c>
      <c r="E12" s="29">
        <v>9344.36</v>
      </c>
      <c r="F12" s="30">
        <v>5.7282563315022399</v>
      </c>
      <c r="G12" s="29">
        <v>12.12</v>
      </c>
    </row>
    <row r="13" spans="1:7" x14ac:dyDescent="0.2">
      <c r="A13" s="27" t="s">
        <v>1038</v>
      </c>
      <c r="B13" s="27" t="s">
        <v>1039</v>
      </c>
      <c r="C13" s="27" t="s">
        <v>1040</v>
      </c>
      <c r="D13" s="31">
        <v>723</v>
      </c>
      <c r="E13" s="29">
        <v>9136.4063999999998</v>
      </c>
      <c r="F13" s="30">
        <v>5.6007771327279396</v>
      </c>
      <c r="G13" s="29">
        <v>10.8049</v>
      </c>
    </row>
    <row r="14" spans="1:7" x14ac:dyDescent="0.2">
      <c r="A14" s="27" t="s">
        <v>1016</v>
      </c>
      <c r="B14" s="27" t="s">
        <v>1017</v>
      </c>
      <c r="C14" s="27" t="s">
        <v>39</v>
      </c>
      <c r="D14" s="31">
        <v>780</v>
      </c>
      <c r="E14" s="29">
        <v>7736.7030000000004</v>
      </c>
      <c r="F14" s="30">
        <v>4.7427344349642402</v>
      </c>
      <c r="G14" s="29">
        <v>16.4498</v>
      </c>
    </row>
    <row r="15" spans="1:7" x14ac:dyDescent="0.2">
      <c r="A15" s="27" t="s">
        <v>1254</v>
      </c>
      <c r="B15" s="27" t="s">
        <v>1255</v>
      </c>
      <c r="C15" s="27" t="s">
        <v>986</v>
      </c>
      <c r="D15" s="31">
        <v>700</v>
      </c>
      <c r="E15" s="29">
        <v>7043.2389999999996</v>
      </c>
      <c r="F15" s="30">
        <v>4.3176288580527196</v>
      </c>
      <c r="G15" s="29">
        <v>12.174899999999999</v>
      </c>
    </row>
    <row r="16" spans="1:7" x14ac:dyDescent="0.2">
      <c r="A16" s="27" t="s">
        <v>60</v>
      </c>
      <c r="B16" s="27" t="s">
        <v>59</v>
      </c>
      <c r="C16" s="27" t="s">
        <v>39</v>
      </c>
      <c r="D16" s="31">
        <v>650</v>
      </c>
      <c r="E16" s="29">
        <v>6293.7290000000003</v>
      </c>
      <c r="F16" s="30">
        <v>3.85816610158526</v>
      </c>
      <c r="G16" s="29">
        <v>12.0749</v>
      </c>
    </row>
    <row r="17" spans="1:7" x14ac:dyDescent="0.2">
      <c r="A17" s="27" t="s">
        <v>1282</v>
      </c>
      <c r="B17" s="27" t="s">
        <v>1283</v>
      </c>
      <c r="C17" s="27" t="s">
        <v>1013</v>
      </c>
      <c r="D17" s="31">
        <v>646</v>
      </c>
      <c r="E17" s="29">
        <v>6171.6772799999999</v>
      </c>
      <c r="F17" s="30">
        <v>3.78334625968483</v>
      </c>
      <c r="G17" s="29">
        <v>11.5595</v>
      </c>
    </row>
    <row r="18" spans="1:7" x14ac:dyDescent="0.2">
      <c r="A18" s="27" t="s">
        <v>869</v>
      </c>
      <c r="B18" s="27" t="s">
        <v>870</v>
      </c>
      <c r="C18" s="27" t="s">
        <v>871</v>
      </c>
      <c r="D18" s="31">
        <v>620</v>
      </c>
      <c r="E18" s="29">
        <v>5812.7417999999998</v>
      </c>
      <c r="F18" s="30">
        <v>3.5633125242646599</v>
      </c>
      <c r="G18" s="29">
        <v>13.2049</v>
      </c>
    </row>
    <row r="19" spans="1:7" x14ac:dyDescent="0.2">
      <c r="A19" s="27" t="s">
        <v>1158</v>
      </c>
      <c r="B19" s="27" t="s">
        <v>1159</v>
      </c>
      <c r="C19" s="27" t="s">
        <v>1022</v>
      </c>
      <c r="D19" s="31">
        <v>500</v>
      </c>
      <c r="E19" s="29">
        <v>5032.12</v>
      </c>
      <c r="F19" s="30">
        <v>3.0847776895238499</v>
      </c>
      <c r="G19" s="29">
        <v>12.0749</v>
      </c>
    </row>
    <row r="20" spans="1:7" x14ac:dyDescent="0.2">
      <c r="A20" s="27" t="s">
        <v>1011</v>
      </c>
      <c r="B20" s="27" t="s">
        <v>1012</v>
      </c>
      <c r="C20" s="27" t="s">
        <v>1013</v>
      </c>
      <c r="D20" s="31">
        <v>501</v>
      </c>
      <c r="E20" s="29">
        <v>4963.4921700000004</v>
      </c>
      <c r="F20" s="30">
        <v>3.0427076278273</v>
      </c>
      <c r="G20" s="29">
        <v>11.151899999999999</v>
      </c>
    </row>
    <row r="21" spans="1:7" x14ac:dyDescent="0.2">
      <c r="A21" s="27" t="s">
        <v>1035</v>
      </c>
      <c r="B21" s="27" t="s">
        <v>1036</v>
      </c>
      <c r="C21" s="27" t="s">
        <v>1037</v>
      </c>
      <c r="D21" s="31">
        <v>454</v>
      </c>
      <c r="E21" s="29">
        <v>4585.6814800000002</v>
      </c>
      <c r="F21" s="30">
        <v>2.8111030581080501</v>
      </c>
      <c r="G21" s="29">
        <v>10.483700000000001</v>
      </c>
    </row>
    <row r="22" spans="1:7" x14ac:dyDescent="0.2">
      <c r="A22" s="27" t="s">
        <v>1337</v>
      </c>
      <c r="B22" s="27" t="s">
        <v>1338</v>
      </c>
      <c r="C22" s="27" t="s">
        <v>1034</v>
      </c>
      <c r="D22" s="31">
        <v>400</v>
      </c>
      <c r="E22" s="29">
        <v>3970.0160000000001</v>
      </c>
      <c r="F22" s="30">
        <v>2.4336893364730399</v>
      </c>
      <c r="G22" s="29">
        <v>9.5549999999999997</v>
      </c>
    </row>
    <row r="23" spans="1:7" x14ac:dyDescent="0.2">
      <c r="A23" s="27" t="s">
        <v>1256</v>
      </c>
      <c r="B23" s="27" t="s">
        <v>1257</v>
      </c>
      <c r="C23" s="27" t="s">
        <v>1045</v>
      </c>
      <c r="D23" s="31">
        <v>4000</v>
      </c>
      <c r="E23" s="29">
        <v>3929.248</v>
      </c>
      <c r="F23" s="30">
        <v>2.4086978384868001</v>
      </c>
      <c r="G23" s="29">
        <v>11.3004</v>
      </c>
    </row>
    <row r="24" spans="1:7" x14ac:dyDescent="0.2">
      <c r="A24" s="27" t="s">
        <v>1280</v>
      </c>
      <c r="B24" s="27" t="s">
        <v>1281</v>
      </c>
      <c r="C24" s="27" t="s">
        <v>1013</v>
      </c>
      <c r="D24" s="31">
        <v>350</v>
      </c>
      <c r="E24" s="29">
        <v>3385.8125</v>
      </c>
      <c r="F24" s="30">
        <v>2.0755623595842199</v>
      </c>
      <c r="G24" s="29">
        <v>11.367900000000001</v>
      </c>
    </row>
    <row r="25" spans="1:7" x14ac:dyDescent="0.2">
      <c r="A25" s="27" t="s">
        <v>1061</v>
      </c>
      <c r="B25" s="27" t="s">
        <v>1062</v>
      </c>
      <c r="C25" s="27" t="s">
        <v>1013</v>
      </c>
      <c r="D25" s="31">
        <v>240</v>
      </c>
      <c r="E25" s="29">
        <v>2395.9488000000001</v>
      </c>
      <c r="F25" s="30">
        <v>1.46875857560659</v>
      </c>
      <c r="G25" s="29">
        <v>10.775499999999999</v>
      </c>
    </row>
    <row r="26" spans="1:7" x14ac:dyDescent="0.2">
      <c r="A26" s="27" t="s">
        <v>41</v>
      </c>
      <c r="B26" s="27" t="s">
        <v>40</v>
      </c>
      <c r="C26" s="27" t="s">
        <v>39</v>
      </c>
      <c r="D26" s="31">
        <v>204</v>
      </c>
      <c r="E26" s="29">
        <v>2169.44004</v>
      </c>
      <c r="F26" s="30">
        <v>1.32990473878837</v>
      </c>
      <c r="G26" s="29">
        <v>7.0876000000000001</v>
      </c>
    </row>
    <row r="27" spans="1:7" x14ac:dyDescent="0.2">
      <c r="A27" s="27" t="s">
        <v>1067</v>
      </c>
      <c r="B27" s="27" t="s">
        <v>1068</v>
      </c>
      <c r="C27" s="27" t="s">
        <v>36</v>
      </c>
      <c r="D27" s="31">
        <v>200</v>
      </c>
      <c r="E27" s="29">
        <v>2009.0139999999999</v>
      </c>
      <c r="F27" s="30">
        <v>1.23156076666317</v>
      </c>
      <c r="G27" s="29">
        <v>10.7118</v>
      </c>
    </row>
    <row r="28" spans="1:7" x14ac:dyDescent="0.2">
      <c r="A28" s="27" t="s">
        <v>1339</v>
      </c>
      <c r="B28" s="27" t="s">
        <v>1340</v>
      </c>
      <c r="C28" s="27" t="s">
        <v>1045</v>
      </c>
      <c r="D28" s="31">
        <v>2000</v>
      </c>
      <c r="E28" s="29">
        <v>1974.0360000000001</v>
      </c>
      <c r="F28" s="30">
        <v>1.2101186400795101</v>
      </c>
      <c r="G28" s="29">
        <v>11.170199999999999</v>
      </c>
    </row>
    <row r="29" spans="1:7" x14ac:dyDescent="0.2">
      <c r="A29" s="27" t="s">
        <v>1026</v>
      </c>
      <c r="B29" s="27" t="s">
        <v>1027</v>
      </c>
      <c r="C29" s="27" t="s">
        <v>1025</v>
      </c>
      <c r="D29" s="31">
        <v>250</v>
      </c>
      <c r="E29" s="29">
        <v>1969.912</v>
      </c>
      <c r="F29" s="30">
        <v>1.2075905558542499</v>
      </c>
      <c r="G29" s="29">
        <v>11.154500000000001</v>
      </c>
    </row>
    <row r="30" spans="1:7" x14ac:dyDescent="0.2">
      <c r="A30" s="27" t="s">
        <v>1341</v>
      </c>
      <c r="B30" s="27" t="s">
        <v>1342</v>
      </c>
      <c r="C30" s="27" t="s">
        <v>1022</v>
      </c>
      <c r="D30" s="31">
        <v>150</v>
      </c>
      <c r="E30" s="29">
        <v>1864.662</v>
      </c>
      <c r="F30" s="30">
        <v>1.14307046256904</v>
      </c>
      <c r="G30" s="29">
        <v>11.048550000000001</v>
      </c>
    </row>
    <row r="31" spans="1:7" x14ac:dyDescent="0.2">
      <c r="A31" s="27" t="s">
        <v>1270</v>
      </c>
      <c r="B31" s="27" t="s">
        <v>1271</v>
      </c>
      <c r="C31" s="27" t="s">
        <v>1034</v>
      </c>
      <c r="D31" s="31">
        <v>150</v>
      </c>
      <c r="E31" s="29">
        <v>1488.5550000000001</v>
      </c>
      <c r="F31" s="30">
        <v>0.91251028465719697</v>
      </c>
      <c r="G31" s="29">
        <v>9.5549999999999997</v>
      </c>
    </row>
    <row r="32" spans="1:7" x14ac:dyDescent="0.2">
      <c r="A32" s="27" t="s">
        <v>1048</v>
      </c>
      <c r="B32" s="27" t="s">
        <v>1049</v>
      </c>
      <c r="C32" s="27" t="s">
        <v>1013</v>
      </c>
      <c r="D32" s="31">
        <v>150</v>
      </c>
      <c r="E32" s="29">
        <v>1480.9559999999999</v>
      </c>
      <c r="F32" s="30">
        <v>0.90785196457287998</v>
      </c>
      <c r="G32" s="29">
        <v>11.0603</v>
      </c>
    </row>
    <row r="33" spans="1:9" x14ac:dyDescent="0.2">
      <c r="A33" s="27" t="s">
        <v>1343</v>
      </c>
      <c r="B33" s="27" t="s">
        <v>1344</v>
      </c>
      <c r="C33" s="27" t="s">
        <v>36</v>
      </c>
      <c r="D33" s="31">
        <v>150</v>
      </c>
      <c r="E33" s="29">
        <v>1371.5474999999999</v>
      </c>
      <c r="F33" s="30">
        <v>0.84078263795819896</v>
      </c>
      <c r="G33" s="29">
        <v>12.0845</v>
      </c>
    </row>
    <row r="34" spans="1:9" x14ac:dyDescent="0.2">
      <c r="A34" s="27" t="s">
        <v>1032</v>
      </c>
      <c r="B34" s="27" t="s">
        <v>1033</v>
      </c>
      <c r="C34" s="27" t="s">
        <v>1034</v>
      </c>
      <c r="D34" s="31">
        <v>40</v>
      </c>
      <c r="E34" s="29">
        <v>397.08280000000002</v>
      </c>
      <c r="F34" s="30">
        <v>0.243418710669392</v>
      </c>
      <c r="G34" s="29">
        <v>9.5549999999999997</v>
      </c>
    </row>
    <row r="35" spans="1:9" x14ac:dyDescent="0.2">
      <c r="A35" s="27" t="s">
        <v>1069</v>
      </c>
      <c r="B35" s="27" t="s">
        <v>1070</v>
      </c>
      <c r="C35" s="27" t="s">
        <v>1025</v>
      </c>
      <c r="D35" s="31">
        <v>30</v>
      </c>
      <c r="E35" s="29">
        <v>308.48009999999999</v>
      </c>
      <c r="F35" s="30">
        <v>0.18910370383498101</v>
      </c>
      <c r="G35" s="29">
        <v>6.5594999999999999</v>
      </c>
    </row>
    <row r="36" spans="1:9" ht="10.5" x14ac:dyDescent="0.25">
      <c r="A36" s="26" t="s">
        <v>43</v>
      </c>
      <c r="B36" s="26"/>
      <c r="C36" s="26"/>
      <c r="D36" s="32"/>
      <c r="E36" s="33">
        <f>SUM(E6:E35)</f>
        <v>177809.86912999998</v>
      </c>
      <c r="F36" s="34">
        <f>SUM(F6:F35)</f>
        <v>109.00056383182027</v>
      </c>
      <c r="G36" s="33"/>
      <c r="H36" s="18"/>
      <c r="I36" s="18"/>
    </row>
    <row r="37" spans="1:9" x14ac:dyDescent="0.2">
      <c r="A37" s="27"/>
      <c r="B37" s="27"/>
      <c r="C37" s="27"/>
      <c r="D37" s="28"/>
      <c r="E37" s="29"/>
      <c r="F37" s="30"/>
      <c r="G37" s="29"/>
    </row>
    <row r="38" spans="1:9" ht="10.5" x14ac:dyDescent="0.25">
      <c r="A38" s="26" t="s">
        <v>44</v>
      </c>
      <c r="B38" s="27"/>
      <c r="C38" s="27"/>
      <c r="D38" s="28"/>
      <c r="E38" s="29"/>
      <c r="F38" s="30"/>
      <c r="G38" s="29"/>
    </row>
    <row r="39" spans="1:9" x14ac:dyDescent="0.2">
      <c r="A39" s="27" t="s">
        <v>1071</v>
      </c>
      <c r="B39" s="27" t="s">
        <v>1072</v>
      </c>
      <c r="C39" s="27" t="s">
        <v>1073</v>
      </c>
      <c r="D39" s="31">
        <v>1000</v>
      </c>
      <c r="E39" s="29">
        <v>8972.4500000000007</v>
      </c>
      <c r="F39" s="30">
        <v>5.5002689880941302</v>
      </c>
      <c r="G39" s="29">
        <v>26.074999999999999</v>
      </c>
    </row>
    <row r="40" spans="1:9" x14ac:dyDescent="0.2">
      <c r="A40" s="27" t="s">
        <v>1078</v>
      </c>
      <c r="B40" s="27" t="s">
        <v>1079</v>
      </c>
      <c r="C40" s="27" t="s">
        <v>1073</v>
      </c>
      <c r="D40" s="31">
        <v>770</v>
      </c>
      <c r="E40" s="29">
        <v>6620.851353</v>
      </c>
      <c r="F40" s="30">
        <v>4.05869783299846</v>
      </c>
      <c r="G40" s="29">
        <v>11.6525</v>
      </c>
    </row>
    <row r="41" spans="1:9" x14ac:dyDescent="0.2">
      <c r="A41" s="27" t="s">
        <v>1093</v>
      </c>
      <c r="B41" s="27" t="s">
        <v>1094</v>
      </c>
      <c r="C41" s="27" t="s">
        <v>1082</v>
      </c>
      <c r="D41" s="31">
        <v>370</v>
      </c>
      <c r="E41" s="29">
        <v>3673.2748999999999</v>
      </c>
      <c r="F41" s="30">
        <v>2.2517818452278502</v>
      </c>
      <c r="G41" s="29">
        <v>9.9250000000000007</v>
      </c>
    </row>
    <row r="42" spans="1:9" x14ac:dyDescent="0.2">
      <c r="A42" s="27" t="s">
        <v>1297</v>
      </c>
      <c r="B42" s="27" t="s">
        <v>1298</v>
      </c>
      <c r="C42" s="27" t="s">
        <v>1229</v>
      </c>
      <c r="D42" s="31">
        <v>300</v>
      </c>
      <c r="E42" s="29">
        <v>2950.3139999999999</v>
      </c>
      <c r="F42" s="30">
        <v>1.8085941520253599</v>
      </c>
      <c r="G42" s="29">
        <v>12.3544</v>
      </c>
    </row>
    <row r="43" spans="1:9" x14ac:dyDescent="0.2">
      <c r="A43" s="27" t="s">
        <v>1095</v>
      </c>
      <c r="B43" s="27" t="s">
        <v>1096</v>
      </c>
      <c r="C43" s="27" t="s">
        <v>1073</v>
      </c>
      <c r="D43" s="31">
        <v>250</v>
      </c>
      <c r="E43" s="29">
        <v>2211.81927</v>
      </c>
      <c r="F43" s="30">
        <v>1.3558839489827199</v>
      </c>
      <c r="G43" s="29">
        <v>11.6548</v>
      </c>
    </row>
    <row r="44" spans="1:9" x14ac:dyDescent="0.2">
      <c r="A44" s="27" t="s">
        <v>1089</v>
      </c>
      <c r="B44" s="27" t="s">
        <v>1090</v>
      </c>
      <c r="C44" s="27" t="s">
        <v>1082</v>
      </c>
      <c r="D44" s="31">
        <v>10</v>
      </c>
      <c r="E44" s="29">
        <v>1016.647</v>
      </c>
      <c r="F44" s="30">
        <v>0.62322241594424499</v>
      </c>
      <c r="G44" s="29">
        <v>8.6892999999999994</v>
      </c>
    </row>
    <row r="45" spans="1:9" x14ac:dyDescent="0.2">
      <c r="A45" s="27" t="s">
        <v>1091</v>
      </c>
      <c r="B45" s="27" t="s">
        <v>1092</v>
      </c>
      <c r="C45" s="27" t="s">
        <v>1073</v>
      </c>
      <c r="D45" s="31">
        <v>100</v>
      </c>
      <c r="E45" s="29">
        <v>1012.474</v>
      </c>
      <c r="F45" s="30">
        <v>0.62066429386083199</v>
      </c>
      <c r="G45" s="29">
        <v>12.61</v>
      </c>
    </row>
    <row r="46" spans="1:9" x14ac:dyDescent="0.2">
      <c r="A46" s="27" t="s">
        <v>1076</v>
      </c>
      <c r="B46" s="27" t="s">
        <v>1077</v>
      </c>
      <c r="C46" s="27" t="s">
        <v>1073</v>
      </c>
      <c r="D46" s="31">
        <v>110</v>
      </c>
      <c r="E46" s="29">
        <v>993.80965609999998</v>
      </c>
      <c r="F46" s="30">
        <v>0.609222724174036</v>
      </c>
      <c r="G46" s="29">
        <v>11.6548</v>
      </c>
    </row>
    <row r="47" spans="1:9" x14ac:dyDescent="0.2">
      <c r="A47" s="27" t="s">
        <v>1083</v>
      </c>
      <c r="B47" s="27" t="s">
        <v>1084</v>
      </c>
      <c r="C47" s="27" t="s">
        <v>1085</v>
      </c>
      <c r="D47" s="31">
        <v>50</v>
      </c>
      <c r="E47" s="29">
        <v>472.23099999999999</v>
      </c>
      <c r="F47" s="30">
        <v>0.28948587336977999</v>
      </c>
      <c r="G47" s="29">
        <v>12.1</v>
      </c>
    </row>
    <row r="48" spans="1:9" x14ac:dyDescent="0.2">
      <c r="A48" s="27" t="s">
        <v>1097</v>
      </c>
      <c r="B48" s="27" t="s">
        <v>1098</v>
      </c>
      <c r="C48" s="27" t="s">
        <v>1099</v>
      </c>
      <c r="D48" s="31">
        <v>607</v>
      </c>
      <c r="E48" s="29">
        <v>79.456299999999999</v>
      </c>
      <c r="F48" s="30">
        <v>4.8708103449860901E-2</v>
      </c>
      <c r="G48" s="29">
        <v>0</v>
      </c>
    </row>
    <row r="49" spans="1:9" x14ac:dyDescent="0.2">
      <c r="A49" s="27" t="s">
        <v>1105</v>
      </c>
      <c r="B49" s="27" t="s">
        <v>1106</v>
      </c>
      <c r="C49" s="27" t="s">
        <v>1102</v>
      </c>
      <c r="D49" s="31">
        <v>1400</v>
      </c>
      <c r="E49" s="29">
        <v>0</v>
      </c>
      <c r="F49" s="29">
        <v>0</v>
      </c>
      <c r="G49" s="29">
        <v>0</v>
      </c>
    </row>
    <row r="50" spans="1:9" x14ac:dyDescent="0.2">
      <c r="A50" s="27" t="s">
        <v>1107</v>
      </c>
      <c r="B50" s="27" t="s">
        <v>1108</v>
      </c>
      <c r="C50" s="27" t="s">
        <v>1102</v>
      </c>
      <c r="D50" s="31">
        <v>688</v>
      </c>
      <c r="E50" s="29">
        <v>0</v>
      </c>
      <c r="F50" s="29">
        <v>0</v>
      </c>
      <c r="G50" s="29">
        <v>0</v>
      </c>
    </row>
    <row r="51" spans="1:9" x14ac:dyDescent="0.2">
      <c r="A51" s="27" t="s">
        <v>1345</v>
      </c>
      <c r="B51" s="27" t="s">
        <v>1346</v>
      </c>
      <c r="C51" s="27" t="s">
        <v>1102</v>
      </c>
      <c r="D51" s="31">
        <v>400</v>
      </c>
      <c r="E51" s="29">
        <v>0</v>
      </c>
      <c r="F51" s="29">
        <v>0</v>
      </c>
      <c r="G51" s="29">
        <v>0</v>
      </c>
    </row>
    <row r="52" spans="1:9" ht="10.5" x14ac:dyDescent="0.25">
      <c r="A52" s="26" t="s">
        <v>43</v>
      </c>
      <c r="B52" s="26"/>
      <c r="C52" s="26"/>
      <c r="D52" s="32"/>
      <c r="E52" s="33">
        <f>SUM(E38:E51)</f>
        <v>28003.327479099997</v>
      </c>
      <c r="F52" s="34">
        <f>SUM(F38:F51)</f>
        <v>17.166530178127275</v>
      </c>
      <c r="G52" s="33"/>
      <c r="H52" s="18"/>
      <c r="I52" s="18"/>
    </row>
    <row r="53" spans="1:9" x14ac:dyDescent="0.2">
      <c r="A53" s="27"/>
      <c r="B53" s="27"/>
      <c r="C53" s="27"/>
      <c r="D53" s="28"/>
      <c r="E53" s="29"/>
      <c r="F53" s="30"/>
      <c r="G53" s="29"/>
    </row>
    <row r="54" spans="1:9" ht="10.5" x14ac:dyDescent="0.25">
      <c r="A54" s="26" t="s">
        <v>48</v>
      </c>
      <c r="B54" s="26"/>
      <c r="C54" s="26"/>
      <c r="D54" s="32"/>
      <c r="E54" s="33">
        <f>E36+E52</f>
        <v>205813.19660909998</v>
      </c>
      <c r="F54" s="34">
        <f>F36+F52</f>
        <v>126.16709400994755</v>
      </c>
      <c r="G54" s="33"/>
      <c r="H54" s="18"/>
      <c r="I54" s="18"/>
    </row>
    <row r="55" spans="1:9" ht="10.5" x14ac:dyDescent="0.25">
      <c r="A55" s="26"/>
      <c r="B55" s="26"/>
      <c r="C55" s="26"/>
      <c r="D55" s="32"/>
      <c r="E55" s="33"/>
      <c r="F55" s="34"/>
      <c r="G55" s="33"/>
      <c r="H55" s="18"/>
      <c r="I55" s="18"/>
    </row>
    <row r="56" spans="1:9" ht="10.5" x14ac:dyDescent="0.25">
      <c r="A56" s="26" t="s">
        <v>50</v>
      </c>
      <c r="B56" s="26"/>
      <c r="C56" s="26"/>
      <c r="D56" s="32"/>
      <c r="E56" s="33">
        <f>E58-(E36+E52)</f>
        <v>-42685.720127099979</v>
      </c>
      <c r="F56" s="34">
        <f>F58-(F36+F52)</f>
        <v>-26.167094009947547</v>
      </c>
      <c r="G56" s="33"/>
      <c r="H56" s="18"/>
      <c r="I56" s="18"/>
    </row>
    <row r="57" spans="1:9" ht="10.5" x14ac:dyDescent="0.25">
      <c r="A57" s="26"/>
      <c r="B57" s="26"/>
      <c r="C57" s="26"/>
      <c r="D57" s="32"/>
      <c r="E57" s="33"/>
      <c r="F57" s="34"/>
      <c r="G57" s="33"/>
      <c r="H57" s="18"/>
      <c r="I57" s="18"/>
    </row>
    <row r="58" spans="1:9" ht="10.5" x14ac:dyDescent="0.25">
      <c r="A58" s="35" t="s">
        <v>49</v>
      </c>
      <c r="B58" s="35"/>
      <c r="C58" s="35"/>
      <c r="D58" s="36"/>
      <c r="E58" s="37">
        <v>163127.476482</v>
      </c>
      <c r="F58" s="38">
        <v>100</v>
      </c>
      <c r="G58" s="37"/>
      <c r="H58" s="18"/>
      <c r="I58" s="18"/>
    </row>
    <row r="59" spans="1:9" ht="10.5" x14ac:dyDescent="0.25">
      <c r="F59" s="20"/>
    </row>
    <row r="60" spans="1:9" ht="10.5" x14ac:dyDescent="0.25">
      <c r="A60" s="66" t="s">
        <v>766</v>
      </c>
    </row>
    <row r="61" spans="1:9" ht="10.5" x14ac:dyDescent="0.25">
      <c r="A61" s="66" t="s">
        <v>1109</v>
      </c>
    </row>
    <row r="62" spans="1:9" ht="10.5" x14ac:dyDescent="0.25">
      <c r="A62" s="18" t="s">
        <v>1110</v>
      </c>
    </row>
    <row r="64" spans="1:9" ht="10.5" x14ac:dyDescent="0.25">
      <c r="A64" s="18" t="s">
        <v>51</v>
      </c>
    </row>
    <row r="65" spans="1:7" ht="10.5" x14ac:dyDescent="0.25">
      <c r="A65" s="18" t="s">
        <v>713</v>
      </c>
    </row>
    <row r="66" spans="1:7" ht="10.5" x14ac:dyDescent="0.25">
      <c r="A66" s="18" t="s">
        <v>53</v>
      </c>
      <c r="B66" s="18"/>
      <c r="C66" s="39" t="s">
        <v>55</v>
      </c>
      <c r="D66" s="19" t="s">
        <v>714</v>
      </c>
    </row>
    <row r="67" spans="1:7" x14ac:dyDescent="0.2">
      <c r="A67" s="9" t="s">
        <v>71</v>
      </c>
      <c r="C67" s="40">
        <v>20.864999999999998</v>
      </c>
      <c r="D67" s="40">
        <v>20.775300000000001</v>
      </c>
    </row>
    <row r="68" spans="1:7" x14ac:dyDescent="0.2">
      <c r="A68" s="9" t="s">
        <v>77</v>
      </c>
      <c r="C68" s="40">
        <v>9.6730999999999998</v>
      </c>
      <c r="D68" s="40">
        <v>9.6315000000000008</v>
      </c>
    </row>
    <row r="69" spans="1:7" x14ac:dyDescent="0.2">
      <c r="A69" s="9" t="s">
        <v>74</v>
      </c>
      <c r="C69" s="40">
        <v>22.1068</v>
      </c>
      <c r="D69" s="40">
        <v>22.086300000000001</v>
      </c>
    </row>
    <row r="70" spans="1:7" x14ac:dyDescent="0.2">
      <c r="A70" s="9" t="s">
        <v>78</v>
      </c>
      <c r="C70" s="40">
        <v>10.3819</v>
      </c>
      <c r="D70" s="40">
        <v>10.372299999999999</v>
      </c>
    </row>
    <row r="72" spans="1:7" ht="10.5" x14ac:dyDescent="0.25">
      <c r="A72" s="18" t="s">
        <v>715</v>
      </c>
      <c r="D72" s="41" t="s">
        <v>57</v>
      </c>
    </row>
    <row r="74" spans="1:7" ht="10.5" x14ac:dyDescent="0.25">
      <c r="A74" s="18" t="s">
        <v>785</v>
      </c>
      <c r="D74" s="42">
        <v>4.8153010756438404</v>
      </c>
      <c r="E74" s="13" t="s">
        <v>58</v>
      </c>
    </row>
    <row r="76" spans="1:7" ht="10.5" x14ac:dyDescent="0.25">
      <c r="A76" s="18" t="s">
        <v>786</v>
      </c>
      <c r="D76" s="19">
        <v>1</v>
      </c>
    </row>
    <row r="77" spans="1:7" x14ac:dyDescent="0.2">
      <c r="A77" s="9" t="s">
        <v>1111</v>
      </c>
    </row>
    <row r="78" spans="1:7" x14ac:dyDescent="0.2">
      <c r="A78" s="59" t="s">
        <v>1112</v>
      </c>
    </row>
    <row r="80" spans="1:7" ht="40" customHeight="1" x14ac:dyDescent="0.2">
      <c r="A80" s="84" t="s">
        <v>1347</v>
      </c>
      <c r="B80" s="84"/>
      <c r="C80" s="84"/>
      <c r="D80" s="84"/>
      <c r="E80" s="84"/>
      <c r="F80" s="84"/>
      <c r="G80" s="84"/>
    </row>
    <row r="81" spans="1:9" ht="10.5" x14ac:dyDescent="0.2">
      <c r="A81" s="57" t="s">
        <v>1116</v>
      </c>
      <c r="B81" s="61"/>
      <c r="C81" s="61"/>
      <c r="D81" s="61"/>
      <c r="E81" s="61"/>
      <c r="F81" s="61"/>
    </row>
    <row r="82" spans="1:9" x14ac:dyDescent="0.2">
      <c r="A82" s="85" t="s">
        <v>1117</v>
      </c>
      <c r="B82" s="85"/>
      <c r="C82" s="85"/>
      <c r="D82" s="85"/>
      <c r="E82" s="85"/>
      <c r="F82" s="85"/>
    </row>
    <row r="84" spans="1:9" ht="30" customHeight="1" x14ac:dyDescent="0.2">
      <c r="A84" s="83" t="s">
        <v>1183</v>
      </c>
      <c r="B84" s="83"/>
      <c r="C84" s="83"/>
      <c r="D84" s="83"/>
      <c r="E84" s="83"/>
      <c r="F84" s="83"/>
      <c r="G84" s="83"/>
    </row>
    <row r="87" spans="1:9" s="1" customFormat="1" ht="14" x14ac:dyDescent="0.25">
      <c r="A87" s="79" t="s">
        <v>1348</v>
      </c>
      <c r="B87" s="80"/>
      <c r="C87" s="80"/>
      <c r="D87" s="80"/>
      <c r="E87" s="80"/>
      <c r="F87" s="80"/>
      <c r="G87" s="80"/>
    </row>
    <row r="88" spans="1:9" ht="10.5" x14ac:dyDescent="0.25">
      <c r="A88" s="18" t="s">
        <v>711</v>
      </c>
    </row>
    <row r="89" spans="1:9" s="1" customFormat="1" ht="17.5" customHeight="1" x14ac:dyDescent="0.25">
      <c r="A89" s="8" t="s">
        <v>2</v>
      </c>
      <c r="B89" s="8" t="s">
        <v>0</v>
      </c>
      <c r="C89" s="17" t="s">
        <v>726</v>
      </c>
      <c r="D89" s="16" t="s">
        <v>1</v>
      </c>
      <c r="E89" s="15" t="s">
        <v>3</v>
      </c>
      <c r="F89" s="15" t="s">
        <v>4</v>
      </c>
      <c r="G89" s="15" t="s">
        <v>6</v>
      </c>
    </row>
    <row r="90" spans="1:9" ht="10.5" x14ac:dyDescent="0.25">
      <c r="A90" s="21" t="s">
        <v>32</v>
      </c>
      <c r="B90" s="22"/>
      <c r="C90" s="22"/>
      <c r="D90" s="23"/>
      <c r="E90" s="24"/>
      <c r="F90" s="25"/>
      <c r="G90" s="24"/>
    </row>
    <row r="91" spans="1:9" ht="10.5" x14ac:dyDescent="0.25">
      <c r="A91" s="26" t="s">
        <v>33</v>
      </c>
      <c r="B91" s="27"/>
      <c r="C91" s="27"/>
      <c r="D91" s="28"/>
      <c r="E91" s="29"/>
      <c r="F91" s="30"/>
      <c r="G91" s="29"/>
    </row>
    <row r="92" spans="1:9" x14ac:dyDescent="0.2">
      <c r="A92" s="27" t="s">
        <v>1120</v>
      </c>
      <c r="B92" s="27" t="s">
        <v>1121</v>
      </c>
      <c r="C92" s="27" t="s">
        <v>1122</v>
      </c>
      <c r="D92" s="31">
        <v>1450</v>
      </c>
      <c r="E92" s="29">
        <v>0</v>
      </c>
      <c r="F92" s="30">
        <v>100</v>
      </c>
      <c r="G92" s="29">
        <v>0</v>
      </c>
    </row>
    <row r="93" spans="1:9" ht="10.5" x14ac:dyDescent="0.25">
      <c r="A93" s="26" t="s">
        <v>43</v>
      </c>
      <c r="B93" s="26"/>
      <c r="C93" s="26"/>
      <c r="D93" s="32"/>
      <c r="E93" s="33">
        <f>SUM(E91:E92)</f>
        <v>0</v>
      </c>
      <c r="F93" s="34">
        <f>SUM(F91:F92)</f>
        <v>100</v>
      </c>
      <c r="G93" s="33"/>
      <c r="H93" s="18"/>
      <c r="I93" s="18"/>
    </row>
    <row r="94" spans="1:9" x14ac:dyDescent="0.2">
      <c r="A94" s="27"/>
      <c r="B94" s="27"/>
      <c r="C94" s="27"/>
      <c r="D94" s="28"/>
      <c r="E94" s="29"/>
      <c r="F94" s="30"/>
      <c r="G94" s="29"/>
    </row>
    <row r="95" spans="1:9" ht="10.5" x14ac:dyDescent="0.25">
      <c r="A95" s="26" t="s">
        <v>48</v>
      </c>
      <c r="B95" s="26"/>
      <c r="C95" s="26"/>
      <c r="D95" s="32"/>
      <c r="E95" s="33">
        <f>E93</f>
        <v>0</v>
      </c>
      <c r="F95" s="34">
        <f>F93</f>
        <v>100</v>
      </c>
      <c r="G95" s="33"/>
      <c r="H95" s="18"/>
      <c r="I95" s="18"/>
    </row>
    <row r="96" spans="1:9" ht="10.5" x14ac:dyDescent="0.25">
      <c r="A96" s="26"/>
      <c r="B96" s="26"/>
      <c r="C96" s="26"/>
      <c r="D96" s="32"/>
      <c r="E96" s="33"/>
      <c r="F96" s="34"/>
      <c r="G96" s="33"/>
      <c r="H96" s="18"/>
      <c r="I96" s="18"/>
    </row>
    <row r="97" spans="1:9" ht="10.5" x14ac:dyDescent="0.25">
      <c r="A97" s="26" t="s">
        <v>50</v>
      </c>
      <c r="B97" s="26"/>
      <c r="C97" s="26"/>
      <c r="D97" s="32"/>
      <c r="E97" s="33">
        <f>E99-(E93)</f>
        <v>0</v>
      </c>
      <c r="F97" s="34">
        <v>0</v>
      </c>
      <c r="G97" s="33"/>
      <c r="H97" s="18"/>
      <c r="I97" s="18"/>
    </row>
    <row r="98" spans="1:9" ht="10.5" x14ac:dyDescent="0.25">
      <c r="A98" s="26"/>
      <c r="B98" s="26"/>
      <c r="C98" s="26"/>
      <c r="D98" s="32"/>
      <c r="E98" s="33"/>
      <c r="F98" s="34"/>
      <c r="G98" s="33"/>
      <c r="H98" s="18"/>
      <c r="I98" s="18"/>
    </row>
    <row r="99" spans="1:9" ht="10.5" x14ac:dyDescent="0.25">
      <c r="A99" s="35" t="s">
        <v>49</v>
      </c>
      <c r="B99" s="35"/>
      <c r="C99" s="35"/>
      <c r="D99" s="36"/>
      <c r="E99" s="37">
        <v>0</v>
      </c>
      <c r="F99" s="38">
        <v>100</v>
      </c>
      <c r="G99" s="37"/>
      <c r="H99" s="18"/>
      <c r="I99" s="18"/>
    </row>
    <row r="100" spans="1:9" ht="10.5" x14ac:dyDescent="0.25">
      <c r="F100" s="20"/>
    </row>
    <row r="101" spans="1:9" ht="10.5" x14ac:dyDescent="0.25">
      <c r="A101" s="66" t="s">
        <v>766</v>
      </c>
    </row>
    <row r="102" spans="1:9" ht="10.5" x14ac:dyDescent="0.25">
      <c r="A102" s="66" t="s">
        <v>1109</v>
      </c>
    </row>
    <row r="103" spans="1:9" ht="10.5" x14ac:dyDescent="0.25">
      <c r="A103" s="18" t="s">
        <v>1110</v>
      </c>
    </row>
    <row r="105" spans="1:9" ht="10.5" x14ac:dyDescent="0.25">
      <c r="A105" s="18" t="s">
        <v>51</v>
      </c>
    </row>
    <row r="106" spans="1:9" ht="10.5" x14ac:dyDescent="0.25">
      <c r="A106" s="18" t="s">
        <v>713</v>
      </c>
    </row>
    <row r="107" spans="1:9" ht="10.5" x14ac:dyDescent="0.25">
      <c r="A107" s="18" t="s">
        <v>53</v>
      </c>
      <c r="B107" s="18"/>
      <c r="C107" s="39" t="s">
        <v>55</v>
      </c>
      <c r="D107" s="19" t="s">
        <v>714</v>
      </c>
    </row>
    <row r="108" spans="1:9" x14ac:dyDescent="0.2">
      <c r="A108" s="9" t="s">
        <v>71</v>
      </c>
      <c r="C108" s="40">
        <v>0</v>
      </c>
      <c r="D108" s="40">
        <v>0</v>
      </c>
    </row>
    <row r="109" spans="1:9" x14ac:dyDescent="0.2">
      <c r="A109" s="9" t="s">
        <v>77</v>
      </c>
      <c r="C109" s="40">
        <v>0</v>
      </c>
      <c r="D109" s="40">
        <v>0</v>
      </c>
    </row>
    <row r="110" spans="1:9" x14ac:dyDescent="0.2">
      <c r="A110" s="9" t="s">
        <v>74</v>
      </c>
      <c r="C110" s="40">
        <v>0</v>
      </c>
      <c r="D110" s="40">
        <v>0</v>
      </c>
    </row>
    <row r="111" spans="1:9" x14ac:dyDescent="0.2">
      <c r="A111" s="9" t="s">
        <v>78</v>
      </c>
      <c r="C111" s="40">
        <v>0</v>
      </c>
      <c r="D111" s="40">
        <v>0</v>
      </c>
    </row>
    <row r="113" spans="1:4" ht="10.5" x14ac:dyDescent="0.25">
      <c r="A113" s="18" t="s">
        <v>1123</v>
      </c>
      <c r="D113" s="41" t="s">
        <v>57</v>
      </c>
    </row>
    <row r="114" spans="1:4" x14ac:dyDescent="0.2">
      <c r="A114" s="9" t="s">
        <v>1111</v>
      </c>
    </row>
    <row r="115" spans="1:4" x14ac:dyDescent="0.2">
      <c r="A115" s="59" t="s">
        <v>1112</v>
      </c>
    </row>
  </sheetData>
  <mergeCells count="5">
    <mergeCell ref="A1:G1"/>
    <mergeCell ref="A80:G80"/>
    <mergeCell ref="A82:F82"/>
    <mergeCell ref="A84:G84"/>
    <mergeCell ref="A87:G87"/>
  </mergeCells>
  <conditionalFormatting sqref="F2:F3 F5:F48 F52:F79 F88 F101:F65536 F85:F86">
    <cfRule type="cellIs" dxfId="65" priority="5" stopIfTrue="1" operator="between">
      <formula>0.009</formula>
      <formula>-0.009</formula>
    </cfRule>
  </conditionalFormatting>
  <conditionalFormatting sqref="F83">
    <cfRule type="cellIs" dxfId="64" priority="4" stopIfTrue="1" operator="between">
      <formula>0.009</formula>
      <formula>-0.009</formula>
    </cfRule>
  </conditionalFormatting>
  <conditionalFormatting sqref="F90:F91">
    <cfRule type="cellIs" dxfId="63" priority="3" stopIfTrue="1" operator="between">
      <formula>0.009</formula>
      <formula>-0.009</formula>
    </cfRule>
  </conditionalFormatting>
  <conditionalFormatting sqref="F100">
    <cfRule type="cellIs" dxfId="62" priority="2" stopIfTrue="1" operator="between">
      <formula>0.009</formula>
      <formula>-0.009</formula>
    </cfRule>
  </conditionalFormatting>
  <conditionalFormatting sqref="F92:F96 F98:F99">
    <cfRule type="cellIs" dxfId="61" priority="1" stopIfTrue="1" operator="between">
      <formula>0.009</formula>
      <formula>-0.009</formula>
    </cfRule>
  </conditionalFormatting>
  <hyperlinks>
    <hyperlink ref="A78" r:id="rId1" xr:uid="{00000000-0004-0000-0B00-000000000000}"/>
    <hyperlink ref="A81" r:id="rId2" xr:uid="{00000000-0004-0000-0B00-000001000000}"/>
    <hyperlink ref="A82" r:id="rId3" xr:uid="{00000000-0004-0000-0B00-000002000000}"/>
    <hyperlink ref="A115" r:id="rId4" xr:uid="{00000000-0004-0000-0B00-000003000000}"/>
  </hyperlinks>
  <pageMargins left="0.7" right="0.7" top="0.75" bottom="0.75" header="0.3" footer="0.3"/>
  <pageSetup paperSize="9" orientation="portrait" r:id="rId5"/>
  <headerFooter>
    <oddFooter>&amp;LPUBLIC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71"/>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26953125" style="9" bestFit="1" customWidth="1"/>
    <col min="4" max="4" width="1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9" t="s">
        <v>1349</v>
      </c>
      <c r="B1" s="80"/>
      <c r="C1" s="80"/>
      <c r="D1" s="80"/>
      <c r="E1" s="80"/>
      <c r="F1" s="80"/>
      <c r="G1" s="80"/>
    </row>
    <row r="2" spans="1:7" s="1" customFormat="1" ht="11.5" x14ac:dyDescent="0.25">
      <c r="A2" s="58" t="s">
        <v>1010</v>
      </c>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869</v>
      </c>
      <c r="B7" s="27" t="s">
        <v>870</v>
      </c>
      <c r="C7" s="27" t="s">
        <v>871</v>
      </c>
      <c r="D7" s="31">
        <v>3930</v>
      </c>
      <c r="E7" s="29">
        <v>36845.282700000003</v>
      </c>
      <c r="F7" s="30">
        <v>10.584506107791</v>
      </c>
      <c r="G7" s="29">
        <v>13.2049</v>
      </c>
    </row>
    <row r="8" spans="1:7" x14ac:dyDescent="0.2">
      <c r="A8" s="27" t="s">
        <v>1268</v>
      </c>
      <c r="B8" s="27" t="s">
        <v>1269</v>
      </c>
      <c r="C8" s="27" t="s">
        <v>1013</v>
      </c>
      <c r="D8" s="31">
        <v>10140</v>
      </c>
      <c r="E8" s="29">
        <v>20201.070240000001</v>
      </c>
      <c r="F8" s="30">
        <v>5.8031404747288304</v>
      </c>
      <c r="G8" s="29">
        <v>10.8293</v>
      </c>
    </row>
    <row r="9" spans="1:7" x14ac:dyDescent="0.2">
      <c r="A9" s="27" t="s">
        <v>1026</v>
      </c>
      <c r="B9" s="27" t="s">
        <v>1027</v>
      </c>
      <c r="C9" s="27" t="s">
        <v>1025</v>
      </c>
      <c r="D9" s="31">
        <v>2125</v>
      </c>
      <c r="E9" s="29">
        <v>16744.252</v>
      </c>
      <c r="F9" s="30">
        <v>4.8101038878551599</v>
      </c>
      <c r="G9" s="29">
        <v>11.154500000000001</v>
      </c>
    </row>
    <row r="10" spans="1:7" x14ac:dyDescent="0.2">
      <c r="A10" s="27" t="s">
        <v>875</v>
      </c>
      <c r="B10" s="27" t="s">
        <v>876</v>
      </c>
      <c r="C10" s="27" t="s">
        <v>877</v>
      </c>
      <c r="D10" s="31">
        <v>1150</v>
      </c>
      <c r="E10" s="29">
        <v>12696.183999999999</v>
      </c>
      <c r="F10" s="30">
        <v>3.6472195962724698</v>
      </c>
      <c r="G10" s="29">
        <v>8.0469000000000008</v>
      </c>
    </row>
    <row r="11" spans="1:7" x14ac:dyDescent="0.2">
      <c r="A11" s="27" t="s">
        <v>1018</v>
      </c>
      <c r="B11" s="27" t="s">
        <v>1019</v>
      </c>
      <c r="C11" s="27" t="s">
        <v>1013</v>
      </c>
      <c r="D11" s="31">
        <v>5580</v>
      </c>
      <c r="E11" s="29">
        <v>11091.60036</v>
      </c>
      <c r="F11" s="30">
        <v>3.18627251991738</v>
      </c>
      <c r="G11" s="29">
        <v>10.8696</v>
      </c>
    </row>
    <row r="12" spans="1:7" x14ac:dyDescent="0.2">
      <c r="A12" s="27" t="s">
        <v>1162</v>
      </c>
      <c r="B12" s="27" t="s">
        <v>1163</v>
      </c>
      <c r="C12" s="27" t="s">
        <v>871</v>
      </c>
      <c r="D12" s="31">
        <v>1000</v>
      </c>
      <c r="E12" s="29">
        <v>9053.32</v>
      </c>
      <c r="F12" s="30">
        <v>2.6007378370796599</v>
      </c>
      <c r="G12" s="29">
        <v>13.342700000000001</v>
      </c>
    </row>
    <row r="13" spans="1:7" x14ac:dyDescent="0.2">
      <c r="A13" s="27" t="s">
        <v>1343</v>
      </c>
      <c r="B13" s="27" t="s">
        <v>1344</v>
      </c>
      <c r="C13" s="27" t="s">
        <v>36</v>
      </c>
      <c r="D13" s="31">
        <v>850</v>
      </c>
      <c r="E13" s="29">
        <v>7772.1025</v>
      </c>
      <c r="F13" s="30">
        <v>2.23268381603781</v>
      </c>
      <c r="G13" s="29">
        <v>12.0845</v>
      </c>
    </row>
    <row r="14" spans="1:7" x14ac:dyDescent="0.2">
      <c r="A14" s="27" t="s">
        <v>1350</v>
      </c>
      <c r="B14" s="27" t="s">
        <v>1351</v>
      </c>
      <c r="C14" s="27" t="s">
        <v>1229</v>
      </c>
      <c r="D14" s="31">
        <v>650</v>
      </c>
      <c r="E14" s="29">
        <v>6550.1605</v>
      </c>
      <c r="F14" s="30">
        <v>1.88165780634007</v>
      </c>
      <c r="G14" s="29">
        <v>9.6679999999999993</v>
      </c>
    </row>
    <row r="15" spans="1:7" x14ac:dyDescent="0.2">
      <c r="A15" s="27" t="s">
        <v>1059</v>
      </c>
      <c r="B15" s="27" t="s">
        <v>1060</v>
      </c>
      <c r="C15" s="27" t="s">
        <v>1040</v>
      </c>
      <c r="D15" s="31">
        <v>510</v>
      </c>
      <c r="E15" s="29">
        <v>6524.7258000000002</v>
      </c>
      <c r="F15" s="30">
        <v>1.87435120647783</v>
      </c>
      <c r="G15" s="29">
        <v>10.74</v>
      </c>
    </row>
    <row r="16" spans="1:7" x14ac:dyDescent="0.2">
      <c r="A16" s="27" t="s">
        <v>1352</v>
      </c>
      <c r="B16" s="27" t="s">
        <v>1353</v>
      </c>
      <c r="C16" s="27" t="s">
        <v>1229</v>
      </c>
      <c r="D16" s="31">
        <v>650</v>
      </c>
      <c r="E16" s="29">
        <v>6507.8585000000003</v>
      </c>
      <c r="F16" s="30">
        <v>1.8695057547187699</v>
      </c>
      <c r="G16" s="29">
        <v>10.938000000000001</v>
      </c>
    </row>
    <row r="17" spans="1:7" x14ac:dyDescent="0.2">
      <c r="A17" s="27" t="s">
        <v>1354</v>
      </c>
      <c r="B17" s="27" t="s">
        <v>1355</v>
      </c>
      <c r="C17" s="27" t="s">
        <v>1151</v>
      </c>
      <c r="D17" s="31">
        <v>650</v>
      </c>
      <c r="E17" s="29">
        <v>6447.6490000000003</v>
      </c>
      <c r="F17" s="30">
        <v>1.85220943416436</v>
      </c>
      <c r="G17" s="29">
        <v>11.41</v>
      </c>
    </row>
    <row r="18" spans="1:7" x14ac:dyDescent="0.2">
      <c r="A18" s="27" t="s">
        <v>1356</v>
      </c>
      <c r="B18" s="27" t="s">
        <v>1357</v>
      </c>
      <c r="C18" s="27" t="s">
        <v>1151</v>
      </c>
      <c r="D18" s="31">
        <v>650</v>
      </c>
      <c r="E18" s="29">
        <v>6412.2044999999998</v>
      </c>
      <c r="F18" s="30">
        <v>1.8420273294484799</v>
      </c>
      <c r="G18" s="29">
        <v>12.074999999999999</v>
      </c>
    </row>
    <row r="19" spans="1:7" x14ac:dyDescent="0.2">
      <c r="A19" s="27" t="s">
        <v>1280</v>
      </c>
      <c r="B19" s="27" t="s">
        <v>1281</v>
      </c>
      <c r="C19" s="27" t="s">
        <v>1013</v>
      </c>
      <c r="D19" s="31">
        <v>648</v>
      </c>
      <c r="E19" s="29">
        <v>6268.59</v>
      </c>
      <c r="F19" s="30">
        <v>1.8007713411366499</v>
      </c>
      <c r="G19" s="29">
        <v>11.367900000000001</v>
      </c>
    </row>
    <row r="20" spans="1:7" x14ac:dyDescent="0.2">
      <c r="A20" s="27" t="s">
        <v>1035</v>
      </c>
      <c r="B20" s="27" t="s">
        <v>1036</v>
      </c>
      <c r="C20" s="27" t="s">
        <v>1037</v>
      </c>
      <c r="D20" s="31">
        <v>620</v>
      </c>
      <c r="E20" s="29">
        <v>6262.3843999999999</v>
      </c>
      <c r="F20" s="30">
        <v>1.79898866486741</v>
      </c>
      <c r="G20" s="29">
        <v>10.483700000000001</v>
      </c>
    </row>
    <row r="21" spans="1:7" x14ac:dyDescent="0.2">
      <c r="A21" s="27" t="s">
        <v>1254</v>
      </c>
      <c r="B21" s="27" t="s">
        <v>1255</v>
      </c>
      <c r="C21" s="27" t="s">
        <v>986</v>
      </c>
      <c r="D21" s="31">
        <v>620</v>
      </c>
      <c r="E21" s="29">
        <v>6238.2974000000004</v>
      </c>
      <c r="F21" s="30">
        <v>1.7920692173849699</v>
      </c>
      <c r="G21" s="29">
        <v>12.174899999999999</v>
      </c>
    </row>
    <row r="22" spans="1:7" x14ac:dyDescent="0.2">
      <c r="A22" s="27" t="s">
        <v>1158</v>
      </c>
      <c r="B22" s="27" t="s">
        <v>1159</v>
      </c>
      <c r="C22" s="27" t="s">
        <v>1022</v>
      </c>
      <c r="D22" s="31">
        <v>600</v>
      </c>
      <c r="E22" s="29">
        <v>6038.5439999999999</v>
      </c>
      <c r="F22" s="30">
        <v>1.7346862655545601</v>
      </c>
      <c r="G22" s="29">
        <v>12.0749</v>
      </c>
    </row>
    <row r="23" spans="1:7" x14ac:dyDescent="0.2">
      <c r="A23" s="27" t="s">
        <v>1011</v>
      </c>
      <c r="B23" s="27" t="s">
        <v>1012</v>
      </c>
      <c r="C23" s="27" t="s">
        <v>1013</v>
      </c>
      <c r="D23" s="31">
        <v>606</v>
      </c>
      <c r="E23" s="29">
        <v>6003.7450200000003</v>
      </c>
      <c r="F23" s="30">
        <v>1.7246895986988899</v>
      </c>
      <c r="G23" s="29">
        <v>11.151899999999999</v>
      </c>
    </row>
    <row r="24" spans="1:7" x14ac:dyDescent="0.2">
      <c r="A24" s="27" t="s">
        <v>1358</v>
      </c>
      <c r="B24" s="27" t="s">
        <v>1359</v>
      </c>
      <c r="C24" s="27" t="s">
        <v>1045</v>
      </c>
      <c r="D24" s="31">
        <v>5500</v>
      </c>
      <c r="E24" s="29">
        <v>5458.9260000000004</v>
      </c>
      <c r="F24" s="30">
        <v>1.5681800044644301</v>
      </c>
      <c r="G24" s="29">
        <v>10.901400000000001</v>
      </c>
    </row>
    <row r="25" spans="1:7" x14ac:dyDescent="0.2">
      <c r="A25" s="27" t="s">
        <v>1016</v>
      </c>
      <c r="B25" s="27" t="s">
        <v>1017</v>
      </c>
      <c r="C25" s="27" t="s">
        <v>39</v>
      </c>
      <c r="D25" s="31">
        <v>550</v>
      </c>
      <c r="E25" s="29">
        <v>5455.3675000000003</v>
      </c>
      <c r="F25" s="30">
        <v>1.56715775786393</v>
      </c>
      <c r="G25" s="29">
        <v>16.4498</v>
      </c>
    </row>
    <row r="26" spans="1:7" x14ac:dyDescent="0.2">
      <c r="A26" s="27" t="s">
        <v>1048</v>
      </c>
      <c r="B26" s="27" t="s">
        <v>1049</v>
      </c>
      <c r="C26" s="27" t="s">
        <v>1013</v>
      </c>
      <c r="D26" s="31">
        <v>550</v>
      </c>
      <c r="E26" s="29">
        <v>5430.1719999999996</v>
      </c>
      <c r="F26" s="30">
        <v>1.55991987273736</v>
      </c>
      <c r="G26" s="29">
        <v>11.0603</v>
      </c>
    </row>
    <row r="27" spans="1:7" x14ac:dyDescent="0.2">
      <c r="A27" s="27" t="s">
        <v>1041</v>
      </c>
      <c r="B27" s="27" t="s">
        <v>1042</v>
      </c>
      <c r="C27" s="27" t="s">
        <v>36</v>
      </c>
      <c r="D27" s="31">
        <v>550</v>
      </c>
      <c r="E27" s="29">
        <v>5075.4494999999997</v>
      </c>
      <c r="F27" s="30">
        <v>1.45801910844166</v>
      </c>
      <c r="G27" s="29">
        <v>12.0061</v>
      </c>
    </row>
    <row r="28" spans="1:7" x14ac:dyDescent="0.2">
      <c r="A28" s="27" t="s">
        <v>1014</v>
      </c>
      <c r="B28" s="27" t="s">
        <v>1015</v>
      </c>
      <c r="C28" s="27" t="s">
        <v>986</v>
      </c>
      <c r="D28" s="31">
        <v>500</v>
      </c>
      <c r="E28" s="29">
        <v>5012.17</v>
      </c>
      <c r="F28" s="30">
        <v>1.4398408721745799</v>
      </c>
      <c r="G28" s="29">
        <v>12.249700000000001</v>
      </c>
    </row>
    <row r="29" spans="1:7" x14ac:dyDescent="0.2">
      <c r="A29" s="27" t="s">
        <v>1360</v>
      </c>
      <c r="B29" s="27" t="s">
        <v>1361</v>
      </c>
      <c r="C29" s="27" t="s">
        <v>1045</v>
      </c>
      <c r="D29" s="31">
        <v>5000</v>
      </c>
      <c r="E29" s="29">
        <v>4922.78</v>
      </c>
      <c r="F29" s="30">
        <v>1.41416189968089</v>
      </c>
      <c r="G29" s="29">
        <v>11.2149</v>
      </c>
    </row>
    <row r="30" spans="1:7" x14ac:dyDescent="0.2">
      <c r="A30" s="27" t="s">
        <v>1043</v>
      </c>
      <c r="B30" s="27" t="s">
        <v>1044</v>
      </c>
      <c r="C30" s="27" t="s">
        <v>1045</v>
      </c>
      <c r="D30" s="31">
        <v>550</v>
      </c>
      <c r="E30" s="29">
        <v>4607.009</v>
      </c>
      <c r="F30" s="30">
        <v>1.32345069235005</v>
      </c>
      <c r="G30" s="29">
        <v>21.105499999999999</v>
      </c>
    </row>
    <row r="31" spans="1:7" x14ac:dyDescent="0.2">
      <c r="A31" s="27" t="s">
        <v>1149</v>
      </c>
      <c r="B31" s="27" t="s">
        <v>1150</v>
      </c>
      <c r="C31" s="27" t="s">
        <v>1151</v>
      </c>
      <c r="D31" s="31">
        <v>450</v>
      </c>
      <c r="E31" s="29">
        <v>4515.0119999999997</v>
      </c>
      <c r="F31" s="30">
        <v>1.2970228096730001</v>
      </c>
      <c r="G31" s="29">
        <v>9.0624000000000002</v>
      </c>
    </row>
    <row r="32" spans="1:7" x14ac:dyDescent="0.2">
      <c r="A32" s="27" t="s">
        <v>1341</v>
      </c>
      <c r="B32" s="27" t="s">
        <v>1342</v>
      </c>
      <c r="C32" s="27" t="s">
        <v>1022</v>
      </c>
      <c r="D32" s="31">
        <v>350</v>
      </c>
      <c r="E32" s="29">
        <v>4350.8779999999997</v>
      </c>
      <c r="F32" s="30">
        <v>1.2498722058998799</v>
      </c>
      <c r="G32" s="29">
        <v>11.048550000000001</v>
      </c>
    </row>
    <row r="33" spans="1:7" x14ac:dyDescent="0.2">
      <c r="A33" s="27" t="s">
        <v>1152</v>
      </c>
      <c r="B33" s="27" t="s">
        <v>1153</v>
      </c>
      <c r="C33" s="27" t="s">
        <v>1013</v>
      </c>
      <c r="D33" s="31">
        <v>350</v>
      </c>
      <c r="E33" s="29">
        <v>3506.384</v>
      </c>
      <c r="F33" s="30">
        <v>1.0072752912887999</v>
      </c>
      <c r="G33" s="29">
        <v>9.7750000000000004</v>
      </c>
    </row>
    <row r="34" spans="1:7" x14ac:dyDescent="0.2">
      <c r="A34" s="27" t="s">
        <v>1061</v>
      </c>
      <c r="B34" s="27" t="s">
        <v>1062</v>
      </c>
      <c r="C34" s="27" t="s">
        <v>1013</v>
      </c>
      <c r="D34" s="31">
        <v>351</v>
      </c>
      <c r="E34" s="29">
        <v>3504.07512</v>
      </c>
      <c r="F34" s="30">
        <v>1.0066120217283201</v>
      </c>
      <c r="G34" s="29">
        <v>10.775499999999999</v>
      </c>
    </row>
    <row r="35" spans="1:7" x14ac:dyDescent="0.2">
      <c r="A35" s="27" t="s">
        <v>1282</v>
      </c>
      <c r="B35" s="27" t="s">
        <v>1283</v>
      </c>
      <c r="C35" s="27" t="s">
        <v>1013</v>
      </c>
      <c r="D35" s="31">
        <v>352</v>
      </c>
      <c r="E35" s="29">
        <v>3362.89536</v>
      </c>
      <c r="F35" s="30">
        <v>0.96605545864849995</v>
      </c>
      <c r="G35" s="29">
        <v>11.5595</v>
      </c>
    </row>
    <row r="36" spans="1:7" x14ac:dyDescent="0.2">
      <c r="A36" s="27" t="s">
        <v>41</v>
      </c>
      <c r="B36" s="27" t="s">
        <v>40</v>
      </c>
      <c r="C36" s="27" t="s">
        <v>39</v>
      </c>
      <c r="D36" s="31">
        <v>310</v>
      </c>
      <c r="E36" s="29">
        <v>3296.6981000000001</v>
      </c>
      <c r="F36" s="30">
        <v>0.94703904049549104</v>
      </c>
      <c r="G36" s="29">
        <v>7.0876000000000001</v>
      </c>
    </row>
    <row r="37" spans="1:7" x14ac:dyDescent="0.2">
      <c r="A37" s="27" t="s">
        <v>1056</v>
      </c>
      <c r="B37" s="27" t="s">
        <v>1044</v>
      </c>
      <c r="C37" s="27" t="s">
        <v>1045</v>
      </c>
      <c r="D37" s="31">
        <v>380</v>
      </c>
      <c r="E37" s="29">
        <v>3179.8742000000002</v>
      </c>
      <c r="F37" s="30">
        <v>0.91347916003117402</v>
      </c>
      <c r="G37" s="29">
        <v>21.178999999999998</v>
      </c>
    </row>
    <row r="38" spans="1:7" x14ac:dyDescent="0.2">
      <c r="A38" s="27" t="s">
        <v>1258</v>
      </c>
      <c r="B38" s="27" t="s">
        <v>1259</v>
      </c>
      <c r="C38" s="27" t="s">
        <v>1013</v>
      </c>
      <c r="D38" s="31">
        <v>306</v>
      </c>
      <c r="E38" s="29">
        <v>2977.34328</v>
      </c>
      <c r="F38" s="30">
        <v>0.85529831291403302</v>
      </c>
      <c r="G38" s="29">
        <v>11.3277</v>
      </c>
    </row>
    <row r="39" spans="1:7" x14ac:dyDescent="0.2">
      <c r="A39" s="27" t="s">
        <v>1054</v>
      </c>
      <c r="B39" s="27" t="s">
        <v>1055</v>
      </c>
      <c r="C39" s="27" t="s">
        <v>39</v>
      </c>
      <c r="D39" s="31">
        <v>300</v>
      </c>
      <c r="E39" s="29">
        <v>2958.183</v>
      </c>
      <c r="F39" s="30">
        <v>0.849794159170982</v>
      </c>
      <c r="G39" s="29">
        <v>11.3492</v>
      </c>
    </row>
    <row r="40" spans="1:7" x14ac:dyDescent="0.2">
      <c r="A40" s="27" t="s">
        <v>1156</v>
      </c>
      <c r="B40" s="27" t="s">
        <v>1157</v>
      </c>
      <c r="C40" s="27" t="s">
        <v>986</v>
      </c>
      <c r="D40" s="31">
        <v>270</v>
      </c>
      <c r="E40" s="29">
        <v>2722.0832999999998</v>
      </c>
      <c r="F40" s="30">
        <v>0.78197004347495502</v>
      </c>
      <c r="G40" s="29">
        <v>10.118399999999999</v>
      </c>
    </row>
    <row r="41" spans="1:7" x14ac:dyDescent="0.2">
      <c r="A41" s="27" t="s">
        <v>1164</v>
      </c>
      <c r="B41" s="27" t="s">
        <v>1165</v>
      </c>
      <c r="C41" s="27" t="s">
        <v>1151</v>
      </c>
      <c r="D41" s="31">
        <v>260</v>
      </c>
      <c r="E41" s="29">
        <v>2574.8917999999999</v>
      </c>
      <c r="F41" s="30">
        <v>0.73968649408682796</v>
      </c>
      <c r="G41" s="29">
        <v>11.57</v>
      </c>
    </row>
    <row r="42" spans="1:7" x14ac:dyDescent="0.2">
      <c r="A42" s="27" t="s">
        <v>1057</v>
      </c>
      <c r="B42" s="27" t="s">
        <v>1058</v>
      </c>
      <c r="C42" s="27" t="s">
        <v>36</v>
      </c>
      <c r="D42" s="31">
        <v>250</v>
      </c>
      <c r="E42" s="29">
        <v>2462.5149999999999</v>
      </c>
      <c r="F42" s="30">
        <v>0.70740412742245196</v>
      </c>
      <c r="G42" s="29">
        <v>12.0846</v>
      </c>
    </row>
    <row r="43" spans="1:7" x14ac:dyDescent="0.2">
      <c r="A43" s="27" t="s">
        <v>1227</v>
      </c>
      <c r="B43" s="27" t="s">
        <v>1228</v>
      </c>
      <c r="C43" s="27" t="s">
        <v>1229</v>
      </c>
      <c r="D43" s="31">
        <v>400</v>
      </c>
      <c r="E43" s="29">
        <v>2004.7560000000001</v>
      </c>
      <c r="F43" s="30">
        <v>0.575904174746113</v>
      </c>
      <c r="G43" s="29">
        <v>11.645</v>
      </c>
    </row>
    <row r="44" spans="1:7" x14ac:dyDescent="0.2">
      <c r="A44" s="27" t="s">
        <v>1288</v>
      </c>
      <c r="B44" s="27" t="s">
        <v>1289</v>
      </c>
      <c r="C44" s="27" t="s">
        <v>1045</v>
      </c>
      <c r="D44" s="31">
        <v>2000</v>
      </c>
      <c r="E44" s="29">
        <v>1974.9059999999999</v>
      </c>
      <c r="F44" s="30">
        <v>0.56732919623692202</v>
      </c>
      <c r="G44" s="29">
        <v>11.170299999999999</v>
      </c>
    </row>
    <row r="45" spans="1:7" x14ac:dyDescent="0.2">
      <c r="A45" s="27" t="s">
        <v>1030</v>
      </c>
      <c r="B45" s="27" t="s">
        <v>1031</v>
      </c>
      <c r="C45" s="27" t="s">
        <v>1022</v>
      </c>
      <c r="D45" s="31">
        <v>190</v>
      </c>
      <c r="E45" s="29">
        <v>1911.0256999999999</v>
      </c>
      <c r="F45" s="30">
        <v>0.54897836877760298</v>
      </c>
      <c r="G45" s="29">
        <v>12.074999999999999</v>
      </c>
    </row>
    <row r="46" spans="1:7" x14ac:dyDescent="0.2">
      <c r="A46" s="27" t="s">
        <v>1170</v>
      </c>
      <c r="B46" s="27" t="s">
        <v>1171</v>
      </c>
      <c r="C46" s="27" t="s">
        <v>1013</v>
      </c>
      <c r="D46" s="31">
        <v>176</v>
      </c>
      <c r="E46" s="29">
        <v>1734.05584</v>
      </c>
      <c r="F46" s="30">
        <v>0.49814042082870802</v>
      </c>
      <c r="G46" s="29">
        <v>11.201700000000001</v>
      </c>
    </row>
    <row r="47" spans="1:7" x14ac:dyDescent="0.2">
      <c r="A47" s="27" t="s">
        <v>1172</v>
      </c>
      <c r="B47" s="27" t="s">
        <v>1173</v>
      </c>
      <c r="C47" s="27" t="s">
        <v>1013</v>
      </c>
      <c r="D47" s="31">
        <v>176</v>
      </c>
      <c r="E47" s="29">
        <v>1724.8492799999999</v>
      </c>
      <c r="F47" s="30">
        <v>0.49549566189592498</v>
      </c>
      <c r="G47" s="29">
        <v>11.236499999999999</v>
      </c>
    </row>
    <row r="48" spans="1:7" x14ac:dyDescent="0.2">
      <c r="A48" s="27" t="s">
        <v>1067</v>
      </c>
      <c r="B48" s="27" t="s">
        <v>1068</v>
      </c>
      <c r="C48" s="27" t="s">
        <v>36</v>
      </c>
      <c r="D48" s="31">
        <v>150</v>
      </c>
      <c r="E48" s="29">
        <v>1506.7605000000001</v>
      </c>
      <c r="F48" s="30">
        <v>0.43284552448903502</v>
      </c>
      <c r="G48" s="29">
        <v>10.7118</v>
      </c>
    </row>
    <row r="49" spans="1:9" x14ac:dyDescent="0.2">
      <c r="A49" s="27" t="s">
        <v>1052</v>
      </c>
      <c r="B49" s="27" t="s">
        <v>1053</v>
      </c>
      <c r="C49" s="27" t="s">
        <v>1022</v>
      </c>
      <c r="D49" s="31">
        <v>100</v>
      </c>
      <c r="E49" s="29">
        <v>1006.302</v>
      </c>
      <c r="F49" s="30">
        <v>0.28907933077908898</v>
      </c>
      <c r="G49" s="29">
        <v>11.803900000000001</v>
      </c>
    </row>
    <row r="50" spans="1:9" x14ac:dyDescent="0.2">
      <c r="A50" s="27" t="s">
        <v>1063</v>
      </c>
      <c r="B50" s="27" t="s">
        <v>1064</v>
      </c>
      <c r="C50" s="27" t="s">
        <v>986</v>
      </c>
      <c r="D50" s="31">
        <v>90</v>
      </c>
      <c r="E50" s="29">
        <v>908.59770000000003</v>
      </c>
      <c r="F50" s="30">
        <v>0.26101191795645801</v>
      </c>
      <c r="G50" s="29">
        <v>9.8941999999999997</v>
      </c>
    </row>
    <row r="51" spans="1:9" x14ac:dyDescent="0.2">
      <c r="A51" s="27" t="s">
        <v>1023</v>
      </c>
      <c r="B51" s="27" t="s">
        <v>1024</v>
      </c>
      <c r="C51" s="27" t="s">
        <v>1025</v>
      </c>
      <c r="D51" s="31">
        <v>95</v>
      </c>
      <c r="E51" s="29">
        <v>815.48569999999995</v>
      </c>
      <c r="F51" s="30">
        <v>0.234263730387018</v>
      </c>
      <c r="G51" s="29">
        <v>12.919</v>
      </c>
    </row>
    <row r="52" spans="1:9" x14ac:dyDescent="0.2">
      <c r="A52" s="27" t="s">
        <v>1362</v>
      </c>
      <c r="B52" s="27" t="s">
        <v>1363</v>
      </c>
      <c r="C52" s="27" t="s">
        <v>896</v>
      </c>
      <c r="D52" s="31">
        <v>74</v>
      </c>
      <c r="E52" s="29">
        <v>765.79935999999998</v>
      </c>
      <c r="F52" s="30">
        <v>0.219990387080473</v>
      </c>
      <c r="G52" s="29">
        <v>5.0522</v>
      </c>
    </row>
    <row r="53" spans="1:9" x14ac:dyDescent="0.2">
      <c r="A53" s="27" t="s">
        <v>1069</v>
      </c>
      <c r="B53" s="27" t="s">
        <v>1070</v>
      </c>
      <c r="C53" s="27" t="s">
        <v>1025</v>
      </c>
      <c r="D53" s="31">
        <v>40</v>
      </c>
      <c r="E53" s="29">
        <v>411.30680000000001</v>
      </c>
      <c r="F53" s="30">
        <v>0.118155677409852</v>
      </c>
      <c r="G53" s="29">
        <v>6.5594999999999999</v>
      </c>
    </row>
    <row r="54" spans="1:9" x14ac:dyDescent="0.2">
      <c r="A54" s="27" t="s">
        <v>1331</v>
      </c>
      <c r="B54" s="27" t="s">
        <v>1332</v>
      </c>
      <c r="C54" s="27" t="s">
        <v>39</v>
      </c>
      <c r="D54" s="31">
        <v>400</v>
      </c>
      <c r="E54" s="29">
        <v>410.38679999999999</v>
      </c>
      <c r="F54" s="30">
        <v>0.117891389965012</v>
      </c>
      <c r="G54" s="29">
        <v>8.7005999999999997</v>
      </c>
    </row>
    <row r="55" spans="1:9" x14ac:dyDescent="0.2">
      <c r="A55" s="27" t="s">
        <v>1364</v>
      </c>
      <c r="B55" s="27" t="s">
        <v>1365</v>
      </c>
      <c r="C55" s="27" t="s">
        <v>42</v>
      </c>
      <c r="D55" s="31">
        <v>3</v>
      </c>
      <c r="E55" s="29">
        <v>305.11470000000003</v>
      </c>
      <c r="F55" s="30">
        <v>8.7649983093407796E-2</v>
      </c>
      <c r="G55" s="29">
        <v>3.51</v>
      </c>
    </row>
    <row r="56" spans="1:9" ht="10.5" x14ac:dyDescent="0.25">
      <c r="A56" s="26" t="s">
        <v>43</v>
      </c>
      <c r="B56" s="26"/>
      <c r="C56" s="26"/>
      <c r="D56" s="32"/>
      <c r="E56" s="33">
        <f>SUM(E6:E55)</f>
        <v>268510.02445999993</v>
      </c>
      <c r="F56" s="34">
        <f>SUM(F6:F55)</f>
        <v>77.134595954667219</v>
      </c>
      <c r="G56" s="33"/>
      <c r="H56" s="18"/>
      <c r="I56" s="18"/>
    </row>
    <row r="57" spans="1:9" x14ac:dyDescent="0.2">
      <c r="A57" s="27"/>
      <c r="B57" s="27"/>
      <c r="C57" s="27"/>
      <c r="D57" s="28"/>
      <c r="E57" s="29"/>
      <c r="F57" s="30"/>
      <c r="G57" s="29"/>
    </row>
    <row r="58" spans="1:9" ht="10.5" x14ac:dyDescent="0.25">
      <c r="A58" s="26" t="s">
        <v>44</v>
      </c>
      <c r="B58" s="27"/>
      <c r="C58" s="27"/>
      <c r="D58" s="28"/>
      <c r="E58" s="29"/>
      <c r="F58" s="30"/>
      <c r="G58" s="29"/>
    </row>
    <row r="59" spans="1:9" x14ac:dyDescent="0.2">
      <c r="A59" s="27" t="s">
        <v>1089</v>
      </c>
      <c r="B59" s="27" t="s">
        <v>1090</v>
      </c>
      <c r="C59" s="27" t="s">
        <v>1082</v>
      </c>
      <c r="D59" s="31">
        <v>230</v>
      </c>
      <c r="E59" s="29">
        <v>23382.881000000001</v>
      </c>
      <c r="F59" s="30">
        <v>6.7171759483406301</v>
      </c>
      <c r="G59" s="29">
        <v>8.6892999999999994</v>
      </c>
    </row>
    <row r="60" spans="1:9" x14ac:dyDescent="0.2">
      <c r="A60" s="27" t="s">
        <v>1366</v>
      </c>
      <c r="B60" s="27" t="s">
        <v>1075</v>
      </c>
      <c r="C60" s="27" t="s">
        <v>1073</v>
      </c>
      <c r="D60" s="31">
        <v>1250</v>
      </c>
      <c r="E60" s="29">
        <v>11238.512500000001</v>
      </c>
      <c r="F60" s="30">
        <v>3.2284758178483401</v>
      </c>
      <c r="G60" s="29">
        <v>26.074999999999999</v>
      </c>
    </row>
    <row r="61" spans="1:9" x14ac:dyDescent="0.2">
      <c r="A61" s="27" t="s">
        <v>1086</v>
      </c>
      <c r="B61" s="27" t="s">
        <v>1087</v>
      </c>
      <c r="C61" s="27" t="s">
        <v>1088</v>
      </c>
      <c r="D61" s="31">
        <v>1000</v>
      </c>
      <c r="E61" s="29">
        <v>7536.1472100000001</v>
      </c>
      <c r="F61" s="30">
        <v>2.1649011848525599</v>
      </c>
      <c r="G61" s="29">
        <v>11.255000000000001</v>
      </c>
    </row>
    <row r="62" spans="1:9" x14ac:dyDescent="0.2">
      <c r="A62" s="27" t="s">
        <v>1076</v>
      </c>
      <c r="B62" s="27" t="s">
        <v>1077</v>
      </c>
      <c r="C62" s="27" t="s">
        <v>1073</v>
      </c>
      <c r="D62" s="31">
        <v>580</v>
      </c>
      <c r="E62" s="29">
        <v>5240.087278</v>
      </c>
      <c r="F62" s="30">
        <v>1.50531443199781</v>
      </c>
      <c r="G62" s="29">
        <v>11.6548</v>
      </c>
    </row>
    <row r="63" spans="1:9" x14ac:dyDescent="0.2">
      <c r="A63" s="27" t="s">
        <v>1071</v>
      </c>
      <c r="B63" s="27" t="s">
        <v>1072</v>
      </c>
      <c r="C63" s="27" t="s">
        <v>1073</v>
      </c>
      <c r="D63" s="31">
        <v>550</v>
      </c>
      <c r="E63" s="29">
        <v>4934.8474999999999</v>
      </c>
      <c r="F63" s="30">
        <v>1.4176285178771999</v>
      </c>
      <c r="G63" s="29">
        <v>26.074999999999999</v>
      </c>
    </row>
    <row r="64" spans="1:9" x14ac:dyDescent="0.2">
      <c r="A64" s="27" t="s">
        <v>1091</v>
      </c>
      <c r="B64" s="27" t="s">
        <v>1092</v>
      </c>
      <c r="C64" s="27" t="s">
        <v>1073</v>
      </c>
      <c r="D64" s="31">
        <v>200</v>
      </c>
      <c r="E64" s="29">
        <v>2024.9480000000001</v>
      </c>
      <c r="F64" s="30">
        <v>0.58170470962241405</v>
      </c>
      <c r="G64" s="29">
        <v>12.61</v>
      </c>
    </row>
    <row r="65" spans="1:9" x14ac:dyDescent="0.2">
      <c r="A65" s="27" t="s">
        <v>1083</v>
      </c>
      <c r="B65" s="27" t="s">
        <v>1084</v>
      </c>
      <c r="C65" s="27" t="s">
        <v>1085</v>
      </c>
      <c r="D65" s="31">
        <v>200</v>
      </c>
      <c r="E65" s="29">
        <v>1888.924</v>
      </c>
      <c r="F65" s="30">
        <v>0.54262923636498805</v>
      </c>
      <c r="G65" s="29">
        <v>12.1</v>
      </c>
    </row>
    <row r="66" spans="1:9" x14ac:dyDescent="0.2">
      <c r="A66" s="27" t="s">
        <v>1095</v>
      </c>
      <c r="B66" s="27" t="s">
        <v>1096</v>
      </c>
      <c r="C66" s="27" t="s">
        <v>1073</v>
      </c>
      <c r="D66" s="31">
        <v>130</v>
      </c>
      <c r="E66" s="29">
        <v>1150.1460199999999</v>
      </c>
      <c r="F66" s="30">
        <v>0.33040125306302898</v>
      </c>
      <c r="G66" s="29">
        <v>11.6548</v>
      </c>
    </row>
    <row r="67" spans="1:9" x14ac:dyDescent="0.2">
      <c r="A67" s="27" t="s">
        <v>1080</v>
      </c>
      <c r="B67" s="27" t="s">
        <v>1081</v>
      </c>
      <c r="C67" s="27" t="s">
        <v>1082</v>
      </c>
      <c r="D67" s="31">
        <v>110</v>
      </c>
      <c r="E67" s="29">
        <v>1090.5994000000001</v>
      </c>
      <c r="F67" s="30">
        <v>0.31329535735800601</v>
      </c>
      <c r="G67" s="29">
        <v>9.98</v>
      </c>
    </row>
    <row r="68" spans="1:9" x14ac:dyDescent="0.2">
      <c r="A68" s="27" t="s">
        <v>1093</v>
      </c>
      <c r="B68" s="27" t="s">
        <v>1094</v>
      </c>
      <c r="C68" s="27" t="s">
        <v>1082</v>
      </c>
      <c r="D68" s="31">
        <v>50</v>
      </c>
      <c r="E68" s="29">
        <v>496.38850000000002</v>
      </c>
      <c r="F68" s="30">
        <v>0.14259700903549399</v>
      </c>
      <c r="G68" s="29">
        <v>9.9250000000000007</v>
      </c>
    </row>
    <row r="69" spans="1:9" x14ac:dyDescent="0.2">
      <c r="A69" s="27" t="s">
        <v>1097</v>
      </c>
      <c r="B69" s="27" t="s">
        <v>1098</v>
      </c>
      <c r="C69" s="27" t="s">
        <v>1099</v>
      </c>
      <c r="D69" s="31">
        <v>855</v>
      </c>
      <c r="E69" s="29">
        <v>111.9195</v>
      </c>
      <c r="F69" s="30">
        <v>3.2150998568153698E-2</v>
      </c>
      <c r="G69" s="29">
        <v>0</v>
      </c>
    </row>
    <row r="70" spans="1:9" x14ac:dyDescent="0.2">
      <c r="A70" s="27" t="s">
        <v>1301</v>
      </c>
      <c r="B70" s="27" t="s">
        <v>1302</v>
      </c>
      <c r="C70" s="27" t="s">
        <v>1099</v>
      </c>
      <c r="D70" s="31">
        <v>641</v>
      </c>
      <c r="E70" s="29">
        <v>83.906899999999993</v>
      </c>
      <c r="F70" s="30">
        <v>2.4103848049341001E-2</v>
      </c>
      <c r="G70" s="29">
        <v>0</v>
      </c>
    </row>
    <row r="71" spans="1:9" x14ac:dyDescent="0.2">
      <c r="A71" s="27" t="s">
        <v>1178</v>
      </c>
      <c r="B71" s="27" t="s">
        <v>1179</v>
      </c>
      <c r="C71" s="27" t="s">
        <v>1099</v>
      </c>
      <c r="D71" s="31">
        <v>979</v>
      </c>
      <c r="E71" s="29">
        <v>63.4392</v>
      </c>
      <c r="F71" s="30">
        <v>1.8224113120276799E-2</v>
      </c>
      <c r="G71" s="29">
        <v>0</v>
      </c>
    </row>
    <row r="72" spans="1:9" x14ac:dyDescent="0.2">
      <c r="A72" s="27" t="s">
        <v>1367</v>
      </c>
      <c r="B72" s="27" t="s">
        <v>1368</v>
      </c>
      <c r="C72" s="27" t="s">
        <v>1102</v>
      </c>
      <c r="D72" s="31">
        <v>750</v>
      </c>
      <c r="E72" s="29">
        <v>0</v>
      </c>
      <c r="F72" s="29">
        <v>0</v>
      </c>
      <c r="G72" s="29">
        <v>0</v>
      </c>
    </row>
    <row r="73" spans="1:9" x14ac:dyDescent="0.2">
      <c r="A73" s="27" t="s">
        <v>1303</v>
      </c>
      <c r="B73" s="27" t="s">
        <v>1304</v>
      </c>
      <c r="C73" s="27" t="s">
        <v>1102</v>
      </c>
      <c r="D73" s="31">
        <v>150</v>
      </c>
      <c r="E73" s="29">
        <v>0</v>
      </c>
      <c r="F73" s="29">
        <v>0</v>
      </c>
      <c r="G73" s="29">
        <v>0</v>
      </c>
    </row>
    <row r="74" spans="1:9" ht="10.5" x14ac:dyDescent="0.25">
      <c r="A74" s="26" t="s">
        <v>43</v>
      </c>
      <c r="B74" s="26"/>
      <c r="C74" s="26"/>
      <c r="D74" s="32"/>
      <c r="E74" s="33">
        <f>SUM(E58:E73)</f>
        <v>59242.747008000013</v>
      </c>
      <c r="F74" s="34">
        <f>SUM(F58:F73)</f>
        <v>17.018602426098241</v>
      </c>
      <c r="G74" s="33"/>
      <c r="H74" s="18"/>
      <c r="I74" s="18"/>
    </row>
    <row r="75" spans="1:9" x14ac:dyDescent="0.2">
      <c r="A75" s="27"/>
      <c r="B75" s="27"/>
      <c r="C75" s="27"/>
      <c r="D75" s="28"/>
      <c r="E75" s="29"/>
      <c r="F75" s="30"/>
      <c r="G75" s="29"/>
    </row>
    <row r="76" spans="1:9" ht="10.5" x14ac:dyDescent="0.25">
      <c r="A76" s="26" t="s">
        <v>48</v>
      </c>
      <c r="B76" s="26"/>
      <c r="C76" s="26"/>
      <c r="D76" s="32"/>
      <c r="E76" s="33">
        <f>E56+E74</f>
        <v>327752.77146799996</v>
      </c>
      <c r="F76" s="34">
        <f>F56+F74</f>
        <v>94.15319838076546</v>
      </c>
      <c r="G76" s="33"/>
      <c r="H76" s="18"/>
      <c r="I76" s="18"/>
    </row>
    <row r="77" spans="1:9" ht="10.5" x14ac:dyDescent="0.25">
      <c r="A77" s="26"/>
      <c r="B77" s="26"/>
      <c r="C77" s="26"/>
      <c r="D77" s="32"/>
      <c r="E77" s="33"/>
      <c r="F77" s="34"/>
      <c r="G77" s="33"/>
      <c r="H77" s="18"/>
      <c r="I77" s="18"/>
    </row>
    <row r="78" spans="1:9" ht="10.5" x14ac:dyDescent="0.25">
      <c r="A78" s="26" t="s">
        <v>50</v>
      </c>
      <c r="B78" s="26"/>
      <c r="C78" s="26"/>
      <c r="D78" s="32"/>
      <c r="E78" s="33">
        <f>E80-(E56+E74)</f>
        <v>20353.057228900027</v>
      </c>
      <c r="F78" s="34">
        <f>F80-(F56+F74)</f>
        <v>5.8468016192345402</v>
      </c>
      <c r="G78" s="33"/>
      <c r="H78" s="18"/>
      <c r="I78" s="18"/>
    </row>
    <row r="79" spans="1:9" ht="10.5" x14ac:dyDescent="0.25">
      <c r="A79" s="26"/>
      <c r="B79" s="26"/>
      <c r="C79" s="26"/>
      <c r="D79" s="32"/>
      <c r="E79" s="33"/>
      <c r="F79" s="34"/>
      <c r="G79" s="33"/>
      <c r="H79" s="18"/>
      <c r="I79" s="18"/>
    </row>
    <row r="80" spans="1:9" ht="10.5" x14ac:dyDescent="0.25">
      <c r="A80" s="35" t="s">
        <v>49</v>
      </c>
      <c r="B80" s="35"/>
      <c r="C80" s="35"/>
      <c r="D80" s="36"/>
      <c r="E80" s="37">
        <v>348105.82869689999</v>
      </c>
      <c r="F80" s="38">
        <v>100</v>
      </c>
      <c r="G80" s="37"/>
      <c r="H80" s="18"/>
      <c r="I80" s="18"/>
    </row>
    <row r="81" spans="1:6" ht="10.5" x14ac:dyDescent="0.25">
      <c r="F81" s="20" t="s">
        <v>61</v>
      </c>
    </row>
    <row r="82" spans="1:6" ht="10.5" x14ac:dyDescent="0.25">
      <c r="A82" s="18" t="s">
        <v>766</v>
      </c>
    </row>
    <row r="83" spans="1:6" ht="10.5" x14ac:dyDescent="0.25">
      <c r="A83" s="66" t="s">
        <v>1109</v>
      </c>
    </row>
    <row r="84" spans="1:6" ht="10.5" x14ac:dyDescent="0.25">
      <c r="A84" s="18" t="s">
        <v>1110</v>
      </c>
    </row>
    <row r="86" spans="1:6" ht="10.5" x14ac:dyDescent="0.25">
      <c r="A86" s="18" t="s">
        <v>51</v>
      </c>
    </row>
    <row r="87" spans="1:6" ht="10.5" x14ac:dyDescent="0.25">
      <c r="A87" s="18" t="s">
        <v>713</v>
      </c>
    </row>
    <row r="88" spans="1:6" ht="10.5" x14ac:dyDescent="0.25">
      <c r="A88" s="18" t="s">
        <v>53</v>
      </c>
      <c r="B88" s="18"/>
      <c r="C88" s="39" t="s">
        <v>55</v>
      </c>
      <c r="D88" s="19" t="s">
        <v>714</v>
      </c>
    </row>
    <row r="89" spans="1:6" x14ac:dyDescent="0.2">
      <c r="A89" s="9" t="s">
        <v>71</v>
      </c>
      <c r="C89" s="40">
        <v>18.102799999999998</v>
      </c>
      <c r="D89" s="40">
        <v>19.048300000000001</v>
      </c>
    </row>
    <row r="90" spans="1:6" x14ac:dyDescent="0.2">
      <c r="A90" s="9" t="s">
        <v>77</v>
      </c>
      <c r="C90" s="40">
        <v>9.7077000000000009</v>
      </c>
      <c r="D90" s="40">
        <v>10.214700000000001</v>
      </c>
    </row>
    <row r="91" spans="1:6" x14ac:dyDescent="0.2">
      <c r="A91" s="9" t="s">
        <v>74</v>
      </c>
      <c r="C91" s="40">
        <v>19.185099999999998</v>
      </c>
      <c r="D91" s="40">
        <v>20.2456</v>
      </c>
    </row>
    <row r="92" spans="1:6" x14ac:dyDescent="0.2">
      <c r="A92" s="9" t="s">
        <v>78</v>
      </c>
      <c r="C92" s="40">
        <v>10.514099999999999</v>
      </c>
      <c r="D92" s="40">
        <v>11.0953</v>
      </c>
    </row>
    <row r="94" spans="1:6" ht="10.5" x14ac:dyDescent="0.25">
      <c r="A94" s="18" t="s">
        <v>715</v>
      </c>
      <c r="D94" s="41" t="s">
        <v>57</v>
      </c>
    </row>
    <row r="96" spans="1:6" ht="10.5" x14ac:dyDescent="0.25">
      <c r="A96" s="18" t="s">
        <v>785</v>
      </c>
      <c r="D96" s="42">
        <v>2.9207144013424702</v>
      </c>
      <c r="E96" s="13" t="s">
        <v>58</v>
      </c>
    </row>
    <row r="98" spans="1:7" ht="10.5" x14ac:dyDescent="0.25">
      <c r="A98" s="18" t="s">
        <v>786</v>
      </c>
      <c r="D98" s="19">
        <v>3</v>
      </c>
    </row>
    <row r="99" spans="1:7" x14ac:dyDescent="0.2">
      <c r="A99" s="9" t="s">
        <v>1111</v>
      </c>
    </row>
    <row r="100" spans="1:7" x14ac:dyDescent="0.2">
      <c r="A100" s="59" t="s">
        <v>1112</v>
      </c>
    </row>
    <row r="102" spans="1:7" ht="40" customHeight="1" x14ac:dyDescent="0.2">
      <c r="A102" s="87" t="s">
        <v>1369</v>
      </c>
      <c r="B102" s="87"/>
      <c r="C102" s="87"/>
      <c r="D102" s="87"/>
      <c r="E102" s="87"/>
      <c r="F102" s="87"/>
      <c r="G102" s="87"/>
    </row>
    <row r="103" spans="1:7" x14ac:dyDescent="0.2">
      <c r="A103" s="60" t="s">
        <v>1114</v>
      </c>
    </row>
    <row r="104" spans="1:7" x14ac:dyDescent="0.2">
      <c r="A104" s="59"/>
    </row>
    <row r="105" spans="1:7" ht="45" customHeight="1" x14ac:dyDescent="0.2">
      <c r="A105" s="84" t="s">
        <v>1370</v>
      </c>
      <c r="B105" s="84"/>
      <c r="C105" s="84"/>
      <c r="D105" s="84"/>
      <c r="E105" s="84"/>
      <c r="F105" s="84"/>
      <c r="G105" s="84"/>
    </row>
    <row r="106" spans="1:7" ht="10.5" x14ac:dyDescent="0.2">
      <c r="A106" s="57" t="s">
        <v>1116</v>
      </c>
      <c r="B106" s="61"/>
      <c r="C106" s="61"/>
      <c r="D106" s="61"/>
      <c r="E106" s="61"/>
      <c r="F106" s="61"/>
    </row>
    <row r="107" spans="1:7" x14ac:dyDescent="0.2">
      <c r="A107" s="85" t="s">
        <v>1117</v>
      </c>
      <c r="B107" s="85"/>
      <c r="C107" s="85"/>
      <c r="D107" s="85"/>
      <c r="E107" s="85"/>
      <c r="F107" s="85"/>
    </row>
    <row r="108" spans="1:7" ht="14.5" x14ac:dyDescent="0.35">
      <c r="A108" s="68"/>
    </row>
    <row r="109" spans="1:7" ht="30" customHeight="1" x14ac:dyDescent="0.2">
      <c r="A109" s="83" t="s">
        <v>1118</v>
      </c>
      <c r="B109" s="83"/>
      <c r="C109" s="83"/>
      <c r="D109" s="83"/>
      <c r="E109" s="83"/>
      <c r="F109" s="83"/>
      <c r="G109" s="83"/>
    </row>
    <row r="112" spans="1:7" s="1" customFormat="1" ht="14" x14ac:dyDescent="0.25">
      <c r="A112" s="79" t="s">
        <v>1371</v>
      </c>
      <c r="B112" s="80"/>
      <c r="C112" s="80"/>
      <c r="D112" s="80"/>
      <c r="E112" s="80"/>
      <c r="F112" s="80"/>
      <c r="G112" s="80"/>
    </row>
    <row r="113" spans="1:9" ht="10.5" x14ac:dyDescent="0.25">
      <c r="A113" s="18" t="s">
        <v>711</v>
      </c>
    </row>
    <row r="114" spans="1:9" s="1" customFormat="1" ht="17.5" customHeight="1" x14ac:dyDescent="0.25">
      <c r="A114" s="8" t="s">
        <v>2</v>
      </c>
      <c r="B114" s="8" t="s">
        <v>0</v>
      </c>
      <c r="C114" s="17" t="s">
        <v>726</v>
      </c>
      <c r="D114" s="16" t="s">
        <v>1</v>
      </c>
      <c r="E114" s="15" t="s">
        <v>3</v>
      </c>
      <c r="F114" s="15" t="s">
        <v>4</v>
      </c>
      <c r="G114" s="15" t="s">
        <v>6</v>
      </c>
    </row>
    <row r="115" spans="1:9" ht="10.5" x14ac:dyDescent="0.25">
      <c r="A115" s="21" t="s">
        <v>32</v>
      </c>
      <c r="B115" s="22"/>
      <c r="C115" s="22"/>
      <c r="D115" s="23"/>
      <c r="E115" s="24"/>
      <c r="F115" s="25"/>
      <c r="G115" s="24"/>
    </row>
    <row r="116" spans="1:9" ht="10.5" x14ac:dyDescent="0.25">
      <c r="A116" s="26" t="s">
        <v>33</v>
      </c>
      <c r="B116" s="27"/>
      <c r="C116" s="27"/>
      <c r="D116" s="28"/>
      <c r="E116" s="29"/>
      <c r="F116" s="30"/>
      <c r="G116" s="29"/>
    </row>
    <row r="117" spans="1:9" x14ac:dyDescent="0.2">
      <c r="A117" s="27" t="s">
        <v>1120</v>
      </c>
      <c r="B117" s="27" t="s">
        <v>1121</v>
      </c>
      <c r="C117" s="27" t="s">
        <v>1122</v>
      </c>
      <c r="D117" s="31">
        <v>3370</v>
      </c>
      <c r="E117" s="29">
        <v>0</v>
      </c>
      <c r="F117" s="62">
        <v>100</v>
      </c>
      <c r="G117" s="29">
        <v>0</v>
      </c>
    </row>
    <row r="118" spans="1:9" ht="10.5" x14ac:dyDescent="0.25">
      <c r="A118" s="26" t="s">
        <v>43</v>
      </c>
      <c r="B118" s="26"/>
      <c r="C118" s="26"/>
      <c r="D118" s="32"/>
      <c r="E118" s="33">
        <f>SUM(E116:E117)</f>
        <v>0</v>
      </c>
      <c r="F118" s="63">
        <f>SUM(F116:F117)</f>
        <v>100</v>
      </c>
      <c r="G118" s="33"/>
      <c r="H118" s="18"/>
      <c r="I118" s="18"/>
    </row>
    <row r="119" spans="1:9" x14ac:dyDescent="0.2">
      <c r="A119" s="27"/>
      <c r="B119" s="27"/>
      <c r="C119" s="27"/>
      <c r="D119" s="28"/>
      <c r="E119" s="29"/>
      <c r="F119" s="64"/>
      <c r="G119" s="29"/>
    </row>
    <row r="120" spans="1:9" ht="10.5" x14ac:dyDescent="0.25">
      <c r="A120" s="26" t="s">
        <v>48</v>
      </c>
      <c r="B120" s="26"/>
      <c r="C120" s="26"/>
      <c r="D120" s="32"/>
      <c r="E120" s="33">
        <f>E118</f>
        <v>0</v>
      </c>
      <c r="F120" s="63">
        <f>F118</f>
        <v>100</v>
      </c>
      <c r="G120" s="33"/>
      <c r="H120" s="18"/>
      <c r="I120" s="18"/>
    </row>
    <row r="121" spans="1:9" ht="10.5" x14ac:dyDescent="0.25">
      <c r="A121" s="26"/>
      <c r="B121" s="26"/>
      <c r="C121" s="26"/>
      <c r="D121" s="32"/>
      <c r="E121" s="33"/>
      <c r="F121" s="63"/>
      <c r="G121" s="33"/>
      <c r="H121" s="18"/>
      <c r="I121" s="18"/>
    </row>
    <row r="122" spans="1:9" ht="10.5" x14ac:dyDescent="0.25">
      <c r="A122" s="26" t="s">
        <v>50</v>
      </c>
      <c r="B122" s="26"/>
      <c r="C122" s="26"/>
      <c r="D122" s="32"/>
      <c r="E122" s="33">
        <f>E124-(E118)</f>
        <v>0</v>
      </c>
      <c r="F122" s="34">
        <v>0</v>
      </c>
      <c r="G122" s="33"/>
      <c r="H122" s="18"/>
      <c r="I122" s="18"/>
    </row>
    <row r="123" spans="1:9" ht="10.5" x14ac:dyDescent="0.25">
      <c r="A123" s="26"/>
      <c r="B123" s="26"/>
      <c r="C123" s="26"/>
      <c r="D123" s="32"/>
      <c r="E123" s="33"/>
      <c r="F123" s="63"/>
      <c r="G123" s="33"/>
      <c r="H123" s="18"/>
      <c r="I123" s="18"/>
    </row>
    <row r="124" spans="1:9" ht="10.5" x14ac:dyDescent="0.25">
      <c r="A124" s="35" t="s">
        <v>49</v>
      </c>
      <c r="B124" s="35"/>
      <c r="C124" s="35"/>
      <c r="D124" s="36"/>
      <c r="E124" s="37">
        <v>0</v>
      </c>
      <c r="F124" s="65">
        <v>100</v>
      </c>
      <c r="G124" s="37"/>
      <c r="H124" s="18"/>
      <c r="I124" s="18"/>
    </row>
    <row r="125" spans="1:9" ht="10.5" x14ac:dyDescent="0.25">
      <c r="F125" s="20"/>
    </row>
    <row r="126" spans="1:9" ht="10.5" x14ac:dyDescent="0.25">
      <c r="A126" s="66" t="s">
        <v>766</v>
      </c>
    </row>
    <row r="127" spans="1:9" ht="10.5" x14ac:dyDescent="0.25">
      <c r="A127" s="66" t="s">
        <v>1109</v>
      </c>
    </row>
    <row r="128" spans="1:9" ht="10.5" x14ac:dyDescent="0.25">
      <c r="A128" s="18" t="s">
        <v>1110</v>
      </c>
    </row>
    <row r="130" spans="1:7" ht="10.5" x14ac:dyDescent="0.25">
      <c r="A130" s="18" t="s">
        <v>51</v>
      </c>
    </row>
    <row r="131" spans="1:7" ht="10.5" x14ac:dyDescent="0.25">
      <c r="A131" s="18" t="s">
        <v>713</v>
      </c>
    </row>
    <row r="132" spans="1:7" ht="10.5" x14ac:dyDescent="0.25">
      <c r="A132" s="18" t="s">
        <v>53</v>
      </c>
      <c r="B132" s="18"/>
      <c r="C132" s="39" t="s">
        <v>55</v>
      </c>
      <c r="D132" s="19" t="s">
        <v>714</v>
      </c>
    </row>
    <row r="133" spans="1:7" x14ac:dyDescent="0.2">
      <c r="A133" s="9" t="s">
        <v>71</v>
      </c>
      <c r="C133" s="40">
        <v>0</v>
      </c>
      <c r="D133" s="40">
        <v>0</v>
      </c>
    </row>
    <row r="134" spans="1:7" x14ac:dyDescent="0.2">
      <c r="A134" s="9" t="s">
        <v>77</v>
      </c>
      <c r="C134" s="40">
        <v>0</v>
      </c>
      <c r="D134" s="40">
        <v>0</v>
      </c>
    </row>
    <row r="135" spans="1:7" x14ac:dyDescent="0.2">
      <c r="A135" s="9" t="s">
        <v>74</v>
      </c>
      <c r="C135" s="40">
        <v>0</v>
      </c>
      <c r="D135" s="40">
        <v>0</v>
      </c>
    </row>
    <row r="136" spans="1:7" x14ac:dyDescent="0.2">
      <c r="A136" s="9" t="s">
        <v>78</v>
      </c>
      <c r="C136" s="40">
        <v>0</v>
      </c>
      <c r="D136" s="40">
        <v>0</v>
      </c>
    </row>
    <row r="138" spans="1:7" ht="10.5" x14ac:dyDescent="0.25">
      <c r="A138" s="18" t="s">
        <v>1123</v>
      </c>
      <c r="D138" s="41" t="s">
        <v>57</v>
      </c>
    </row>
    <row r="139" spans="1:7" x14ac:dyDescent="0.2">
      <c r="A139" s="9" t="s">
        <v>1111</v>
      </c>
    </row>
    <row r="140" spans="1:7" x14ac:dyDescent="0.2">
      <c r="A140" s="59" t="s">
        <v>1112</v>
      </c>
    </row>
    <row r="144" spans="1:7" s="1" customFormat="1" ht="14" x14ac:dyDescent="0.25">
      <c r="A144" s="79" t="s">
        <v>1372</v>
      </c>
      <c r="B144" s="80"/>
      <c r="C144" s="80"/>
      <c r="D144" s="80"/>
      <c r="E144" s="80"/>
      <c r="F144" s="80"/>
      <c r="G144" s="80"/>
    </row>
    <row r="145" spans="1:9" ht="10.5" x14ac:dyDescent="0.25">
      <c r="A145" s="18" t="s">
        <v>711</v>
      </c>
    </row>
    <row r="146" spans="1:9" s="1" customFormat="1" ht="17.5" customHeight="1" x14ac:dyDescent="0.25">
      <c r="A146" s="8" t="s">
        <v>2</v>
      </c>
      <c r="B146" s="8" t="s">
        <v>0</v>
      </c>
      <c r="C146" s="17" t="s">
        <v>726</v>
      </c>
      <c r="D146" s="16" t="s">
        <v>1</v>
      </c>
      <c r="E146" s="15" t="s">
        <v>3</v>
      </c>
      <c r="F146" s="15" t="s">
        <v>4</v>
      </c>
      <c r="G146" s="15" t="s">
        <v>6</v>
      </c>
    </row>
    <row r="147" spans="1:9" ht="10.5" x14ac:dyDescent="0.25">
      <c r="A147" s="21" t="s">
        <v>32</v>
      </c>
      <c r="B147" s="22"/>
      <c r="C147" s="22"/>
      <c r="D147" s="23"/>
      <c r="E147" s="24"/>
      <c r="F147" s="25"/>
      <c r="G147" s="24"/>
    </row>
    <row r="148" spans="1:9" ht="10.5" x14ac:dyDescent="0.25">
      <c r="A148" s="26" t="s">
        <v>33</v>
      </c>
      <c r="B148" s="27"/>
      <c r="C148" s="27"/>
      <c r="D148" s="28"/>
      <c r="E148" s="29"/>
      <c r="F148" s="30"/>
      <c r="G148" s="29"/>
    </row>
    <row r="149" spans="1:9" x14ac:dyDescent="0.2">
      <c r="A149" s="27" t="s">
        <v>1125</v>
      </c>
      <c r="B149" s="27" t="s">
        <v>1126</v>
      </c>
      <c r="C149" s="27" t="s">
        <v>1127</v>
      </c>
      <c r="D149" s="31">
        <v>1695</v>
      </c>
      <c r="E149" s="29">
        <v>0</v>
      </c>
      <c r="F149" s="62">
        <v>100</v>
      </c>
      <c r="G149" s="29">
        <v>0</v>
      </c>
    </row>
    <row r="150" spans="1:9" ht="10.5" x14ac:dyDescent="0.25">
      <c r="A150" s="26" t="s">
        <v>43</v>
      </c>
      <c r="B150" s="26"/>
      <c r="C150" s="26"/>
      <c r="D150" s="32"/>
      <c r="E150" s="33">
        <f>SUM(E148:E149)</f>
        <v>0</v>
      </c>
      <c r="F150" s="63">
        <f>SUM(F148:F149)</f>
        <v>100</v>
      </c>
      <c r="G150" s="33"/>
      <c r="H150" s="18"/>
      <c r="I150" s="18"/>
    </row>
    <row r="151" spans="1:9" x14ac:dyDescent="0.2">
      <c r="A151" s="27"/>
      <c r="B151" s="27"/>
      <c r="C151" s="27"/>
      <c r="D151" s="28"/>
      <c r="E151" s="29"/>
      <c r="F151" s="64"/>
      <c r="G151" s="29"/>
    </row>
    <row r="152" spans="1:9" ht="10.5" x14ac:dyDescent="0.25">
      <c r="A152" s="26" t="s">
        <v>48</v>
      </c>
      <c r="B152" s="26"/>
      <c r="C152" s="26"/>
      <c r="D152" s="32"/>
      <c r="E152" s="33">
        <f>E150</f>
        <v>0</v>
      </c>
      <c r="F152" s="63">
        <f>F150</f>
        <v>100</v>
      </c>
      <c r="G152" s="33"/>
      <c r="H152" s="18"/>
      <c r="I152" s="18"/>
    </row>
    <row r="153" spans="1:9" ht="10.5" x14ac:dyDescent="0.25">
      <c r="A153" s="26"/>
      <c r="B153" s="26"/>
      <c r="C153" s="26"/>
      <c r="D153" s="32"/>
      <c r="E153" s="33"/>
      <c r="F153" s="63"/>
      <c r="G153" s="33"/>
      <c r="H153" s="18"/>
      <c r="I153" s="18"/>
    </row>
    <row r="154" spans="1:9" ht="10.5" x14ac:dyDescent="0.25">
      <c r="A154" s="26" t="s">
        <v>50</v>
      </c>
      <c r="B154" s="26"/>
      <c r="C154" s="26"/>
      <c r="D154" s="32"/>
      <c r="E154" s="33">
        <f>E156-(E150)</f>
        <v>0</v>
      </c>
      <c r="F154" s="34">
        <v>0</v>
      </c>
      <c r="G154" s="33"/>
      <c r="H154" s="18"/>
      <c r="I154" s="18"/>
    </row>
    <row r="155" spans="1:9" ht="10.5" x14ac:dyDescent="0.25">
      <c r="A155" s="26"/>
      <c r="B155" s="26"/>
      <c r="C155" s="26"/>
      <c r="D155" s="32"/>
      <c r="E155" s="33"/>
      <c r="F155" s="63"/>
      <c r="G155" s="33"/>
      <c r="H155" s="18"/>
      <c r="I155" s="18"/>
    </row>
    <row r="156" spans="1:9" ht="10.5" x14ac:dyDescent="0.25">
      <c r="A156" s="35" t="s">
        <v>49</v>
      </c>
      <c r="B156" s="35"/>
      <c r="C156" s="35"/>
      <c r="D156" s="36"/>
      <c r="E156" s="37">
        <v>0</v>
      </c>
      <c r="F156" s="65">
        <v>100</v>
      </c>
      <c r="G156" s="37"/>
      <c r="H156" s="18"/>
      <c r="I156" s="18"/>
    </row>
    <row r="157" spans="1:9" ht="10.5" x14ac:dyDescent="0.25">
      <c r="F157" s="20"/>
    </row>
    <row r="158" spans="1:9" ht="10.5" x14ac:dyDescent="0.25">
      <c r="A158" s="18" t="s">
        <v>766</v>
      </c>
    </row>
    <row r="159" spans="1:9" ht="10.5" x14ac:dyDescent="0.25">
      <c r="A159" s="66" t="s">
        <v>1109</v>
      </c>
    </row>
    <row r="160" spans="1:9" ht="10.5" x14ac:dyDescent="0.25">
      <c r="A160" s="66"/>
    </row>
    <row r="161" spans="1:4" ht="10.5" x14ac:dyDescent="0.25">
      <c r="A161" s="18" t="s">
        <v>51</v>
      </c>
    </row>
    <row r="162" spans="1:4" ht="10.5" x14ac:dyDescent="0.25">
      <c r="A162" s="18" t="s">
        <v>713</v>
      </c>
    </row>
    <row r="163" spans="1:4" ht="10.5" x14ac:dyDescent="0.25">
      <c r="A163" s="18" t="s">
        <v>53</v>
      </c>
      <c r="B163" s="18"/>
      <c r="C163" s="39" t="s">
        <v>55</v>
      </c>
      <c r="D163" s="19" t="s">
        <v>714</v>
      </c>
    </row>
    <row r="164" spans="1:4" x14ac:dyDescent="0.2">
      <c r="A164" s="9" t="s">
        <v>71</v>
      </c>
      <c r="C164" s="40">
        <v>0</v>
      </c>
      <c r="D164" s="40">
        <v>0</v>
      </c>
    </row>
    <row r="165" spans="1:4" x14ac:dyDescent="0.2">
      <c r="A165" s="9" t="s">
        <v>77</v>
      </c>
      <c r="C165" s="40">
        <v>0</v>
      </c>
      <c r="D165" s="40">
        <v>0</v>
      </c>
    </row>
    <row r="166" spans="1:4" x14ac:dyDescent="0.2">
      <c r="A166" s="9" t="s">
        <v>74</v>
      </c>
      <c r="C166" s="40">
        <v>0</v>
      </c>
      <c r="D166" s="40">
        <v>0</v>
      </c>
    </row>
    <row r="167" spans="1:4" x14ac:dyDescent="0.2">
      <c r="A167" s="9" t="s">
        <v>78</v>
      </c>
      <c r="C167" s="40">
        <v>0</v>
      </c>
      <c r="D167" s="40">
        <v>0</v>
      </c>
    </row>
    <row r="169" spans="1:4" ht="10.5" x14ac:dyDescent="0.25">
      <c r="A169" s="18" t="s">
        <v>1123</v>
      </c>
      <c r="D169" s="41" t="s">
        <v>57</v>
      </c>
    </row>
    <row r="170" spans="1:4" x14ac:dyDescent="0.2">
      <c r="A170" s="67" t="s">
        <v>1111</v>
      </c>
      <c r="B170" s="67"/>
      <c r="C170" s="67"/>
      <c r="D170" s="69"/>
    </row>
    <row r="171" spans="1:4" x14ac:dyDescent="0.2">
      <c r="A171" s="70" t="s">
        <v>1112</v>
      </c>
      <c r="B171" s="67"/>
      <c r="C171" s="67"/>
      <c r="D171" s="69"/>
    </row>
  </sheetData>
  <mergeCells count="7">
    <mergeCell ref="A144:G144"/>
    <mergeCell ref="A1:G1"/>
    <mergeCell ref="A102:G102"/>
    <mergeCell ref="A105:G105"/>
    <mergeCell ref="A107:F107"/>
    <mergeCell ref="A109:G109"/>
    <mergeCell ref="A112:G112"/>
  </mergeCells>
  <conditionalFormatting sqref="F2:F3 F5:F71 F159:F65536 F74:F101 F110:F111 F113 F126:F143 F145">
    <cfRule type="cellIs" dxfId="60" priority="8" stopIfTrue="1" operator="between">
      <formula>0.009</formula>
      <formula>-0.009</formula>
    </cfRule>
  </conditionalFormatting>
  <conditionalFormatting sqref="F108 F103:F104">
    <cfRule type="cellIs" dxfId="59" priority="7" stopIfTrue="1" operator="between">
      <formula>0.009</formula>
      <formula>-0.009</formula>
    </cfRule>
  </conditionalFormatting>
  <conditionalFormatting sqref="F115:F116">
    <cfRule type="cellIs" dxfId="58" priority="6" stopIfTrue="1" operator="between">
      <formula>0.009</formula>
      <formula>-0.009</formula>
    </cfRule>
  </conditionalFormatting>
  <conditionalFormatting sqref="F125">
    <cfRule type="cellIs" dxfId="57" priority="5" stopIfTrue="1" operator="between">
      <formula>0.009</formula>
      <formula>-0.009</formula>
    </cfRule>
  </conditionalFormatting>
  <conditionalFormatting sqref="F118:F121 F123:F124">
    <cfRule type="cellIs" dxfId="56" priority="4" stopIfTrue="1" operator="between">
      <formula>0.009</formula>
      <formula>-0.009</formula>
    </cfRule>
  </conditionalFormatting>
  <conditionalFormatting sqref="F147:F148 F158">
    <cfRule type="cellIs" dxfId="55" priority="3" stopIfTrue="1" operator="between">
      <formula>0.009</formula>
      <formula>-0.009</formula>
    </cfRule>
  </conditionalFormatting>
  <conditionalFormatting sqref="F157">
    <cfRule type="cellIs" dxfId="54" priority="2" stopIfTrue="1" operator="between">
      <formula>0.009</formula>
      <formula>-0.009</formula>
    </cfRule>
  </conditionalFormatting>
  <conditionalFormatting sqref="F150:F153 F155:F156">
    <cfRule type="cellIs" dxfId="53" priority="1" stopIfTrue="1" operator="between">
      <formula>0.009</formula>
      <formula>-0.009</formula>
    </cfRule>
  </conditionalFormatting>
  <hyperlinks>
    <hyperlink ref="A100" r:id="rId1" xr:uid="{00000000-0004-0000-0C00-000000000000}"/>
    <hyperlink ref="A106" r:id="rId2" xr:uid="{00000000-0004-0000-0C00-000001000000}"/>
    <hyperlink ref="A107" r:id="rId3" xr:uid="{00000000-0004-0000-0C00-000002000000}"/>
    <hyperlink ref="A103" r:id="rId4" xr:uid="{00000000-0004-0000-0C00-000003000000}"/>
    <hyperlink ref="A140" r:id="rId5" xr:uid="{00000000-0004-0000-0C00-000004000000}"/>
    <hyperlink ref="A171" r:id="rId6" xr:uid="{00000000-0004-0000-0C00-000005000000}"/>
  </hyperlinks>
  <pageMargins left="0.7" right="0.7" top="0.75" bottom="0.75" header="0.3" footer="0.3"/>
  <pageSetup paperSize="9" orientation="portrait" r:id="rId7"/>
  <headerFooter>
    <oddFooter>&amp;LPUBLIC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1373</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1374</v>
      </c>
      <c r="B7" s="27" t="s">
        <v>1375</v>
      </c>
      <c r="C7" s="27" t="s">
        <v>1294</v>
      </c>
      <c r="D7" s="31">
        <v>40</v>
      </c>
      <c r="E7" s="29">
        <v>511.49400000000003</v>
      </c>
      <c r="F7" s="30">
        <v>10.0829919930441</v>
      </c>
      <c r="G7" s="29">
        <v>5.2534999999999998</v>
      </c>
    </row>
    <row r="8" spans="1:7" x14ac:dyDescent="0.2">
      <c r="A8" s="27" t="s">
        <v>1376</v>
      </c>
      <c r="B8" s="27" t="s">
        <v>1377</v>
      </c>
      <c r="C8" s="27" t="s">
        <v>42</v>
      </c>
      <c r="D8" s="31">
        <v>40</v>
      </c>
      <c r="E8" s="29">
        <v>509.13400000000001</v>
      </c>
      <c r="F8" s="30">
        <v>10.0364697247407</v>
      </c>
      <c r="G8" s="29">
        <v>4.9497</v>
      </c>
    </row>
    <row r="9" spans="1:7" x14ac:dyDescent="0.2">
      <c r="A9" s="27" t="s">
        <v>998</v>
      </c>
      <c r="B9" s="27" t="s">
        <v>999</v>
      </c>
      <c r="C9" s="27" t="s">
        <v>896</v>
      </c>
      <c r="D9" s="31">
        <v>42</v>
      </c>
      <c r="E9" s="29">
        <v>442.44522000000001</v>
      </c>
      <c r="F9" s="30">
        <v>8.7218454383055199</v>
      </c>
      <c r="G9" s="29">
        <v>4.2</v>
      </c>
    </row>
    <row r="10" spans="1:7" x14ac:dyDescent="0.2">
      <c r="A10" s="27" t="s">
        <v>917</v>
      </c>
      <c r="B10" s="27" t="s">
        <v>918</v>
      </c>
      <c r="C10" s="27" t="s">
        <v>851</v>
      </c>
      <c r="D10" s="31">
        <v>41</v>
      </c>
      <c r="E10" s="29">
        <v>431.47703000000001</v>
      </c>
      <c r="F10" s="30">
        <v>8.5056314222111293</v>
      </c>
      <c r="G10" s="29">
        <v>4.1749999999999998</v>
      </c>
    </row>
    <row r="11" spans="1:7" x14ac:dyDescent="0.2">
      <c r="A11" s="27" t="s">
        <v>901</v>
      </c>
      <c r="B11" s="27" t="s">
        <v>902</v>
      </c>
      <c r="C11" s="27" t="s">
        <v>42</v>
      </c>
      <c r="D11" s="31">
        <v>41</v>
      </c>
      <c r="E11" s="29">
        <v>429.75871999999998</v>
      </c>
      <c r="F11" s="30">
        <v>8.4717586769363695</v>
      </c>
      <c r="G11" s="29">
        <v>4.0347999999999997</v>
      </c>
    </row>
    <row r="12" spans="1:7" x14ac:dyDescent="0.2">
      <c r="A12" s="27" t="s">
        <v>878</v>
      </c>
      <c r="B12" s="27" t="s">
        <v>879</v>
      </c>
      <c r="C12" s="27" t="s">
        <v>864</v>
      </c>
      <c r="D12" s="31">
        <v>40</v>
      </c>
      <c r="E12" s="29">
        <v>415.08</v>
      </c>
      <c r="F12" s="30">
        <v>8.1823996302454294</v>
      </c>
      <c r="G12" s="29">
        <v>6.0583</v>
      </c>
    </row>
    <row r="13" spans="1:7" x14ac:dyDescent="0.2">
      <c r="A13" s="27" t="s">
        <v>995</v>
      </c>
      <c r="B13" s="27" t="s">
        <v>996</v>
      </c>
      <c r="C13" s="27" t="s">
        <v>997</v>
      </c>
      <c r="D13" s="31">
        <v>37</v>
      </c>
      <c r="E13" s="29">
        <v>397.84805</v>
      </c>
      <c r="F13" s="30">
        <v>7.8427092059696104</v>
      </c>
      <c r="G13" s="29">
        <v>4.0750000000000002</v>
      </c>
    </row>
    <row r="14" spans="1:7" x14ac:dyDescent="0.2">
      <c r="A14" s="27" t="s">
        <v>927</v>
      </c>
      <c r="B14" s="27" t="s">
        <v>928</v>
      </c>
      <c r="C14" s="27" t="s">
        <v>42</v>
      </c>
      <c r="D14" s="31">
        <v>30</v>
      </c>
      <c r="E14" s="29">
        <v>365.78100000000001</v>
      </c>
      <c r="F14" s="30">
        <v>7.2105770433429797</v>
      </c>
      <c r="G14" s="29">
        <v>4.6399999999999997</v>
      </c>
    </row>
    <row r="15" spans="1:7" x14ac:dyDescent="0.2">
      <c r="A15" s="27" t="s">
        <v>915</v>
      </c>
      <c r="B15" s="27" t="s">
        <v>916</v>
      </c>
      <c r="C15" s="27" t="s">
        <v>42</v>
      </c>
      <c r="D15" s="31">
        <v>30</v>
      </c>
      <c r="E15" s="29">
        <v>315.98790000000002</v>
      </c>
      <c r="F15" s="30">
        <v>6.2290143493351398</v>
      </c>
      <c r="G15" s="29">
        <v>4.125</v>
      </c>
    </row>
    <row r="16" spans="1:7" x14ac:dyDescent="0.2">
      <c r="A16" s="27" t="s">
        <v>1378</v>
      </c>
      <c r="B16" s="27" t="s">
        <v>1379</v>
      </c>
      <c r="C16" s="27" t="s">
        <v>1294</v>
      </c>
      <c r="D16" s="31">
        <v>21</v>
      </c>
      <c r="E16" s="29">
        <v>263.27573999999998</v>
      </c>
      <c r="F16" s="30">
        <v>5.1899087347706301</v>
      </c>
      <c r="G16" s="29">
        <v>4.9748999999999999</v>
      </c>
    </row>
    <row r="17" spans="1:9" x14ac:dyDescent="0.2">
      <c r="A17" s="27" t="s">
        <v>1380</v>
      </c>
      <c r="B17" s="27" t="s">
        <v>1381</v>
      </c>
      <c r="C17" s="27" t="s">
        <v>42</v>
      </c>
      <c r="D17" s="31">
        <v>19</v>
      </c>
      <c r="E17" s="29">
        <v>238.43156999999999</v>
      </c>
      <c r="F17" s="30">
        <v>4.7001599455691396</v>
      </c>
      <c r="G17" s="29">
        <v>4.84</v>
      </c>
    </row>
    <row r="18" spans="1:9" x14ac:dyDescent="0.2">
      <c r="A18" s="27" t="s">
        <v>1382</v>
      </c>
      <c r="B18" s="27" t="s">
        <v>1383</v>
      </c>
      <c r="C18" s="27" t="s">
        <v>851</v>
      </c>
      <c r="D18" s="31">
        <v>18</v>
      </c>
      <c r="E18" s="29">
        <v>189.66419999999999</v>
      </c>
      <c r="F18" s="30">
        <v>3.7388172881150501</v>
      </c>
      <c r="G18" s="29">
        <v>4.3550000000000004</v>
      </c>
    </row>
    <row r="19" spans="1:9" x14ac:dyDescent="0.2">
      <c r="A19" s="27" t="s">
        <v>1384</v>
      </c>
      <c r="B19" s="27" t="s">
        <v>1385</v>
      </c>
      <c r="C19" s="27" t="s">
        <v>42</v>
      </c>
      <c r="D19" s="31">
        <v>12</v>
      </c>
      <c r="E19" s="29">
        <v>148.22064</v>
      </c>
      <c r="F19" s="30">
        <v>2.9218476195691001</v>
      </c>
      <c r="G19" s="29">
        <v>6.1646000000000001</v>
      </c>
    </row>
    <row r="20" spans="1:9" x14ac:dyDescent="0.2">
      <c r="A20" s="27" t="s">
        <v>882</v>
      </c>
      <c r="B20" s="27" t="s">
        <v>883</v>
      </c>
      <c r="C20" s="27" t="s">
        <v>42</v>
      </c>
      <c r="D20" s="31">
        <v>10</v>
      </c>
      <c r="E20" s="29">
        <v>104.947</v>
      </c>
      <c r="F20" s="30">
        <v>2.0688019032364</v>
      </c>
      <c r="G20" s="29">
        <v>4.3150000000000004</v>
      </c>
    </row>
    <row r="21" spans="1:9" x14ac:dyDescent="0.2">
      <c r="A21" s="27" t="s">
        <v>872</v>
      </c>
      <c r="B21" s="27" t="s">
        <v>873</v>
      </c>
      <c r="C21" s="27" t="s">
        <v>874</v>
      </c>
      <c r="D21" s="31">
        <v>5</v>
      </c>
      <c r="E21" s="29">
        <v>51.746650000000002</v>
      </c>
      <c r="F21" s="30">
        <v>1.0200726843655199</v>
      </c>
      <c r="G21" s="29">
        <v>5.8688000000000002</v>
      </c>
    </row>
    <row r="22" spans="1:9" ht="10.5" x14ac:dyDescent="0.25">
      <c r="A22" s="26" t="s">
        <v>43</v>
      </c>
      <c r="B22" s="26"/>
      <c r="C22" s="26"/>
      <c r="D22" s="32"/>
      <c r="E22" s="33">
        <f>SUM(E6:E21)</f>
        <v>4815.2917200000002</v>
      </c>
      <c r="F22" s="34">
        <f>SUM(F6:F21)</f>
        <v>94.923005659756825</v>
      </c>
      <c r="G22" s="33"/>
      <c r="H22" s="18"/>
      <c r="I22" s="18"/>
    </row>
    <row r="23" spans="1:9" x14ac:dyDescent="0.2">
      <c r="A23" s="27"/>
      <c r="B23" s="27"/>
      <c r="C23" s="27"/>
      <c r="D23" s="28"/>
      <c r="E23" s="29"/>
      <c r="F23" s="30"/>
      <c r="G23" s="29"/>
    </row>
    <row r="24" spans="1:9" ht="10.5" x14ac:dyDescent="0.25">
      <c r="A24" s="26" t="s">
        <v>48</v>
      </c>
      <c r="B24" s="26"/>
      <c r="C24" s="26"/>
      <c r="D24" s="32"/>
      <c r="E24" s="33">
        <f>E22</f>
        <v>4815.2917200000002</v>
      </c>
      <c r="F24" s="34">
        <f>F22</f>
        <v>94.923005659756825</v>
      </c>
      <c r="G24" s="33"/>
      <c r="H24" s="18"/>
      <c r="I24" s="18"/>
    </row>
    <row r="25" spans="1:9" ht="10.5" x14ac:dyDescent="0.25">
      <c r="A25" s="26"/>
      <c r="B25" s="26"/>
      <c r="C25" s="26"/>
      <c r="D25" s="32"/>
      <c r="E25" s="33"/>
      <c r="F25" s="34"/>
      <c r="G25" s="33"/>
      <c r="H25" s="18"/>
      <c r="I25" s="18"/>
    </row>
    <row r="26" spans="1:9" ht="10.5" x14ac:dyDescent="0.25">
      <c r="A26" s="26" t="s">
        <v>50</v>
      </c>
      <c r="B26" s="26"/>
      <c r="C26" s="26"/>
      <c r="D26" s="32"/>
      <c r="E26" s="33">
        <f>E28-(E22)</f>
        <v>257.54777399999966</v>
      </c>
      <c r="F26" s="34">
        <f>F28-(F22)</f>
        <v>5.076994340243175</v>
      </c>
      <c r="G26" s="33"/>
      <c r="H26" s="18"/>
      <c r="I26" s="18"/>
    </row>
    <row r="27" spans="1:9" ht="10.5" x14ac:dyDescent="0.25">
      <c r="A27" s="26"/>
      <c r="B27" s="26"/>
      <c r="C27" s="26"/>
      <c r="D27" s="32"/>
      <c r="E27" s="33"/>
      <c r="F27" s="34"/>
      <c r="G27" s="33"/>
      <c r="H27" s="18"/>
      <c r="I27" s="18"/>
    </row>
    <row r="28" spans="1:9" ht="10.5" x14ac:dyDescent="0.25">
      <c r="A28" s="35" t="s">
        <v>49</v>
      </c>
      <c r="B28" s="35"/>
      <c r="C28" s="35"/>
      <c r="D28" s="36"/>
      <c r="E28" s="37">
        <v>5072.8394939999998</v>
      </c>
      <c r="F28" s="38">
        <v>100</v>
      </c>
      <c r="G28" s="37"/>
      <c r="H28" s="18"/>
      <c r="I28" s="18"/>
    </row>
    <row r="30" spans="1:9" ht="10.5" x14ac:dyDescent="0.25">
      <c r="A30" s="18" t="s">
        <v>766</v>
      </c>
    </row>
    <row r="32" spans="1:9" ht="10.5" x14ac:dyDescent="0.25">
      <c r="A32" s="18" t="s">
        <v>51</v>
      </c>
    </row>
    <row r="33" spans="1:5" ht="10.5" x14ac:dyDescent="0.25">
      <c r="A33" s="18" t="s">
        <v>713</v>
      </c>
    </row>
    <row r="34" spans="1:5" ht="10.5" x14ac:dyDescent="0.25">
      <c r="A34" s="18" t="s">
        <v>53</v>
      </c>
      <c r="B34" s="18"/>
      <c r="C34" s="39" t="s">
        <v>55</v>
      </c>
      <c r="D34" s="19" t="s">
        <v>714</v>
      </c>
    </row>
    <row r="35" spans="1:5" x14ac:dyDescent="0.2">
      <c r="A35" s="9" t="s">
        <v>71</v>
      </c>
      <c r="C35" s="40">
        <v>11.0722</v>
      </c>
      <c r="D35" s="40">
        <v>11.821199999999999</v>
      </c>
    </row>
    <row r="36" spans="1:5" x14ac:dyDescent="0.2">
      <c r="A36" s="9" t="s">
        <v>1386</v>
      </c>
      <c r="C36" s="40">
        <v>10.2942</v>
      </c>
      <c r="D36" s="40">
        <v>10.990600000000001</v>
      </c>
    </row>
    <row r="37" spans="1:5" x14ac:dyDescent="0.2">
      <c r="A37" s="9" t="s">
        <v>73</v>
      </c>
      <c r="C37" s="40">
        <v>10.289899999999999</v>
      </c>
      <c r="D37" s="40">
        <v>10.598000000000001</v>
      </c>
    </row>
    <row r="38" spans="1:5" x14ac:dyDescent="0.2">
      <c r="A38" s="9" t="s">
        <v>74</v>
      </c>
      <c r="C38" s="40">
        <v>11.0969</v>
      </c>
      <c r="D38" s="40">
        <v>11.859500000000001</v>
      </c>
    </row>
    <row r="40" spans="1:5" ht="10.5" x14ac:dyDescent="0.25">
      <c r="A40" s="18" t="s">
        <v>715</v>
      </c>
    </row>
    <row r="41" spans="1:5" ht="10.5" x14ac:dyDescent="0.25">
      <c r="A41" s="81" t="s">
        <v>68</v>
      </c>
      <c r="B41" s="82"/>
      <c r="C41" s="43" t="s">
        <v>69</v>
      </c>
    </row>
    <row r="42" spans="1:5" x14ac:dyDescent="0.2">
      <c r="A42" s="77" t="s">
        <v>73</v>
      </c>
      <c r="B42" s="78"/>
      <c r="C42" s="44">
        <v>0.38</v>
      </c>
    </row>
    <row r="43" spans="1:5" x14ac:dyDescent="0.2">
      <c r="A43" s="9" t="s">
        <v>70</v>
      </c>
    </row>
    <row r="45" spans="1:5" ht="10.5" x14ac:dyDescent="0.25">
      <c r="A45" s="18" t="s">
        <v>785</v>
      </c>
      <c r="D45" s="42">
        <v>1.29402810158904</v>
      </c>
      <c r="E45" s="13" t="s">
        <v>58</v>
      </c>
    </row>
    <row r="47" spans="1:5" ht="10.5" x14ac:dyDescent="0.25">
      <c r="A47" s="18" t="s">
        <v>786</v>
      </c>
      <c r="D47" s="41" t="s">
        <v>57</v>
      </c>
    </row>
  </sheetData>
  <mergeCells count="3">
    <mergeCell ref="A1:G1"/>
    <mergeCell ref="A41:B41"/>
    <mergeCell ref="A42:B42"/>
  </mergeCells>
  <conditionalFormatting sqref="F2:F3 F5:F65536">
    <cfRule type="cellIs" dxfId="5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1387</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927</v>
      </c>
      <c r="B7" s="27" t="s">
        <v>928</v>
      </c>
      <c r="C7" s="27" t="s">
        <v>42</v>
      </c>
      <c r="D7" s="31">
        <v>39</v>
      </c>
      <c r="E7" s="29">
        <v>475.51530000000002</v>
      </c>
      <c r="F7" s="30">
        <v>11.9922543977875</v>
      </c>
      <c r="G7" s="29">
        <v>4.6399999999999997</v>
      </c>
    </row>
    <row r="8" spans="1:7" x14ac:dyDescent="0.2">
      <c r="A8" s="27" t="s">
        <v>1388</v>
      </c>
      <c r="B8" s="27" t="s">
        <v>1389</v>
      </c>
      <c r="C8" s="27" t="s">
        <v>42</v>
      </c>
      <c r="D8" s="31">
        <v>39</v>
      </c>
      <c r="E8" s="29">
        <v>412.38990000000001</v>
      </c>
      <c r="F8" s="30">
        <v>10.400263865070499</v>
      </c>
      <c r="G8" s="29">
        <v>4.2</v>
      </c>
    </row>
    <row r="9" spans="1:7" x14ac:dyDescent="0.2">
      <c r="A9" s="27" t="s">
        <v>1390</v>
      </c>
      <c r="B9" s="27" t="s">
        <v>1391</v>
      </c>
      <c r="C9" s="27" t="s">
        <v>42</v>
      </c>
      <c r="D9" s="31">
        <v>39</v>
      </c>
      <c r="E9" s="29">
        <v>408.86664000000002</v>
      </c>
      <c r="F9" s="30">
        <v>10.3114090369934</v>
      </c>
      <c r="G9" s="29">
        <v>3.99</v>
      </c>
    </row>
    <row r="10" spans="1:7" x14ac:dyDescent="0.2">
      <c r="A10" s="27" t="s">
        <v>901</v>
      </c>
      <c r="B10" s="27" t="s">
        <v>902</v>
      </c>
      <c r="C10" s="27" t="s">
        <v>42</v>
      </c>
      <c r="D10" s="31">
        <v>38</v>
      </c>
      <c r="E10" s="29">
        <v>398.31295999999998</v>
      </c>
      <c r="F10" s="30">
        <v>10.045250586586301</v>
      </c>
      <c r="G10" s="29">
        <v>4.0347999999999997</v>
      </c>
    </row>
    <row r="11" spans="1:7" x14ac:dyDescent="0.2">
      <c r="A11" s="27" t="s">
        <v>1382</v>
      </c>
      <c r="B11" s="27" t="s">
        <v>1383</v>
      </c>
      <c r="C11" s="27" t="s">
        <v>851</v>
      </c>
      <c r="D11" s="31">
        <v>37</v>
      </c>
      <c r="E11" s="29">
        <v>389.86529999999999</v>
      </c>
      <c r="F11" s="30">
        <v>9.8322048911354702</v>
      </c>
      <c r="G11" s="29">
        <v>4.3550000000000004</v>
      </c>
    </row>
    <row r="12" spans="1:7" x14ac:dyDescent="0.2">
      <c r="A12" s="27" t="s">
        <v>1378</v>
      </c>
      <c r="B12" s="27" t="s">
        <v>1379</v>
      </c>
      <c r="C12" s="27" t="s">
        <v>1294</v>
      </c>
      <c r="D12" s="31">
        <v>29</v>
      </c>
      <c r="E12" s="29">
        <v>363.57126</v>
      </c>
      <c r="F12" s="30">
        <v>9.1690825545343095</v>
      </c>
      <c r="G12" s="29">
        <v>4.9748999999999999</v>
      </c>
    </row>
    <row r="13" spans="1:7" x14ac:dyDescent="0.2">
      <c r="A13" s="27" t="s">
        <v>872</v>
      </c>
      <c r="B13" s="27" t="s">
        <v>873</v>
      </c>
      <c r="C13" s="27" t="s">
        <v>874</v>
      </c>
      <c r="D13" s="31">
        <v>34</v>
      </c>
      <c r="E13" s="29">
        <v>351.87722000000002</v>
      </c>
      <c r="F13" s="30">
        <v>8.8741648040057708</v>
      </c>
      <c r="G13" s="29">
        <v>5.8688000000000002</v>
      </c>
    </row>
    <row r="14" spans="1:7" x14ac:dyDescent="0.2">
      <c r="A14" s="27" t="s">
        <v>937</v>
      </c>
      <c r="B14" s="27" t="s">
        <v>938</v>
      </c>
      <c r="C14" s="27" t="s">
        <v>42</v>
      </c>
      <c r="D14" s="31">
        <v>27</v>
      </c>
      <c r="E14" s="29">
        <v>340.47836999999998</v>
      </c>
      <c r="F14" s="30">
        <v>8.5866915953787899</v>
      </c>
      <c r="G14" s="29">
        <v>4.1749999999999998</v>
      </c>
    </row>
    <row r="15" spans="1:7" x14ac:dyDescent="0.2">
      <c r="A15" s="27" t="s">
        <v>1384</v>
      </c>
      <c r="B15" s="27" t="s">
        <v>1385</v>
      </c>
      <c r="C15" s="27" t="s">
        <v>42</v>
      </c>
      <c r="D15" s="31">
        <v>24</v>
      </c>
      <c r="E15" s="29">
        <v>296.44128000000001</v>
      </c>
      <c r="F15" s="30">
        <v>7.476098547756</v>
      </c>
      <c r="G15" s="29">
        <v>6.1646000000000001</v>
      </c>
    </row>
    <row r="16" spans="1:7" x14ac:dyDescent="0.2">
      <c r="A16" s="27" t="s">
        <v>915</v>
      </c>
      <c r="B16" s="27" t="s">
        <v>916</v>
      </c>
      <c r="C16" s="27" t="s">
        <v>42</v>
      </c>
      <c r="D16" s="31">
        <v>13</v>
      </c>
      <c r="E16" s="29">
        <v>136.92809</v>
      </c>
      <c r="F16" s="30">
        <v>3.4532568972715398</v>
      </c>
      <c r="G16" s="29">
        <v>4.125</v>
      </c>
    </row>
    <row r="17" spans="1:9" x14ac:dyDescent="0.2">
      <c r="A17" s="27" t="s">
        <v>882</v>
      </c>
      <c r="B17" s="27" t="s">
        <v>883</v>
      </c>
      <c r="C17" s="27" t="s">
        <v>42</v>
      </c>
      <c r="D17" s="31">
        <v>12</v>
      </c>
      <c r="E17" s="29">
        <v>125.93640000000001</v>
      </c>
      <c r="F17" s="30">
        <v>3.1760520570873898</v>
      </c>
      <c r="G17" s="29">
        <v>4.3150000000000004</v>
      </c>
    </row>
    <row r="18" spans="1:9" x14ac:dyDescent="0.2">
      <c r="A18" s="27" t="s">
        <v>1376</v>
      </c>
      <c r="B18" s="27" t="s">
        <v>1377</v>
      </c>
      <c r="C18" s="27" t="s">
        <v>42</v>
      </c>
      <c r="D18" s="31">
        <v>4</v>
      </c>
      <c r="E18" s="29">
        <v>50.913400000000003</v>
      </c>
      <c r="F18" s="30">
        <v>1.2840100940102599</v>
      </c>
      <c r="G18" s="29">
        <v>4.9497</v>
      </c>
    </row>
    <row r="19" spans="1:9" x14ac:dyDescent="0.2">
      <c r="A19" s="27" t="s">
        <v>1392</v>
      </c>
      <c r="B19" s="27" t="s">
        <v>1393</v>
      </c>
      <c r="C19" s="27" t="s">
        <v>1294</v>
      </c>
      <c r="D19" s="31">
        <v>1</v>
      </c>
      <c r="E19" s="29">
        <v>12.38738</v>
      </c>
      <c r="F19" s="30">
        <v>0.312403433248236</v>
      </c>
      <c r="G19" s="29">
        <v>5.875</v>
      </c>
    </row>
    <row r="20" spans="1:9" x14ac:dyDescent="0.2">
      <c r="A20" s="27" t="s">
        <v>878</v>
      </c>
      <c r="B20" s="27" t="s">
        <v>879</v>
      </c>
      <c r="C20" s="27" t="s">
        <v>864</v>
      </c>
      <c r="D20" s="31">
        <v>1</v>
      </c>
      <c r="E20" s="29">
        <v>10.377000000000001</v>
      </c>
      <c r="F20" s="30">
        <v>0.26170267052572399</v>
      </c>
      <c r="G20" s="29">
        <v>6.0583</v>
      </c>
    </row>
    <row r="21" spans="1:9" ht="10.5" x14ac:dyDescent="0.25">
      <c r="A21" s="26" t="s">
        <v>43</v>
      </c>
      <c r="B21" s="26"/>
      <c r="C21" s="26"/>
      <c r="D21" s="32"/>
      <c r="E21" s="33">
        <f>SUM(E6:E20)</f>
        <v>3773.8604999999998</v>
      </c>
      <c r="F21" s="34">
        <f>SUM(F6:F20)</f>
        <v>95.174845431391191</v>
      </c>
      <c r="G21" s="33"/>
      <c r="H21" s="18"/>
      <c r="I21" s="18"/>
    </row>
    <row r="22" spans="1:9" x14ac:dyDescent="0.2">
      <c r="A22" s="27"/>
      <c r="B22" s="27"/>
      <c r="C22" s="27"/>
      <c r="D22" s="28"/>
      <c r="E22" s="29"/>
      <c r="F22" s="30"/>
      <c r="G22" s="29"/>
    </row>
    <row r="23" spans="1:9" ht="10.5" x14ac:dyDescent="0.25">
      <c r="A23" s="26" t="s">
        <v>48</v>
      </c>
      <c r="B23" s="26"/>
      <c r="C23" s="26"/>
      <c r="D23" s="32"/>
      <c r="E23" s="33">
        <f>E21</f>
        <v>3773.8604999999998</v>
      </c>
      <c r="F23" s="34">
        <f>F21</f>
        <v>95.174845431391191</v>
      </c>
      <c r="G23" s="33"/>
      <c r="H23" s="18"/>
      <c r="I23" s="18"/>
    </row>
    <row r="24" spans="1:9" ht="10.5" x14ac:dyDescent="0.25">
      <c r="A24" s="26"/>
      <c r="B24" s="26"/>
      <c r="C24" s="26"/>
      <c r="D24" s="32"/>
      <c r="E24" s="33"/>
      <c r="F24" s="34"/>
      <c r="G24" s="33"/>
      <c r="H24" s="18"/>
      <c r="I24" s="18"/>
    </row>
    <row r="25" spans="1:9" ht="10.5" x14ac:dyDescent="0.25">
      <c r="A25" s="26" t="s">
        <v>50</v>
      </c>
      <c r="B25" s="26"/>
      <c r="C25" s="26"/>
      <c r="D25" s="32"/>
      <c r="E25" s="33">
        <f>E27-(E21)</f>
        <v>191.32639670000026</v>
      </c>
      <c r="F25" s="34">
        <f>F27-(F21)</f>
        <v>4.8251545686088093</v>
      </c>
      <c r="G25" s="33"/>
      <c r="H25" s="18"/>
      <c r="I25" s="18"/>
    </row>
    <row r="26" spans="1:9" ht="10.5" x14ac:dyDescent="0.25">
      <c r="A26" s="26"/>
      <c r="B26" s="26"/>
      <c r="C26" s="26"/>
      <c r="D26" s="32"/>
      <c r="E26" s="33"/>
      <c r="F26" s="34"/>
      <c r="G26" s="33"/>
      <c r="H26" s="18"/>
      <c r="I26" s="18"/>
    </row>
    <row r="27" spans="1:9" ht="10.5" x14ac:dyDescent="0.25">
      <c r="A27" s="35" t="s">
        <v>49</v>
      </c>
      <c r="B27" s="35"/>
      <c r="C27" s="35"/>
      <c r="D27" s="36"/>
      <c r="E27" s="37">
        <v>3965.1868967</v>
      </c>
      <c r="F27" s="38">
        <v>100</v>
      </c>
      <c r="G27" s="37"/>
      <c r="H27" s="18"/>
      <c r="I27" s="18"/>
    </row>
    <row r="29" spans="1:9" ht="10.5" x14ac:dyDescent="0.25">
      <c r="A29" s="18" t="s">
        <v>766</v>
      </c>
    </row>
    <row r="31" spans="1:9" ht="10.5" x14ac:dyDescent="0.25">
      <c r="A31" s="18" t="s">
        <v>51</v>
      </c>
    </row>
    <row r="32" spans="1:9" ht="10.5" x14ac:dyDescent="0.25">
      <c r="A32" s="18" t="s">
        <v>713</v>
      </c>
    </row>
    <row r="33" spans="1:5" ht="10.5" x14ac:dyDescent="0.25">
      <c r="A33" s="18" t="s">
        <v>53</v>
      </c>
      <c r="B33" s="18"/>
      <c r="C33" s="39" t="s">
        <v>55</v>
      </c>
      <c r="D33" s="19" t="s">
        <v>714</v>
      </c>
    </row>
    <row r="34" spans="1:5" x14ac:dyDescent="0.2">
      <c r="A34" s="9" t="s">
        <v>71</v>
      </c>
      <c r="C34" s="40">
        <v>11.201700000000001</v>
      </c>
      <c r="D34" s="40">
        <v>11.9602</v>
      </c>
    </row>
    <row r="35" spans="1:5" x14ac:dyDescent="0.2">
      <c r="A35" s="9" t="s">
        <v>1386</v>
      </c>
      <c r="C35" s="40">
        <v>10.398400000000001</v>
      </c>
      <c r="D35" s="40">
        <v>11.1031</v>
      </c>
    </row>
    <row r="36" spans="1:5" x14ac:dyDescent="0.2">
      <c r="A36" s="9" t="s">
        <v>73</v>
      </c>
      <c r="C36" s="40">
        <v>10.389900000000001</v>
      </c>
      <c r="D36" s="40">
        <v>10.670500000000001</v>
      </c>
    </row>
    <row r="37" spans="1:5" x14ac:dyDescent="0.2">
      <c r="A37" s="9" t="s">
        <v>74</v>
      </c>
      <c r="C37" s="40">
        <v>11.2288</v>
      </c>
      <c r="D37" s="40">
        <v>12.001099999999999</v>
      </c>
    </row>
    <row r="38" spans="1:5" x14ac:dyDescent="0.2">
      <c r="A38" s="9" t="s">
        <v>78</v>
      </c>
      <c r="C38" s="40">
        <v>10.425000000000001</v>
      </c>
      <c r="D38" s="40">
        <v>11.1419</v>
      </c>
    </row>
    <row r="39" spans="1:5" x14ac:dyDescent="0.2">
      <c r="A39" s="9" t="s">
        <v>76</v>
      </c>
      <c r="C39" s="40">
        <v>10.4161</v>
      </c>
      <c r="D39" s="40">
        <v>10.7094</v>
      </c>
    </row>
    <row r="41" spans="1:5" ht="10.5" x14ac:dyDescent="0.25">
      <c r="A41" s="18" t="s">
        <v>715</v>
      </c>
    </row>
    <row r="42" spans="1:5" ht="10.5" x14ac:dyDescent="0.25">
      <c r="A42" s="81" t="s">
        <v>68</v>
      </c>
      <c r="B42" s="82"/>
      <c r="C42" s="43" t="s">
        <v>69</v>
      </c>
    </row>
    <row r="43" spans="1:5" x14ac:dyDescent="0.2">
      <c r="A43" s="77" t="s">
        <v>73</v>
      </c>
      <c r="B43" s="78"/>
      <c r="C43" s="44">
        <v>0.41</v>
      </c>
    </row>
    <row r="44" spans="1:5" x14ac:dyDescent="0.2">
      <c r="A44" s="77" t="s">
        <v>76</v>
      </c>
      <c r="B44" s="78"/>
      <c r="C44" s="44">
        <v>0.41</v>
      </c>
    </row>
    <row r="45" spans="1:5" x14ac:dyDescent="0.2">
      <c r="A45" s="9" t="s">
        <v>70</v>
      </c>
    </row>
    <row r="47" spans="1:5" ht="10.5" x14ac:dyDescent="0.25">
      <c r="A47" s="18" t="s">
        <v>785</v>
      </c>
      <c r="D47" s="42">
        <v>1.22859710043836</v>
      </c>
      <c r="E47" s="13" t="s">
        <v>58</v>
      </c>
    </row>
    <row r="49" spans="1:4" ht="10.5" x14ac:dyDescent="0.25">
      <c r="A49" s="18" t="s">
        <v>786</v>
      </c>
      <c r="D49" s="41" t="s">
        <v>57</v>
      </c>
    </row>
  </sheetData>
  <mergeCells count="4">
    <mergeCell ref="A1:G1"/>
    <mergeCell ref="A42:B42"/>
    <mergeCell ref="A43:B43"/>
    <mergeCell ref="A44:B44"/>
  </mergeCells>
  <conditionalFormatting sqref="F2:F3 F5:F65536">
    <cfRule type="cellIs" dxfId="5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8"/>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1394</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1395</v>
      </c>
      <c r="B7" s="27" t="s">
        <v>1396</v>
      </c>
      <c r="C7" s="27" t="s">
        <v>42</v>
      </c>
      <c r="D7" s="31">
        <v>23</v>
      </c>
      <c r="E7" s="29">
        <v>290.20825000000002</v>
      </c>
      <c r="F7" s="30">
        <v>11.968580034118199</v>
      </c>
      <c r="G7" s="29">
        <v>4.9497</v>
      </c>
    </row>
    <row r="8" spans="1:7" x14ac:dyDescent="0.2">
      <c r="A8" s="27" t="s">
        <v>1397</v>
      </c>
      <c r="B8" s="27" t="s">
        <v>1398</v>
      </c>
      <c r="C8" s="27" t="s">
        <v>42</v>
      </c>
      <c r="D8" s="31">
        <v>23</v>
      </c>
      <c r="E8" s="29">
        <v>288.56605000000002</v>
      </c>
      <c r="F8" s="30">
        <v>11.9008534890182</v>
      </c>
      <c r="G8" s="29">
        <v>4.8250000000000002</v>
      </c>
    </row>
    <row r="9" spans="1:7" x14ac:dyDescent="0.2">
      <c r="A9" s="27" t="s">
        <v>1382</v>
      </c>
      <c r="B9" s="27" t="s">
        <v>1383</v>
      </c>
      <c r="C9" s="27" t="s">
        <v>851</v>
      </c>
      <c r="D9" s="31">
        <v>24</v>
      </c>
      <c r="E9" s="29">
        <v>252.88560000000001</v>
      </c>
      <c r="F9" s="30">
        <v>10.429343559585201</v>
      </c>
      <c r="G9" s="29">
        <v>4.3550000000000004</v>
      </c>
    </row>
    <row r="10" spans="1:7" x14ac:dyDescent="0.2">
      <c r="A10" s="27" t="s">
        <v>1390</v>
      </c>
      <c r="B10" s="27" t="s">
        <v>1391</v>
      </c>
      <c r="C10" s="27" t="s">
        <v>42</v>
      </c>
      <c r="D10" s="31">
        <v>24</v>
      </c>
      <c r="E10" s="29">
        <v>251.61024</v>
      </c>
      <c r="F10" s="30">
        <v>10.3767459913482</v>
      </c>
      <c r="G10" s="29">
        <v>3.99</v>
      </c>
    </row>
    <row r="11" spans="1:7" x14ac:dyDescent="0.2">
      <c r="A11" s="27" t="s">
        <v>1388</v>
      </c>
      <c r="B11" s="27" t="s">
        <v>1389</v>
      </c>
      <c r="C11" s="27" t="s">
        <v>42</v>
      </c>
      <c r="D11" s="31">
        <v>23</v>
      </c>
      <c r="E11" s="29">
        <v>243.20429999999999</v>
      </c>
      <c r="F11" s="30">
        <v>10.0300736770636</v>
      </c>
      <c r="G11" s="29">
        <v>4.2</v>
      </c>
    </row>
    <row r="12" spans="1:7" x14ac:dyDescent="0.2">
      <c r="A12" s="27" t="s">
        <v>901</v>
      </c>
      <c r="B12" s="27" t="s">
        <v>902</v>
      </c>
      <c r="C12" s="27" t="s">
        <v>42</v>
      </c>
      <c r="D12" s="31">
        <v>23</v>
      </c>
      <c r="E12" s="29">
        <v>241.08416</v>
      </c>
      <c r="F12" s="30">
        <v>9.9426362411067206</v>
      </c>
      <c r="G12" s="29">
        <v>4.0347999999999997</v>
      </c>
    </row>
    <row r="13" spans="1:7" x14ac:dyDescent="0.2">
      <c r="A13" s="27" t="s">
        <v>1392</v>
      </c>
      <c r="B13" s="27" t="s">
        <v>1393</v>
      </c>
      <c r="C13" s="27" t="s">
        <v>1294</v>
      </c>
      <c r="D13" s="31">
        <v>18</v>
      </c>
      <c r="E13" s="29">
        <v>222.97283999999999</v>
      </c>
      <c r="F13" s="30">
        <v>9.1957009525905402</v>
      </c>
      <c r="G13" s="29">
        <v>5.875</v>
      </c>
    </row>
    <row r="14" spans="1:7" x14ac:dyDescent="0.2">
      <c r="A14" s="27" t="s">
        <v>872</v>
      </c>
      <c r="B14" s="27" t="s">
        <v>873</v>
      </c>
      <c r="C14" s="27" t="s">
        <v>874</v>
      </c>
      <c r="D14" s="31">
        <v>21</v>
      </c>
      <c r="E14" s="29">
        <v>217.33592999999999</v>
      </c>
      <c r="F14" s="30">
        <v>8.9632271739156693</v>
      </c>
      <c r="G14" s="29">
        <v>5.8688000000000002</v>
      </c>
    </row>
    <row r="15" spans="1:7" x14ac:dyDescent="0.2">
      <c r="A15" s="27" t="s">
        <v>1384</v>
      </c>
      <c r="B15" s="27" t="s">
        <v>1385</v>
      </c>
      <c r="C15" s="27" t="s">
        <v>42</v>
      </c>
      <c r="D15" s="31">
        <v>14</v>
      </c>
      <c r="E15" s="29">
        <v>172.92408</v>
      </c>
      <c r="F15" s="30">
        <v>7.1316225204013302</v>
      </c>
      <c r="G15" s="29">
        <v>6.1646000000000001</v>
      </c>
    </row>
    <row r="16" spans="1:7" x14ac:dyDescent="0.2">
      <c r="A16" s="27" t="s">
        <v>882</v>
      </c>
      <c r="B16" s="27" t="s">
        <v>883</v>
      </c>
      <c r="C16" s="27" t="s">
        <v>42</v>
      </c>
      <c r="D16" s="31">
        <v>6</v>
      </c>
      <c r="E16" s="29">
        <v>62.968200000000003</v>
      </c>
      <c r="F16" s="30">
        <v>2.59689358005626</v>
      </c>
      <c r="G16" s="29">
        <v>4.3150000000000004</v>
      </c>
    </row>
    <row r="17" spans="1:9" x14ac:dyDescent="0.2">
      <c r="A17" s="27" t="s">
        <v>915</v>
      </c>
      <c r="B17" s="27" t="s">
        <v>916</v>
      </c>
      <c r="C17" s="27" t="s">
        <v>42</v>
      </c>
      <c r="D17" s="31">
        <v>3</v>
      </c>
      <c r="E17" s="29">
        <v>31.598790000000001</v>
      </c>
      <c r="F17" s="30">
        <v>1.3031767604687099</v>
      </c>
      <c r="G17" s="29">
        <v>4.125</v>
      </c>
    </row>
    <row r="18" spans="1:9" x14ac:dyDescent="0.2">
      <c r="A18" s="27" t="s">
        <v>884</v>
      </c>
      <c r="B18" s="27" t="s">
        <v>885</v>
      </c>
      <c r="C18" s="27" t="s">
        <v>42</v>
      </c>
      <c r="D18" s="31">
        <v>2</v>
      </c>
      <c r="E18" s="29">
        <v>20.937840000000001</v>
      </c>
      <c r="F18" s="30">
        <v>0.86350478934200403</v>
      </c>
      <c r="G18" s="29">
        <v>4.0149999999999997</v>
      </c>
    </row>
    <row r="19" spans="1:9" x14ac:dyDescent="0.2">
      <c r="A19" s="27" t="s">
        <v>1399</v>
      </c>
      <c r="B19" s="27" t="s">
        <v>1400</v>
      </c>
      <c r="C19" s="27" t="s">
        <v>851</v>
      </c>
      <c r="D19" s="31">
        <v>1</v>
      </c>
      <c r="E19" s="29">
        <v>10.68538</v>
      </c>
      <c r="F19" s="30">
        <v>0.44067949730914302</v>
      </c>
      <c r="G19" s="29">
        <v>5.4</v>
      </c>
    </row>
    <row r="20" spans="1:9" ht="10.5" x14ac:dyDescent="0.25">
      <c r="A20" s="26" t="s">
        <v>43</v>
      </c>
      <c r="B20" s="26"/>
      <c r="C20" s="26"/>
      <c r="D20" s="32"/>
      <c r="E20" s="33">
        <f>SUM(E6:E19)</f>
        <v>2306.9816599999995</v>
      </c>
      <c r="F20" s="34">
        <f>SUM(F6:F19)</f>
        <v>95.143038266323799</v>
      </c>
      <c r="G20" s="33"/>
      <c r="H20" s="18"/>
      <c r="I20" s="18"/>
    </row>
    <row r="21" spans="1:9" x14ac:dyDescent="0.2">
      <c r="A21" s="27"/>
      <c r="B21" s="27"/>
      <c r="C21" s="27"/>
      <c r="D21" s="28"/>
      <c r="E21" s="29"/>
      <c r="F21" s="30"/>
      <c r="G21" s="29"/>
    </row>
    <row r="22" spans="1:9" ht="10.5" x14ac:dyDescent="0.25">
      <c r="A22" s="26" t="s">
        <v>48</v>
      </c>
      <c r="B22" s="26"/>
      <c r="C22" s="26"/>
      <c r="D22" s="32"/>
      <c r="E22" s="33">
        <f>E20</f>
        <v>2306.9816599999995</v>
      </c>
      <c r="F22" s="34">
        <f>F20</f>
        <v>95.143038266323799</v>
      </c>
      <c r="G22" s="33"/>
      <c r="H22" s="18"/>
      <c r="I22" s="18"/>
    </row>
    <row r="23" spans="1:9" ht="10.5" x14ac:dyDescent="0.25">
      <c r="A23" s="26"/>
      <c r="B23" s="26"/>
      <c r="C23" s="26"/>
      <c r="D23" s="32"/>
      <c r="E23" s="33"/>
      <c r="F23" s="34"/>
      <c r="G23" s="33"/>
      <c r="H23" s="18"/>
      <c r="I23" s="18"/>
    </row>
    <row r="24" spans="1:9" ht="10.5" x14ac:dyDescent="0.25">
      <c r="A24" s="26" t="s">
        <v>50</v>
      </c>
      <c r="B24" s="26"/>
      <c r="C24" s="26"/>
      <c r="D24" s="32"/>
      <c r="E24" s="33">
        <f>E26-(E20)</f>
        <v>117.76922250000052</v>
      </c>
      <c r="F24" s="34">
        <f>F26-(F20)</f>
        <v>4.8569617336762008</v>
      </c>
      <c r="G24" s="33"/>
      <c r="H24" s="18"/>
      <c r="I24" s="18"/>
    </row>
    <row r="25" spans="1:9" ht="10.5" x14ac:dyDescent="0.25">
      <c r="A25" s="26"/>
      <c r="B25" s="26"/>
      <c r="C25" s="26"/>
      <c r="D25" s="32"/>
      <c r="E25" s="33"/>
      <c r="F25" s="34"/>
      <c r="G25" s="33"/>
      <c r="H25" s="18"/>
      <c r="I25" s="18"/>
    </row>
    <row r="26" spans="1:9" ht="10.5" x14ac:dyDescent="0.25">
      <c r="A26" s="35" t="s">
        <v>49</v>
      </c>
      <c r="B26" s="35"/>
      <c r="C26" s="35"/>
      <c r="D26" s="36"/>
      <c r="E26" s="37">
        <v>2424.7508825</v>
      </c>
      <c r="F26" s="38">
        <v>100</v>
      </c>
      <c r="G26" s="37"/>
      <c r="H26" s="18"/>
      <c r="I26" s="18"/>
    </row>
    <row r="28" spans="1:9" ht="10.5" x14ac:dyDescent="0.25">
      <c r="A28" s="18" t="s">
        <v>766</v>
      </c>
    </row>
    <row r="30" spans="1:9" ht="10.5" x14ac:dyDescent="0.25">
      <c r="A30" s="18" t="s">
        <v>51</v>
      </c>
    </row>
    <row r="31" spans="1:9" ht="10.5" x14ac:dyDescent="0.25">
      <c r="A31" s="18" t="s">
        <v>713</v>
      </c>
    </row>
    <row r="32" spans="1:9" ht="10.5" x14ac:dyDescent="0.25">
      <c r="A32" s="18" t="s">
        <v>53</v>
      </c>
      <c r="B32" s="18"/>
      <c r="C32" s="39" t="s">
        <v>55</v>
      </c>
      <c r="D32" s="19" t="s">
        <v>714</v>
      </c>
    </row>
    <row r="33" spans="1:5" x14ac:dyDescent="0.2">
      <c r="A33" s="9" t="s">
        <v>71</v>
      </c>
      <c r="C33" s="40">
        <v>11.257899999999999</v>
      </c>
      <c r="D33" s="40">
        <v>12.020799999999999</v>
      </c>
    </row>
    <row r="34" spans="1:5" x14ac:dyDescent="0.2">
      <c r="A34" s="9" t="s">
        <v>1386</v>
      </c>
      <c r="C34" s="40">
        <v>10.5021</v>
      </c>
      <c r="D34" s="40">
        <v>11.213800000000001</v>
      </c>
    </row>
    <row r="35" spans="1:5" x14ac:dyDescent="0.2">
      <c r="A35" s="9" t="s">
        <v>73</v>
      </c>
      <c r="C35" s="40">
        <v>10.2584</v>
      </c>
      <c r="D35" s="40">
        <v>10.5443</v>
      </c>
    </row>
    <row r="36" spans="1:5" x14ac:dyDescent="0.2">
      <c r="A36" s="9" t="s">
        <v>74</v>
      </c>
      <c r="C36" s="40">
        <v>11.2936</v>
      </c>
      <c r="D36" s="40">
        <v>12.0739</v>
      </c>
    </row>
    <row r="37" spans="1:5" x14ac:dyDescent="0.2">
      <c r="A37" s="9" t="s">
        <v>78</v>
      </c>
      <c r="C37" s="40">
        <v>10.5373</v>
      </c>
      <c r="D37" s="40">
        <v>11.265499999999999</v>
      </c>
    </row>
    <row r="38" spans="1:5" x14ac:dyDescent="0.2">
      <c r="A38" s="9" t="s">
        <v>76</v>
      </c>
      <c r="C38" s="40">
        <v>10.2928</v>
      </c>
      <c r="D38" s="40">
        <v>10.5946</v>
      </c>
    </row>
    <row r="40" spans="1:5" ht="10.5" x14ac:dyDescent="0.25">
      <c r="A40" s="18" t="s">
        <v>715</v>
      </c>
    </row>
    <row r="41" spans="1:5" ht="10.5" x14ac:dyDescent="0.25">
      <c r="A41" s="81" t="s">
        <v>68</v>
      </c>
      <c r="B41" s="82"/>
      <c r="C41" s="43" t="s">
        <v>69</v>
      </c>
    </row>
    <row r="42" spans="1:5" x14ac:dyDescent="0.2">
      <c r="A42" s="77" t="s">
        <v>73</v>
      </c>
      <c r="B42" s="78"/>
      <c r="C42" s="44">
        <v>0.40500000000000003</v>
      </c>
    </row>
    <row r="43" spans="1:5" x14ac:dyDescent="0.2">
      <c r="A43" s="77" t="s">
        <v>76</v>
      </c>
      <c r="B43" s="78"/>
      <c r="C43" s="44">
        <v>0.40500000000000003</v>
      </c>
    </row>
    <row r="44" spans="1:5" x14ac:dyDescent="0.2">
      <c r="A44" s="9" t="s">
        <v>70</v>
      </c>
    </row>
    <row r="46" spans="1:5" ht="10.5" x14ac:dyDescent="0.25">
      <c r="A46" s="18" t="s">
        <v>785</v>
      </c>
      <c r="D46" s="42">
        <v>1.2729944476986299</v>
      </c>
      <c r="E46" s="13" t="s">
        <v>58</v>
      </c>
    </row>
    <row r="48" spans="1:5" ht="10.5" x14ac:dyDescent="0.25">
      <c r="A48" s="18" t="s">
        <v>786</v>
      </c>
      <c r="D48" s="41" t="s">
        <v>57</v>
      </c>
    </row>
  </sheetData>
  <mergeCells count="4">
    <mergeCell ref="A1:G1"/>
    <mergeCell ref="A41:B41"/>
    <mergeCell ref="A42:B42"/>
    <mergeCell ref="A43:B43"/>
  </mergeCells>
  <conditionalFormatting sqref="F2:F3 F5:F65536">
    <cfRule type="cellIs" dxfId="5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1401</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1395</v>
      </c>
      <c r="B7" s="27" t="s">
        <v>1396</v>
      </c>
      <c r="C7" s="27" t="s">
        <v>42</v>
      </c>
      <c r="D7" s="31">
        <v>68</v>
      </c>
      <c r="E7" s="29">
        <v>858.00699999999995</v>
      </c>
      <c r="F7" s="30">
        <v>11.867239295767201</v>
      </c>
      <c r="G7" s="29">
        <v>4.9497</v>
      </c>
    </row>
    <row r="8" spans="1:7" x14ac:dyDescent="0.2">
      <c r="A8" s="27" t="s">
        <v>1382</v>
      </c>
      <c r="B8" s="27" t="s">
        <v>1383</v>
      </c>
      <c r="C8" s="27" t="s">
        <v>851</v>
      </c>
      <c r="D8" s="31">
        <v>71</v>
      </c>
      <c r="E8" s="29">
        <v>748.11990000000003</v>
      </c>
      <c r="F8" s="30">
        <v>10.347372311910499</v>
      </c>
      <c r="G8" s="29">
        <v>4.3550000000000004</v>
      </c>
    </row>
    <row r="9" spans="1:7" x14ac:dyDescent="0.2">
      <c r="A9" s="27" t="s">
        <v>1390</v>
      </c>
      <c r="B9" s="27" t="s">
        <v>1391</v>
      </c>
      <c r="C9" s="27" t="s">
        <v>42</v>
      </c>
      <c r="D9" s="31">
        <v>71</v>
      </c>
      <c r="E9" s="29">
        <v>744.34695999999997</v>
      </c>
      <c r="F9" s="30">
        <v>10.2951881434497</v>
      </c>
      <c r="G9" s="29">
        <v>3.99</v>
      </c>
    </row>
    <row r="10" spans="1:7" x14ac:dyDescent="0.2">
      <c r="A10" s="27" t="s">
        <v>1388</v>
      </c>
      <c r="B10" s="27" t="s">
        <v>1389</v>
      </c>
      <c r="C10" s="27" t="s">
        <v>42</v>
      </c>
      <c r="D10" s="31">
        <v>70</v>
      </c>
      <c r="E10" s="29">
        <v>740.18700000000001</v>
      </c>
      <c r="F10" s="30">
        <v>10.2376510361991</v>
      </c>
      <c r="G10" s="29">
        <v>4.2</v>
      </c>
    </row>
    <row r="11" spans="1:7" x14ac:dyDescent="0.2">
      <c r="A11" s="27" t="s">
        <v>1402</v>
      </c>
      <c r="B11" s="27" t="s">
        <v>1403</v>
      </c>
      <c r="C11" s="27" t="s">
        <v>896</v>
      </c>
      <c r="D11" s="31">
        <v>70000</v>
      </c>
      <c r="E11" s="29">
        <v>738.56510000000003</v>
      </c>
      <c r="F11" s="30">
        <v>10.2152182641893</v>
      </c>
      <c r="G11" s="29">
        <v>5.0250000000000004</v>
      </c>
    </row>
    <row r="12" spans="1:7" x14ac:dyDescent="0.2">
      <c r="A12" s="27" t="s">
        <v>872</v>
      </c>
      <c r="B12" s="27" t="s">
        <v>873</v>
      </c>
      <c r="C12" s="27" t="s">
        <v>874</v>
      </c>
      <c r="D12" s="31">
        <v>70</v>
      </c>
      <c r="E12" s="29">
        <v>724.45309999999995</v>
      </c>
      <c r="F12" s="30">
        <v>10.0200328158865</v>
      </c>
      <c r="G12" s="29">
        <v>5.8688000000000002</v>
      </c>
    </row>
    <row r="13" spans="1:7" x14ac:dyDescent="0.2">
      <c r="A13" s="27" t="s">
        <v>901</v>
      </c>
      <c r="B13" s="27" t="s">
        <v>902</v>
      </c>
      <c r="C13" s="27" t="s">
        <v>42</v>
      </c>
      <c r="D13" s="31">
        <v>69</v>
      </c>
      <c r="E13" s="29">
        <v>723.25247999999999</v>
      </c>
      <c r="F13" s="30">
        <v>10.003426838495599</v>
      </c>
      <c r="G13" s="29">
        <v>4.0347999999999997</v>
      </c>
    </row>
    <row r="14" spans="1:7" x14ac:dyDescent="0.2">
      <c r="A14" s="27" t="s">
        <v>941</v>
      </c>
      <c r="B14" s="27" t="s">
        <v>942</v>
      </c>
      <c r="C14" s="27" t="s">
        <v>851</v>
      </c>
      <c r="D14" s="31">
        <v>47</v>
      </c>
      <c r="E14" s="29">
        <v>591.43436999999994</v>
      </c>
      <c r="F14" s="30">
        <v>8.1802283623925192</v>
      </c>
      <c r="G14" s="29">
        <v>5.9749999999999996</v>
      </c>
    </row>
    <row r="15" spans="1:7" x14ac:dyDescent="0.2">
      <c r="A15" s="27" t="s">
        <v>1399</v>
      </c>
      <c r="B15" s="27" t="s">
        <v>1400</v>
      </c>
      <c r="C15" s="27" t="s">
        <v>851</v>
      </c>
      <c r="D15" s="31">
        <v>31</v>
      </c>
      <c r="E15" s="29">
        <v>331.24678</v>
      </c>
      <c r="F15" s="30">
        <v>4.5815299924270496</v>
      </c>
      <c r="G15" s="29">
        <v>5.4</v>
      </c>
    </row>
    <row r="16" spans="1:7" x14ac:dyDescent="0.2">
      <c r="A16" s="27" t="s">
        <v>1392</v>
      </c>
      <c r="B16" s="27" t="s">
        <v>1393</v>
      </c>
      <c r="C16" s="27" t="s">
        <v>1294</v>
      </c>
      <c r="D16" s="31">
        <v>20</v>
      </c>
      <c r="E16" s="29">
        <v>247.74760000000001</v>
      </c>
      <c r="F16" s="30">
        <v>3.4266387735205099</v>
      </c>
      <c r="G16" s="29">
        <v>5.875</v>
      </c>
    </row>
    <row r="17" spans="1:9" x14ac:dyDescent="0.2">
      <c r="A17" s="27" t="s">
        <v>882</v>
      </c>
      <c r="B17" s="27" t="s">
        <v>883</v>
      </c>
      <c r="C17" s="27" t="s">
        <v>42</v>
      </c>
      <c r="D17" s="31">
        <v>22</v>
      </c>
      <c r="E17" s="29">
        <v>230.88339999999999</v>
      </c>
      <c r="F17" s="30">
        <v>3.19338718357815</v>
      </c>
      <c r="G17" s="29">
        <v>4.3150000000000004</v>
      </c>
    </row>
    <row r="18" spans="1:9" x14ac:dyDescent="0.2">
      <c r="A18" s="27" t="s">
        <v>995</v>
      </c>
      <c r="B18" s="27" t="s">
        <v>996</v>
      </c>
      <c r="C18" s="27" t="s">
        <v>997</v>
      </c>
      <c r="D18" s="31">
        <v>11</v>
      </c>
      <c r="E18" s="29">
        <v>118.27915</v>
      </c>
      <c r="F18" s="30">
        <v>1.63593884053387</v>
      </c>
      <c r="G18" s="29">
        <v>4.0750000000000002</v>
      </c>
    </row>
    <row r="19" spans="1:9" x14ac:dyDescent="0.2">
      <c r="A19" s="27" t="s">
        <v>1380</v>
      </c>
      <c r="B19" s="27" t="s">
        <v>1381</v>
      </c>
      <c r="C19" s="27" t="s">
        <v>42</v>
      </c>
      <c r="D19" s="31">
        <v>2</v>
      </c>
      <c r="E19" s="29">
        <v>25.09806</v>
      </c>
      <c r="F19" s="30">
        <v>0.34713549409215</v>
      </c>
      <c r="G19" s="29">
        <v>4.84</v>
      </c>
    </row>
    <row r="20" spans="1:9" x14ac:dyDescent="0.2">
      <c r="A20" s="27" t="s">
        <v>915</v>
      </c>
      <c r="B20" s="27" t="s">
        <v>916</v>
      </c>
      <c r="C20" s="27" t="s">
        <v>42</v>
      </c>
      <c r="D20" s="31">
        <v>1</v>
      </c>
      <c r="E20" s="29">
        <v>10.53293</v>
      </c>
      <c r="F20" s="30">
        <v>0.14568272845742</v>
      </c>
      <c r="G20" s="29">
        <v>4.125</v>
      </c>
    </row>
    <row r="21" spans="1:9" ht="10.5" x14ac:dyDescent="0.25">
      <c r="A21" s="26" t="s">
        <v>43</v>
      </c>
      <c r="B21" s="26"/>
      <c r="C21" s="26"/>
      <c r="D21" s="32"/>
      <c r="E21" s="33">
        <f>SUM(E6:E20)</f>
        <v>6832.1538300000002</v>
      </c>
      <c r="F21" s="34">
        <f>SUM(F6:F20)</f>
        <v>94.496670080899548</v>
      </c>
      <c r="G21" s="33"/>
      <c r="H21" s="18"/>
      <c r="I21" s="18"/>
    </row>
    <row r="22" spans="1:9" x14ac:dyDescent="0.2">
      <c r="A22" s="27"/>
      <c r="B22" s="27"/>
      <c r="C22" s="27"/>
      <c r="D22" s="28"/>
      <c r="E22" s="29"/>
      <c r="F22" s="30"/>
      <c r="G22" s="29"/>
    </row>
    <row r="23" spans="1:9" ht="10.5" x14ac:dyDescent="0.25">
      <c r="A23" s="26" t="s">
        <v>48</v>
      </c>
      <c r="B23" s="26"/>
      <c r="C23" s="26"/>
      <c r="D23" s="32"/>
      <c r="E23" s="33">
        <f>E21</f>
        <v>6832.1538300000002</v>
      </c>
      <c r="F23" s="34">
        <f>F21</f>
        <v>94.496670080899548</v>
      </c>
      <c r="G23" s="33"/>
      <c r="H23" s="18"/>
      <c r="I23" s="18"/>
    </row>
    <row r="24" spans="1:9" ht="10.5" x14ac:dyDescent="0.25">
      <c r="A24" s="26"/>
      <c r="B24" s="26"/>
      <c r="C24" s="26"/>
      <c r="D24" s="32"/>
      <c r="E24" s="33"/>
      <c r="F24" s="34"/>
      <c r="G24" s="33"/>
      <c r="H24" s="18"/>
      <c r="I24" s="18"/>
    </row>
    <row r="25" spans="1:9" ht="10.5" x14ac:dyDescent="0.25">
      <c r="A25" s="26" t="s">
        <v>50</v>
      </c>
      <c r="B25" s="26"/>
      <c r="C25" s="26"/>
      <c r="D25" s="32"/>
      <c r="E25" s="33">
        <f>E27-(E21)</f>
        <v>397.89334959999996</v>
      </c>
      <c r="F25" s="34">
        <f>F27-(F21)</f>
        <v>5.5033299191004517</v>
      </c>
      <c r="G25" s="33"/>
      <c r="H25" s="18"/>
      <c r="I25" s="18"/>
    </row>
    <row r="26" spans="1:9" ht="10.5" x14ac:dyDescent="0.25">
      <c r="A26" s="26"/>
      <c r="B26" s="26"/>
      <c r="C26" s="26"/>
      <c r="D26" s="32"/>
      <c r="E26" s="33"/>
      <c r="F26" s="34"/>
      <c r="G26" s="33"/>
      <c r="H26" s="18"/>
      <c r="I26" s="18"/>
    </row>
    <row r="27" spans="1:9" ht="10.5" x14ac:dyDescent="0.25">
      <c r="A27" s="35" t="s">
        <v>49</v>
      </c>
      <c r="B27" s="35"/>
      <c r="C27" s="35"/>
      <c r="D27" s="36"/>
      <c r="E27" s="37">
        <v>7230.0471796000002</v>
      </c>
      <c r="F27" s="38">
        <v>100</v>
      </c>
      <c r="G27" s="37"/>
      <c r="H27" s="18"/>
      <c r="I27" s="18"/>
    </row>
    <row r="29" spans="1:9" ht="10.5" x14ac:dyDescent="0.25">
      <c r="A29" s="18" t="s">
        <v>766</v>
      </c>
    </row>
    <row r="31" spans="1:9" ht="10.5" x14ac:dyDescent="0.25">
      <c r="A31" s="18" t="s">
        <v>51</v>
      </c>
    </row>
    <row r="32" spans="1:9" ht="10.5" x14ac:dyDescent="0.25">
      <c r="A32" s="18" t="s">
        <v>713</v>
      </c>
    </row>
    <row r="33" spans="1:5" ht="10.5" x14ac:dyDescent="0.25">
      <c r="A33" s="18" t="s">
        <v>53</v>
      </c>
      <c r="B33" s="18"/>
      <c r="C33" s="39" t="s">
        <v>55</v>
      </c>
      <c r="D33" s="19" t="s">
        <v>714</v>
      </c>
    </row>
    <row r="34" spans="1:5" x14ac:dyDescent="0.2">
      <c r="A34" s="9" t="s">
        <v>71</v>
      </c>
      <c r="C34" s="40">
        <v>11.285</v>
      </c>
      <c r="D34" s="40">
        <v>12.0441</v>
      </c>
    </row>
    <row r="35" spans="1:5" x14ac:dyDescent="0.2">
      <c r="A35" s="9" t="s">
        <v>1386</v>
      </c>
      <c r="C35" s="40">
        <v>10.499499999999999</v>
      </c>
      <c r="D35" s="40">
        <v>11.2058</v>
      </c>
    </row>
    <row r="36" spans="1:5" x14ac:dyDescent="0.2">
      <c r="A36" s="9" t="s">
        <v>73</v>
      </c>
      <c r="C36" s="40">
        <v>10.2593</v>
      </c>
      <c r="D36" s="40">
        <v>10.545199999999999</v>
      </c>
    </row>
    <row r="37" spans="1:5" x14ac:dyDescent="0.2">
      <c r="A37" s="9" t="s">
        <v>74</v>
      </c>
      <c r="C37" s="40">
        <v>11.321899999999999</v>
      </c>
      <c r="D37" s="40">
        <v>12.0985</v>
      </c>
    </row>
    <row r="38" spans="1:5" x14ac:dyDescent="0.2">
      <c r="A38" s="9" t="s">
        <v>78</v>
      </c>
      <c r="C38" s="40">
        <v>10.5358</v>
      </c>
      <c r="D38" s="40">
        <v>11.258699999999999</v>
      </c>
    </row>
    <row r="40" spans="1:5" ht="10.5" x14ac:dyDescent="0.25">
      <c r="A40" s="18" t="s">
        <v>715</v>
      </c>
    </row>
    <row r="41" spans="1:5" ht="10.5" x14ac:dyDescent="0.25">
      <c r="A41" s="81" t="s">
        <v>68</v>
      </c>
      <c r="B41" s="82"/>
      <c r="C41" s="43" t="s">
        <v>69</v>
      </c>
    </row>
    <row r="42" spans="1:5" x14ac:dyDescent="0.2">
      <c r="A42" s="77" t="s">
        <v>73</v>
      </c>
      <c r="B42" s="78"/>
      <c r="C42" s="44">
        <v>0.4</v>
      </c>
    </row>
    <row r="43" spans="1:5" x14ac:dyDescent="0.2">
      <c r="A43" s="9" t="s">
        <v>70</v>
      </c>
    </row>
    <row r="45" spans="1:5" ht="10.5" x14ac:dyDescent="0.25">
      <c r="A45" s="18" t="s">
        <v>785</v>
      </c>
      <c r="D45" s="42">
        <v>1.2659000999452099</v>
      </c>
      <c r="E45" s="13" t="s">
        <v>58</v>
      </c>
    </row>
    <row r="47" spans="1:5" ht="10.5" x14ac:dyDescent="0.25">
      <c r="A47" s="18" t="s">
        <v>786</v>
      </c>
      <c r="D47" s="41" t="s">
        <v>57</v>
      </c>
    </row>
  </sheetData>
  <mergeCells count="3">
    <mergeCell ref="A1:G1"/>
    <mergeCell ref="A41:B41"/>
    <mergeCell ref="A42:B42"/>
  </mergeCells>
  <conditionalFormatting sqref="F2:F3 F5:F65536">
    <cfRule type="cellIs" dxfId="4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2"/>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1404</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899</v>
      </c>
      <c r="B7" s="27" t="s">
        <v>900</v>
      </c>
      <c r="C7" s="27" t="s">
        <v>42</v>
      </c>
      <c r="D7" s="31">
        <v>37</v>
      </c>
      <c r="E7" s="29">
        <v>464.57607000000002</v>
      </c>
      <c r="F7" s="30">
        <v>12.050321841352901</v>
      </c>
      <c r="G7" s="29">
        <v>4.2763999999999998</v>
      </c>
    </row>
    <row r="8" spans="1:7" x14ac:dyDescent="0.2">
      <c r="A8" s="27" t="s">
        <v>998</v>
      </c>
      <c r="B8" s="27" t="s">
        <v>999</v>
      </c>
      <c r="C8" s="27" t="s">
        <v>896</v>
      </c>
      <c r="D8" s="31">
        <v>37</v>
      </c>
      <c r="E8" s="29">
        <v>389.77316999999999</v>
      </c>
      <c r="F8" s="30">
        <v>10.1100604334277</v>
      </c>
      <c r="G8" s="29">
        <v>4.2</v>
      </c>
    </row>
    <row r="9" spans="1:7" x14ac:dyDescent="0.2">
      <c r="A9" s="27" t="s">
        <v>1399</v>
      </c>
      <c r="B9" s="27" t="s">
        <v>1400</v>
      </c>
      <c r="C9" s="27" t="s">
        <v>851</v>
      </c>
      <c r="D9" s="31">
        <v>36</v>
      </c>
      <c r="E9" s="29">
        <v>384.67367999999999</v>
      </c>
      <c r="F9" s="30">
        <v>9.9777882401424502</v>
      </c>
      <c r="G9" s="29">
        <v>5.4</v>
      </c>
    </row>
    <row r="10" spans="1:7" x14ac:dyDescent="0.2">
      <c r="A10" s="27" t="s">
        <v>943</v>
      </c>
      <c r="B10" s="27" t="s">
        <v>944</v>
      </c>
      <c r="C10" s="27" t="s">
        <v>42</v>
      </c>
      <c r="D10" s="31">
        <v>37</v>
      </c>
      <c r="E10" s="29">
        <v>383.59787</v>
      </c>
      <c r="F10" s="30">
        <v>9.94988353824907</v>
      </c>
      <c r="G10" s="29">
        <v>4.5762999999999998</v>
      </c>
    </row>
    <row r="11" spans="1:7" x14ac:dyDescent="0.2">
      <c r="A11" s="27" t="s">
        <v>901</v>
      </c>
      <c r="B11" s="27" t="s">
        <v>902</v>
      </c>
      <c r="C11" s="27" t="s">
        <v>42</v>
      </c>
      <c r="D11" s="31">
        <v>36</v>
      </c>
      <c r="E11" s="29">
        <v>377.34912000000003</v>
      </c>
      <c r="F11" s="30">
        <v>9.7878014736129106</v>
      </c>
      <c r="G11" s="29">
        <v>4.0347999999999997</v>
      </c>
    </row>
    <row r="12" spans="1:7" x14ac:dyDescent="0.2">
      <c r="A12" s="27" t="s">
        <v>872</v>
      </c>
      <c r="B12" s="27" t="s">
        <v>873</v>
      </c>
      <c r="C12" s="27" t="s">
        <v>874</v>
      </c>
      <c r="D12" s="31">
        <v>33</v>
      </c>
      <c r="E12" s="29">
        <v>341.52789000000001</v>
      </c>
      <c r="F12" s="30">
        <v>8.8586590185287992</v>
      </c>
      <c r="G12" s="29">
        <v>5.8688000000000002</v>
      </c>
    </row>
    <row r="13" spans="1:7" x14ac:dyDescent="0.2">
      <c r="A13" s="27" t="s">
        <v>915</v>
      </c>
      <c r="B13" s="27" t="s">
        <v>916</v>
      </c>
      <c r="C13" s="27" t="s">
        <v>42</v>
      </c>
      <c r="D13" s="31">
        <v>27</v>
      </c>
      <c r="E13" s="29">
        <v>284.38911000000002</v>
      </c>
      <c r="F13" s="30">
        <v>7.3765751724489599</v>
      </c>
      <c r="G13" s="29">
        <v>4.125</v>
      </c>
    </row>
    <row r="14" spans="1:7" x14ac:dyDescent="0.2">
      <c r="A14" s="27" t="s">
        <v>1405</v>
      </c>
      <c r="B14" s="27" t="s">
        <v>1406</v>
      </c>
      <c r="C14" s="27" t="s">
        <v>42</v>
      </c>
      <c r="D14" s="31">
        <v>21</v>
      </c>
      <c r="E14" s="29">
        <v>262.96746000000002</v>
      </c>
      <c r="F14" s="30">
        <v>6.8209336025488696</v>
      </c>
      <c r="G14" s="29">
        <v>6.1897000000000002</v>
      </c>
    </row>
    <row r="15" spans="1:7" x14ac:dyDescent="0.2">
      <c r="A15" s="27" t="s">
        <v>929</v>
      </c>
      <c r="B15" s="27" t="s">
        <v>930</v>
      </c>
      <c r="C15" s="27" t="s">
        <v>896</v>
      </c>
      <c r="D15" s="31">
        <v>20</v>
      </c>
      <c r="E15" s="29">
        <v>211.32060000000001</v>
      </c>
      <c r="F15" s="30">
        <v>5.4813009238891697</v>
      </c>
      <c r="G15" s="29">
        <v>4.0049999999999999</v>
      </c>
    </row>
    <row r="16" spans="1:7" x14ac:dyDescent="0.2">
      <c r="A16" s="27" t="s">
        <v>941</v>
      </c>
      <c r="B16" s="27" t="s">
        <v>942</v>
      </c>
      <c r="C16" s="27" t="s">
        <v>851</v>
      </c>
      <c r="D16" s="31">
        <v>12</v>
      </c>
      <c r="E16" s="29">
        <v>151.00452000000001</v>
      </c>
      <c r="F16" s="30">
        <v>3.91680326001081</v>
      </c>
      <c r="G16" s="29">
        <v>5.9749999999999996</v>
      </c>
    </row>
    <row r="17" spans="1:9" x14ac:dyDescent="0.2">
      <c r="A17" s="27" t="s">
        <v>882</v>
      </c>
      <c r="B17" s="27" t="s">
        <v>883</v>
      </c>
      <c r="C17" s="27" t="s">
        <v>42</v>
      </c>
      <c r="D17" s="31">
        <v>10</v>
      </c>
      <c r="E17" s="29">
        <v>104.947</v>
      </c>
      <c r="F17" s="30">
        <v>2.72214865971134</v>
      </c>
      <c r="G17" s="29">
        <v>4.3150000000000004</v>
      </c>
    </row>
    <row r="18" spans="1:9" x14ac:dyDescent="0.2">
      <c r="A18" s="27" t="s">
        <v>937</v>
      </c>
      <c r="B18" s="27" t="s">
        <v>938</v>
      </c>
      <c r="C18" s="27" t="s">
        <v>42</v>
      </c>
      <c r="D18" s="31">
        <v>8</v>
      </c>
      <c r="E18" s="29">
        <v>100.88248</v>
      </c>
      <c r="F18" s="30">
        <v>2.6167218474120899</v>
      </c>
      <c r="G18" s="29">
        <v>4.1749999999999998</v>
      </c>
    </row>
    <row r="19" spans="1:9" x14ac:dyDescent="0.2">
      <c r="A19" s="27" t="s">
        <v>1376</v>
      </c>
      <c r="B19" s="27" t="s">
        <v>1377</v>
      </c>
      <c r="C19" s="27" t="s">
        <v>42</v>
      </c>
      <c r="D19" s="31">
        <v>3</v>
      </c>
      <c r="E19" s="29">
        <v>38.185049999999997</v>
      </c>
      <c r="F19" s="30">
        <v>0.99045596995160001</v>
      </c>
      <c r="G19" s="29">
        <v>4.9497</v>
      </c>
    </row>
    <row r="20" spans="1:9" x14ac:dyDescent="0.2">
      <c r="A20" s="27" t="s">
        <v>1392</v>
      </c>
      <c r="B20" s="27" t="s">
        <v>1393</v>
      </c>
      <c r="C20" s="27" t="s">
        <v>1294</v>
      </c>
      <c r="D20" s="31">
        <v>3</v>
      </c>
      <c r="E20" s="29">
        <v>37.162140000000001</v>
      </c>
      <c r="F20" s="30">
        <v>0.96392340508070995</v>
      </c>
      <c r="G20" s="29">
        <v>5.875</v>
      </c>
    </row>
    <row r="21" spans="1:9" x14ac:dyDescent="0.2">
      <c r="A21" s="27" t="s">
        <v>1407</v>
      </c>
      <c r="B21" s="27" t="s">
        <v>1408</v>
      </c>
      <c r="C21" s="27" t="s">
        <v>851</v>
      </c>
      <c r="D21" s="31">
        <v>3</v>
      </c>
      <c r="E21" s="29">
        <v>31.470749999999999</v>
      </c>
      <c r="F21" s="30">
        <v>0.81629832136803004</v>
      </c>
      <c r="G21" s="29">
        <v>6.2718999999999996</v>
      </c>
    </row>
    <row r="22" spans="1:9" x14ac:dyDescent="0.2">
      <c r="A22" s="27" t="s">
        <v>884</v>
      </c>
      <c r="B22" s="27" t="s">
        <v>885</v>
      </c>
      <c r="C22" s="27" t="s">
        <v>42</v>
      </c>
      <c r="D22" s="31">
        <v>3</v>
      </c>
      <c r="E22" s="29">
        <v>31.406759999999998</v>
      </c>
      <c r="F22" s="30">
        <v>0.81463852839886597</v>
      </c>
      <c r="G22" s="29">
        <v>4.0149999999999997</v>
      </c>
    </row>
    <row r="23" spans="1:9" x14ac:dyDescent="0.2">
      <c r="A23" s="27" t="s">
        <v>1380</v>
      </c>
      <c r="B23" s="27" t="s">
        <v>1381</v>
      </c>
      <c r="C23" s="27" t="s">
        <v>42</v>
      </c>
      <c r="D23" s="31">
        <v>2</v>
      </c>
      <c r="E23" s="29">
        <v>25.09806</v>
      </c>
      <c r="F23" s="30">
        <v>0.65100146159828098</v>
      </c>
      <c r="G23" s="29">
        <v>4.84</v>
      </c>
    </row>
    <row r="24" spans="1:9" ht="10.5" x14ac:dyDescent="0.25">
      <c r="A24" s="26" t="s">
        <v>43</v>
      </c>
      <c r="B24" s="26"/>
      <c r="C24" s="26"/>
      <c r="D24" s="32"/>
      <c r="E24" s="33">
        <f>SUM(E6:E23)</f>
        <v>3620.3317299999999</v>
      </c>
      <c r="F24" s="34">
        <f>SUM(F6:F23)</f>
        <v>93.905315697732533</v>
      </c>
      <c r="G24" s="33"/>
      <c r="H24" s="18"/>
      <c r="I24" s="18"/>
    </row>
    <row r="25" spans="1:9" x14ac:dyDescent="0.2">
      <c r="A25" s="27"/>
      <c r="B25" s="27"/>
      <c r="C25" s="27"/>
      <c r="D25" s="28"/>
      <c r="E25" s="29"/>
      <c r="F25" s="30"/>
      <c r="G25" s="29"/>
    </row>
    <row r="26" spans="1:9" ht="10.5" x14ac:dyDescent="0.25">
      <c r="A26" s="26" t="s">
        <v>48</v>
      </c>
      <c r="B26" s="26"/>
      <c r="C26" s="26"/>
      <c r="D26" s="32"/>
      <c r="E26" s="33">
        <f>E24</f>
        <v>3620.3317299999999</v>
      </c>
      <c r="F26" s="34">
        <f>F24</f>
        <v>93.905315697732533</v>
      </c>
      <c r="G26" s="33"/>
      <c r="H26" s="18"/>
      <c r="I26" s="18"/>
    </row>
    <row r="27" spans="1:9" ht="10.5" x14ac:dyDescent="0.25">
      <c r="A27" s="26"/>
      <c r="B27" s="26"/>
      <c r="C27" s="26"/>
      <c r="D27" s="32"/>
      <c r="E27" s="33"/>
      <c r="F27" s="34"/>
      <c r="G27" s="33"/>
      <c r="H27" s="18"/>
      <c r="I27" s="18"/>
    </row>
    <row r="28" spans="1:9" ht="10.5" x14ac:dyDescent="0.25">
      <c r="A28" s="26" t="s">
        <v>50</v>
      </c>
      <c r="B28" s="26"/>
      <c r="C28" s="26"/>
      <c r="D28" s="32"/>
      <c r="E28" s="33">
        <f>E30-(E24)</f>
        <v>234.96837000000005</v>
      </c>
      <c r="F28" s="34">
        <f>F30-(F24)</f>
        <v>6.094684302267467</v>
      </c>
      <c r="G28" s="33"/>
      <c r="H28" s="18"/>
      <c r="I28" s="18"/>
    </row>
    <row r="29" spans="1:9" ht="10.5" x14ac:dyDescent="0.25">
      <c r="A29" s="26"/>
      <c r="B29" s="26"/>
      <c r="C29" s="26"/>
      <c r="D29" s="32"/>
      <c r="E29" s="33"/>
      <c r="F29" s="34"/>
      <c r="G29" s="33"/>
      <c r="H29" s="18"/>
      <c r="I29" s="18"/>
    </row>
    <row r="30" spans="1:9" ht="10.5" x14ac:dyDescent="0.25">
      <c r="A30" s="35" t="s">
        <v>49</v>
      </c>
      <c r="B30" s="35"/>
      <c r="C30" s="35"/>
      <c r="D30" s="36"/>
      <c r="E30" s="37">
        <v>3855.3000999999999</v>
      </c>
      <c r="F30" s="38">
        <v>100</v>
      </c>
      <c r="G30" s="37"/>
      <c r="H30" s="18"/>
      <c r="I30" s="18"/>
    </row>
    <row r="32" spans="1:9" ht="10.5" x14ac:dyDescent="0.25">
      <c r="A32" s="18" t="s">
        <v>766</v>
      </c>
    </row>
    <row r="34" spans="1:4" ht="10.5" x14ac:dyDescent="0.25">
      <c r="A34" s="18" t="s">
        <v>51</v>
      </c>
    </row>
    <row r="35" spans="1:4" ht="10.5" x14ac:dyDescent="0.25">
      <c r="A35" s="18" t="s">
        <v>713</v>
      </c>
    </row>
    <row r="36" spans="1:4" ht="10.5" x14ac:dyDescent="0.25">
      <c r="A36" s="18" t="s">
        <v>53</v>
      </c>
      <c r="B36" s="18"/>
      <c r="C36" s="39" t="s">
        <v>55</v>
      </c>
      <c r="D36" s="19" t="s">
        <v>714</v>
      </c>
    </row>
    <row r="37" spans="1:4" x14ac:dyDescent="0.2">
      <c r="A37" s="9" t="s">
        <v>71</v>
      </c>
      <c r="C37" s="40">
        <v>11.3828</v>
      </c>
      <c r="D37" s="40">
        <v>12.1309</v>
      </c>
    </row>
    <row r="38" spans="1:4" x14ac:dyDescent="0.2">
      <c r="A38" s="9" t="s">
        <v>1386</v>
      </c>
      <c r="C38" s="40">
        <v>10.561500000000001</v>
      </c>
      <c r="D38" s="40">
        <v>11.2554</v>
      </c>
    </row>
    <row r="39" spans="1:4" x14ac:dyDescent="0.2">
      <c r="A39" s="9" t="s">
        <v>73</v>
      </c>
      <c r="C39" s="40">
        <v>10.337899999999999</v>
      </c>
      <c r="D39" s="40">
        <v>10.6251</v>
      </c>
    </row>
    <row r="40" spans="1:4" x14ac:dyDescent="0.2">
      <c r="A40" s="9" t="s">
        <v>74</v>
      </c>
      <c r="C40" s="40">
        <v>11.4216</v>
      </c>
      <c r="D40" s="40">
        <v>12.1874</v>
      </c>
    </row>
    <row r="41" spans="1:4" x14ac:dyDescent="0.2">
      <c r="A41" s="9" t="s">
        <v>78</v>
      </c>
      <c r="C41" s="40">
        <v>10.5997</v>
      </c>
      <c r="D41" s="40">
        <v>11.310499999999999</v>
      </c>
    </row>
    <row r="42" spans="1:4" x14ac:dyDescent="0.2">
      <c r="A42" s="9" t="s">
        <v>76</v>
      </c>
      <c r="C42" s="40">
        <v>10.3764</v>
      </c>
      <c r="D42" s="40">
        <v>10.681699999999999</v>
      </c>
    </row>
    <row r="44" spans="1:4" ht="10.5" x14ac:dyDescent="0.25">
      <c r="A44" s="18" t="s">
        <v>715</v>
      </c>
    </row>
    <row r="45" spans="1:4" ht="10.5" x14ac:dyDescent="0.25">
      <c r="A45" s="81" t="s">
        <v>68</v>
      </c>
      <c r="B45" s="82"/>
      <c r="C45" s="43" t="s">
        <v>69</v>
      </c>
    </row>
    <row r="46" spans="1:4" x14ac:dyDescent="0.2">
      <c r="A46" s="77" t="s">
        <v>73</v>
      </c>
      <c r="B46" s="78"/>
      <c r="C46" s="44">
        <v>0.38500000000000001</v>
      </c>
    </row>
    <row r="47" spans="1:4" x14ac:dyDescent="0.2">
      <c r="A47" s="77" t="s">
        <v>76</v>
      </c>
      <c r="B47" s="78"/>
      <c r="C47" s="44">
        <v>0.38500000000000001</v>
      </c>
    </row>
    <row r="48" spans="1:4" x14ac:dyDescent="0.2">
      <c r="A48" s="9" t="s">
        <v>70</v>
      </c>
    </row>
    <row r="50" spans="1:5" ht="10.5" x14ac:dyDescent="0.25">
      <c r="A50" s="18" t="s">
        <v>785</v>
      </c>
      <c r="D50" s="42">
        <v>1.22119261572603</v>
      </c>
      <c r="E50" s="13" t="s">
        <v>58</v>
      </c>
    </row>
    <row r="52" spans="1:5" ht="10.5" x14ac:dyDescent="0.25">
      <c r="A52" s="18" t="s">
        <v>786</v>
      </c>
      <c r="D52" s="41" t="s">
        <v>57</v>
      </c>
    </row>
  </sheetData>
  <mergeCells count="4">
    <mergeCell ref="A1:G1"/>
    <mergeCell ref="A45:B45"/>
    <mergeCell ref="A46:B46"/>
    <mergeCell ref="A47:B47"/>
  </mergeCells>
  <conditionalFormatting sqref="F2:F3 F5:F65536">
    <cfRule type="cellIs" dxfId="4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1409</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899</v>
      </c>
      <c r="B7" s="27" t="s">
        <v>900</v>
      </c>
      <c r="C7" s="27" t="s">
        <v>42</v>
      </c>
      <c r="D7" s="31">
        <v>47</v>
      </c>
      <c r="E7" s="29">
        <v>590.13716999999997</v>
      </c>
      <c r="F7" s="30">
        <v>12.065013737094599</v>
      </c>
      <c r="G7" s="29">
        <v>4.2763999999999998</v>
      </c>
    </row>
    <row r="8" spans="1:7" x14ac:dyDescent="0.2">
      <c r="A8" s="27" t="s">
        <v>998</v>
      </c>
      <c r="B8" s="27" t="s">
        <v>999</v>
      </c>
      <c r="C8" s="27" t="s">
        <v>896</v>
      </c>
      <c r="D8" s="31">
        <v>47</v>
      </c>
      <c r="E8" s="29">
        <v>495.11727000000002</v>
      </c>
      <c r="F8" s="30">
        <v>10.1223867393792</v>
      </c>
      <c r="G8" s="29">
        <v>4.2</v>
      </c>
    </row>
    <row r="9" spans="1:7" x14ac:dyDescent="0.2">
      <c r="A9" s="27" t="s">
        <v>949</v>
      </c>
      <c r="B9" s="27" t="s">
        <v>950</v>
      </c>
      <c r="C9" s="27" t="s">
        <v>42</v>
      </c>
      <c r="D9" s="31">
        <v>47</v>
      </c>
      <c r="E9" s="29">
        <v>484.29270000000002</v>
      </c>
      <c r="F9" s="30">
        <v>9.90108465507201</v>
      </c>
      <c r="G9" s="29">
        <v>3.75</v>
      </c>
    </row>
    <row r="10" spans="1:7" x14ac:dyDescent="0.2">
      <c r="A10" s="27" t="s">
        <v>901</v>
      </c>
      <c r="B10" s="27" t="s">
        <v>902</v>
      </c>
      <c r="C10" s="27" t="s">
        <v>42</v>
      </c>
      <c r="D10" s="31">
        <v>46</v>
      </c>
      <c r="E10" s="29">
        <v>482.16831999999999</v>
      </c>
      <c r="F10" s="30">
        <v>9.8576529324391</v>
      </c>
      <c r="G10" s="29">
        <v>4.0347999999999997</v>
      </c>
    </row>
    <row r="11" spans="1:7" x14ac:dyDescent="0.2">
      <c r="A11" s="27" t="s">
        <v>941</v>
      </c>
      <c r="B11" s="27" t="s">
        <v>942</v>
      </c>
      <c r="C11" s="27" t="s">
        <v>851</v>
      </c>
      <c r="D11" s="31">
        <v>38</v>
      </c>
      <c r="E11" s="29">
        <v>478.18097999999998</v>
      </c>
      <c r="F11" s="30">
        <v>9.7761340681478295</v>
      </c>
      <c r="G11" s="29">
        <v>5.9749999999999996</v>
      </c>
    </row>
    <row r="12" spans="1:7" x14ac:dyDescent="0.2">
      <c r="A12" s="27" t="s">
        <v>884</v>
      </c>
      <c r="B12" s="27" t="s">
        <v>885</v>
      </c>
      <c r="C12" s="27" t="s">
        <v>42</v>
      </c>
      <c r="D12" s="31">
        <v>45</v>
      </c>
      <c r="E12" s="29">
        <v>471.10140000000001</v>
      </c>
      <c r="F12" s="30">
        <v>9.6313961422977101</v>
      </c>
      <c r="G12" s="29">
        <v>4.0149999999999997</v>
      </c>
    </row>
    <row r="13" spans="1:7" x14ac:dyDescent="0.2">
      <c r="A13" s="27" t="s">
        <v>1410</v>
      </c>
      <c r="B13" s="27" t="s">
        <v>1411</v>
      </c>
      <c r="C13" s="27" t="s">
        <v>42</v>
      </c>
      <c r="D13" s="31">
        <v>35</v>
      </c>
      <c r="E13" s="29">
        <v>374.09539999999998</v>
      </c>
      <c r="F13" s="30">
        <v>7.6481644767162997</v>
      </c>
      <c r="G13" s="29">
        <v>4.99</v>
      </c>
    </row>
    <row r="14" spans="1:7" x14ac:dyDescent="0.2">
      <c r="A14" s="27" t="s">
        <v>1405</v>
      </c>
      <c r="B14" s="27" t="s">
        <v>1406</v>
      </c>
      <c r="C14" s="27" t="s">
        <v>42</v>
      </c>
      <c r="D14" s="31">
        <v>29</v>
      </c>
      <c r="E14" s="29">
        <v>363.14553999999998</v>
      </c>
      <c r="F14" s="30">
        <v>7.4243009106927298</v>
      </c>
      <c r="G14" s="29">
        <v>6.1897000000000002</v>
      </c>
    </row>
    <row r="15" spans="1:7" x14ac:dyDescent="0.2">
      <c r="A15" s="27" t="s">
        <v>915</v>
      </c>
      <c r="B15" s="27" t="s">
        <v>916</v>
      </c>
      <c r="C15" s="27" t="s">
        <v>42</v>
      </c>
      <c r="D15" s="31">
        <v>24</v>
      </c>
      <c r="E15" s="29">
        <v>252.79032000000001</v>
      </c>
      <c r="F15" s="30">
        <v>5.16815214910888</v>
      </c>
      <c r="G15" s="29">
        <v>4.125</v>
      </c>
    </row>
    <row r="16" spans="1:7" x14ac:dyDescent="0.2">
      <c r="A16" s="27" t="s">
        <v>995</v>
      </c>
      <c r="B16" s="27" t="s">
        <v>996</v>
      </c>
      <c r="C16" s="27" t="s">
        <v>997</v>
      </c>
      <c r="D16" s="31">
        <v>22</v>
      </c>
      <c r="E16" s="29">
        <v>236.5583</v>
      </c>
      <c r="F16" s="30">
        <v>4.8362978714317197</v>
      </c>
      <c r="G16" s="29">
        <v>4.0750000000000002</v>
      </c>
    </row>
    <row r="17" spans="1:9" x14ac:dyDescent="0.2">
      <c r="A17" s="27" t="s">
        <v>943</v>
      </c>
      <c r="B17" s="27" t="s">
        <v>944</v>
      </c>
      <c r="C17" s="27" t="s">
        <v>42</v>
      </c>
      <c r="D17" s="31">
        <v>10</v>
      </c>
      <c r="E17" s="29">
        <v>103.6751</v>
      </c>
      <c r="F17" s="30">
        <v>2.1195775648137101</v>
      </c>
      <c r="G17" s="29">
        <v>4.5762999999999998</v>
      </c>
    </row>
    <row r="18" spans="1:9" x14ac:dyDescent="0.2">
      <c r="A18" s="27" t="s">
        <v>882</v>
      </c>
      <c r="B18" s="27" t="s">
        <v>883</v>
      </c>
      <c r="C18" s="27" t="s">
        <v>42</v>
      </c>
      <c r="D18" s="31">
        <v>8</v>
      </c>
      <c r="E18" s="29">
        <v>83.957599999999999</v>
      </c>
      <c r="F18" s="30">
        <v>1.71646466080673</v>
      </c>
      <c r="G18" s="29">
        <v>4.3150000000000004</v>
      </c>
    </row>
    <row r="19" spans="1:9" x14ac:dyDescent="0.2">
      <c r="A19" s="27" t="s">
        <v>872</v>
      </c>
      <c r="B19" s="27" t="s">
        <v>873</v>
      </c>
      <c r="C19" s="27" t="s">
        <v>874</v>
      </c>
      <c r="D19" s="31">
        <v>6</v>
      </c>
      <c r="E19" s="29">
        <v>62.095979999999997</v>
      </c>
      <c r="F19" s="30">
        <v>1.2695164612633201</v>
      </c>
      <c r="G19" s="29">
        <v>5.8688000000000002</v>
      </c>
    </row>
    <row r="20" spans="1:9" x14ac:dyDescent="0.2">
      <c r="A20" s="27" t="s">
        <v>1392</v>
      </c>
      <c r="B20" s="27" t="s">
        <v>1393</v>
      </c>
      <c r="C20" s="27" t="s">
        <v>1294</v>
      </c>
      <c r="D20" s="31">
        <v>5</v>
      </c>
      <c r="E20" s="29">
        <v>61.936900000000001</v>
      </c>
      <c r="F20" s="30">
        <v>1.26626416250489</v>
      </c>
      <c r="G20" s="29">
        <v>5.875</v>
      </c>
    </row>
    <row r="21" spans="1:9" x14ac:dyDescent="0.2">
      <c r="A21" s="27" t="s">
        <v>1399</v>
      </c>
      <c r="B21" s="27" t="s">
        <v>1400</v>
      </c>
      <c r="C21" s="27" t="s">
        <v>851</v>
      </c>
      <c r="D21" s="31">
        <v>4</v>
      </c>
      <c r="E21" s="29">
        <v>42.741520000000001</v>
      </c>
      <c r="F21" s="30">
        <v>0.87382570046266095</v>
      </c>
      <c r="G21" s="29">
        <v>5.4</v>
      </c>
    </row>
    <row r="22" spans="1:9" x14ac:dyDescent="0.2">
      <c r="A22" s="27" t="s">
        <v>1380</v>
      </c>
      <c r="B22" s="27" t="s">
        <v>1381</v>
      </c>
      <c r="C22" s="27" t="s">
        <v>42</v>
      </c>
      <c r="D22" s="31">
        <v>1</v>
      </c>
      <c r="E22" s="29">
        <v>12.54903</v>
      </c>
      <c r="F22" s="30">
        <v>0.25655767342567498</v>
      </c>
      <c r="G22" s="29">
        <v>4.84</v>
      </c>
    </row>
    <row r="23" spans="1:9" x14ac:dyDescent="0.2">
      <c r="A23" s="27" t="s">
        <v>878</v>
      </c>
      <c r="B23" s="27" t="s">
        <v>879</v>
      </c>
      <c r="C23" s="27" t="s">
        <v>864</v>
      </c>
      <c r="D23" s="31">
        <v>1</v>
      </c>
      <c r="E23" s="29">
        <v>10.377000000000001</v>
      </c>
      <c r="F23" s="30">
        <v>0.21215177405251501</v>
      </c>
      <c r="G23" s="29">
        <v>6.0583</v>
      </c>
    </row>
    <row r="24" spans="1:9" ht="10.5" x14ac:dyDescent="0.25">
      <c r="A24" s="26" t="s">
        <v>43</v>
      </c>
      <c r="B24" s="26"/>
      <c r="C24" s="26"/>
      <c r="D24" s="32"/>
      <c r="E24" s="33">
        <f>SUM(E6:E23)</f>
        <v>4604.9205300000003</v>
      </c>
      <c r="F24" s="34">
        <f>SUM(F6:F23)</f>
        <v>94.144941679709603</v>
      </c>
      <c r="G24" s="33"/>
      <c r="H24" s="18"/>
      <c r="I24" s="18"/>
    </row>
    <row r="25" spans="1:9" x14ac:dyDescent="0.2">
      <c r="A25" s="27"/>
      <c r="B25" s="27"/>
      <c r="C25" s="27"/>
      <c r="D25" s="28"/>
      <c r="E25" s="29"/>
      <c r="F25" s="30"/>
      <c r="G25" s="29"/>
    </row>
    <row r="26" spans="1:9" ht="10.5" x14ac:dyDescent="0.25">
      <c r="A26" s="26" t="s">
        <v>48</v>
      </c>
      <c r="B26" s="26"/>
      <c r="C26" s="26"/>
      <c r="D26" s="32"/>
      <c r="E26" s="33">
        <f>E24</f>
        <v>4604.9205300000003</v>
      </c>
      <c r="F26" s="34">
        <f>F24</f>
        <v>94.144941679709603</v>
      </c>
      <c r="G26" s="33"/>
      <c r="H26" s="18"/>
      <c r="I26" s="18"/>
    </row>
    <row r="27" spans="1:9" ht="10.5" x14ac:dyDescent="0.25">
      <c r="A27" s="26"/>
      <c r="B27" s="26"/>
      <c r="C27" s="26"/>
      <c r="D27" s="32"/>
      <c r="E27" s="33"/>
      <c r="F27" s="34"/>
      <c r="G27" s="33"/>
      <c r="H27" s="18"/>
      <c r="I27" s="18"/>
    </row>
    <row r="28" spans="1:9" ht="10.5" x14ac:dyDescent="0.25">
      <c r="A28" s="26" t="s">
        <v>50</v>
      </c>
      <c r="B28" s="26"/>
      <c r="C28" s="26"/>
      <c r="D28" s="32"/>
      <c r="E28" s="33">
        <f>E30-(E24)</f>
        <v>286.38902719999987</v>
      </c>
      <c r="F28" s="34">
        <f>F30-(F24)</f>
        <v>5.8550583202903965</v>
      </c>
      <c r="G28" s="33"/>
      <c r="H28" s="18"/>
      <c r="I28" s="18"/>
    </row>
    <row r="29" spans="1:9" ht="10.5" x14ac:dyDescent="0.25">
      <c r="A29" s="26"/>
      <c r="B29" s="26"/>
      <c r="C29" s="26"/>
      <c r="D29" s="32"/>
      <c r="E29" s="33"/>
      <c r="F29" s="34"/>
      <c r="G29" s="33"/>
      <c r="H29" s="18"/>
      <c r="I29" s="18"/>
    </row>
    <row r="30" spans="1:9" ht="10.5" x14ac:dyDescent="0.25">
      <c r="A30" s="35" t="s">
        <v>49</v>
      </c>
      <c r="B30" s="35"/>
      <c r="C30" s="35"/>
      <c r="D30" s="36"/>
      <c r="E30" s="37">
        <v>4891.3095572000002</v>
      </c>
      <c r="F30" s="38">
        <v>100</v>
      </c>
      <c r="G30" s="37"/>
      <c r="H30" s="18"/>
      <c r="I30" s="18"/>
    </row>
    <row r="32" spans="1:9" ht="10.5" x14ac:dyDescent="0.25">
      <c r="A32" s="18" t="s">
        <v>766</v>
      </c>
    </row>
    <row r="34" spans="1:5" ht="10.5" x14ac:dyDescent="0.25">
      <c r="A34" s="18" t="s">
        <v>51</v>
      </c>
    </row>
    <row r="35" spans="1:5" ht="10.5" x14ac:dyDescent="0.25">
      <c r="A35" s="18" t="s">
        <v>713</v>
      </c>
    </row>
    <row r="36" spans="1:5" ht="10.5" x14ac:dyDescent="0.25">
      <c r="A36" s="18" t="s">
        <v>53</v>
      </c>
      <c r="B36" s="18"/>
      <c r="C36" s="39" t="s">
        <v>55</v>
      </c>
      <c r="D36" s="19" t="s">
        <v>714</v>
      </c>
    </row>
    <row r="37" spans="1:5" x14ac:dyDescent="0.2">
      <c r="A37" s="9" t="s">
        <v>71</v>
      </c>
      <c r="C37" s="40">
        <v>11.4815</v>
      </c>
      <c r="D37" s="40">
        <v>12.2273</v>
      </c>
    </row>
    <row r="38" spans="1:5" x14ac:dyDescent="0.2">
      <c r="A38" s="9" t="s">
        <v>1386</v>
      </c>
      <c r="C38" s="40">
        <v>10.682600000000001</v>
      </c>
      <c r="D38" s="40">
        <v>11.3764</v>
      </c>
    </row>
    <row r="39" spans="1:5" x14ac:dyDescent="0.2">
      <c r="A39" s="9" t="s">
        <v>73</v>
      </c>
      <c r="C39" s="40">
        <v>10.464600000000001</v>
      </c>
      <c r="D39" s="40">
        <v>10.716799999999999</v>
      </c>
    </row>
    <row r="40" spans="1:5" x14ac:dyDescent="0.2">
      <c r="A40" s="9" t="s">
        <v>74</v>
      </c>
      <c r="C40" s="40">
        <v>11.53</v>
      </c>
      <c r="D40" s="40">
        <v>12.297499999999999</v>
      </c>
    </row>
    <row r="42" spans="1:5" ht="10.5" x14ac:dyDescent="0.25">
      <c r="A42" s="18" t="s">
        <v>715</v>
      </c>
    </row>
    <row r="43" spans="1:5" ht="10.5" x14ac:dyDescent="0.25">
      <c r="A43" s="81" t="s">
        <v>68</v>
      </c>
      <c r="B43" s="82"/>
      <c r="C43" s="43" t="s">
        <v>69</v>
      </c>
    </row>
    <row r="44" spans="1:5" x14ac:dyDescent="0.2">
      <c r="A44" s="77" t="s">
        <v>73</v>
      </c>
      <c r="B44" s="78"/>
      <c r="C44" s="44">
        <v>0.41499999999999998</v>
      </c>
    </row>
    <row r="45" spans="1:5" x14ac:dyDescent="0.2">
      <c r="A45" s="9" t="s">
        <v>70</v>
      </c>
    </row>
    <row r="47" spans="1:5" ht="10.5" x14ac:dyDescent="0.25">
      <c r="A47" s="18" t="s">
        <v>785</v>
      </c>
      <c r="D47" s="42">
        <v>1.2186493269862999</v>
      </c>
      <c r="E47" s="13" t="s">
        <v>58</v>
      </c>
    </row>
    <row r="49" spans="1:4" ht="10.5" x14ac:dyDescent="0.25">
      <c r="A49" s="18" t="s">
        <v>786</v>
      </c>
      <c r="D49" s="41" t="s">
        <v>57</v>
      </c>
    </row>
  </sheetData>
  <mergeCells count="3">
    <mergeCell ref="A1:G1"/>
    <mergeCell ref="A43:B43"/>
    <mergeCell ref="A44:B44"/>
  </mergeCells>
  <conditionalFormatting sqref="F2:F3 F5:F65536">
    <cfRule type="cellIs" dxfId="4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9"/>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1412</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941</v>
      </c>
      <c r="B7" s="27" t="s">
        <v>942</v>
      </c>
      <c r="C7" s="27" t="s">
        <v>851</v>
      </c>
      <c r="D7" s="31">
        <v>26</v>
      </c>
      <c r="E7" s="29">
        <v>327.17646000000002</v>
      </c>
      <c r="F7" s="30">
        <v>11.870558424190399</v>
      </c>
      <c r="G7" s="29">
        <v>5.9749999999999996</v>
      </c>
    </row>
    <row r="8" spans="1:7" x14ac:dyDescent="0.2">
      <c r="A8" s="27" t="s">
        <v>949</v>
      </c>
      <c r="B8" s="27" t="s">
        <v>950</v>
      </c>
      <c r="C8" s="27" t="s">
        <v>42</v>
      </c>
      <c r="D8" s="31">
        <v>28</v>
      </c>
      <c r="E8" s="29">
        <v>288.51479999999998</v>
      </c>
      <c r="F8" s="30">
        <v>10.467842917683001</v>
      </c>
      <c r="G8" s="29">
        <v>3.75</v>
      </c>
    </row>
    <row r="9" spans="1:7" x14ac:dyDescent="0.2">
      <c r="A9" s="27" t="s">
        <v>998</v>
      </c>
      <c r="B9" s="27" t="s">
        <v>999</v>
      </c>
      <c r="C9" s="27" t="s">
        <v>896</v>
      </c>
      <c r="D9" s="31">
        <v>27</v>
      </c>
      <c r="E9" s="29">
        <v>284.42907000000002</v>
      </c>
      <c r="F9" s="30">
        <v>10.319605184838601</v>
      </c>
      <c r="G9" s="29">
        <v>4.2</v>
      </c>
    </row>
    <row r="10" spans="1:7" x14ac:dyDescent="0.2">
      <c r="A10" s="27" t="s">
        <v>929</v>
      </c>
      <c r="B10" s="27" t="s">
        <v>930</v>
      </c>
      <c r="C10" s="27" t="s">
        <v>896</v>
      </c>
      <c r="D10" s="31">
        <v>26</v>
      </c>
      <c r="E10" s="29">
        <v>274.71678000000003</v>
      </c>
      <c r="F10" s="30">
        <v>9.9672255977567996</v>
      </c>
      <c r="G10" s="29">
        <v>4.0049999999999999</v>
      </c>
    </row>
    <row r="11" spans="1:7" x14ac:dyDescent="0.2">
      <c r="A11" s="27" t="s">
        <v>915</v>
      </c>
      <c r="B11" s="27" t="s">
        <v>916</v>
      </c>
      <c r="C11" s="27" t="s">
        <v>42</v>
      </c>
      <c r="D11" s="31">
        <v>26</v>
      </c>
      <c r="E11" s="29">
        <v>273.85617999999999</v>
      </c>
      <c r="F11" s="30">
        <v>9.9360014608495799</v>
      </c>
      <c r="G11" s="29">
        <v>4.125</v>
      </c>
    </row>
    <row r="12" spans="1:7" x14ac:dyDescent="0.2">
      <c r="A12" s="27" t="s">
        <v>1407</v>
      </c>
      <c r="B12" s="27" t="s">
        <v>1408</v>
      </c>
      <c r="C12" s="27" t="s">
        <v>851</v>
      </c>
      <c r="D12" s="31">
        <v>26</v>
      </c>
      <c r="E12" s="29">
        <v>272.74650000000003</v>
      </c>
      <c r="F12" s="30">
        <v>9.8957402474598499</v>
      </c>
      <c r="G12" s="29">
        <v>6.2718999999999996</v>
      </c>
    </row>
    <row r="13" spans="1:7" x14ac:dyDescent="0.2">
      <c r="A13" s="27" t="s">
        <v>901</v>
      </c>
      <c r="B13" s="27" t="s">
        <v>902</v>
      </c>
      <c r="C13" s="27" t="s">
        <v>42</v>
      </c>
      <c r="D13" s="31">
        <v>26</v>
      </c>
      <c r="E13" s="29">
        <v>272.52992</v>
      </c>
      <c r="F13" s="30">
        <v>9.8878823302261001</v>
      </c>
      <c r="G13" s="29">
        <v>4.0347999999999997</v>
      </c>
    </row>
    <row r="14" spans="1:7" x14ac:dyDescent="0.2">
      <c r="A14" s="27" t="s">
        <v>878</v>
      </c>
      <c r="B14" s="27" t="s">
        <v>879</v>
      </c>
      <c r="C14" s="27" t="s">
        <v>864</v>
      </c>
      <c r="D14" s="31">
        <v>24</v>
      </c>
      <c r="E14" s="29">
        <v>249.048</v>
      </c>
      <c r="F14" s="30">
        <v>9.0359154641741792</v>
      </c>
      <c r="G14" s="29">
        <v>6.0583</v>
      </c>
    </row>
    <row r="15" spans="1:7" x14ac:dyDescent="0.2">
      <c r="A15" s="27" t="s">
        <v>1390</v>
      </c>
      <c r="B15" s="27" t="s">
        <v>1391</v>
      </c>
      <c r="C15" s="27" t="s">
        <v>42</v>
      </c>
      <c r="D15" s="31">
        <v>12</v>
      </c>
      <c r="E15" s="29">
        <v>125.80512</v>
      </c>
      <c r="F15" s="30">
        <v>4.5644391012185901</v>
      </c>
      <c r="G15" s="29">
        <v>3.99</v>
      </c>
    </row>
    <row r="16" spans="1:7" x14ac:dyDescent="0.2">
      <c r="A16" s="27" t="s">
        <v>1405</v>
      </c>
      <c r="B16" s="27" t="s">
        <v>1406</v>
      </c>
      <c r="C16" s="27" t="s">
        <v>42</v>
      </c>
      <c r="D16" s="31">
        <v>10</v>
      </c>
      <c r="E16" s="29">
        <v>125.2226</v>
      </c>
      <c r="F16" s="30">
        <v>4.5433042136620099</v>
      </c>
      <c r="G16" s="29">
        <v>6.1897000000000002</v>
      </c>
    </row>
    <row r="17" spans="1:9" x14ac:dyDescent="0.2">
      <c r="A17" s="27" t="s">
        <v>1380</v>
      </c>
      <c r="B17" s="27" t="s">
        <v>1381</v>
      </c>
      <c r="C17" s="27" t="s">
        <v>42</v>
      </c>
      <c r="D17" s="31">
        <v>2</v>
      </c>
      <c r="E17" s="29">
        <v>25.09806</v>
      </c>
      <c r="F17" s="30">
        <v>0.91060337153790205</v>
      </c>
      <c r="G17" s="29">
        <v>4.84</v>
      </c>
    </row>
    <row r="18" spans="1:9" x14ac:dyDescent="0.2">
      <c r="A18" s="27" t="s">
        <v>1399</v>
      </c>
      <c r="B18" s="27" t="s">
        <v>1400</v>
      </c>
      <c r="C18" s="27" t="s">
        <v>851</v>
      </c>
      <c r="D18" s="31">
        <v>2</v>
      </c>
      <c r="E18" s="29">
        <v>21.370760000000001</v>
      </c>
      <c r="F18" s="30">
        <v>0.77537013252527598</v>
      </c>
      <c r="G18" s="29">
        <v>5.4</v>
      </c>
    </row>
    <row r="19" spans="1:9" ht="10.5" x14ac:dyDescent="0.25">
      <c r="A19" s="26" t="s">
        <v>43</v>
      </c>
      <c r="B19" s="26"/>
      <c r="C19" s="26"/>
      <c r="D19" s="32"/>
      <c r="E19" s="33">
        <f>SUM(E6:E18)</f>
        <v>2540.5142499999997</v>
      </c>
      <c r="F19" s="34">
        <f>SUM(F6:F18)</f>
        <v>92.174488446122311</v>
      </c>
      <c r="G19" s="33"/>
      <c r="H19" s="18"/>
      <c r="I19" s="18"/>
    </row>
    <row r="20" spans="1:9" x14ac:dyDescent="0.2">
      <c r="A20" s="27"/>
      <c r="B20" s="27"/>
      <c r="C20" s="27"/>
      <c r="D20" s="28"/>
      <c r="E20" s="29"/>
      <c r="F20" s="30"/>
      <c r="G20" s="29"/>
    </row>
    <row r="21" spans="1:9" ht="10.5" x14ac:dyDescent="0.25">
      <c r="A21" s="26" t="s">
        <v>48</v>
      </c>
      <c r="B21" s="26"/>
      <c r="C21" s="26"/>
      <c r="D21" s="32"/>
      <c r="E21" s="33">
        <f>E19</f>
        <v>2540.5142499999997</v>
      </c>
      <c r="F21" s="34">
        <f>F19</f>
        <v>92.174488446122311</v>
      </c>
      <c r="G21" s="33"/>
      <c r="H21" s="18"/>
      <c r="I21" s="18"/>
    </row>
    <row r="22" spans="1:9" ht="10.5" x14ac:dyDescent="0.25">
      <c r="A22" s="26"/>
      <c r="B22" s="26"/>
      <c r="C22" s="26"/>
      <c r="D22" s="32"/>
      <c r="E22" s="33"/>
      <c r="F22" s="34"/>
      <c r="G22" s="33"/>
      <c r="H22" s="18"/>
      <c r="I22" s="18"/>
    </row>
    <row r="23" spans="1:9" ht="10.5" x14ac:dyDescent="0.25">
      <c r="A23" s="26" t="s">
        <v>50</v>
      </c>
      <c r="B23" s="26"/>
      <c r="C23" s="26"/>
      <c r="D23" s="32"/>
      <c r="E23" s="33">
        <f>E25-(E19)</f>
        <v>215.6868343000001</v>
      </c>
      <c r="F23" s="34">
        <f>F25-(F19)</f>
        <v>7.8255115538776892</v>
      </c>
      <c r="G23" s="33"/>
      <c r="H23" s="18"/>
      <c r="I23" s="18"/>
    </row>
    <row r="24" spans="1:9" ht="10.5" x14ac:dyDescent="0.25">
      <c r="A24" s="26"/>
      <c r="B24" s="26"/>
      <c r="C24" s="26"/>
      <c r="D24" s="32"/>
      <c r="E24" s="33"/>
      <c r="F24" s="34"/>
      <c r="G24" s="33"/>
      <c r="H24" s="18"/>
      <c r="I24" s="18"/>
    </row>
    <row r="25" spans="1:9" ht="10.5" x14ac:dyDescent="0.25">
      <c r="A25" s="35" t="s">
        <v>49</v>
      </c>
      <c r="B25" s="35"/>
      <c r="C25" s="35"/>
      <c r="D25" s="36"/>
      <c r="E25" s="37">
        <v>2756.2010842999998</v>
      </c>
      <c r="F25" s="38">
        <v>100</v>
      </c>
      <c r="G25" s="37"/>
      <c r="H25" s="18"/>
      <c r="I25" s="18"/>
    </row>
    <row r="27" spans="1:9" ht="10.5" x14ac:dyDescent="0.25">
      <c r="A27" s="18" t="s">
        <v>766</v>
      </c>
    </row>
    <row r="29" spans="1:9" ht="10.5" x14ac:dyDescent="0.25">
      <c r="A29" s="18" t="s">
        <v>51</v>
      </c>
    </row>
    <row r="30" spans="1:9" ht="10.5" x14ac:dyDescent="0.25">
      <c r="A30" s="18" t="s">
        <v>713</v>
      </c>
    </row>
    <row r="31" spans="1:9" ht="10.5" x14ac:dyDescent="0.25">
      <c r="A31" s="18" t="s">
        <v>53</v>
      </c>
      <c r="B31" s="18"/>
      <c r="C31" s="39" t="s">
        <v>55</v>
      </c>
      <c r="D31" s="19" t="s">
        <v>714</v>
      </c>
    </row>
    <row r="32" spans="1:9" x14ac:dyDescent="0.2">
      <c r="A32" s="9" t="s">
        <v>71</v>
      </c>
      <c r="C32" s="40">
        <v>11.632899999999999</v>
      </c>
      <c r="D32" s="40">
        <v>12.3531</v>
      </c>
    </row>
    <row r="33" spans="1:5" x14ac:dyDescent="0.2">
      <c r="A33" s="9" t="s">
        <v>1386</v>
      </c>
      <c r="C33" s="40">
        <v>10.8103</v>
      </c>
      <c r="D33" s="40">
        <v>10.5608</v>
      </c>
    </row>
    <row r="34" spans="1:5" x14ac:dyDescent="0.2">
      <c r="A34" s="9" t="s">
        <v>73</v>
      </c>
      <c r="C34" s="40">
        <v>10.314399999999999</v>
      </c>
      <c r="D34" s="40">
        <v>10.544</v>
      </c>
    </row>
    <row r="35" spans="1:5" x14ac:dyDescent="0.2">
      <c r="A35" s="9" t="s">
        <v>74</v>
      </c>
      <c r="C35" s="40">
        <v>11.6853</v>
      </c>
      <c r="D35" s="40">
        <v>12.427300000000001</v>
      </c>
    </row>
    <row r="36" spans="1:5" x14ac:dyDescent="0.2">
      <c r="A36" s="9" t="s">
        <v>78</v>
      </c>
      <c r="C36" s="40">
        <v>10.8598</v>
      </c>
      <c r="D36" s="40">
        <v>10.628399999999999</v>
      </c>
    </row>
    <row r="37" spans="1:5" x14ac:dyDescent="0.2">
      <c r="A37" s="9" t="s">
        <v>76</v>
      </c>
      <c r="C37" s="40">
        <v>10.3645</v>
      </c>
      <c r="D37" s="40">
        <v>10.6135</v>
      </c>
    </row>
    <row r="39" spans="1:5" ht="10.5" x14ac:dyDescent="0.25">
      <c r="A39" s="18" t="s">
        <v>715</v>
      </c>
    </row>
    <row r="40" spans="1:5" ht="10.5" x14ac:dyDescent="0.25">
      <c r="A40" s="81" t="s">
        <v>68</v>
      </c>
      <c r="B40" s="82"/>
      <c r="C40" s="43" t="s">
        <v>69</v>
      </c>
    </row>
    <row r="41" spans="1:5" x14ac:dyDescent="0.2">
      <c r="A41" s="77" t="s">
        <v>1386</v>
      </c>
      <c r="B41" s="78"/>
      <c r="C41" s="44">
        <v>0.92</v>
      </c>
    </row>
    <row r="42" spans="1:5" x14ac:dyDescent="0.2">
      <c r="A42" s="77" t="s">
        <v>73</v>
      </c>
      <c r="B42" s="78"/>
      <c r="C42" s="44">
        <v>0.40500000000000003</v>
      </c>
    </row>
    <row r="43" spans="1:5" x14ac:dyDescent="0.2">
      <c r="A43" s="77" t="s">
        <v>78</v>
      </c>
      <c r="B43" s="78"/>
      <c r="C43" s="44">
        <v>0.92</v>
      </c>
    </row>
    <row r="44" spans="1:5" x14ac:dyDescent="0.2">
      <c r="A44" s="77" t="s">
        <v>76</v>
      </c>
      <c r="B44" s="78"/>
      <c r="C44" s="44">
        <v>0.40500000000000003</v>
      </c>
    </row>
    <row r="45" spans="1:5" x14ac:dyDescent="0.2">
      <c r="A45" s="9" t="s">
        <v>70</v>
      </c>
    </row>
    <row r="47" spans="1:5" ht="10.5" x14ac:dyDescent="0.25">
      <c r="A47" s="18" t="s">
        <v>785</v>
      </c>
      <c r="D47" s="42">
        <v>1.1629000972054799</v>
      </c>
      <c r="E47" s="13" t="s">
        <v>58</v>
      </c>
    </row>
    <row r="49" spans="1:4" ht="10.5" x14ac:dyDescent="0.25">
      <c r="A49" s="18" t="s">
        <v>786</v>
      </c>
      <c r="D49" s="41" t="s">
        <v>57</v>
      </c>
    </row>
  </sheetData>
  <mergeCells count="6">
    <mergeCell ref="A44:B44"/>
    <mergeCell ref="A1:G1"/>
    <mergeCell ref="A40:B40"/>
    <mergeCell ref="A41:B41"/>
    <mergeCell ref="A42:B42"/>
    <mergeCell ref="A43:B43"/>
  </mergeCells>
  <conditionalFormatting sqref="F2:F3 F5:F65536">
    <cfRule type="cellIs" dxfId="4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7"/>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1413</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941</v>
      </c>
      <c r="B7" s="27" t="s">
        <v>942</v>
      </c>
      <c r="C7" s="27" t="s">
        <v>851</v>
      </c>
      <c r="D7" s="31">
        <v>50</v>
      </c>
      <c r="E7" s="29">
        <v>629.18550000000005</v>
      </c>
      <c r="F7" s="30">
        <v>11.920750617085201</v>
      </c>
      <c r="G7" s="29">
        <v>5.9749999999999996</v>
      </c>
    </row>
    <row r="8" spans="1:7" x14ac:dyDescent="0.2">
      <c r="A8" s="27" t="s">
        <v>998</v>
      </c>
      <c r="B8" s="27" t="s">
        <v>999</v>
      </c>
      <c r="C8" s="27" t="s">
        <v>896</v>
      </c>
      <c r="D8" s="31">
        <v>50</v>
      </c>
      <c r="E8" s="29">
        <v>526.72050000000002</v>
      </c>
      <c r="F8" s="30">
        <v>9.9794158088615106</v>
      </c>
      <c r="G8" s="29">
        <v>4.2</v>
      </c>
    </row>
    <row r="9" spans="1:7" x14ac:dyDescent="0.2">
      <c r="A9" s="27" t="s">
        <v>915</v>
      </c>
      <c r="B9" s="27" t="s">
        <v>916</v>
      </c>
      <c r="C9" s="27" t="s">
        <v>42</v>
      </c>
      <c r="D9" s="31">
        <v>50</v>
      </c>
      <c r="E9" s="29">
        <v>526.64649999999995</v>
      </c>
      <c r="F9" s="30">
        <v>9.9780137810880394</v>
      </c>
      <c r="G9" s="29">
        <v>4.125</v>
      </c>
    </row>
    <row r="10" spans="1:7" x14ac:dyDescent="0.2">
      <c r="A10" s="27" t="s">
        <v>1414</v>
      </c>
      <c r="B10" s="27" t="s">
        <v>1415</v>
      </c>
      <c r="C10" s="27" t="s">
        <v>42</v>
      </c>
      <c r="D10" s="31">
        <v>50</v>
      </c>
      <c r="E10" s="29">
        <v>524.22050000000002</v>
      </c>
      <c r="F10" s="30">
        <v>9.9320500057037595</v>
      </c>
      <c r="G10" s="29">
        <v>4.2750000000000004</v>
      </c>
    </row>
    <row r="11" spans="1:7" x14ac:dyDescent="0.2">
      <c r="A11" s="27" t="s">
        <v>1416</v>
      </c>
      <c r="B11" s="27" t="s">
        <v>1417</v>
      </c>
      <c r="C11" s="27" t="s">
        <v>42</v>
      </c>
      <c r="D11" s="31">
        <v>50</v>
      </c>
      <c r="E11" s="29">
        <v>517.91600000000005</v>
      </c>
      <c r="F11" s="30">
        <v>9.8126029233005294</v>
      </c>
      <c r="G11" s="29">
        <v>3.99</v>
      </c>
    </row>
    <row r="12" spans="1:7" x14ac:dyDescent="0.2">
      <c r="A12" s="27" t="s">
        <v>995</v>
      </c>
      <c r="B12" s="27" t="s">
        <v>996</v>
      </c>
      <c r="C12" s="27" t="s">
        <v>997</v>
      </c>
      <c r="D12" s="31">
        <v>48</v>
      </c>
      <c r="E12" s="29">
        <v>516.12720000000002</v>
      </c>
      <c r="F12" s="30">
        <v>9.7787117438251006</v>
      </c>
      <c r="G12" s="29">
        <v>4.0750000000000002</v>
      </c>
    </row>
    <row r="13" spans="1:7" x14ac:dyDescent="0.2">
      <c r="A13" s="27" t="s">
        <v>901</v>
      </c>
      <c r="B13" s="27" t="s">
        <v>902</v>
      </c>
      <c r="C13" s="27" t="s">
        <v>42</v>
      </c>
      <c r="D13" s="31">
        <v>49</v>
      </c>
      <c r="E13" s="29">
        <v>513.61407999999994</v>
      </c>
      <c r="F13" s="30">
        <v>9.7310973649323707</v>
      </c>
      <c r="G13" s="29">
        <v>4.0347999999999997</v>
      </c>
    </row>
    <row r="14" spans="1:7" x14ac:dyDescent="0.2">
      <c r="A14" s="27" t="s">
        <v>929</v>
      </c>
      <c r="B14" s="27" t="s">
        <v>930</v>
      </c>
      <c r="C14" s="27" t="s">
        <v>896</v>
      </c>
      <c r="D14" s="31">
        <v>20</v>
      </c>
      <c r="E14" s="29">
        <v>211.32060000000001</v>
      </c>
      <c r="F14" s="30">
        <v>4.0037479771113897</v>
      </c>
      <c r="G14" s="29">
        <v>4.0049999999999999</v>
      </c>
    </row>
    <row r="15" spans="1:7" x14ac:dyDescent="0.2">
      <c r="A15" s="27" t="s">
        <v>1407</v>
      </c>
      <c r="B15" s="27" t="s">
        <v>1408</v>
      </c>
      <c r="C15" s="27" t="s">
        <v>851</v>
      </c>
      <c r="D15" s="31">
        <v>15</v>
      </c>
      <c r="E15" s="29">
        <v>157.35374999999999</v>
      </c>
      <c r="F15" s="30">
        <v>2.9812746994537802</v>
      </c>
      <c r="G15" s="29">
        <v>6.2718999999999996</v>
      </c>
    </row>
    <row r="16" spans="1:7" x14ac:dyDescent="0.2">
      <c r="A16" s="27" t="s">
        <v>1399</v>
      </c>
      <c r="B16" s="27" t="s">
        <v>1400</v>
      </c>
      <c r="C16" s="27" t="s">
        <v>851</v>
      </c>
      <c r="D16" s="31">
        <v>6</v>
      </c>
      <c r="E16" s="29">
        <v>64.112279999999998</v>
      </c>
      <c r="F16" s="30">
        <v>1.2146918537899201</v>
      </c>
      <c r="G16" s="29">
        <v>5.4</v>
      </c>
    </row>
    <row r="17" spans="1:9" x14ac:dyDescent="0.2">
      <c r="A17" s="27" t="s">
        <v>1390</v>
      </c>
      <c r="B17" s="27" t="s">
        <v>1391</v>
      </c>
      <c r="C17" s="27" t="s">
        <v>42</v>
      </c>
      <c r="D17" s="31">
        <v>4</v>
      </c>
      <c r="E17" s="29">
        <v>41.935040000000001</v>
      </c>
      <c r="F17" s="30">
        <v>0.79451474002101696</v>
      </c>
      <c r="G17" s="29">
        <v>3.99</v>
      </c>
    </row>
    <row r="18" spans="1:9" x14ac:dyDescent="0.2">
      <c r="A18" s="27" t="s">
        <v>1376</v>
      </c>
      <c r="B18" s="27" t="s">
        <v>1377</v>
      </c>
      <c r="C18" s="27" t="s">
        <v>42</v>
      </c>
      <c r="D18" s="31">
        <v>3</v>
      </c>
      <c r="E18" s="29">
        <v>38.185049999999997</v>
      </c>
      <c r="F18" s="30">
        <v>0.72346622474759803</v>
      </c>
      <c r="G18" s="29">
        <v>4.9497</v>
      </c>
    </row>
    <row r="19" spans="1:9" x14ac:dyDescent="0.2">
      <c r="A19" s="27" t="s">
        <v>1380</v>
      </c>
      <c r="B19" s="27" t="s">
        <v>1381</v>
      </c>
      <c r="C19" s="27" t="s">
        <v>42</v>
      </c>
      <c r="D19" s="31">
        <v>3</v>
      </c>
      <c r="E19" s="29">
        <v>37.647089999999999</v>
      </c>
      <c r="F19" s="30">
        <v>0.71327386176090002</v>
      </c>
      <c r="G19" s="29">
        <v>4.84</v>
      </c>
    </row>
    <row r="20" spans="1:9" x14ac:dyDescent="0.2">
      <c r="A20" s="27" t="s">
        <v>1392</v>
      </c>
      <c r="B20" s="27" t="s">
        <v>1393</v>
      </c>
      <c r="C20" s="27" t="s">
        <v>1294</v>
      </c>
      <c r="D20" s="31">
        <v>3</v>
      </c>
      <c r="E20" s="29">
        <v>37.162140000000001</v>
      </c>
      <c r="F20" s="30">
        <v>0.70408584326435897</v>
      </c>
      <c r="G20" s="29">
        <v>5.875</v>
      </c>
    </row>
    <row r="21" spans="1:9" x14ac:dyDescent="0.2">
      <c r="A21" s="27" t="s">
        <v>921</v>
      </c>
      <c r="B21" s="27" t="s">
        <v>922</v>
      </c>
      <c r="C21" s="27" t="s">
        <v>896</v>
      </c>
      <c r="D21" s="31">
        <v>2</v>
      </c>
      <c r="E21" s="29">
        <v>20.874120000000001</v>
      </c>
      <c r="F21" s="30">
        <v>0.39548778360453501</v>
      </c>
      <c r="G21" s="29">
        <v>3.9948999999999999</v>
      </c>
    </row>
    <row r="22" spans="1:9" x14ac:dyDescent="0.2">
      <c r="A22" s="27" t="s">
        <v>872</v>
      </c>
      <c r="B22" s="27" t="s">
        <v>873</v>
      </c>
      <c r="C22" s="27" t="s">
        <v>874</v>
      </c>
      <c r="D22" s="31">
        <v>1</v>
      </c>
      <c r="E22" s="29">
        <v>10.34933</v>
      </c>
      <c r="F22" s="30">
        <v>0.19608173103785501</v>
      </c>
      <c r="G22" s="29">
        <v>5.8688000000000002</v>
      </c>
    </row>
    <row r="23" spans="1:9" ht="10.5" x14ac:dyDescent="0.25">
      <c r="A23" s="26" t="s">
        <v>43</v>
      </c>
      <c r="B23" s="26"/>
      <c r="C23" s="26"/>
      <c r="D23" s="32"/>
      <c r="E23" s="33">
        <f>SUM(E6:E22)</f>
        <v>4373.3696800000016</v>
      </c>
      <c r="F23" s="34">
        <f>SUM(F6:F22)</f>
        <v>82.859266959587856</v>
      </c>
      <c r="G23" s="33"/>
      <c r="H23" s="18"/>
      <c r="I23" s="18"/>
    </row>
    <row r="24" spans="1:9" x14ac:dyDescent="0.2">
      <c r="A24" s="27"/>
      <c r="B24" s="27"/>
      <c r="C24" s="27"/>
      <c r="D24" s="28"/>
      <c r="E24" s="29"/>
      <c r="F24" s="30"/>
      <c r="G24" s="29"/>
    </row>
    <row r="25" spans="1:9" ht="10.5" x14ac:dyDescent="0.25">
      <c r="A25" s="26" t="s">
        <v>44</v>
      </c>
      <c r="B25" s="27"/>
      <c r="C25" s="27"/>
      <c r="D25" s="28"/>
      <c r="E25" s="29"/>
      <c r="F25" s="30"/>
      <c r="G25" s="29"/>
    </row>
    <row r="26" spans="1:9" x14ac:dyDescent="0.2">
      <c r="A26" s="27" t="s">
        <v>1418</v>
      </c>
      <c r="B26" s="27" t="s">
        <v>1419</v>
      </c>
      <c r="C26" s="27" t="s">
        <v>42</v>
      </c>
      <c r="D26" s="31">
        <v>50</v>
      </c>
      <c r="E26" s="29">
        <v>521.26700000000005</v>
      </c>
      <c r="F26" s="30">
        <v>9.8760920458531896</v>
      </c>
      <c r="G26" s="29">
        <v>4.9850000000000003</v>
      </c>
    </row>
    <row r="27" spans="1:9" ht="10.5" x14ac:dyDescent="0.25">
      <c r="A27" s="26" t="s">
        <v>43</v>
      </c>
      <c r="B27" s="26"/>
      <c r="C27" s="26"/>
      <c r="D27" s="32"/>
      <c r="E27" s="33">
        <f>SUM(E25:E26)</f>
        <v>521.26700000000005</v>
      </c>
      <c r="F27" s="34">
        <f>SUM(F25:F26)</f>
        <v>9.8760920458531896</v>
      </c>
      <c r="G27" s="33"/>
      <c r="H27" s="18"/>
      <c r="I27" s="18"/>
    </row>
    <row r="28" spans="1:9" x14ac:dyDescent="0.2">
      <c r="A28" s="27"/>
      <c r="B28" s="27"/>
      <c r="C28" s="27"/>
      <c r="D28" s="28"/>
      <c r="E28" s="29"/>
      <c r="F28" s="30"/>
      <c r="G28" s="29"/>
    </row>
    <row r="29" spans="1:9" ht="10.5" x14ac:dyDescent="0.25">
      <c r="A29" s="26" t="s">
        <v>48</v>
      </c>
      <c r="B29" s="26"/>
      <c r="C29" s="26"/>
      <c r="D29" s="32"/>
      <c r="E29" s="33">
        <f>E23+E27</f>
        <v>4894.6366800000014</v>
      </c>
      <c r="F29" s="34">
        <f>F23+F27</f>
        <v>92.73535900544104</v>
      </c>
      <c r="G29" s="33"/>
      <c r="H29" s="18"/>
      <c r="I29" s="18"/>
    </row>
    <row r="30" spans="1:9" ht="10.5" x14ac:dyDescent="0.25">
      <c r="A30" s="26"/>
      <c r="B30" s="26"/>
      <c r="C30" s="26"/>
      <c r="D30" s="32"/>
      <c r="E30" s="33"/>
      <c r="F30" s="34"/>
      <c r="G30" s="33"/>
      <c r="H30" s="18"/>
      <c r="I30" s="18"/>
    </row>
    <row r="31" spans="1:9" ht="10.5" x14ac:dyDescent="0.25">
      <c r="A31" s="26" t="s">
        <v>50</v>
      </c>
      <c r="B31" s="26"/>
      <c r="C31" s="26"/>
      <c r="D31" s="32"/>
      <c r="E31" s="33">
        <f>E33-(E23+E27)</f>
        <v>383.43279909999819</v>
      </c>
      <c r="F31" s="34">
        <f>F33-(F23+F27)</f>
        <v>7.2646409945589596</v>
      </c>
      <c r="G31" s="33"/>
      <c r="H31" s="18"/>
      <c r="I31" s="18"/>
    </row>
    <row r="32" spans="1:9" ht="10.5" x14ac:dyDescent="0.25">
      <c r="A32" s="26"/>
      <c r="B32" s="26"/>
      <c r="C32" s="26"/>
      <c r="D32" s="32"/>
      <c r="E32" s="33"/>
      <c r="F32" s="34"/>
      <c r="G32" s="33"/>
      <c r="H32" s="18"/>
      <c r="I32" s="18"/>
    </row>
    <row r="33" spans="1:9" ht="10.5" x14ac:dyDescent="0.25">
      <c r="A33" s="35" t="s">
        <v>49</v>
      </c>
      <c r="B33" s="35"/>
      <c r="C33" s="35"/>
      <c r="D33" s="36"/>
      <c r="E33" s="37">
        <v>5278.0694790999996</v>
      </c>
      <c r="F33" s="38">
        <v>100</v>
      </c>
      <c r="G33" s="37"/>
      <c r="H33" s="18"/>
      <c r="I33" s="18"/>
    </row>
    <row r="35" spans="1:9" ht="10.5" x14ac:dyDescent="0.25">
      <c r="A35" s="18" t="s">
        <v>766</v>
      </c>
    </row>
    <row r="37" spans="1:9" ht="10.5" x14ac:dyDescent="0.25">
      <c r="A37" s="18" t="s">
        <v>51</v>
      </c>
    </row>
    <row r="38" spans="1:9" ht="10.5" x14ac:dyDescent="0.25">
      <c r="A38" s="18" t="s">
        <v>713</v>
      </c>
    </row>
    <row r="39" spans="1:9" ht="10.5" x14ac:dyDescent="0.25">
      <c r="A39" s="18" t="s">
        <v>53</v>
      </c>
      <c r="B39" s="18"/>
      <c r="C39" s="39" t="s">
        <v>55</v>
      </c>
      <c r="D39" s="19" t="s">
        <v>714</v>
      </c>
    </row>
    <row r="40" spans="1:9" x14ac:dyDescent="0.2">
      <c r="A40" s="9" t="s">
        <v>71</v>
      </c>
      <c r="C40" s="40">
        <v>11.5631</v>
      </c>
      <c r="D40" s="40">
        <v>12.3522</v>
      </c>
    </row>
    <row r="41" spans="1:9" x14ac:dyDescent="0.2">
      <c r="A41" s="9" t="s">
        <v>1386</v>
      </c>
      <c r="C41" s="40">
        <v>10.774900000000001</v>
      </c>
      <c r="D41" s="40">
        <v>10.6214</v>
      </c>
    </row>
    <row r="42" spans="1:9" x14ac:dyDescent="0.2">
      <c r="A42" s="9" t="s">
        <v>73</v>
      </c>
      <c r="C42" s="40">
        <v>10.327999999999999</v>
      </c>
      <c r="D42" s="40">
        <v>10.600099999999999</v>
      </c>
    </row>
    <row r="43" spans="1:9" x14ac:dyDescent="0.2">
      <c r="A43" s="9" t="s">
        <v>74</v>
      </c>
      <c r="C43" s="40">
        <v>11.6853</v>
      </c>
      <c r="D43" s="40">
        <v>12.482699999999999</v>
      </c>
    </row>
    <row r="44" spans="1:9" x14ac:dyDescent="0.2">
      <c r="A44" s="9" t="s">
        <v>78</v>
      </c>
      <c r="C44" s="40">
        <v>10.791</v>
      </c>
      <c r="D44" s="40">
        <v>10.637</v>
      </c>
    </row>
    <row r="45" spans="1:9" x14ac:dyDescent="0.2">
      <c r="A45" s="9" t="s">
        <v>76</v>
      </c>
      <c r="C45" s="40">
        <v>10.3537</v>
      </c>
      <c r="D45" s="40">
        <v>10.626899999999999</v>
      </c>
    </row>
    <row r="47" spans="1:9" ht="10.5" x14ac:dyDescent="0.25">
      <c r="A47" s="18" t="s">
        <v>715</v>
      </c>
    </row>
    <row r="48" spans="1:9" ht="10.5" x14ac:dyDescent="0.25">
      <c r="A48" s="81" t="s">
        <v>68</v>
      </c>
      <c r="B48" s="82"/>
      <c r="C48" s="43" t="s">
        <v>69</v>
      </c>
    </row>
    <row r="49" spans="1:5" x14ac:dyDescent="0.2">
      <c r="A49" s="77" t="s">
        <v>1386</v>
      </c>
      <c r="B49" s="78"/>
      <c r="C49" s="44">
        <v>0.89</v>
      </c>
    </row>
    <row r="50" spans="1:5" x14ac:dyDescent="0.2">
      <c r="A50" s="77" t="s">
        <v>73</v>
      </c>
      <c r="B50" s="78"/>
      <c r="C50" s="44">
        <v>0.43</v>
      </c>
    </row>
    <row r="51" spans="1:5" x14ac:dyDescent="0.2">
      <c r="A51" s="77" t="s">
        <v>78</v>
      </c>
      <c r="B51" s="78"/>
      <c r="C51" s="44">
        <v>0.89</v>
      </c>
    </row>
    <row r="52" spans="1:5" x14ac:dyDescent="0.2">
      <c r="A52" s="77" t="s">
        <v>76</v>
      </c>
      <c r="B52" s="78"/>
      <c r="C52" s="44">
        <v>0.43</v>
      </c>
    </row>
    <row r="53" spans="1:5" x14ac:dyDescent="0.2">
      <c r="A53" s="9" t="s">
        <v>70</v>
      </c>
    </row>
    <row r="55" spans="1:5" ht="10.5" x14ac:dyDescent="0.25">
      <c r="A55" s="18" t="s">
        <v>785</v>
      </c>
      <c r="D55" s="42">
        <v>1.18769267227397</v>
      </c>
      <c r="E55" s="13" t="s">
        <v>58</v>
      </c>
    </row>
    <row r="57" spans="1:5" ht="10.5" x14ac:dyDescent="0.25">
      <c r="A57" s="18" t="s">
        <v>786</v>
      </c>
      <c r="D57" s="41" t="s">
        <v>57</v>
      </c>
    </row>
  </sheetData>
  <mergeCells count="6">
    <mergeCell ref="A52:B52"/>
    <mergeCell ref="A1:G1"/>
    <mergeCell ref="A48:B48"/>
    <mergeCell ref="A49:B49"/>
    <mergeCell ref="A50:B50"/>
    <mergeCell ref="A51:B51"/>
  </mergeCells>
  <conditionalFormatting sqref="F2:F3 F5:F65536">
    <cfRule type="cellIs" dxfId="4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7"/>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1420</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935</v>
      </c>
      <c r="B7" s="27" t="s">
        <v>936</v>
      </c>
      <c r="C7" s="27" t="s">
        <v>896</v>
      </c>
      <c r="D7" s="31">
        <v>31</v>
      </c>
      <c r="E7" s="29">
        <v>322.34233999999998</v>
      </c>
      <c r="F7" s="30">
        <v>9.9892878523137298</v>
      </c>
      <c r="G7" s="29">
        <v>3.66</v>
      </c>
    </row>
    <row r="8" spans="1:7" x14ac:dyDescent="0.2">
      <c r="A8" s="27" t="s">
        <v>931</v>
      </c>
      <c r="B8" s="27" t="s">
        <v>932</v>
      </c>
      <c r="C8" s="27" t="s">
        <v>42</v>
      </c>
      <c r="D8" s="31">
        <v>31</v>
      </c>
      <c r="E8" s="29">
        <v>318.60838999999999</v>
      </c>
      <c r="F8" s="30">
        <v>9.8735739148392199</v>
      </c>
      <c r="G8" s="29">
        <v>3.84</v>
      </c>
    </row>
    <row r="9" spans="1:7" x14ac:dyDescent="0.2">
      <c r="A9" s="27" t="s">
        <v>1421</v>
      </c>
      <c r="B9" s="27" t="s">
        <v>1422</v>
      </c>
      <c r="C9" s="27" t="s">
        <v>42</v>
      </c>
      <c r="D9" s="31">
        <v>31</v>
      </c>
      <c r="E9" s="29">
        <v>318.46733999999998</v>
      </c>
      <c r="F9" s="30">
        <v>9.8692028196502708</v>
      </c>
      <c r="G9" s="29">
        <v>3.6549</v>
      </c>
    </row>
    <row r="10" spans="1:7" x14ac:dyDescent="0.2">
      <c r="A10" s="27" t="s">
        <v>901</v>
      </c>
      <c r="B10" s="27" t="s">
        <v>902</v>
      </c>
      <c r="C10" s="27" t="s">
        <v>42</v>
      </c>
      <c r="D10" s="31">
        <v>30</v>
      </c>
      <c r="E10" s="29">
        <v>314.45760000000001</v>
      </c>
      <c r="F10" s="30">
        <v>9.7449422367155591</v>
      </c>
      <c r="G10" s="29">
        <v>4.0347999999999997</v>
      </c>
    </row>
    <row r="11" spans="1:7" x14ac:dyDescent="0.2">
      <c r="A11" s="27" t="s">
        <v>1362</v>
      </c>
      <c r="B11" s="27" t="s">
        <v>1363</v>
      </c>
      <c r="C11" s="27" t="s">
        <v>896</v>
      </c>
      <c r="D11" s="31">
        <v>26</v>
      </c>
      <c r="E11" s="29">
        <v>269.06464</v>
      </c>
      <c r="F11" s="30">
        <v>8.3382286665759295</v>
      </c>
      <c r="G11" s="29">
        <v>5.0522</v>
      </c>
    </row>
    <row r="12" spans="1:7" x14ac:dyDescent="0.2">
      <c r="A12" s="27" t="s">
        <v>1295</v>
      </c>
      <c r="B12" s="27" t="s">
        <v>1296</v>
      </c>
      <c r="C12" s="27" t="s">
        <v>42</v>
      </c>
      <c r="D12" s="31">
        <v>22</v>
      </c>
      <c r="E12" s="29">
        <v>226.45634000000001</v>
      </c>
      <c r="F12" s="30">
        <v>7.0178108350315602</v>
      </c>
      <c r="G12" s="29">
        <v>3.84</v>
      </c>
    </row>
    <row r="13" spans="1:7" x14ac:dyDescent="0.2">
      <c r="A13" s="27" t="s">
        <v>923</v>
      </c>
      <c r="B13" s="27" t="s">
        <v>924</v>
      </c>
      <c r="C13" s="27" t="s">
        <v>896</v>
      </c>
      <c r="D13" s="31">
        <v>16</v>
      </c>
      <c r="E13" s="29">
        <v>200.29808</v>
      </c>
      <c r="F13" s="30">
        <v>6.2071745752846601</v>
      </c>
      <c r="G13" s="29">
        <v>5.2949999999999999</v>
      </c>
    </row>
    <row r="14" spans="1:7" x14ac:dyDescent="0.2">
      <c r="A14" s="27" t="s">
        <v>1423</v>
      </c>
      <c r="B14" s="27" t="s">
        <v>1424</v>
      </c>
      <c r="C14" s="27" t="s">
        <v>896</v>
      </c>
      <c r="D14" s="31">
        <v>19</v>
      </c>
      <c r="E14" s="29">
        <v>196.73056</v>
      </c>
      <c r="F14" s="30">
        <v>6.0966182512259399</v>
      </c>
      <c r="G14" s="29">
        <v>3.65</v>
      </c>
    </row>
    <row r="15" spans="1:7" x14ac:dyDescent="0.2">
      <c r="A15" s="27" t="s">
        <v>1425</v>
      </c>
      <c r="B15" s="27" t="s">
        <v>1426</v>
      </c>
      <c r="C15" s="27" t="s">
        <v>42</v>
      </c>
      <c r="D15" s="31">
        <v>19</v>
      </c>
      <c r="E15" s="29">
        <v>196.33440999999999</v>
      </c>
      <c r="F15" s="30">
        <v>6.084341687177</v>
      </c>
      <c r="G15" s="29">
        <v>3.7749999999999999</v>
      </c>
    </row>
    <row r="16" spans="1:7" x14ac:dyDescent="0.2">
      <c r="A16" s="27" t="s">
        <v>1427</v>
      </c>
      <c r="B16" s="27" t="s">
        <v>1428</v>
      </c>
      <c r="C16" s="27" t="s">
        <v>42</v>
      </c>
      <c r="D16" s="31">
        <v>20</v>
      </c>
      <c r="E16" s="29">
        <v>193.41399999999999</v>
      </c>
      <c r="F16" s="30">
        <v>5.9938390987277899</v>
      </c>
      <c r="G16" s="29">
        <v>4.0750000000000002</v>
      </c>
    </row>
    <row r="17" spans="1:9" x14ac:dyDescent="0.2">
      <c r="A17" s="27" t="s">
        <v>1429</v>
      </c>
      <c r="B17" s="27" t="s">
        <v>1430</v>
      </c>
      <c r="C17" s="27" t="s">
        <v>42</v>
      </c>
      <c r="D17" s="31">
        <v>16</v>
      </c>
      <c r="E17" s="29">
        <v>162.91775999999999</v>
      </c>
      <c r="F17" s="30">
        <v>5.0487702015632303</v>
      </c>
      <c r="G17" s="29">
        <v>3.7149999999999999</v>
      </c>
    </row>
    <row r="18" spans="1:9" x14ac:dyDescent="0.2">
      <c r="A18" s="27" t="s">
        <v>1364</v>
      </c>
      <c r="B18" s="27" t="s">
        <v>1365</v>
      </c>
      <c r="C18" s="27" t="s">
        <v>42</v>
      </c>
      <c r="D18" s="31">
        <v>1</v>
      </c>
      <c r="E18" s="29">
        <v>101.70489999999999</v>
      </c>
      <c r="F18" s="30">
        <v>3.15180290026679</v>
      </c>
      <c r="G18" s="29">
        <v>3.51</v>
      </c>
    </row>
    <row r="19" spans="1:9" x14ac:dyDescent="0.2">
      <c r="A19" s="27" t="s">
        <v>1431</v>
      </c>
      <c r="B19" s="27" t="s">
        <v>1432</v>
      </c>
      <c r="C19" s="27" t="s">
        <v>1294</v>
      </c>
      <c r="D19" s="31">
        <v>7</v>
      </c>
      <c r="E19" s="29">
        <v>86.62388</v>
      </c>
      <c r="F19" s="30">
        <v>2.68444682818981</v>
      </c>
      <c r="G19" s="29">
        <v>5.3399000000000001</v>
      </c>
    </row>
    <row r="20" spans="1:9" ht="10.5" x14ac:dyDescent="0.25">
      <c r="A20" s="26" t="s">
        <v>43</v>
      </c>
      <c r="B20" s="26"/>
      <c r="C20" s="26"/>
      <c r="D20" s="32"/>
      <c r="E20" s="33">
        <f>SUM(E6:E19)</f>
        <v>2907.4202400000004</v>
      </c>
      <c r="F20" s="34">
        <f>SUM(F6:F19)</f>
        <v>90.100039867561478</v>
      </c>
      <c r="G20" s="33"/>
      <c r="H20" s="18"/>
      <c r="I20" s="18"/>
    </row>
    <row r="21" spans="1:9" x14ac:dyDescent="0.2">
      <c r="A21" s="27"/>
      <c r="B21" s="27"/>
      <c r="C21" s="27"/>
      <c r="D21" s="28"/>
      <c r="E21" s="29"/>
      <c r="F21" s="30"/>
      <c r="G21" s="29"/>
    </row>
    <row r="22" spans="1:9" ht="10.5" x14ac:dyDescent="0.25">
      <c r="A22" s="26" t="s">
        <v>44</v>
      </c>
      <c r="B22" s="27"/>
      <c r="C22" s="27"/>
      <c r="D22" s="28"/>
      <c r="E22" s="29"/>
      <c r="F22" s="30"/>
      <c r="G22" s="29"/>
    </row>
    <row r="23" spans="1:9" x14ac:dyDescent="0.2">
      <c r="A23" s="27" t="s">
        <v>1299</v>
      </c>
      <c r="B23" s="27" t="s">
        <v>1300</v>
      </c>
      <c r="C23" s="27" t="s">
        <v>42</v>
      </c>
      <c r="D23" s="31">
        <v>3</v>
      </c>
      <c r="E23" s="29">
        <v>30.873419999999999</v>
      </c>
      <c r="F23" s="30">
        <v>0.95675758687294898</v>
      </c>
      <c r="G23" s="29">
        <v>4.4099000000000004</v>
      </c>
    </row>
    <row r="24" spans="1:9" ht="10.5" x14ac:dyDescent="0.25">
      <c r="A24" s="26" t="s">
        <v>43</v>
      </c>
      <c r="B24" s="26"/>
      <c r="C24" s="26"/>
      <c r="D24" s="32"/>
      <c r="E24" s="33">
        <f>SUM(E22:E23)</f>
        <v>30.873419999999999</v>
      </c>
      <c r="F24" s="34">
        <f>SUM(F22:F23)</f>
        <v>0.95675758687294898</v>
      </c>
      <c r="G24" s="33"/>
      <c r="H24" s="18"/>
      <c r="I24" s="18"/>
    </row>
    <row r="25" spans="1:9" x14ac:dyDescent="0.2">
      <c r="A25" s="27"/>
      <c r="B25" s="27"/>
      <c r="C25" s="27"/>
      <c r="D25" s="28"/>
      <c r="E25" s="29"/>
      <c r="F25" s="30"/>
      <c r="G25" s="29"/>
    </row>
    <row r="26" spans="1:9" ht="10.5" x14ac:dyDescent="0.25">
      <c r="A26" s="26" t="s">
        <v>62</v>
      </c>
      <c r="B26" s="27"/>
      <c r="C26" s="27"/>
      <c r="D26" s="28"/>
      <c r="E26" s="29"/>
      <c r="F26" s="30"/>
      <c r="G26" s="29"/>
    </row>
    <row r="27" spans="1:9" ht="10.5" x14ac:dyDescent="0.25">
      <c r="A27" s="26" t="s">
        <v>63</v>
      </c>
      <c r="B27" s="27"/>
      <c r="C27" s="27"/>
      <c r="D27" s="28"/>
      <c r="E27" s="29"/>
      <c r="F27" s="30"/>
      <c r="G27" s="29"/>
    </row>
    <row r="28" spans="1:9" x14ac:dyDescent="0.2">
      <c r="A28" s="27" t="s">
        <v>797</v>
      </c>
      <c r="B28" s="27" t="s">
        <v>798</v>
      </c>
      <c r="C28" s="27" t="s">
        <v>67</v>
      </c>
      <c r="D28" s="31">
        <v>16</v>
      </c>
      <c r="E28" s="29">
        <v>15.819792</v>
      </c>
      <c r="F28" s="30">
        <v>0.49025038427074102</v>
      </c>
      <c r="G28" s="29">
        <v>3.2999000000000001</v>
      </c>
    </row>
    <row r="29" spans="1:9" ht="10.5" x14ac:dyDescent="0.25">
      <c r="A29" s="26" t="s">
        <v>43</v>
      </c>
      <c r="B29" s="26"/>
      <c r="C29" s="26"/>
      <c r="D29" s="32"/>
      <c r="E29" s="33">
        <f>SUM(E27:E28)</f>
        <v>15.819792</v>
      </c>
      <c r="F29" s="34">
        <f>SUM(F27:F28)</f>
        <v>0.49025038427074102</v>
      </c>
      <c r="G29" s="33"/>
      <c r="H29" s="18"/>
      <c r="I29" s="18"/>
    </row>
    <row r="30" spans="1:9" x14ac:dyDescent="0.2">
      <c r="A30" s="27"/>
      <c r="B30" s="27"/>
      <c r="C30" s="27"/>
      <c r="D30" s="28"/>
      <c r="E30" s="29"/>
      <c r="F30" s="30"/>
      <c r="G30" s="29"/>
    </row>
    <row r="31" spans="1:9" ht="10.5" x14ac:dyDescent="0.25">
      <c r="A31" s="26" t="s">
        <v>48</v>
      </c>
      <c r="B31" s="26"/>
      <c r="C31" s="26"/>
      <c r="D31" s="32"/>
      <c r="E31" s="33">
        <f>E20+E24+E29</f>
        <v>2954.1134520000001</v>
      </c>
      <c r="F31" s="34">
        <f>F20+F24+F29</f>
        <v>91.547047838705168</v>
      </c>
      <c r="G31" s="33"/>
      <c r="H31" s="18"/>
      <c r="I31" s="18"/>
    </row>
    <row r="32" spans="1:9" ht="10.5" x14ac:dyDescent="0.25">
      <c r="A32" s="26"/>
      <c r="B32" s="26"/>
      <c r="C32" s="26"/>
      <c r="D32" s="32"/>
      <c r="E32" s="33"/>
      <c r="F32" s="34"/>
      <c r="G32" s="33"/>
      <c r="H32" s="18"/>
      <c r="I32" s="18"/>
    </row>
    <row r="33" spans="1:9" ht="10.5" x14ac:dyDescent="0.25">
      <c r="A33" s="26" t="s">
        <v>50</v>
      </c>
      <c r="B33" s="26"/>
      <c r="C33" s="26"/>
      <c r="D33" s="32"/>
      <c r="E33" s="33">
        <f>E35-(E20+E24+E29)</f>
        <v>272.76662959999976</v>
      </c>
      <c r="F33" s="34">
        <f>F35-(F20+F24+F29)</f>
        <v>8.4529521612948315</v>
      </c>
      <c r="G33" s="33"/>
      <c r="H33" s="18"/>
      <c r="I33" s="18"/>
    </row>
    <row r="34" spans="1:9" ht="10.5" x14ac:dyDescent="0.25">
      <c r="A34" s="26"/>
      <c r="B34" s="26"/>
      <c r="C34" s="26"/>
      <c r="D34" s="32"/>
      <c r="E34" s="33"/>
      <c r="F34" s="34"/>
      <c r="G34" s="33"/>
      <c r="H34" s="18"/>
      <c r="I34" s="18"/>
    </row>
    <row r="35" spans="1:9" ht="10.5" x14ac:dyDescent="0.25">
      <c r="A35" s="35" t="s">
        <v>49</v>
      </c>
      <c r="B35" s="35"/>
      <c r="C35" s="35"/>
      <c r="D35" s="36"/>
      <c r="E35" s="37">
        <v>3226.8800815999998</v>
      </c>
      <c r="F35" s="38">
        <v>100</v>
      </c>
      <c r="G35" s="37"/>
      <c r="H35" s="18"/>
      <c r="I35" s="18"/>
    </row>
    <row r="37" spans="1:9" ht="10.5" x14ac:dyDescent="0.25">
      <c r="A37" s="18" t="s">
        <v>766</v>
      </c>
    </row>
    <row r="39" spans="1:9" ht="10.5" x14ac:dyDescent="0.25">
      <c r="A39" s="18" t="s">
        <v>51</v>
      </c>
    </row>
    <row r="40" spans="1:9" ht="10.5" x14ac:dyDescent="0.25">
      <c r="A40" s="18" t="s">
        <v>713</v>
      </c>
    </row>
    <row r="41" spans="1:9" ht="10.5" x14ac:dyDescent="0.25">
      <c r="A41" s="18" t="s">
        <v>53</v>
      </c>
      <c r="B41" s="18"/>
      <c r="C41" s="39" t="s">
        <v>55</v>
      </c>
      <c r="D41" s="19" t="s">
        <v>714</v>
      </c>
    </row>
    <row r="42" spans="1:9" x14ac:dyDescent="0.2">
      <c r="A42" s="9" t="s">
        <v>71</v>
      </c>
      <c r="C42" s="40">
        <v>11.5907</v>
      </c>
      <c r="D42" s="40">
        <v>12.2362</v>
      </c>
    </row>
    <row r="43" spans="1:9" x14ac:dyDescent="0.2">
      <c r="A43" s="9" t="s">
        <v>1386</v>
      </c>
      <c r="C43" s="40">
        <v>10.8292</v>
      </c>
      <c r="D43" s="40">
        <v>10.5304</v>
      </c>
    </row>
    <row r="44" spans="1:9" x14ac:dyDescent="0.2">
      <c r="A44" s="9" t="s">
        <v>73</v>
      </c>
      <c r="C44" s="40">
        <v>10.361000000000001</v>
      </c>
      <c r="D44" s="40">
        <v>10.5215</v>
      </c>
    </row>
    <row r="45" spans="1:9" x14ac:dyDescent="0.2">
      <c r="A45" s="9" t="s">
        <v>74</v>
      </c>
      <c r="C45" s="40">
        <v>11.706899999999999</v>
      </c>
      <c r="D45" s="40">
        <v>12.3588</v>
      </c>
    </row>
    <row r="46" spans="1:9" x14ac:dyDescent="0.2">
      <c r="A46" s="9" t="s">
        <v>76</v>
      </c>
      <c r="C46" s="40">
        <v>10.474299999999999</v>
      </c>
      <c r="D46" s="40">
        <v>10.6411</v>
      </c>
    </row>
    <row r="48" spans="1:9" ht="10.5" x14ac:dyDescent="0.25">
      <c r="A48" s="18" t="s">
        <v>715</v>
      </c>
    </row>
    <row r="49" spans="1:5" ht="10.5" x14ac:dyDescent="0.25">
      <c r="A49" s="81" t="s">
        <v>68</v>
      </c>
      <c r="B49" s="82"/>
      <c r="C49" s="43" t="s">
        <v>69</v>
      </c>
    </row>
    <row r="50" spans="1:5" x14ac:dyDescent="0.2">
      <c r="A50" s="77" t="s">
        <v>1386</v>
      </c>
      <c r="B50" s="78"/>
      <c r="C50" s="44">
        <v>0.89500000000000002</v>
      </c>
    </row>
    <row r="51" spans="1:5" x14ac:dyDescent="0.2">
      <c r="A51" s="77" t="s">
        <v>73</v>
      </c>
      <c r="B51" s="78"/>
      <c r="C51" s="44">
        <v>0.41</v>
      </c>
    </row>
    <row r="52" spans="1:5" x14ac:dyDescent="0.2">
      <c r="A52" s="77" t="s">
        <v>76</v>
      </c>
      <c r="B52" s="78"/>
      <c r="C52" s="44">
        <v>0.41</v>
      </c>
    </row>
    <row r="53" spans="1:5" x14ac:dyDescent="0.2">
      <c r="A53" s="9" t="s">
        <v>70</v>
      </c>
    </row>
    <row r="55" spans="1:5" ht="10.5" x14ac:dyDescent="0.25">
      <c r="A55" s="18" t="s">
        <v>785</v>
      </c>
      <c r="D55" s="42">
        <v>0.66058383887671202</v>
      </c>
      <c r="E55" s="13" t="s">
        <v>58</v>
      </c>
    </row>
    <row r="57" spans="1:5" ht="10.5" x14ac:dyDescent="0.25">
      <c r="A57" s="18" t="s">
        <v>786</v>
      </c>
      <c r="D57" s="41" t="s">
        <v>57</v>
      </c>
    </row>
  </sheetData>
  <mergeCells count="5">
    <mergeCell ref="A1:G1"/>
    <mergeCell ref="A49:B49"/>
    <mergeCell ref="A50:B50"/>
    <mergeCell ref="A51:B51"/>
    <mergeCell ref="A52:B52"/>
  </mergeCells>
  <conditionalFormatting sqref="F2:F3 F5:F65536">
    <cfRule type="cellIs" dxfId="4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3"/>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1433</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931</v>
      </c>
      <c r="B7" s="27" t="s">
        <v>932</v>
      </c>
      <c r="C7" s="27" t="s">
        <v>42</v>
      </c>
      <c r="D7" s="31">
        <v>44</v>
      </c>
      <c r="E7" s="29">
        <v>452.21836000000002</v>
      </c>
      <c r="F7" s="30">
        <v>11.251224575070999</v>
      </c>
      <c r="G7" s="29">
        <v>3.84</v>
      </c>
    </row>
    <row r="8" spans="1:7" x14ac:dyDescent="0.2">
      <c r="A8" s="27" t="s">
        <v>1423</v>
      </c>
      <c r="B8" s="27" t="s">
        <v>1424</v>
      </c>
      <c r="C8" s="27" t="s">
        <v>896</v>
      </c>
      <c r="D8" s="31">
        <v>41</v>
      </c>
      <c r="E8" s="29">
        <v>424.52384000000001</v>
      </c>
      <c r="F8" s="30">
        <v>10.5621829713228</v>
      </c>
      <c r="G8" s="29">
        <v>3.65</v>
      </c>
    </row>
    <row r="9" spans="1:7" x14ac:dyDescent="0.2">
      <c r="A9" s="27" t="s">
        <v>1425</v>
      </c>
      <c r="B9" s="27" t="s">
        <v>1426</v>
      </c>
      <c r="C9" s="27" t="s">
        <v>42</v>
      </c>
      <c r="D9" s="31">
        <v>41</v>
      </c>
      <c r="E9" s="29">
        <v>423.66899000000001</v>
      </c>
      <c r="F9" s="30">
        <v>10.5409142432508</v>
      </c>
      <c r="G9" s="29">
        <v>3.7749999999999999</v>
      </c>
    </row>
    <row r="10" spans="1:7" x14ac:dyDescent="0.2">
      <c r="A10" s="27" t="s">
        <v>901</v>
      </c>
      <c r="B10" s="27" t="s">
        <v>902</v>
      </c>
      <c r="C10" s="27" t="s">
        <v>42</v>
      </c>
      <c r="D10" s="31">
        <v>40</v>
      </c>
      <c r="E10" s="29">
        <v>419.27679999999998</v>
      </c>
      <c r="F10" s="30">
        <v>10.431636247403</v>
      </c>
      <c r="G10" s="29">
        <v>4.0347999999999997</v>
      </c>
    </row>
    <row r="11" spans="1:7" x14ac:dyDescent="0.2">
      <c r="A11" s="27" t="s">
        <v>1427</v>
      </c>
      <c r="B11" s="27" t="s">
        <v>1428</v>
      </c>
      <c r="C11" s="27" t="s">
        <v>42</v>
      </c>
      <c r="D11" s="31">
        <v>33</v>
      </c>
      <c r="E11" s="29">
        <v>319.13310000000001</v>
      </c>
      <c r="F11" s="30">
        <v>7.9400539541087998</v>
      </c>
      <c r="G11" s="29">
        <v>4.0750000000000002</v>
      </c>
    </row>
    <row r="12" spans="1:7" x14ac:dyDescent="0.2">
      <c r="A12" s="27" t="s">
        <v>1295</v>
      </c>
      <c r="B12" s="27" t="s">
        <v>1296</v>
      </c>
      <c r="C12" s="27" t="s">
        <v>42</v>
      </c>
      <c r="D12" s="31">
        <v>30</v>
      </c>
      <c r="E12" s="29">
        <v>308.80410000000001</v>
      </c>
      <c r="F12" s="30">
        <v>7.6830677082697196</v>
      </c>
      <c r="G12" s="29">
        <v>3.84</v>
      </c>
    </row>
    <row r="13" spans="1:7" x14ac:dyDescent="0.2">
      <c r="A13" s="27" t="s">
        <v>1434</v>
      </c>
      <c r="B13" s="27" t="s">
        <v>1435</v>
      </c>
      <c r="C13" s="27" t="s">
        <v>42</v>
      </c>
      <c r="D13" s="31">
        <v>26</v>
      </c>
      <c r="E13" s="29">
        <v>265.98468000000003</v>
      </c>
      <c r="F13" s="30">
        <v>6.6177175296651001</v>
      </c>
      <c r="G13" s="29">
        <v>4.0374999999999996</v>
      </c>
    </row>
    <row r="14" spans="1:7" x14ac:dyDescent="0.2">
      <c r="A14" s="27" t="s">
        <v>1221</v>
      </c>
      <c r="B14" s="27" t="s">
        <v>1222</v>
      </c>
      <c r="C14" s="27" t="s">
        <v>871</v>
      </c>
      <c r="D14" s="31">
        <v>26000</v>
      </c>
      <c r="E14" s="29">
        <v>257.40181999999999</v>
      </c>
      <c r="F14" s="30">
        <v>6.4041753697306998</v>
      </c>
      <c r="G14" s="29">
        <v>10.35</v>
      </c>
    </row>
    <row r="15" spans="1:7" x14ac:dyDescent="0.2">
      <c r="A15" s="27" t="s">
        <v>1364</v>
      </c>
      <c r="B15" s="27" t="s">
        <v>1365</v>
      </c>
      <c r="C15" s="27" t="s">
        <v>42</v>
      </c>
      <c r="D15" s="31">
        <v>2</v>
      </c>
      <c r="E15" s="29">
        <v>203.40979999999999</v>
      </c>
      <c r="F15" s="30">
        <v>5.0608501180055603</v>
      </c>
      <c r="G15" s="29">
        <v>3.51</v>
      </c>
    </row>
    <row r="16" spans="1:7" x14ac:dyDescent="0.2">
      <c r="A16" s="27" t="s">
        <v>939</v>
      </c>
      <c r="B16" s="27" t="s">
        <v>940</v>
      </c>
      <c r="C16" s="27" t="s">
        <v>896</v>
      </c>
      <c r="D16" s="31">
        <v>150</v>
      </c>
      <c r="E16" s="29">
        <v>154.93770000000001</v>
      </c>
      <c r="F16" s="30">
        <v>3.85486086377604</v>
      </c>
      <c r="G16" s="29">
        <v>3.6150000000000002</v>
      </c>
    </row>
    <row r="17" spans="1:9" ht="10.5" x14ac:dyDescent="0.25">
      <c r="A17" s="26" t="s">
        <v>43</v>
      </c>
      <c r="B17" s="26"/>
      <c r="C17" s="26"/>
      <c r="D17" s="32"/>
      <c r="E17" s="33">
        <f>SUM(E6:E16)</f>
        <v>3229.3591899999997</v>
      </c>
      <c r="F17" s="34">
        <f>SUM(F6:F16)</f>
        <v>80.346683580603511</v>
      </c>
      <c r="G17" s="33"/>
      <c r="H17" s="18"/>
      <c r="I17" s="18"/>
    </row>
    <row r="18" spans="1:9" x14ac:dyDescent="0.2">
      <c r="A18" s="27"/>
      <c r="B18" s="27"/>
      <c r="C18" s="27"/>
      <c r="D18" s="28"/>
      <c r="E18" s="29"/>
      <c r="F18" s="30"/>
      <c r="G18" s="29"/>
    </row>
    <row r="19" spans="1:9" ht="10.5" x14ac:dyDescent="0.25">
      <c r="A19" s="26" t="s">
        <v>44</v>
      </c>
      <c r="B19" s="27"/>
      <c r="C19" s="27"/>
      <c r="D19" s="28"/>
      <c r="E19" s="29"/>
      <c r="F19" s="30"/>
      <c r="G19" s="29"/>
    </row>
    <row r="20" spans="1:9" x14ac:dyDescent="0.2">
      <c r="A20" s="27" t="s">
        <v>1299</v>
      </c>
      <c r="B20" s="27" t="s">
        <v>1300</v>
      </c>
      <c r="C20" s="27" t="s">
        <v>42</v>
      </c>
      <c r="D20" s="31">
        <v>34</v>
      </c>
      <c r="E20" s="29">
        <v>349.89875999999998</v>
      </c>
      <c r="F20" s="30">
        <v>8.7055057368720696</v>
      </c>
      <c r="G20" s="29">
        <v>4.4099000000000004</v>
      </c>
    </row>
    <row r="21" spans="1:9" x14ac:dyDescent="0.2">
      <c r="A21" s="27" t="s">
        <v>951</v>
      </c>
      <c r="B21" s="27" t="s">
        <v>952</v>
      </c>
      <c r="C21" s="27" t="s">
        <v>42</v>
      </c>
      <c r="D21" s="31">
        <v>7</v>
      </c>
      <c r="E21" s="29">
        <v>71.224789999999999</v>
      </c>
      <c r="F21" s="30">
        <v>1.77207778030568</v>
      </c>
      <c r="G21" s="29">
        <v>3.6871</v>
      </c>
    </row>
    <row r="22" spans="1:9" ht="10.5" x14ac:dyDescent="0.25">
      <c r="A22" s="26" t="s">
        <v>43</v>
      </c>
      <c r="B22" s="26"/>
      <c r="C22" s="26"/>
      <c r="D22" s="32"/>
      <c r="E22" s="33">
        <f>SUM(E19:E21)</f>
        <v>421.12354999999997</v>
      </c>
      <c r="F22" s="34">
        <f>SUM(F19:F21)</f>
        <v>10.477583517177749</v>
      </c>
      <c r="G22" s="33"/>
      <c r="H22" s="18"/>
      <c r="I22" s="18"/>
    </row>
    <row r="23" spans="1:9" x14ac:dyDescent="0.2">
      <c r="A23" s="27"/>
      <c r="B23" s="27"/>
      <c r="C23" s="27"/>
      <c r="D23" s="28"/>
      <c r="E23" s="29"/>
      <c r="F23" s="30"/>
      <c r="G23" s="29"/>
    </row>
    <row r="24" spans="1:9" ht="10.5" x14ac:dyDescent="0.25">
      <c r="A24" s="26" t="s">
        <v>62</v>
      </c>
      <c r="B24" s="27"/>
      <c r="C24" s="27"/>
      <c r="D24" s="28"/>
      <c r="E24" s="29"/>
      <c r="F24" s="30"/>
      <c r="G24" s="29"/>
    </row>
    <row r="25" spans="1:9" ht="10.5" x14ac:dyDescent="0.25">
      <c r="A25" s="26" t="s">
        <v>63</v>
      </c>
      <c r="B25" s="27"/>
      <c r="C25" s="27"/>
      <c r="D25" s="28"/>
      <c r="E25" s="29"/>
      <c r="F25" s="30"/>
      <c r="G25" s="29"/>
    </row>
    <row r="26" spans="1:9" x14ac:dyDescent="0.2">
      <c r="A26" s="27" t="s">
        <v>797</v>
      </c>
      <c r="B26" s="27" t="s">
        <v>798</v>
      </c>
      <c r="C26" s="27" t="s">
        <v>67</v>
      </c>
      <c r="D26" s="31">
        <v>33</v>
      </c>
      <c r="E26" s="29">
        <v>32.628321</v>
      </c>
      <c r="F26" s="30">
        <v>0.81179491933610604</v>
      </c>
      <c r="G26" s="29">
        <v>3.2999000000000001</v>
      </c>
    </row>
    <row r="27" spans="1:9" ht="10.5" x14ac:dyDescent="0.25">
      <c r="A27" s="26" t="s">
        <v>43</v>
      </c>
      <c r="B27" s="26"/>
      <c r="C27" s="26"/>
      <c r="D27" s="32"/>
      <c r="E27" s="33">
        <f>SUM(E25:E26)</f>
        <v>32.628321</v>
      </c>
      <c r="F27" s="34">
        <f>SUM(F25:F26)</f>
        <v>0.81179491933610604</v>
      </c>
      <c r="G27" s="33"/>
      <c r="H27" s="18"/>
      <c r="I27" s="18"/>
    </row>
    <row r="28" spans="1:9" x14ac:dyDescent="0.2">
      <c r="A28" s="27"/>
      <c r="B28" s="27"/>
      <c r="C28" s="27"/>
      <c r="D28" s="28"/>
      <c r="E28" s="29"/>
      <c r="F28" s="30"/>
      <c r="G28" s="29"/>
    </row>
    <row r="29" spans="1:9" ht="10.5" x14ac:dyDescent="0.25">
      <c r="A29" s="26" t="s">
        <v>48</v>
      </c>
      <c r="B29" s="26"/>
      <c r="C29" s="26"/>
      <c r="D29" s="32"/>
      <c r="E29" s="33">
        <f>E17+E22+E27</f>
        <v>3683.1110609999996</v>
      </c>
      <c r="F29" s="34">
        <f>F17+F22+F27</f>
        <v>91.636062017117368</v>
      </c>
      <c r="G29" s="33"/>
      <c r="H29" s="18"/>
      <c r="I29" s="18"/>
    </row>
    <row r="30" spans="1:9" ht="10.5" x14ac:dyDescent="0.25">
      <c r="A30" s="26"/>
      <c r="B30" s="26"/>
      <c r="C30" s="26"/>
      <c r="D30" s="32"/>
      <c r="E30" s="33"/>
      <c r="F30" s="34"/>
      <c r="G30" s="33"/>
      <c r="H30" s="18"/>
      <c r="I30" s="18"/>
    </row>
    <row r="31" spans="1:9" ht="10.5" x14ac:dyDescent="0.25">
      <c r="A31" s="26" t="s">
        <v>50</v>
      </c>
      <c r="B31" s="26"/>
      <c r="C31" s="26"/>
      <c r="D31" s="32"/>
      <c r="E31" s="33">
        <f>E33-(E17+E22+E27)</f>
        <v>336.17019130000017</v>
      </c>
      <c r="F31" s="34">
        <f>F33-(F17+F22+F27)</f>
        <v>8.3639379828826321</v>
      </c>
      <c r="G31" s="33"/>
      <c r="H31" s="18"/>
      <c r="I31" s="18"/>
    </row>
    <row r="32" spans="1:9" ht="10.5" x14ac:dyDescent="0.25">
      <c r="A32" s="26"/>
      <c r="B32" s="26"/>
      <c r="C32" s="26"/>
      <c r="D32" s="32"/>
      <c r="E32" s="33"/>
      <c r="F32" s="34"/>
      <c r="G32" s="33"/>
      <c r="H32" s="18"/>
      <c r="I32" s="18"/>
    </row>
    <row r="33" spans="1:9" ht="10.5" x14ac:dyDescent="0.25">
      <c r="A33" s="35" t="s">
        <v>49</v>
      </c>
      <c r="B33" s="35"/>
      <c r="C33" s="35"/>
      <c r="D33" s="36"/>
      <c r="E33" s="37">
        <v>4019.2812522999998</v>
      </c>
      <c r="F33" s="38">
        <v>100</v>
      </c>
      <c r="G33" s="37"/>
      <c r="H33" s="18"/>
      <c r="I33" s="18"/>
    </row>
    <row r="35" spans="1:9" ht="10.5" x14ac:dyDescent="0.25">
      <c r="A35" s="18" t="s">
        <v>766</v>
      </c>
    </row>
    <row r="37" spans="1:9" ht="10.5" x14ac:dyDescent="0.25">
      <c r="A37" s="18" t="s">
        <v>51</v>
      </c>
    </row>
    <row r="38" spans="1:9" ht="10.5" x14ac:dyDescent="0.25">
      <c r="A38" s="18" t="s">
        <v>713</v>
      </c>
    </row>
    <row r="39" spans="1:9" ht="10.5" x14ac:dyDescent="0.25">
      <c r="A39" s="18" t="s">
        <v>53</v>
      </c>
      <c r="B39" s="18"/>
      <c r="C39" s="39" t="s">
        <v>55</v>
      </c>
      <c r="D39" s="19" t="s">
        <v>714</v>
      </c>
    </row>
    <row r="40" spans="1:9" x14ac:dyDescent="0.2">
      <c r="A40" s="9" t="s">
        <v>71</v>
      </c>
      <c r="C40" s="40">
        <v>10.998799999999999</v>
      </c>
      <c r="D40" s="40">
        <v>11.617599999999999</v>
      </c>
    </row>
    <row r="41" spans="1:9" x14ac:dyDescent="0.2">
      <c r="A41" s="9" t="s">
        <v>1386</v>
      </c>
      <c r="C41" s="40">
        <v>10.7522</v>
      </c>
      <c r="D41" s="40">
        <v>10.485200000000001</v>
      </c>
    </row>
    <row r="42" spans="1:9" x14ac:dyDescent="0.2">
      <c r="A42" s="9" t="s">
        <v>73</v>
      </c>
      <c r="C42" s="40">
        <v>10.2934</v>
      </c>
      <c r="D42" s="40">
        <v>10.465400000000001</v>
      </c>
    </row>
    <row r="43" spans="1:9" x14ac:dyDescent="0.2">
      <c r="A43" s="9" t="s">
        <v>74</v>
      </c>
      <c r="C43" s="40">
        <v>11.108599999999999</v>
      </c>
      <c r="D43" s="40">
        <v>11.733599999999999</v>
      </c>
    </row>
    <row r="45" spans="1:9" ht="10.5" x14ac:dyDescent="0.25">
      <c r="A45" s="18" t="s">
        <v>715</v>
      </c>
    </row>
    <row r="46" spans="1:9" ht="10.5" x14ac:dyDescent="0.25">
      <c r="A46" s="81" t="s">
        <v>68</v>
      </c>
      <c r="B46" s="82"/>
      <c r="C46" s="43" t="s">
        <v>69</v>
      </c>
    </row>
    <row r="47" spans="1:9" x14ac:dyDescent="0.2">
      <c r="A47" s="77" t="s">
        <v>1386</v>
      </c>
      <c r="B47" s="78"/>
      <c r="C47" s="44">
        <v>0.86499999999999999</v>
      </c>
    </row>
    <row r="48" spans="1:9" x14ac:dyDescent="0.2">
      <c r="A48" s="77" t="s">
        <v>73</v>
      </c>
      <c r="B48" s="78"/>
      <c r="C48" s="44">
        <v>0.4</v>
      </c>
    </row>
    <row r="49" spans="1:5" x14ac:dyDescent="0.2">
      <c r="A49" s="9" t="s">
        <v>70</v>
      </c>
    </row>
    <row r="51" spans="1:5" ht="10.5" x14ac:dyDescent="0.25">
      <c r="A51" s="18" t="s">
        <v>785</v>
      </c>
      <c r="D51" s="42">
        <v>0.67108593454794496</v>
      </c>
      <c r="E51" s="13" t="s">
        <v>58</v>
      </c>
    </row>
    <row r="53" spans="1:5" ht="10.5" x14ac:dyDescent="0.25">
      <c r="A53" s="18" t="s">
        <v>786</v>
      </c>
      <c r="D53" s="41" t="s">
        <v>57</v>
      </c>
    </row>
  </sheetData>
  <mergeCells count="4">
    <mergeCell ref="A1:G1"/>
    <mergeCell ref="A46:B46"/>
    <mergeCell ref="A47:B47"/>
    <mergeCell ref="A48:B48"/>
  </mergeCells>
  <conditionalFormatting sqref="F2:F3 F5:F65536">
    <cfRule type="cellIs" dxfId="4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6"/>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1436</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1437</v>
      </c>
      <c r="B7" s="27" t="s">
        <v>1438</v>
      </c>
      <c r="C7" s="27" t="s">
        <v>42</v>
      </c>
      <c r="D7" s="31">
        <v>90</v>
      </c>
      <c r="E7" s="29">
        <v>1127.1744000000001</v>
      </c>
      <c r="F7" s="30">
        <v>11.876361574115499</v>
      </c>
      <c r="G7" s="29">
        <v>3.55</v>
      </c>
    </row>
    <row r="8" spans="1:7" x14ac:dyDescent="0.2">
      <c r="A8" s="27" t="s">
        <v>901</v>
      </c>
      <c r="B8" s="27" t="s">
        <v>902</v>
      </c>
      <c r="C8" s="27" t="s">
        <v>42</v>
      </c>
      <c r="D8" s="31">
        <v>98</v>
      </c>
      <c r="E8" s="29">
        <v>1027.2281599999999</v>
      </c>
      <c r="F8" s="30">
        <v>10.8232879022744</v>
      </c>
      <c r="G8" s="29">
        <v>4.0347999999999997</v>
      </c>
    </row>
    <row r="9" spans="1:7" x14ac:dyDescent="0.2">
      <c r="A9" s="27" t="s">
        <v>931</v>
      </c>
      <c r="B9" s="27" t="s">
        <v>932</v>
      </c>
      <c r="C9" s="27" t="s">
        <v>42</v>
      </c>
      <c r="D9" s="31">
        <v>92</v>
      </c>
      <c r="E9" s="29">
        <v>945.54747999999995</v>
      </c>
      <c r="F9" s="30">
        <v>9.9626674966835491</v>
      </c>
      <c r="G9" s="29">
        <v>3.84</v>
      </c>
    </row>
    <row r="10" spans="1:7" x14ac:dyDescent="0.2">
      <c r="A10" s="27" t="s">
        <v>1423</v>
      </c>
      <c r="B10" s="27" t="s">
        <v>1424</v>
      </c>
      <c r="C10" s="27" t="s">
        <v>896</v>
      </c>
      <c r="D10" s="31">
        <v>90</v>
      </c>
      <c r="E10" s="29">
        <v>931.88160000000005</v>
      </c>
      <c r="F10" s="30">
        <v>9.8186783037880403</v>
      </c>
      <c r="G10" s="29">
        <v>3.65</v>
      </c>
    </row>
    <row r="11" spans="1:7" x14ac:dyDescent="0.2">
      <c r="A11" s="27" t="s">
        <v>1425</v>
      </c>
      <c r="B11" s="27" t="s">
        <v>1426</v>
      </c>
      <c r="C11" s="27" t="s">
        <v>42</v>
      </c>
      <c r="D11" s="31">
        <v>90</v>
      </c>
      <c r="E11" s="29">
        <v>930.00509999999997</v>
      </c>
      <c r="F11" s="30">
        <v>9.7989067471471003</v>
      </c>
      <c r="G11" s="29">
        <v>3.7749999999999999</v>
      </c>
    </row>
    <row r="12" spans="1:7" x14ac:dyDescent="0.2">
      <c r="A12" s="27" t="s">
        <v>1439</v>
      </c>
      <c r="B12" s="27" t="s">
        <v>1440</v>
      </c>
      <c r="C12" s="27" t="s">
        <v>42</v>
      </c>
      <c r="D12" s="31">
        <v>60</v>
      </c>
      <c r="E12" s="29">
        <v>742.01760000000002</v>
      </c>
      <c r="F12" s="30">
        <v>7.8181950476851103</v>
      </c>
      <c r="G12" s="29">
        <v>4.6986999999999997</v>
      </c>
    </row>
    <row r="13" spans="1:7" x14ac:dyDescent="0.2">
      <c r="A13" s="27" t="s">
        <v>1295</v>
      </c>
      <c r="B13" s="27" t="s">
        <v>1296</v>
      </c>
      <c r="C13" s="27" t="s">
        <v>42</v>
      </c>
      <c r="D13" s="31">
        <v>71</v>
      </c>
      <c r="E13" s="29">
        <v>730.83636999999999</v>
      </c>
      <c r="F13" s="30">
        <v>7.7003851237519996</v>
      </c>
      <c r="G13" s="29">
        <v>3.84</v>
      </c>
    </row>
    <row r="14" spans="1:7" x14ac:dyDescent="0.2">
      <c r="A14" s="27" t="s">
        <v>1427</v>
      </c>
      <c r="B14" s="27" t="s">
        <v>1428</v>
      </c>
      <c r="C14" s="27" t="s">
        <v>42</v>
      </c>
      <c r="D14" s="31">
        <v>75</v>
      </c>
      <c r="E14" s="29">
        <v>725.30250000000001</v>
      </c>
      <c r="F14" s="30">
        <v>7.6420780498651597</v>
      </c>
      <c r="G14" s="29">
        <v>4.0750000000000002</v>
      </c>
    </row>
    <row r="15" spans="1:7" x14ac:dyDescent="0.2">
      <c r="A15" s="27" t="s">
        <v>1431</v>
      </c>
      <c r="B15" s="27" t="s">
        <v>1432</v>
      </c>
      <c r="C15" s="27" t="s">
        <v>1294</v>
      </c>
      <c r="D15" s="31">
        <v>58</v>
      </c>
      <c r="E15" s="29">
        <v>717.74072000000001</v>
      </c>
      <c r="F15" s="30">
        <v>7.5624041028487001</v>
      </c>
      <c r="G15" s="29">
        <v>5.3399000000000001</v>
      </c>
    </row>
    <row r="16" spans="1:7" x14ac:dyDescent="0.2">
      <c r="A16" s="27" t="s">
        <v>939</v>
      </c>
      <c r="B16" s="27" t="s">
        <v>940</v>
      </c>
      <c r="C16" s="27" t="s">
        <v>896</v>
      </c>
      <c r="D16" s="31">
        <v>470</v>
      </c>
      <c r="E16" s="29">
        <v>485.47145999999998</v>
      </c>
      <c r="F16" s="30">
        <v>5.1151220191602702</v>
      </c>
      <c r="G16" s="29">
        <v>3.6150000000000002</v>
      </c>
    </row>
    <row r="17" spans="1:9" x14ac:dyDescent="0.2">
      <c r="A17" s="27" t="s">
        <v>1364</v>
      </c>
      <c r="B17" s="27" t="s">
        <v>1365</v>
      </c>
      <c r="C17" s="27" t="s">
        <v>42</v>
      </c>
      <c r="D17" s="31">
        <v>2</v>
      </c>
      <c r="E17" s="29">
        <v>203.40979999999999</v>
      </c>
      <c r="F17" s="30">
        <v>2.1432072379558398</v>
      </c>
      <c r="G17" s="29">
        <v>3.51</v>
      </c>
    </row>
    <row r="18" spans="1:9" x14ac:dyDescent="0.2">
      <c r="A18" s="27" t="s">
        <v>1441</v>
      </c>
      <c r="B18" s="27" t="s">
        <v>1442</v>
      </c>
      <c r="C18" s="27" t="s">
        <v>1294</v>
      </c>
      <c r="D18" s="31">
        <v>10</v>
      </c>
      <c r="E18" s="29">
        <v>123.733</v>
      </c>
      <c r="F18" s="30">
        <v>1.3037005157764701</v>
      </c>
      <c r="G18" s="29">
        <v>5.625</v>
      </c>
    </row>
    <row r="19" spans="1:9" x14ac:dyDescent="0.2">
      <c r="A19" s="27" t="s">
        <v>907</v>
      </c>
      <c r="B19" s="27" t="s">
        <v>908</v>
      </c>
      <c r="C19" s="27" t="s">
        <v>42</v>
      </c>
      <c r="D19" s="31">
        <v>8</v>
      </c>
      <c r="E19" s="29">
        <v>82.530320000000003</v>
      </c>
      <c r="F19" s="30">
        <v>0.86957255341095296</v>
      </c>
      <c r="G19" s="29">
        <v>3.7749999999999999</v>
      </c>
    </row>
    <row r="20" spans="1:9" x14ac:dyDescent="0.2">
      <c r="A20" s="27" t="s">
        <v>923</v>
      </c>
      <c r="B20" s="27" t="s">
        <v>924</v>
      </c>
      <c r="C20" s="27" t="s">
        <v>896</v>
      </c>
      <c r="D20" s="31">
        <v>6</v>
      </c>
      <c r="E20" s="29">
        <v>75.111779999999996</v>
      </c>
      <c r="F20" s="30">
        <v>0.79140784048628099</v>
      </c>
      <c r="G20" s="29">
        <v>5.2949999999999999</v>
      </c>
    </row>
    <row r="21" spans="1:9" x14ac:dyDescent="0.2">
      <c r="A21" s="27" t="s">
        <v>1434</v>
      </c>
      <c r="B21" s="27" t="s">
        <v>1435</v>
      </c>
      <c r="C21" s="27" t="s">
        <v>42</v>
      </c>
      <c r="D21" s="31">
        <v>4</v>
      </c>
      <c r="E21" s="29">
        <v>40.920720000000003</v>
      </c>
      <c r="F21" s="30">
        <v>0.43115711871485102</v>
      </c>
      <c r="G21" s="29">
        <v>4.0374999999999996</v>
      </c>
    </row>
    <row r="22" spans="1:9" x14ac:dyDescent="0.2">
      <c r="A22" s="27" t="s">
        <v>1290</v>
      </c>
      <c r="B22" s="27" t="s">
        <v>1291</v>
      </c>
      <c r="C22" s="27" t="s">
        <v>42</v>
      </c>
      <c r="D22" s="31">
        <v>1</v>
      </c>
      <c r="E22" s="29">
        <v>10.15494</v>
      </c>
      <c r="F22" s="30">
        <v>0.106996520860879</v>
      </c>
      <c r="G22" s="29">
        <v>5.0199999999999996</v>
      </c>
    </row>
    <row r="23" spans="1:9" ht="10.5" x14ac:dyDescent="0.25">
      <c r="A23" s="26" t="s">
        <v>43</v>
      </c>
      <c r="B23" s="26"/>
      <c r="C23" s="26"/>
      <c r="D23" s="32"/>
      <c r="E23" s="33">
        <f>SUM(E6:E22)</f>
        <v>8899.0659499999983</v>
      </c>
      <c r="F23" s="34">
        <f>SUM(F6:F22)</f>
        <v>93.764128154525096</v>
      </c>
      <c r="G23" s="33"/>
      <c r="H23" s="18"/>
      <c r="I23" s="18"/>
    </row>
    <row r="24" spans="1:9" x14ac:dyDescent="0.2">
      <c r="A24" s="27"/>
      <c r="B24" s="27"/>
      <c r="C24" s="27"/>
      <c r="D24" s="28"/>
      <c r="E24" s="29"/>
      <c r="F24" s="30"/>
      <c r="G24" s="29"/>
    </row>
    <row r="25" spans="1:9" ht="10.5" x14ac:dyDescent="0.25">
      <c r="A25" s="26" t="s">
        <v>62</v>
      </c>
      <c r="B25" s="27"/>
      <c r="C25" s="27"/>
      <c r="D25" s="28"/>
      <c r="E25" s="29"/>
      <c r="F25" s="30"/>
      <c r="G25" s="29"/>
    </row>
    <row r="26" spans="1:9" ht="10.5" x14ac:dyDescent="0.25">
      <c r="A26" s="26" t="s">
        <v>63</v>
      </c>
      <c r="B26" s="27"/>
      <c r="C26" s="27"/>
      <c r="D26" s="28"/>
      <c r="E26" s="29"/>
      <c r="F26" s="30"/>
      <c r="G26" s="29"/>
    </row>
    <row r="27" spans="1:9" x14ac:dyDescent="0.2">
      <c r="A27" s="27" t="s">
        <v>797</v>
      </c>
      <c r="B27" s="27" t="s">
        <v>798</v>
      </c>
      <c r="C27" s="27" t="s">
        <v>67</v>
      </c>
      <c r="D27" s="31">
        <v>48</v>
      </c>
      <c r="E27" s="29">
        <v>47.459375999999999</v>
      </c>
      <c r="F27" s="30">
        <v>0.50005102090492903</v>
      </c>
      <c r="G27" s="29">
        <v>3.2999000000000001</v>
      </c>
    </row>
    <row r="28" spans="1:9" ht="10.5" x14ac:dyDescent="0.25">
      <c r="A28" s="26" t="s">
        <v>43</v>
      </c>
      <c r="B28" s="26"/>
      <c r="C28" s="26"/>
      <c r="D28" s="32"/>
      <c r="E28" s="33">
        <f>SUM(E26:E27)</f>
        <v>47.459375999999999</v>
      </c>
      <c r="F28" s="34">
        <f>SUM(F26:F27)</f>
        <v>0.50005102090492903</v>
      </c>
      <c r="G28" s="33"/>
      <c r="H28" s="18"/>
      <c r="I28" s="18"/>
    </row>
    <row r="29" spans="1:9" x14ac:dyDescent="0.2">
      <c r="A29" s="27"/>
      <c r="B29" s="27"/>
      <c r="C29" s="27"/>
      <c r="D29" s="28"/>
      <c r="E29" s="29"/>
      <c r="F29" s="30"/>
      <c r="G29" s="29"/>
    </row>
    <row r="30" spans="1:9" ht="10.5" x14ac:dyDescent="0.25">
      <c r="A30" s="26" t="s">
        <v>48</v>
      </c>
      <c r="B30" s="26"/>
      <c r="C30" s="26"/>
      <c r="D30" s="32"/>
      <c r="E30" s="33">
        <f>E23+E28</f>
        <v>8946.525325999999</v>
      </c>
      <c r="F30" s="34">
        <f>F23+F28</f>
        <v>94.26417917543003</v>
      </c>
      <c r="G30" s="33"/>
      <c r="H30" s="18"/>
      <c r="I30" s="18"/>
    </row>
    <row r="31" spans="1:9" ht="10.5" x14ac:dyDescent="0.25">
      <c r="A31" s="26"/>
      <c r="B31" s="26"/>
      <c r="C31" s="26"/>
      <c r="D31" s="32"/>
      <c r="E31" s="33"/>
      <c r="F31" s="34"/>
      <c r="G31" s="33"/>
      <c r="H31" s="18"/>
      <c r="I31" s="18"/>
    </row>
    <row r="32" spans="1:9" ht="10.5" x14ac:dyDescent="0.25">
      <c r="A32" s="26" t="s">
        <v>50</v>
      </c>
      <c r="B32" s="26"/>
      <c r="C32" s="26"/>
      <c r="D32" s="32"/>
      <c r="E32" s="33">
        <f>E34-(E23+E28)</f>
        <v>544.38140470000144</v>
      </c>
      <c r="F32" s="34">
        <f>F34-(F23+F28)</f>
        <v>5.73582082456997</v>
      </c>
      <c r="G32" s="33"/>
      <c r="H32" s="18"/>
      <c r="I32" s="18"/>
    </row>
    <row r="33" spans="1:9" ht="10.5" x14ac:dyDescent="0.25">
      <c r="A33" s="26"/>
      <c r="B33" s="26"/>
      <c r="C33" s="26"/>
      <c r="D33" s="32"/>
      <c r="E33" s="33"/>
      <c r="F33" s="34"/>
      <c r="G33" s="33"/>
      <c r="H33" s="18"/>
      <c r="I33" s="18"/>
    </row>
    <row r="34" spans="1:9" ht="10.5" x14ac:dyDescent="0.25">
      <c r="A34" s="35" t="s">
        <v>49</v>
      </c>
      <c r="B34" s="35"/>
      <c r="C34" s="35"/>
      <c r="D34" s="36"/>
      <c r="E34" s="37">
        <v>9490.9067307000005</v>
      </c>
      <c r="F34" s="38">
        <v>100</v>
      </c>
      <c r="G34" s="37"/>
      <c r="H34" s="18"/>
      <c r="I34" s="18"/>
    </row>
    <row r="36" spans="1:9" ht="10.5" x14ac:dyDescent="0.25">
      <c r="A36" s="18" t="s">
        <v>766</v>
      </c>
    </row>
    <row r="38" spans="1:9" ht="10.5" x14ac:dyDescent="0.25">
      <c r="A38" s="18" t="s">
        <v>51</v>
      </c>
    </row>
    <row r="39" spans="1:9" ht="10.5" x14ac:dyDescent="0.25">
      <c r="A39" s="18" t="s">
        <v>713</v>
      </c>
    </row>
    <row r="40" spans="1:9" ht="10.5" x14ac:dyDescent="0.25">
      <c r="A40" s="18" t="s">
        <v>53</v>
      </c>
      <c r="B40" s="18"/>
      <c r="C40" s="39" t="s">
        <v>55</v>
      </c>
      <c r="D40" s="19" t="s">
        <v>714</v>
      </c>
    </row>
    <row r="41" spans="1:9" x14ac:dyDescent="0.2">
      <c r="A41" s="9" t="s">
        <v>71</v>
      </c>
      <c r="C41" s="40">
        <v>11.5581</v>
      </c>
      <c r="D41" s="40">
        <v>12.191800000000001</v>
      </c>
    </row>
    <row r="42" spans="1:9" x14ac:dyDescent="0.2">
      <c r="A42" s="9" t="s">
        <v>1386</v>
      </c>
      <c r="C42" s="40">
        <v>10.831200000000001</v>
      </c>
      <c r="D42" s="40">
        <v>10.5412</v>
      </c>
    </row>
    <row r="43" spans="1:9" x14ac:dyDescent="0.2">
      <c r="A43" s="9" t="s">
        <v>73</v>
      </c>
      <c r="C43" s="40">
        <v>10.3857</v>
      </c>
      <c r="D43" s="40">
        <v>10.5246</v>
      </c>
    </row>
    <row r="44" spans="1:9" x14ac:dyDescent="0.2">
      <c r="A44" s="9" t="s">
        <v>74</v>
      </c>
      <c r="C44" s="40">
        <v>11.6625</v>
      </c>
      <c r="D44" s="40">
        <v>12.3019</v>
      </c>
    </row>
    <row r="45" spans="1:9" x14ac:dyDescent="0.2">
      <c r="A45" s="9" t="s">
        <v>76</v>
      </c>
      <c r="C45" s="40">
        <v>10.394600000000001</v>
      </c>
      <c r="D45" s="40">
        <v>10.532500000000001</v>
      </c>
    </row>
    <row r="47" spans="1:9" ht="10.5" x14ac:dyDescent="0.25">
      <c r="A47" s="18" t="s">
        <v>715</v>
      </c>
    </row>
    <row r="48" spans="1:9" ht="10.5" x14ac:dyDescent="0.25">
      <c r="A48" s="81" t="s">
        <v>68</v>
      </c>
      <c r="B48" s="82"/>
      <c r="C48" s="43" t="s">
        <v>69</v>
      </c>
    </row>
    <row r="49" spans="1:5" x14ac:dyDescent="0.2">
      <c r="A49" s="77" t="s">
        <v>1386</v>
      </c>
      <c r="B49" s="78"/>
      <c r="C49" s="44">
        <v>0.875</v>
      </c>
    </row>
    <row r="50" spans="1:5" x14ac:dyDescent="0.2">
      <c r="A50" s="77" t="s">
        <v>73</v>
      </c>
      <c r="B50" s="78"/>
      <c r="C50" s="44">
        <v>0.42</v>
      </c>
    </row>
    <row r="51" spans="1:5" x14ac:dyDescent="0.2">
      <c r="A51" s="77" t="s">
        <v>76</v>
      </c>
      <c r="B51" s="78"/>
      <c r="C51" s="44">
        <v>0.42</v>
      </c>
    </row>
    <row r="52" spans="1:5" x14ac:dyDescent="0.2">
      <c r="A52" s="9" t="s">
        <v>70</v>
      </c>
    </row>
    <row r="54" spans="1:5" ht="10.5" x14ac:dyDescent="0.25">
      <c r="A54" s="18" t="s">
        <v>785</v>
      </c>
      <c r="D54" s="42">
        <v>0.673016530630137</v>
      </c>
      <c r="E54" s="13" t="s">
        <v>58</v>
      </c>
    </row>
    <row r="56" spans="1:5" ht="10.5" x14ac:dyDescent="0.25">
      <c r="A56" s="18" t="s">
        <v>786</v>
      </c>
      <c r="D56" s="41" t="s">
        <v>57</v>
      </c>
    </row>
  </sheetData>
  <mergeCells count="5">
    <mergeCell ref="A1:G1"/>
    <mergeCell ref="A48:B48"/>
    <mergeCell ref="A49:B49"/>
    <mergeCell ref="A50:B50"/>
    <mergeCell ref="A51:B51"/>
  </mergeCells>
  <conditionalFormatting sqref="F2:F3 F5:F65536">
    <cfRule type="cellIs" dxfId="4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3"/>
  <sheetViews>
    <sheetView workbookViewId="0">
      <selection sqref="A1:G1"/>
    </sheetView>
  </sheetViews>
  <sheetFormatPr defaultColWidth="9.1796875" defaultRowHeight="10" x14ac:dyDescent="0.2"/>
  <cols>
    <col min="1" max="1" width="38.7265625" style="9" bestFit="1" customWidth="1"/>
    <col min="2" max="2" width="53.2695312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1443</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1441</v>
      </c>
      <c r="B7" s="27" t="s">
        <v>1442</v>
      </c>
      <c r="C7" s="27" t="s">
        <v>1294</v>
      </c>
      <c r="D7" s="31">
        <v>103</v>
      </c>
      <c r="E7" s="29">
        <v>1274.4499000000001</v>
      </c>
      <c r="F7" s="30">
        <v>11.0228677039751</v>
      </c>
      <c r="G7" s="29">
        <v>5.625</v>
      </c>
    </row>
    <row r="8" spans="1:7" x14ac:dyDescent="0.2">
      <c r="A8" s="27" t="s">
        <v>1295</v>
      </c>
      <c r="B8" s="27" t="s">
        <v>1296</v>
      </c>
      <c r="C8" s="27" t="s">
        <v>42</v>
      </c>
      <c r="D8" s="31">
        <v>115</v>
      </c>
      <c r="E8" s="29">
        <v>1183.7490499999999</v>
      </c>
      <c r="F8" s="30">
        <v>10.238385340103401</v>
      </c>
      <c r="G8" s="29">
        <v>3.84</v>
      </c>
    </row>
    <row r="9" spans="1:7" x14ac:dyDescent="0.2">
      <c r="A9" s="27" t="s">
        <v>907</v>
      </c>
      <c r="B9" s="27" t="s">
        <v>908</v>
      </c>
      <c r="C9" s="27" t="s">
        <v>42</v>
      </c>
      <c r="D9" s="31">
        <v>112</v>
      </c>
      <c r="E9" s="29">
        <v>1155.4244799999999</v>
      </c>
      <c r="F9" s="30">
        <v>9.9934027889007506</v>
      </c>
      <c r="G9" s="29">
        <v>3.7749999999999999</v>
      </c>
    </row>
    <row r="10" spans="1:7" x14ac:dyDescent="0.2">
      <c r="A10" s="27" t="s">
        <v>1431</v>
      </c>
      <c r="B10" s="27" t="s">
        <v>1432</v>
      </c>
      <c r="C10" s="27" t="s">
        <v>1294</v>
      </c>
      <c r="D10" s="31">
        <v>85</v>
      </c>
      <c r="E10" s="29">
        <v>1051.8614</v>
      </c>
      <c r="F10" s="30">
        <v>9.0976734786656408</v>
      </c>
      <c r="G10" s="29">
        <v>5.3399000000000001</v>
      </c>
    </row>
    <row r="11" spans="1:7" x14ac:dyDescent="0.2">
      <c r="A11" s="27" t="s">
        <v>1444</v>
      </c>
      <c r="B11" s="27" t="s">
        <v>1445</v>
      </c>
      <c r="C11" s="27" t="s">
        <v>42</v>
      </c>
      <c r="D11" s="31">
        <v>100</v>
      </c>
      <c r="E11" s="29">
        <v>1037.463</v>
      </c>
      <c r="F11" s="30">
        <v>8.9731400165429491</v>
      </c>
      <c r="G11" s="29">
        <v>3.8898999999999999</v>
      </c>
    </row>
    <row r="12" spans="1:7" x14ac:dyDescent="0.2">
      <c r="A12" s="27" t="s">
        <v>1446</v>
      </c>
      <c r="B12" s="27" t="s">
        <v>1447</v>
      </c>
      <c r="C12" s="27" t="s">
        <v>42</v>
      </c>
      <c r="D12" s="31">
        <v>70</v>
      </c>
      <c r="E12" s="29">
        <v>875.16240000000005</v>
      </c>
      <c r="F12" s="30">
        <v>7.5693829586344501</v>
      </c>
      <c r="G12" s="29">
        <v>5.52</v>
      </c>
    </row>
    <row r="13" spans="1:7" x14ac:dyDescent="0.2">
      <c r="A13" s="27" t="s">
        <v>1448</v>
      </c>
      <c r="B13" s="27" t="s">
        <v>1449</v>
      </c>
      <c r="C13" s="27" t="s">
        <v>42</v>
      </c>
      <c r="D13" s="31">
        <v>77</v>
      </c>
      <c r="E13" s="29">
        <v>796.64122999999995</v>
      </c>
      <c r="F13" s="30">
        <v>6.8902440855635296</v>
      </c>
      <c r="G13" s="29">
        <v>3.74</v>
      </c>
    </row>
    <row r="14" spans="1:7" x14ac:dyDescent="0.2">
      <c r="A14" s="27" t="s">
        <v>921</v>
      </c>
      <c r="B14" s="27" t="s">
        <v>922</v>
      </c>
      <c r="C14" s="27" t="s">
        <v>896</v>
      </c>
      <c r="D14" s="31">
        <v>75</v>
      </c>
      <c r="E14" s="29">
        <v>782.77949999999998</v>
      </c>
      <c r="F14" s="30">
        <v>6.7703523456542403</v>
      </c>
      <c r="G14" s="29">
        <v>3.9948999999999999</v>
      </c>
    </row>
    <row r="15" spans="1:7" x14ac:dyDescent="0.2">
      <c r="A15" s="27" t="s">
        <v>1450</v>
      </c>
      <c r="B15" s="27" t="s">
        <v>1451</v>
      </c>
      <c r="C15" s="27" t="s">
        <v>896</v>
      </c>
      <c r="D15" s="31">
        <v>21</v>
      </c>
      <c r="E15" s="29">
        <v>536.01239999999996</v>
      </c>
      <c r="F15" s="30">
        <v>4.6360345533317604</v>
      </c>
      <c r="G15" s="29">
        <v>4.8270999999999997</v>
      </c>
    </row>
    <row r="16" spans="1:7" x14ac:dyDescent="0.2">
      <c r="A16" s="27" t="s">
        <v>1452</v>
      </c>
      <c r="B16" s="27" t="s">
        <v>1453</v>
      </c>
      <c r="C16" s="27" t="s">
        <v>42</v>
      </c>
      <c r="D16" s="31">
        <v>33</v>
      </c>
      <c r="E16" s="29">
        <v>336.64785000000001</v>
      </c>
      <c r="F16" s="30">
        <v>2.91170701443632</v>
      </c>
      <c r="G16" s="29">
        <v>3.7149999999999999</v>
      </c>
    </row>
    <row r="17" spans="1:9" x14ac:dyDescent="0.2">
      <c r="A17" s="27" t="s">
        <v>1454</v>
      </c>
      <c r="B17" s="27" t="s">
        <v>1455</v>
      </c>
      <c r="C17" s="27" t="s">
        <v>42</v>
      </c>
      <c r="D17" s="31">
        <v>32</v>
      </c>
      <c r="E17" s="29">
        <v>328.50976000000003</v>
      </c>
      <c r="F17" s="30">
        <v>2.8413197128774001</v>
      </c>
      <c r="G17" s="29">
        <v>3.5348999999999999</v>
      </c>
    </row>
    <row r="18" spans="1:9" x14ac:dyDescent="0.2">
      <c r="A18" s="27" t="s">
        <v>939</v>
      </c>
      <c r="B18" s="27" t="s">
        <v>940</v>
      </c>
      <c r="C18" s="27" t="s">
        <v>896</v>
      </c>
      <c r="D18" s="31">
        <v>310</v>
      </c>
      <c r="E18" s="29">
        <v>320.20458000000002</v>
      </c>
      <c r="F18" s="30">
        <v>2.7694872301743101</v>
      </c>
      <c r="G18" s="29">
        <v>3.6150000000000002</v>
      </c>
    </row>
    <row r="19" spans="1:9" x14ac:dyDescent="0.2">
      <c r="A19" s="27" t="s">
        <v>1456</v>
      </c>
      <c r="B19" s="27" t="s">
        <v>1457</v>
      </c>
      <c r="C19" s="27" t="s">
        <v>851</v>
      </c>
      <c r="D19" s="31">
        <v>32</v>
      </c>
      <c r="E19" s="29">
        <v>312.72352000000001</v>
      </c>
      <c r="F19" s="30">
        <v>2.7047826586839001</v>
      </c>
      <c r="G19" s="29">
        <v>3.7248999999999999</v>
      </c>
    </row>
    <row r="20" spans="1:9" x14ac:dyDescent="0.2">
      <c r="A20" s="27" t="s">
        <v>1364</v>
      </c>
      <c r="B20" s="27" t="s">
        <v>1365</v>
      </c>
      <c r="C20" s="27" t="s">
        <v>42</v>
      </c>
      <c r="D20" s="31">
        <v>2</v>
      </c>
      <c r="E20" s="29">
        <v>203.40979999999999</v>
      </c>
      <c r="F20" s="30">
        <v>1.7593153839095901</v>
      </c>
      <c r="G20" s="29">
        <v>3.51</v>
      </c>
    </row>
    <row r="21" spans="1:9" x14ac:dyDescent="0.2">
      <c r="A21" s="27" t="s">
        <v>1458</v>
      </c>
      <c r="B21" s="27" t="s">
        <v>1459</v>
      </c>
      <c r="C21" s="27" t="s">
        <v>851</v>
      </c>
      <c r="D21" s="31">
        <v>26</v>
      </c>
      <c r="E21" s="29">
        <v>132.79136</v>
      </c>
      <c r="F21" s="30">
        <v>1.1485281559604199</v>
      </c>
      <c r="G21" s="29">
        <v>4.3150000000000004</v>
      </c>
    </row>
    <row r="22" spans="1:9" x14ac:dyDescent="0.2">
      <c r="A22" s="27" t="s">
        <v>1290</v>
      </c>
      <c r="B22" s="27" t="s">
        <v>1291</v>
      </c>
      <c r="C22" s="27" t="s">
        <v>42</v>
      </c>
      <c r="D22" s="31">
        <v>4</v>
      </c>
      <c r="E22" s="29">
        <v>40.619759999999999</v>
      </c>
      <c r="F22" s="30">
        <v>0.35132510163578901</v>
      </c>
      <c r="G22" s="29">
        <v>5.0199999999999996</v>
      </c>
    </row>
    <row r="23" spans="1:9" x14ac:dyDescent="0.2">
      <c r="A23" s="27" t="s">
        <v>1460</v>
      </c>
      <c r="B23" s="27" t="s">
        <v>1461</v>
      </c>
      <c r="C23" s="27" t="s">
        <v>42</v>
      </c>
      <c r="D23" s="31">
        <v>2</v>
      </c>
      <c r="E23" s="29">
        <v>25.18798</v>
      </c>
      <c r="F23" s="30">
        <v>0.21785381384577901</v>
      </c>
      <c r="G23" s="29">
        <v>4.0374999999999996</v>
      </c>
    </row>
    <row r="24" spans="1:9" x14ac:dyDescent="0.2">
      <c r="A24" s="27" t="s">
        <v>1292</v>
      </c>
      <c r="B24" s="27" t="s">
        <v>1293</v>
      </c>
      <c r="C24" s="27" t="s">
        <v>1294</v>
      </c>
      <c r="D24" s="31">
        <v>2</v>
      </c>
      <c r="E24" s="29">
        <v>24.947620000000001</v>
      </c>
      <c r="F24" s="30">
        <v>0.21577491181806699</v>
      </c>
      <c r="G24" s="29">
        <v>4.0374999999999996</v>
      </c>
    </row>
    <row r="25" spans="1:9" x14ac:dyDescent="0.2">
      <c r="A25" s="27" t="s">
        <v>1462</v>
      </c>
      <c r="B25" s="27" t="s">
        <v>1463</v>
      </c>
      <c r="C25" s="27" t="s">
        <v>42</v>
      </c>
      <c r="D25" s="31">
        <v>1</v>
      </c>
      <c r="E25" s="29">
        <v>10.10371</v>
      </c>
      <c r="F25" s="30">
        <v>8.7388181088429398E-2</v>
      </c>
      <c r="G25" s="29">
        <v>3.5049000000000001</v>
      </c>
    </row>
    <row r="26" spans="1:9" ht="10.5" x14ac:dyDescent="0.25">
      <c r="A26" s="26" t="s">
        <v>43</v>
      </c>
      <c r="B26" s="26"/>
      <c r="C26" s="26"/>
      <c r="D26" s="32"/>
      <c r="E26" s="33">
        <f>SUM(E6:E25)</f>
        <v>10428.689299999998</v>
      </c>
      <c r="F26" s="34">
        <f>SUM(F6:F25)</f>
        <v>90.198965435801824</v>
      </c>
      <c r="G26" s="33"/>
      <c r="H26" s="18"/>
      <c r="I26" s="18"/>
    </row>
    <row r="27" spans="1:9" x14ac:dyDescent="0.2">
      <c r="A27" s="27"/>
      <c r="B27" s="27"/>
      <c r="C27" s="27"/>
      <c r="D27" s="28"/>
      <c r="E27" s="29"/>
      <c r="F27" s="30"/>
      <c r="G27" s="29"/>
    </row>
    <row r="28" spans="1:9" ht="10.5" x14ac:dyDescent="0.25">
      <c r="A28" s="26" t="s">
        <v>44</v>
      </c>
      <c r="B28" s="27"/>
      <c r="C28" s="27"/>
      <c r="D28" s="28"/>
      <c r="E28" s="29"/>
      <c r="F28" s="30"/>
      <c r="G28" s="29"/>
    </row>
    <row r="29" spans="1:9" x14ac:dyDescent="0.2">
      <c r="A29" s="27" t="s">
        <v>951</v>
      </c>
      <c r="B29" s="27" t="s">
        <v>952</v>
      </c>
      <c r="C29" s="27" t="s">
        <v>42</v>
      </c>
      <c r="D29" s="31">
        <v>29</v>
      </c>
      <c r="E29" s="29">
        <v>295.07413000000003</v>
      </c>
      <c r="F29" s="30">
        <v>2.5521310000931101</v>
      </c>
      <c r="G29" s="29">
        <v>3.6871</v>
      </c>
    </row>
    <row r="30" spans="1:9" ht="10.5" x14ac:dyDescent="0.25">
      <c r="A30" s="26" t="s">
        <v>43</v>
      </c>
      <c r="B30" s="26"/>
      <c r="C30" s="26"/>
      <c r="D30" s="32"/>
      <c r="E30" s="33">
        <f>SUM(E28:E29)</f>
        <v>295.07413000000003</v>
      </c>
      <c r="F30" s="34">
        <f>SUM(F28:F29)</f>
        <v>2.5521310000931101</v>
      </c>
      <c r="G30" s="33"/>
      <c r="H30" s="18"/>
      <c r="I30" s="18"/>
    </row>
    <row r="31" spans="1:9" x14ac:dyDescent="0.2">
      <c r="A31" s="27"/>
      <c r="B31" s="27"/>
      <c r="C31" s="27"/>
      <c r="D31" s="28"/>
      <c r="E31" s="29"/>
      <c r="F31" s="30"/>
      <c r="G31" s="29"/>
    </row>
    <row r="32" spans="1:9" ht="10.5" x14ac:dyDescent="0.25">
      <c r="A32" s="26" t="s">
        <v>62</v>
      </c>
      <c r="B32" s="27"/>
      <c r="C32" s="27"/>
      <c r="D32" s="28"/>
      <c r="E32" s="29"/>
      <c r="F32" s="30"/>
      <c r="G32" s="29"/>
    </row>
    <row r="33" spans="1:9" ht="10.5" x14ac:dyDescent="0.25">
      <c r="A33" s="26" t="s">
        <v>63</v>
      </c>
      <c r="B33" s="27"/>
      <c r="C33" s="27"/>
      <c r="D33" s="28"/>
      <c r="E33" s="29"/>
      <c r="F33" s="30"/>
      <c r="G33" s="29"/>
    </row>
    <row r="34" spans="1:9" x14ac:dyDescent="0.2">
      <c r="A34" s="27" t="s">
        <v>797</v>
      </c>
      <c r="B34" s="27" t="s">
        <v>798</v>
      </c>
      <c r="C34" s="27" t="s">
        <v>67</v>
      </c>
      <c r="D34" s="31">
        <v>16</v>
      </c>
      <c r="E34" s="29">
        <v>15.819792</v>
      </c>
      <c r="F34" s="30">
        <v>0.136827249404158</v>
      </c>
      <c r="G34" s="29">
        <v>3.2999000000000001</v>
      </c>
    </row>
    <row r="35" spans="1:9" ht="10.5" x14ac:dyDescent="0.25">
      <c r="A35" s="26" t="s">
        <v>43</v>
      </c>
      <c r="B35" s="26"/>
      <c r="C35" s="26"/>
      <c r="D35" s="32"/>
      <c r="E35" s="33">
        <f>SUM(E33:E34)</f>
        <v>15.819792</v>
      </c>
      <c r="F35" s="34">
        <f>SUM(F33:F34)</f>
        <v>0.136827249404158</v>
      </c>
      <c r="G35" s="33"/>
      <c r="H35" s="18"/>
      <c r="I35" s="18"/>
    </row>
    <row r="36" spans="1:9" x14ac:dyDescent="0.2">
      <c r="A36" s="27"/>
      <c r="B36" s="27"/>
      <c r="C36" s="27"/>
      <c r="D36" s="28"/>
      <c r="E36" s="29"/>
      <c r="F36" s="30"/>
      <c r="G36" s="29"/>
    </row>
    <row r="37" spans="1:9" ht="10.5" x14ac:dyDescent="0.25">
      <c r="A37" s="26" t="s">
        <v>48</v>
      </c>
      <c r="B37" s="26"/>
      <c r="C37" s="26"/>
      <c r="D37" s="32"/>
      <c r="E37" s="33">
        <f>E26+E30+E35</f>
        <v>10739.583221999999</v>
      </c>
      <c r="F37" s="34">
        <f>F26+F30+F35</f>
        <v>92.8879236852991</v>
      </c>
      <c r="G37" s="33"/>
      <c r="H37" s="18"/>
      <c r="I37" s="18"/>
    </row>
    <row r="38" spans="1:9" ht="10.5" x14ac:dyDescent="0.25">
      <c r="A38" s="26"/>
      <c r="B38" s="26"/>
      <c r="C38" s="26"/>
      <c r="D38" s="32"/>
      <c r="E38" s="33"/>
      <c r="F38" s="34"/>
      <c r="G38" s="33"/>
      <c r="H38" s="18"/>
      <c r="I38" s="18"/>
    </row>
    <row r="39" spans="1:9" ht="10.5" x14ac:dyDescent="0.25">
      <c r="A39" s="26" t="s">
        <v>50</v>
      </c>
      <c r="B39" s="26"/>
      <c r="C39" s="26"/>
      <c r="D39" s="32"/>
      <c r="E39" s="33">
        <f>E41-(E26+E30+E35)</f>
        <v>822.28918930000145</v>
      </c>
      <c r="F39" s="34">
        <f>F41-(F26+F30+F35)</f>
        <v>7.1120763147009001</v>
      </c>
      <c r="G39" s="33"/>
      <c r="H39" s="18"/>
      <c r="I39" s="18"/>
    </row>
    <row r="40" spans="1:9" ht="10.5" x14ac:dyDescent="0.25">
      <c r="A40" s="26"/>
      <c r="B40" s="26"/>
      <c r="C40" s="26"/>
      <c r="D40" s="32"/>
      <c r="E40" s="33"/>
      <c r="F40" s="34"/>
      <c r="G40" s="33"/>
      <c r="H40" s="18"/>
      <c r="I40" s="18"/>
    </row>
    <row r="41" spans="1:9" ht="10.5" x14ac:dyDescent="0.25">
      <c r="A41" s="35" t="s">
        <v>49</v>
      </c>
      <c r="B41" s="35"/>
      <c r="C41" s="35"/>
      <c r="D41" s="36"/>
      <c r="E41" s="37">
        <v>11561.872411300001</v>
      </c>
      <c r="F41" s="38">
        <v>100</v>
      </c>
      <c r="G41" s="37"/>
      <c r="H41" s="18"/>
      <c r="I41" s="18"/>
    </row>
    <row r="43" spans="1:9" ht="10.5" x14ac:dyDescent="0.25">
      <c r="A43" s="18" t="s">
        <v>766</v>
      </c>
    </row>
    <row r="45" spans="1:9" ht="10.5" x14ac:dyDescent="0.25">
      <c r="A45" s="18" t="s">
        <v>51</v>
      </c>
    </row>
    <row r="46" spans="1:9" ht="10.5" x14ac:dyDescent="0.25">
      <c r="A46" s="18" t="s">
        <v>713</v>
      </c>
    </row>
    <row r="47" spans="1:9" ht="10.5" x14ac:dyDescent="0.25">
      <c r="A47" s="18" t="s">
        <v>53</v>
      </c>
      <c r="B47" s="18"/>
      <c r="C47" s="39" t="s">
        <v>55</v>
      </c>
      <c r="D47" s="19" t="s">
        <v>714</v>
      </c>
    </row>
    <row r="48" spans="1:9" x14ac:dyDescent="0.2">
      <c r="A48" s="9" t="s">
        <v>71</v>
      </c>
      <c r="C48" s="40">
        <v>11.583299999999999</v>
      </c>
      <c r="D48" s="40">
        <v>12.1981</v>
      </c>
    </row>
    <row r="49" spans="1:5" x14ac:dyDescent="0.2">
      <c r="A49" s="9" t="s">
        <v>1386</v>
      </c>
      <c r="C49" s="40">
        <v>10.836</v>
      </c>
      <c r="D49" s="40">
        <v>10.537800000000001</v>
      </c>
    </row>
    <row r="50" spans="1:5" x14ac:dyDescent="0.2">
      <c r="A50" s="9" t="s">
        <v>73</v>
      </c>
      <c r="C50" s="40">
        <v>10.1881</v>
      </c>
      <c r="D50" s="40">
        <v>10.325699999999999</v>
      </c>
    </row>
    <row r="51" spans="1:5" x14ac:dyDescent="0.2">
      <c r="A51" s="9" t="s">
        <v>74</v>
      </c>
      <c r="C51" s="40">
        <v>11.6998</v>
      </c>
      <c r="D51" s="40">
        <v>12.3207</v>
      </c>
    </row>
    <row r="52" spans="1:5" x14ac:dyDescent="0.2">
      <c r="A52" s="9" t="s">
        <v>78</v>
      </c>
      <c r="C52" s="40">
        <v>10.952999999999999</v>
      </c>
      <c r="D52" s="40">
        <v>10.662800000000001</v>
      </c>
    </row>
    <row r="54" spans="1:5" ht="10.5" x14ac:dyDescent="0.25">
      <c r="A54" s="18" t="s">
        <v>715</v>
      </c>
    </row>
    <row r="55" spans="1:5" ht="10.5" x14ac:dyDescent="0.25">
      <c r="A55" s="81" t="s">
        <v>68</v>
      </c>
      <c r="B55" s="82"/>
      <c r="C55" s="43" t="s">
        <v>69</v>
      </c>
    </row>
    <row r="56" spans="1:5" x14ac:dyDescent="0.2">
      <c r="A56" s="77" t="s">
        <v>1386</v>
      </c>
      <c r="B56" s="78"/>
      <c r="C56" s="44">
        <v>0.86</v>
      </c>
    </row>
    <row r="57" spans="1:5" x14ac:dyDescent="0.2">
      <c r="A57" s="77" t="s">
        <v>73</v>
      </c>
      <c r="B57" s="78"/>
      <c r="C57" s="44">
        <v>0.4</v>
      </c>
    </row>
    <row r="58" spans="1:5" x14ac:dyDescent="0.2">
      <c r="A58" s="77" t="s">
        <v>78</v>
      </c>
      <c r="B58" s="78"/>
      <c r="C58" s="44">
        <v>0.86</v>
      </c>
    </row>
    <row r="59" spans="1:5" x14ac:dyDescent="0.2">
      <c r="A59" s="9" t="s">
        <v>70</v>
      </c>
    </row>
    <row r="61" spans="1:5" ht="10.5" x14ac:dyDescent="0.25">
      <c r="A61" s="18" t="s">
        <v>785</v>
      </c>
      <c r="D61" s="42">
        <v>0.62630673306849305</v>
      </c>
      <c r="E61" s="13" t="s">
        <v>58</v>
      </c>
    </row>
    <row r="63" spans="1:5" ht="10.5" x14ac:dyDescent="0.25">
      <c r="A63" s="18" t="s">
        <v>786</v>
      </c>
      <c r="D63" s="41" t="s">
        <v>57</v>
      </c>
    </row>
  </sheetData>
  <mergeCells count="5">
    <mergeCell ref="A1:G1"/>
    <mergeCell ref="A55:B55"/>
    <mergeCell ref="A56:B56"/>
    <mergeCell ref="A57:B57"/>
    <mergeCell ref="A58:B58"/>
  </mergeCells>
  <conditionalFormatting sqref="F2:F3 F5:F65536">
    <cfRule type="cellIs" dxfId="4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3"/>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1464</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1465</v>
      </c>
      <c r="B7" s="27" t="s">
        <v>1466</v>
      </c>
      <c r="C7" s="27" t="s">
        <v>42</v>
      </c>
      <c r="D7" s="31">
        <v>99</v>
      </c>
      <c r="E7" s="29">
        <v>1242.0777599999999</v>
      </c>
      <c r="F7" s="30">
        <v>10.0636100330338</v>
      </c>
      <c r="G7" s="29">
        <v>4.2499000000000002</v>
      </c>
    </row>
    <row r="8" spans="1:7" x14ac:dyDescent="0.2">
      <c r="A8" s="27" t="s">
        <v>1467</v>
      </c>
      <c r="B8" s="27" t="s">
        <v>1468</v>
      </c>
      <c r="C8" s="27" t="s">
        <v>42</v>
      </c>
      <c r="D8" s="31">
        <v>119</v>
      </c>
      <c r="E8" s="29">
        <v>1225.5655300000001</v>
      </c>
      <c r="F8" s="30">
        <v>9.9298240102523003</v>
      </c>
      <c r="G8" s="29">
        <v>3.6850000000000001</v>
      </c>
    </row>
    <row r="9" spans="1:7" x14ac:dyDescent="0.2">
      <c r="A9" s="27" t="s">
        <v>1421</v>
      </c>
      <c r="B9" s="27" t="s">
        <v>1422</v>
      </c>
      <c r="C9" s="27" t="s">
        <v>42</v>
      </c>
      <c r="D9" s="31">
        <v>119</v>
      </c>
      <c r="E9" s="29">
        <v>1222.5036600000001</v>
      </c>
      <c r="F9" s="30">
        <v>9.9050160097839193</v>
      </c>
      <c r="G9" s="29">
        <v>3.6549</v>
      </c>
    </row>
    <row r="10" spans="1:7" x14ac:dyDescent="0.2">
      <c r="A10" s="27" t="s">
        <v>1469</v>
      </c>
      <c r="B10" s="27" t="s">
        <v>1470</v>
      </c>
      <c r="C10" s="27" t="s">
        <v>896</v>
      </c>
      <c r="D10" s="31">
        <v>100</v>
      </c>
      <c r="E10" s="29">
        <v>1030.223</v>
      </c>
      <c r="F10" s="30">
        <v>8.3471122766598604</v>
      </c>
      <c r="G10" s="29">
        <v>3.5691000000000002</v>
      </c>
    </row>
    <row r="11" spans="1:7" x14ac:dyDescent="0.2">
      <c r="A11" s="27" t="s">
        <v>1471</v>
      </c>
      <c r="B11" s="27" t="s">
        <v>1472</v>
      </c>
      <c r="C11" s="27" t="s">
        <v>42</v>
      </c>
      <c r="D11" s="31">
        <v>100</v>
      </c>
      <c r="E11" s="29">
        <v>1023.693</v>
      </c>
      <c r="F11" s="30">
        <v>8.2942046603800996</v>
      </c>
      <c r="G11" s="29">
        <v>3.74</v>
      </c>
    </row>
    <row r="12" spans="1:7" x14ac:dyDescent="0.2">
      <c r="A12" s="27" t="s">
        <v>1473</v>
      </c>
      <c r="B12" s="27" t="s">
        <v>1474</v>
      </c>
      <c r="C12" s="27" t="s">
        <v>896</v>
      </c>
      <c r="D12" s="31">
        <v>100</v>
      </c>
      <c r="E12" s="29">
        <v>1020.859</v>
      </c>
      <c r="F12" s="30">
        <v>8.2712429169594497</v>
      </c>
      <c r="G12" s="29">
        <v>5.3144999999999998</v>
      </c>
    </row>
    <row r="13" spans="1:7" x14ac:dyDescent="0.2">
      <c r="A13" s="27" t="s">
        <v>1456</v>
      </c>
      <c r="B13" s="27" t="s">
        <v>1457</v>
      </c>
      <c r="C13" s="27" t="s">
        <v>851</v>
      </c>
      <c r="D13" s="31">
        <v>96</v>
      </c>
      <c r="E13" s="29">
        <v>938.17056000000002</v>
      </c>
      <c r="F13" s="30">
        <v>7.6012814691351904</v>
      </c>
      <c r="G13" s="29">
        <v>3.7248999999999999</v>
      </c>
    </row>
    <row r="14" spans="1:7" x14ac:dyDescent="0.2">
      <c r="A14" s="27" t="s">
        <v>923</v>
      </c>
      <c r="B14" s="27" t="s">
        <v>924</v>
      </c>
      <c r="C14" s="27" t="s">
        <v>896</v>
      </c>
      <c r="D14" s="31">
        <v>74</v>
      </c>
      <c r="E14" s="29">
        <v>926.37861999999996</v>
      </c>
      <c r="F14" s="30">
        <v>7.50574036090946</v>
      </c>
      <c r="G14" s="29">
        <v>5.2949999999999999</v>
      </c>
    </row>
    <row r="15" spans="1:7" x14ac:dyDescent="0.2">
      <c r="A15" s="27" t="s">
        <v>1454</v>
      </c>
      <c r="B15" s="27" t="s">
        <v>1455</v>
      </c>
      <c r="C15" s="27" t="s">
        <v>42</v>
      </c>
      <c r="D15" s="31">
        <v>67</v>
      </c>
      <c r="E15" s="29">
        <v>687.81731000000002</v>
      </c>
      <c r="F15" s="30">
        <v>5.5728597715253496</v>
      </c>
      <c r="G15" s="29">
        <v>3.5348999999999999</v>
      </c>
    </row>
    <row r="16" spans="1:7" x14ac:dyDescent="0.2">
      <c r="A16" s="27" t="s">
        <v>1364</v>
      </c>
      <c r="B16" s="27" t="s">
        <v>1365</v>
      </c>
      <c r="C16" s="27" t="s">
        <v>42</v>
      </c>
      <c r="D16" s="31">
        <v>5</v>
      </c>
      <c r="E16" s="29">
        <v>508.52449999999999</v>
      </c>
      <c r="F16" s="30">
        <v>4.1201866944654899</v>
      </c>
      <c r="G16" s="29">
        <v>3.51</v>
      </c>
    </row>
    <row r="17" spans="1:9" x14ac:dyDescent="0.2">
      <c r="A17" s="27" t="s">
        <v>947</v>
      </c>
      <c r="B17" s="27" t="s">
        <v>948</v>
      </c>
      <c r="C17" s="27" t="s">
        <v>42</v>
      </c>
      <c r="D17" s="31">
        <v>46</v>
      </c>
      <c r="E17" s="29">
        <v>476.12668000000002</v>
      </c>
      <c r="F17" s="30">
        <v>3.85769183552814</v>
      </c>
      <c r="G17" s="29">
        <v>3.51</v>
      </c>
    </row>
    <row r="18" spans="1:9" x14ac:dyDescent="0.2">
      <c r="A18" s="27" t="s">
        <v>1448</v>
      </c>
      <c r="B18" s="27" t="s">
        <v>1449</v>
      </c>
      <c r="C18" s="27" t="s">
        <v>42</v>
      </c>
      <c r="D18" s="31">
        <v>23</v>
      </c>
      <c r="E18" s="29">
        <v>237.95777000000001</v>
      </c>
      <c r="F18" s="30">
        <v>1.92799056446381</v>
      </c>
      <c r="G18" s="29">
        <v>3.74</v>
      </c>
    </row>
    <row r="19" spans="1:9" x14ac:dyDescent="0.2">
      <c r="A19" s="27" t="s">
        <v>1429</v>
      </c>
      <c r="B19" s="27" t="s">
        <v>1430</v>
      </c>
      <c r="C19" s="27" t="s">
        <v>42</v>
      </c>
      <c r="D19" s="31">
        <v>20</v>
      </c>
      <c r="E19" s="29">
        <v>203.6472</v>
      </c>
      <c r="F19" s="30">
        <v>1.6499981491651901</v>
      </c>
      <c r="G19" s="29">
        <v>3.7149999999999999</v>
      </c>
    </row>
    <row r="20" spans="1:9" x14ac:dyDescent="0.2">
      <c r="A20" s="27" t="s">
        <v>1452</v>
      </c>
      <c r="B20" s="27" t="s">
        <v>1453</v>
      </c>
      <c r="C20" s="27" t="s">
        <v>42</v>
      </c>
      <c r="D20" s="31">
        <v>17</v>
      </c>
      <c r="E20" s="29">
        <v>173.42465000000001</v>
      </c>
      <c r="F20" s="30">
        <v>1.40512784619489</v>
      </c>
      <c r="G20" s="29">
        <v>3.7149999999999999</v>
      </c>
    </row>
    <row r="21" spans="1:9" x14ac:dyDescent="0.2">
      <c r="A21" s="27" t="s">
        <v>1292</v>
      </c>
      <c r="B21" s="27" t="s">
        <v>1293</v>
      </c>
      <c r="C21" s="27" t="s">
        <v>1294</v>
      </c>
      <c r="D21" s="31">
        <v>2</v>
      </c>
      <c r="E21" s="29">
        <v>24.947620000000001</v>
      </c>
      <c r="F21" s="30">
        <v>0.202131562948454</v>
      </c>
      <c r="G21" s="29">
        <v>4.0374999999999996</v>
      </c>
    </row>
    <row r="22" spans="1:9" x14ac:dyDescent="0.2">
      <c r="A22" s="27" t="s">
        <v>1458</v>
      </c>
      <c r="B22" s="27" t="s">
        <v>1459</v>
      </c>
      <c r="C22" s="27" t="s">
        <v>851</v>
      </c>
      <c r="D22" s="31">
        <v>4</v>
      </c>
      <c r="E22" s="29">
        <v>20.42944</v>
      </c>
      <c r="F22" s="30">
        <v>0.16552419178108599</v>
      </c>
      <c r="G22" s="29">
        <v>4.3150000000000004</v>
      </c>
    </row>
    <row r="23" spans="1:9" x14ac:dyDescent="0.2">
      <c r="A23" s="27" t="s">
        <v>1460</v>
      </c>
      <c r="B23" s="27" t="s">
        <v>1461</v>
      </c>
      <c r="C23" s="27" t="s">
        <v>42</v>
      </c>
      <c r="D23" s="31">
        <v>1</v>
      </c>
      <c r="E23" s="29">
        <v>12.59399</v>
      </c>
      <c r="F23" s="30">
        <v>0.10203950847644799</v>
      </c>
      <c r="G23" s="29">
        <v>4.0374999999999996</v>
      </c>
    </row>
    <row r="24" spans="1:9" ht="10.5" x14ac:dyDescent="0.25">
      <c r="A24" s="26" t="s">
        <v>43</v>
      </c>
      <c r="B24" s="26"/>
      <c r="C24" s="26"/>
      <c r="D24" s="32"/>
      <c r="E24" s="33">
        <f>SUM(E6:E23)</f>
        <v>10974.94029</v>
      </c>
      <c r="F24" s="34">
        <f>SUM(F6:F23)</f>
        <v>88.921581861662929</v>
      </c>
      <c r="G24" s="33"/>
      <c r="H24" s="18"/>
      <c r="I24" s="18"/>
    </row>
    <row r="25" spans="1:9" x14ac:dyDescent="0.2">
      <c r="A25" s="27"/>
      <c r="B25" s="27"/>
      <c r="C25" s="27"/>
      <c r="D25" s="28"/>
      <c r="E25" s="29"/>
      <c r="F25" s="30"/>
      <c r="G25" s="29"/>
    </row>
    <row r="26" spans="1:9" ht="10.5" x14ac:dyDescent="0.25">
      <c r="A26" s="26" t="s">
        <v>44</v>
      </c>
      <c r="B26" s="27"/>
      <c r="C26" s="27"/>
      <c r="D26" s="28"/>
      <c r="E26" s="29"/>
      <c r="F26" s="30"/>
      <c r="G26" s="29"/>
    </row>
    <row r="27" spans="1:9" x14ac:dyDescent="0.2">
      <c r="A27" s="27" t="s">
        <v>951</v>
      </c>
      <c r="B27" s="27" t="s">
        <v>952</v>
      </c>
      <c r="C27" s="27" t="s">
        <v>42</v>
      </c>
      <c r="D27" s="31">
        <v>37</v>
      </c>
      <c r="E27" s="29">
        <v>376.47388999999998</v>
      </c>
      <c r="F27" s="30">
        <v>3.0502811809296602</v>
      </c>
      <c r="G27" s="29">
        <v>3.6871</v>
      </c>
    </row>
    <row r="28" spans="1:9" ht="10.5" x14ac:dyDescent="0.25">
      <c r="A28" s="26" t="s">
        <v>43</v>
      </c>
      <c r="B28" s="26"/>
      <c r="C28" s="26"/>
      <c r="D28" s="32"/>
      <c r="E28" s="33">
        <f>SUM(E26:E27)</f>
        <v>376.47388999999998</v>
      </c>
      <c r="F28" s="34">
        <f>SUM(F26:F27)</f>
        <v>3.0502811809296602</v>
      </c>
      <c r="G28" s="33"/>
      <c r="H28" s="18"/>
      <c r="I28" s="18"/>
    </row>
    <row r="29" spans="1:9" x14ac:dyDescent="0.2">
      <c r="A29" s="27"/>
      <c r="B29" s="27"/>
      <c r="C29" s="27"/>
      <c r="D29" s="28"/>
      <c r="E29" s="29"/>
      <c r="F29" s="30"/>
      <c r="G29" s="29"/>
    </row>
    <row r="30" spans="1:9" ht="10.5" x14ac:dyDescent="0.25">
      <c r="A30" s="26" t="s">
        <v>62</v>
      </c>
      <c r="B30" s="27"/>
      <c r="C30" s="27"/>
      <c r="D30" s="28"/>
      <c r="E30" s="29"/>
      <c r="F30" s="30"/>
      <c r="G30" s="29"/>
    </row>
    <row r="31" spans="1:9" ht="10.5" x14ac:dyDescent="0.25">
      <c r="A31" s="26" t="s">
        <v>63</v>
      </c>
      <c r="B31" s="27"/>
      <c r="C31" s="27"/>
      <c r="D31" s="28"/>
      <c r="E31" s="29"/>
      <c r="F31" s="30"/>
      <c r="G31" s="29"/>
    </row>
    <row r="32" spans="1:9" x14ac:dyDescent="0.2">
      <c r="A32" s="27" t="s">
        <v>797</v>
      </c>
      <c r="B32" s="27" t="s">
        <v>798</v>
      </c>
      <c r="C32" s="27" t="s">
        <v>67</v>
      </c>
      <c r="D32" s="31">
        <v>112</v>
      </c>
      <c r="E32" s="29">
        <v>110.738544</v>
      </c>
      <c r="F32" s="30">
        <v>0.89723007554853496</v>
      </c>
      <c r="G32" s="29">
        <v>3.2999000000000001</v>
      </c>
    </row>
    <row r="33" spans="1:9" ht="10.5" x14ac:dyDescent="0.25">
      <c r="A33" s="26" t="s">
        <v>43</v>
      </c>
      <c r="B33" s="26"/>
      <c r="C33" s="26"/>
      <c r="D33" s="32"/>
      <c r="E33" s="33">
        <f>SUM(E31:E32)</f>
        <v>110.738544</v>
      </c>
      <c r="F33" s="34">
        <f>SUM(F31:F32)</f>
        <v>0.89723007554853496</v>
      </c>
      <c r="G33" s="33"/>
      <c r="H33" s="18"/>
      <c r="I33" s="18"/>
    </row>
    <row r="34" spans="1:9" x14ac:dyDescent="0.2">
      <c r="A34" s="27"/>
      <c r="B34" s="27"/>
      <c r="C34" s="27"/>
      <c r="D34" s="28"/>
      <c r="E34" s="29"/>
      <c r="F34" s="30"/>
      <c r="G34" s="29"/>
    </row>
    <row r="35" spans="1:9" ht="10.5" x14ac:dyDescent="0.25">
      <c r="A35" s="26" t="s">
        <v>48</v>
      </c>
      <c r="B35" s="26"/>
      <c r="C35" s="26"/>
      <c r="D35" s="32"/>
      <c r="E35" s="33">
        <f>E24+E28+E33</f>
        <v>11462.152724</v>
      </c>
      <c r="F35" s="34">
        <f>F24+F28+F33</f>
        <v>92.869093118141123</v>
      </c>
      <c r="G35" s="33"/>
      <c r="H35" s="18"/>
      <c r="I35" s="18"/>
    </row>
    <row r="36" spans="1:9" ht="10.5" x14ac:dyDescent="0.25">
      <c r="A36" s="26"/>
      <c r="B36" s="26"/>
      <c r="C36" s="26"/>
      <c r="D36" s="32"/>
      <c r="E36" s="33"/>
      <c r="F36" s="34"/>
      <c r="G36" s="33"/>
      <c r="H36" s="18"/>
      <c r="I36" s="18"/>
    </row>
    <row r="37" spans="1:9" ht="10.5" x14ac:dyDescent="0.25">
      <c r="A37" s="26" t="s">
        <v>50</v>
      </c>
      <c r="B37" s="26"/>
      <c r="C37" s="26"/>
      <c r="D37" s="32"/>
      <c r="E37" s="33">
        <f>E39-(E24+E28+E33)</f>
        <v>880.11566599999969</v>
      </c>
      <c r="F37" s="34">
        <f>F39-(F24+F28+F33)</f>
        <v>7.130906881858877</v>
      </c>
      <c r="G37" s="33"/>
      <c r="H37" s="18"/>
      <c r="I37" s="18"/>
    </row>
    <row r="38" spans="1:9" ht="10.5" x14ac:dyDescent="0.25">
      <c r="A38" s="26"/>
      <c r="B38" s="26"/>
      <c r="C38" s="26"/>
      <c r="D38" s="32"/>
      <c r="E38" s="33"/>
      <c r="F38" s="34"/>
      <c r="G38" s="33"/>
      <c r="H38" s="18"/>
      <c r="I38" s="18"/>
    </row>
    <row r="39" spans="1:9" ht="10.5" x14ac:dyDescent="0.25">
      <c r="A39" s="35" t="s">
        <v>49</v>
      </c>
      <c r="B39" s="35"/>
      <c r="C39" s="35"/>
      <c r="D39" s="36"/>
      <c r="E39" s="37">
        <v>12342.268389999999</v>
      </c>
      <c r="F39" s="38">
        <v>100</v>
      </c>
      <c r="G39" s="37"/>
      <c r="H39" s="18"/>
      <c r="I39" s="18"/>
    </row>
    <row r="41" spans="1:9" ht="10.5" x14ac:dyDescent="0.25">
      <c r="A41" s="18" t="s">
        <v>766</v>
      </c>
    </row>
    <row r="43" spans="1:9" ht="10.5" x14ac:dyDescent="0.25">
      <c r="A43" s="18" t="s">
        <v>51</v>
      </c>
    </row>
    <row r="44" spans="1:9" ht="10.5" x14ac:dyDescent="0.25">
      <c r="A44" s="18" t="s">
        <v>713</v>
      </c>
    </row>
    <row r="45" spans="1:9" ht="10.5" x14ac:dyDescent="0.25">
      <c r="A45" s="18" t="s">
        <v>53</v>
      </c>
      <c r="B45" s="18"/>
      <c r="C45" s="39" t="s">
        <v>55</v>
      </c>
      <c r="D45" s="19" t="s">
        <v>714</v>
      </c>
    </row>
    <row r="46" spans="1:9" x14ac:dyDescent="0.2">
      <c r="A46" s="9" t="s">
        <v>71</v>
      </c>
      <c r="C46" s="40">
        <v>11.6534</v>
      </c>
      <c r="D46" s="40">
        <v>12.240600000000001</v>
      </c>
    </row>
    <row r="47" spans="1:9" x14ac:dyDescent="0.2">
      <c r="A47" s="9" t="s">
        <v>1386</v>
      </c>
      <c r="C47" s="40">
        <v>10.9595</v>
      </c>
      <c r="D47" s="40">
        <v>10.6084</v>
      </c>
    </row>
    <row r="48" spans="1:9" x14ac:dyDescent="0.2">
      <c r="A48" s="9" t="s">
        <v>73</v>
      </c>
      <c r="C48" s="40">
        <v>10.2715</v>
      </c>
      <c r="D48" s="40">
        <v>10.403700000000001</v>
      </c>
    </row>
    <row r="49" spans="1:5" x14ac:dyDescent="0.2">
      <c r="A49" s="9" t="s">
        <v>74</v>
      </c>
      <c r="C49" s="40">
        <v>11.770200000000001</v>
      </c>
      <c r="D49" s="40">
        <v>12.363300000000001</v>
      </c>
    </row>
    <row r="50" spans="1:5" x14ac:dyDescent="0.2">
      <c r="A50" s="9" t="s">
        <v>78</v>
      </c>
      <c r="C50" s="40">
        <v>11.0764</v>
      </c>
      <c r="D50" s="40">
        <v>10.732100000000001</v>
      </c>
    </row>
    <row r="51" spans="1:5" x14ac:dyDescent="0.2">
      <c r="A51" s="9" t="s">
        <v>76</v>
      </c>
      <c r="C51" s="40">
        <v>10.340199999999999</v>
      </c>
      <c r="D51" s="40">
        <v>10.4748</v>
      </c>
    </row>
    <row r="53" spans="1:5" ht="10.5" x14ac:dyDescent="0.25">
      <c r="A53" s="18" t="s">
        <v>715</v>
      </c>
    </row>
    <row r="54" spans="1:5" ht="10.5" x14ac:dyDescent="0.25">
      <c r="A54" s="81" t="s">
        <v>68</v>
      </c>
      <c r="B54" s="82"/>
      <c r="C54" s="43" t="s">
        <v>69</v>
      </c>
    </row>
    <row r="55" spans="1:5" x14ac:dyDescent="0.2">
      <c r="A55" s="77" t="s">
        <v>1386</v>
      </c>
      <c r="B55" s="78"/>
      <c r="C55" s="44">
        <v>0.88500000000000001</v>
      </c>
    </row>
    <row r="56" spans="1:5" x14ac:dyDescent="0.2">
      <c r="A56" s="77" t="s">
        <v>73</v>
      </c>
      <c r="B56" s="78"/>
      <c r="C56" s="44">
        <v>0.38</v>
      </c>
    </row>
    <row r="57" spans="1:5" x14ac:dyDescent="0.2">
      <c r="A57" s="77" t="s">
        <v>78</v>
      </c>
      <c r="B57" s="78"/>
      <c r="C57" s="44">
        <v>0.88500000000000001</v>
      </c>
    </row>
    <row r="58" spans="1:5" x14ac:dyDescent="0.2">
      <c r="A58" s="77" t="s">
        <v>76</v>
      </c>
      <c r="B58" s="78"/>
      <c r="C58" s="44">
        <v>0.38</v>
      </c>
    </row>
    <row r="59" spans="1:5" x14ac:dyDescent="0.2">
      <c r="A59" s="9" t="s">
        <v>70</v>
      </c>
    </row>
    <row r="61" spans="1:5" ht="10.5" x14ac:dyDescent="0.25">
      <c r="A61" s="18" t="s">
        <v>785</v>
      </c>
      <c r="D61" s="42">
        <v>0.54261689208219199</v>
      </c>
      <c r="E61" s="13" t="s">
        <v>58</v>
      </c>
    </row>
    <row r="63" spans="1:5" ht="10.5" x14ac:dyDescent="0.25">
      <c r="A63" s="18" t="s">
        <v>786</v>
      </c>
      <c r="D63" s="41" t="s">
        <v>57</v>
      </c>
    </row>
  </sheetData>
  <mergeCells count="6">
    <mergeCell ref="A58:B58"/>
    <mergeCell ref="A1:G1"/>
    <mergeCell ref="A54:B54"/>
    <mergeCell ref="A55:B55"/>
    <mergeCell ref="A56:B56"/>
    <mergeCell ref="A57:B57"/>
  </mergeCells>
  <conditionalFormatting sqref="F2:F3 F5:F65536">
    <cfRule type="cellIs" dxfId="4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0"/>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1475</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1429</v>
      </c>
      <c r="B7" s="27" t="s">
        <v>1430</v>
      </c>
      <c r="C7" s="27" t="s">
        <v>42</v>
      </c>
      <c r="D7" s="31">
        <v>105</v>
      </c>
      <c r="E7" s="29">
        <v>1069.1478</v>
      </c>
      <c r="F7" s="30">
        <v>10.136194405637299</v>
      </c>
      <c r="G7" s="29">
        <v>3.7149999999999999</v>
      </c>
    </row>
    <row r="8" spans="1:7" x14ac:dyDescent="0.2">
      <c r="A8" s="27" t="s">
        <v>1476</v>
      </c>
      <c r="B8" s="27" t="s">
        <v>1477</v>
      </c>
      <c r="C8" s="27" t="s">
        <v>896</v>
      </c>
      <c r="D8" s="31">
        <v>100</v>
      </c>
      <c r="E8" s="29">
        <v>1021.285</v>
      </c>
      <c r="F8" s="30">
        <v>9.6824249215695808</v>
      </c>
      <c r="G8" s="29">
        <v>3.6364999999999998</v>
      </c>
    </row>
    <row r="9" spans="1:7" x14ac:dyDescent="0.2">
      <c r="A9" s="27" t="s">
        <v>1458</v>
      </c>
      <c r="B9" s="27" t="s">
        <v>1459</v>
      </c>
      <c r="C9" s="27" t="s">
        <v>851</v>
      </c>
      <c r="D9" s="31">
        <v>170</v>
      </c>
      <c r="E9" s="29">
        <v>868.25120000000004</v>
      </c>
      <c r="F9" s="30">
        <v>8.2315681294278207</v>
      </c>
      <c r="G9" s="29">
        <v>4.3150000000000004</v>
      </c>
    </row>
    <row r="10" spans="1:7" x14ac:dyDescent="0.2">
      <c r="A10" s="27" t="s">
        <v>1478</v>
      </c>
      <c r="B10" s="27" t="s">
        <v>1479</v>
      </c>
      <c r="C10" s="27" t="s">
        <v>851</v>
      </c>
      <c r="D10" s="31">
        <v>78</v>
      </c>
      <c r="E10" s="29">
        <v>793.94640000000004</v>
      </c>
      <c r="F10" s="30">
        <v>7.5271118343561803</v>
      </c>
      <c r="G10" s="29">
        <v>4.0374999999999996</v>
      </c>
    </row>
    <row r="11" spans="1:7" x14ac:dyDescent="0.2">
      <c r="A11" s="27" t="s">
        <v>923</v>
      </c>
      <c r="B11" s="27" t="s">
        <v>924</v>
      </c>
      <c r="C11" s="27" t="s">
        <v>896</v>
      </c>
      <c r="D11" s="31">
        <v>63</v>
      </c>
      <c r="E11" s="29">
        <v>788.67368999999997</v>
      </c>
      <c r="F11" s="30">
        <v>7.4771232232356697</v>
      </c>
      <c r="G11" s="29">
        <v>5.2949999999999999</v>
      </c>
    </row>
    <row r="12" spans="1:7" x14ac:dyDescent="0.2">
      <c r="A12" s="27" t="s">
        <v>1465</v>
      </c>
      <c r="B12" s="27" t="s">
        <v>1466</v>
      </c>
      <c r="C12" s="27" t="s">
        <v>42</v>
      </c>
      <c r="D12" s="31">
        <v>50</v>
      </c>
      <c r="E12" s="29">
        <v>627.31200000000001</v>
      </c>
      <c r="F12" s="30">
        <v>5.9473127896714999</v>
      </c>
      <c r="G12" s="29">
        <v>4.2499000000000002</v>
      </c>
    </row>
    <row r="13" spans="1:7" x14ac:dyDescent="0.2">
      <c r="A13" s="27" t="s">
        <v>1480</v>
      </c>
      <c r="B13" s="27" t="s">
        <v>1481</v>
      </c>
      <c r="C13" s="27" t="s">
        <v>896</v>
      </c>
      <c r="D13" s="31">
        <v>52</v>
      </c>
      <c r="E13" s="29">
        <v>529.20659999999998</v>
      </c>
      <c r="F13" s="30">
        <v>5.0172118189331103</v>
      </c>
      <c r="G13" s="29">
        <v>3.569</v>
      </c>
    </row>
    <row r="14" spans="1:7" x14ac:dyDescent="0.2">
      <c r="A14" s="27" t="s">
        <v>1482</v>
      </c>
      <c r="B14" s="27" t="s">
        <v>1483</v>
      </c>
      <c r="C14" s="27" t="s">
        <v>896</v>
      </c>
      <c r="D14" s="31">
        <v>50</v>
      </c>
      <c r="E14" s="29">
        <v>516.33699999999999</v>
      </c>
      <c r="F14" s="30">
        <v>4.8951999067140601</v>
      </c>
      <c r="G14" s="29">
        <v>4.0750000000000002</v>
      </c>
    </row>
    <row r="15" spans="1:7" x14ac:dyDescent="0.2">
      <c r="A15" s="27" t="s">
        <v>1452</v>
      </c>
      <c r="B15" s="27" t="s">
        <v>1453</v>
      </c>
      <c r="C15" s="27" t="s">
        <v>42</v>
      </c>
      <c r="D15" s="31">
        <v>50</v>
      </c>
      <c r="E15" s="29">
        <v>510.07249999999999</v>
      </c>
      <c r="F15" s="30">
        <v>4.8358085018455199</v>
      </c>
      <c r="G15" s="29">
        <v>3.7149999999999999</v>
      </c>
    </row>
    <row r="16" spans="1:7" x14ac:dyDescent="0.2">
      <c r="A16" s="27" t="s">
        <v>1460</v>
      </c>
      <c r="B16" s="27" t="s">
        <v>1461</v>
      </c>
      <c r="C16" s="27" t="s">
        <v>42</v>
      </c>
      <c r="D16" s="31">
        <v>39</v>
      </c>
      <c r="E16" s="29">
        <v>491.16561000000002</v>
      </c>
      <c r="F16" s="30">
        <v>4.6565592786361503</v>
      </c>
      <c r="G16" s="29">
        <v>4.0374999999999996</v>
      </c>
    </row>
    <row r="17" spans="1:9" x14ac:dyDescent="0.2">
      <c r="A17" s="27" t="s">
        <v>1467</v>
      </c>
      <c r="B17" s="27" t="s">
        <v>1468</v>
      </c>
      <c r="C17" s="27" t="s">
        <v>42</v>
      </c>
      <c r="D17" s="31">
        <v>31</v>
      </c>
      <c r="E17" s="29">
        <v>319.26497000000001</v>
      </c>
      <c r="F17" s="30">
        <v>3.0268329625052401</v>
      </c>
      <c r="G17" s="29">
        <v>3.6850000000000001</v>
      </c>
    </row>
    <row r="18" spans="1:9" x14ac:dyDescent="0.2">
      <c r="A18" s="27" t="s">
        <v>945</v>
      </c>
      <c r="B18" s="27" t="s">
        <v>946</v>
      </c>
      <c r="C18" s="27" t="s">
        <v>42</v>
      </c>
      <c r="D18" s="31">
        <v>28</v>
      </c>
      <c r="E18" s="29">
        <v>284.29939999999999</v>
      </c>
      <c r="F18" s="30">
        <v>2.69533734045568</v>
      </c>
      <c r="G18" s="29">
        <v>3.4649000000000001</v>
      </c>
    </row>
    <row r="19" spans="1:9" x14ac:dyDescent="0.2">
      <c r="A19" s="27" t="s">
        <v>1484</v>
      </c>
      <c r="B19" s="27" t="s">
        <v>1485</v>
      </c>
      <c r="C19" s="27" t="s">
        <v>42</v>
      </c>
      <c r="D19" s="31">
        <v>26</v>
      </c>
      <c r="E19" s="29">
        <v>266.17604</v>
      </c>
      <c r="F19" s="30">
        <v>2.5235164750492798</v>
      </c>
      <c r="G19" s="29">
        <v>3.7149999999999999</v>
      </c>
    </row>
    <row r="20" spans="1:9" x14ac:dyDescent="0.2">
      <c r="A20" s="27" t="s">
        <v>1486</v>
      </c>
      <c r="B20" s="27" t="s">
        <v>1487</v>
      </c>
      <c r="C20" s="27" t="s">
        <v>42</v>
      </c>
      <c r="D20" s="31">
        <v>21</v>
      </c>
      <c r="E20" s="29">
        <v>262.99097999999998</v>
      </c>
      <c r="F20" s="30">
        <v>2.4933201005596</v>
      </c>
      <c r="G20" s="29">
        <v>3.6999</v>
      </c>
    </row>
    <row r="21" spans="1:9" x14ac:dyDescent="0.2">
      <c r="A21" s="27" t="s">
        <v>1364</v>
      </c>
      <c r="B21" s="27" t="s">
        <v>1365</v>
      </c>
      <c r="C21" s="27" t="s">
        <v>42</v>
      </c>
      <c r="D21" s="31">
        <v>1</v>
      </c>
      <c r="E21" s="29">
        <v>101.70489999999999</v>
      </c>
      <c r="F21" s="30">
        <v>0.96422649740840405</v>
      </c>
      <c r="G21" s="29">
        <v>3.51</v>
      </c>
    </row>
    <row r="22" spans="1:9" x14ac:dyDescent="0.2">
      <c r="A22" s="27" t="s">
        <v>1292</v>
      </c>
      <c r="B22" s="27" t="s">
        <v>1293</v>
      </c>
      <c r="C22" s="27" t="s">
        <v>1294</v>
      </c>
      <c r="D22" s="31">
        <v>6</v>
      </c>
      <c r="E22" s="29">
        <v>74.842860000000002</v>
      </c>
      <c r="F22" s="30">
        <v>0.70955744269772203</v>
      </c>
      <c r="G22" s="29">
        <v>4.0374999999999996</v>
      </c>
    </row>
    <row r="23" spans="1:9" x14ac:dyDescent="0.2">
      <c r="A23" s="27" t="s">
        <v>947</v>
      </c>
      <c r="B23" s="27" t="s">
        <v>948</v>
      </c>
      <c r="C23" s="27" t="s">
        <v>42</v>
      </c>
      <c r="D23" s="31">
        <v>2</v>
      </c>
      <c r="E23" s="29">
        <v>20.701160000000002</v>
      </c>
      <c r="F23" s="30">
        <v>0.19626003269351799</v>
      </c>
      <c r="G23" s="29">
        <v>3.51</v>
      </c>
    </row>
    <row r="24" spans="1:9" x14ac:dyDescent="0.2">
      <c r="A24" s="27" t="s">
        <v>1290</v>
      </c>
      <c r="B24" s="27" t="s">
        <v>1291</v>
      </c>
      <c r="C24" s="27" t="s">
        <v>42</v>
      </c>
      <c r="D24" s="31">
        <v>1</v>
      </c>
      <c r="E24" s="29">
        <v>10.15494</v>
      </c>
      <c r="F24" s="30">
        <v>9.6275225948725202E-2</v>
      </c>
      <c r="G24" s="29">
        <v>5.0199999999999996</v>
      </c>
    </row>
    <row r="25" spans="1:9" x14ac:dyDescent="0.2">
      <c r="A25" s="27" t="s">
        <v>1488</v>
      </c>
      <c r="B25" s="27" t="s">
        <v>1489</v>
      </c>
      <c r="C25" s="27" t="s">
        <v>42</v>
      </c>
      <c r="D25" s="31">
        <v>1</v>
      </c>
      <c r="E25" s="29">
        <v>10.08713</v>
      </c>
      <c r="F25" s="30">
        <v>9.5632344447546105E-2</v>
      </c>
      <c r="G25" s="29">
        <v>3.47</v>
      </c>
    </row>
    <row r="26" spans="1:9" ht="10.5" x14ac:dyDescent="0.25">
      <c r="A26" s="26" t="s">
        <v>43</v>
      </c>
      <c r="B26" s="26"/>
      <c r="C26" s="26"/>
      <c r="D26" s="32"/>
      <c r="E26" s="33">
        <f>SUM(E6:E25)</f>
        <v>8565.6201800000017</v>
      </c>
      <c r="F26" s="34">
        <f>SUM(F6:F25)</f>
        <v>81.207473231792605</v>
      </c>
      <c r="G26" s="33"/>
      <c r="H26" s="18"/>
      <c r="I26" s="18"/>
    </row>
    <row r="27" spans="1:9" x14ac:dyDescent="0.2">
      <c r="A27" s="27"/>
      <c r="B27" s="27"/>
      <c r="C27" s="27"/>
      <c r="D27" s="28"/>
      <c r="E27" s="29"/>
      <c r="F27" s="30"/>
      <c r="G27" s="29"/>
    </row>
    <row r="28" spans="1:9" ht="10.5" x14ac:dyDescent="0.25">
      <c r="A28" s="26" t="s">
        <v>44</v>
      </c>
      <c r="B28" s="27"/>
      <c r="C28" s="27"/>
      <c r="D28" s="28"/>
      <c r="E28" s="29"/>
      <c r="F28" s="30"/>
      <c r="G28" s="29"/>
    </row>
    <row r="29" spans="1:9" x14ac:dyDescent="0.2">
      <c r="A29" s="27" t="s">
        <v>1490</v>
      </c>
      <c r="B29" s="27" t="s">
        <v>1491</v>
      </c>
      <c r="C29" s="27" t="s">
        <v>851</v>
      </c>
      <c r="D29" s="31">
        <v>95</v>
      </c>
      <c r="E29" s="29">
        <v>960.93925000000002</v>
      </c>
      <c r="F29" s="30">
        <v>9.1103092107632797</v>
      </c>
      <c r="G29" s="29">
        <v>4.2698999999999998</v>
      </c>
    </row>
    <row r="30" spans="1:9" x14ac:dyDescent="0.2">
      <c r="A30" s="27" t="s">
        <v>951</v>
      </c>
      <c r="B30" s="27" t="s">
        <v>952</v>
      </c>
      <c r="C30" s="27" t="s">
        <v>42</v>
      </c>
      <c r="D30" s="31">
        <v>3</v>
      </c>
      <c r="E30" s="29">
        <v>30.524909999999998</v>
      </c>
      <c r="F30" s="30">
        <v>0.28939536888593098</v>
      </c>
      <c r="G30" s="29">
        <v>3.6871</v>
      </c>
    </row>
    <row r="31" spans="1:9" ht="10.5" x14ac:dyDescent="0.25">
      <c r="A31" s="26" t="s">
        <v>43</v>
      </c>
      <c r="B31" s="26"/>
      <c r="C31" s="26"/>
      <c r="D31" s="32"/>
      <c r="E31" s="33">
        <f>SUM(E28:E30)</f>
        <v>991.46415999999999</v>
      </c>
      <c r="F31" s="34">
        <f>SUM(F28:F30)</f>
        <v>9.3997045796492102</v>
      </c>
      <c r="G31" s="33"/>
      <c r="H31" s="18"/>
      <c r="I31" s="18"/>
    </row>
    <row r="32" spans="1:9" x14ac:dyDescent="0.2">
      <c r="A32" s="27"/>
      <c r="B32" s="27"/>
      <c r="C32" s="27"/>
      <c r="D32" s="28"/>
      <c r="E32" s="29"/>
      <c r="F32" s="30"/>
      <c r="G32" s="29"/>
    </row>
    <row r="33" spans="1:9" ht="10.5" x14ac:dyDescent="0.25">
      <c r="A33" s="26" t="s">
        <v>62</v>
      </c>
      <c r="B33" s="27"/>
      <c r="C33" s="27"/>
      <c r="D33" s="28"/>
      <c r="E33" s="29"/>
      <c r="F33" s="30"/>
      <c r="G33" s="29"/>
    </row>
    <row r="34" spans="1:9" ht="10.5" x14ac:dyDescent="0.25">
      <c r="A34" s="26" t="s">
        <v>63</v>
      </c>
      <c r="B34" s="27"/>
      <c r="C34" s="27"/>
      <c r="D34" s="28"/>
      <c r="E34" s="29"/>
      <c r="F34" s="30"/>
      <c r="G34" s="29"/>
    </row>
    <row r="35" spans="1:9" x14ac:dyDescent="0.2">
      <c r="A35" s="27" t="s">
        <v>797</v>
      </c>
      <c r="B35" s="27" t="s">
        <v>798</v>
      </c>
      <c r="C35" s="27" t="s">
        <v>67</v>
      </c>
      <c r="D35" s="31">
        <v>91</v>
      </c>
      <c r="E35" s="29">
        <v>89.975066999999996</v>
      </c>
      <c r="F35" s="30">
        <v>0.85302029408117497</v>
      </c>
      <c r="G35" s="29">
        <v>3.2999000000000001</v>
      </c>
    </row>
    <row r="36" spans="1:9" ht="10.5" x14ac:dyDescent="0.25">
      <c r="A36" s="26" t="s">
        <v>43</v>
      </c>
      <c r="B36" s="26"/>
      <c r="C36" s="26"/>
      <c r="D36" s="32"/>
      <c r="E36" s="33">
        <f>SUM(E34:E35)</f>
        <v>89.975066999999996</v>
      </c>
      <c r="F36" s="34">
        <f>SUM(F34:F35)</f>
        <v>0.85302029408117497</v>
      </c>
      <c r="G36" s="33"/>
      <c r="H36" s="18"/>
      <c r="I36" s="18"/>
    </row>
    <row r="37" spans="1:9" x14ac:dyDescent="0.2">
      <c r="A37" s="27"/>
      <c r="B37" s="27"/>
      <c r="C37" s="27"/>
      <c r="D37" s="28"/>
      <c r="E37" s="29"/>
      <c r="F37" s="30"/>
      <c r="G37" s="29"/>
    </row>
    <row r="38" spans="1:9" ht="10.5" x14ac:dyDescent="0.25">
      <c r="A38" s="26" t="s">
        <v>48</v>
      </c>
      <c r="B38" s="26"/>
      <c r="C38" s="26"/>
      <c r="D38" s="32"/>
      <c r="E38" s="33">
        <f>E26+E31+E36</f>
        <v>9647.0594070000006</v>
      </c>
      <c r="F38" s="34">
        <f>F26+F31+F36</f>
        <v>91.460198105522991</v>
      </c>
      <c r="G38" s="33"/>
      <c r="H38" s="18"/>
      <c r="I38" s="18"/>
    </row>
    <row r="39" spans="1:9" ht="10.5" x14ac:dyDescent="0.25">
      <c r="A39" s="26"/>
      <c r="B39" s="26"/>
      <c r="C39" s="26"/>
      <c r="D39" s="32"/>
      <c r="E39" s="33"/>
      <c r="F39" s="34"/>
      <c r="G39" s="33"/>
      <c r="H39" s="18"/>
      <c r="I39" s="18"/>
    </row>
    <row r="40" spans="1:9" ht="10.5" x14ac:dyDescent="0.25">
      <c r="A40" s="26" t="s">
        <v>50</v>
      </c>
      <c r="B40" s="26"/>
      <c r="C40" s="26"/>
      <c r="D40" s="32"/>
      <c r="E40" s="33">
        <f>E42-(E26+E31+E36)</f>
        <v>900.76315059999979</v>
      </c>
      <c r="F40" s="34">
        <f>F42-(F26+F31+F36)</f>
        <v>8.5398018944770087</v>
      </c>
      <c r="G40" s="33"/>
      <c r="H40" s="18"/>
      <c r="I40" s="18"/>
    </row>
    <row r="41" spans="1:9" ht="10.5" x14ac:dyDescent="0.25">
      <c r="A41" s="26"/>
      <c r="B41" s="26"/>
      <c r="C41" s="26"/>
      <c r="D41" s="32"/>
      <c r="E41" s="33"/>
      <c r="F41" s="34"/>
      <c r="G41" s="33"/>
      <c r="H41" s="18"/>
      <c r="I41" s="18"/>
    </row>
    <row r="42" spans="1:9" ht="10.5" x14ac:dyDescent="0.25">
      <c r="A42" s="35" t="s">
        <v>49</v>
      </c>
      <c r="B42" s="35"/>
      <c r="C42" s="35"/>
      <c r="D42" s="36"/>
      <c r="E42" s="37">
        <v>10547.8225576</v>
      </c>
      <c r="F42" s="38">
        <v>100</v>
      </c>
      <c r="G42" s="37"/>
      <c r="H42" s="18"/>
      <c r="I42" s="18"/>
    </row>
    <row r="44" spans="1:9" ht="10.5" x14ac:dyDescent="0.25">
      <c r="A44" s="18" t="s">
        <v>766</v>
      </c>
    </row>
    <row r="46" spans="1:9" ht="10.5" x14ac:dyDescent="0.25">
      <c r="A46" s="18" t="s">
        <v>51</v>
      </c>
    </row>
    <row r="47" spans="1:9" ht="10.5" x14ac:dyDescent="0.25">
      <c r="A47" s="18" t="s">
        <v>713</v>
      </c>
    </row>
    <row r="48" spans="1:9" ht="10.5" x14ac:dyDescent="0.25">
      <c r="A48" s="18" t="s">
        <v>53</v>
      </c>
      <c r="B48" s="18"/>
      <c r="C48" s="39" t="s">
        <v>55</v>
      </c>
      <c r="D48" s="19" t="s">
        <v>714</v>
      </c>
    </row>
    <row r="49" spans="1:5" x14ac:dyDescent="0.2">
      <c r="A49" s="9" t="s">
        <v>71</v>
      </c>
      <c r="C49" s="40">
        <v>11.766999999999999</v>
      </c>
      <c r="D49" s="40">
        <v>12.3141</v>
      </c>
    </row>
    <row r="50" spans="1:5" x14ac:dyDescent="0.2">
      <c r="A50" s="9" t="s">
        <v>1386</v>
      </c>
      <c r="C50" s="40">
        <v>11.065799999999999</v>
      </c>
      <c r="D50" s="40">
        <v>10.5799</v>
      </c>
    </row>
    <row r="51" spans="1:5" x14ac:dyDescent="0.2">
      <c r="A51" s="9" t="s">
        <v>74</v>
      </c>
      <c r="C51" s="40">
        <v>11.855499999999999</v>
      </c>
      <c r="D51" s="40">
        <v>12.406700000000001</v>
      </c>
    </row>
    <row r="53" spans="1:5" ht="10.5" x14ac:dyDescent="0.25">
      <c r="A53" s="18" t="s">
        <v>715</v>
      </c>
    </row>
    <row r="54" spans="1:5" ht="10.5" x14ac:dyDescent="0.25">
      <c r="A54" s="81" t="s">
        <v>68</v>
      </c>
      <c r="B54" s="82"/>
      <c r="C54" s="43" t="s">
        <v>69</v>
      </c>
    </row>
    <row r="55" spans="1:5" x14ac:dyDescent="0.2">
      <c r="A55" s="77" t="s">
        <v>1386</v>
      </c>
      <c r="B55" s="78"/>
      <c r="C55" s="44">
        <v>0.98</v>
      </c>
    </row>
    <row r="56" spans="1:5" x14ac:dyDescent="0.2">
      <c r="A56" s="9" t="s">
        <v>70</v>
      </c>
    </row>
    <row r="58" spans="1:5" ht="10.5" x14ac:dyDescent="0.25">
      <c r="A58" s="18" t="s">
        <v>785</v>
      </c>
      <c r="D58" s="42">
        <v>0.44287122145205499</v>
      </c>
      <c r="E58" s="13" t="s">
        <v>58</v>
      </c>
    </row>
    <row r="60" spans="1:5" ht="10.5" x14ac:dyDescent="0.25">
      <c r="A60" s="18" t="s">
        <v>786</v>
      </c>
      <c r="D60" s="41" t="s">
        <v>57</v>
      </c>
    </row>
  </sheetData>
  <mergeCells count="3">
    <mergeCell ref="A1:G1"/>
    <mergeCell ref="A54:B54"/>
    <mergeCell ref="A55:B55"/>
  </mergeCells>
  <conditionalFormatting sqref="F2:F3 F5:F65536">
    <cfRule type="cellIs" dxfId="3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8"/>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1492</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1493</v>
      </c>
      <c r="B7" s="27" t="s">
        <v>1494</v>
      </c>
      <c r="C7" s="27" t="s">
        <v>42</v>
      </c>
      <c r="D7" s="31">
        <v>173</v>
      </c>
      <c r="E7" s="29">
        <v>1760.7126900000001</v>
      </c>
      <c r="F7" s="30">
        <v>9.3985429870822603</v>
      </c>
      <c r="G7" s="29">
        <v>3.7149999999999999</v>
      </c>
    </row>
    <row r="8" spans="1:7" x14ac:dyDescent="0.2">
      <c r="A8" s="27" t="s">
        <v>1495</v>
      </c>
      <c r="B8" s="27" t="s">
        <v>1496</v>
      </c>
      <c r="C8" s="27" t="s">
        <v>42</v>
      </c>
      <c r="D8" s="31">
        <v>161</v>
      </c>
      <c r="E8" s="29">
        <v>1634.12102</v>
      </c>
      <c r="F8" s="30">
        <v>8.7228068155541703</v>
      </c>
      <c r="G8" s="29">
        <v>3.4601000000000002</v>
      </c>
    </row>
    <row r="9" spans="1:7" x14ac:dyDescent="0.2">
      <c r="A9" s="27" t="s">
        <v>1458</v>
      </c>
      <c r="B9" s="27" t="s">
        <v>1459</v>
      </c>
      <c r="C9" s="27" t="s">
        <v>851</v>
      </c>
      <c r="D9" s="31">
        <v>300</v>
      </c>
      <c r="E9" s="29">
        <v>1532.2080000000001</v>
      </c>
      <c r="F9" s="30">
        <v>8.1788032964942907</v>
      </c>
      <c r="G9" s="29">
        <v>4.3150000000000004</v>
      </c>
    </row>
    <row r="10" spans="1:7" x14ac:dyDescent="0.2">
      <c r="A10" s="27" t="s">
        <v>1480</v>
      </c>
      <c r="B10" s="27" t="s">
        <v>1481</v>
      </c>
      <c r="C10" s="27" t="s">
        <v>896</v>
      </c>
      <c r="D10" s="31">
        <v>150</v>
      </c>
      <c r="E10" s="29">
        <v>1526.5574999999999</v>
      </c>
      <c r="F10" s="30">
        <v>8.1486413811232499</v>
      </c>
      <c r="G10" s="29">
        <v>3.569</v>
      </c>
    </row>
    <row r="11" spans="1:7" x14ac:dyDescent="0.2">
      <c r="A11" s="27" t="s">
        <v>1497</v>
      </c>
      <c r="B11" s="27" t="s">
        <v>1498</v>
      </c>
      <c r="C11" s="27" t="s">
        <v>851</v>
      </c>
      <c r="D11" s="31">
        <v>149</v>
      </c>
      <c r="E11" s="29">
        <v>1514.7921100000001</v>
      </c>
      <c r="F11" s="30">
        <v>8.0858386738429395</v>
      </c>
      <c r="G11" s="29">
        <v>3.64</v>
      </c>
    </row>
    <row r="12" spans="1:7" x14ac:dyDescent="0.2">
      <c r="A12" s="27" t="s">
        <v>1499</v>
      </c>
      <c r="B12" s="27" t="s">
        <v>1500</v>
      </c>
      <c r="C12" s="27" t="s">
        <v>42</v>
      </c>
      <c r="D12" s="31">
        <v>128</v>
      </c>
      <c r="E12" s="29">
        <v>1253.2697599999999</v>
      </c>
      <c r="F12" s="30">
        <v>6.6898533648725298</v>
      </c>
      <c r="G12" s="29">
        <v>3.7248999999999999</v>
      </c>
    </row>
    <row r="13" spans="1:7" x14ac:dyDescent="0.2">
      <c r="A13" s="27" t="s">
        <v>1486</v>
      </c>
      <c r="B13" s="27" t="s">
        <v>1487</v>
      </c>
      <c r="C13" s="27" t="s">
        <v>42</v>
      </c>
      <c r="D13" s="31">
        <v>89</v>
      </c>
      <c r="E13" s="29">
        <v>1114.5808199999999</v>
      </c>
      <c r="F13" s="30">
        <v>5.9495429372678599</v>
      </c>
      <c r="G13" s="29">
        <v>3.6999</v>
      </c>
    </row>
    <row r="14" spans="1:7" x14ac:dyDescent="0.2">
      <c r="A14" s="27" t="s">
        <v>1460</v>
      </c>
      <c r="B14" s="27" t="s">
        <v>1461</v>
      </c>
      <c r="C14" s="27" t="s">
        <v>42</v>
      </c>
      <c r="D14" s="31">
        <v>84</v>
      </c>
      <c r="E14" s="29">
        <v>1057.89516</v>
      </c>
      <c r="F14" s="30">
        <v>5.6469594349809897</v>
      </c>
      <c r="G14" s="29">
        <v>4.0374999999999996</v>
      </c>
    </row>
    <row r="15" spans="1:7" x14ac:dyDescent="0.2">
      <c r="A15" s="27" t="s">
        <v>1454</v>
      </c>
      <c r="B15" s="27" t="s">
        <v>1455</v>
      </c>
      <c r="C15" s="27" t="s">
        <v>42</v>
      </c>
      <c r="D15" s="31">
        <v>101</v>
      </c>
      <c r="E15" s="29">
        <v>1036.8589300000001</v>
      </c>
      <c r="F15" s="30">
        <v>5.5346697280549</v>
      </c>
      <c r="G15" s="29">
        <v>3.5348999999999999</v>
      </c>
    </row>
    <row r="16" spans="1:7" x14ac:dyDescent="0.2">
      <c r="A16" s="27" t="s">
        <v>1501</v>
      </c>
      <c r="B16" s="27" t="s">
        <v>1502</v>
      </c>
      <c r="C16" s="27" t="s">
        <v>42</v>
      </c>
      <c r="D16" s="31">
        <v>50</v>
      </c>
      <c r="E16" s="29">
        <v>505.0215</v>
      </c>
      <c r="F16" s="30">
        <v>2.6957642232650501</v>
      </c>
      <c r="G16" s="29">
        <v>3.4148999999999998</v>
      </c>
    </row>
    <row r="17" spans="1:9" x14ac:dyDescent="0.2">
      <c r="A17" s="27" t="s">
        <v>945</v>
      </c>
      <c r="B17" s="27" t="s">
        <v>946</v>
      </c>
      <c r="C17" s="27" t="s">
        <v>42</v>
      </c>
      <c r="D17" s="31">
        <v>29</v>
      </c>
      <c r="E17" s="29">
        <v>294.45294999999999</v>
      </c>
      <c r="F17" s="30">
        <v>1.57176620806214</v>
      </c>
      <c r="G17" s="29">
        <v>3.4649000000000001</v>
      </c>
    </row>
    <row r="18" spans="1:9" x14ac:dyDescent="0.2">
      <c r="A18" s="27" t="s">
        <v>1290</v>
      </c>
      <c r="B18" s="27" t="s">
        <v>1291</v>
      </c>
      <c r="C18" s="27" t="s">
        <v>42</v>
      </c>
      <c r="D18" s="31">
        <v>24</v>
      </c>
      <c r="E18" s="29">
        <v>243.71856</v>
      </c>
      <c r="F18" s="30">
        <v>1.3009501072601399</v>
      </c>
      <c r="G18" s="29">
        <v>5.0199999999999996</v>
      </c>
    </row>
    <row r="19" spans="1:9" x14ac:dyDescent="0.2">
      <c r="A19" s="27" t="s">
        <v>1478</v>
      </c>
      <c r="B19" s="27" t="s">
        <v>1479</v>
      </c>
      <c r="C19" s="27" t="s">
        <v>851</v>
      </c>
      <c r="D19" s="31">
        <v>22</v>
      </c>
      <c r="E19" s="29">
        <v>223.93360000000001</v>
      </c>
      <c r="F19" s="30">
        <v>1.1953395791405801</v>
      </c>
      <c r="G19" s="29">
        <v>4.0374999999999996</v>
      </c>
    </row>
    <row r="20" spans="1:9" x14ac:dyDescent="0.2">
      <c r="A20" s="27" t="s">
        <v>1437</v>
      </c>
      <c r="B20" s="27" t="s">
        <v>1438</v>
      </c>
      <c r="C20" s="27" t="s">
        <v>42</v>
      </c>
      <c r="D20" s="31">
        <v>15</v>
      </c>
      <c r="E20" s="29">
        <v>187.86240000000001</v>
      </c>
      <c r="F20" s="30">
        <v>1.0027944093800101</v>
      </c>
      <c r="G20" s="29">
        <v>3.55</v>
      </c>
    </row>
    <row r="21" spans="1:9" x14ac:dyDescent="0.2">
      <c r="A21" s="27" t="s">
        <v>1429</v>
      </c>
      <c r="B21" s="27" t="s">
        <v>1430</v>
      </c>
      <c r="C21" s="27" t="s">
        <v>42</v>
      </c>
      <c r="D21" s="31">
        <v>9</v>
      </c>
      <c r="E21" s="29">
        <v>91.641239999999996</v>
      </c>
      <c r="F21" s="30">
        <v>0.48917358205075601</v>
      </c>
      <c r="G21" s="29">
        <v>3.7149999999999999</v>
      </c>
    </row>
    <row r="22" spans="1:9" ht="10.5" x14ac:dyDescent="0.25">
      <c r="A22" s="26" t="s">
        <v>43</v>
      </c>
      <c r="B22" s="26"/>
      <c r="C22" s="26"/>
      <c r="D22" s="32"/>
      <c r="E22" s="33">
        <f>SUM(E6:E21)</f>
        <v>13977.626240000001</v>
      </c>
      <c r="F22" s="34">
        <f>SUM(F6:F21)</f>
        <v>74.611446728431858</v>
      </c>
      <c r="G22" s="33"/>
      <c r="H22" s="18"/>
      <c r="I22" s="18"/>
    </row>
    <row r="23" spans="1:9" x14ac:dyDescent="0.2">
      <c r="A23" s="27"/>
      <c r="B23" s="27"/>
      <c r="C23" s="27"/>
      <c r="D23" s="28"/>
      <c r="E23" s="29"/>
      <c r="F23" s="30"/>
      <c r="G23" s="29"/>
    </row>
    <row r="24" spans="1:9" ht="10.5" x14ac:dyDescent="0.25">
      <c r="A24" s="26" t="s">
        <v>44</v>
      </c>
      <c r="B24" s="27"/>
      <c r="C24" s="27"/>
      <c r="D24" s="28"/>
      <c r="E24" s="29"/>
      <c r="F24" s="30"/>
      <c r="G24" s="29"/>
    </row>
    <row r="25" spans="1:9" x14ac:dyDescent="0.2">
      <c r="A25" s="27" t="s">
        <v>1503</v>
      </c>
      <c r="B25" s="27" t="s">
        <v>1504</v>
      </c>
      <c r="C25" s="27" t="s">
        <v>42</v>
      </c>
      <c r="D25" s="31">
        <v>150</v>
      </c>
      <c r="E25" s="29">
        <v>1523.7945</v>
      </c>
      <c r="F25" s="30">
        <v>8.1338927089402198</v>
      </c>
      <c r="G25" s="29">
        <v>3.9950000000000001</v>
      </c>
    </row>
    <row r="26" spans="1:9" x14ac:dyDescent="0.2">
      <c r="A26" s="27" t="s">
        <v>1490</v>
      </c>
      <c r="B26" s="27" t="s">
        <v>1491</v>
      </c>
      <c r="C26" s="27" t="s">
        <v>851</v>
      </c>
      <c r="D26" s="31">
        <v>150</v>
      </c>
      <c r="E26" s="29">
        <v>1517.2725</v>
      </c>
      <c r="F26" s="30">
        <v>8.0990787965342399</v>
      </c>
      <c r="G26" s="29">
        <v>4.2698999999999998</v>
      </c>
    </row>
    <row r="27" spans="1:9" x14ac:dyDescent="0.2">
      <c r="A27" s="27" t="s">
        <v>951</v>
      </c>
      <c r="B27" s="27" t="s">
        <v>952</v>
      </c>
      <c r="C27" s="27" t="s">
        <v>42</v>
      </c>
      <c r="D27" s="31">
        <v>2</v>
      </c>
      <c r="E27" s="29">
        <v>20.34994</v>
      </c>
      <c r="F27" s="30">
        <v>0.10862634600227999</v>
      </c>
      <c r="G27" s="29">
        <v>3.6871</v>
      </c>
    </row>
    <row r="28" spans="1:9" ht="10.5" x14ac:dyDescent="0.25">
      <c r="A28" s="26" t="s">
        <v>43</v>
      </c>
      <c r="B28" s="26"/>
      <c r="C28" s="26"/>
      <c r="D28" s="32"/>
      <c r="E28" s="33">
        <f>SUM(E24:E27)</f>
        <v>3061.4169400000001</v>
      </c>
      <c r="F28" s="34">
        <f>SUM(F24:F27)</f>
        <v>16.341597851476738</v>
      </c>
      <c r="G28" s="33"/>
      <c r="H28" s="18"/>
      <c r="I28" s="18"/>
    </row>
    <row r="29" spans="1:9" x14ac:dyDescent="0.2">
      <c r="A29" s="27"/>
      <c r="B29" s="27"/>
      <c r="C29" s="27"/>
      <c r="D29" s="28"/>
      <c r="E29" s="29"/>
      <c r="F29" s="30"/>
      <c r="G29" s="29"/>
    </row>
    <row r="30" spans="1:9" ht="10.5" x14ac:dyDescent="0.25">
      <c r="A30" s="26" t="s">
        <v>62</v>
      </c>
      <c r="B30" s="27"/>
      <c r="C30" s="27"/>
      <c r="D30" s="28"/>
      <c r="E30" s="29"/>
      <c r="F30" s="30"/>
      <c r="G30" s="29"/>
    </row>
    <row r="31" spans="1:9" ht="10.5" x14ac:dyDescent="0.25">
      <c r="A31" s="26" t="s">
        <v>63</v>
      </c>
      <c r="B31" s="27"/>
      <c r="C31" s="27"/>
      <c r="D31" s="28"/>
      <c r="E31" s="29"/>
      <c r="F31" s="30"/>
      <c r="G31" s="29"/>
    </row>
    <row r="32" spans="1:9" x14ac:dyDescent="0.2">
      <c r="A32" s="27" t="s">
        <v>797</v>
      </c>
      <c r="B32" s="27" t="s">
        <v>798</v>
      </c>
      <c r="C32" s="27" t="s">
        <v>67</v>
      </c>
      <c r="D32" s="31">
        <v>292</v>
      </c>
      <c r="E32" s="29">
        <v>288.71120400000001</v>
      </c>
      <c r="F32" s="30">
        <v>1.5411172288684301</v>
      </c>
      <c r="G32" s="29">
        <v>3.2999000000000001</v>
      </c>
    </row>
    <row r="33" spans="1:9" ht="10.5" x14ac:dyDescent="0.25">
      <c r="A33" s="26" t="s">
        <v>43</v>
      </c>
      <c r="B33" s="26"/>
      <c r="C33" s="26"/>
      <c r="D33" s="32"/>
      <c r="E33" s="33">
        <f>SUM(E31:E32)</f>
        <v>288.71120400000001</v>
      </c>
      <c r="F33" s="34">
        <f>SUM(F31:F32)</f>
        <v>1.5411172288684301</v>
      </c>
      <c r="G33" s="33"/>
      <c r="H33" s="18"/>
      <c r="I33" s="18"/>
    </row>
    <row r="34" spans="1:9" x14ac:dyDescent="0.2">
      <c r="A34" s="27"/>
      <c r="B34" s="27"/>
      <c r="C34" s="27"/>
      <c r="D34" s="28"/>
      <c r="E34" s="29"/>
      <c r="F34" s="30"/>
      <c r="G34" s="29"/>
    </row>
    <row r="35" spans="1:9" ht="10.5" x14ac:dyDescent="0.25">
      <c r="A35" s="26" t="s">
        <v>733</v>
      </c>
      <c r="B35" s="27"/>
      <c r="C35" s="27"/>
      <c r="D35" s="28"/>
      <c r="E35" s="29"/>
      <c r="F35" s="30"/>
      <c r="G35" s="29"/>
    </row>
    <row r="36" spans="1:9" x14ac:dyDescent="0.2">
      <c r="A36" s="27" t="s">
        <v>1505</v>
      </c>
      <c r="B36" s="27" t="s">
        <v>1506</v>
      </c>
      <c r="C36" s="27" t="s">
        <v>743</v>
      </c>
      <c r="D36" s="31">
        <v>33</v>
      </c>
      <c r="E36" s="29">
        <v>163.13368500000001</v>
      </c>
      <c r="F36" s="30">
        <v>0.87079451396106899</v>
      </c>
      <c r="G36" s="29">
        <v>3.3950999999999998</v>
      </c>
    </row>
    <row r="37" spans="1:9" ht="10.5" x14ac:dyDescent="0.25">
      <c r="A37" s="26" t="s">
        <v>43</v>
      </c>
      <c r="B37" s="26"/>
      <c r="C37" s="26"/>
      <c r="D37" s="32"/>
      <c r="E37" s="33">
        <f>SUM(E35:E36)</f>
        <v>163.13368500000001</v>
      </c>
      <c r="F37" s="34">
        <f>SUM(F35:F36)</f>
        <v>0.87079451396106899</v>
      </c>
      <c r="G37" s="33"/>
      <c r="H37" s="18"/>
      <c r="I37" s="18"/>
    </row>
    <row r="38" spans="1:9" x14ac:dyDescent="0.2">
      <c r="A38" s="27"/>
      <c r="B38" s="27"/>
      <c r="C38" s="27"/>
      <c r="D38" s="28"/>
      <c r="E38" s="29"/>
      <c r="F38" s="30"/>
      <c r="G38" s="29"/>
    </row>
    <row r="39" spans="1:9" ht="10.5" x14ac:dyDescent="0.25">
      <c r="A39" s="26" t="s">
        <v>48</v>
      </c>
      <c r="B39" s="26"/>
      <c r="C39" s="26"/>
      <c r="D39" s="32"/>
      <c r="E39" s="33">
        <f>E22+E28+E33+E37</f>
        <v>17490.888069000001</v>
      </c>
      <c r="F39" s="34">
        <f>F22+F28+F33+F37</f>
        <v>93.364956322738095</v>
      </c>
      <c r="G39" s="33"/>
      <c r="H39" s="18"/>
      <c r="I39" s="18"/>
    </row>
    <row r="40" spans="1:9" ht="10.5" x14ac:dyDescent="0.25">
      <c r="A40" s="26"/>
      <c r="B40" s="26"/>
      <c r="C40" s="26"/>
      <c r="D40" s="32"/>
      <c r="E40" s="33"/>
      <c r="F40" s="34"/>
      <c r="G40" s="33"/>
      <c r="H40" s="18"/>
      <c r="I40" s="18"/>
    </row>
    <row r="41" spans="1:9" ht="10.5" x14ac:dyDescent="0.25">
      <c r="A41" s="26" t="s">
        <v>50</v>
      </c>
      <c r="B41" s="26"/>
      <c r="C41" s="26"/>
      <c r="D41" s="32"/>
      <c r="E41" s="33">
        <f>E43-(E22+E28+E33+E37)</f>
        <v>1243.0017735000001</v>
      </c>
      <c r="F41" s="34">
        <f>F43-(F22+F28+F33+F37)</f>
        <v>6.6350436772619048</v>
      </c>
      <c r="G41" s="33"/>
      <c r="H41" s="18"/>
      <c r="I41" s="18"/>
    </row>
    <row r="42" spans="1:9" ht="10.5" x14ac:dyDescent="0.25">
      <c r="A42" s="26"/>
      <c r="B42" s="26"/>
      <c r="C42" s="26"/>
      <c r="D42" s="32"/>
      <c r="E42" s="33"/>
      <c r="F42" s="34"/>
      <c r="G42" s="33"/>
      <c r="H42" s="18"/>
      <c r="I42" s="18"/>
    </row>
    <row r="43" spans="1:9" ht="10.5" x14ac:dyDescent="0.25">
      <c r="A43" s="35" t="s">
        <v>49</v>
      </c>
      <c r="B43" s="35"/>
      <c r="C43" s="35"/>
      <c r="D43" s="36"/>
      <c r="E43" s="37">
        <v>18733.889842500001</v>
      </c>
      <c r="F43" s="38">
        <v>100</v>
      </c>
      <c r="G43" s="37"/>
      <c r="H43" s="18"/>
      <c r="I43" s="18"/>
    </row>
    <row r="45" spans="1:9" ht="10.5" x14ac:dyDescent="0.25">
      <c r="A45" s="18" t="s">
        <v>765</v>
      </c>
    </row>
    <row r="46" spans="1:9" ht="10.5" x14ac:dyDescent="0.25">
      <c r="A46" s="18" t="s">
        <v>766</v>
      </c>
    </row>
    <row r="48" spans="1:9" ht="10.5" x14ac:dyDescent="0.25">
      <c r="A48" s="18" t="s">
        <v>51</v>
      </c>
    </row>
    <row r="49" spans="1:4" ht="10.5" x14ac:dyDescent="0.25">
      <c r="A49" s="18" t="s">
        <v>713</v>
      </c>
    </row>
    <row r="50" spans="1:4" ht="10.5" x14ac:dyDescent="0.25">
      <c r="A50" s="18" t="s">
        <v>53</v>
      </c>
      <c r="B50" s="18"/>
      <c r="C50" s="39" t="s">
        <v>55</v>
      </c>
      <c r="D50" s="19" t="s">
        <v>714</v>
      </c>
    </row>
    <row r="51" spans="1:4" x14ac:dyDescent="0.2">
      <c r="A51" s="9" t="s">
        <v>71</v>
      </c>
      <c r="C51" s="40">
        <v>11.8306</v>
      </c>
      <c r="D51" s="40">
        <v>12.343999999999999</v>
      </c>
    </row>
    <row r="52" spans="1:4" x14ac:dyDescent="0.2">
      <c r="A52" s="9" t="s">
        <v>1386</v>
      </c>
      <c r="C52" s="40">
        <v>11.0755</v>
      </c>
      <c r="D52" s="40">
        <v>10.567299999999999</v>
      </c>
    </row>
    <row r="53" spans="1:4" x14ac:dyDescent="0.2">
      <c r="A53" s="9" t="s">
        <v>73</v>
      </c>
      <c r="C53" s="40">
        <v>10.306699999999999</v>
      </c>
      <c r="D53" s="40">
        <v>10.3589</v>
      </c>
    </row>
    <row r="54" spans="1:4" x14ac:dyDescent="0.2">
      <c r="A54" s="9" t="s">
        <v>74</v>
      </c>
      <c r="C54" s="40">
        <v>11.9018</v>
      </c>
      <c r="D54" s="40">
        <v>12.4183</v>
      </c>
    </row>
    <row r="55" spans="1:4" x14ac:dyDescent="0.2">
      <c r="A55" s="9" t="s">
        <v>78</v>
      </c>
      <c r="C55" s="40">
        <v>11.1477</v>
      </c>
      <c r="D55" s="40">
        <v>10.6442</v>
      </c>
    </row>
    <row r="56" spans="1:4" x14ac:dyDescent="0.2">
      <c r="A56" s="9" t="s">
        <v>76</v>
      </c>
      <c r="C56" s="40">
        <v>10.3665</v>
      </c>
      <c r="D56" s="40">
        <v>10.4222</v>
      </c>
    </row>
    <row r="58" spans="1:4" ht="10.5" x14ac:dyDescent="0.25">
      <c r="A58" s="18" t="s">
        <v>715</v>
      </c>
    </row>
    <row r="59" spans="1:4" ht="10.5" x14ac:dyDescent="0.25">
      <c r="A59" s="81" t="s">
        <v>68</v>
      </c>
      <c r="B59" s="82"/>
      <c r="C59" s="43" t="s">
        <v>69</v>
      </c>
    </row>
    <row r="60" spans="1:4" x14ac:dyDescent="0.2">
      <c r="A60" s="77" t="s">
        <v>1386</v>
      </c>
      <c r="B60" s="78"/>
      <c r="C60" s="44">
        <v>0.97</v>
      </c>
    </row>
    <row r="61" spans="1:4" x14ac:dyDescent="0.2">
      <c r="A61" s="77" t="s">
        <v>73</v>
      </c>
      <c r="B61" s="78"/>
      <c r="C61" s="44">
        <v>0.39</v>
      </c>
    </row>
    <row r="62" spans="1:4" x14ac:dyDescent="0.2">
      <c r="A62" s="77" t="s">
        <v>78</v>
      </c>
      <c r="B62" s="78"/>
      <c r="C62" s="44">
        <v>0.97</v>
      </c>
    </row>
    <row r="63" spans="1:4" x14ac:dyDescent="0.2">
      <c r="A63" s="77" t="s">
        <v>76</v>
      </c>
      <c r="B63" s="78"/>
      <c r="C63" s="44">
        <v>0.39</v>
      </c>
    </row>
    <row r="64" spans="1:4" x14ac:dyDescent="0.2">
      <c r="A64" s="9" t="s">
        <v>70</v>
      </c>
    </row>
    <row r="66" spans="1:5" ht="10.5" x14ac:dyDescent="0.25">
      <c r="A66" s="18" t="s">
        <v>785</v>
      </c>
      <c r="D66" s="42">
        <v>0.41396717235616398</v>
      </c>
      <c r="E66" s="13" t="s">
        <v>58</v>
      </c>
    </row>
    <row r="68" spans="1:5" ht="10.5" x14ac:dyDescent="0.25">
      <c r="A68" s="18" t="s">
        <v>786</v>
      </c>
      <c r="D68" s="41" t="s">
        <v>57</v>
      </c>
    </row>
  </sheetData>
  <mergeCells count="6">
    <mergeCell ref="A63:B63"/>
    <mergeCell ref="A1:G1"/>
    <mergeCell ref="A59:B59"/>
    <mergeCell ref="A60:B60"/>
    <mergeCell ref="A61:B61"/>
    <mergeCell ref="A62:B62"/>
  </mergeCells>
  <conditionalFormatting sqref="F2:F3 F5:F65536">
    <cfRule type="cellIs" dxfId="3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1507</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1495</v>
      </c>
      <c r="B7" s="27" t="s">
        <v>1496</v>
      </c>
      <c r="C7" s="27" t="s">
        <v>42</v>
      </c>
      <c r="D7" s="31">
        <v>61</v>
      </c>
      <c r="E7" s="29">
        <v>619.13901999999996</v>
      </c>
      <c r="F7" s="30">
        <v>10.7085209844735</v>
      </c>
      <c r="G7" s="29">
        <v>3.4601000000000002</v>
      </c>
    </row>
    <row r="8" spans="1:7" x14ac:dyDescent="0.2">
      <c r="A8" s="27" t="s">
        <v>1460</v>
      </c>
      <c r="B8" s="27" t="s">
        <v>1461</v>
      </c>
      <c r="C8" s="27" t="s">
        <v>42</v>
      </c>
      <c r="D8" s="31">
        <v>45</v>
      </c>
      <c r="E8" s="29">
        <v>566.72955000000002</v>
      </c>
      <c r="F8" s="30">
        <v>9.8020558915770408</v>
      </c>
      <c r="G8" s="29">
        <v>4.0374999999999996</v>
      </c>
    </row>
    <row r="9" spans="1:7" x14ac:dyDescent="0.2">
      <c r="A9" s="27" t="s">
        <v>1486</v>
      </c>
      <c r="B9" s="27" t="s">
        <v>1487</v>
      </c>
      <c r="C9" s="27" t="s">
        <v>42</v>
      </c>
      <c r="D9" s="31">
        <v>45</v>
      </c>
      <c r="E9" s="29">
        <v>563.5521</v>
      </c>
      <c r="F9" s="30">
        <v>9.7470992680999498</v>
      </c>
      <c r="G9" s="29">
        <v>3.6999</v>
      </c>
    </row>
    <row r="10" spans="1:7" x14ac:dyDescent="0.2">
      <c r="A10" s="27" t="s">
        <v>1480</v>
      </c>
      <c r="B10" s="27" t="s">
        <v>1481</v>
      </c>
      <c r="C10" s="27" t="s">
        <v>896</v>
      </c>
      <c r="D10" s="31">
        <v>46</v>
      </c>
      <c r="E10" s="29">
        <v>468.14429999999999</v>
      </c>
      <c r="F10" s="30">
        <v>8.0969425256248098</v>
      </c>
      <c r="G10" s="29">
        <v>3.569</v>
      </c>
    </row>
    <row r="11" spans="1:7" x14ac:dyDescent="0.2">
      <c r="A11" s="27" t="s">
        <v>1501</v>
      </c>
      <c r="B11" s="27" t="s">
        <v>1502</v>
      </c>
      <c r="C11" s="27" t="s">
        <v>42</v>
      </c>
      <c r="D11" s="31">
        <v>46</v>
      </c>
      <c r="E11" s="29">
        <v>464.61977999999999</v>
      </c>
      <c r="F11" s="30">
        <v>8.0359830396919101</v>
      </c>
      <c r="G11" s="29">
        <v>3.4148999999999998</v>
      </c>
    </row>
    <row r="12" spans="1:7" x14ac:dyDescent="0.2">
      <c r="A12" s="27" t="s">
        <v>1493</v>
      </c>
      <c r="B12" s="27" t="s">
        <v>1494</v>
      </c>
      <c r="C12" s="27" t="s">
        <v>42</v>
      </c>
      <c r="D12" s="31">
        <v>45</v>
      </c>
      <c r="E12" s="29">
        <v>457.98885000000001</v>
      </c>
      <c r="F12" s="30">
        <v>7.9212956257867502</v>
      </c>
      <c r="G12" s="29">
        <v>3.7149999999999999</v>
      </c>
    </row>
    <row r="13" spans="1:7" x14ac:dyDescent="0.2">
      <c r="A13" s="27" t="s">
        <v>923</v>
      </c>
      <c r="B13" s="27" t="s">
        <v>924</v>
      </c>
      <c r="C13" s="27" t="s">
        <v>896</v>
      </c>
      <c r="D13" s="31">
        <v>34</v>
      </c>
      <c r="E13" s="29">
        <v>425.63342</v>
      </c>
      <c r="F13" s="30">
        <v>7.3616817266067898</v>
      </c>
      <c r="G13" s="29">
        <v>5.2949999999999999</v>
      </c>
    </row>
    <row r="14" spans="1:7" x14ac:dyDescent="0.2">
      <c r="A14" s="27" t="s">
        <v>945</v>
      </c>
      <c r="B14" s="27" t="s">
        <v>946</v>
      </c>
      <c r="C14" s="27" t="s">
        <v>42</v>
      </c>
      <c r="D14" s="31">
        <v>38</v>
      </c>
      <c r="E14" s="29">
        <v>385.8349</v>
      </c>
      <c r="F14" s="30">
        <v>6.6733334351826903</v>
      </c>
      <c r="G14" s="29">
        <v>3.4649000000000001</v>
      </c>
    </row>
    <row r="15" spans="1:7" x14ac:dyDescent="0.2">
      <c r="A15" s="27" t="s">
        <v>1437</v>
      </c>
      <c r="B15" s="27" t="s">
        <v>1438</v>
      </c>
      <c r="C15" s="27" t="s">
        <v>42</v>
      </c>
      <c r="D15" s="31">
        <v>28</v>
      </c>
      <c r="E15" s="29">
        <v>350.67648000000003</v>
      </c>
      <c r="F15" s="30">
        <v>6.0652395076655203</v>
      </c>
      <c r="G15" s="29">
        <v>3.55</v>
      </c>
    </row>
    <row r="16" spans="1:7" x14ac:dyDescent="0.2">
      <c r="A16" s="27" t="s">
        <v>1292</v>
      </c>
      <c r="B16" s="27" t="s">
        <v>1293</v>
      </c>
      <c r="C16" s="27" t="s">
        <v>1294</v>
      </c>
      <c r="D16" s="31">
        <v>20</v>
      </c>
      <c r="E16" s="29">
        <v>249.47620000000001</v>
      </c>
      <c r="F16" s="30">
        <v>4.3148970368992599</v>
      </c>
      <c r="G16" s="29">
        <v>4.0374999999999996</v>
      </c>
    </row>
    <row r="17" spans="1:9" x14ac:dyDescent="0.2">
      <c r="A17" s="27" t="s">
        <v>1476</v>
      </c>
      <c r="B17" s="27" t="s">
        <v>1477</v>
      </c>
      <c r="C17" s="27" t="s">
        <v>896</v>
      </c>
      <c r="D17" s="31">
        <v>20</v>
      </c>
      <c r="E17" s="29">
        <v>204.25700000000001</v>
      </c>
      <c r="F17" s="30">
        <v>3.53279360542582</v>
      </c>
      <c r="G17" s="29">
        <v>3.6364999999999998</v>
      </c>
    </row>
    <row r="18" spans="1:9" x14ac:dyDescent="0.2">
      <c r="A18" s="27" t="s">
        <v>1508</v>
      </c>
      <c r="B18" s="27" t="s">
        <v>1509</v>
      </c>
      <c r="C18" s="27" t="s">
        <v>42</v>
      </c>
      <c r="D18" s="31">
        <v>17</v>
      </c>
      <c r="E18" s="29">
        <v>166.96702999999999</v>
      </c>
      <c r="F18" s="30">
        <v>2.8878327592246098</v>
      </c>
      <c r="G18" s="29">
        <v>3.7248999999999999</v>
      </c>
    </row>
    <row r="19" spans="1:9" x14ac:dyDescent="0.2">
      <c r="A19" s="27" t="s">
        <v>1290</v>
      </c>
      <c r="B19" s="27" t="s">
        <v>1291</v>
      </c>
      <c r="C19" s="27" t="s">
        <v>42</v>
      </c>
      <c r="D19" s="31">
        <v>1</v>
      </c>
      <c r="E19" s="29">
        <v>10.15494</v>
      </c>
      <c r="F19" s="30">
        <v>0.17563807896660999</v>
      </c>
      <c r="G19" s="29">
        <v>5.0199999999999996</v>
      </c>
    </row>
    <row r="20" spans="1:9" ht="10.5" x14ac:dyDescent="0.25">
      <c r="A20" s="26" t="s">
        <v>43</v>
      </c>
      <c r="B20" s="26"/>
      <c r="C20" s="26"/>
      <c r="D20" s="32"/>
      <c r="E20" s="33">
        <f>SUM(E6:E19)</f>
        <v>4933.1735699999999</v>
      </c>
      <c r="F20" s="34">
        <f>SUM(F6:F19)</f>
        <v>85.32331348522527</v>
      </c>
      <c r="G20" s="33"/>
      <c r="H20" s="18"/>
      <c r="I20" s="18"/>
    </row>
    <row r="21" spans="1:9" x14ac:dyDescent="0.2">
      <c r="A21" s="27"/>
      <c r="B21" s="27"/>
      <c r="C21" s="27"/>
      <c r="D21" s="28"/>
      <c r="E21" s="29"/>
      <c r="F21" s="30"/>
      <c r="G21" s="29"/>
    </row>
    <row r="22" spans="1:9" ht="10.5" x14ac:dyDescent="0.25">
      <c r="A22" s="26" t="s">
        <v>44</v>
      </c>
      <c r="B22" s="27"/>
      <c r="C22" s="27"/>
      <c r="D22" s="28"/>
      <c r="E22" s="29"/>
      <c r="F22" s="30"/>
      <c r="G22" s="29"/>
    </row>
    <row r="23" spans="1:9" x14ac:dyDescent="0.2">
      <c r="A23" s="27" t="s">
        <v>1490</v>
      </c>
      <c r="B23" s="27" t="s">
        <v>1491</v>
      </c>
      <c r="C23" s="27" t="s">
        <v>851</v>
      </c>
      <c r="D23" s="31">
        <v>45</v>
      </c>
      <c r="E23" s="29">
        <v>455.18175000000002</v>
      </c>
      <c r="F23" s="30">
        <v>7.8727445116031998</v>
      </c>
      <c r="G23" s="29">
        <v>4.2698999999999998</v>
      </c>
    </row>
    <row r="24" spans="1:9" x14ac:dyDescent="0.2">
      <c r="A24" s="27" t="s">
        <v>951</v>
      </c>
      <c r="B24" s="27" t="s">
        <v>952</v>
      </c>
      <c r="C24" s="27" t="s">
        <v>42</v>
      </c>
      <c r="D24" s="31">
        <v>6</v>
      </c>
      <c r="E24" s="29">
        <v>61.049819999999997</v>
      </c>
      <c r="F24" s="30">
        <v>1.0559070862119599</v>
      </c>
      <c r="G24" s="29">
        <v>3.6871</v>
      </c>
    </row>
    <row r="25" spans="1:9" ht="10.5" x14ac:dyDescent="0.25">
      <c r="A25" s="26" t="s">
        <v>43</v>
      </c>
      <c r="B25" s="26"/>
      <c r="C25" s="26"/>
      <c r="D25" s="32"/>
      <c r="E25" s="33">
        <f>SUM(E22:E24)</f>
        <v>516.23157000000003</v>
      </c>
      <c r="F25" s="34">
        <f>SUM(F22:F24)</f>
        <v>8.9286515978151595</v>
      </c>
      <c r="G25" s="33"/>
      <c r="H25" s="18"/>
      <c r="I25" s="18"/>
    </row>
    <row r="26" spans="1:9" x14ac:dyDescent="0.2">
      <c r="A26" s="27"/>
      <c r="B26" s="27"/>
      <c r="C26" s="27"/>
      <c r="D26" s="28"/>
      <c r="E26" s="29"/>
      <c r="F26" s="30"/>
      <c r="G26" s="29"/>
    </row>
    <row r="27" spans="1:9" ht="10.5" x14ac:dyDescent="0.25">
      <c r="A27" s="26" t="s">
        <v>62</v>
      </c>
      <c r="B27" s="27"/>
      <c r="C27" s="27"/>
      <c r="D27" s="28"/>
      <c r="E27" s="29"/>
      <c r="F27" s="30"/>
      <c r="G27" s="29"/>
    </row>
    <row r="28" spans="1:9" ht="10.5" x14ac:dyDescent="0.25">
      <c r="A28" s="26" t="s">
        <v>63</v>
      </c>
      <c r="B28" s="27"/>
      <c r="C28" s="27"/>
      <c r="D28" s="28"/>
      <c r="E28" s="29"/>
      <c r="F28" s="30"/>
      <c r="G28" s="29"/>
    </row>
    <row r="29" spans="1:9" x14ac:dyDescent="0.2">
      <c r="A29" s="27" t="s">
        <v>797</v>
      </c>
      <c r="B29" s="27" t="s">
        <v>798</v>
      </c>
      <c r="C29" s="27" t="s">
        <v>67</v>
      </c>
      <c r="D29" s="31">
        <v>87</v>
      </c>
      <c r="E29" s="29">
        <v>86.020118999999994</v>
      </c>
      <c r="F29" s="30">
        <v>1.48778904194798</v>
      </c>
      <c r="G29" s="29">
        <v>3.2999000000000001</v>
      </c>
    </row>
    <row r="30" spans="1:9" ht="10.5" x14ac:dyDescent="0.25">
      <c r="A30" s="26" t="s">
        <v>43</v>
      </c>
      <c r="B30" s="26"/>
      <c r="C30" s="26"/>
      <c r="D30" s="32"/>
      <c r="E30" s="33">
        <f>SUM(E28:E29)</f>
        <v>86.020118999999994</v>
      </c>
      <c r="F30" s="34">
        <f>SUM(F28:F29)</f>
        <v>1.48778904194798</v>
      </c>
      <c r="G30" s="33"/>
      <c r="H30" s="18"/>
      <c r="I30" s="18"/>
    </row>
    <row r="31" spans="1:9" x14ac:dyDescent="0.2">
      <c r="A31" s="27"/>
      <c r="B31" s="27"/>
      <c r="C31" s="27"/>
      <c r="D31" s="28"/>
      <c r="E31" s="29"/>
      <c r="F31" s="30"/>
      <c r="G31" s="29"/>
    </row>
    <row r="32" spans="1:9" ht="10.5" x14ac:dyDescent="0.25">
      <c r="A32" s="26" t="s">
        <v>748</v>
      </c>
      <c r="B32" s="27"/>
      <c r="C32" s="27"/>
      <c r="D32" s="28"/>
      <c r="E32" s="29"/>
      <c r="F32" s="30"/>
      <c r="G32" s="29"/>
    </row>
    <row r="33" spans="1:9" x14ac:dyDescent="0.2">
      <c r="A33" s="27" t="s">
        <v>828</v>
      </c>
      <c r="B33" s="27" t="s">
        <v>829</v>
      </c>
      <c r="C33" s="27" t="s">
        <v>827</v>
      </c>
      <c r="D33" s="31">
        <v>40000</v>
      </c>
      <c r="E33" s="29">
        <v>39.4788</v>
      </c>
      <c r="F33" s="30">
        <v>0.68281846981932004</v>
      </c>
      <c r="G33" s="29">
        <v>3.3006000000000002</v>
      </c>
    </row>
    <row r="34" spans="1:9" ht="10.5" x14ac:dyDescent="0.25">
      <c r="A34" s="26" t="s">
        <v>43</v>
      </c>
      <c r="B34" s="26"/>
      <c r="C34" s="26"/>
      <c r="D34" s="32"/>
      <c r="E34" s="33">
        <f>SUM(E32:E33)</f>
        <v>39.4788</v>
      </c>
      <c r="F34" s="34">
        <f>SUM(F32:F33)</f>
        <v>0.68281846981932004</v>
      </c>
      <c r="G34" s="33"/>
      <c r="H34" s="18"/>
      <c r="I34" s="18"/>
    </row>
    <row r="35" spans="1:9" x14ac:dyDescent="0.2">
      <c r="A35" s="27"/>
      <c r="B35" s="27"/>
      <c r="C35" s="27"/>
      <c r="D35" s="28"/>
      <c r="E35" s="29"/>
      <c r="F35" s="30"/>
      <c r="G35" s="29"/>
    </row>
    <row r="36" spans="1:9" ht="10.5" x14ac:dyDescent="0.25">
      <c r="A36" s="26" t="s">
        <v>48</v>
      </c>
      <c r="B36" s="26"/>
      <c r="C36" s="26"/>
      <c r="D36" s="32"/>
      <c r="E36" s="33">
        <f>E20+E25+E30+E34</f>
        <v>5574.9040589999995</v>
      </c>
      <c r="F36" s="34">
        <f>F20+F25+F30+F34</f>
        <v>96.422572594807733</v>
      </c>
      <c r="G36" s="33"/>
      <c r="H36" s="18"/>
      <c r="I36" s="18"/>
    </row>
    <row r="37" spans="1:9" ht="10.5" x14ac:dyDescent="0.25">
      <c r="A37" s="26"/>
      <c r="B37" s="26"/>
      <c r="C37" s="26"/>
      <c r="D37" s="32"/>
      <c r="E37" s="33"/>
      <c r="F37" s="34"/>
      <c r="G37" s="33"/>
      <c r="H37" s="18"/>
      <c r="I37" s="18"/>
    </row>
    <row r="38" spans="1:9" ht="10.5" x14ac:dyDescent="0.25">
      <c r="A38" s="26" t="s">
        <v>50</v>
      </c>
      <c r="B38" s="26"/>
      <c r="C38" s="26"/>
      <c r="D38" s="32"/>
      <c r="E38" s="33">
        <f>E40-(E20+E25+E30+E34)</f>
        <v>206.83761100000083</v>
      </c>
      <c r="F38" s="34">
        <f>F40-(F20+F25+F30+F34)</f>
        <v>3.5774274051922674</v>
      </c>
      <c r="G38" s="33"/>
      <c r="H38" s="18"/>
      <c r="I38" s="18"/>
    </row>
    <row r="39" spans="1:9" ht="10.5" x14ac:dyDescent="0.25">
      <c r="A39" s="26"/>
      <c r="B39" s="26"/>
      <c r="C39" s="26"/>
      <c r="D39" s="32"/>
      <c r="E39" s="33"/>
      <c r="F39" s="34"/>
      <c r="G39" s="33"/>
      <c r="H39" s="18"/>
      <c r="I39" s="18"/>
    </row>
    <row r="40" spans="1:9" ht="10.5" x14ac:dyDescent="0.25">
      <c r="A40" s="35" t="s">
        <v>49</v>
      </c>
      <c r="B40" s="35"/>
      <c r="C40" s="35"/>
      <c r="D40" s="36"/>
      <c r="E40" s="37">
        <v>5781.7416700000003</v>
      </c>
      <c r="F40" s="38">
        <v>100</v>
      </c>
      <c r="G40" s="37"/>
      <c r="H40" s="18"/>
      <c r="I40" s="18"/>
    </row>
    <row r="42" spans="1:9" ht="10.5" x14ac:dyDescent="0.25">
      <c r="A42" s="18" t="s">
        <v>766</v>
      </c>
    </row>
    <row r="44" spans="1:9" ht="10.5" x14ac:dyDescent="0.25">
      <c r="A44" s="18" t="s">
        <v>51</v>
      </c>
    </row>
    <row r="45" spans="1:9" ht="10.5" x14ac:dyDescent="0.25">
      <c r="A45" s="18" t="s">
        <v>713</v>
      </c>
    </row>
    <row r="46" spans="1:9" ht="10.5" x14ac:dyDescent="0.25">
      <c r="A46" s="18" t="s">
        <v>53</v>
      </c>
      <c r="B46" s="18"/>
      <c r="C46" s="39" t="s">
        <v>55</v>
      </c>
      <c r="D46" s="19" t="s">
        <v>714</v>
      </c>
    </row>
    <row r="47" spans="1:9" x14ac:dyDescent="0.2">
      <c r="A47" s="9" t="s">
        <v>71</v>
      </c>
      <c r="C47" s="40">
        <v>11.764900000000001</v>
      </c>
      <c r="D47" s="40">
        <v>12.2715</v>
      </c>
    </row>
    <row r="48" spans="1:9" x14ac:dyDescent="0.2">
      <c r="A48" s="9" t="s">
        <v>1386</v>
      </c>
      <c r="C48" s="40">
        <v>10.229200000000001</v>
      </c>
      <c r="D48" s="40">
        <v>10.669499999999999</v>
      </c>
    </row>
    <row r="49" spans="1:5" x14ac:dyDescent="0.2">
      <c r="A49" s="9" t="s">
        <v>73</v>
      </c>
      <c r="C49" s="40">
        <v>10.2164</v>
      </c>
      <c r="D49" s="40">
        <v>10.2865</v>
      </c>
    </row>
    <row r="50" spans="1:5" x14ac:dyDescent="0.2">
      <c r="A50" s="9" t="s">
        <v>74</v>
      </c>
      <c r="C50" s="40">
        <v>11.835699999999999</v>
      </c>
      <c r="D50" s="40">
        <v>12.3453</v>
      </c>
    </row>
    <row r="51" spans="1:5" x14ac:dyDescent="0.2">
      <c r="A51" s="9" t="s">
        <v>76</v>
      </c>
      <c r="C51" s="40">
        <v>10.2753</v>
      </c>
      <c r="D51" s="40">
        <v>10.348000000000001</v>
      </c>
    </row>
    <row r="53" spans="1:5" ht="10.5" x14ac:dyDescent="0.25">
      <c r="A53" s="18" t="s">
        <v>715</v>
      </c>
    </row>
    <row r="54" spans="1:5" ht="10.5" x14ac:dyDescent="0.25">
      <c r="A54" s="81" t="s">
        <v>68</v>
      </c>
      <c r="B54" s="82"/>
      <c r="C54" s="43" t="s">
        <v>69</v>
      </c>
    </row>
    <row r="55" spans="1:5" x14ac:dyDescent="0.2">
      <c r="A55" s="77" t="s">
        <v>73</v>
      </c>
      <c r="B55" s="78"/>
      <c r="C55" s="44">
        <v>0.36499999999999999</v>
      </c>
    </row>
    <row r="56" spans="1:5" x14ac:dyDescent="0.2">
      <c r="A56" s="77" t="s">
        <v>76</v>
      </c>
      <c r="B56" s="78"/>
      <c r="C56" s="44">
        <v>0.36499999999999999</v>
      </c>
    </row>
    <row r="57" spans="1:5" x14ac:dyDescent="0.2">
      <c r="A57" s="9" t="s">
        <v>70</v>
      </c>
    </row>
    <row r="59" spans="1:5" ht="10.5" x14ac:dyDescent="0.25">
      <c r="A59" s="18" t="s">
        <v>785</v>
      </c>
      <c r="D59" s="42">
        <v>0.39028089463013699</v>
      </c>
      <c r="E59" s="13" t="s">
        <v>58</v>
      </c>
    </row>
    <row r="61" spans="1:5" ht="10.5" x14ac:dyDescent="0.25">
      <c r="A61" s="18" t="s">
        <v>786</v>
      </c>
      <c r="D61" s="41" t="s">
        <v>57</v>
      </c>
    </row>
  </sheetData>
  <mergeCells count="4">
    <mergeCell ref="A1:G1"/>
    <mergeCell ref="A54:B54"/>
    <mergeCell ref="A55:B55"/>
    <mergeCell ref="A56:B56"/>
  </mergeCells>
  <conditionalFormatting sqref="F2:F3 F5:F65536">
    <cfRule type="cellIs" dxfId="3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6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1510</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1495</v>
      </c>
      <c r="B7" s="27" t="s">
        <v>1496</v>
      </c>
      <c r="C7" s="27" t="s">
        <v>42</v>
      </c>
      <c r="D7" s="31">
        <v>132</v>
      </c>
      <c r="E7" s="29">
        <v>1339.7762399999999</v>
      </c>
      <c r="F7" s="30">
        <v>10.6011356368442</v>
      </c>
      <c r="G7" s="29">
        <v>3.4601000000000002</v>
      </c>
    </row>
    <row r="8" spans="1:7" x14ac:dyDescent="0.2">
      <c r="A8" s="27" t="s">
        <v>1460</v>
      </c>
      <c r="B8" s="27" t="s">
        <v>1461</v>
      </c>
      <c r="C8" s="27" t="s">
        <v>42</v>
      </c>
      <c r="D8" s="31">
        <v>100</v>
      </c>
      <c r="E8" s="29">
        <v>1259.3989999999999</v>
      </c>
      <c r="F8" s="30">
        <v>9.9651413581613504</v>
      </c>
      <c r="G8" s="29">
        <v>4.0374999999999996</v>
      </c>
    </row>
    <row r="9" spans="1:7" x14ac:dyDescent="0.2">
      <c r="A9" s="27" t="s">
        <v>945</v>
      </c>
      <c r="B9" s="27" t="s">
        <v>946</v>
      </c>
      <c r="C9" s="27" t="s">
        <v>42</v>
      </c>
      <c r="D9" s="31">
        <v>110</v>
      </c>
      <c r="E9" s="29">
        <v>1116.8905</v>
      </c>
      <c r="F9" s="30">
        <v>8.8375262439365994</v>
      </c>
      <c r="G9" s="29">
        <v>3.4649000000000001</v>
      </c>
    </row>
    <row r="10" spans="1:7" x14ac:dyDescent="0.2">
      <c r="A10" s="27" t="s">
        <v>1486</v>
      </c>
      <c r="B10" s="27" t="s">
        <v>1487</v>
      </c>
      <c r="C10" s="27" t="s">
        <v>42</v>
      </c>
      <c r="D10" s="31">
        <v>84</v>
      </c>
      <c r="E10" s="29">
        <v>1051.9639199999999</v>
      </c>
      <c r="F10" s="30">
        <v>8.3237871131274002</v>
      </c>
      <c r="G10" s="29">
        <v>3.6999</v>
      </c>
    </row>
    <row r="11" spans="1:7" x14ac:dyDescent="0.2">
      <c r="A11" s="27" t="s">
        <v>1476</v>
      </c>
      <c r="B11" s="27" t="s">
        <v>1477</v>
      </c>
      <c r="C11" s="27" t="s">
        <v>896</v>
      </c>
      <c r="D11" s="31">
        <v>101</v>
      </c>
      <c r="E11" s="29">
        <v>1031.49785</v>
      </c>
      <c r="F11" s="30">
        <v>8.1618469491317001</v>
      </c>
      <c r="G11" s="29">
        <v>3.6364999999999998</v>
      </c>
    </row>
    <row r="12" spans="1:7" x14ac:dyDescent="0.2">
      <c r="A12" s="27" t="s">
        <v>1437</v>
      </c>
      <c r="B12" s="27" t="s">
        <v>1438</v>
      </c>
      <c r="C12" s="27" t="s">
        <v>42</v>
      </c>
      <c r="D12" s="31">
        <v>77</v>
      </c>
      <c r="E12" s="29">
        <v>964.36032</v>
      </c>
      <c r="F12" s="30">
        <v>7.6306134187828603</v>
      </c>
      <c r="G12" s="29">
        <v>3.55</v>
      </c>
    </row>
    <row r="13" spans="1:7" x14ac:dyDescent="0.2">
      <c r="A13" s="27" t="s">
        <v>923</v>
      </c>
      <c r="B13" s="27" t="s">
        <v>924</v>
      </c>
      <c r="C13" s="27" t="s">
        <v>896</v>
      </c>
      <c r="D13" s="31">
        <v>70</v>
      </c>
      <c r="E13" s="29">
        <v>876.30409999999995</v>
      </c>
      <c r="F13" s="30">
        <v>6.9338583159398697</v>
      </c>
      <c r="G13" s="29">
        <v>5.2949999999999999</v>
      </c>
    </row>
    <row r="14" spans="1:7" x14ac:dyDescent="0.2">
      <c r="A14" s="27" t="s">
        <v>1511</v>
      </c>
      <c r="B14" s="27" t="s">
        <v>1512</v>
      </c>
      <c r="C14" s="27" t="s">
        <v>42</v>
      </c>
      <c r="D14" s="31">
        <v>75</v>
      </c>
      <c r="E14" s="29">
        <v>762.50549999999998</v>
      </c>
      <c r="F14" s="30">
        <v>6.0334136313237501</v>
      </c>
      <c r="G14" s="29">
        <v>3.7151000000000001</v>
      </c>
    </row>
    <row r="15" spans="1:7" x14ac:dyDescent="0.2">
      <c r="A15" s="27" t="s">
        <v>1513</v>
      </c>
      <c r="B15" s="27" t="s">
        <v>1514</v>
      </c>
      <c r="C15" s="27" t="s">
        <v>896</v>
      </c>
      <c r="D15" s="31">
        <v>56</v>
      </c>
      <c r="E15" s="29">
        <v>566.32687999999996</v>
      </c>
      <c r="F15" s="30">
        <v>4.4811274378703496</v>
      </c>
      <c r="G15" s="29">
        <v>3.3847999999999998</v>
      </c>
    </row>
    <row r="16" spans="1:7" x14ac:dyDescent="0.2">
      <c r="A16" s="27" t="s">
        <v>933</v>
      </c>
      <c r="B16" s="27" t="s">
        <v>934</v>
      </c>
      <c r="C16" s="27" t="s">
        <v>42</v>
      </c>
      <c r="D16" s="31">
        <v>45</v>
      </c>
      <c r="E16" s="29">
        <v>452.43945000000002</v>
      </c>
      <c r="F16" s="30">
        <v>3.5799798755269601</v>
      </c>
      <c r="G16" s="29">
        <v>3.2496999999999998</v>
      </c>
    </row>
    <row r="17" spans="1:9" x14ac:dyDescent="0.2">
      <c r="A17" s="27" t="s">
        <v>1493</v>
      </c>
      <c r="B17" s="27" t="s">
        <v>1494</v>
      </c>
      <c r="C17" s="27" t="s">
        <v>42</v>
      </c>
      <c r="D17" s="31">
        <v>27</v>
      </c>
      <c r="E17" s="29">
        <v>274.79331000000002</v>
      </c>
      <c r="F17" s="30">
        <v>2.17433408985322</v>
      </c>
      <c r="G17" s="29">
        <v>3.7149999999999999</v>
      </c>
    </row>
    <row r="18" spans="1:9" x14ac:dyDescent="0.2">
      <c r="A18" s="27" t="s">
        <v>1484</v>
      </c>
      <c r="B18" s="27" t="s">
        <v>1485</v>
      </c>
      <c r="C18" s="27" t="s">
        <v>42</v>
      </c>
      <c r="D18" s="31">
        <v>11</v>
      </c>
      <c r="E18" s="29">
        <v>112.61293999999999</v>
      </c>
      <c r="F18" s="30">
        <v>0.89106301168902202</v>
      </c>
      <c r="G18" s="29">
        <v>3.7149999999999999</v>
      </c>
    </row>
    <row r="19" spans="1:9" x14ac:dyDescent="0.2">
      <c r="A19" s="27" t="s">
        <v>1292</v>
      </c>
      <c r="B19" s="27" t="s">
        <v>1293</v>
      </c>
      <c r="C19" s="27" t="s">
        <v>1294</v>
      </c>
      <c r="D19" s="31">
        <v>9</v>
      </c>
      <c r="E19" s="29">
        <v>112.26429</v>
      </c>
      <c r="F19" s="30">
        <v>0.88830427793226696</v>
      </c>
      <c r="G19" s="29">
        <v>4.0374999999999996</v>
      </c>
    </row>
    <row r="20" spans="1:9" x14ac:dyDescent="0.2">
      <c r="A20" s="27" t="s">
        <v>1515</v>
      </c>
      <c r="B20" s="27" t="s">
        <v>1516</v>
      </c>
      <c r="C20" s="27" t="s">
        <v>42</v>
      </c>
      <c r="D20" s="31">
        <v>8</v>
      </c>
      <c r="E20" s="29">
        <v>81.359520000000003</v>
      </c>
      <c r="F20" s="30">
        <v>0.64376668365796297</v>
      </c>
      <c r="G20" s="29">
        <v>3.7151000000000001</v>
      </c>
    </row>
    <row r="21" spans="1:9" x14ac:dyDescent="0.2">
      <c r="A21" s="27" t="s">
        <v>1501</v>
      </c>
      <c r="B21" s="27" t="s">
        <v>1502</v>
      </c>
      <c r="C21" s="27" t="s">
        <v>42</v>
      </c>
      <c r="D21" s="31">
        <v>4</v>
      </c>
      <c r="E21" s="29">
        <v>40.401719999999997</v>
      </c>
      <c r="F21" s="30">
        <v>0.31968331792613303</v>
      </c>
      <c r="G21" s="29">
        <v>3.4148999999999998</v>
      </c>
    </row>
    <row r="22" spans="1:9" x14ac:dyDescent="0.2">
      <c r="A22" s="27" t="s">
        <v>1517</v>
      </c>
      <c r="B22" s="27" t="s">
        <v>1518</v>
      </c>
      <c r="C22" s="27" t="s">
        <v>42</v>
      </c>
      <c r="D22" s="31">
        <v>3</v>
      </c>
      <c r="E22" s="29">
        <v>38.306437500000001</v>
      </c>
      <c r="F22" s="30">
        <v>0.30310415096015902</v>
      </c>
      <c r="G22" s="29">
        <v>3.3599000000000001</v>
      </c>
    </row>
    <row r="23" spans="1:9" x14ac:dyDescent="0.2">
      <c r="A23" s="27" t="s">
        <v>1480</v>
      </c>
      <c r="B23" s="27" t="s">
        <v>1481</v>
      </c>
      <c r="C23" s="27" t="s">
        <v>896</v>
      </c>
      <c r="D23" s="31">
        <v>1</v>
      </c>
      <c r="E23" s="29">
        <v>10.177049999999999</v>
      </c>
      <c r="F23" s="30">
        <v>8.0527094160846496E-2</v>
      </c>
      <c r="G23" s="29">
        <v>3.569</v>
      </c>
    </row>
    <row r="24" spans="1:9" x14ac:dyDescent="0.2">
      <c r="A24" s="27" t="s">
        <v>1290</v>
      </c>
      <c r="B24" s="27" t="s">
        <v>1291</v>
      </c>
      <c r="C24" s="27" t="s">
        <v>42</v>
      </c>
      <c r="D24" s="31">
        <v>1</v>
      </c>
      <c r="E24" s="29">
        <v>10.15494</v>
      </c>
      <c r="F24" s="30">
        <v>8.03521462091418E-2</v>
      </c>
      <c r="G24" s="29">
        <v>5.0199999999999996</v>
      </c>
    </row>
    <row r="25" spans="1:9" ht="10.5" x14ac:dyDescent="0.25">
      <c r="A25" s="26" t="s">
        <v>43</v>
      </c>
      <c r="B25" s="26"/>
      <c r="C25" s="26"/>
      <c r="D25" s="32"/>
      <c r="E25" s="33">
        <f>SUM(E6:E24)</f>
        <v>10101.5339675</v>
      </c>
      <c r="F25" s="34">
        <f>SUM(F6:F24)</f>
        <v>79.929564753033787</v>
      </c>
      <c r="G25" s="33"/>
      <c r="H25" s="18"/>
      <c r="I25" s="18"/>
    </row>
    <row r="26" spans="1:9" x14ac:dyDescent="0.2">
      <c r="A26" s="27"/>
      <c r="B26" s="27"/>
      <c r="C26" s="27"/>
      <c r="D26" s="28"/>
      <c r="E26" s="29"/>
      <c r="F26" s="30"/>
      <c r="G26" s="29"/>
    </row>
    <row r="27" spans="1:9" ht="10.5" x14ac:dyDescent="0.25">
      <c r="A27" s="26" t="s">
        <v>44</v>
      </c>
      <c r="B27" s="27"/>
      <c r="C27" s="27"/>
      <c r="D27" s="28"/>
      <c r="E27" s="29"/>
      <c r="F27" s="30"/>
      <c r="G27" s="29"/>
    </row>
    <row r="28" spans="1:9" x14ac:dyDescent="0.2">
      <c r="A28" s="27" t="s">
        <v>1490</v>
      </c>
      <c r="B28" s="27" t="s">
        <v>1491</v>
      </c>
      <c r="C28" s="27" t="s">
        <v>851</v>
      </c>
      <c r="D28" s="31">
        <v>100</v>
      </c>
      <c r="E28" s="29">
        <v>1011.515</v>
      </c>
      <c r="F28" s="30">
        <v>8.0037303197005691</v>
      </c>
      <c r="G28" s="29">
        <v>4.2698999999999998</v>
      </c>
    </row>
    <row r="29" spans="1:9" x14ac:dyDescent="0.2">
      <c r="A29" s="27" t="s">
        <v>1519</v>
      </c>
      <c r="B29" s="27" t="s">
        <v>1520</v>
      </c>
      <c r="C29" s="27" t="s">
        <v>42</v>
      </c>
      <c r="D29" s="31">
        <v>72</v>
      </c>
      <c r="E29" s="29">
        <v>731.34144000000003</v>
      </c>
      <c r="F29" s="30">
        <v>5.7868243747067298</v>
      </c>
      <c r="G29" s="29">
        <v>3.9948999999999999</v>
      </c>
    </row>
    <row r="30" spans="1:9" ht="10.5" x14ac:dyDescent="0.25">
      <c r="A30" s="26" t="s">
        <v>43</v>
      </c>
      <c r="B30" s="26"/>
      <c r="C30" s="26"/>
      <c r="D30" s="32"/>
      <c r="E30" s="33">
        <f>SUM(E27:E29)</f>
        <v>1742.85644</v>
      </c>
      <c r="F30" s="34">
        <f>SUM(F27:F29)</f>
        <v>13.790554694407298</v>
      </c>
      <c r="G30" s="33"/>
      <c r="H30" s="18"/>
      <c r="I30" s="18"/>
    </row>
    <row r="31" spans="1:9" x14ac:dyDescent="0.2">
      <c r="A31" s="27"/>
      <c r="B31" s="27"/>
      <c r="C31" s="27"/>
      <c r="D31" s="28"/>
      <c r="E31" s="29"/>
      <c r="F31" s="30"/>
      <c r="G31" s="29"/>
    </row>
    <row r="32" spans="1:9" ht="10.5" x14ac:dyDescent="0.25">
      <c r="A32" s="26" t="s">
        <v>62</v>
      </c>
      <c r="B32" s="27"/>
      <c r="C32" s="27"/>
      <c r="D32" s="28"/>
      <c r="E32" s="29"/>
      <c r="F32" s="30"/>
      <c r="G32" s="29"/>
    </row>
    <row r="33" spans="1:9" ht="10.5" x14ac:dyDescent="0.25">
      <c r="A33" s="26" t="s">
        <v>63</v>
      </c>
      <c r="B33" s="27"/>
      <c r="C33" s="27"/>
      <c r="D33" s="28"/>
      <c r="E33" s="29"/>
      <c r="F33" s="30"/>
      <c r="G33" s="29"/>
    </row>
    <row r="34" spans="1:9" x14ac:dyDescent="0.2">
      <c r="A34" s="27" t="s">
        <v>797</v>
      </c>
      <c r="B34" s="27" t="s">
        <v>798</v>
      </c>
      <c r="C34" s="27" t="s">
        <v>67</v>
      </c>
      <c r="D34" s="31">
        <v>117</v>
      </c>
      <c r="E34" s="29">
        <v>115.68222900000001</v>
      </c>
      <c r="F34" s="30">
        <v>0.91534911859719803</v>
      </c>
      <c r="G34" s="29">
        <v>3.2999000000000001</v>
      </c>
    </row>
    <row r="35" spans="1:9" ht="10.5" x14ac:dyDescent="0.25">
      <c r="A35" s="26" t="s">
        <v>43</v>
      </c>
      <c r="B35" s="26"/>
      <c r="C35" s="26"/>
      <c r="D35" s="32"/>
      <c r="E35" s="33">
        <f>SUM(E33:E34)</f>
        <v>115.68222900000001</v>
      </c>
      <c r="F35" s="34">
        <f>SUM(F33:F34)</f>
        <v>0.91534911859719803</v>
      </c>
      <c r="G35" s="33"/>
      <c r="H35" s="18"/>
      <c r="I35" s="18"/>
    </row>
    <row r="36" spans="1:9" x14ac:dyDescent="0.2">
      <c r="A36" s="27"/>
      <c r="B36" s="27"/>
      <c r="C36" s="27"/>
      <c r="D36" s="28"/>
      <c r="E36" s="29"/>
      <c r="F36" s="30"/>
      <c r="G36" s="29"/>
    </row>
    <row r="37" spans="1:9" ht="10.5" x14ac:dyDescent="0.25">
      <c r="A37" s="26" t="s">
        <v>748</v>
      </c>
      <c r="B37" s="27"/>
      <c r="C37" s="27"/>
      <c r="D37" s="28"/>
      <c r="E37" s="29"/>
      <c r="F37" s="30"/>
      <c r="G37" s="29"/>
    </row>
    <row r="38" spans="1:9" x14ac:dyDescent="0.2">
      <c r="A38" s="27" t="s">
        <v>828</v>
      </c>
      <c r="B38" s="27" t="s">
        <v>829</v>
      </c>
      <c r="C38" s="27" t="s">
        <v>827</v>
      </c>
      <c r="D38" s="31">
        <v>77000</v>
      </c>
      <c r="E38" s="29">
        <v>75.996690000000001</v>
      </c>
      <c r="F38" s="30">
        <v>0.60133266629746995</v>
      </c>
      <c r="G38" s="29">
        <v>3.3006000000000002</v>
      </c>
    </row>
    <row r="39" spans="1:9" ht="10.5" x14ac:dyDescent="0.25">
      <c r="A39" s="26" t="s">
        <v>43</v>
      </c>
      <c r="B39" s="26"/>
      <c r="C39" s="26"/>
      <c r="D39" s="32"/>
      <c r="E39" s="33">
        <f>SUM(E37:E38)</f>
        <v>75.996690000000001</v>
      </c>
      <c r="F39" s="34">
        <f>SUM(F37:F38)</f>
        <v>0.60133266629746995</v>
      </c>
      <c r="G39" s="33"/>
      <c r="H39" s="18"/>
      <c r="I39" s="18"/>
    </row>
    <row r="40" spans="1:9" x14ac:dyDescent="0.2">
      <c r="A40" s="27"/>
      <c r="B40" s="27"/>
      <c r="C40" s="27"/>
      <c r="D40" s="28"/>
      <c r="E40" s="29"/>
      <c r="F40" s="30"/>
      <c r="G40" s="29"/>
    </row>
    <row r="41" spans="1:9" ht="10.5" x14ac:dyDescent="0.25">
      <c r="A41" s="26" t="s">
        <v>48</v>
      </c>
      <c r="B41" s="26"/>
      <c r="C41" s="26"/>
      <c r="D41" s="32"/>
      <c r="E41" s="33">
        <f>E25+E30+E35+E39</f>
        <v>12036.069326499999</v>
      </c>
      <c r="F41" s="34">
        <f>F25+F30+F35+F39</f>
        <v>95.236801232335736</v>
      </c>
      <c r="G41" s="33"/>
      <c r="H41" s="18"/>
      <c r="I41" s="18"/>
    </row>
    <row r="42" spans="1:9" ht="10.5" x14ac:dyDescent="0.25">
      <c r="A42" s="26"/>
      <c r="B42" s="26"/>
      <c r="C42" s="26"/>
      <c r="D42" s="32"/>
      <c r="E42" s="33"/>
      <c r="F42" s="34"/>
      <c r="G42" s="33"/>
      <c r="H42" s="18"/>
      <c r="I42" s="18"/>
    </row>
    <row r="43" spans="1:9" ht="10.5" x14ac:dyDescent="0.25">
      <c r="A43" s="26" t="s">
        <v>50</v>
      </c>
      <c r="B43" s="26"/>
      <c r="C43" s="26"/>
      <c r="D43" s="32"/>
      <c r="E43" s="33">
        <f>E45-(E25+E30+E35+E39)</f>
        <v>601.97518020000098</v>
      </c>
      <c r="F43" s="34">
        <f>F45-(F25+F30+F35+F39)</f>
        <v>4.7631987676642638</v>
      </c>
      <c r="G43" s="33"/>
      <c r="H43" s="18"/>
      <c r="I43" s="18"/>
    </row>
    <row r="44" spans="1:9" ht="10.5" x14ac:dyDescent="0.25">
      <c r="A44" s="26"/>
      <c r="B44" s="26"/>
      <c r="C44" s="26"/>
      <c r="D44" s="32"/>
      <c r="E44" s="33"/>
      <c r="F44" s="34"/>
      <c r="G44" s="33"/>
      <c r="H44" s="18"/>
      <c r="I44" s="18"/>
    </row>
    <row r="45" spans="1:9" ht="10.5" x14ac:dyDescent="0.25">
      <c r="A45" s="35" t="s">
        <v>49</v>
      </c>
      <c r="B45" s="35"/>
      <c r="C45" s="35"/>
      <c r="D45" s="36"/>
      <c r="E45" s="37">
        <v>12638.0445067</v>
      </c>
      <c r="F45" s="38">
        <v>100</v>
      </c>
      <c r="G45" s="37"/>
      <c r="H45" s="18"/>
      <c r="I45" s="18"/>
    </row>
    <row r="47" spans="1:9" ht="10.5" x14ac:dyDescent="0.25">
      <c r="A47" s="18" t="s">
        <v>766</v>
      </c>
    </row>
    <row r="49" spans="1:4" ht="10.5" x14ac:dyDescent="0.25">
      <c r="A49" s="18" t="s">
        <v>51</v>
      </c>
    </row>
    <row r="50" spans="1:4" ht="10.5" x14ac:dyDescent="0.25">
      <c r="A50" s="18" t="s">
        <v>713</v>
      </c>
    </row>
    <row r="51" spans="1:4" ht="10.5" x14ac:dyDescent="0.25">
      <c r="A51" s="18" t="s">
        <v>53</v>
      </c>
      <c r="B51" s="18"/>
      <c r="C51" s="39" t="s">
        <v>55</v>
      </c>
      <c r="D51" s="19" t="s">
        <v>714</v>
      </c>
    </row>
    <row r="52" spans="1:4" x14ac:dyDescent="0.2">
      <c r="A52" s="9" t="s">
        <v>71</v>
      </c>
      <c r="C52" s="40">
        <v>11.787100000000001</v>
      </c>
      <c r="D52" s="40">
        <v>12.291600000000001</v>
      </c>
    </row>
    <row r="53" spans="1:4" x14ac:dyDescent="0.2">
      <c r="A53" s="9" t="s">
        <v>1386</v>
      </c>
      <c r="C53" s="40">
        <v>10.226000000000001</v>
      </c>
      <c r="D53" s="40">
        <v>10.6637</v>
      </c>
    </row>
    <row r="54" spans="1:4" x14ac:dyDescent="0.2">
      <c r="A54" s="9" t="s">
        <v>73</v>
      </c>
      <c r="C54" s="40">
        <v>10.2158</v>
      </c>
      <c r="D54" s="40">
        <v>10.2834</v>
      </c>
    </row>
    <row r="55" spans="1:4" x14ac:dyDescent="0.2">
      <c r="A55" s="9" t="s">
        <v>74</v>
      </c>
      <c r="C55" s="40">
        <v>11.858000000000001</v>
      </c>
      <c r="D55" s="40">
        <v>12.365600000000001</v>
      </c>
    </row>
    <row r="56" spans="1:4" x14ac:dyDescent="0.2">
      <c r="A56" s="9" t="s">
        <v>78</v>
      </c>
      <c r="C56" s="40">
        <v>10.297000000000001</v>
      </c>
      <c r="D56" s="40">
        <v>10.738200000000001</v>
      </c>
    </row>
    <row r="57" spans="1:4" x14ac:dyDescent="0.2">
      <c r="A57" s="9" t="s">
        <v>76</v>
      </c>
      <c r="C57" s="40">
        <v>10.2515</v>
      </c>
      <c r="D57" s="40">
        <v>10.320499999999999</v>
      </c>
    </row>
    <row r="59" spans="1:4" ht="10.5" x14ac:dyDescent="0.25">
      <c r="A59" s="18" t="s">
        <v>715</v>
      </c>
    </row>
    <row r="60" spans="1:4" ht="10.5" x14ac:dyDescent="0.25">
      <c r="A60" s="81" t="s">
        <v>68</v>
      </c>
      <c r="B60" s="82"/>
      <c r="C60" s="43" t="s">
        <v>69</v>
      </c>
    </row>
    <row r="61" spans="1:4" x14ac:dyDescent="0.2">
      <c r="A61" s="77" t="s">
        <v>73</v>
      </c>
      <c r="B61" s="78"/>
      <c r="C61" s="44">
        <v>0.36499999999999999</v>
      </c>
    </row>
    <row r="62" spans="1:4" x14ac:dyDescent="0.2">
      <c r="A62" s="77" t="s">
        <v>76</v>
      </c>
      <c r="B62" s="78"/>
      <c r="C62" s="44">
        <v>0.36499999999999999</v>
      </c>
    </row>
    <row r="63" spans="1:4" x14ac:dyDescent="0.2">
      <c r="A63" s="9" t="s">
        <v>70</v>
      </c>
    </row>
    <row r="65" spans="1:5" ht="10.5" x14ac:dyDescent="0.25">
      <c r="A65" s="18" t="s">
        <v>785</v>
      </c>
      <c r="D65" s="42">
        <v>0.373903439178082</v>
      </c>
      <c r="E65" s="13" t="s">
        <v>58</v>
      </c>
    </row>
    <row r="67" spans="1:5" ht="10.5" x14ac:dyDescent="0.25">
      <c r="A67" s="18" t="s">
        <v>786</v>
      </c>
      <c r="D67" s="41" t="s">
        <v>57</v>
      </c>
    </row>
  </sheetData>
  <mergeCells count="4">
    <mergeCell ref="A1:G1"/>
    <mergeCell ref="A60:B60"/>
    <mergeCell ref="A61:B61"/>
    <mergeCell ref="A62:B62"/>
  </mergeCells>
  <conditionalFormatting sqref="F2:F3 F5:F65536">
    <cfRule type="cellIs" dxfId="3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2"/>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1521</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1460</v>
      </c>
      <c r="B7" s="27" t="s">
        <v>1461</v>
      </c>
      <c r="C7" s="27" t="s">
        <v>42</v>
      </c>
      <c r="D7" s="31">
        <v>61</v>
      </c>
      <c r="E7" s="29">
        <v>768.23338999999999</v>
      </c>
      <c r="F7" s="30">
        <v>10.0119944879764</v>
      </c>
      <c r="G7" s="29">
        <v>4.0374999999999996</v>
      </c>
    </row>
    <row r="8" spans="1:7" x14ac:dyDescent="0.2">
      <c r="A8" s="27" t="s">
        <v>1476</v>
      </c>
      <c r="B8" s="27" t="s">
        <v>1477</v>
      </c>
      <c r="C8" s="27" t="s">
        <v>896</v>
      </c>
      <c r="D8" s="31">
        <v>61</v>
      </c>
      <c r="E8" s="29">
        <v>622.98384999999996</v>
      </c>
      <c r="F8" s="30">
        <v>8.1190312130253695</v>
      </c>
      <c r="G8" s="29">
        <v>3.6364999999999998</v>
      </c>
    </row>
    <row r="9" spans="1:7" x14ac:dyDescent="0.2">
      <c r="A9" s="27" t="s">
        <v>1515</v>
      </c>
      <c r="B9" s="27" t="s">
        <v>1516</v>
      </c>
      <c r="C9" s="27" t="s">
        <v>42</v>
      </c>
      <c r="D9" s="31">
        <v>61</v>
      </c>
      <c r="E9" s="29">
        <v>620.36634000000004</v>
      </c>
      <c r="F9" s="30">
        <v>8.0849185383703102</v>
      </c>
      <c r="G9" s="29">
        <v>3.7151000000000001</v>
      </c>
    </row>
    <row r="10" spans="1:7" x14ac:dyDescent="0.2">
      <c r="A10" s="27" t="s">
        <v>1511</v>
      </c>
      <c r="B10" s="27" t="s">
        <v>1512</v>
      </c>
      <c r="C10" s="27" t="s">
        <v>42</v>
      </c>
      <c r="D10" s="31">
        <v>61</v>
      </c>
      <c r="E10" s="29">
        <v>620.17114000000004</v>
      </c>
      <c r="F10" s="30">
        <v>8.0823745961914195</v>
      </c>
      <c r="G10" s="29">
        <v>3.7151000000000001</v>
      </c>
    </row>
    <row r="11" spans="1:7" x14ac:dyDescent="0.2">
      <c r="A11" s="27" t="s">
        <v>1513</v>
      </c>
      <c r="B11" s="27" t="s">
        <v>1514</v>
      </c>
      <c r="C11" s="27" t="s">
        <v>896</v>
      </c>
      <c r="D11" s="31">
        <v>61</v>
      </c>
      <c r="E11" s="29">
        <v>616.89178000000004</v>
      </c>
      <c r="F11" s="30">
        <v>8.0396363675860592</v>
      </c>
      <c r="G11" s="29">
        <v>3.3847999999999998</v>
      </c>
    </row>
    <row r="12" spans="1:7" x14ac:dyDescent="0.2">
      <c r="A12" s="27" t="s">
        <v>1364</v>
      </c>
      <c r="B12" s="27" t="s">
        <v>1365</v>
      </c>
      <c r="C12" s="27" t="s">
        <v>42</v>
      </c>
      <c r="D12" s="31">
        <v>5</v>
      </c>
      <c r="E12" s="29">
        <v>508.52449999999999</v>
      </c>
      <c r="F12" s="30">
        <v>6.6273408019937001</v>
      </c>
      <c r="G12" s="29">
        <v>3.51</v>
      </c>
    </row>
    <row r="13" spans="1:7" x14ac:dyDescent="0.2">
      <c r="A13" s="27" t="s">
        <v>923</v>
      </c>
      <c r="B13" s="27" t="s">
        <v>924</v>
      </c>
      <c r="C13" s="27" t="s">
        <v>896</v>
      </c>
      <c r="D13" s="31">
        <v>40</v>
      </c>
      <c r="E13" s="29">
        <v>500.74520000000001</v>
      </c>
      <c r="F13" s="30">
        <v>6.5259571473203204</v>
      </c>
      <c r="G13" s="29">
        <v>5.2949999999999999</v>
      </c>
    </row>
    <row r="14" spans="1:7" x14ac:dyDescent="0.2">
      <c r="A14" s="27" t="s">
        <v>945</v>
      </c>
      <c r="B14" s="27" t="s">
        <v>946</v>
      </c>
      <c r="C14" s="27" t="s">
        <v>42</v>
      </c>
      <c r="D14" s="31">
        <v>38</v>
      </c>
      <c r="E14" s="29">
        <v>385.8349</v>
      </c>
      <c r="F14" s="30">
        <v>5.0283897346207702</v>
      </c>
      <c r="G14" s="29">
        <v>3.4649000000000001</v>
      </c>
    </row>
    <row r="15" spans="1:7" x14ac:dyDescent="0.2">
      <c r="A15" s="27" t="s">
        <v>1437</v>
      </c>
      <c r="B15" s="27" t="s">
        <v>1438</v>
      </c>
      <c r="C15" s="27" t="s">
        <v>42</v>
      </c>
      <c r="D15" s="31">
        <v>30</v>
      </c>
      <c r="E15" s="29">
        <v>375.72480000000002</v>
      </c>
      <c r="F15" s="30">
        <v>4.89662995069249</v>
      </c>
      <c r="G15" s="29">
        <v>3.55</v>
      </c>
    </row>
    <row r="16" spans="1:7" x14ac:dyDescent="0.2">
      <c r="A16" s="27" t="s">
        <v>933</v>
      </c>
      <c r="B16" s="27" t="s">
        <v>934</v>
      </c>
      <c r="C16" s="27" t="s">
        <v>42</v>
      </c>
      <c r="D16" s="31">
        <v>36</v>
      </c>
      <c r="E16" s="29">
        <v>361.95155999999997</v>
      </c>
      <c r="F16" s="30">
        <v>4.7171303288892998</v>
      </c>
      <c r="G16" s="29">
        <v>3.2496999999999998</v>
      </c>
    </row>
    <row r="17" spans="1:9" x14ac:dyDescent="0.2">
      <c r="A17" s="27" t="s">
        <v>1495</v>
      </c>
      <c r="B17" s="27" t="s">
        <v>1496</v>
      </c>
      <c r="C17" s="27" t="s">
        <v>42</v>
      </c>
      <c r="D17" s="31">
        <v>21</v>
      </c>
      <c r="E17" s="29">
        <v>213.14622</v>
      </c>
      <c r="F17" s="30">
        <v>2.7778261236119901</v>
      </c>
      <c r="G17" s="29">
        <v>3.4601000000000002</v>
      </c>
    </row>
    <row r="18" spans="1:9" x14ac:dyDescent="0.2">
      <c r="A18" s="27" t="s">
        <v>1292</v>
      </c>
      <c r="B18" s="27" t="s">
        <v>1293</v>
      </c>
      <c r="C18" s="27" t="s">
        <v>1294</v>
      </c>
      <c r="D18" s="31">
        <v>10</v>
      </c>
      <c r="E18" s="29">
        <v>124.7381</v>
      </c>
      <c r="F18" s="30">
        <v>1.6256481245115399</v>
      </c>
      <c r="G18" s="29">
        <v>4.0374999999999996</v>
      </c>
    </row>
    <row r="19" spans="1:9" x14ac:dyDescent="0.2">
      <c r="A19" s="27" t="s">
        <v>1484</v>
      </c>
      <c r="B19" s="27" t="s">
        <v>1485</v>
      </c>
      <c r="C19" s="27" t="s">
        <v>42</v>
      </c>
      <c r="D19" s="31">
        <v>10</v>
      </c>
      <c r="E19" s="29">
        <v>102.3754</v>
      </c>
      <c r="F19" s="30">
        <v>1.33420644539334</v>
      </c>
      <c r="G19" s="29">
        <v>3.7149999999999999</v>
      </c>
    </row>
    <row r="20" spans="1:9" x14ac:dyDescent="0.2">
      <c r="A20" s="27" t="s">
        <v>1290</v>
      </c>
      <c r="B20" s="27" t="s">
        <v>1291</v>
      </c>
      <c r="C20" s="27" t="s">
        <v>42</v>
      </c>
      <c r="D20" s="31">
        <v>2</v>
      </c>
      <c r="E20" s="29">
        <v>20.30988</v>
      </c>
      <c r="F20" s="30">
        <v>0.26468832161989397</v>
      </c>
      <c r="G20" s="29">
        <v>5.0199999999999996</v>
      </c>
    </row>
    <row r="21" spans="1:9" x14ac:dyDescent="0.2">
      <c r="A21" s="27" t="s">
        <v>1486</v>
      </c>
      <c r="B21" s="27" t="s">
        <v>1487</v>
      </c>
      <c r="C21" s="27" t="s">
        <v>42</v>
      </c>
      <c r="D21" s="31">
        <v>1</v>
      </c>
      <c r="E21" s="29">
        <v>12.52338</v>
      </c>
      <c r="F21" s="30">
        <v>0.16321083301369299</v>
      </c>
      <c r="G21" s="29">
        <v>3.6999</v>
      </c>
    </row>
    <row r="22" spans="1:9" x14ac:dyDescent="0.2">
      <c r="A22" s="27" t="s">
        <v>1480</v>
      </c>
      <c r="B22" s="27" t="s">
        <v>1481</v>
      </c>
      <c r="C22" s="27" t="s">
        <v>896</v>
      </c>
      <c r="D22" s="31">
        <v>1</v>
      </c>
      <c r="E22" s="29">
        <v>10.177049999999999</v>
      </c>
      <c r="F22" s="30">
        <v>0.132632309178673</v>
      </c>
      <c r="G22" s="29">
        <v>3.569</v>
      </c>
    </row>
    <row r="23" spans="1:9" ht="10.5" x14ac:dyDescent="0.25">
      <c r="A23" s="26" t="s">
        <v>43</v>
      </c>
      <c r="B23" s="26"/>
      <c r="C23" s="26"/>
      <c r="D23" s="32"/>
      <c r="E23" s="33">
        <f>SUM(E6:E22)</f>
        <v>5864.6974899999977</v>
      </c>
      <c r="F23" s="34">
        <f>SUM(F6:F22)</f>
        <v>76.43161532399526</v>
      </c>
      <c r="G23" s="33"/>
      <c r="H23" s="18"/>
      <c r="I23" s="18"/>
    </row>
    <row r="24" spans="1:9" x14ac:dyDescent="0.2">
      <c r="A24" s="27"/>
      <c r="B24" s="27"/>
      <c r="C24" s="27"/>
      <c r="D24" s="28"/>
      <c r="E24" s="29"/>
      <c r="F24" s="30"/>
      <c r="G24" s="29"/>
    </row>
    <row r="25" spans="1:9" ht="10.5" x14ac:dyDescent="0.25">
      <c r="A25" s="26" t="s">
        <v>44</v>
      </c>
      <c r="B25" s="27"/>
      <c r="C25" s="27"/>
      <c r="D25" s="28"/>
      <c r="E25" s="29"/>
      <c r="F25" s="30"/>
      <c r="G25" s="29"/>
    </row>
    <row r="26" spans="1:9" x14ac:dyDescent="0.2">
      <c r="A26" s="27" t="s">
        <v>1519</v>
      </c>
      <c r="B26" s="27" t="s">
        <v>1520</v>
      </c>
      <c r="C26" s="27" t="s">
        <v>42</v>
      </c>
      <c r="D26" s="31">
        <v>61</v>
      </c>
      <c r="E26" s="29">
        <v>619.60871999999995</v>
      </c>
      <c r="F26" s="30">
        <v>8.0750448627884897</v>
      </c>
      <c r="G26" s="29">
        <v>3.9948999999999999</v>
      </c>
    </row>
    <row r="27" spans="1:9" x14ac:dyDescent="0.2">
      <c r="A27" s="27" t="s">
        <v>1490</v>
      </c>
      <c r="B27" s="27" t="s">
        <v>1491</v>
      </c>
      <c r="C27" s="27" t="s">
        <v>851</v>
      </c>
      <c r="D27" s="31">
        <v>61</v>
      </c>
      <c r="E27" s="29">
        <v>617.02414999999996</v>
      </c>
      <c r="F27" s="30">
        <v>8.0413614783761194</v>
      </c>
      <c r="G27" s="29">
        <v>4.2698999999999998</v>
      </c>
    </row>
    <row r="28" spans="1:9" ht="10.5" x14ac:dyDescent="0.25">
      <c r="A28" s="26" t="s">
        <v>43</v>
      </c>
      <c r="B28" s="26"/>
      <c r="C28" s="26"/>
      <c r="D28" s="32"/>
      <c r="E28" s="33">
        <f>SUM(E25:E27)</f>
        <v>1236.6328699999999</v>
      </c>
      <c r="F28" s="34">
        <f>SUM(F25:F27)</f>
        <v>16.116406341164609</v>
      </c>
      <c r="G28" s="33"/>
      <c r="H28" s="18"/>
      <c r="I28" s="18"/>
    </row>
    <row r="29" spans="1:9" x14ac:dyDescent="0.2">
      <c r="A29" s="27"/>
      <c r="B29" s="27"/>
      <c r="C29" s="27"/>
      <c r="D29" s="28"/>
      <c r="E29" s="29"/>
      <c r="F29" s="30"/>
      <c r="G29" s="29"/>
    </row>
    <row r="30" spans="1:9" ht="10.5" x14ac:dyDescent="0.25">
      <c r="A30" s="26" t="s">
        <v>62</v>
      </c>
      <c r="B30" s="27"/>
      <c r="C30" s="27"/>
      <c r="D30" s="28"/>
      <c r="E30" s="29"/>
      <c r="F30" s="30"/>
      <c r="G30" s="29"/>
    </row>
    <row r="31" spans="1:9" ht="10.5" x14ac:dyDescent="0.25">
      <c r="A31" s="26" t="s">
        <v>63</v>
      </c>
      <c r="B31" s="27"/>
      <c r="C31" s="27"/>
      <c r="D31" s="28"/>
      <c r="E31" s="29"/>
      <c r="F31" s="30"/>
      <c r="G31" s="29"/>
    </row>
    <row r="32" spans="1:9" x14ac:dyDescent="0.2">
      <c r="A32" s="27" t="s">
        <v>797</v>
      </c>
      <c r="B32" s="27" t="s">
        <v>798</v>
      </c>
      <c r="C32" s="27" t="s">
        <v>67</v>
      </c>
      <c r="D32" s="31">
        <v>56</v>
      </c>
      <c r="E32" s="29">
        <v>55.369272000000002</v>
      </c>
      <c r="F32" s="30">
        <v>0.72159952077488299</v>
      </c>
      <c r="G32" s="29">
        <v>3.2999000000000001</v>
      </c>
    </row>
    <row r="33" spans="1:9" ht="10.5" x14ac:dyDescent="0.25">
      <c r="A33" s="26" t="s">
        <v>43</v>
      </c>
      <c r="B33" s="26"/>
      <c r="C33" s="26"/>
      <c r="D33" s="32"/>
      <c r="E33" s="33">
        <f>SUM(E31:E32)</f>
        <v>55.369272000000002</v>
      </c>
      <c r="F33" s="34">
        <f>SUM(F31:F32)</f>
        <v>0.72159952077488299</v>
      </c>
      <c r="G33" s="33"/>
      <c r="H33" s="18"/>
      <c r="I33" s="18"/>
    </row>
    <row r="34" spans="1:9" x14ac:dyDescent="0.2">
      <c r="A34" s="27"/>
      <c r="B34" s="27"/>
      <c r="C34" s="27"/>
      <c r="D34" s="28"/>
      <c r="E34" s="29"/>
      <c r="F34" s="30"/>
      <c r="G34" s="29"/>
    </row>
    <row r="35" spans="1:9" ht="10.5" x14ac:dyDescent="0.25">
      <c r="A35" s="26" t="s">
        <v>748</v>
      </c>
      <c r="B35" s="27"/>
      <c r="C35" s="27"/>
      <c r="D35" s="28"/>
      <c r="E35" s="29"/>
      <c r="F35" s="30"/>
      <c r="G35" s="29"/>
    </row>
    <row r="36" spans="1:9" x14ac:dyDescent="0.2">
      <c r="A36" s="27" t="s">
        <v>828</v>
      </c>
      <c r="B36" s="27" t="s">
        <v>829</v>
      </c>
      <c r="C36" s="27" t="s">
        <v>827</v>
      </c>
      <c r="D36" s="31">
        <v>120000</v>
      </c>
      <c r="E36" s="29">
        <v>118.43640000000001</v>
      </c>
      <c r="F36" s="30">
        <v>1.5435212780529699</v>
      </c>
      <c r="G36" s="29">
        <v>3.3006000000000002</v>
      </c>
    </row>
    <row r="37" spans="1:9" ht="10.5" x14ac:dyDescent="0.25">
      <c r="A37" s="26" t="s">
        <v>43</v>
      </c>
      <c r="B37" s="26"/>
      <c r="C37" s="26"/>
      <c r="D37" s="32"/>
      <c r="E37" s="33">
        <f>SUM(E35:E36)</f>
        <v>118.43640000000001</v>
      </c>
      <c r="F37" s="34">
        <f>SUM(F35:F36)</f>
        <v>1.5435212780529699</v>
      </c>
      <c r="G37" s="33"/>
      <c r="H37" s="18"/>
      <c r="I37" s="18"/>
    </row>
    <row r="38" spans="1:9" x14ac:dyDescent="0.2">
      <c r="A38" s="27"/>
      <c r="B38" s="27"/>
      <c r="C38" s="27"/>
      <c r="D38" s="28"/>
      <c r="E38" s="29"/>
      <c r="F38" s="30"/>
      <c r="G38" s="29"/>
    </row>
    <row r="39" spans="1:9" ht="10.5" x14ac:dyDescent="0.25">
      <c r="A39" s="26" t="s">
        <v>48</v>
      </c>
      <c r="B39" s="26"/>
      <c r="C39" s="26"/>
      <c r="D39" s="32"/>
      <c r="E39" s="33">
        <f>E23+E28+E33+E37</f>
        <v>7275.1360319999976</v>
      </c>
      <c r="F39" s="34">
        <f>F23+F28+F33+F37</f>
        <v>94.813142463987717</v>
      </c>
      <c r="G39" s="33"/>
      <c r="H39" s="18"/>
      <c r="I39" s="18"/>
    </row>
    <row r="40" spans="1:9" ht="10.5" x14ac:dyDescent="0.25">
      <c r="A40" s="26"/>
      <c r="B40" s="26"/>
      <c r="C40" s="26"/>
      <c r="D40" s="32"/>
      <c r="E40" s="33"/>
      <c r="F40" s="34"/>
      <c r="G40" s="33"/>
      <c r="H40" s="18"/>
      <c r="I40" s="18"/>
    </row>
    <row r="41" spans="1:9" ht="10.5" x14ac:dyDescent="0.25">
      <c r="A41" s="26" t="s">
        <v>50</v>
      </c>
      <c r="B41" s="26"/>
      <c r="C41" s="26"/>
      <c r="D41" s="32"/>
      <c r="E41" s="33">
        <f>E43-(E23+E28+E33+E37)</f>
        <v>397.99434100000235</v>
      </c>
      <c r="F41" s="34">
        <f>F43-(F23+F28+F33+F37)</f>
        <v>5.1868575360122833</v>
      </c>
      <c r="G41" s="33"/>
      <c r="H41" s="18"/>
      <c r="I41" s="18"/>
    </row>
    <row r="42" spans="1:9" ht="10.5" x14ac:dyDescent="0.25">
      <c r="A42" s="26"/>
      <c r="B42" s="26"/>
      <c r="C42" s="26"/>
      <c r="D42" s="32"/>
      <c r="E42" s="33"/>
      <c r="F42" s="34"/>
      <c r="G42" s="33"/>
      <c r="H42" s="18"/>
      <c r="I42" s="18"/>
    </row>
    <row r="43" spans="1:9" ht="10.5" x14ac:dyDescent="0.25">
      <c r="A43" s="35" t="s">
        <v>49</v>
      </c>
      <c r="B43" s="35"/>
      <c r="C43" s="35"/>
      <c r="D43" s="36"/>
      <c r="E43" s="37">
        <v>7673.130373</v>
      </c>
      <c r="F43" s="38">
        <v>100</v>
      </c>
      <c r="G43" s="37"/>
      <c r="H43" s="18"/>
      <c r="I43" s="18"/>
    </row>
    <row r="45" spans="1:9" ht="10.5" x14ac:dyDescent="0.25">
      <c r="A45" s="18" t="s">
        <v>766</v>
      </c>
    </row>
    <row r="47" spans="1:9" ht="10.5" x14ac:dyDescent="0.25">
      <c r="A47" s="18" t="s">
        <v>51</v>
      </c>
    </row>
    <row r="48" spans="1:9" ht="10.5" x14ac:dyDescent="0.25">
      <c r="A48" s="18" t="s">
        <v>713</v>
      </c>
    </row>
    <row r="49" spans="1:5" ht="10.5" x14ac:dyDescent="0.25">
      <c r="A49" s="18" t="s">
        <v>53</v>
      </c>
      <c r="B49" s="18"/>
      <c r="C49" s="39" t="s">
        <v>55</v>
      </c>
      <c r="D49" s="19" t="s">
        <v>714</v>
      </c>
    </row>
    <row r="50" spans="1:5" x14ac:dyDescent="0.2">
      <c r="A50" s="9" t="s">
        <v>71</v>
      </c>
      <c r="C50" s="40">
        <v>11.8613</v>
      </c>
      <c r="D50" s="40">
        <v>12.3642</v>
      </c>
    </row>
    <row r="51" spans="1:5" x14ac:dyDescent="0.2">
      <c r="A51" s="9" t="s">
        <v>1386</v>
      </c>
      <c r="C51" s="40">
        <v>10.2384</v>
      </c>
      <c r="D51" s="40">
        <v>10.6731</v>
      </c>
    </row>
    <row r="52" spans="1:5" x14ac:dyDescent="0.2">
      <c r="A52" s="9" t="s">
        <v>73</v>
      </c>
      <c r="C52" s="40">
        <v>10.226100000000001</v>
      </c>
      <c r="D52" s="40">
        <v>10.2857</v>
      </c>
    </row>
    <row r="53" spans="1:5" x14ac:dyDescent="0.2">
      <c r="A53" s="9" t="s">
        <v>74</v>
      </c>
      <c r="C53" s="40">
        <v>11.9207</v>
      </c>
      <c r="D53" s="40">
        <v>12.4262</v>
      </c>
    </row>
    <row r="55" spans="1:5" ht="10.5" x14ac:dyDescent="0.25">
      <c r="A55" s="18" t="s">
        <v>715</v>
      </c>
    </row>
    <row r="56" spans="1:5" ht="10.5" x14ac:dyDescent="0.25">
      <c r="A56" s="81" t="s">
        <v>68</v>
      </c>
      <c r="B56" s="82"/>
      <c r="C56" s="43" t="s">
        <v>69</v>
      </c>
    </row>
    <row r="57" spans="1:5" x14ac:dyDescent="0.2">
      <c r="A57" s="77" t="s">
        <v>73</v>
      </c>
      <c r="B57" s="78"/>
      <c r="C57" s="44">
        <v>0.37</v>
      </c>
    </row>
    <row r="58" spans="1:5" x14ac:dyDescent="0.2">
      <c r="A58" s="9" t="s">
        <v>70</v>
      </c>
    </row>
    <row r="60" spans="1:5" ht="10.5" x14ac:dyDescent="0.25">
      <c r="A60" s="18" t="s">
        <v>785</v>
      </c>
      <c r="D60" s="42">
        <v>0.36661984167123302</v>
      </c>
      <c r="E60" s="13" t="s">
        <v>58</v>
      </c>
    </row>
    <row r="62" spans="1:5" ht="10.5" x14ac:dyDescent="0.25">
      <c r="A62" s="18" t="s">
        <v>786</v>
      </c>
      <c r="D62" s="41" t="s">
        <v>57</v>
      </c>
    </row>
  </sheetData>
  <mergeCells count="3">
    <mergeCell ref="A1:G1"/>
    <mergeCell ref="A56:B56"/>
    <mergeCell ref="A57:B57"/>
  </mergeCells>
  <conditionalFormatting sqref="F2:F3 F5:F65536">
    <cfRule type="cellIs" dxfId="3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3"/>
  <sheetViews>
    <sheetView workbookViewId="0">
      <selection sqref="A1:G1"/>
    </sheetView>
  </sheetViews>
  <sheetFormatPr defaultColWidth="9.1796875" defaultRowHeight="10" x14ac:dyDescent="0.2"/>
  <cols>
    <col min="1" max="1" width="38.7265625" style="9" bestFit="1" customWidth="1"/>
    <col min="2" max="2" width="51.26953125" style="9" bestFit="1" customWidth="1"/>
    <col min="3" max="3" width="15.2695312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1522</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1508</v>
      </c>
      <c r="B7" s="27" t="s">
        <v>1509</v>
      </c>
      <c r="C7" s="27" t="s">
        <v>42</v>
      </c>
      <c r="D7" s="31">
        <v>86</v>
      </c>
      <c r="E7" s="29">
        <v>844.65674000000001</v>
      </c>
      <c r="F7" s="30">
        <v>9.9746192199770398</v>
      </c>
      <c r="G7" s="29">
        <v>3.7248999999999999</v>
      </c>
    </row>
    <row r="8" spans="1:7" x14ac:dyDescent="0.2">
      <c r="A8" s="27" t="s">
        <v>1460</v>
      </c>
      <c r="B8" s="27" t="s">
        <v>1461</v>
      </c>
      <c r="C8" s="27" t="s">
        <v>42</v>
      </c>
      <c r="D8" s="31">
        <v>67</v>
      </c>
      <c r="E8" s="29">
        <v>843.79732999999999</v>
      </c>
      <c r="F8" s="30">
        <v>9.9644703783258901</v>
      </c>
      <c r="G8" s="29">
        <v>4.0374999999999996</v>
      </c>
    </row>
    <row r="9" spans="1:7" x14ac:dyDescent="0.2">
      <c r="A9" s="27" t="s">
        <v>945</v>
      </c>
      <c r="B9" s="27" t="s">
        <v>946</v>
      </c>
      <c r="C9" s="27" t="s">
        <v>42</v>
      </c>
      <c r="D9" s="31">
        <v>72</v>
      </c>
      <c r="E9" s="29">
        <v>731.05560000000003</v>
      </c>
      <c r="F9" s="30">
        <v>8.6330942420844803</v>
      </c>
      <c r="G9" s="29">
        <v>3.4649000000000001</v>
      </c>
    </row>
    <row r="10" spans="1:7" x14ac:dyDescent="0.2">
      <c r="A10" s="27" t="s">
        <v>1476</v>
      </c>
      <c r="B10" s="27" t="s">
        <v>1477</v>
      </c>
      <c r="C10" s="27" t="s">
        <v>896</v>
      </c>
      <c r="D10" s="31">
        <v>68</v>
      </c>
      <c r="E10" s="29">
        <v>694.47379999999998</v>
      </c>
      <c r="F10" s="30">
        <v>8.2010968304716201</v>
      </c>
      <c r="G10" s="29">
        <v>3.6364999999999998</v>
      </c>
    </row>
    <row r="11" spans="1:7" x14ac:dyDescent="0.2">
      <c r="A11" s="27" t="s">
        <v>1515</v>
      </c>
      <c r="B11" s="27" t="s">
        <v>1516</v>
      </c>
      <c r="C11" s="27" t="s">
        <v>42</v>
      </c>
      <c r="D11" s="31">
        <v>68</v>
      </c>
      <c r="E11" s="29">
        <v>691.55592000000001</v>
      </c>
      <c r="F11" s="30">
        <v>8.16663935141381</v>
      </c>
      <c r="G11" s="29">
        <v>3.7151000000000001</v>
      </c>
    </row>
    <row r="12" spans="1:7" x14ac:dyDescent="0.2">
      <c r="A12" s="27" t="s">
        <v>1511</v>
      </c>
      <c r="B12" s="27" t="s">
        <v>1512</v>
      </c>
      <c r="C12" s="27" t="s">
        <v>42</v>
      </c>
      <c r="D12" s="31">
        <v>68</v>
      </c>
      <c r="E12" s="29">
        <v>691.33831999999995</v>
      </c>
      <c r="F12" s="30">
        <v>8.1640696955530601</v>
      </c>
      <c r="G12" s="29">
        <v>3.7151000000000001</v>
      </c>
    </row>
    <row r="13" spans="1:7" x14ac:dyDescent="0.2">
      <c r="A13" s="27" t="s">
        <v>1513</v>
      </c>
      <c r="B13" s="27" t="s">
        <v>1514</v>
      </c>
      <c r="C13" s="27" t="s">
        <v>896</v>
      </c>
      <c r="D13" s="31">
        <v>68</v>
      </c>
      <c r="E13" s="29">
        <v>687.68263999999999</v>
      </c>
      <c r="F13" s="30">
        <v>8.1208994770923795</v>
      </c>
      <c r="G13" s="29">
        <v>3.3847999999999998</v>
      </c>
    </row>
    <row r="14" spans="1:7" x14ac:dyDescent="0.2">
      <c r="A14" s="27" t="s">
        <v>1523</v>
      </c>
      <c r="B14" s="27" t="s">
        <v>1524</v>
      </c>
      <c r="C14" s="27" t="s">
        <v>42</v>
      </c>
      <c r="D14" s="31">
        <v>50</v>
      </c>
      <c r="E14" s="29">
        <v>510.09449999999998</v>
      </c>
      <c r="F14" s="30">
        <v>6.0237468817268596</v>
      </c>
      <c r="G14" s="29">
        <v>3.55</v>
      </c>
    </row>
    <row r="15" spans="1:7" x14ac:dyDescent="0.2">
      <c r="A15" s="27" t="s">
        <v>1462</v>
      </c>
      <c r="B15" s="27" t="s">
        <v>1463</v>
      </c>
      <c r="C15" s="27" t="s">
        <v>42</v>
      </c>
      <c r="D15" s="31">
        <v>16</v>
      </c>
      <c r="E15" s="29">
        <v>161.65935999999999</v>
      </c>
      <c r="F15" s="30">
        <v>1.9090483541813501</v>
      </c>
      <c r="G15" s="29">
        <v>3.5049000000000001</v>
      </c>
    </row>
    <row r="16" spans="1:7" x14ac:dyDescent="0.2">
      <c r="A16" s="27" t="s">
        <v>1290</v>
      </c>
      <c r="B16" s="27" t="s">
        <v>1291</v>
      </c>
      <c r="C16" s="27" t="s">
        <v>42</v>
      </c>
      <c r="D16" s="31">
        <v>7</v>
      </c>
      <c r="E16" s="29">
        <v>71.084580000000003</v>
      </c>
      <c r="F16" s="30">
        <v>0.83944350922008304</v>
      </c>
      <c r="G16" s="29">
        <v>5.0199999999999996</v>
      </c>
    </row>
    <row r="17" spans="1:9" x14ac:dyDescent="0.2">
      <c r="A17" s="27" t="s">
        <v>1495</v>
      </c>
      <c r="B17" s="27" t="s">
        <v>1496</v>
      </c>
      <c r="C17" s="27" t="s">
        <v>42</v>
      </c>
      <c r="D17" s="31">
        <v>6</v>
      </c>
      <c r="E17" s="29">
        <v>60.898919999999997</v>
      </c>
      <c r="F17" s="30">
        <v>0.71916023295788101</v>
      </c>
      <c r="G17" s="29">
        <v>3.4601000000000002</v>
      </c>
    </row>
    <row r="18" spans="1:9" x14ac:dyDescent="0.2">
      <c r="A18" s="27" t="s">
        <v>1486</v>
      </c>
      <c r="B18" s="27" t="s">
        <v>1487</v>
      </c>
      <c r="C18" s="27" t="s">
        <v>42</v>
      </c>
      <c r="D18" s="31">
        <v>4</v>
      </c>
      <c r="E18" s="29">
        <v>50.093519999999998</v>
      </c>
      <c r="F18" s="30">
        <v>0.59155839730622894</v>
      </c>
      <c r="G18" s="29">
        <v>3.6999</v>
      </c>
    </row>
    <row r="19" spans="1:9" x14ac:dyDescent="0.2">
      <c r="A19" s="27" t="s">
        <v>1292</v>
      </c>
      <c r="B19" s="27" t="s">
        <v>1293</v>
      </c>
      <c r="C19" s="27" t="s">
        <v>1294</v>
      </c>
      <c r="D19" s="31">
        <v>3</v>
      </c>
      <c r="E19" s="29">
        <v>37.421430000000001</v>
      </c>
      <c r="F19" s="30">
        <v>0.44191266965681902</v>
      </c>
      <c r="G19" s="29">
        <v>4.0374999999999996</v>
      </c>
    </row>
    <row r="20" spans="1:9" x14ac:dyDescent="0.2">
      <c r="A20" s="27" t="s">
        <v>1484</v>
      </c>
      <c r="B20" s="27" t="s">
        <v>1485</v>
      </c>
      <c r="C20" s="27" t="s">
        <v>42</v>
      </c>
      <c r="D20" s="31">
        <v>3</v>
      </c>
      <c r="E20" s="29">
        <v>30.712620000000001</v>
      </c>
      <c r="F20" s="30">
        <v>0.36268779403554102</v>
      </c>
      <c r="G20" s="29">
        <v>3.7149999999999999</v>
      </c>
    </row>
    <row r="21" spans="1:9" x14ac:dyDescent="0.2">
      <c r="A21" s="27" t="s">
        <v>1525</v>
      </c>
      <c r="B21" s="27" t="s">
        <v>1526</v>
      </c>
      <c r="C21" s="27" t="s">
        <v>896</v>
      </c>
      <c r="D21" s="31">
        <v>1</v>
      </c>
      <c r="E21" s="29">
        <v>10.055059999999999</v>
      </c>
      <c r="F21" s="30">
        <v>0.11874101038253999</v>
      </c>
      <c r="G21" s="29">
        <v>3.2852000000000001</v>
      </c>
    </row>
    <row r="22" spans="1:9" ht="10.5" x14ac:dyDescent="0.25">
      <c r="A22" s="26" t="s">
        <v>43</v>
      </c>
      <c r="B22" s="26"/>
      <c r="C22" s="26"/>
      <c r="D22" s="32"/>
      <c r="E22" s="33">
        <f>SUM(E6:E21)</f>
        <v>6116.5803399999995</v>
      </c>
      <c r="F22" s="34">
        <f>SUM(F6:F21)</f>
        <v>72.231188044385576</v>
      </c>
      <c r="G22" s="33"/>
      <c r="H22" s="18"/>
      <c r="I22" s="18"/>
    </row>
    <row r="23" spans="1:9" x14ac:dyDescent="0.2">
      <c r="A23" s="27"/>
      <c r="B23" s="27"/>
      <c r="C23" s="27"/>
      <c r="D23" s="28"/>
      <c r="E23" s="29"/>
      <c r="F23" s="30"/>
      <c r="G23" s="29"/>
    </row>
    <row r="24" spans="1:9" ht="10.5" x14ac:dyDescent="0.25">
      <c r="A24" s="26" t="s">
        <v>44</v>
      </c>
      <c r="B24" s="27"/>
      <c r="C24" s="27"/>
      <c r="D24" s="28"/>
      <c r="E24" s="29"/>
      <c r="F24" s="30"/>
      <c r="G24" s="29"/>
    </row>
    <row r="25" spans="1:9" x14ac:dyDescent="0.2">
      <c r="A25" s="27" t="s">
        <v>1519</v>
      </c>
      <c r="B25" s="27" t="s">
        <v>1520</v>
      </c>
      <c r="C25" s="27" t="s">
        <v>42</v>
      </c>
      <c r="D25" s="31">
        <v>68</v>
      </c>
      <c r="E25" s="29">
        <v>690.71136000000001</v>
      </c>
      <c r="F25" s="30">
        <v>8.1566658746042595</v>
      </c>
      <c r="G25" s="29">
        <v>3.9948999999999999</v>
      </c>
    </row>
    <row r="26" spans="1:9" x14ac:dyDescent="0.2">
      <c r="A26" s="27" t="s">
        <v>1490</v>
      </c>
      <c r="B26" s="27" t="s">
        <v>1491</v>
      </c>
      <c r="C26" s="27" t="s">
        <v>851</v>
      </c>
      <c r="D26" s="31">
        <v>67</v>
      </c>
      <c r="E26" s="29">
        <v>677.71505000000002</v>
      </c>
      <c r="F26" s="30">
        <v>8.0031914069586403</v>
      </c>
      <c r="G26" s="29">
        <v>4.2698999999999998</v>
      </c>
    </row>
    <row r="27" spans="1:9" x14ac:dyDescent="0.2">
      <c r="A27" s="27" t="s">
        <v>951</v>
      </c>
      <c r="B27" s="27" t="s">
        <v>952</v>
      </c>
      <c r="C27" s="27" t="s">
        <v>42</v>
      </c>
      <c r="D27" s="31">
        <v>12</v>
      </c>
      <c r="E27" s="29">
        <v>122.09963999999999</v>
      </c>
      <c r="F27" s="30">
        <v>1.4418844463329299</v>
      </c>
      <c r="G27" s="29">
        <v>3.6871</v>
      </c>
    </row>
    <row r="28" spans="1:9" ht="10.5" x14ac:dyDescent="0.25">
      <c r="A28" s="26" t="s">
        <v>43</v>
      </c>
      <c r="B28" s="26"/>
      <c r="C28" s="26"/>
      <c r="D28" s="32"/>
      <c r="E28" s="33">
        <f>SUM(E24:E27)</f>
        <v>1490.5260499999999</v>
      </c>
      <c r="F28" s="34">
        <f>SUM(F24:F27)</f>
        <v>17.601741727895831</v>
      </c>
      <c r="G28" s="33"/>
      <c r="H28" s="18"/>
      <c r="I28" s="18"/>
    </row>
    <row r="29" spans="1:9" x14ac:dyDescent="0.2">
      <c r="A29" s="27"/>
      <c r="B29" s="27"/>
      <c r="C29" s="27"/>
      <c r="D29" s="28"/>
      <c r="E29" s="29"/>
      <c r="F29" s="30"/>
      <c r="G29" s="29"/>
    </row>
    <row r="30" spans="1:9" ht="10.5" x14ac:dyDescent="0.25">
      <c r="A30" s="26" t="s">
        <v>62</v>
      </c>
      <c r="B30" s="27"/>
      <c r="C30" s="27"/>
      <c r="D30" s="28"/>
      <c r="E30" s="29"/>
      <c r="F30" s="30"/>
      <c r="G30" s="29"/>
    </row>
    <row r="31" spans="1:9" ht="10.5" x14ac:dyDescent="0.25">
      <c r="A31" s="26" t="s">
        <v>63</v>
      </c>
      <c r="B31" s="27"/>
      <c r="C31" s="27"/>
      <c r="D31" s="28"/>
      <c r="E31" s="29"/>
      <c r="F31" s="30"/>
      <c r="G31" s="29"/>
    </row>
    <row r="32" spans="1:9" x14ac:dyDescent="0.2">
      <c r="A32" s="27" t="s">
        <v>797</v>
      </c>
      <c r="B32" s="27" t="s">
        <v>798</v>
      </c>
      <c r="C32" s="27" t="s">
        <v>67</v>
      </c>
      <c r="D32" s="31">
        <v>36</v>
      </c>
      <c r="E32" s="29">
        <v>35.594532000000001</v>
      </c>
      <c r="F32" s="30">
        <v>0.42033868458006701</v>
      </c>
      <c r="G32" s="29">
        <v>3.2999000000000001</v>
      </c>
    </row>
    <row r="33" spans="1:9" ht="10.5" x14ac:dyDescent="0.25">
      <c r="A33" s="26" t="s">
        <v>43</v>
      </c>
      <c r="B33" s="26"/>
      <c r="C33" s="26"/>
      <c r="D33" s="32"/>
      <c r="E33" s="33">
        <f>SUM(E31:E32)</f>
        <v>35.594532000000001</v>
      </c>
      <c r="F33" s="34">
        <f>SUM(F31:F32)</f>
        <v>0.42033868458006701</v>
      </c>
      <c r="G33" s="33"/>
      <c r="H33" s="18"/>
      <c r="I33" s="18"/>
    </row>
    <row r="34" spans="1:9" x14ac:dyDescent="0.2">
      <c r="A34" s="27"/>
      <c r="B34" s="27"/>
      <c r="C34" s="27"/>
      <c r="D34" s="28"/>
      <c r="E34" s="29"/>
      <c r="F34" s="30"/>
      <c r="G34" s="29"/>
    </row>
    <row r="35" spans="1:9" ht="10.5" x14ac:dyDescent="0.25">
      <c r="A35" s="26" t="s">
        <v>733</v>
      </c>
      <c r="B35" s="27"/>
      <c r="C35" s="27"/>
      <c r="D35" s="28"/>
      <c r="E35" s="29"/>
      <c r="F35" s="30"/>
      <c r="G35" s="29"/>
    </row>
    <row r="36" spans="1:9" x14ac:dyDescent="0.2">
      <c r="A36" s="27" t="s">
        <v>1505</v>
      </c>
      <c r="B36" s="27" t="s">
        <v>1506</v>
      </c>
      <c r="C36" s="27" t="s">
        <v>743</v>
      </c>
      <c r="D36" s="31">
        <v>53</v>
      </c>
      <c r="E36" s="29">
        <v>262.00258500000001</v>
      </c>
      <c r="F36" s="30">
        <v>3.0940095499914801</v>
      </c>
      <c r="G36" s="29">
        <v>3.3950999999999998</v>
      </c>
    </row>
    <row r="37" spans="1:9" ht="10.5" x14ac:dyDescent="0.25">
      <c r="A37" s="26" t="s">
        <v>43</v>
      </c>
      <c r="B37" s="26"/>
      <c r="C37" s="26"/>
      <c r="D37" s="32"/>
      <c r="E37" s="33">
        <f>SUM(E35:E36)</f>
        <v>262.00258500000001</v>
      </c>
      <c r="F37" s="34">
        <f>SUM(F35:F36)</f>
        <v>3.0940095499914801</v>
      </c>
      <c r="G37" s="33"/>
      <c r="H37" s="18"/>
      <c r="I37" s="18"/>
    </row>
    <row r="38" spans="1:9" x14ac:dyDescent="0.2">
      <c r="A38" s="27"/>
      <c r="B38" s="27"/>
      <c r="C38" s="27"/>
      <c r="D38" s="28"/>
      <c r="E38" s="29"/>
      <c r="F38" s="30"/>
      <c r="G38" s="29"/>
    </row>
    <row r="39" spans="1:9" ht="10.5" x14ac:dyDescent="0.25">
      <c r="A39" s="26" t="s">
        <v>748</v>
      </c>
      <c r="B39" s="27"/>
      <c r="C39" s="27"/>
      <c r="D39" s="28"/>
      <c r="E39" s="29"/>
      <c r="F39" s="30"/>
      <c r="G39" s="29"/>
    </row>
    <row r="40" spans="1:9" x14ac:dyDescent="0.2">
      <c r="A40" s="27" t="s">
        <v>828</v>
      </c>
      <c r="B40" s="27" t="s">
        <v>829</v>
      </c>
      <c r="C40" s="27" t="s">
        <v>827</v>
      </c>
      <c r="D40" s="31">
        <v>118000</v>
      </c>
      <c r="E40" s="29">
        <v>116.46245999999999</v>
      </c>
      <c r="F40" s="30">
        <v>1.3753145353718601</v>
      </c>
      <c r="G40" s="29">
        <v>3.3006000000000002</v>
      </c>
    </row>
    <row r="41" spans="1:9" ht="10.5" x14ac:dyDescent="0.25">
      <c r="A41" s="26" t="s">
        <v>43</v>
      </c>
      <c r="B41" s="26"/>
      <c r="C41" s="26"/>
      <c r="D41" s="32"/>
      <c r="E41" s="33">
        <f>SUM(E39:E40)</f>
        <v>116.46245999999999</v>
      </c>
      <c r="F41" s="34">
        <f>SUM(F39:F40)</f>
        <v>1.3753145353718601</v>
      </c>
      <c r="G41" s="33"/>
      <c r="H41" s="18"/>
      <c r="I41" s="18"/>
    </row>
    <row r="42" spans="1:9" x14ac:dyDescent="0.2">
      <c r="A42" s="27"/>
      <c r="B42" s="27"/>
      <c r="C42" s="27"/>
      <c r="D42" s="28"/>
      <c r="E42" s="29"/>
      <c r="F42" s="30"/>
      <c r="G42" s="29"/>
    </row>
    <row r="43" spans="1:9" ht="10.5" x14ac:dyDescent="0.25">
      <c r="A43" s="26" t="s">
        <v>48</v>
      </c>
      <c r="B43" s="26"/>
      <c r="C43" s="26"/>
      <c r="D43" s="32"/>
      <c r="E43" s="33">
        <f>E22+E28+E33+E37+E41</f>
        <v>8021.165966999999</v>
      </c>
      <c r="F43" s="34">
        <f>F22+F28+F33+F37+F41</f>
        <v>94.722592542224817</v>
      </c>
      <c r="G43" s="33"/>
      <c r="H43" s="18"/>
      <c r="I43" s="18"/>
    </row>
    <row r="44" spans="1:9" ht="10.5" x14ac:dyDescent="0.25">
      <c r="A44" s="26"/>
      <c r="B44" s="26"/>
      <c r="C44" s="26"/>
      <c r="D44" s="32"/>
      <c r="E44" s="33"/>
      <c r="F44" s="34"/>
      <c r="G44" s="33"/>
      <c r="H44" s="18"/>
      <c r="I44" s="18"/>
    </row>
    <row r="45" spans="1:9" ht="10.5" x14ac:dyDescent="0.25">
      <c r="A45" s="26" t="s">
        <v>50</v>
      </c>
      <c r="B45" s="26"/>
      <c r="C45" s="26"/>
      <c r="D45" s="32"/>
      <c r="E45" s="33">
        <f>E47-(E22+E28+E33+E37+E41)</f>
        <v>446.89402980000159</v>
      </c>
      <c r="F45" s="34">
        <f>F47-(F22+F28+F33+F37+F41)</f>
        <v>5.2774074577751833</v>
      </c>
      <c r="G45" s="33"/>
      <c r="H45" s="18"/>
      <c r="I45" s="18"/>
    </row>
    <row r="46" spans="1:9" ht="10.5" x14ac:dyDescent="0.25">
      <c r="A46" s="26"/>
      <c r="B46" s="26"/>
      <c r="C46" s="26"/>
      <c r="D46" s="32"/>
      <c r="E46" s="33"/>
      <c r="F46" s="34"/>
      <c r="G46" s="33"/>
      <c r="H46" s="18"/>
      <c r="I46" s="18"/>
    </row>
    <row r="47" spans="1:9" ht="10.5" x14ac:dyDescent="0.25">
      <c r="A47" s="35" t="s">
        <v>49</v>
      </c>
      <c r="B47" s="35"/>
      <c r="C47" s="35"/>
      <c r="D47" s="36"/>
      <c r="E47" s="37">
        <v>8468.0599968000006</v>
      </c>
      <c r="F47" s="38">
        <v>100</v>
      </c>
      <c r="G47" s="37"/>
      <c r="H47" s="18"/>
      <c r="I47" s="18"/>
    </row>
    <row r="49" spans="1:5" ht="10.5" x14ac:dyDescent="0.25">
      <c r="A49" s="18" t="s">
        <v>765</v>
      </c>
    </row>
    <row r="50" spans="1:5" ht="10.5" x14ac:dyDescent="0.25">
      <c r="A50" s="18" t="s">
        <v>766</v>
      </c>
    </row>
    <row r="52" spans="1:5" ht="10.5" x14ac:dyDescent="0.25">
      <c r="A52" s="18" t="s">
        <v>51</v>
      </c>
    </row>
    <row r="53" spans="1:5" ht="10.5" x14ac:dyDescent="0.25">
      <c r="A53" s="18" t="s">
        <v>713</v>
      </c>
    </row>
    <row r="54" spans="1:5" ht="10.5" x14ac:dyDescent="0.25">
      <c r="A54" s="18" t="s">
        <v>53</v>
      </c>
      <c r="B54" s="18"/>
      <c r="C54" s="39" t="s">
        <v>55</v>
      </c>
      <c r="D54" s="19" t="s">
        <v>714</v>
      </c>
    </row>
    <row r="55" spans="1:5" x14ac:dyDescent="0.2">
      <c r="A55" s="9" t="s">
        <v>71</v>
      </c>
      <c r="C55" s="40">
        <v>11.8733</v>
      </c>
      <c r="D55" s="40">
        <v>12.380100000000001</v>
      </c>
    </row>
    <row r="56" spans="1:5" x14ac:dyDescent="0.2">
      <c r="A56" s="9" t="s">
        <v>1386</v>
      </c>
      <c r="C56" s="40">
        <v>10.3187</v>
      </c>
      <c r="D56" s="40">
        <v>10.759499999999999</v>
      </c>
    </row>
    <row r="57" spans="1:5" x14ac:dyDescent="0.2">
      <c r="A57" s="9" t="s">
        <v>74</v>
      </c>
      <c r="C57" s="40">
        <v>11.936400000000001</v>
      </c>
      <c r="D57" s="40">
        <v>12.4459</v>
      </c>
    </row>
    <row r="59" spans="1:5" ht="10.5" x14ac:dyDescent="0.25">
      <c r="A59" s="18" t="s">
        <v>715</v>
      </c>
      <c r="D59" s="41" t="s">
        <v>57</v>
      </c>
    </row>
    <row r="61" spans="1:5" ht="10.5" x14ac:dyDescent="0.25">
      <c r="A61" s="18" t="s">
        <v>785</v>
      </c>
      <c r="D61" s="42">
        <v>0.37988965810958902</v>
      </c>
      <c r="E61" s="13" t="s">
        <v>58</v>
      </c>
    </row>
    <row r="63" spans="1:5" ht="10.5" x14ac:dyDescent="0.25">
      <c r="A63" s="18" t="s">
        <v>786</v>
      </c>
      <c r="D63" s="41" t="s">
        <v>57</v>
      </c>
    </row>
  </sheetData>
  <mergeCells count="1">
    <mergeCell ref="A1:G1"/>
  </mergeCells>
  <conditionalFormatting sqref="F2:F3 F5:F65536">
    <cfRule type="cellIs" dxfId="3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1527</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1508</v>
      </c>
      <c r="B7" s="27" t="s">
        <v>1509</v>
      </c>
      <c r="C7" s="27" t="s">
        <v>42</v>
      </c>
      <c r="D7" s="31">
        <v>107</v>
      </c>
      <c r="E7" s="29">
        <v>1050.91013</v>
      </c>
      <c r="F7" s="30">
        <v>9.9826173835671206</v>
      </c>
      <c r="G7" s="29">
        <v>3.7248999999999999</v>
      </c>
    </row>
    <row r="8" spans="1:7" x14ac:dyDescent="0.2">
      <c r="A8" s="27" t="s">
        <v>1525</v>
      </c>
      <c r="B8" s="27" t="s">
        <v>1526</v>
      </c>
      <c r="C8" s="27" t="s">
        <v>896</v>
      </c>
      <c r="D8" s="31">
        <v>87</v>
      </c>
      <c r="E8" s="29">
        <v>874.79021999999998</v>
      </c>
      <c r="F8" s="30">
        <v>8.3096506617045396</v>
      </c>
      <c r="G8" s="29">
        <v>3.2852000000000001</v>
      </c>
    </row>
    <row r="9" spans="1:7" x14ac:dyDescent="0.2">
      <c r="A9" s="27" t="s">
        <v>933</v>
      </c>
      <c r="B9" s="27" t="s">
        <v>934</v>
      </c>
      <c r="C9" s="27" t="s">
        <v>42</v>
      </c>
      <c r="D9" s="31">
        <v>84</v>
      </c>
      <c r="E9" s="29">
        <v>844.55363999999997</v>
      </c>
      <c r="F9" s="30">
        <v>8.0224327536160391</v>
      </c>
      <c r="G9" s="29">
        <v>3.2496999999999998</v>
      </c>
    </row>
    <row r="10" spans="1:7" x14ac:dyDescent="0.2">
      <c r="A10" s="27" t="s">
        <v>1462</v>
      </c>
      <c r="B10" s="27" t="s">
        <v>1463</v>
      </c>
      <c r="C10" s="27" t="s">
        <v>42</v>
      </c>
      <c r="D10" s="31">
        <v>83</v>
      </c>
      <c r="E10" s="29">
        <v>838.60793000000001</v>
      </c>
      <c r="F10" s="30">
        <v>7.9659543295250597</v>
      </c>
      <c r="G10" s="29">
        <v>3.5049000000000001</v>
      </c>
    </row>
    <row r="11" spans="1:7" x14ac:dyDescent="0.2">
      <c r="A11" s="27" t="s">
        <v>1501</v>
      </c>
      <c r="B11" s="27" t="s">
        <v>1502</v>
      </c>
      <c r="C11" s="27" t="s">
        <v>42</v>
      </c>
      <c r="D11" s="31">
        <v>83</v>
      </c>
      <c r="E11" s="29">
        <v>838.33569</v>
      </c>
      <c r="F11" s="30">
        <v>7.9633683160507198</v>
      </c>
      <c r="G11" s="29">
        <v>3.4148999999999998</v>
      </c>
    </row>
    <row r="12" spans="1:7" x14ac:dyDescent="0.2">
      <c r="A12" s="27" t="s">
        <v>1528</v>
      </c>
      <c r="B12" s="27" t="s">
        <v>1529</v>
      </c>
      <c r="C12" s="27" t="s">
        <v>42</v>
      </c>
      <c r="D12" s="31">
        <v>80</v>
      </c>
      <c r="E12" s="29">
        <v>815.11519999999996</v>
      </c>
      <c r="F12" s="30">
        <v>7.7427963941405702</v>
      </c>
      <c r="G12" s="29">
        <v>3.6999</v>
      </c>
    </row>
    <row r="13" spans="1:7" x14ac:dyDescent="0.2">
      <c r="A13" s="27" t="s">
        <v>1517</v>
      </c>
      <c r="B13" s="27" t="s">
        <v>1518</v>
      </c>
      <c r="C13" s="27" t="s">
        <v>42</v>
      </c>
      <c r="D13" s="31">
        <v>62</v>
      </c>
      <c r="E13" s="29">
        <v>791.66637500000002</v>
      </c>
      <c r="F13" s="30">
        <v>7.5200555132726397</v>
      </c>
      <c r="G13" s="29">
        <v>3.3599000000000001</v>
      </c>
    </row>
    <row r="14" spans="1:7" x14ac:dyDescent="0.2">
      <c r="A14" s="27" t="s">
        <v>1513</v>
      </c>
      <c r="B14" s="27" t="s">
        <v>1514</v>
      </c>
      <c r="C14" s="27" t="s">
        <v>896</v>
      </c>
      <c r="D14" s="31">
        <v>65</v>
      </c>
      <c r="E14" s="29">
        <v>657.34370000000001</v>
      </c>
      <c r="F14" s="30">
        <v>6.2441216040027401</v>
      </c>
      <c r="G14" s="29">
        <v>3.3847999999999998</v>
      </c>
    </row>
    <row r="15" spans="1:7" x14ac:dyDescent="0.2">
      <c r="A15" s="27" t="s">
        <v>1364</v>
      </c>
      <c r="B15" s="27" t="s">
        <v>1365</v>
      </c>
      <c r="C15" s="27" t="s">
        <v>42</v>
      </c>
      <c r="D15" s="31">
        <v>5</v>
      </c>
      <c r="E15" s="29">
        <v>508.52449999999999</v>
      </c>
      <c r="F15" s="30">
        <v>4.8304848994745004</v>
      </c>
      <c r="G15" s="29">
        <v>3.51</v>
      </c>
    </row>
    <row r="16" spans="1:7" x14ac:dyDescent="0.2">
      <c r="A16" s="27" t="s">
        <v>1495</v>
      </c>
      <c r="B16" s="27" t="s">
        <v>1496</v>
      </c>
      <c r="C16" s="27" t="s">
        <v>42</v>
      </c>
      <c r="D16" s="31">
        <v>40</v>
      </c>
      <c r="E16" s="29">
        <v>405.99279999999999</v>
      </c>
      <c r="F16" s="30">
        <v>3.8565341290249902</v>
      </c>
      <c r="G16" s="29">
        <v>3.4601000000000002</v>
      </c>
    </row>
    <row r="17" spans="1:9" x14ac:dyDescent="0.2">
      <c r="A17" s="27" t="s">
        <v>1515</v>
      </c>
      <c r="B17" s="27" t="s">
        <v>1516</v>
      </c>
      <c r="C17" s="27" t="s">
        <v>42</v>
      </c>
      <c r="D17" s="31">
        <v>13</v>
      </c>
      <c r="E17" s="29">
        <v>132.20921999999999</v>
      </c>
      <c r="F17" s="30">
        <v>1.25585815586329</v>
      </c>
      <c r="G17" s="29">
        <v>3.7151000000000001</v>
      </c>
    </row>
    <row r="18" spans="1:9" x14ac:dyDescent="0.2">
      <c r="A18" s="27" t="s">
        <v>1511</v>
      </c>
      <c r="B18" s="27" t="s">
        <v>1512</v>
      </c>
      <c r="C18" s="27" t="s">
        <v>42</v>
      </c>
      <c r="D18" s="31">
        <v>8</v>
      </c>
      <c r="E18" s="29">
        <v>81.333920000000006</v>
      </c>
      <c r="F18" s="30">
        <v>0.77259261328621698</v>
      </c>
      <c r="G18" s="29">
        <v>3.7151000000000001</v>
      </c>
    </row>
    <row r="19" spans="1:9" x14ac:dyDescent="0.2">
      <c r="A19" s="27" t="s">
        <v>1292</v>
      </c>
      <c r="B19" s="27" t="s">
        <v>1293</v>
      </c>
      <c r="C19" s="27" t="s">
        <v>1294</v>
      </c>
      <c r="D19" s="31">
        <v>6</v>
      </c>
      <c r="E19" s="29">
        <v>74.842860000000002</v>
      </c>
      <c r="F19" s="30">
        <v>0.71093389809829</v>
      </c>
      <c r="G19" s="29">
        <v>4.0374999999999996</v>
      </c>
    </row>
    <row r="20" spans="1:9" x14ac:dyDescent="0.2">
      <c r="A20" s="27" t="s">
        <v>1493</v>
      </c>
      <c r="B20" s="27" t="s">
        <v>1494</v>
      </c>
      <c r="C20" s="27" t="s">
        <v>42</v>
      </c>
      <c r="D20" s="31">
        <v>5</v>
      </c>
      <c r="E20" s="29">
        <v>50.887650000000001</v>
      </c>
      <c r="F20" s="30">
        <v>0.483382855486301</v>
      </c>
      <c r="G20" s="29">
        <v>3.7149999999999999</v>
      </c>
    </row>
    <row r="21" spans="1:9" x14ac:dyDescent="0.2">
      <c r="A21" s="27" t="s">
        <v>1484</v>
      </c>
      <c r="B21" s="27" t="s">
        <v>1485</v>
      </c>
      <c r="C21" s="27" t="s">
        <v>42</v>
      </c>
      <c r="D21" s="31">
        <v>3</v>
      </c>
      <c r="E21" s="29">
        <v>30.712620000000001</v>
      </c>
      <c r="F21" s="30">
        <v>0.29173982204062598</v>
      </c>
      <c r="G21" s="29">
        <v>3.7149999999999999</v>
      </c>
    </row>
    <row r="22" spans="1:9" x14ac:dyDescent="0.2">
      <c r="A22" s="27" t="s">
        <v>1290</v>
      </c>
      <c r="B22" s="27" t="s">
        <v>1291</v>
      </c>
      <c r="C22" s="27" t="s">
        <v>42</v>
      </c>
      <c r="D22" s="31">
        <v>3</v>
      </c>
      <c r="E22" s="29">
        <v>30.46482</v>
      </c>
      <c r="F22" s="30">
        <v>0.28938596463928201</v>
      </c>
      <c r="G22" s="29">
        <v>5.0199999999999996</v>
      </c>
    </row>
    <row r="23" spans="1:9" x14ac:dyDescent="0.2">
      <c r="A23" s="27" t="s">
        <v>1460</v>
      </c>
      <c r="B23" s="27" t="s">
        <v>1461</v>
      </c>
      <c r="C23" s="27" t="s">
        <v>42</v>
      </c>
      <c r="D23" s="31">
        <v>1</v>
      </c>
      <c r="E23" s="29">
        <v>12.59399</v>
      </c>
      <c r="F23" s="30">
        <v>0.11963057535897099</v>
      </c>
      <c r="G23" s="29">
        <v>4.0374999999999996</v>
      </c>
    </row>
    <row r="24" spans="1:9" x14ac:dyDescent="0.2">
      <c r="A24" s="27" t="s">
        <v>945</v>
      </c>
      <c r="B24" s="27" t="s">
        <v>946</v>
      </c>
      <c r="C24" s="27" t="s">
        <v>42</v>
      </c>
      <c r="D24" s="31">
        <v>1</v>
      </c>
      <c r="E24" s="29">
        <v>10.153549999999999</v>
      </c>
      <c r="F24" s="30">
        <v>9.6448784573917798E-2</v>
      </c>
      <c r="G24" s="29">
        <v>3.4649000000000001</v>
      </c>
    </row>
    <row r="25" spans="1:9" ht="10.5" x14ac:dyDescent="0.25">
      <c r="A25" s="26" t="s">
        <v>43</v>
      </c>
      <c r="B25" s="26"/>
      <c r="C25" s="26"/>
      <c r="D25" s="32"/>
      <c r="E25" s="33">
        <f>SUM(E6:E24)</f>
        <v>8049.0388150000008</v>
      </c>
      <c r="F25" s="34">
        <f>SUM(F6:F24)</f>
        <v>76.45798865372582</v>
      </c>
      <c r="G25" s="33"/>
      <c r="H25" s="18"/>
      <c r="I25" s="18"/>
    </row>
    <row r="26" spans="1:9" x14ac:dyDescent="0.2">
      <c r="A26" s="27"/>
      <c r="B26" s="27"/>
      <c r="C26" s="27"/>
      <c r="D26" s="28"/>
      <c r="E26" s="29"/>
      <c r="F26" s="30"/>
      <c r="G26" s="29"/>
    </row>
    <row r="27" spans="1:9" ht="10.5" x14ac:dyDescent="0.25">
      <c r="A27" s="26" t="s">
        <v>44</v>
      </c>
      <c r="B27" s="27"/>
      <c r="C27" s="27"/>
      <c r="D27" s="28"/>
      <c r="E27" s="29"/>
      <c r="F27" s="30"/>
      <c r="G27" s="29"/>
    </row>
    <row r="28" spans="1:9" x14ac:dyDescent="0.2">
      <c r="A28" s="27" t="s">
        <v>1490</v>
      </c>
      <c r="B28" s="27" t="s">
        <v>1491</v>
      </c>
      <c r="C28" s="27" t="s">
        <v>851</v>
      </c>
      <c r="D28" s="31">
        <v>82</v>
      </c>
      <c r="E28" s="29">
        <v>829.44230000000005</v>
      </c>
      <c r="F28" s="30">
        <v>7.8788898177676696</v>
      </c>
      <c r="G28" s="29">
        <v>4.2698999999999998</v>
      </c>
    </row>
    <row r="29" spans="1:9" x14ac:dyDescent="0.2">
      <c r="A29" s="27" t="s">
        <v>1519</v>
      </c>
      <c r="B29" s="27" t="s">
        <v>1520</v>
      </c>
      <c r="C29" s="27" t="s">
        <v>42</v>
      </c>
      <c r="D29" s="31">
        <v>49</v>
      </c>
      <c r="E29" s="29">
        <v>497.71848</v>
      </c>
      <c r="F29" s="30">
        <v>4.72783828867518</v>
      </c>
      <c r="G29" s="29">
        <v>3.9948999999999999</v>
      </c>
    </row>
    <row r="30" spans="1:9" x14ac:dyDescent="0.2">
      <c r="A30" s="27" t="s">
        <v>951</v>
      </c>
      <c r="B30" s="27" t="s">
        <v>952</v>
      </c>
      <c r="C30" s="27" t="s">
        <v>42</v>
      </c>
      <c r="D30" s="31">
        <v>27</v>
      </c>
      <c r="E30" s="29">
        <v>274.72419000000002</v>
      </c>
      <c r="F30" s="30">
        <v>2.60961084729519</v>
      </c>
      <c r="G30" s="29">
        <v>3.6871</v>
      </c>
    </row>
    <row r="31" spans="1:9" ht="10.5" x14ac:dyDescent="0.25">
      <c r="A31" s="26" t="s">
        <v>43</v>
      </c>
      <c r="B31" s="26"/>
      <c r="C31" s="26"/>
      <c r="D31" s="32"/>
      <c r="E31" s="33">
        <f>SUM(E27:E30)</f>
        <v>1601.8849700000001</v>
      </c>
      <c r="F31" s="34">
        <f>SUM(F27:F30)</f>
        <v>15.21633895373804</v>
      </c>
      <c r="G31" s="33"/>
      <c r="H31" s="18"/>
      <c r="I31" s="18"/>
    </row>
    <row r="32" spans="1:9" x14ac:dyDescent="0.2">
      <c r="A32" s="27"/>
      <c r="B32" s="27"/>
      <c r="C32" s="27"/>
      <c r="D32" s="28"/>
      <c r="E32" s="29"/>
      <c r="F32" s="30"/>
      <c r="G32" s="29"/>
    </row>
    <row r="33" spans="1:9" ht="10.5" x14ac:dyDescent="0.25">
      <c r="A33" s="26" t="s">
        <v>62</v>
      </c>
      <c r="B33" s="27"/>
      <c r="C33" s="27"/>
      <c r="D33" s="28"/>
      <c r="E33" s="29"/>
      <c r="F33" s="30"/>
      <c r="G33" s="29"/>
    </row>
    <row r="34" spans="1:9" ht="10.5" x14ac:dyDescent="0.25">
      <c r="A34" s="26" t="s">
        <v>63</v>
      </c>
      <c r="B34" s="27"/>
      <c r="C34" s="27"/>
      <c r="D34" s="28"/>
      <c r="E34" s="29"/>
      <c r="F34" s="30"/>
      <c r="G34" s="29"/>
    </row>
    <row r="35" spans="1:9" x14ac:dyDescent="0.2">
      <c r="A35" s="27" t="s">
        <v>797</v>
      </c>
      <c r="B35" s="27" t="s">
        <v>798</v>
      </c>
      <c r="C35" s="27" t="s">
        <v>67</v>
      </c>
      <c r="D35" s="31">
        <v>30</v>
      </c>
      <c r="E35" s="29">
        <v>29.662109999999998</v>
      </c>
      <c r="F35" s="30">
        <v>0.28176100550032801</v>
      </c>
      <c r="G35" s="29">
        <v>3.2999000000000001</v>
      </c>
    </row>
    <row r="36" spans="1:9" ht="10.5" x14ac:dyDescent="0.25">
      <c r="A36" s="26" t="s">
        <v>43</v>
      </c>
      <c r="B36" s="26"/>
      <c r="C36" s="26"/>
      <c r="D36" s="32"/>
      <c r="E36" s="33">
        <f>SUM(E34:E35)</f>
        <v>29.662109999999998</v>
      </c>
      <c r="F36" s="34">
        <f>SUM(F34:F35)</f>
        <v>0.28176100550032801</v>
      </c>
      <c r="G36" s="33"/>
      <c r="H36" s="18"/>
      <c r="I36" s="18"/>
    </row>
    <row r="37" spans="1:9" x14ac:dyDescent="0.2">
      <c r="A37" s="27"/>
      <c r="B37" s="27"/>
      <c r="C37" s="27"/>
      <c r="D37" s="28"/>
      <c r="E37" s="29"/>
      <c r="F37" s="30"/>
      <c r="G37" s="29"/>
    </row>
    <row r="38" spans="1:9" ht="10.5" x14ac:dyDescent="0.25">
      <c r="A38" s="26" t="s">
        <v>733</v>
      </c>
      <c r="B38" s="27"/>
      <c r="C38" s="27"/>
      <c r="D38" s="28"/>
      <c r="E38" s="29"/>
      <c r="F38" s="30"/>
      <c r="G38" s="29"/>
    </row>
    <row r="39" spans="1:9" x14ac:dyDescent="0.2">
      <c r="A39" s="27" t="s">
        <v>1505</v>
      </c>
      <c r="B39" s="27" t="s">
        <v>1506</v>
      </c>
      <c r="C39" s="27" t="s">
        <v>743</v>
      </c>
      <c r="D39" s="31">
        <v>37</v>
      </c>
      <c r="E39" s="29">
        <v>182.907465</v>
      </c>
      <c r="F39" s="30">
        <v>1.7374418492789601</v>
      </c>
      <c r="G39" s="29">
        <v>3.3950999999999998</v>
      </c>
    </row>
    <row r="40" spans="1:9" ht="10.5" x14ac:dyDescent="0.25">
      <c r="A40" s="26" t="s">
        <v>43</v>
      </c>
      <c r="B40" s="26"/>
      <c r="C40" s="26"/>
      <c r="D40" s="32"/>
      <c r="E40" s="33">
        <f>SUM(E38:E39)</f>
        <v>182.907465</v>
      </c>
      <c r="F40" s="34">
        <f>SUM(F38:F39)</f>
        <v>1.7374418492789601</v>
      </c>
      <c r="G40" s="33"/>
      <c r="H40" s="18"/>
      <c r="I40" s="18"/>
    </row>
    <row r="41" spans="1:9" x14ac:dyDescent="0.2">
      <c r="A41" s="27"/>
      <c r="B41" s="27"/>
      <c r="C41" s="27"/>
      <c r="D41" s="28"/>
      <c r="E41" s="29"/>
      <c r="F41" s="30"/>
      <c r="G41" s="29"/>
    </row>
    <row r="42" spans="1:9" ht="10.5" x14ac:dyDescent="0.25">
      <c r="A42" s="26" t="s">
        <v>748</v>
      </c>
      <c r="B42" s="27"/>
      <c r="C42" s="27"/>
      <c r="D42" s="28"/>
      <c r="E42" s="29"/>
      <c r="F42" s="30"/>
      <c r="G42" s="29"/>
    </row>
    <row r="43" spans="1:9" x14ac:dyDescent="0.2">
      <c r="A43" s="27" t="s">
        <v>828</v>
      </c>
      <c r="B43" s="27" t="s">
        <v>829</v>
      </c>
      <c r="C43" s="27" t="s">
        <v>827</v>
      </c>
      <c r="D43" s="31">
        <v>170000</v>
      </c>
      <c r="E43" s="29">
        <v>167.78489999999999</v>
      </c>
      <c r="F43" s="30">
        <v>1.5937922869199801</v>
      </c>
      <c r="G43" s="29">
        <v>3.3006000000000002</v>
      </c>
    </row>
    <row r="44" spans="1:9" ht="10.5" x14ac:dyDescent="0.25">
      <c r="A44" s="26" t="s">
        <v>43</v>
      </c>
      <c r="B44" s="26"/>
      <c r="C44" s="26"/>
      <c r="D44" s="32"/>
      <c r="E44" s="33">
        <f>SUM(E42:E43)</f>
        <v>167.78489999999999</v>
      </c>
      <c r="F44" s="34">
        <f>SUM(F42:F43)</f>
        <v>1.5937922869199801</v>
      </c>
      <c r="G44" s="33"/>
      <c r="H44" s="18"/>
      <c r="I44" s="18"/>
    </row>
    <row r="45" spans="1:9" x14ac:dyDescent="0.2">
      <c r="A45" s="27"/>
      <c r="B45" s="27"/>
      <c r="C45" s="27"/>
      <c r="D45" s="28"/>
      <c r="E45" s="29"/>
      <c r="F45" s="30"/>
      <c r="G45" s="29"/>
    </row>
    <row r="46" spans="1:9" ht="10.5" x14ac:dyDescent="0.25">
      <c r="A46" s="26" t="s">
        <v>48</v>
      </c>
      <c r="B46" s="26"/>
      <c r="C46" s="26"/>
      <c r="D46" s="32"/>
      <c r="E46" s="33">
        <f>E25+E31+E36+E40+E44</f>
        <v>10031.278260000001</v>
      </c>
      <c r="F46" s="34">
        <f>F25+F31+F36+F40+F44</f>
        <v>95.287322749163138</v>
      </c>
      <c r="G46" s="33"/>
      <c r="H46" s="18"/>
      <c r="I46" s="18"/>
    </row>
    <row r="47" spans="1:9" ht="10.5" x14ac:dyDescent="0.25">
      <c r="A47" s="26"/>
      <c r="B47" s="26"/>
      <c r="C47" s="26"/>
      <c r="D47" s="32"/>
      <c r="E47" s="33"/>
      <c r="F47" s="34"/>
      <c r="G47" s="33"/>
      <c r="H47" s="18"/>
      <c r="I47" s="18"/>
    </row>
    <row r="48" spans="1:9" ht="10.5" x14ac:dyDescent="0.25">
      <c r="A48" s="26" t="s">
        <v>50</v>
      </c>
      <c r="B48" s="26"/>
      <c r="C48" s="26"/>
      <c r="D48" s="32"/>
      <c r="E48" s="33">
        <f>E50-(E25+E31+E36+E40+E44)</f>
        <v>496.12241679999897</v>
      </c>
      <c r="F48" s="34">
        <f>F50-(F25+F31+F36+F40+F44)</f>
        <v>4.7126772508368617</v>
      </c>
      <c r="G48" s="33"/>
      <c r="H48" s="18"/>
      <c r="I48" s="18"/>
    </row>
    <row r="49" spans="1:9" ht="10.5" x14ac:dyDescent="0.25">
      <c r="A49" s="26"/>
      <c r="B49" s="26"/>
      <c r="C49" s="26"/>
      <c r="D49" s="32"/>
      <c r="E49" s="33"/>
      <c r="F49" s="34"/>
      <c r="G49" s="33"/>
      <c r="H49" s="18"/>
      <c r="I49" s="18"/>
    </row>
    <row r="50" spans="1:9" ht="10.5" x14ac:dyDescent="0.25">
      <c r="A50" s="35" t="s">
        <v>49</v>
      </c>
      <c r="B50" s="35"/>
      <c r="C50" s="35"/>
      <c r="D50" s="36"/>
      <c r="E50" s="37">
        <v>10527.4006768</v>
      </c>
      <c r="F50" s="38">
        <v>100</v>
      </c>
      <c r="G50" s="37"/>
      <c r="H50" s="18"/>
      <c r="I50" s="18"/>
    </row>
    <row r="52" spans="1:9" ht="10.5" x14ac:dyDescent="0.25">
      <c r="A52" s="18" t="s">
        <v>765</v>
      </c>
    </row>
    <row r="53" spans="1:9" ht="10.5" x14ac:dyDescent="0.25">
      <c r="A53" s="18" t="s">
        <v>766</v>
      </c>
    </row>
    <row r="55" spans="1:9" ht="10.5" x14ac:dyDescent="0.25">
      <c r="A55" s="18" t="s">
        <v>51</v>
      </c>
    </row>
    <row r="56" spans="1:9" ht="10.5" x14ac:dyDescent="0.25">
      <c r="A56" s="18" t="s">
        <v>713</v>
      </c>
    </row>
    <row r="57" spans="1:9" ht="10.5" x14ac:dyDescent="0.25">
      <c r="A57" s="18" t="s">
        <v>53</v>
      </c>
      <c r="B57" s="18"/>
      <c r="C57" s="39" t="s">
        <v>55</v>
      </c>
      <c r="D57" s="19" t="s">
        <v>714</v>
      </c>
    </row>
    <row r="58" spans="1:9" x14ac:dyDescent="0.2">
      <c r="A58" s="9" t="s">
        <v>71</v>
      </c>
      <c r="C58" s="40">
        <v>11.9087</v>
      </c>
      <c r="D58" s="40">
        <v>12.393000000000001</v>
      </c>
    </row>
    <row r="59" spans="1:9" x14ac:dyDescent="0.2">
      <c r="A59" s="9" t="s">
        <v>1386</v>
      </c>
      <c r="C59" s="40">
        <v>10.3736</v>
      </c>
      <c r="D59" s="40">
        <v>10.795500000000001</v>
      </c>
    </row>
    <row r="60" spans="1:9" x14ac:dyDescent="0.2">
      <c r="A60" s="9" t="s">
        <v>73</v>
      </c>
      <c r="C60" s="40">
        <v>10.160500000000001</v>
      </c>
      <c r="D60" s="40">
        <v>10.1913</v>
      </c>
    </row>
    <row r="61" spans="1:9" x14ac:dyDescent="0.2">
      <c r="A61" s="9" t="s">
        <v>74</v>
      </c>
      <c r="C61" s="40">
        <v>11.968400000000001</v>
      </c>
      <c r="D61" s="40">
        <v>12.4551</v>
      </c>
    </row>
    <row r="62" spans="1:9" x14ac:dyDescent="0.2">
      <c r="A62" s="9" t="s">
        <v>78</v>
      </c>
      <c r="C62" s="40">
        <v>10.433400000000001</v>
      </c>
      <c r="D62" s="40">
        <v>10.857799999999999</v>
      </c>
    </row>
    <row r="64" spans="1:9" ht="10.5" x14ac:dyDescent="0.25">
      <c r="A64" s="18" t="s">
        <v>715</v>
      </c>
    </row>
    <row r="65" spans="1:5" ht="10.5" x14ac:dyDescent="0.25">
      <c r="A65" s="81" t="s">
        <v>68</v>
      </c>
      <c r="B65" s="82"/>
      <c r="C65" s="43" t="s">
        <v>69</v>
      </c>
    </row>
    <row r="66" spans="1:5" x14ac:dyDescent="0.2">
      <c r="A66" s="77" t="s">
        <v>73</v>
      </c>
      <c r="B66" s="78"/>
      <c r="C66" s="44">
        <v>0.38</v>
      </c>
    </row>
    <row r="67" spans="1:5" x14ac:dyDescent="0.2">
      <c r="A67" s="9" t="s">
        <v>70</v>
      </c>
    </row>
    <row r="69" spans="1:5" ht="10.5" x14ac:dyDescent="0.25">
      <c r="A69" s="18" t="s">
        <v>785</v>
      </c>
      <c r="D69" s="42">
        <v>0.31781912408219198</v>
      </c>
      <c r="E69" s="13" t="s">
        <v>58</v>
      </c>
    </row>
    <row r="71" spans="1:5" ht="10.5" x14ac:dyDescent="0.25">
      <c r="A71" s="18" t="s">
        <v>786</v>
      </c>
      <c r="D71" s="41" t="s">
        <v>57</v>
      </c>
    </row>
  </sheetData>
  <mergeCells count="3">
    <mergeCell ref="A1:G1"/>
    <mergeCell ref="A65:B65"/>
    <mergeCell ref="A66:B66"/>
  </mergeCells>
  <conditionalFormatting sqref="F2:F3 F5:F65536">
    <cfRule type="cellIs" dxfId="3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1530</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1495</v>
      </c>
      <c r="B7" s="27" t="s">
        <v>1496</v>
      </c>
      <c r="C7" s="27" t="s">
        <v>42</v>
      </c>
      <c r="D7" s="31">
        <v>113</v>
      </c>
      <c r="E7" s="29">
        <v>1146.92966</v>
      </c>
      <c r="F7" s="30">
        <v>9.0579361040242894</v>
      </c>
      <c r="G7" s="29">
        <v>3.4601000000000002</v>
      </c>
    </row>
    <row r="8" spans="1:7" x14ac:dyDescent="0.2">
      <c r="A8" s="27" t="s">
        <v>1525</v>
      </c>
      <c r="B8" s="27" t="s">
        <v>1526</v>
      </c>
      <c r="C8" s="27" t="s">
        <v>896</v>
      </c>
      <c r="D8" s="31">
        <v>106</v>
      </c>
      <c r="E8" s="29">
        <v>1065.83636</v>
      </c>
      <c r="F8" s="30">
        <v>8.41749758762524</v>
      </c>
      <c r="G8" s="29">
        <v>3.2852000000000001</v>
      </c>
    </row>
    <row r="9" spans="1:7" x14ac:dyDescent="0.2">
      <c r="A9" s="27" t="s">
        <v>1531</v>
      </c>
      <c r="B9" s="27" t="s">
        <v>1532</v>
      </c>
      <c r="C9" s="27" t="s">
        <v>896</v>
      </c>
      <c r="D9" s="31">
        <v>100</v>
      </c>
      <c r="E9" s="29">
        <v>1013.0549999999999</v>
      </c>
      <c r="F9" s="30">
        <v>8.0006540766086101</v>
      </c>
      <c r="G9" s="29">
        <v>3.6499000000000001</v>
      </c>
    </row>
    <row r="10" spans="1:7" x14ac:dyDescent="0.2">
      <c r="A10" s="27" t="s">
        <v>1000</v>
      </c>
      <c r="B10" s="27" t="s">
        <v>1001</v>
      </c>
      <c r="C10" s="27" t="s">
        <v>42</v>
      </c>
      <c r="D10" s="31">
        <v>99</v>
      </c>
      <c r="E10" s="29">
        <v>1010.76426</v>
      </c>
      <c r="F10" s="30">
        <v>7.9825628393910399</v>
      </c>
      <c r="G10" s="29">
        <v>3.5348999999999999</v>
      </c>
    </row>
    <row r="11" spans="1:7" x14ac:dyDescent="0.2">
      <c r="A11" s="27" t="s">
        <v>933</v>
      </c>
      <c r="B11" s="27" t="s">
        <v>934</v>
      </c>
      <c r="C11" s="27" t="s">
        <v>42</v>
      </c>
      <c r="D11" s="31">
        <v>100</v>
      </c>
      <c r="E11" s="29">
        <v>1005.421</v>
      </c>
      <c r="F11" s="30">
        <v>7.9403641681428097</v>
      </c>
      <c r="G11" s="29">
        <v>3.2496999999999998</v>
      </c>
    </row>
    <row r="12" spans="1:7" x14ac:dyDescent="0.2">
      <c r="A12" s="27" t="s">
        <v>1484</v>
      </c>
      <c r="B12" s="27" t="s">
        <v>1485</v>
      </c>
      <c r="C12" s="27" t="s">
        <v>42</v>
      </c>
      <c r="D12" s="31">
        <v>97</v>
      </c>
      <c r="E12" s="29">
        <v>993.04138</v>
      </c>
      <c r="F12" s="30">
        <v>7.8425954811318697</v>
      </c>
      <c r="G12" s="29">
        <v>3.7149999999999999</v>
      </c>
    </row>
    <row r="13" spans="1:7" x14ac:dyDescent="0.2">
      <c r="A13" s="27" t="s">
        <v>1501</v>
      </c>
      <c r="B13" s="27" t="s">
        <v>1502</v>
      </c>
      <c r="C13" s="27" t="s">
        <v>42</v>
      </c>
      <c r="D13" s="31">
        <v>73</v>
      </c>
      <c r="E13" s="29">
        <v>737.33139000000006</v>
      </c>
      <c r="F13" s="30">
        <v>5.8231126554974804</v>
      </c>
      <c r="G13" s="29">
        <v>3.4148999999999998</v>
      </c>
    </row>
    <row r="14" spans="1:7" x14ac:dyDescent="0.2">
      <c r="A14" s="27" t="s">
        <v>1364</v>
      </c>
      <c r="B14" s="27" t="s">
        <v>1365</v>
      </c>
      <c r="C14" s="27" t="s">
        <v>42</v>
      </c>
      <c r="D14" s="31">
        <v>5</v>
      </c>
      <c r="E14" s="29">
        <v>508.52449999999999</v>
      </c>
      <c r="F14" s="30">
        <v>4.0160984487321603</v>
      </c>
      <c r="G14" s="29">
        <v>3.51</v>
      </c>
    </row>
    <row r="15" spans="1:7" x14ac:dyDescent="0.2">
      <c r="A15" s="27" t="s">
        <v>1533</v>
      </c>
      <c r="B15" s="27" t="s">
        <v>1534</v>
      </c>
      <c r="C15" s="27" t="s">
        <v>896</v>
      </c>
      <c r="D15" s="31">
        <v>50</v>
      </c>
      <c r="E15" s="29">
        <v>507.1275</v>
      </c>
      <c r="F15" s="30">
        <v>4.0050655692290498</v>
      </c>
      <c r="G15" s="29">
        <v>3.55</v>
      </c>
    </row>
    <row r="16" spans="1:7" x14ac:dyDescent="0.2">
      <c r="A16" s="27" t="s">
        <v>1488</v>
      </c>
      <c r="B16" s="27" t="s">
        <v>1489</v>
      </c>
      <c r="C16" s="27" t="s">
        <v>42</v>
      </c>
      <c r="D16" s="31">
        <v>49</v>
      </c>
      <c r="E16" s="29">
        <v>494.26936999999998</v>
      </c>
      <c r="F16" s="30">
        <v>3.9035178248301099</v>
      </c>
      <c r="G16" s="29">
        <v>3.47</v>
      </c>
    </row>
    <row r="17" spans="1:9" x14ac:dyDescent="0.2">
      <c r="A17" s="27" t="s">
        <v>1292</v>
      </c>
      <c r="B17" s="27" t="s">
        <v>1293</v>
      </c>
      <c r="C17" s="27" t="s">
        <v>1294</v>
      </c>
      <c r="D17" s="31">
        <v>24</v>
      </c>
      <c r="E17" s="29">
        <v>299.37144000000001</v>
      </c>
      <c r="F17" s="30">
        <v>2.36430137737457</v>
      </c>
      <c r="G17" s="29">
        <v>4.0374999999999996</v>
      </c>
    </row>
    <row r="18" spans="1:9" x14ac:dyDescent="0.2">
      <c r="A18" s="27" t="s">
        <v>1508</v>
      </c>
      <c r="B18" s="27" t="s">
        <v>1509</v>
      </c>
      <c r="C18" s="27" t="s">
        <v>42</v>
      </c>
      <c r="D18" s="31">
        <v>18</v>
      </c>
      <c r="E18" s="29">
        <v>176.78862000000001</v>
      </c>
      <c r="F18" s="30">
        <v>1.3961972383543</v>
      </c>
      <c r="G18" s="29">
        <v>3.7248999999999999</v>
      </c>
    </row>
    <row r="19" spans="1:9" x14ac:dyDescent="0.2">
      <c r="A19" s="27" t="s">
        <v>945</v>
      </c>
      <c r="B19" s="27" t="s">
        <v>946</v>
      </c>
      <c r="C19" s="27" t="s">
        <v>42</v>
      </c>
      <c r="D19" s="31">
        <v>9</v>
      </c>
      <c r="E19" s="29">
        <v>91.381950000000003</v>
      </c>
      <c r="F19" s="30">
        <v>0.72169366006381197</v>
      </c>
      <c r="G19" s="29">
        <v>3.4649000000000001</v>
      </c>
    </row>
    <row r="20" spans="1:9" x14ac:dyDescent="0.2">
      <c r="A20" s="27" t="s">
        <v>1486</v>
      </c>
      <c r="B20" s="27" t="s">
        <v>1487</v>
      </c>
      <c r="C20" s="27" t="s">
        <v>42</v>
      </c>
      <c r="D20" s="31">
        <v>6</v>
      </c>
      <c r="E20" s="29">
        <v>75.140280000000004</v>
      </c>
      <c r="F20" s="30">
        <v>0.59342423412303702</v>
      </c>
      <c r="G20" s="29">
        <v>3.6999</v>
      </c>
    </row>
    <row r="21" spans="1:9" x14ac:dyDescent="0.2">
      <c r="A21" s="27" t="s">
        <v>923</v>
      </c>
      <c r="B21" s="27" t="s">
        <v>924</v>
      </c>
      <c r="C21" s="27" t="s">
        <v>896</v>
      </c>
      <c r="D21" s="31">
        <v>3</v>
      </c>
      <c r="E21" s="29">
        <v>37.555889999999998</v>
      </c>
      <c r="F21" s="30">
        <v>0.29659957695205602</v>
      </c>
      <c r="G21" s="29">
        <v>5.2949999999999999</v>
      </c>
    </row>
    <row r="22" spans="1:9" x14ac:dyDescent="0.2">
      <c r="A22" s="27" t="s">
        <v>1290</v>
      </c>
      <c r="B22" s="27" t="s">
        <v>1291</v>
      </c>
      <c r="C22" s="27" t="s">
        <v>42</v>
      </c>
      <c r="D22" s="31">
        <v>3</v>
      </c>
      <c r="E22" s="29">
        <v>30.46482</v>
      </c>
      <c r="F22" s="30">
        <v>0.240597486144531</v>
      </c>
      <c r="G22" s="29">
        <v>5.0199999999999996</v>
      </c>
    </row>
    <row r="23" spans="1:9" ht="10.5" x14ac:dyDescent="0.25">
      <c r="A23" s="26" t="s">
        <v>43</v>
      </c>
      <c r="B23" s="26"/>
      <c r="C23" s="26"/>
      <c r="D23" s="32"/>
      <c r="E23" s="33">
        <f>SUM(E6:E22)</f>
        <v>9193.0034199999991</v>
      </c>
      <c r="F23" s="34">
        <f>SUM(F6:F22)</f>
        <v>72.602218328224964</v>
      </c>
      <c r="G23" s="33"/>
      <c r="H23" s="18"/>
      <c r="I23" s="18"/>
    </row>
    <row r="24" spans="1:9" x14ac:dyDescent="0.2">
      <c r="A24" s="27"/>
      <c r="B24" s="27"/>
      <c r="C24" s="27"/>
      <c r="D24" s="28"/>
      <c r="E24" s="29"/>
      <c r="F24" s="30"/>
      <c r="G24" s="29"/>
    </row>
    <row r="25" spans="1:9" ht="10.5" x14ac:dyDescent="0.25">
      <c r="A25" s="26" t="s">
        <v>44</v>
      </c>
      <c r="B25" s="27"/>
      <c r="C25" s="27"/>
      <c r="D25" s="28"/>
      <c r="E25" s="29"/>
      <c r="F25" s="30"/>
      <c r="G25" s="29"/>
    </row>
    <row r="26" spans="1:9" x14ac:dyDescent="0.2">
      <c r="A26" s="27" t="s">
        <v>1535</v>
      </c>
      <c r="B26" s="27" t="s">
        <v>1536</v>
      </c>
      <c r="C26" s="27" t="s">
        <v>42</v>
      </c>
      <c r="D26" s="31">
        <v>100</v>
      </c>
      <c r="E26" s="29">
        <v>1009.544</v>
      </c>
      <c r="F26" s="30">
        <v>7.9729257731473302</v>
      </c>
      <c r="G26" s="29">
        <v>3.9249999999999998</v>
      </c>
    </row>
    <row r="27" spans="1:9" x14ac:dyDescent="0.2">
      <c r="A27" s="27" t="s">
        <v>951</v>
      </c>
      <c r="B27" s="27" t="s">
        <v>952</v>
      </c>
      <c r="C27" s="27" t="s">
        <v>42</v>
      </c>
      <c r="D27" s="31">
        <v>56</v>
      </c>
      <c r="E27" s="29">
        <v>569.79831999999999</v>
      </c>
      <c r="F27" s="30">
        <v>4.50001160031068</v>
      </c>
      <c r="G27" s="29">
        <v>3.6871</v>
      </c>
    </row>
    <row r="28" spans="1:9" ht="10.5" x14ac:dyDescent="0.25">
      <c r="A28" s="26" t="s">
        <v>43</v>
      </c>
      <c r="B28" s="26"/>
      <c r="C28" s="26"/>
      <c r="D28" s="32"/>
      <c r="E28" s="33">
        <f>SUM(E25:E27)</f>
        <v>1579.34232</v>
      </c>
      <c r="F28" s="34">
        <f>SUM(F25:F27)</f>
        <v>12.472937373458009</v>
      </c>
      <c r="G28" s="33"/>
      <c r="H28" s="18"/>
      <c r="I28" s="18"/>
    </row>
    <row r="29" spans="1:9" x14ac:dyDescent="0.2">
      <c r="A29" s="27"/>
      <c r="B29" s="27"/>
      <c r="C29" s="27"/>
      <c r="D29" s="28"/>
      <c r="E29" s="29"/>
      <c r="F29" s="30"/>
      <c r="G29" s="29"/>
    </row>
    <row r="30" spans="1:9" ht="10.5" x14ac:dyDescent="0.25">
      <c r="A30" s="26" t="s">
        <v>62</v>
      </c>
      <c r="B30" s="27"/>
      <c r="C30" s="27"/>
      <c r="D30" s="28"/>
      <c r="E30" s="29"/>
      <c r="F30" s="30"/>
      <c r="G30" s="29"/>
    </row>
    <row r="31" spans="1:9" ht="10.5" x14ac:dyDescent="0.25">
      <c r="A31" s="26" t="s">
        <v>63</v>
      </c>
      <c r="B31" s="27"/>
      <c r="C31" s="27"/>
      <c r="D31" s="28"/>
      <c r="E31" s="29"/>
      <c r="F31" s="30"/>
      <c r="G31" s="29"/>
    </row>
    <row r="32" spans="1:9" x14ac:dyDescent="0.2">
      <c r="A32" s="27" t="s">
        <v>797</v>
      </c>
      <c r="B32" s="27" t="s">
        <v>798</v>
      </c>
      <c r="C32" s="27" t="s">
        <v>67</v>
      </c>
      <c r="D32" s="31">
        <v>222</v>
      </c>
      <c r="E32" s="29">
        <v>219.49961400000001</v>
      </c>
      <c r="F32" s="30">
        <v>1.7335095148467901</v>
      </c>
      <c r="G32" s="29">
        <v>3.2999000000000001</v>
      </c>
    </row>
    <row r="33" spans="1:9" ht="10.5" x14ac:dyDescent="0.25">
      <c r="A33" s="26" t="s">
        <v>43</v>
      </c>
      <c r="B33" s="26"/>
      <c r="C33" s="26"/>
      <c r="D33" s="32"/>
      <c r="E33" s="33">
        <f>SUM(E31:E32)</f>
        <v>219.49961400000001</v>
      </c>
      <c r="F33" s="34">
        <f>SUM(F31:F32)</f>
        <v>1.7335095148467901</v>
      </c>
      <c r="G33" s="33"/>
      <c r="H33" s="18"/>
      <c r="I33" s="18"/>
    </row>
    <row r="34" spans="1:9" x14ac:dyDescent="0.2">
      <c r="A34" s="27"/>
      <c r="B34" s="27"/>
      <c r="C34" s="27"/>
      <c r="D34" s="28"/>
      <c r="E34" s="29"/>
      <c r="F34" s="30"/>
      <c r="G34" s="29"/>
    </row>
    <row r="35" spans="1:9" ht="10.5" x14ac:dyDescent="0.25">
      <c r="A35" s="26" t="s">
        <v>733</v>
      </c>
      <c r="B35" s="27"/>
      <c r="C35" s="27"/>
      <c r="D35" s="28"/>
      <c r="E35" s="29"/>
      <c r="F35" s="30"/>
      <c r="G35" s="29"/>
    </row>
    <row r="36" spans="1:9" x14ac:dyDescent="0.2">
      <c r="A36" s="27" t="s">
        <v>1505</v>
      </c>
      <c r="B36" s="27" t="s">
        <v>1506</v>
      </c>
      <c r="C36" s="27" t="s">
        <v>743</v>
      </c>
      <c r="D36" s="31">
        <v>77</v>
      </c>
      <c r="E36" s="29">
        <v>380.64526499999999</v>
      </c>
      <c r="F36" s="30">
        <v>3.0061655992656</v>
      </c>
      <c r="G36" s="29">
        <v>3.3950999999999998</v>
      </c>
    </row>
    <row r="37" spans="1:9" ht="10.5" x14ac:dyDescent="0.25">
      <c r="A37" s="26" t="s">
        <v>43</v>
      </c>
      <c r="B37" s="26"/>
      <c r="C37" s="26"/>
      <c r="D37" s="32"/>
      <c r="E37" s="33">
        <f>SUM(E35:E36)</f>
        <v>380.64526499999999</v>
      </c>
      <c r="F37" s="34">
        <f>SUM(F35:F36)</f>
        <v>3.0061655992656</v>
      </c>
      <c r="G37" s="33"/>
      <c r="H37" s="18"/>
      <c r="I37" s="18"/>
    </row>
    <row r="38" spans="1:9" x14ac:dyDescent="0.2">
      <c r="A38" s="27"/>
      <c r="B38" s="27"/>
      <c r="C38" s="27"/>
      <c r="D38" s="28"/>
      <c r="E38" s="29"/>
      <c r="F38" s="30"/>
      <c r="G38" s="29"/>
    </row>
    <row r="39" spans="1:9" ht="10.5" x14ac:dyDescent="0.25">
      <c r="A39" s="26" t="s">
        <v>748</v>
      </c>
      <c r="B39" s="27"/>
      <c r="C39" s="27"/>
      <c r="D39" s="28"/>
      <c r="E39" s="29"/>
      <c r="F39" s="30"/>
      <c r="G39" s="29"/>
    </row>
    <row r="40" spans="1:9" x14ac:dyDescent="0.2">
      <c r="A40" s="27" t="s">
        <v>828</v>
      </c>
      <c r="B40" s="27" t="s">
        <v>829</v>
      </c>
      <c r="C40" s="27" t="s">
        <v>827</v>
      </c>
      <c r="D40" s="31">
        <v>710000</v>
      </c>
      <c r="E40" s="29">
        <v>700.74869999999999</v>
      </c>
      <c r="F40" s="30">
        <v>5.5341989757053502</v>
      </c>
      <c r="G40" s="29">
        <v>3.3006000000000002</v>
      </c>
    </row>
    <row r="41" spans="1:9" ht="10.5" x14ac:dyDescent="0.25">
      <c r="A41" s="26" t="s">
        <v>43</v>
      </c>
      <c r="B41" s="26"/>
      <c r="C41" s="26"/>
      <c r="D41" s="32"/>
      <c r="E41" s="33">
        <f>SUM(E39:E40)</f>
        <v>700.74869999999999</v>
      </c>
      <c r="F41" s="34">
        <f>SUM(F39:F40)</f>
        <v>5.5341989757053502</v>
      </c>
      <c r="G41" s="33"/>
      <c r="H41" s="18"/>
      <c r="I41" s="18"/>
    </row>
    <row r="42" spans="1:9" x14ac:dyDescent="0.2">
      <c r="A42" s="27"/>
      <c r="B42" s="27"/>
      <c r="C42" s="27"/>
      <c r="D42" s="28"/>
      <c r="E42" s="29"/>
      <c r="F42" s="30"/>
      <c r="G42" s="29"/>
    </row>
    <row r="43" spans="1:9" ht="10.5" x14ac:dyDescent="0.25">
      <c r="A43" s="26" t="s">
        <v>48</v>
      </c>
      <c r="B43" s="26"/>
      <c r="C43" s="26"/>
      <c r="D43" s="32"/>
      <c r="E43" s="33">
        <f>E23+E28+E33+E37+E41</f>
        <v>12073.239318999998</v>
      </c>
      <c r="F43" s="34">
        <f>F23+F28+F33+F37+F41</f>
        <v>95.349029791500712</v>
      </c>
      <c r="G43" s="33"/>
      <c r="H43" s="18"/>
      <c r="I43" s="18"/>
    </row>
    <row r="44" spans="1:9" ht="10.5" x14ac:dyDescent="0.25">
      <c r="A44" s="26"/>
      <c r="B44" s="26"/>
      <c r="C44" s="26"/>
      <c r="D44" s="32"/>
      <c r="E44" s="33"/>
      <c r="F44" s="34"/>
      <c r="G44" s="33"/>
      <c r="H44" s="18"/>
      <c r="I44" s="18"/>
    </row>
    <row r="45" spans="1:9" ht="10.5" x14ac:dyDescent="0.25">
      <c r="A45" s="26" t="s">
        <v>50</v>
      </c>
      <c r="B45" s="26"/>
      <c r="C45" s="26"/>
      <c r="D45" s="32"/>
      <c r="E45" s="33">
        <f>E47-(E23+E28+E33+E37+E41)</f>
        <v>588.91292880000219</v>
      </c>
      <c r="F45" s="34">
        <f>F47-(F23+F28+F33+F37+F41)</f>
        <v>4.6509702084992881</v>
      </c>
      <c r="G45" s="33"/>
      <c r="H45" s="18"/>
      <c r="I45" s="18"/>
    </row>
    <row r="46" spans="1:9" ht="10.5" x14ac:dyDescent="0.25">
      <c r="A46" s="26"/>
      <c r="B46" s="26"/>
      <c r="C46" s="26"/>
      <c r="D46" s="32"/>
      <c r="E46" s="33"/>
      <c r="F46" s="34"/>
      <c r="G46" s="33"/>
      <c r="H46" s="18"/>
      <c r="I46" s="18"/>
    </row>
    <row r="47" spans="1:9" ht="10.5" x14ac:dyDescent="0.25">
      <c r="A47" s="35" t="s">
        <v>49</v>
      </c>
      <c r="B47" s="35"/>
      <c r="C47" s="35"/>
      <c r="D47" s="36"/>
      <c r="E47" s="37">
        <v>12662.152247800001</v>
      </c>
      <c r="F47" s="38">
        <v>100</v>
      </c>
      <c r="G47" s="37"/>
      <c r="H47" s="18"/>
      <c r="I47" s="18"/>
    </row>
    <row r="49" spans="1:4" ht="10.5" x14ac:dyDescent="0.25">
      <c r="A49" s="18" t="s">
        <v>765</v>
      </c>
    </row>
    <row r="50" spans="1:4" ht="10.5" x14ac:dyDescent="0.25">
      <c r="A50" s="18" t="s">
        <v>766</v>
      </c>
    </row>
    <row r="52" spans="1:4" ht="10.5" x14ac:dyDescent="0.25">
      <c r="A52" s="18" t="s">
        <v>51</v>
      </c>
    </row>
    <row r="53" spans="1:4" ht="10.5" x14ac:dyDescent="0.25">
      <c r="A53" s="18" t="s">
        <v>713</v>
      </c>
    </row>
    <row r="54" spans="1:4" ht="10.5" x14ac:dyDescent="0.25">
      <c r="A54" s="18" t="s">
        <v>53</v>
      </c>
      <c r="B54" s="18"/>
      <c r="C54" s="39" t="s">
        <v>55</v>
      </c>
      <c r="D54" s="19" t="s">
        <v>714</v>
      </c>
    </row>
    <row r="55" spans="1:4" x14ac:dyDescent="0.2">
      <c r="A55" s="9" t="s">
        <v>71</v>
      </c>
      <c r="C55" s="40">
        <v>11.915699999999999</v>
      </c>
      <c r="D55" s="40">
        <v>12.3962</v>
      </c>
    </row>
    <row r="56" spans="1:4" x14ac:dyDescent="0.2">
      <c r="A56" s="9" t="s">
        <v>1386</v>
      </c>
      <c r="C56" s="40">
        <v>10.4016</v>
      </c>
      <c r="D56" s="40">
        <v>10.8216</v>
      </c>
    </row>
    <row r="57" spans="1:4" x14ac:dyDescent="0.2">
      <c r="A57" s="9" t="s">
        <v>73</v>
      </c>
      <c r="C57" s="40">
        <v>10.1965</v>
      </c>
      <c r="D57" s="40">
        <v>10.2484</v>
      </c>
    </row>
    <row r="58" spans="1:4" x14ac:dyDescent="0.2">
      <c r="A58" s="9" t="s">
        <v>74</v>
      </c>
      <c r="C58" s="40">
        <v>11.9755</v>
      </c>
      <c r="D58" s="40">
        <v>12.458299999999999</v>
      </c>
    </row>
    <row r="60" spans="1:4" ht="10.5" x14ac:dyDescent="0.25">
      <c r="A60" s="18" t="s">
        <v>715</v>
      </c>
    </row>
    <row r="61" spans="1:4" ht="10.5" x14ac:dyDescent="0.25">
      <c r="A61" s="81" t="s">
        <v>68</v>
      </c>
      <c r="B61" s="82"/>
      <c r="C61" s="43" t="s">
        <v>69</v>
      </c>
    </row>
    <row r="62" spans="1:4" x14ac:dyDescent="0.2">
      <c r="A62" s="77" t="s">
        <v>73</v>
      </c>
      <c r="B62" s="78"/>
      <c r="C62" s="44">
        <v>0.35499999999999998</v>
      </c>
    </row>
    <row r="63" spans="1:4" x14ac:dyDescent="0.2">
      <c r="A63" s="9" t="s">
        <v>70</v>
      </c>
    </row>
    <row r="65" spans="1:5" ht="10.5" x14ac:dyDescent="0.25">
      <c r="A65" s="18" t="s">
        <v>785</v>
      </c>
      <c r="D65" s="42">
        <v>0.31373870553424599</v>
      </c>
      <c r="E65" s="13" t="s">
        <v>58</v>
      </c>
    </row>
    <row r="67" spans="1:5" ht="10.5" x14ac:dyDescent="0.25">
      <c r="A67" s="18" t="s">
        <v>786</v>
      </c>
      <c r="D67" s="41" t="s">
        <v>57</v>
      </c>
    </row>
  </sheetData>
  <mergeCells count="3">
    <mergeCell ref="A1:G1"/>
    <mergeCell ref="A61:B61"/>
    <mergeCell ref="A62:B62"/>
  </mergeCells>
  <conditionalFormatting sqref="F2:F3 F5:F65536">
    <cfRule type="cellIs" dxfId="3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6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1537</v>
      </c>
      <c r="B1" s="80"/>
      <c r="C1" s="80"/>
      <c r="D1" s="80"/>
      <c r="E1" s="80"/>
      <c r="F1" s="80"/>
      <c r="G1" s="80"/>
    </row>
    <row r="2" spans="1:7" s="1" customFormat="1" ht="11.5" x14ac:dyDescent="0.25">
      <c r="D2" s="6"/>
      <c r="E2" s="7"/>
      <c r="F2" s="12"/>
      <c r="G2" s="13"/>
    </row>
    <row r="3" spans="1:7" s="1" customFormat="1" ht="11.5" x14ac:dyDescent="0.25">
      <c r="A3" s="11" t="s">
        <v>711</v>
      </c>
      <c r="B3" s="2"/>
      <c r="C3" s="3"/>
      <c r="D3" s="4"/>
      <c r="E3" s="5"/>
      <c r="F3" s="12"/>
      <c r="G3" s="13"/>
    </row>
    <row r="4" spans="1:7" s="1" customFormat="1" ht="17.5" customHeight="1" x14ac:dyDescent="0.25">
      <c r="A4" s="8" t="s">
        <v>2</v>
      </c>
      <c r="B4" s="8" t="s">
        <v>0</v>
      </c>
      <c r="C4" s="17" t="s">
        <v>726</v>
      </c>
      <c r="D4" s="16" t="s">
        <v>1</v>
      </c>
      <c r="E4" s="15" t="s">
        <v>3</v>
      </c>
      <c r="F4" s="15" t="s">
        <v>4</v>
      </c>
      <c r="G4" s="15" t="s">
        <v>6</v>
      </c>
    </row>
    <row r="5" spans="1:7" ht="10.5" x14ac:dyDescent="0.25">
      <c r="A5" s="21" t="s">
        <v>32</v>
      </c>
      <c r="B5" s="22"/>
      <c r="C5" s="22"/>
      <c r="D5" s="23"/>
      <c r="E5" s="24"/>
      <c r="F5" s="25"/>
      <c r="G5" s="24"/>
    </row>
    <row r="6" spans="1:7" ht="10.5" x14ac:dyDescent="0.25">
      <c r="A6" s="26" t="s">
        <v>33</v>
      </c>
      <c r="B6" s="27"/>
      <c r="C6" s="27"/>
      <c r="D6" s="28"/>
      <c r="E6" s="29"/>
      <c r="F6" s="30"/>
      <c r="G6" s="29"/>
    </row>
    <row r="7" spans="1:7" x14ac:dyDescent="0.2">
      <c r="A7" s="27" t="s">
        <v>1525</v>
      </c>
      <c r="B7" s="27" t="s">
        <v>1526</v>
      </c>
      <c r="C7" s="27" t="s">
        <v>896</v>
      </c>
      <c r="D7" s="31">
        <v>156</v>
      </c>
      <c r="E7" s="29">
        <v>1568.5893599999999</v>
      </c>
      <c r="F7" s="30">
        <v>8.1249280772069703</v>
      </c>
      <c r="G7" s="29">
        <v>3.2852000000000001</v>
      </c>
    </row>
    <row r="8" spans="1:7" x14ac:dyDescent="0.2">
      <c r="A8" s="27" t="s">
        <v>1538</v>
      </c>
      <c r="B8" s="27" t="s">
        <v>1539</v>
      </c>
      <c r="C8" s="27" t="s">
        <v>42</v>
      </c>
      <c r="D8" s="31">
        <v>150</v>
      </c>
      <c r="E8" s="29">
        <v>1522.8015</v>
      </c>
      <c r="F8" s="30">
        <v>7.8877576113119199</v>
      </c>
      <c r="G8" s="29">
        <v>3.3351000000000002</v>
      </c>
    </row>
    <row r="9" spans="1:7" x14ac:dyDescent="0.2">
      <c r="A9" s="27" t="s">
        <v>1531</v>
      </c>
      <c r="B9" s="27" t="s">
        <v>1532</v>
      </c>
      <c r="C9" s="27" t="s">
        <v>896</v>
      </c>
      <c r="D9" s="31">
        <v>150</v>
      </c>
      <c r="E9" s="29">
        <v>1519.5825</v>
      </c>
      <c r="F9" s="30">
        <v>7.8710839399563204</v>
      </c>
      <c r="G9" s="29">
        <v>3.6499000000000001</v>
      </c>
    </row>
    <row r="10" spans="1:7" x14ac:dyDescent="0.2">
      <c r="A10" s="27" t="s">
        <v>1364</v>
      </c>
      <c r="B10" s="27" t="s">
        <v>1365</v>
      </c>
      <c r="C10" s="27" t="s">
        <v>42</v>
      </c>
      <c r="D10" s="31">
        <v>14</v>
      </c>
      <c r="E10" s="29">
        <v>1423.8686</v>
      </c>
      <c r="F10" s="30">
        <v>7.3753081981847499</v>
      </c>
      <c r="G10" s="29">
        <v>3.51</v>
      </c>
    </row>
    <row r="11" spans="1:7" x14ac:dyDescent="0.2">
      <c r="A11" s="27" t="s">
        <v>1495</v>
      </c>
      <c r="B11" s="27" t="s">
        <v>1496</v>
      </c>
      <c r="C11" s="27" t="s">
        <v>42</v>
      </c>
      <c r="D11" s="31">
        <v>116</v>
      </c>
      <c r="E11" s="29">
        <v>1177.3791200000001</v>
      </c>
      <c r="F11" s="30">
        <v>6.0985500179634196</v>
      </c>
      <c r="G11" s="29">
        <v>3.4601000000000002</v>
      </c>
    </row>
    <row r="12" spans="1:7" x14ac:dyDescent="0.2">
      <c r="A12" s="27" t="s">
        <v>1540</v>
      </c>
      <c r="B12" s="27" t="s">
        <v>1541</v>
      </c>
      <c r="C12" s="27" t="s">
        <v>42</v>
      </c>
      <c r="D12" s="31">
        <v>100</v>
      </c>
      <c r="E12" s="29">
        <v>1015.103</v>
      </c>
      <c r="F12" s="30">
        <v>5.25799745699985</v>
      </c>
      <c r="G12" s="29">
        <v>3.3948999999999998</v>
      </c>
    </row>
    <row r="13" spans="1:7" x14ac:dyDescent="0.2">
      <c r="A13" s="27" t="s">
        <v>1542</v>
      </c>
      <c r="B13" s="27" t="s">
        <v>1543</v>
      </c>
      <c r="C13" s="27" t="s">
        <v>42</v>
      </c>
      <c r="D13" s="31">
        <v>100</v>
      </c>
      <c r="E13" s="29">
        <v>1011.985</v>
      </c>
      <c r="F13" s="30">
        <v>5.2418469421546297</v>
      </c>
      <c r="G13" s="29">
        <v>5.1051000000000002</v>
      </c>
    </row>
    <row r="14" spans="1:7" x14ac:dyDescent="0.2">
      <c r="A14" s="27" t="s">
        <v>1544</v>
      </c>
      <c r="B14" s="27" t="s">
        <v>1545</v>
      </c>
      <c r="C14" s="27" t="s">
        <v>42</v>
      </c>
      <c r="D14" s="31">
        <v>40</v>
      </c>
      <c r="E14" s="29">
        <v>1010.022</v>
      </c>
      <c r="F14" s="30">
        <v>5.2316790586905002</v>
      </c>
      <c r="G14" s="29">
        <v>5.2047999999999996</v>
      </c>
    </row>
    <row r="15" spans="1:7" x14ac:dyDescent="0.2">
      <c r="A15" s="27" t="s">
        <v>1546</v>
      </c>
      <c r="B15" s="27" t="s">
        <v>1547</v>
      </c>
      <c r="C15" s="27" t="s">
        <v>851</v>
      </c>
      <c r="D15" s="31">
        <v>800</v>
      </c>
      <c r="E15" s="29">
        <v>811.65599999999995</v>
      </c>
      <c r="F15" s="30">
        <v>4.2041893127679399</v>
      </c>
      <c r="G15" s="29">
        <v>3.39</v>
      </c>
    </row>
    <row r="16" spans="1:7" x14ac:dyDescent="0.2">
      <c r="A16" s="27" t="s">
        <v>933</v>
      </c>
      <c r="B16" s="27" t="s">
        <v>934</v>
      </c>
      <c r="C16" s="27" t="s">
        <v>42</v>
      </c>
      <c r="D16" s="31">
        <v>62</v>
      </c>
      <c r="E16" s="29">
        <v>623.36102000000005</v>
      </c>
      <c r="F16" s="30">
        <v>3.2288651082233399</v>
      </c>
      <c r="G16" s="29">
        <v>3.2496999999999998</v>
      </c>
    </row>
    <row r="17" spans="1:9" x14ac:dyDescent="0.2">
      <c r="A17" s="27" t="s">
        <v>1548</v>
      </c>
      <c r="B17" s="27" t="s">
        <v>1549</v>
      </c>
      <c r="C17" s="27" t="s">
        <v>42</v>
      </c>
      <c r="D17" s="31">
        <v>40</v>
      </c>
      <c r="E17" s="29">
        <v>512.16549999999995</v>
      </c>
      <c r="F17" s="30">
        <v>2.6528981754196899</v>
      </c>
      <c r="G17" s="29">
        <v>3.36</v>
      </c>
    </row>
    <row r="18" spans="1:9" x14ac:dyDescent="0.2">
      <c r="A18" s="27" t="s">
        <v>1550</v>
      </c>
      <c r="B18" s="27" t="s">
        <v>1551</v>
      </c>
      <c r="C18" s="27" t="s">
        <v>42</v>
      </c>
      <c r="D18" s="31">
        <v>50</v>
      </c>
      <c r="E18" s="29">
        <v>510.50749999999999</v>
      </c>
      <c r="F18" s="30">
        <v>2.6443101210215598</v>
      </c>
      <c r="G18" s="29">
        <v>3.3700999999999999</v>
      </c>
    </row>
    <row r="19" spans="1:9" x14ac:dyDescent="0.2">
      <c r="A19" s="27" t="s">
        <v>1552</v>
      </c>
      <c r="B19" s="27" t="s">
        <v>1553</v>
      </c>
      <c r="C19" s="27" t="s">
        <v>42</v>
      </c>
      <c r="D19" s="31">
        <v>50</v>
      </c>
      <c r="E19" s="29">
        <v>508.8845</v>
      </c>
      <c r="F19" s="30">
        <v>2.6359033584834699</v>
      </c>
      <c r="G19" s="29">
        <v>3.3698999999999999</v>
      </c>
    </row>
    <row r="20" spans="1:9" x14ac:dyDescent="0.2">
      <c r="A20" s="27" t="s">
        <v>1501</v>
      </c>
      <c r="B20" s="27" t="s">
        <v>1502</v>
      </c>
      <c r="C20" s="27" t="s">
        <v>42</v>
      </c>
      <c r="D20" s="31">
        <v>44</v>
      </c>
      <c r="E20" s="29">
        <v>444.41892000000001</v>
      </c>
      <c r="F20" s="30">
        <v>2.30198664687487</v>
      </c>
      <c r="G20" s="29">
        <v>3.4148999999999998</v>
      </c>
    </row>
    <row r="21" spans="1:9" x14ac:dyDescent="0.2">
      <c r="A21" s="27" t="s">
        <v>1511</v>
      </c>
      <c r="B21" s="27" t="s">
        <v>1512</v>
      </c>
      <c r="C21" s="27" t="s">
        <v>42</v>
      </c>
      <c r="D21" s="31">
        <v>38</v>
      </c>
      <c r="E21" s="29">
        <v>386.33611999999999</v>
      </c>
      <c r="F21" s="30">
        <v>2.0011312512200101</v>
      </c>
      <c r="G21" s="29">
        <v>3.7151000000000001</v>
      </c>
    </row>
    <row r="22" spans="1:9" x14ac:dyDescent="0.2">
      <c r="A22" s="27" t="s">
        <v>1290</v>
      </c>
      <c r="B22" s="27" t="s">
        <v>1291</v>
      </c>
      <c r="C22" s="27" t="s">
        <v>42</v>
      </c>
      <c r="D22" s="31">
        <v>25</v>
      </c>
      <c r="E22" s="29">
        <v>253.87350000000001</v>
      </c>
      <c r="F22" s="30">
        <v>1.3150056865162001</v>
      </c>
      <c r="G22" s="29">
        <v>5.0199999999999996</v>
      </c>
    </row>
    <row r="23" spans="1:9" x14ac:dyDescent="0.2">
      <c r="A23" s="27" t="s">
        <v>945</v>
      </c>
      <c r="B23" s="27" t="s">
        <v>946</v>
      </c>
      <c r="C23" s="27" t="s">
        <v>42</v>
      </c>
      <c r="D23" s="31">
        <v>20</v>
      </c>
      <c r="E23" s="29">
        <v>203.071</v>
      </c>
      <c r="F23" s="30">
        <v>1.0518605516784201</v>
      </c>
      <c r="G23" s="29">
        <v>3.4649000000000001</v>
      </c>
    </row>
    <row r="24" spans="1:9" x14ac:dyDescent="0.2">
      <c r="A24" s="27" t="s">
        <v>1517</v>
      </c>
      <c r="B24" s="27" t="s">
        <v>1518</v>
      </c>
      <c r="C24" s="27" t="s">
        <v>42</v>
      </c>
      <c r="D24" s="31">
        <v>15</v>
      </c>
      <c r="E24" s="29">
        <v>191.53218749999999</v>
      </c>
      <c r="F24" s="30">
        <v>0.99209218651567299</v>
      </c>
      <c r="G24" s="29">
        <v>3.3599000000000001</v>
      </c>
    </row>
    <row r="25" spans="1:9" x14ac:dyDescent="0.2">
      <c r="A25" s="27" t="s">
        <v>1437</v>
      </c>
      <c r="B25" s="27" t="s">
        <v>1438</v>
      </c>
      <c r="C25" s="27" t="s">
        <v>42</v>
      </c>
      <c r="D25" s="31">
        <v>10</v>
      </c>
      <c r="E25" s="29">
        <v>125.24160000000001</v>
      </c>
      <c r="F25" s="30">
        <v>0.64872236049996201</v>
      </c>
      <c r="G25" s="29">
        <v>3.55</v>
      </c>
    </row>
    <row r="26" spans="1:9" x14ac:dyDescent="0.2">
      <c r="A26" s="27" t="s">
        <v>1497</v>
      </c>
      <c r="B26" s="27" t="s">
        <v>1498</v>
      </c>
      <c r="C26" s="27" t="s">
        <v>851</v>
      </c>
      <c r="D26" s="31">
        <v>1</v>
      </c>
      <c r="E26" s="29">
        <v>10.16639</v>
      </c>
      <c r="F26" s="30">
        <v>5.2659535797715797E-2</v>
      </c>
      <c r="G26" s="29">
        <v>3.64</v>
      </c>
    </row>
    <row r="27" spans="1:9" ht="10.5" x14ac:dyDescent="0.25">
      <c r="A27" s="26" t="s">
        <v>43</v>
      </c>
      <c r="B27" s="26"/>
      <c r="C27" s="26"/>
      <c r="D27" s="32"/>
      <c r="E27" s="33">
        <f>SUM(E6:E26)</f>
        <v>14830.545317499998</v>
      </c>
      <c r="F27" s="34">
        <f>SUM(F6:F26)</f>
        <v>76.818775597487218</v>
      </c>
      <c r="G27" s="33"/>
      <c r="H27" s="18"/>
      <c r="I27" s="18"/>
    </row>
    <row r="28" spans="1:9" x14ac:dyDescent="0.2">
      <c r="A28" s="27"/>
      <c r="B28" s="27"/>
      <c r="C28" s="27"/>
      <c r="D28" s="28"/>
      <c r="E28" s="29"/>
      <c r="F28" s="30"/>
      <c r="G28" s="29"/>
    </row>
    <row r="29" spans="1:9" ht="10.5" x14ac:dyDescent="0.25">
      <c r="A29" s="26" t="s">
        <v>44</v>
      </c>
      <c r="B29" s="27"/>
      <c r="C29" s="27"/>
      <c r="D29" s="28"/>
      <c r="E29" s="29"/>
      <c r="F29" s="30"/>
      <c r="G29" s="29"/>
    </row>
    <row r="30" spans="1:9" x14ac:dyDescent="0.2">
      <c r="A30" s="27" t="s">
        <v>1490</v>
      </c>
      <c r="B30" s="27" t="s">
        <v>1491</v>
      </c>
      <c r="C30" s="27" t="s">
        <v>851</v>
      </c>
      <c r="D30" s="31">
        <v>150</v>
      </c>
      <c r="E30" s="29">
        <v>1517.2725</v>
      </c>
      <c r="F30" s="30">
        <v>7.8591186771941404</v>
      </c>
      <c r="G30" s="29">
        <v>4.2698999999999998</v>
      </c>
    </row>
    <row r="31" spans="1:9" x14ac:dyDescent="0.2">
      <c r="A31" s="27" t="s">
        <v>1535</v>
      </c>
      <c r="B31" s="27" t="s">
        <v>1536</v>
      </c>
      <c r="C31" s="27" t="s">
        <v>42</v>
      </c>
      <c r="D31" s="31">
        <v>150</v>
      </c>
      <c r="E31" s="29">
        <v>1514.316</v>
      </c>
      <c r="F31" s="30">
        <v>7.8438046947887896</v>
      </c>
      <c r="G31" s="29">
        <v>3.9249999999999998</v>
      </c>
    </row>
    <row r="32" spans="1:9" ht="10.5" x14ac:dyDescent="0.25">
      <c r="A32" s="26" t="s">
        <v>43</v>
      </c>
      <c r="B32" s="26"/>
      <c r="C32" s="26"/>
      <c r="D32" s="32"/>
      <c r="E32" s="33">
        <f>SUM(E29:E31)</f>
        <v>3031.5884999999998</v>
      </c>
      <c r="F32" s="34">
        <f>SUM(F29:F31)</f>
        <v>15.70292337198293</v>
      </c>
      <c r="G32" s="33"/>
      <c r="H32" s="18"/>
      <c r="I32" s="18"/>
    </row>
    <row r="33" spans="1:9" x14ac:dyDescent="0.2">
      <c r="A33" s="27"/>
      <c r="B33" s="27"/>
      <c r="C33" s="27"/>
      <c r="D33" s="28"/>
      <c r="E33" s="29"/>
      <c r="F33" s="30"/>
      <c r="G33" s="29"/>
    </row>
    <row r="34" spans="1:9" ht="10.5" x14ac:dyDescent="0.25">
      <c r="A34" s="26" t="s">
        <v>62</v>
      </c>
      <c r="B34" s="27"/>
      <c r="C34" s="27"/>
      <c r="D34" s="28"/>
      <c r="E34" s="29"/>
      <c r="F34" s="30"/>
      <c r="G34" s="29"/>
    </row>
    <row r="35" spans="1:9" ht="10.5" x14ac:dyDescent="0.25">
      <c r="A35" s="26" t="s">
        <v>63</v>
      </c>
      <c r="B35" s="27"/>
      <c r="C35" s="27"/>
      <c r="D35" s="28"/>
      <c r="E35" s="29"/>
      <c r="F35" s="30"/>
      <c r="G35" s="29"/>
    </row>
    <row r="36" spans="1:9" x14ac:dyDescent="0.2">
      <c r="A36" s="27" t="s">
        <v>797</v>
      </c>
      <c r="B36" s="27" t="s">
        <v>798</v>
      </c>
      <c r="C36" s="27" t="s">
        <v>67</v>
      </c>
      <c r="D36" s="31">
        <v>322</v>
      </c>
      <c r="E36" s="29">
        <v>318.37331399999999</v>
      </c>
      <c r="F36" s="30">
        <v>1.64909972228298</v>
      </c>
      <c r="G36" s="29">
        <v>3.2999000000000001</v>
      </c>
    </row>
    <row r="37" spans="1:9" ht="10.5" x14ac:dyDescent="0.25">
      <c r="A37" s="26" t="s">
        <v>43</v>
      </c>
      <c r="B37" s="26"/>
      <c r="C37" s="26"/>
      <c r="D37" s="32"/>
      <c r="E37" s="33">
        <f>SUM(E35:E36)</f>
        <v>318.37331399999999</v>
      </c>
      <c r="F37" s="34">
        <f>SUM(F35:F36)</f>
        <v>1.64909972228298</v>
      </c>
      <c r="G37" s="33"/>
      <c r="H37" s="18"/>
      <c r="I37" s="18"/>
    </row>
    <row r="38" spans="1:9" x14ac:dyDescent="0.2">
      <c r="A38" s="27"/>
      <c r="B38" s="27"/>
      <c r="C38" s="27"/>
      <c r="D38" s="28"/>
      <c r="E38" s="29"/>
      <c r="F38" s="30"/>
      <c r="G38" s="29"/>
    </row>
    <row r="39" spans="1:9" ht="10.5" x14ac:dyDescent="0.25">
      <c r="A39" s="26" t="s">
        <v>748</v>
      </c>
      <c r="B39" s="27"/>
      <c r="C39" s="27"/>
      <c r="D39" s="28"/>
      <c r="E39" s="29"/>
      <c r="F39" s="30"/>
      <c r="G39" s="29"/>
    </row>
    <row r="40" spans="1:9" x14ac:dyDescent="0.2">
      <c r="A40" s="27" t="s">
        <v>828</v>
      </c>
      <c r="B40" s="27" t="s">
        <v>829</v>
      </c>
      <c r="C40" s="27" t="s">
        <v>827</v>
      </c>
      <c r="D40" s="31">
        <v>65000</v>
      </c>
      <c r="E40" s="29">
        <v>64.153049999999993</v>
      </c>
      <c r="F40" s="30">
        <v>0.33229787889384999</v>
      </c>
      <c r="G40" s="29">
        <v>3.3006000000000002</v>
      </c>
    </row>
    <row r="41" spans="1:9" ht="10.5" x14ac:dyDescent="0.25">
      <c r="A41" s="26" t="s">
        <v>43</v>
      </c>
      <c r="B41" s="26"/>
      <c r="C41" s="26"/>
      <c r="D41" s="32"/>
      <c r="E41" s="33">
        <f>SUM(E39:E40)</f>
        <v>64.153049999999993</v>
      </c>
      <c r="F41" s="34">
        <f>SUM(F39:F40)</f>
        <v>0.33229787889384999</v>
      </c>
      <c r="G41" s="33"/>
      <c r="H41" s="18"/>
      <c r="I41" s="18"/>
    </row>
    <row r="42" spans="1:9" x14ac:dyDescent="0.2">
      <c r="A42" s="27"/>
      <c r="B42" s="27"/>
      <c r="C42" s="27"/>
      <c r="D42" s="28"/>
      <c r="E42" s="29"/>
      <c r="F42" s="30"/>
      <c r="G42" s="29"/>
    </row>
    <row r="43" spans="1:9" ht="10.5" x14ac:dyDescent="0.25">
      <c r="A43" s="26" t="s">
        <v>48</v>
      </c>
      <c r="B43" s="26"/>
      <c r="C43" s="26"/>
      <c r="D43" s="32"/>
      <c r="E43" s="33">
        <f>E27+E32+E37+E41</f>
        <v>18244.660181499999</v>
      </c>
      <c r="F43" s="34">
        <f>F27+F32+F37+F41</f>
        <v>94.503096570646989</v>
      </c>
      <c r="G43" s="33"/>
      <c r="H43" s="18"/>
      <c r="I43" s="18"/>
    </row>
    <row r="44" spans="1:9" ht="10.5" x14ac:dyDescent="0.25">
      <c r="A44" s="26"/>
      <c r="B44" s="26"/>
      <c r="C44" s="26"/>
      <c r="D44" s="32"/>
      <c r="E44" s="33"/>
      <c r="F44" s="34"/>
      <c r="G44" s="33"/>
      <c r="H44" s="18"/>
      <c r="I44" s="18"/>
    </row>
    <row r="45" spans="1:9" ht="10.5" x14ac:dyDescent="0.25">
      <c r="A45" s="26" t="s">
        <v>50</v>
      </c>
      <c r="B45" s="26"/>
      <c r="C45" s="26"/>
      <c r="D45" s="32"/>
      <c r="E45" s="33">
        <f>E47-(E27+E32+E37+E41)</f>
        <v>1061.225914900002</v>
      </c>
      <c r="F45" s="34">
        <f>F47-(F27+F32+F37+F41)</f>
        <v>5.4969034293530115</v>
      </c>
      <c r="G45" s="33"/>
      <c r="H45" s="18"/>
      <c r="I45" s="18"/>
    </row>
    <row r="46" spans="1:9" ht="10.5" x14ac:dyDescent="0.25">
      <c r="A46" s="26"/>
      <c r="B46" s="26"/>
      <c r="C46" s="26"/>
      <c r="D46" s="32"/>
      <c r="E46" s="33"/>
      <c r="F46" s="34"/>
      <c r="G46" s="33"/>
      <c r="H46" s="18"/>
      <c r="I46" s="18"/>
    </row>
    <row r="47" spans="1:9" ht="10.5" x14ac:dyDescent="0.25">
      <c r="A47" s="35" t="s">
        <v>49</v>
      </c>
      <c r="B47" s="35"/>
      <c r="C47" s="35"/>
      <c r="D47" s="36"/>
      <c r="E47" s="37">
        <v>19305.886096400001</v>
      </c>
      <c r="F47" s="38">
        <v>100</v>
      </c>
      <c r="G47" s="37"/>
      <c r="H47" s="18"/>
      <c r="I47" s="18"/>
    </row>
    <row r="49" spans="1:4" ht="10.5" x14ac:dyDescent="0.25">
      <c r="A49" s="18" t="s">
        <v>766</v>
      </c>
    </row>
    <row r="51" spans="1:4" ht="10.5" x14ac:dyDescent="0.25">
      <c r="A51" s="18" t="s">
        <v>51</v>
      </c>
    </row>
    <row r="52" spans="1:4" ht="10.5" x14ac:dyDescent="0.25">
      <c r="A52" s="18" t="s">
        <v>713</v>
      </c>
    </row>
    <row r="53" spans="1:4" ht="10.5" x14ac:dyDescent="0.25">
      <c r="A53" s="18" t="s">
        <v>53</v>
      </c>
      <c r="B53" s="18"/>
      <c r="C53" s="39" t="s">
        <v>55</v>
      </c>
      <c r="D53" s="19" t="s">
        <v>714</v>
      </c>
    </row>
    <row r="54" spans="1:4" x14ac:dyDescent="0.2">
      <c r="A54" s="9" t="s">
        <v>71</v>
      </c>
      <c r="C54" s="40">
        <v>11.901899999999999</v>
      </c>
      <c r="D54" s="40">
        <v>12.372400000000001</v>
      </c>
    </row>
    <row r="55" spans="1:4" x14ac:dyDescent="0.2">
      <c r="A55" s="9" t="s">
        <v>1386</v>
      </c>
      <c r="C55" s="40">
        <v>10.4445</v>
      </c>
      <c r="D55" s="40">
        <v>10.8574</v>
      </c>
    </row>
    <row r="56" spans="1:4" x14ac:dyDescent="0.2">
      <c r="A56" s="9" t="s">
        <v>73</v>
      </c>
      <c r="C56" s="40">
        <v>10.2403</v>
      </c>
      <c r="D56" s="40">
        <v>10.2789</v>
      </c>
    </row>
    <row r="57" spans="1:4" x14ac:dyDescent="0.2">
      <c r="A57" s="9" t="s">
        <v>74</v>
      </c>
      <c r="C57" s="40">
        <v>11.961600000000001</v>
      </c>
      <c r="D57" s="40">
        <v>12.4344</v>
      </c>
    </row>
    <row r="58" spans="1:4" x14ac:dyDescent="0.2">
      <c r="A58" s="9" t="s">
        <v>78</v>
      </c>
      <c r="C58" s="40">
        <v>10.469900000000001</v>
      </c>
      <c r="D58" s="40">
        <v>10.883800000000001</v>
      </c>
    </row>
    <row r="59" spans="1:4" x14ac:dyDescent="0.2">
      <c r="A59" s="9" t="s">
        <v>76</v>
      </c>
      <c r="C59" s="40">
        <v>10.264099999999999</v>
      </c>
      <c r="D59" s="40">
        <v>10.303599999999999</v>
      </c>
    </row>
    <row r="61" spans="1:4" ht="10.5" x14ac:dyDescent="0.25">
      <c r="A61" s="18" t="s">
        <v>715</v>
      </c>
    </row>
    <row r="62" spans="1:4" ht="10.5" x14ac:dyDescent="0.25">
      <c r="A62" s="81" t="s">
        <v>68</v>
      </c>
      <c r="B62" s="82"/>
      <c r="C62" s="43" t="s">
        <v>69</v>
      </c>
    </row>
    <row r="63" spans="1:4" x14ac:dyDescent="0.2">
      <c r="A63" s="77" t="s">
        <v>73</v>
      </c>
      <c r="B63" s="78"/>
      <c r="C63" s="44">
        <v>0.36</v>
      </c>
    </row>
    <row r="64" spans="1:4" x14ac:dyDescent="0.2">
      <c r="A64" s="77" t="s">
        <v>76</v>
      </c>
      <c r="B64" s="78"/>
      <c r="C64" s="44">
        <v>0.36</v>
      </c>
    </row>
    <row r="65" spans="1:5" x14ac:dyDescent="0.2">
      <c r="A65" s="9" t="s">
        <v>70</v>
      </c>
    </row>
    <row r="67" spans="1:5" ht="10.5" x14ac:dyDescent="0.25">
      <c r="A67" s="18" t="s">
        <v>785</v>
      </c>
      <c r="D67" s="42">
        <v>0.29101633145205502</v>
      </c>
      <c r="E67" s="13" t="s">
        <v>58</v>
      </c>
    </row>
    <row r="69" spans="1:5" ht="10.5" x14ac:dyDescent="0.25">
      <c r="A69" s="18" t="s">
        <v>786</v>
      </c>
      <c r="D69" s="41" t="s">
        <v>57</v>
      </c>
    </row>
  </sheetData>
  <mergeCells count="4">
    <mergeCell ref="A1:G1"/>
    <mergeCell ref="A62:B62"/>
    <mergeCell ref="A63:B63"/>
    <mergeCell ref="A64:B64"/>
  </mergeCells>
  <conditionalFormatting sqref="F2:F3 F5:F65536">
    <cfRule type="cellIs" dxfId="3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5"/>
  <sheetViews>
    <sheetView workbookViewId="0">
      <selection sqref="A1:G1"/>
    </sheetView>
  </sheetViews>
  <sheetFormatPr defaultColWidth="9.1796875" defaultRowHeight="10" x14ac:dyDescent="0.2"/>
  <cols>
    <col min="1" max="1" width="38.7265625" style="9" bestFit="1" customWidth="1"/>
    <col min="2" max="2" width="51.81640625" style="9" bestFit="1" customWidth="1"/>
    <col min="3" max="3" width="25.1796875" style="9" bestFit="1" customWidth="1"/>
    <col min="4" max="4" width="1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9" t="s">
        <v>1554</v>
      </c>
      <c r="B1" s="80"/>
      <c r="C1" s="80"/>
      <c r="D1" s="80"/>
      <c r="E1" s="80"/>
      <c r="F1" s="80"/>
      <c r="G1" s="80"/>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97</v>
      </c>
      <c r="B5" s="22"/>
      <c r="C5" s="22"/>
      <c r="D5" s="23"/>
      <c r="E5" s="24"/>
      <c r="F5" s="25"/>
      <c r="G5" s="24"/>
    </row>
    <row r="6" spans="1:7" ht="10.5" x14ac:dyDescent="0.25">
      <c r="A6" s="26" t="s">
        <v>33</v>
      </c>
      <c r="B6" s="27"/>
      <c r="C6" s="27"/>
      <c r="D6" s="28"/>
      <c r="E6" s="29"/>
      <c r="F6" s="30"/>
      <c r="G6" s="29"/>
    </row>
    <row r="7" spans="1:7" x14ac:dyDescent="0.2">
      <c r="A7" s="27" t="s">
        <v>99</v>
      </c>
      <c r="B7" s="27" t="s">
        <v>98</v>
      </c>
      <c r="C7" s="27" t="s">
        <v>100</v>
      </c>
      <c r="D7" s="31">
        <v>158000</v>
      </c>
      <c r="E7" s="29">
        <v>1870.009</v>
      </c>
      <c r="F7" s="30">
        <v>4.3847743159399801</v>
      </c>
      <c r="G7" s="29"/>
    </row>
    <row r="8" spans="1:7" x14ac:dyDescent="0.2">
      <c r="A8" s="27" t="s">
        <v>102</v>
      </c>
      <c r="B8" s="27" t="s">
        <v>101</v>
      </c>
      <c r="C8" s="27" t="s">
        <v>103</v>
      </c>
      <c r="D8" s="31">
        <v>109904</v>
      </c>
      <c r="E8" s="29">
        <v>1165.641824</v>
      </c>
      <c r="F8" s="30">
        <v>2.7331827448213502</v>
      </c>
      <c r="G8" s="29"/>
    </row>
    <row r="9" spans="1:7" x14ac:dyDescent="0.2">
      <c r="A9" s="27" t="s">
        <v>105</v>
      </c>
      <c r="B9" s="27" t="s">
        <v>104</v>
      </c>
      <c r="C9" s="27" t="s">
        <v>100</v>
      </c>
      <c r="D9" s="31">
        <v>206475</v>
      </c>
      <c r="E9" s="29">
        <v>1016.889375</v>
      </c>
      <c r="F9" s="30">
        <v>2.3843898150502301</v>
      </c>
      <c r="G9" s="29"/>
    </row>
    <row r="10" spans="1:7" x14ac:dyDescent="0.2">
      <c r="A10" s="27" t="s">
        <v>107</v>
      </c>
      <c r="B10" s="27" t="s">
        <v>106</v>
      </c>
      <c r="C10" s="27" t="s">
        <v>108</v>
      </c>
      <c r="D10" s="31">
        <v>205373</v>
      </c>
      <c r="E10" s="29">
        <v>890.80538750000005</v>
      </c>
      <c r="F10" s="30">
        <v>2.0887496175745501</v>
      </c>
      <c r="G10" s="29"/>
    </row>
    <row r="11" spans="1:7" x14ac:dyDescent="0.2">
      <c r="A11" s="27" t="s">
        <v>110</v>
      </c>
      <c r="B11" s="27" t="s">
        <v>109</v>
      </c>
      <c r="C11" s="27" t="s">
        <v>100</v>
      </c>
      <c r="D11" s="31">
        <v>53853</v>
      </c>
      <c r="E11" s="29">
        <v>833.32132200000001</v>
      </c>
      <c r="F11" s="30">
        <v>1.9539616812703899</v>
      </c>
      <c r="G11" s="29"/>
    </row>
    <row r="12" spans="1:7" x14ac:dyDescent="0.2">
      <c r="A12" s="27" t="s">
        <v>112</v>
      </c>
      <c r="B12" s="27" t="s">
        <v>111</v>
      </c>
      <c r="C12" s="27" t="s">
        <v>100</v>
      </c>
      <c r="D12" s="31">
        <v>206474</v>
      </c>
      <c r="E12" s="29">
        <v>810.61692400000004</v>
      </c>
      <c r="F12" s="30">
        <v>1.9007246855076501</v>
      </c>
      <c r="G12" s="29"/>
    </row>
    <row r="13" spans="1:7" x14ac:dyDescent="0.2">
      <c r="A13" s="27" t="s">
        <v>114</v>
      </c>
      <c r="B13" s="27" t="s">
        <v>113</v>
      </c>
      <c r="C13" s="27" t="s">
        <v>115</v>
      </c>
      <c r="D13" s="31">
        <v>79950</v>
      </c>
      <c r="E13" s="29">
        <v>622.29082500000004</v>
      </c>
      <c r="F13" s="30">
        <v>1.4591399434468499</v>
      </c>
      <c r="G13" s="29"/>
    </row>
    <row r="14" spans="1:7" x14ac:dyDescent="0.2">
      <c r="A14" s="27" t="s">
        <v>117</v>
      </c>
      <c r="B14" s="27" t="s">
        <v>116</v>
      </c>
      <c r="C14" s="27" t="s">
        <v>118</v>
      </c>
      <c r="D14" s="31">
        <v>40000</v>
      </c>
      <c r="E14" s="29">
        <v>539.02</v>
      </c>
      <c r="F14" s="30">
        <v>1.2638875276953001</v>
      </c>
      <c r="G14" s="29"/>
    </row>
    <row r="15" spans="1:7" x14ac:dyDescent="0.2">
      <c r="A15" s="27" t="s">
        <v>120</v>
      </c>
      <c r="B15" s="27" t="s">
        <v>119</v>
      </c>
      <c r="C15" s="27" t="s">
        <v>121</v>
      </c>
      <c r="D15" s="31">
        <v>190244</v>
      </c>
      <c r="E15" s="29">
        <v>439.36851799999999</v>
      </c>
      <c r="F15" s="30">
        <v>1.0302259470189801</v>
      </c>
      <c r="G15" s="29"/>
    </row>
    <row r="16" spans="1:7" x14ac:dyDescent="0.2">
      <c r="A16" s="27" t="s">
        <v>123</v>
      </c>
      <c r="B16" s="27" t="s">
        <v>122</v>
      </c>
      <c r="C16" s="27" t="s">
        <v>124</v>
      </c>
      <c r="D16" s="31">
        <v>254936</v>
      </c>
      <c r="E16" s="29">
        <v>435.04828400000002</v>
      </c>
      <c r="F16" s="30">
        <v>1.0200959149805999</v>
      </c>
      <c r="G16" s="29"/>
    </row>
    <row r="17" spans="1:7" x14ac:dyDescent="0.2">
      <c r="A17" s="27" t="s">
        <v>126</v>
      </c>
      <c r="B17" s="27" t="s">
        <v>125</v>
      </c>
      <c r="C17" s="27" t="s">
        <v>127</v>
      </c>
      <c r="D17" s="31">
        <v>60000</v>
      </c>
      <c r="E17" s="29">
        <v>423.33</v>
      </c>
      <c r="F17" s="30">
        <v>0.99261902545221603</v>
      </c>
      <c r="G17" s="29"/>
    </row>
    <row r="18" spans="1:7" x14ac:dyDescent="0.2">
      <c r="A18" s="27" t="s">
        <v>129</v>
      </c>
      <c r="B18" s="27" t="s">
        <v>128</v>
      </c>
      <c r="C18" s="27" t="s">
        <v>130</v>
      </c>
      <c r="D18" s="31">
        <v>26468</v>
      </c>
      <c r="E18" s="29">
        <v>401.440156</v>
      </c>
      <c r="F18" s="30">
        <v>0.94129198598281605</v>
      </c>
      <c r="G18" s="29"/>
    </row>
    <row r="19" spans="1:7" x14ac:dyDescent="0.2">
      <c r="A19" s="27" t="s">
        <v>132</v>
      </c>
      <c r="B19" s="27" t="s">
        <v>131</v>
      </c>
      <c r="C19" s="27" t="s">
        <v>133</v>
      </c>
      <c r="D19" s="31">
        <v>66526</v>
      </c>
      <c r="E19" s="29">
        <v>395.16444000000001</v>
      </c>
      <c r="F19" s="30">
        <v>0.92657676357964402</v>
      </c>
      <c r="G19" s="29"/>
    </row>
    <row r="20" spans="1:7" x14ac:dyDescent="0.2">
      <c r="A20" s="27" t="s">
        <v>135</v>
      </c>
      <c r="B20" s="27" t="s">
        <v>134</v>
      </c>
      <c r="C20" s="27" t="s">
        <v>121</v>
      </c>
      <c r="D20" s="31">
        <v>168573</v>
      </c>
      <c r="E20" s="29">
        <v>325.68303600000002</v>
      </c>
      <c r="F20" s="30">
        <v>0.76365761415595101</v>
      </c>
      <c r="G20" s="29"/>
    </row>
    <row r="21" spans="1:7" x14ac:dyDescent="0.2">
      <c r="A21" s="27" t="s">
        <v>137</v>
      </c>
      <c r="B21" s="27" t="s">
        <v>136</v>
      </c>
      <c r="C21" s="27" t="s">
        <v>138</v>
      </c>
      <c r="D21" s="31">
        <v>74355</v>
      </c>
      <c r="E21" s="29">
        <v>305.2644525</v>
      </c>
      <c r="F21" s="30">
        <v>0.71578036837869796</v>
      </c>
      <c r="G21" s="29"/>
    </row>
    <row r="22" spans="1:7" x14ac:dyDescent="0.2">
      <c r="A22" s="27" t="s">
        <v>140</v>
      </c>
      <c r="B22" s="27" t="s">
        <v>139</v>
      </c>
      <c r="C22" s="27" t="s">
        <v>141</v>
      </c>
      <c r="D22" s="31">
        <v>72000</v>
      </c>
      <c r="E22" s="29">
        <v>300.74400000000003</v>
      </c>
      <c r="F22" s="30">
        <v>0.70518086644131295</v>
      </c>
      <c r="G22" s="29"/>
    </row>
    <row r="23" spans="1:7" x14ac:dyDescent="0.2">
      <c r="A23" s="27" t="s">
        <v>143</v>
      </c>
      <c r="B23" s="27" t="s">
        <v>142</v>
      </c>
      <c r="C23" s="27" t="s">
        <v>144</v>
      </c>
      <c r="D23" s="31">
        <v>156244</v>
      </c>
      <c r="E23" s="29">
        <v>293.191866</v>
      </c>
      <c r="F23" s="30">
        <v>0.68747271466571402</v>
      </c>
      <c r="G23" s="29"/>
    </row>
    <row r="24" spans="1:7" x14ac:dyDescent="0.2">
      <c r="A24" s="27" t="s">
        <v>146</v>
      </c>
      <c r="B24" s="27" t="s">
        <v>145</v>
      </c>
      <c r="C24" s="27" t="s">
        <v>147</v>
      </c>
      <c r="D24" s="31">
        <v>130625</v>
      </c>
      <c r="E24" s="29">
        <v>223.36875000000001</v>
      </c>
      <c r="F24" s="30">
        <v>0.52375232310840203</v>
      </c>
      <c r="G24" s="29"/>
    </row>
    <row r="25" spans="1:7" x14ac:dyDescent="0.2">
      <c r="A25" s="27" t="s">
        <v>149</v>
      </c>
      <c r="B25" s="27" t="s">
        <v>148</v>
      </c>
      <c r="C25" s="27" t="s">
        <v>147</v>
      </c>
      <c r="D25" s="31">
        <v>221251</v>
      </c>
      <c r="E25" s="29">
        <v>193.815876</v>
      </c>
      <c r="F25" s="30">
        <v>0.45445710427394098</v>
      </c>
      <c r="G25" s="29"/>
    </row>
    <row r="26" spans="1:7" x14ac:dyDescent="0.2">
      <c r="A26" s="27" t="s">
        <v>1555</v>
      </c>
      <c r="B26" s="27" t="s">
        <v>1556</v>
      </c>
      <c r="C26" s="27" t="s">
        <v>141</v>
      </c>
      <c r="D26" s="31">
        <v>7072</v>
      </c>
      <c r="E26" s="29">
        <v>181.52763200000001</v>
      </c>
      <c r="F26" s="30">
        <v>0.42564377948288201</v>
      </c>
      <c r="G26" s="29"/>
    </row>
    <row r="27" spans="1:7" x14ac:dyDescent="0.2">
      <c r="A27" s="27" t="s">
        <v>151</v>
      </c>
      <c r="B27" s="27" t="s">
        <v>150</v>
      </c>
      <c r="C27" s="27" t="s">
        <v>100</v>
      </c>
      <c r="D27" s="31">
        <v>88509</v>
      </c>
      <c r="E27" s="29">
        <v>167.50328250000001</v>
      </c>
      <c r="F27" s="30">
        <v>0.39275965567098298</v>
      </c>
      <c r="G27" s="29"/>
    </row>
    <row r="28" spans="1:7" x14ac:dyDescent="0.2">
      <c r="A28" s="27" t="s">
        <v>153</v>
      </c>
      <c r="B28" s="27" t="s">
        <v>152</v>
      </c>
      <c r="C28" s="27" t="s">
        <v>144</v>
      </c>
      <c r="D28" s="31">
        <v>43000</v>
      </c>
      <c r="E28" s="29">
        <v>152.4135</v>
      </c>
      <c r="F28" s="30">
        <v>0.35737731754366903</v>
      </c>
      <c r="G28" s="29"/>
    </row>
    <row r="29" spans="1:7" x14ac:dyDescent="0.2">
      <c r="A29" s="27" t="s">
        <v>155</v>
      </c>
      <c r="B29" s="27" t="s">
        <v>154</v>
      </c>
      <c r="C29" s="27" t="s">
        <v>133</v>
      </c>
      <c r="D29" s="31">
        <v>4923</v>
      </c>
      <c r="E29" s="29">
        <v>142.12208699999999</v>
      </c>
      <c r="F29" s="30">
        <v>0.33324613774874201</v>
      </c>
      <c r="G29" s="29"/>
    </row>
    <row r="30" spans="1:7" x14ac:dyDescent="0.2">
      <c r="A30" s="27" t="s">
        <v>157</v>
      </c>
      <c r="B30" s="27" t="s">
        <v>156</v>
      </c>
      <c r="C30" s="27" t="s">
        <v>130</v>
      </c>
      <c r="D30" s="31">
        <v>27182</v>
      </c>
      <c r="E30" s="29">
        <v>139.89216300000001</v>
      </c>
      <c r="F30" s="30">
        <v>0.32801743912659798</v>
      </c>
      <c r="G30" s="29"/>
    </row>
    <row r="31" spans="1:7" x14ac:dyDescent="0.2">
      <c r="A31" s="27" t="s">
        <v>159</v>
      </c>
      <c r="B31" s="27" t="s">
        <v>158</v>
      </c>
      <c r="C31" s="27" t="s">
        <v>160</v>
      </c>
      <c r="D31" s="31">
        <v>32100</v>
      </c>
      <c r="E31" s="29">
        <v>139.34610000000001</v>
      </c>
      <c r="F31" s="30">
        <v>0.32673703725832598</v>
      </c>
      <c r="G31" s="29"/>
    </row>
    <row r="32" spans="1:7" x14ac:dyDescent="0.2">
      <c r="A32" s="27" t="s">
        <v>162</v>
      </c>
      <c r="B32" s="27" t="s">
        <v>161</v>
      </c>
      <c r="C32" s="27" t="s">
        <v>130</v>
      </c>
      <c r="D32" s="31">
        <v>15000</v>
      </c>
      <c r="E32" s="29">
        <v>138.93</v>
      </c>
      <c r="F32" s="30">
        <v>0.32576137104877101</v>
      </c>
      <c r="G32" s="29"/>
    </row>
    <row r="33" spans="1:9" x14ac:dyDescent="0.2">
      <c r="A33" s="27" t="s">
        <v>164</v>
      </c>
      <c r="B33" s="27" t="s">
        <v>163</v>
      </c>
      <c r="C33" s="27" t="s">
        <v>133</v>
      </c>
      <c r="D33" s="31">
        <v>23121</v>
      </c>
      <c r="E33" s="29">
        <v>105.31615499999999</v>
      </c>
      <c r="F33" s="30">
        <v>0.24694403689904901</v>
      </c>
      <c r="G33" s="29"/>
    </row>
    <row r="34" spans="1:9" x14ac:dyDescent="0.2">
      <c r="A34" s="27" t="s">
        <v>166</v>
      </c>
      <c r="B34" s="27" t="s">
        <v>165</v>
      </c>
      <c r="C34" s="27" t="s">
        <v>167</v>
      </c>
      <c r="D34" s="31">
        <v>65910</v>
      </c>
      <c r="E34" s="29">
        <v>101.04003</v>
      </c>
      <c r="F34" s="30">
        <v>0.236917431106377</v>
      </c>
      <c r="G34" s="29"/>
    </row>
    <row r="35" spans="1:9" x14ac:dyDescent="0.2">
      <c r="A35" s="27" t="s">
        <v>169</v>
      </c>
      <c r="B35" s="27" t="s">
        <v>168</v>
      </c>
      <c r="C35" s="27" t="s">
        <v>133</v>
      </c>
      <c r="D35" s="31">
        <v>74940</v>
      </c>
      <c r="E35" s="29">
        <v>99.407910000000001</v>
      </c>
      <c r="F35" s="30">
        <v>0.23309045601880701</v>
      </c>
      <c r="G35" s="29"/>
    </row>
    <row r="36" spans="1:9" x14ac:dyDescent="0.2">
      <c r="A36" s="27" t="s">
        <v>171</v>
      </c>
      <c r="B36" s="27" t="s">
        <v>170</v>
      </c>
      <c r="C36" s="27" t="s">
        <v>100</v>
      </c>
      <c r="D36" s="31">
        <v>301582</v>
      </c>
      <c r="E36" s="29">
        <v>97.863359000000003</v>
      </c>
      <c r="F36" s="30">
        <v>0.22946881165535199</v>
      </c>
      <c r="G36" s="29"/>
    </row>
    <row r="37" spans="1:9" x14ac:dyDescent="0.2">
      <c r="A37" s="27" t="s">
        <v>173</v>
      </c>
      <c r="B37" s="27" t="s">
        <v>172</v>
      </c>
      <c r="C37" s="27" t="s">
        <v>174</v>
      </c>
      <c r="D37" s="31">
        <v>153047</v>
      </c>
      <c r="E37" s="29">
        <v>56.244772500000003</v>
      </c>
      <c r="F37" s="30">
        <v>0.13188205717934401</v>
      </c>
      <c r="G37" s="29"/>
    </row>
    <row r="38" spans="1:9" x14ac:dyDescent="0.2">
      <c r="A38" s="27" t="s">
        <v>176</v>
      </c>
      <c r="B38" s="27" t="s">
        <v>175</v>
      </c>
      <c r="C38" s="27" t="s">
        <v>167</v>
      </c>
      <c r="D38" s="31">
        <v>7703</v>
      </c>
      <c r="E38" s="29">
        <v>7.3525134999999997</v>
      </c>
      <c r="F38" s="30">
        <v>1.7240084059703498E-2</v>
      </c>
      <c r="G38" s="29"/>
    </row>
    <row r="39" spans="1:9" x14ac:dyDescent="0.2">
      <c r="A39" s="27" t="s">
        <v>178</v>
      </c>
      <c r="B39" s="27" t="s">
        <v>177</v>
      </c>
      <c r="C39" s="27" t="s">
        <v>179</v>
      </c>
      <c r="D39" s="31">
        <v>984</v>
      </c>
      <c r="E39" s="29">
        <v>1.1237280000000001</v>
      </c>
      <c r="F39" s="30">
        <v>2.6349037210529999E-3</v>
      </c>
      <c r="G39" s="29"/>
    </row>
    <row r="40" spans="1:9" ht="10.5" x14ac:dyDescent="0.25">
      <c r="A40" s="26" t="s">
        <v>43</v>
      </c>
      <c r="B40" s="26"/>
      <c r="C40" s="26"/>
      <c r="D40" s="32"/>
      <c r="E40" s="33">
        <f>SUM(E7:E39)</f>
        <v>13015.097268500003</v>
      </c>
      <c r="F40" s="34">
        <f>SUM(F7:F39)</f>
        <v>30.517641477864228</v>
      </c>
      <c r="G40" s="33"/>
      <c r="H40" s="18"/>
      <c r="I40" s="18"/>
    </row>
    <row r="41" spans="1:9" x14ac:dyDescent="0.2">
      <c r="A41" s="27"/>
      <c r="B41" s="27"/>
      <c r="C41" s="27"/>
      <c r="D41" s="28"/>
      <c r="E41" s="29"/>
      <c r="F41" s="30"/>
      <c r="G41" s="29"/>
    </row>
    <row r="42" spans="1:9" ht="10.5" x14ac:dyDescent="0.25">
      <c r="A42" s="26" t="s">
        <v>32</v>
      </c>
      <c r="B42" s="27"/>
      <c r="C42" s="27"/>
      <c r="D42" s="28"/>
      <c r="E42" s="29"/>
      <c r="F42" s="30"/>
      <c r="G42" s="29"/>
    </row>
    <row r="43" spans="1:9" ht="10.5" x14ac:dyDescent="0.25">
      <c r="A43" s="26" t="s">
        <v>33</v>
      </c>
      <c r="B43" s="27"/>
      <c r="C43" s="27"/>
      <c r="D43" s="28"/>
      <c r="E43" s="29"/>
      <c r="F43" s="30"/>
      <c r="G43" s="29"/>
    </row>
    <row r="44" spans="1:9" x14ac:dyDescent="0.2">
      <c r="A44" s="27" t="s">
        <v>181</v>
      </c>
      <c r="B44" s="27" t="s">
        <v>180</v>
      </c>
      <c r="C44" s="27" t="s">
        <v>42</v>
      </c>
      <c r="D44" s="31">
        <v>200</v>
      </c>
      <c r="E44" s="29">
        <v>2087.3580000000002</v>
      </c>
      <c r="F44" s="30">
        <v>4.8944116026028999</v>
      </c>
      <c r="G44" s="29">
        <v>5.0199999999999996</v>
      </c>
    </row>
    <row r="45" spans="1:9" x14ac:dyDescent="0.2">
      <c r="A45" s="27" t="s">
        <v>1557</v>
      </c>
      <c r="B45" s="27" t="s">
        <v>1558</v>
      </c>
      <c r="C45" s="27" t="s">
        <v>42</v>
      </c>
      <c r="D45" s="31">
        <v>150</v>
      </c>
      <c r="E45" s="29">
        <v>1690.6575</v>
      </c>
      <c r="F45" s="30">
        <v>3.96423310425314</v>
      </c>
      <c r="G45" s="29">
        <v>5.29</v>
      </c>
    </row>
    <row r="46" spans="1:9" x14ac:dyDescent="0.2">
      <c r="A46" s="27" t="s">
        <v>987</v>
      </c>
      <c r="B46" s="27" t="s">
        <v>988</v>
      </c>
      <c r="C46" s="27" t="s">
        <v>42</v>
      </c>
      <c r="D46" s="31">
        <v>65</v>
      </c>
      <c r="E46" s="29">
        <v>729.88824999999997</v>
      </c>
      <c r="F46" s="30">
        <v>1.7114330744431601</v>
      </c>
      <c r="G46" s="29">
        <v>6.84</v>
      </c>
    </row>
    <row r="47" spans="1:9" x14ac:dyDescent="0.2">
      <c r="A47" s="27" t="s">
        <v>60</v>
      </c>
      <c r="B47" s="27" t="s">
        <v>59</v>
      </c>
      <c r="C47" s="27" t="s">
        <v>39</v>
      </c>
      <c r="D47" s="31">
        <v>60</v>
      </c>
      <c r="E47" s="29">
        <v>581.01</v>
      </c>
      <c r="F47" s="30">
        <v>1.3623451680201999</v>
      </c>
      <c r="G47" s="29">
        <v>12.0748</v>
      </c>
    </row>
    <row r="48" spans="1:9" x14ac:dyDescent="0.2">
      <c r="A48" s="27" t="s">
        <v>925</v>
      </c>
      <c r="B48" s="27" t="s">
        <v>926</v>
      </c>
      <c r="C48" s="27" t="s">
        <v>42</v>
      </c>
      <c r="D48" s="31">
        <v>45</v>
      </c>
      <c r="E48" s="29">
        <v>497.64555000000001</v>
      </c>
      <c r="F48" s="30">
        <v>1.1668732215095401</v>
      </c>
      <c r="G48" s="29">
        <v>6.1143999999999998</v>
      </c>
    </row>
    <row r="49" spans="1:9" x14ac:dyDescent="0.2">
      <c r="A49" s="27" t="s">
        <v>35</v>
      </c>
      <c r="B49" s="27" t="s">
        <v>34</v>
      </c>
      <c r="C49" s="27" t="s">
        <v>36</v>
      </c>
      <c r="D49" s="31">
        <v>50</v>
      </c>
      <c r="E49" s="29">
        <v>497.226</v>
      </c>
      <c r="F49" s="30">
        <v>1.16588946578202</v>
      </c>
      <c r="G49" s="29">
        <v>10.626099999999999</v>
      </c>
    </row>
    <row r="50" spans="1:9" x14ac:dyDescent="0.2">
      <c r="A50" s="27" t="s">
        <v>94</v>
      </c>
      <c r="B50" s="27" t="s">
        <v>93</v>
      </c>
      <c r="C50" s="27" t="s">
        <v>42</v>
      </c>
      <c r="D50" s="31">
        <v>30</v>
      </c>
      <c r="E50" s="29">
        <v>337.56150000000002</v>
      </c>
      <c r="F50" s="30">
        <v>0.79151009179644305</v>
      </c>
      <c r="G50" s="29">
        <v>6.84</v>
      </c>
    </row>
    <row r="51" spans="1:9" x14ac:dyDescent="0.2">
      <c r="A51" s="27" t="s">
        <v>96</v>
      </c>
      <c r="B51" s="27" t="s">
        <v>95</v>
      </c>
      <c r="C51" s="27" t="s">
        <v>42</v>
      </c>
      <c r="D51" s="31">
        <v>5</v>
      </c>
      <c r="E51" s="29">
        <v>56.363799999999998</v>
      </c>
      <c r="F51" s="30">
        <v>0.132161151410917</v>
      </c>
      <c r="G51" s="29">
        <v>6.8273000000000001</v>
      </c>
    </row>
    <row r="52" spans="1:9" ht="10.5" x14ac:dyDescent="0.25">
      <c r="A52" s="26" t="s">
        <v>43</v>
      </c>
      <c r="B52" s="26"/>
      <c r="C52" s="26"/>
      <c r="D52" s="32"/>
      <c r="E52" s="33">
        <f>SUM(E43:E51)</f>
        <v>6477.7106000000003</v>
      </c>
      <c r="F52" s="34">
        <f>SUM(F43:F51)</f>
        <v>15.188856879818323</v>
      </c>
      <c r="G52" s="33"/>
      <c r="H52" s="18"/>
      <c r="I52" s="18"/>
    </row>
    <row r="53" spans="1:9" x14ac:dyDescent="0.2">
      <c r="A53" s="27"/>
      <c r="B53" s="27"/>
      <c r="C53" s="27"/>
      <c r="D53" s="28"/>
      <c r="E53" s="29"/>
      <c r="F53" s="30"/>
      <c r="G53" s="29"/>
    </row>
    <row r="54" spans="1:9" ht="10.5" x14ac:dyDescent="0.25">
      <c r="A54" s="26" t="s">
        <v>44</v>
      </c>
      <c r="B54" s="27"/>
      <c r="C54" s="27"/>
      <c r="D54" s="28"/>
      <c r="E54" s="29"/>
      <c r="F54" s="30"/>
      <c r="G54" s="29"/>
    </row>
    <row r="55" spans="1:9" x14ac:dyDescent="0.2">
      <c r="A55" s="27" t="s">
        <v>46</v>
      </c>
      <c r="B55" s="27" t="s">
        <v>45</v>
      </c>
      <c r="C55" s="27" t="s">
        <v>47</v>
      </c>
      <c r="D55" s="31">
        <v>14</v>
      </c>
      <c r="E55" s="29">
        <v>1932.9156</v>
      </c>
      <c r="F55" s="30">
        <v>4.5322769450626801</v>
      </c>
      <c r="G55" s="29">
        <v>10.46</v>
      </c>
    </row>
    <row r="56" spans="1:9" ht="10.5" x14ac:dyDescent="0.25">
      <c r="A56" s="26" t="s">
        <v>43</v>
      </c>
      <c r="B56" s="26"/>
      <c r="C56" s="26"/>
      <c r="D56" s="32"/>
      <c r="E56" s="33">
        <f>SUM(E54:E55)</f>
        <v>1932.9156</v>
      </c>
      <c r="F56" s="34">
        <f>SUM(F54:F55)</f>
        <v>4.5322769450626801</v>
      </c>
      <c r="G56" s="33"/>
      <c r="H56" s="18"/>
      <c r="I56" s="18"/>
    </row>
    <row r="57" spans="1:9" x14ac:dyDescent="0.2">
      <c r="A57" s="27"/>
      <c r="B57" s="27"/>
      <c r="C57" s="27"/>
      <c r="D57" s="28"/>
      <c r="E57" s="29"/>
      <c r="F57" s="30"/>
      <c r="G57" s="29"/>
    </row>
    <row r="58" spans="1:9" ht="10.5" x14ac:dyDescent="0.25">
      <c r="A58" s="26" t="s">
        <v>62</v>
      </c>
      <c r="B58" s="27"/>
      <c r="C58" s="27"/>
      <c r="D58" s="28"/>
      <c r="E58" s="29"/>
      <c r="F58" s="30"/>
      <c r="G58" s="29"/>
    </row>
    <row r="59" spans="1:9" ht="10.5" x14ac:dyDescent="0.25">
      <c r="A59" s="26" t="s">
        <v>63</v>
      </c>
      <c r="B59" s="27"/>
      <c r="C59" s="27"/>
      <c r="D59" s="28"/>
      <c r="E59" s="29"/>
      <c r="F59" s="30"/>
      <c r="G59" s="29"/>
    </row>
    <row r="60" spans="1:9" x14ac:dyDescent="0.2">
      <c r="A60" s="27" t="s">
        <v>65</v>
      </c>
      <c r="B60" s="27" t="s">
        <v>64</v>
      </c>
      <c r="C60" s="27" t="s">
        <v>66</v>
      </c>
      <c r="D60" s="31">
        <v>2000</v>
      </c>
      <c r="E60" s="29">
        <v>1981.6579999999999</v>
      </c>
      <c r="F60" s="30">
        <v>4.6465675306252496</v>
      </c>
      <c r="G60" s="29">
        <v>3.28</v>
      </c>
    </row>
    <row r="61" spans="1:9" x14ac:dyDescent="0.2">
      <c r="A61" s="27" t="s">
        <v>793</v>
      </c>
      <c r="B61" s="27" t="s">
        <v>794</v>
      </c>
      <c r="C61" s="27" t="s">
        <v>67</v>
      </c>
      <c r="D61" s="31">
        <v>500</v>
      </c>
      <c r="E61" s="29">
        <v>494.27050000000003</v>
      </c>
      <c r="F61" s="30">
        <v>1.15895944539669</v>
      </c>
      <c r="G61" s="29">
        <v>3.28</v>
      </c>
    </row>
    <row r="62" spans="1:9" ht="10.5" x14ac:dyDescent="0.25">
      <c r="A62" s="26" t="s">
        <v>43</v>
      </c>
      <c r="B62" s="26"/>
      <c r="C62" s="26"/>
      <c r="D62" s="32"/>
      <c r="E62" s="33">
        <f>SUM(E59:E61)</f>
        <v>2475.9285</v>
      </c>
      <c r="F62" s="34">
        <f>SUM(F59:F61)</f>
        <v>5.8055269760219392</v>
      </c>
      <c r="G62" s="33"/>
      <c r="H62" s="18"/>
      <c r="I62" s="18"/>
    </row>
    <row r="63" spans="1:9" x14ac:dyDescent="0.2">
      <c r="A63" s="27"/>
      <c r="B63" s="27"/>
      <c r="C63" s="27"/>
      <c r="D63" s="28"/>
      <c r="E63" s="29"/>
      <c r="F63" s="30"/>
      <c r="G63" s="29"/>
    </row>
    <row r="64" spans="1:9" ht="10.5" x14ac:dyDescent="0.25">
      <c r="A64" s="26" t="s">
        <v>79</v>
      </c>
      <c r="B64" s="27"/>
      <c r="C64" s="27"/>
      <c r="D64" s="28"/>
      <c r="E64" s="29"/>
      <c r="F64" s="30"/>
      <c r="G64" s="29"/>
    </row>
    <row r="65" spans="1:9" x14ac:dyDescent="0.2">
      <c r="A65" s="27" t="s">
        <v>81</v>
      </c>
      <c r="B65" s="27" t="s">
        <v>80</v>
      </c>
      <c r="C65" s="27" t="s">
        <v>82</v>
      </c>
      <c r="D65" s="31">
        <v>7400000</v>
      </c>
      <c r="E65" s="29">
        <v>7373.6189999999997</v>
      </c>
      <c r="F65" s="30">
        <v>17.289571978919401</v>
      </c>
      <c r="G65" s="29">
        <v>6.2278000000000002</v>
      </c>
    </row>
    <row r="66" spans="1:9" x14ac:dyDescent="0.2">
      <c r="A66" s="27" t="s">
        <v>86</v>
      </c>
      <c r="B66" s="27" t="s">
        <v>85</v>
      </c>
      <c r="C66" s="27" t="s">
        <v>82</v>
      </c>
      <c r="D66" s="31">
        <v>2600000</v>
      </c>
      <c r="E66" s="29">
        <v>2823.1268</v>
      </c>
      <c r="F66" s="30">
        <v>6.6196333190277903</v>
      </c>
      <c r="G66" s="29">
        <v>5.4256000000000002</v>
      </c>
    </row>
    <row r="67" spans="1:9" x14ac:dyDescent="0.2">
      <c r="A67" s="27" t="s">
        <v>953</v>
      </c>
      <c r="B67" s="27" t="s">
        <v>954</v>
      </c>
      <c r="C67" s="27" t="s">
        <v>82</v>
      </c>
      <c r="D67" s="31">
        <v>2600000</v>
      </c>
      <c r="E67" s="29">
        <v>2751.0079999999998</v>
      </c>
      <c r="F67" s="30">
        <v>6.4505300356016599</v>
      </c>
      <c r="G67" s="29">
        <v>5.7127999999999997</v>
      </c>
    </row>
    <row r="68" spans="1:9" x14ac:dyDescent="0.2">
      <c r="A68" s="27" t="s">
        <v>1004</v>
      </c>
      <c r="B68" s="27" t="s">
        <v>1005</v>
      </c>
      <c r="C68" s="27" t="s">
        <v>82</v>
      </c>
      <c r="D68" s="31">
        <v>2125000</v>
      </c>
      <c r="E68" s="29">
        <v>2289.5706249999998</v>
      </c>
      <c r="F68" s="30">
        <v>5.3685573016122703</v>
      </c>
      <c r="G68" s="29">
        <v>5.8335999999999997</v>
      </c>
    </row>
    <row r="69" spans="1:9" x14ac:dyDescent="0.2">
      <c r="A69" s="27" t="s">
        <v>183</v>
      </c>
      <c r="B69" s="27" t="s">
        <v>182</v>
      </c>
      <c r="C69" s="27" t="s">
        <v>82</v>
      </c>
      <c r="D69" s="31">
        <v>900000</v>
      </c>
      <c r="E69" s="29">
        <v>940.21109999999999</v>
      </c>
      <c r="F69" s="30">
        <v>2.2045955302042302</v>
      </c>
      <c r="G69" s="29">
        <v>4.9382999999999999</v>
      </c>
    </row>
    <row r="70" spans="1:9" x14ac:dyDescent="0.2">
      <c r="A70" s="27" t="s">
        <v>84</v>
      </c>
      <c r="B70" s="27" t="s">
        <v>83</v>
      </c>
      <c r="C70" s="27" t="s">
        <v>82</v>
      </c>
      <c r="D70" s="31">
        <v>800000</v>
      </c>
      <c r="E70" s="29">
        <v>793.524</v>
      </c>
      <c r="F70" s="30">
        <v>1.8606454056007</v>
      </c>
      <c r="G70" s="29">
        <v>5.8788</v>
      </c>
    </row>
    <row r="71" spans="1:9" x14ac:dyDescent="0.2">
      <c r="A71" s="27" t="s">
        <v>88</v>
      </c>
      <c r="B71" s="27" t="s">
        <v>87</v>
      </c>
      <c r="C71" s="27" t="s">
        <v>82</v>
      </c>
      <c r="D71" s="31">
        <v>400000</v>
      </c>
      <c r="E71" s="29">
        <v>432.05</v>
      </c>
      <c r="F71" s="30">
        <v>1.0130655751934201</v>
      </c>
      <c r="G71" s="29">
        <v>4.6284000000000001</v>
      </c>
    </row>
    <row r="72" spans="1:9" x14ac:dyDescent="0.2">
      <c r="A72" s="27" t="s">
        <v>90</v>
      </c>
      <c r="B72" s="27" t="s">
        <v>89</v>
      </c>
      <c r="C72" s="27" t="s">
        <v>82</v>
      </c>
      <c r="D72" s="31">
        <v>100000</v>
      </c>
      <c r="E72" s="29">
        <v>100.21250000000001</v>
      </c>
      <c r="F72" s="30">
        <v>0.234977048846361</v>
      </c>
      <c r="G72" s="29">
        <v>5.1661999999999999</v>
      </c>
    </row>
    <row r="73" spans="1:9" ht="10.5" x14ac:dyDescent="0.25">
      <c r="A73" s="26" t="s">
        <v>43</v>
      </c>
      <c r="B73" s="26"/>
      <c r="C73" s="26"/>
      <c r="D73" s="32"/>
      <c r="E73" s="33">
        <f>SUM(E65:E72)</f>
        <v>17503.322025000001</v>
      </c>
      <c r="F73" s="34">
        <f>SUM(F65:F72)</f>
        <v>41.041576195005838</v>
      </c>
      <c r="G73" s="33"/>
      <c r="H73" s="18"/>
      <c r="I73" s="18"/>
    </row>
    <row r="74" spans="1:9" x14ac:dyDescent="0.2">
      <c r="A74" s="27"/>
      <c r="B74" s="27"/>
      <c r="C74" s="27"/>
      <c r="D74" s="28"/>
      <c r="E74" s="29"/>
      <c r="F74" s="30"/>
      <c r="G74" s="29"/>
    </row>
    <row r="75" spans="1:9" ht="10.5" x14ac:dyDescent="0.25">
      <c r="A75" s="26" t="s">
        <v>48</v>
      </c>
      <c r="B75" s="26"/>
      <c r="C75" s="26"/>
      <c r="D75" s="32"/>
      <c r="E75" s="33">
        <f>E40+E52+E56+E62+E73</f>
        <v>41404.973993500003</v>
      </c>
      <c r="F75" s="34">
        <f>F40+F52+F56+F62+F73</f>
        <v>97.085878473772993</v>
      </c>
      <c r="G75" s="33"/>
      <c r="H75" s="18"/>
      <c r="I75" s="18"/>
    </row>
    <row r="76" spans="1:9" ht="10.5" x14ac:dyDescent="0.25">
      <c r="A76" s="26"/>
      <c r="B76" s="26"/>
      <c r="C76" s="26"/>
      <c r="D76" s="32"/>
      <c r="E76" s="33"/>
      <c r="F76" s="34"/>
      <c r="G76" s="33"/>
      <c r="H76" s="18"/>
      <c r="I76" s="18"/>
    </row>
    <row r="77" spans="1:9" ht="10.5" x14ac:dyDescent="0.25">
      <c r="A77" s="26" t="s">
        <v>50</v>
      </c>
      <c r="B77" s="26"/>
      <c r="C77" s="26"/>
      <c r="D77" s="32"/>
      <c r="E77" s="33">
        <f>E79-(E40+E52+E56+E62+E73)</f>
        <v>1242.8082013999956</v>
      </c>
      <c r="F77" s="34">
        <f>F79-(F40+F52+F56+F62+F73)</f>
        <v>2.9141215262270066</v>
      </c>
      <c r="G77" s="33"/>
      <c r="H77" s="18"/>
      <c r="I77" s="18"/>
    </row>
    <row r="78" spans="1:9" ht="10.5" x14ac:dyDescent="0.25">
      <c r="A78" s="26"/>
      <c r="B78" s="26"/>
      <c r="C78" s="26"/>
      <c r="D78" s="32"/>
      <c r="E78" s="33"/>
      <c r="F78" s="34"/>
      <c r="G78" s="33"/>
      <c r="H78" s="18"/>
      <c r="I78" s="18"/>
    </row>
    <row r="79" spans="1:9" ht="10.5" x14ac:dyDescent="0.25">
      <c r="A79" s="35" t="s">
        <v>49</v>
      </c>
      <c r="B79" s="35"/>
      <c r="C79" s="35"/>
      <c r="D79" s="36"/>
      <c r="E79" s="37">
        <v>42647.782194899999</v>
      </c>
      <c r="F79" s="38">
        <v>100</v>
      </c>
      <c r="G79" s="37"/>
      <c r="H79" s="18"/>
      <c r="I79" s="18"/>
    </row>
    <row r="80" spans="1:9" ht="10.5" x14ac:dyDescent="0.25">
      <c r="F80" s="20" t="s">
        <v>61</v>
      </c>
    </row>
    <row r="81" spans="1:5" ht="10.5" x14ac:dyDescent="0.25">
      <c r="A81" s="18" t="s">
        <v>766</v>
      </c>
    </row>
    <row r="83" spans="1:5" ht="10.5" x14ac:dyDescent="0.25">
      <c r="A83" s="18" t="s">
        <v>51</v>
      </c>
    </row>
    <row r="84" spans="1:5" ht="10.5" x14ac:dyDescent="0.25">
      <c r="A84" s="18" t="s">
        <v>52</v>
      </c>
    </row>
    <row r="85" spans="1:5" ht="10.5" x14ac:dyDescent="0.25">
      <c r="A85" s="18" t="s">
        <v>53</v>
      </c>
      <c r="B85" s="18"/>
      <c r="C85" s="39" t="s">
        <v>55</v>
      </c>
      <c r="D85" s="19" t="s">
        <v>54</v>
      </c>
    </row>
    <row r="86" spans="1:5" x14ac:dyDescent="0.2">
      <c r="A86" s="9" t="s">
        <v>71</v>
      </c>
      <c r="C86" s="40">
        <v>127.52330000000001</v>
      </c>
      <c r="D86" s="40">
        <v>135.84790000000001</v>
      </c>
    </row>
    <row r="87" spans="1:5" x14ac:dyDescent="0.2">
      <c r="A87" s="9" t="s">
        <v>77</v>
      </c>
      <c r="C87" s="40">
        <v>15.731</v>
      </c>
      <c r="D87" s="40">
        <v>16.757899999999999</v>
      </c>
    </row>
    <row r="88" spans="1:5" x14ac:dyDescent="0.2">
      <c r="A88" s="9" t="s">
        <v>74</v>
      </c>
      <c r="C88" s="40">
        <v>134.26849999999999</v>
      </c>
      <c r="D88" s="40">
        <v>143.57329999999999</v>
      </c>
    </row>
    <row r="89" spans="1:5" x14ac:dyDescent="0.2">
      <c r="A89" s="9" t="s">
        <v>78</v>
      </c>
      <c r="C89" s="40">
        <v>16.785299999999999</v>
      </c>
      <c r="D89" s="40">
        <v>17.9453</v>
      </c>
    </row>
    <row r="91" spans="1:5" ht="10.5" x14ac:dyDescent="0.25">
      <c r="A91" s="18" t="s">
        <v>56</v>
      </c>
      <c r="D91" s="41" t="s">
        <v>57</v>
      </c>
    </row>
    <row r="93" spans="1:5" ht="10.5" x14ac:dyDescent="0.25">
      <c r="A93" s="18" t="s">
        <v>1559</v>
      </c>
      <c r="D93" s="71">
        <v>6.5661646394188296</v>
      </c>
      <c r="E93" s="13" t="s">
        <v>58</v>
      </c>
    </row>
    <row r="95" spans="1:5" ht="10.5" x14ac:dyDescent="0.25">
      <c r="A95" s="18" t="s">
        <v>786</v>
      </c>
      <c r="D95" s="41" t="s">
        <v>57</v>
      </c>
    </row>
  </sheetData>
  <mergeCells count="1">
    <mergeCell ref="A1:G1"/>
  </mergeCells>
  <conditionalFormatting sqref="F2:F3 F5:F65536">
    <cfRule type="cellIs" dxfId="3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23"/>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5.1796875" style="9" bestFit="1" customWidth="1"/>
    <col min="4" max="4" width="1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9" t="s">
        <v>1560</v>
      </c>
      <c r="B1" s="80"/>
      <c r="C1" s="80"/>
      <c r="D1" s="80"/>
      <c r="E1" s="80"/>
      <c r="F1" s="80"/>
      <c r="G1" s="80"/>
    </row>
    <row r="2" spans="1:7" s="1" customFormat="1" ht="11.5" x14ac:dyDescent="0.25">
      <c r="A2" s="58" t="s">
        <v>1010</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97</v>
      </c>
      <c r="B5" s="22"/>
      <c r="C5" s="22"/>
      <c r="D5" s="23"/>
      <c r="E5" s="24"/>
      <c r="F5" s="25"/>
      <c r="G5" s="24"/>
    </row>
    <row r="6" spans="1:7" ht="10.5" x14ac:dyDescent="0.25">
      <c r="A6" s="26" t="s">
        <v>33</v>
      </c>
      <c r="B6" s="27"/>
      <c r="C6" s="27"/>
      <c r="D6" s="28"/>
      <c r="E6" s="29"/>
      <c r="F6" s="30"/>
      <c r="G6" s="29"/>
    </row>
    <row r="7" spans="1:7" x14ac:dyDescent="0.2">
      <c r="A7" s="27" t="s">
        <v>105</v>
      </c>
      <c r="B7" s="27" t="s">
        <v>104</v>
      </c>
      <c r="C7" s="27" t="s">
        <v>100</v>
      </c>
      <c r="D7" s="31">
        <v>85488</v>
      </c>
      <c r="E7" s="29">
        <v>421.02839999999998</v>
      </c>
      <c r="F7" s="30">
        <v>2.1973140083129601</v>
      </c>
      <c r="G7" s="29"/>
    </row>
    <row r="8" spans="1:7" x14ac:dyDescent="0.2">
      <c r="A8" s="27" t="s">
        <v>102</v>
      </c>
      <c r="B8" s="27" t="s">
        <v>101</v>
      </c>
      <c r="C8" s="27" t="s">
        <v>103</v>
      </c>
      <c r="D8" s="31">
        <v>38838</v>
      </c>
      <c r="E8" s="29">
        <v>411.91582799999998</v>
      </c>
      <c r="F8" s="30">
        <v>2.14975621385691</v>
      </c>
      <c r="G8" s="29"/>
    </row>
    <row r="9" spans="1:7" x14ac:dyDescent="0.2">
      <c r="A9" s="27" t="s">
        <v>99</v>
      </c>
      <c r="B9" s="27" t="s">
        <v>98</v>
      </c>
      <c r="C9" s="27" t="s">
        <v>100</v>
      </c>
      <c r="D9" s="31">
        <v>22986</v>
      </c>
      <c r="E9" s="29">
        <v>272.05080299999997</v>
      </c>
      <c r="F9" s="30">
        <v>1.4198116811233901</v>
      </c>
      <c r="G9" s="29"/>
    </row>
    <row r="10" spans="1:7" x14ac:dyDescent="0.2">
      <c r="A10" s="27" t="s">
        <v>112</v>
      </c>
      <c r="B10" s="27" t="s">
        <v>111</v>
      </c>
      <c r="C10" s="27" t="s">
        <v>100</v>
      </c>
      <c r="D10" s="31">
        <v>60374</v>
      </c>
      <c r="E10" s="29">
        <v>237.028324</v>
      </c>
      <c r="F10" s="30">
        <v>1.23703212584268</v>
      </c>
      <c r="G10" s="29"/>
    </row>
    <row r="11" spans="1:7" x14ac:dyDescent="0.2">
      <c r="A11" s="27" t="s">
        <v>126</v>
      </c>
      <c r="B11" s="27" t="s">
        <v>125</v>
      </c>
      <c r="C11" s="27" t="s">
        <v>127</v>
      </c>
      <c r="D11" s="31">
        <v>32000</v>
      </c>
      <c r="E11" s="29">
        <v>225.77600000000001</v>
      </c>
      <c r="F11" s="30">
        <v>1.1783071344851499</v>
      </c>
      <c r="G11" s="29"/>
    </row>
    <row r="12" spans="1:7" x14ac:dyDescent="0.2">
      <c r="A12" s="27" t="s">
        <v>107</v>
      </c>
      <c r="B12" s="27" t="s">
        <v>106</v>
      </c>
      <c r="C12" s="27" t="s">
        <v>108</v>
      </c>
      <c r="D12" s="31">
        <v>48903</v>
      </c>
      <c r="E12" s="29">
        <v>212.11676249999999</v>
      </c>
      <c r="F12" s="30">
        <v>1.10702065143169</v>
      </c>
      <c r="G12" s="29"/>
    </row>
    <row r="13" spans="1:7" x14ac:dyDescent="0.2">
      <c r="A13" s="27" t="s">
        <v>185</v>
      </c>
      <c r="B13" s="27" t="s">
        <v>184</v>
      </c>
      <c r="C13" s="27" t="s">
        <v>141</v>
      </c>
      <c r="D13" s="31">
        <v>4300</v>
      </c>
      <c r="E13" s="29">
        <v>210.21195</v>
      </c>
      <c r="F13" s="30">
        <v>1.0970795852483699</v>
      </c>
      <c r="G13" s="29"/>
    </row>
    <row r="14" spans="1:7" x14ac:dyDescent="0.2">
      <c r="A14" s="27" t="s">
        <v>135</v>
      </c>
      <c r="B14" s="27" t="s">
        <v>134</v>
      </c>
      <c r="C14" s="27" t="s">
        <v>121</v>
      </c>
      <c r="D14" s="31">
        <v>105586</v>
      </c>
      <c r="E14" s="29">
        <v>203.992152</v>
      </c>
      <c r="F14" s="30">
        <v>1.0646189501124099</v>
      </c>
      <c r="G14" s="29"/>
    </row>
    <row r="15" spans="1:7" x14ac:dyDescent="0.2">
      <c r="A15" s="27" t="s">
        <v>117</v>
      </c>
      <c r="B15" s="27" t="s">
        <v>116</v>
      </c>
      <c r="C15" s="27" t="s">
        <v>118</v>
      </c>
      <c r="D15" s="31">
        <v>15000</v>
      </c>
      <c r="E15" s="29">
        <v>202.13249999999999</v>
      </c>
      <c r="F15" s="30">
        <v>1.05491357301626</v>
      </c>
      <c r="G15" s="29"/>
    </row>
    <row r="16" spans="1:7" x14ac:dyDescent="0.2">
      <c r="A16" s="27" t="s">
        <v>110</v>
      </c>
      <c r="B16" s="27" t="s">
        <v>109</v>
      </c>
      <c r="C16" s="27" t="s">
        <v>100</v>
      </c>
      <c r="D16" s="31">
        <v>12909</v>
      </c>
      <c r="E16" s="29">
        <v>199.75386599999999</v>
      </c>
      <c r="F16" s="30">
        <v>1.0424996698001101</v>
      </c>
      <c r="G16" s="29"/>
    </row>
    <row r="17" spans="1:7" x14ac:dyDescent="0.2">
      <c r="A17" s="27" t="s">
        <v>146</v>
      </c>
      <c r="B17" s="27" t="s">
        <v>145</v>
      </c>
      <c r="C17" s="27" t="s">
        <v>147</v>
      </c>
      <c r="D17" s="31">
        <v>113926</v>
      </c>
      <c r="E17" s="29">
        <v>194.81345999999999</v>
      </c>
      <c r="F17" s="30">
        <v>1.0167160805919899</v>
      </c>
      <c r="G17" s="29"/>
    </row>
    <row r="18" spans="1:7" x14ac:dyDescent="0.2">
      <c r="A18" s="27" t="s">
        <v>157</v>
      </c>
      <c r="B18" s="27" t="s">
        <v>156</v>
      </c>
      <c r="C18" s="27" t="s">
        <v>130</v>
      </c>
      <c r="D18" s="31">
        <v>33697</v>
      </c>
      <c r="E18" s="29">
        <v>173.42161050000001</v>
      </c>
      <c r="F18" s="30">
        <v>0.90507370546937904</v>
      </c>
      <c r="G18" s="29"/>
    </row>
    <row r="19" spans="1:7" x14ac:dyDescent="0.2">
      <c r="A19" s="27" t="s">
        <v>132</v>
      </c>
      <c r="B19" s="27" t="s">
        <v>131</v>
      </c>
      <c r="C19" s="27" t="s">
        <v>133</v>
      </c>
      <c r="D19" s="31">
        <v>27341</v>
      </c>
      <c r="E19" s="29">
        <v>162.40554</v>
      </c>
      <c r="F19" s="30">
        <v>0.84758170249235198</v>
      </c>
      <c r="G19" s="29"/>
    </row>
    <row r="20" spans="1:7" x14ac:dyDescent="0.2">
      <c r="A20" s="27" t="s">
        <v>140</v>
      </c>
      <c r="B20" s="27" t="s">
        <v>139</v>
      </c>
      <c r="C20" s="27" t="s">
        <v>141</v>
      </c>
      <c r="D20" s="31">
        <v>35000</v>
      </c>
      <c r="E20" s="29">
        <v>146.19499999999999</v>
      </c>
      <c r="F20" s="30">
        <v>0.76298017294157205</v>
      </c>
      <c r="G20" s="29"/>
    </row>
    <row r="21" spans="1:7" x14ac:dyDescent="0.2">
      <c r="A21" s="27" t="s">
        <v>129</v>
      </c>
      <c r="B21" s="27" t="s">
        <v>128</v>
      </c>
      <c r="C21" s="27" t="s">
        <v>130</v>
      </c>
      <c r="D21" s="31">
        <v>9526</v>
      </c>
      <c r="E21" s="29">
        <v>144.480842</v>
      </c>
      <c r="F21" s="30">
        <v>0.75403411755466299</v>
      </c>
      <c r="G21" s="29"/>
    </row>
    <row r="22" spans="1:7" x14ac:dyDescent="0.2">
      <c r="A22" s="27" t="s">
        <v>123</v>
      </c>
      <c r="B22" s="27" t="s">
        <v>122</v>
      </c>
      <c r="C22" s="27" t="s">
        <v>124</v>
      </c>
      <c r="D22" s="31">
        <v>76457</v>
      </c>
      <c r="E22" s="29">
        <v>130.4738705</v>
      </c>
      <c r="F22" s="30">
        <v>0.680932838184933</v>
      </c>
      <c r="G22" s="29"/>
    </row>
    <row r="23" spans="1:7" x14ac:dyDescent="0.2">
      <c r="A23" s="27" t="s">
        <v>164</v>
      </c>
      <c r="B23" s="27" t="s">
        <v>163</v>
      </c>
      <c r="C23" s="27" t="s">
        <v>133</v>
      </c>
      <c r="D23" s="31">
        <v>25761</v>
      </c>
      <c r="E23" s="29">
        <v>117.34135499999999</v>
      </c>
      <c r="F23" s="30">
        <v>0.61239527570093599</v>
      </c>
      <c r="G23" s="29"/>
    </row>
    <row r="24" spans="1:7" x14ac:dyDescent="0.2">
      <c r="A24" s="27" t="s">
        <v>153</v>
      </c>
      <c r="B24" s="27" t="s">
        <v>152</v>
      </c>
      <c r="C24" s="27" t="s">
        <v>144</v>
      </c>
      <c r="D24" s="31">
        <v>30000</v>
      </c>
      <c r="E24" s="29">
        <v>106.33499999999999</v>
      </c>
      <c r="F24" s="30">
        <v>0.55495397715203698</v>
      </c>
      <c r="G24" s="29"/>
    </row>
    <row r="25" spans="1:7" x14ac:dyDescent="0.2">
      <c r="A25" s="27" t="s">
        <v>114</v>
      </c>
      <c r="B25" s="27" t="s">
        <v>113</v>
      </c>
      <c r="C25" s="27" t="s">
        <v>115</v>
      </c>
      <c r="D25" s="31">
        <v>13254</v>
      </c>
      <c r="E25" s="29">
        <v>103.162509</v>
      </c>
      <c r="F25" s="30">
        <v>0.53839699687339804</v>
      </c>
      <c r="G25" s="29"/>
    </row>
    <row r="26" spans="1:7" x14ac:dyDescent="0.2">
      <c r="A26" s="27" t="s">
        <v>162</v>
      </c>
      <c r="B26" s="27" t="s">
        <v>161</v>
      </c>
      <c r="C26" s="27" t="s">
        <v>130</v>
      </c>
      <c r="D26" s="31">
        <v>10000</v>
      </c>
      <c r="E26" s="29">
        <v>92.62</v>
      </c>
      <c r="F26" s="30">
        <v>0.48337647400970202</v>
      </c>
      <c r="G26" s="29"/>
    </row>
    <row r="27" spans="1:7" x14ac:dyDescent="0.2">
      <c r="A27" s="27" t="s">
        <v>159</v>
      </c>
      <c r="B27" s="27" t="s">
        <v>158</v>
      </c>
      <c r="C27" s="27" t="s">
        <v>160</v>
      </c>
      <c r="D27" s="31">
        <v>20015</v>
      </c>
      <c r="E27" s="29">
        <v>86.885114999999999</v>
      </c>
      <c r="F27" s="30">
        <v>0.45344656157015201</v>
      </c>
      <c r="G27" s="29"/>
    </row>
    <row r="28" spans="1:7" x14ac:dyDescent="0.2">
      <c r="A28" s="27" t="s">
        <v>151</v>
      </c>
      <c r="B28" s="27" t="s">
        <v>150</v>
      </c>
      <c r="C28" s="27" t="s">
        <v>100</v>
      </c>
      <c r="D28" s="31">
        <v>29755</v>
      </c>
      <c r="E28" s="29">
        <v>56.3113375</v>
      </c>
      <c r="F28" s="30">
        <v>0.29388442849838398</v>
      </c>
      <c r="G28" s="29"/>
    </row>
    <row r="29" spans="1:7" x14ac:dyDescent="0.2">
      <c r="A29" s="27" t="s">
        <v>166</v>
      </c>
      <c r="B29" s="27" t="s">
        <v>165</v>
      </c>
      <c r="C29" s="27" t="s">
        <v>167</v>
      </c>
      <c r="D29" s="31">
        <v>35367</v>
      </c>
      <c r="E29" s="29">
        <v>54.217610999999998</v>
      </c>
      <c r="F29" s="30">
        <v>0.28295743505084903</v>
      </c>
      <c r="G29" s="29"/>
    </row>
    <row r="30" spans="1:7" x14ac:dyDescent="0.2">
      <c r="A30" s="27" t="s">
        <v>169</v>
      </c>
      <c r="B30" s="27" t="s">
        <v>168</v>
      </c>
      <c r="C30" s="27" t="s">
        <v>133</v>
      </c>
      <c r="D30" s="31">
        <v>40000</v>
      </c>
      <c r="E30" s="29">
        <v>53.06</v>
      </c>
      <c r="F30" s="30">
        <v>0.27691595455576301</v>
      </c>
      <c r="G30" s="29"/>
    </row>
    <row r="31" spans="1:7" x14ac:dyDescent="0.2">
      <c r="A31" s="27" t="s">
        <v>173</v>
      </c>
      <c r="B31" s="27" t="s">
        <v>172</v>
      </c>
      <c r="C31" s="27" t="s">
        <v>174</v>
      </c>
      <c r="D31" s="31">
        <v>97694</v>
      </c>
      <c r="E31" s="29">
        <v>35.902545000000003</v>
      </c>
      <c r="F31" s="30">
        <v>0.18737255031391301</v>
      </c>
      <c r="G31" s="29"/>
    </row>
    <row r="32" spans="1:7" x14ac:dyDescent="0.2">
      <c r="A32" s="27" t="s">
        <v>171</v>
      </c>
      <c r="B32" s="27" t="s">
        <v>170</v>
      </c>
      <c r="C32" s="27" t="s">
        <v>100</v>
      </c>
      <c r="D32" s="31">
        <v>77000</v>
      </c>
      <c r="E32" s="29">
        <v>24.986499999999999</v>
      </c>
      <c r="F32" s="30">
        <v>0.13040257253123999</v>
      </c>
      <c r="G32" s="29"/>
    </row>
    <row r="33" spans="1:9" x14ac:dyDescent="0.2">
      <c r="A33" s="27" t="s">
        <v>176</v>
      </c>
      <c r="B33" s="27" t="s">
        <v>175</v>
      </c>
      <c r="C33" s="27" t="s">
        <v>167</v>
      </c>
      <c r="D33" s="31">
        <v>4133</v>
      </c>
      <c r="E33" s="29">
        <v>3.9449485000000002</v>
      </c>
      <c r="F33" s="30">
        <v>2.0588375038651099E-2</v>
      </c>
      <c r="G33" s="29"/>
    </row>
    <row r="34" spans="1:9" x14ac:dyDescent="0.2">
      <c r="A34" s="27" t="s">
        <v>178</v>
      </c>
      <c r="B34" s="27" t="s">
        <v>177</v>
      </c>
      <c r="C34" s="27" t="s">
        <v>179</v>
      </c>
      <c r="D34" s="31">
        <v>581</v>
      </c>
      <c r="E34" s="29">
        <v>0.66350200000000004</v>
      </c>
      <c r="F34" s="30">
        <v>3.46276460006894E-3</v>
      </c>
      <c r="G34" s="29"/>
    </row>
    <row r="35" spans="1:9" ht="10.5" x14ac:dyDescent="0.25">
      <c r="A35" s="26" t="s">
        <v>43</v>
      </c>
      <c r="B35" s="26"/>
      <c r="C35" s="26"/>
      <c r="D35" s="32"/>
      <c r="E35" s="33">
        <f>SUM(E7:E34)</f>
        <v>4283.2273315000002</v>
      </c>
      <c r="F35" s="34">
        <f>SUM(F7:F34)</f>
        <v>22.353825576359917</v>
      </c>
      <c r="G35" s="33"/>
      <c r="H35" s="18"/>
      <c r="I35" s="18"/>
    </row>
    <row r="36" spans="1:9" x14ac:dyDescent="0.2">
      <c r="A36" s="27"/>
      <c r="B36" s="27"/>
      <c r="C36" s="27"/>
      <c r="D36" s="28"/>
      <c r="E36" s="29"/>
      <c r="F36" s="30"/>
      <c r="G36" s="29"/>
    </row>
    <row r="37" spans="1:9" ht="10.5" x14ac:dyDescent="0.25">
      <c r="A37" s="26" t="s">
        <v>32</v>
      </c>
      <c r="B37" s="27"/>
      <c r="C37" s="27"/>
      <c r="D37" s="28"/>
      <c r="E37" s="29"/>
      <c r="F37" s="30"/>
      <c r="G37" s="29"/>
    </row>
    <row r="38" spans="1:9" ht="10.5" x14ac:dyDescent="0.25">
      <c r="A38" s="26" t="s">
        <v>33</v>
      </c>
      <c r="B38" s="27"/>
      <c r="C38" s="27"/>
      <c r="D38" s="28"/>
      <c r="E38" s="29"/>
      <c r="F38" s="30"/>
      <c r="G38" s="29"/>
    </row>
    <row r="39" spans="1:9" x14ac:dyDescent="0.2">
      <c r="A39" s="27" t="s">
        <v>181</v>
      </c>
      <c r="B39" s="27" t="s">
        <v>180</v>
      </c>
      <c r="C39" s="27" t="s">
        <v>42</v>
      </c>
      <c r="D39" s="31">
        <v>200</v>
      </c>
      <c r="E39" s="29">
        <v>2087.3580000000002</v>
      </c>
      <c r="F39" s="30">
        <v>10.8937567483907</v>
      </c>
      <c r="G39" s="29">
        <v>5.0199999999999996</v>
      </c>
    </row>
    <row r="40" spans="1:9" x14ac:dyDescent="0.2">
      <c r="A40" s="27" t="s">
        <v>96</v>
      </c>
      <c r="B40" s="27" t="s">
        <v>95</v>
      </c>
      <c r="C40" s="27" t="s">
        <v>42</v>
      </c>
      <c r="D40" s="31">
        <v>65</v>
      </c>
      <c r="E40" s="29">
        <v>732.72940000000006</v>
      </c>
      <c r="F40" s="30">
        <v>3.8240569399184299</v>
      </c>
      <c r="G40" s="29">
        <v>6.8273000000000001</v>
      </c>
    </row>
    <row r="41" spans="1:9" x14ac:dyDescent="0.2">
      <c r="A41" s="27" t="s">
        <v>60</v>
      </c>
      <c r="B41" s="27" t="s">
        <v>59</v>
      </c>
      <c r="C41" s="27" t="s">
        <v>39</v>
      </c>
      <c r="D41" s="31">
        <v>60</v>
      </c>
      <c r="E41" s="29">
        <v>581.01</v>
      </c>
      <c r="F41" s="30">
        <v>3.03224535914896</v>
      </c>
      <c r="G41" s="29">
        <v>12.0748</v>
      </c>
    </row>
    <row r="42" spans="1:9" x14ac:dyDescent="0.2">
      <c r="A42" s="27" t="s">
        <v>925</v>
      </c>
      <c r="B42" s="27" t="s">
        <v>926</v>
      </c>
      <c r="C42" s="27" t="s">
        <v>42</v>
      </c>
      <c r="D42" s="31">
        <v>50</v>
      </c>
      <c r="E42" s="29">
        <v>552.93949999999995</v>
      </c>
      <c r="F42" s="30">
        <v>2.8857476338877999</v>
      </c>
      <c r="G42" s="29">
        <v>6.1143999999999998</v>
      </c>
    </row>
    <row r="43" spans="1:9" x14ac:dyDescent="0.2">
      <c r="A43" s="27" t="s">
        <v>987</v>
      </c>
      <c r="B43" s="27" t="s">
        <v>988</v>
      </c>
      <c r="C43" s="27" t="s">
        <v>42</v>
      </c>
      <c r="D43" s="31">
        <v>35</v>
      </c>
      <c r="E43" s="29">
        <v>393.01675</v>
      </c>
      <c r="F43" s="30">
        <v>2.0511234165596299</v>
      </c>
      <c r="G43" s="29">
        <v>6.84</v>
      </c>
    </row>
    <row r="44" spans="1:9" x14ac:dyDescent="0.2">
      <c r="A44" s="27" t="s">
        <v>94</v>
      </c>
      <c r="B44" s="27" t="s">
        <v>93</v>
      </c>
      <c r="C44" s="27" t="s">
        <v>42</v>
      </c>
      <c r="D44" s="31">
        <v>30</v>
      </c>
      <c r="E44" s="29">
        <v>337.56150000000002</v>
      </c>
      <c r="F44" s="30">
        <v>1.7617068411944099</v>
      </c>
      <c r="G44" s="29">
        <v>6.84</v>
      </c>
    </row>
    <row r="45" spans="1:9" ht="10.5" x14ac:dyDescent="0.25">
      <c r="A45" s="26" t="s">
        <v>43</v>
      </c>
      <c r="B45" s="26"/>
      <c r="C45" s="26"/>
      <c r="D45" s="32"/>
      <c r="E45" s="33">
        <f>SUM(E38:E44)</f>
        <v>4684.6151500000005</v>
      </c>
      <c r="F45" s="34">
        <f>SUM(F38:F44)</f>
        <v>24.448636939099931</v>
      </c>
      <c r="G45" s="33"/>
      <c r="H45" s="18"/>
      <c r="I45" s="18"/>
    </row>
    <row r="46" spans="1:9" x14ac:dyDescent="0.2">
      <c r="A46" s="27"/>
      <c r="B46" s="27"/>
      <c r="C46" s="27"/>
      <c r="D46" s="28"/>
      <c r="E46" s="29"/>
      <c r="F46" s="30"/>
      <c r="G46" s="29"/>
    </row>
    <row r="47" spans="1:9" ht="10.5" x14ac:dyDescent="0.25">
      <c r="A47" s="26" t="s">
        <v>62</v>
      </c>
      <c r="B47" s="27"/>
      <c r="C47" s="27"/>
      <c r="D47" s="28"/>
      <c r="E47" s="29"/>
      <c r="F47" s="30"/>
      <c r="G47" s="29"/>
    </row>
    <row r="48" spans="1:9" ht="10.5" x14ac:dyDescent="0.25">
      <c r="A48" s="26" t="s">
        <v>63</v>
      </c>
      <c r="B48" s="27"/>
      <c r="C48" s="27"/>
      <c r="D48" s="28"/>
      <c r="E48" s="29"/>
      <c r="F48" s="30"/>
      <c r="G48" s="29"/>
    </row>
    <row r="49" spans="1:9" x14ac:dyDescent="0.2">
      <c r="A49" s="27" t="s">
        <v>793</v>
      </c>
      <c r="B49" s="27" t="s">
        <v>794</v>
      </c>
      <c r="C49" s="27" t="s">
        <v>67</v>
      </c>
      <c r="D49" s="31">
        <v>2000</v>
      </c>
      <c r="E49" s="29">
        <v>1977.0820000000001</v>
      </c>
      <c r="F49" s="30">
        <v>10.318235003110001</v>
      </c>
      <c r="G49" s="29">
        <v>3.28</v>
      </c>
    </row>
    <row r="50" spans="1:9" ht="10.5" x14ac:dyDescent="0.25">
      <c r="A50" s="26" t="s">
        <v>43</v>
      </c>
      <c r="B50" s="26"/>
      <c r="C50" s="26"/>
      <c r="D50" s="32"/>
      <c r="E50" s="33">
        <f>SUM(E48:E49)</f>
        <v>1977.0820000000001</v>
      </c>
      <c r="F50" s="34">
        <f>SUM(F48:F49)</f>
        <v>10.318235003110001</v>
      </c>
      <c r="G50" s="33"/>
      <c r="H50" s="18"/>
      <c r="I50" s="18"/>
    </row>
    <row r="51" spans="1:9" x14ac:dyDescent="0.2">
      <c r="A51" s="27"/>
      <c r="B51" s="27"/>
      <c r="C51" s="27"/>
      <c r="D51" s="28"/>
      <c r="E51" s="29"/>
      <c r="F51" s="30"/>
      <c r="G51" s="29"/>
    </row>
    <row r="52" spans="1:9" ht="10.5" x14ac:dyDescent="0.25">
      <c r="A52" s="26" t="s">
        <v>79</v>
      </c>
      <c r="B52" s="27"/>
      <c r="C52" s="27"/>
      <c r="D52" s="28"/>
      <c r="E52" s="29"/>
      <c r="F52" s="30"/>
      <c r="G52" s="29"/>
    </row>
    <row r="53" spans="1:9" x14ac:dyDescent="0.2">
      <c r="A53" s="27" t="s">
        <v>84</v>
      </c>
      <c r="B53" s="27" t="s">
        <v>83</v>
      </c>
      <c r="C53" s="27" t="s">
        <v>82</v>
      </c>
      <c r="D53" s="31">
        <v>2400000</v>
      </c>
      <c r="E53" s="29">
        <v>2380.5720000000001</v>
      </c>
      <c r="F53" s="30">
        <v>12.4240174852756</v>
      </c>
      <c r="G53" s="29">
        <v>5.8788</v>
      </c>
    </row>
    <row r="54" spans="1:9" x14ac:dyDescent="0.2">
      <c r="A54" s="27" t="s">
        <v>81</v>
      </c>
      <c r="B54" s="27" t="s">
        <v>80</v>
      </c>
      <c r="C54" s="27" t="s">
        <v>82</v>
      </c>
      <c r="D54" s="31">
        <v>1600000</v>
      </c>
      <c r="E54" s="29">
        <v>1594.296</v>
      </c>
      <c r="F54" s="30">
        <v>8.3205050637850597</v>
      </c>
      <c r="G54" s="29">
        <v>6.2278000000000002</v>
      </c>
    </row>
    <row r="55" spans="1:9" x14ac:dyDescent="0.2">
      <c r="A55" s="27" t="s">
        <v>1004</v>
      </c>
      <c r="B55" s="27" t="s">
        <v>1005</v>
      </c>
      <c r="C55" s="27" t="s">
        <v>82</v>
      </c>
      <c r="D55" s="31">
        <v>925000</v>
      </c>
      <c r="E55" s="29">
        <v>996.63662499999998</v>
      </c>
      <c r="F55" s="30">
        <v>5.2013679298362101</v>
      </c>
      <c r="G55" s="29">
        <v>5.8335999999999997</v>
      </c>
    </row>
    <row r="56" spans="1:9" x14ac:dyDescent="0.2">
      <c r="A56" s="27" t="s">
        <v>183</v>
      </c>
      <c r="B56" s="27" t="s">
        <v>182</v>
      </c>
      <c r="C56" s="27" t="s">
        <v>82</v>
      </c>
      <c r="D56" s="31">
        <v>800000</v>
      </c>
      <c r="E56" s="29">
        <v>835.7432</v>
      </c>
      <c r="F56" s="30">
        <v>4.3616778362511903</v>
      </c>
      <c r="G56" s="29">
        <v>4.9382999999999999</v>
      </c>
    </row>
    <row r="57" spans="1:9" x14ac:dyDescent="0.2">
      <c r="A57" s="27" t="s">
        <v>953</v>
      </c>
      <c r="B57" s="27" t="s">
        <v>954</v>
      </c>
      <c r="C57" s="27" t="s">
        <v>82</v>
      </c>
      <c r="D57" s="31">
        <v>700000</v>
      </c>
      <c r="E57" s="29">
        <v>740.65599999999995</v>
      </c>
      <c r="F57" s="30">
        <v>3.8654252400575499</v>
      </c>
      <c r="G57" s="29">
        <v>5.7127999999999997</v>
      </c>
    </row>
    <row r="58" spans="1:9" x14ac:dyDescent="0.2">
      <c r="A58" s="27" t="s">
        <v>88</v>
      </c>
      <c r="B58" s="27" t="s">
        <v>87</v>
      </c>
      <c r="C58" s="27" t="s">
        <v>82</v>
      </c>
      <c r="D58" s="31">
        <v>200000</v>
      </c>
      <c r="E58" s="29">
        <v>216.02500000000001</v>
      </c>
      <c r="F58" s="30">
        <v>1.1274174346571599</v>
      </c>
      <c r="G58" s="29">
        <v>4.6284000000000001</v>
      </c>
    </row>
    <row r="59" spans="1:9" x14ac:dyDescent="0.2">
      <c r="A59" s="27" t="s">
        <v>90</v>
      </c>
      <c r="B59" s="27" t="s">
        <v>89</v>
      </c>
      <c r="C59" s="27" t="s">
        <v>82</v>
      </c>
      <c r="D59" s="31">
        <v>100000</v>
      </c>
      <c r="E59" s="29">
        <v>100.21250000000001</v>
      </c>
      <c r="F59" s="30">
        <v>0.52300113260308001</v>
      </c>
      <c r="G59" s="29">
        <v>5.1661999999999999</v>
      </c>
    </row>
    <row r="60" spans="1:9" ht="10.5" x14ac:dyDescent="0.25">
      <c r="A60" s="26" t="s">
        <v>43</v>
      </c>
      <c r="B60" s="26"/>
      <c r="C60" s="26"/>
      <c r="D60" s="32"/>
      <c r="E60" s="33">
        <f>SUM(E53:E59)</f>
        <v>6864.1413249999996</v>
      </c>
      <c r="F60" s="34">
        <f>SUM(F53:F59)</f>
        <v>35.823412122465847</v>
      </c>
      <c r="G60" s="33"/>
      <c r="H60" s="18"/>
      <c r="I60" s="18"/>
    </row>
    <row r="61" spans="1:9" x14ac:dyDescent="0.2">
      <c r="A61" s="27"/>
      <c r="B61" s="27"/>
      <c r="C61" s="27"/>
      <c r="D61" s="28"/>
      <c r="E61" s="29"/>
      <c r="F61" s="30"/>
      <c r="G61" s="29"/>
    </row>
    <row r="62" spans="1:9" ht="10.5" x14ac:dyDescent="0.25">
      <c r="A62" s="26" t="s">
        <v>48</v>
      </c>
      <c r="B62" s="26"/>
      <c r="C62" s="26"/>
      <c r="D62" s="32"/>
      <c r="E62" s="33">
        <f>E35+E45+E50+E60</f>
        <v>17809.065806499999</v>
      </c>
      <c r="F62" s="34">
        <f>F35+F45+F50+F60</f>
        <v>92.944109641035709</v>
      </c>
      <c r="G62" s="33"/>
      <c r="H62" s="18"/>
      <c r="I62" s="18"/>
    </row>
    <row r="63" spans="1:9" ht="10.5" x14ac:dyDescent="0.25">
      <c r="A63" s="26"/>
      <c r="B63" s="26"/>
      <c r="C63" s="26"/>
      <c r="D63" s="32"/>
      <c r="E63" s="33"/>
      <c r="F63" s="34"/>
      <c r="G63" s="33"/>
      <c r="H63" s="18"/>
      <c r="I63" s="18"/>
    </row>
    <row r="64" spans="1:9" ht="10.5" x14ac:dyDescent="0.25">
      <c r="A64" s="26" t="s">
        <v>50</v>
      </c>
      <c r="B64" s="26"/>
      <c r="C64" s="26"/>
      <c r="D64" s="32"/>
      <c r="E64" s="33">
        <f>E66-(E35+E45+E50+E60)</f>
        <v>1351.9825646999998</v>
      </c>
      <c r="F64" s="34">
        <f>F66-(F35+F45+F50+F60)</f>
        <v>7.055890358964291</v>
      </c>
      <c r="G64" s="33"/>
      <c r="H64" s="18"/>
      <c r="I64" s="18"/>
    </row>
    <row r="65" spans="1:9" ht="10.5" x14ac:dyDescent="0.25">
      <c r="A65" s="26"/>
      <c r="B65" s="26"/>
      <c r="C65" s="26"/>
      <c r="D65" s="32"/>
      <c r="E65" s="33"/>
      <c r="F65" s="34"/>
      <c r="G65" s="33"/>
      <c r="H65" s="18"/>
      <c r="I65" s="18"/>
    </row>
    <row r="66" spans="1:9" ht="10.5" x14ac:dyDescent="0.25">
      <c r="A66" s="35" t="s">
        <v>49</v>
      </c>
      <c r="B66" s="35"/>
      <c r="C66" s="35"/>
      <c r="D66" s="36"/>
      <c r="E66" s="37">
        <v>19161.048371199999</v>
      </c>
      <c r="F66" s="38">
        <v>100</v>
      </c>
      <c r="G66" s="37"/>
      <c r="H66" s="18"/>
      <c r="I66" s="18"/>
    </row>
    <row r="67" spans="1:9" ht="10.5" x14ac:dyDescent="0.25">
      <c r="F67" s="20" t="s">
        <v>61</v>
      </c>
    </row>
    <row r="68" spans="1:9" ht="10.5" x14ac:dyDescent="0.25">
      <c r="A68" s="18" t="s">
        <v>766</v>
      </c>
    </row>
    <row r="70" spans="1:9" ht="10.5" x14ac:dyDescent="0.25">
      <c r="A70" s="18" t="s">
        <v>51</v>
      </c>
    </row>
    <row r="71" spans="1:9" ht="10.5" x14ac:dyDescent="0.25">
      <c r="A71" s="18" t="s">
        <v>52</v>
      </c>
    </row>
    <row r="72" spans="1:9" ht="10.5" x14ac:dyDescent="0.25">
      <c r="A72" s="18" t="s">
        <v>53</v>
      </c>
      <c r="B72" s="18"/>
      <c r="C72" s="39" t="s">
        <v>55</v>
      </c>
      <c r="D72" s="19" t="s">
        <v>54</v>
      </c>
    </row>
    <row r="73" spans="1:9" x14ac:dyDescent="0.2">
      <c r="A73" s="9" t="s">
        <v>71</v>
      </c>
      <c r="C73" s="40">
        <v>56.1661</v>
      </c>
      <c r="D73" s="40">
        <v>59.923900000000003</v>
      </c>
    </row>
    <row r="74" spans="1:9" x14ac:dyDescent="0.2">
      <c r="A74" s="9" t="s">
        <v>72</v>
      </c>
      <c r="C74" s="40">
        <v>12.3773</v>
      </c>
      <c r="D74" s="40">
        <v>12.701499999999999</v>
      </c>
    </row>
    <row r="75" spans="1:9" x14ac:dyDescent="0.2">
      <c r="A75" s="9" t="s">
        <v>73</v>
      </c>
      <c r="C75" s="40">
        <v>11.8712</v>
      </c>
      <c r="D75" s="40">
        <v>12.130699999999999</v>
      </c>
    </row>
    <row r="76" spans="1:9" x14ac:dyDescent="0.2">
      <c r="A76" s="9" t="s">
        <v>74</v>
      </c>
      <c r="C76" s="40">
        <v>59.320300000000003</v>
      </c>
      <c r="D76" s="40">
        <v>63.560400000000001</v>
      </c>
    </row>
    <row r="77" spans="1:9" x14ac:dyDescent="0.2">
      <c r="A77" s="9" t="s">
        <v>75</v>
      </c>
      <c r="C77" s="40">
        <v>13.2729</v>
      </c>
      <c r="D77" s="40">
        <v>13.711499999999999</v>
      </c>
    </row>
    <row r="78" spans="1:9" x14ac:dyDescent="0.2">
      <c r="A78" s="9" t="s">
        <v>76</v>
      </c>
      <c r="C78" s="40">
        <v>12.735200000000001</v>
      </c>
      <c r="D78" s="40">
        <v>13.1052</v>
      </c>
    </row>
    <row r="80" spans="1:9" ht="14.5" x14ac:dyDescent="0.35">
      <c r="A80" s="18" t="s">
        <v>56</v>
      </c>
      <c r="B80"/>
      <c r="C80"/>
    </row>
    <row r="81" spans="1:7" ht="10.5" x14ac:dyDescent="0.25">
      <c r="A81" s="81" t="s">
        <v>68</v>
      </c>
      <c r="B81" s="82"/>
      <c r="C81" s="43" t="s">
        <v>69</v>
      </c>
    </row>
    <row r="82" spans="1:7" x14ac:dyDescent="0.2">
      <c r="A82" s="77" t="s">
        <v>72</v>
      </c>
      <c r="B82" s="78"/>
      <c r="C82" s="44">
        <v>0.49</v>
      </c>
    </row>
    <row r="83" spans="1:7" x14ac:dyDescent="0.2">
      <c r="A83" s="77" t="s">
        <v>73</v>
      </c>
      <c r="B83" s="78"/>
      <c r="C83" s="44">
        <v>0.52</v>
      </c>
    </row>
    <row r="84" spans="1:7" x14ac:dyDescent="0.2">
      <c r="A84" s="77" t="s">
        <v>75</v>
      </c>
      <c r="B84" s="78"/>
      <c r="C84" s="44">
        <v>0.49</v>
      </c>
    </row>
    <row r="85" spans="1:7" x14ac:dyDescent="0.2">
      <c r="A85" s="77" t="s">
        <v>76</v>
      </c>
      <c r="B85" s="78"/>
      <c r="C85" s="44">
        <v>0.52</v>
      </c>
    </row>
    <row r="86" spans="1:7" ht="14.5" x14ac:dyDescent="0.35">
      <c r="A86" s="9" t="s">
        <v>70</v>
      </c>
      <c r="B86"/>
      <c r="C86"/>
    </row>
    <row r="88" spans="1:7" ht="10.5" x14ac:dyDescent="0.25">
      <c r="A88" s="18" t="s">
        <v>1559</v>
      </c>
      <c r="D88" s="72">
        <v>5.6898983426102534</v>
      </c>
      <c r="E88" s="13" t="s">
        <v>58</v>
      </c>
    </row>
    <row r="90" spans="1:7" ht="10.5" x14ac:dyDescent="0.25">
      <c r="A90" s="18" t="s">
        <v>786</v>
      </c>
      <c r="D90" s="41" t="s">
        <v>57</v>
      </c>
    </row>
    <row r="94" spans="1:7" s="1" customFormat="1" ht="14" x14ac:dyDescent="0.25">
      <c r="A94" s="79" t="s">
        <v>1561</v>
      </c>
      <c r="B94" s="80"/>
      <c r="C94" s="80"/>
      <c r="D94" s="80"/>
      <c r="E94" s="80"/>
      <c r="F94" s="80"/>
      <c r="G94" s="80"/>
    </row>
    <row r="95" spans="1:7" ht="10.5" x14ac:dyDescent="0.25">
      <c r="A95" s="18" t="s">
        <v>7</v>
      </c>
    </row>
    <row r="96" spans="1:7" s="1" customFormat="1" ht="17.5" customHeight="1" x14ac:dyDescent="0.25">
      <c r="A96" s="8" t="s">
        <v>2</v>
      </c>
      <c r="B96" s="8" t="s">
        <v>0</v>
      </c>
      <c r="C96" s="17" t="s">
        <v>5</v>
      </c>
      <c r="D96" s="16" t="s">
        <v>1</v>
      </c>
      <c r="E96" s="15" t="s">
        <v>3</v>
      </c>
      <c r="F96" s="15" t="s">
        <v>4</v>
      </c>
      <c r="G96" s="15" t="s">
        <v>6</v>
      </c>
    </row>
    <row r="97" spans="1:9" ht="10.5" x14ac:dyDescent="0.25">
      <c r="A97" s="21" t="s">
        <v>32</v>
      </c>
      <c r="B97" s="22"/>
      <c r="C97" s="22"/>
      <c r="D97" s="23"/>
      <c r="E97" s="24"/>
      <c r="F97" s="25"/>
      <c r="G97" s="24"/>
    </row>
    <row r="98" spans="1:9" ht="10.5" x14ac:dyDescent="0.25">
      <c r="A98" s="26" t="s">
        <v>33</v>
      </c>
      <c r="B98" s="27"/>
      <c r="C98" s="27"/>
      <c r="D98" s="28"/>
      <c r="E98" s="29"/>
      <c r="F98" s="30"/>
      <c r="G98" s="29"/>
    </row>
    <row r="99" spans="1:9" x14ac:dyDescent="0.2">
      <c r="A99" s="27" t="s">
        <v>1562</v>
      </c>
      <c r="B99" s="27" t="s">
        <v>1563</v>
      </c>
      <c r="C99" s="27" t="s">
        <v>1127</v>
      </c>
      <c r="D99" s="31">
        <v>50</v>
      </c>
      <c r="E99" s="64">
        <v>0</v>
      </c>
      <c r="F99" s="64">
        <v>100</v>
      </c>
      <c r="G99" s="29">
        <v>0</v>
      </c>
    </row>
    <row r="100" spans="1:9" ht="10.5" x14ac:dyDescent="0.25">
      <c r="A100" s="26" t="s">
        <v>43</v>
      </c>
      <c r="B100" s="26"/>
      <c r="C100" s="26"/>
      <c r="D100" s="32"/>
      <c r="E100" s="73">
        <f>SUM(E98:E99)</f>
        <v>0</v>
      </c>
      <c r="F100" s="63">
        <f>SUM(F98:F99)</f>
        <v>100</v>
      </c>
      <c r="G100" s="33"/>
      <c r="H100" s="18"/>
      <c r="I100" s="18"/>
    </row>
    <row r="101" spans="1:9" x14ac:dyDescent="0.2">
      <c r="A101" s="27"/>
      <c r="B101" s="27"/>
      <c r="C101" s="27"/>
      <c r="D101" s="28"/>
      <c r="E101" s="62"/>
      <c r="F101" s="64"/>
      <c r="G101" s="29"/>
    </row>
    <row r="102" spans="1:9" ht="10.5" x14ac:dyDescent="0.25">
      <c r="A102" s="26" t="s">
        <v>48</v>
      </c>
      <c r="B102" s="26"/>
      <c r="C102" s="26"/>
      <c r="D102" s="32"/>
      <c r="E102" s="73">
        <f>E100</f>
        <v>0</v>
      </c>
      <c r="F102" s="63">
        <f>F100</f>
        <v>100</v>
      </c>
      <c r="G102" s="33"/>
      <c r="H102" s="18"/>
      <c r="I102" s="18"/>
    </row>
    <row r="103" spans="1:9" ht="10.5" x14ac:dyDescent="0.25">
      <c r="A103" s="26"/>
      <c r="B103" s="26"/>
      <c r="C103" s="26"/>
      <c r="D103" s="32"/>
      <c r="E103" s="73"/>
      <c r="F103" s="63"/>
      <c r="G103" s="33"/>
      <c r="H103" s="18"/>
      <c r="I103" s="18"/>
    </row>
    <row r="104" spans="1:9" ht="10.5" x14ac:dyDescent="0.25">
      <c r="A104" s="26" t="s">
        <v>50</v>
      </c>
      <c r="B104" s="26"/>
      <c r="C104" s="26"/>
      <c r="D104" s="32"/>
      <c r="E104" s="73">
        <v>0</v>
      </c>
      <c r="F104" s="34">
        <v>0</v>
      </c>
      <c r="G104" s="33"/>
      <c r="H104" s="18"/>
      <c r="I104" s="18"/>
    </row>
    <row r="105" spans="1:9" ht="10.5" x14ac:dyDescent="0.25">
      <c r="A105" s="26"/>
      <c r="B105" s="26"/>
      <c r="C105" s="26"/>
      <c r="D105" s="32"/>
      <c r="E105" s="73"/>
      <c r="F105" s="63"/>
      <c r="G105" s="33"/>
      <c r="H105" s="18"/>
      <c r="I105" s="18"/>
    </row>
    <row r="106" spans="1:9" ht="10.5" x14ac:dyDescent="0.25">
      <c r="A106" s="35" t="s">
        <v>49</v>
      </c>
      <c r="B106" s="35"/>
      <c r="C106" s="35"/>
      <c r="D106" s="36"/>
      <c r="E106" s="74">
        <v>0</v>
      </c>
      <c r="F106" s="65">
        <v>100</v>
      </c>
      <c r="G106" s="37"/>
      <c r="H106" s="18"/>
      <c r="I106" s="18"/>
    </row>
    <row r="107" spans="1:9" ht="10.5" x14ac:dyDescent="0.25">
      <c r="F107" s="20"/>
    </row>
    <row r="108" spans="1:9" ht="10.5" x14ac:dyDescent="0.25">
      <c r="A108" s="18" t="s">
        <v>766</v>
      </c>
    </row>
    <row r="109" spans="1:9" ht="10.5" x14ac:dyDescent="0.25">
      <c r="A109" s="18" t="s">
        <v>1109</v>
      </c>
    </row>
    <row r="111" spans="1:9" ht="10.5" x14ac:dyDescent="0.25">
      <c r="A111" s="18" t="s">
        <v>51</v>
      </c>
    </row>
    <row r="112" spans="1:9" ht="10.5" x14ac:dyDescent="0.25">
      <c r="A112" s="18" t="s">
        <v>52</v>
      </c>
    </row>
    <row r="113" spans="1:9" ht="10.5" x14ac:dyDescent="0.25">
      <c r="A113" s="18" t="s">
        <v>53</v>
      </c>
      <c r="B113" s="18"/>
      <c r="C113" s="39" t="s">
        <v>55</v>
      </c>
      <c r="D113" s="19" t="s">
        <v>54</v>
      </c>
    </row>
    <row r="114" spans="1:9" x14ac:dyDescent="0.2">
      <c r="A114" s="9" t="s">
        <v>71</v>
      </c>
      <c r="C114" s="40">
        <v>0</v>
      </c>
      <c r="D114" s="40">
        <v>0</v>
      </c>
    </row>
    <row r="115" spans="1:9" x14ac:dyDescent="0.2">
      <c r="A115" s="9" t="s">
        <v>72</v>
      </c>
      <c r="C115" s="40">
        <v>0</v>
      </c>
      <c r="D115" s="40">
        <v>0</v>
      </c>
    </row>
    <row r="116" spans="1:9" x14ac:dyDescent="0.2">
      <c r="A116" s="9" t="s">
        <v>73</v>
      </c>
      <c r="C116" s="40">
        <v>0</v>
      </c>
      <c r="D116" s="40">
        <v>0</v>
      </c>
    </row>
    <row r="117" spans="1:9" x14ac:dyDescent="0.2">
      <c r="A117" s="9" t="s">
        <v>74</v>
      </c>
      <c r="C117" s="40">
        <v>0</v>
      </c>
      <c r="D117" s="40">
        <v>0</v>
      </c>
    </row>
    <row r="118" spans="1:9" x14ac:dyDescent="0.2">
      <c r="A118" s="9" t="s">
        <v>75</v>
      </c>
      <c r="C118" s="40">
        <v>0</v>
      </c>
      <c r="D118" s="40">
        <v>0</v>
      </c>
    </row>
    <row r="119" spans="1:9" x14ac:dyDescent="0.2">
      <c r="A119" s="9" t="s">
        <v>76</v>
      </c>
      <c r="C119" s="40">
        <v>0</v>
      </c>
      <c r="D119" s="40">
        <v>0</v>
      </c>
    </row>
    <row r="121" spans="1:9" s="13" customFormat="1" ht="10.5" x14ac:dyDescent="0.25">
      <c r="A121" s="18" t="s">
        <v>1123</v>
      </c>
      <c r="B121" s="9"/>
      <c r="C121" s="9"/>
      <c r="D121" s="41" t="s">
        <v>57</v>
      </c>
      <c r="F121" s="14"/>
      <c r="H121" s="9"/>
      <c r="I121" s="9"/>
    </row>
    <row r="122" spans="1:9" x14ac:dyDescent="0.2">
      <c r="A122" s="9" t="s">
        <v>1111</v>
      </c>
    </row>
    <row r="123" spans="1:9" x14ac:dyDescent="0.2">
      <c r="A123" s="59" t="s">
        <v>1112</v>
      </c>
    </row>
  </sheetData>
  <mergeCells count="7">
    <mergeCell ref="A94:G94"/>
    <mergeCell ref="A1:G1"/>
    <mergeCell ref="A81:B81"/>
    <mergeCell ref="A82:B82"/>
    <mergeCell ref="A83:B83"/>
    <mergeCell ref="A84:B84"/>
    <mergeCell ref="A85:B85"/>
  </mergeCells>
  <conditionalFormatting sqref="F2:F3 F5:F66 F97:F98 F108:F65544 F95 F68:F93">
    <cfRule type="cellIs" dxfId="29" priority="4" stopIfTrue="1" operator="between">
      <formula>0.009</formula>
      <formula>-0.009</formula>
    </cfRule>
  </conditionalFormatting>
  <conditionalFormatting sqref="F107">
    <cfRule type="cellIs" dxfId="28" priority="3" stopIfTrue="1" operator="between">
      <formula>0.009</formula>
      <formula>-0.009</formula>
    </cfRule>
  </conditionalFormatting>
  <conditionalFormatting sqref="F99:F103 F105:F106">
    <cfRule type="cellIs" dxfId="27" priority="2" stopIfTrue="1" operator="between">
      <formula>0.009</formula>
      <formula>-0.009</formula>
    </cfRule>
  </conditionalFormatting>
  <conditionalFormatting sqref="F67">
    <cfRule type="cellIs" dxfId="26" priority="1" stopIfTrue="1" operator="between">
      <formula>0.009</formula>
      <formula>-0.009</formula>
    </cfRule>
  </conditionalFormatting>
  <hyperlinks>
    <hyperlink ref="A123" r:id="rId1" xr:uid="{00000000-0004-0000-24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86"/>
  <sheetViews>
    <sheetView workbookViewId="0">
      <selection sqref="A1:H1"/>
    </sheetView>
  </sheetViews>
  <sheetFormatPr defaultColWidth="9.1796875" defaultRowHeight="10" x14ac:dyDescent="0.2"/>
  <cols>
    <col min="1" max="1" width="38.7265625" style="9" bestFit="1" customWidth="1"/>
    <col min="2" max="2" width="51" style="9" bestFit="1" customWidth="1"/>
    <col min="3" max="3" width="35.7265625" style="9" bestFit="1" customWidth="1"/>
    <col min="4" max="4" width="15" style="10" bestFit="1" customWidth="1"/>
    <col min="5" max="5" width="23" style="13" bestFit="1" customWidth="1"/>
    <col min="6" max="6" width="13.54296875" style="14" bestFit="1" customWidth="1"/>
    <col min="7" max="7" width="13.54296875" style="14" customWidth="1"/>
    <col min="8" max="8" width="14.26953125" style="13" customWidth="1"/>
    <col min="9" max="16384" width="9.1796875" style="9"/>
  </cols>
  <sheetData>
    <row r="1" spans="1:8" s="1" customFormat="1" ht="14" x14ac:dyDescent="0.25">
      <c r="A1" s="79" t="s">
        <v>8</v>
      </c>
      <c r="B1" s="80"/>
      <c r="C1" s="80"/>
      <c r="D1" s="80"/>
      <c r="E1" s="80"/>
      <c r="F1" s="80"/>
      <c r="G1" s="80"/>
      <c r="H1" s="80"/>
    </row>
    <row r="2" spans="1:8" s="1" customFormat="1" ht="11.5" x14ac:dyDescent="0.25">
      <c r="D2" s="6"/>
      <c r="E2" s="7"/>
      <c r="F2" s="12"/>
      <c r="G2" s="12"/>
      <c r="H2" s="13"/>
    </row>
    <row r="3" spans="1:8" s="1" customFormat="1" ht="11.5" x14ac:dyDescent="0.25">
      <c r="A3" s="11" t="s">
        <v>7</v>
      </c>
      <c r="B3" s="2"/>
      <c r="C3" s="3"/>
      <c r="D3" s="4"/>
      <c r="E3" s="5"/>
      <c r="F3" s="12"/>
      <c r="G3" s="12"/>
      <c r="H3" s="13"/>
    </row>
    <row r="4" spans="1:8" s="1" customFormat="1" ht="35.15" customHeight="1" x14ac:dyDescent="0.25">
      <c r="A4" s="8" t="s">
        <v>2</v>
      </c>
      <c r="B4" s="8" t="s">
        <v>0</v>
      </c>
      <c r="C4" s="17" t="s">
        <v>5</v>
      </c>
      <c r="D4" s="16" t="s">
        <v>1</v>
      </c>
      <c r="E4" s="15" t="s">
        <v>3</v>
      </c>
      <c r="F4" s="51" t="s">
        <v>721</v>
      </c>
      <c r="G4" s="51" t="s">
        <v>720</v>
      </c>
      <c r="H4" s="15" t="s">
        <v>6</v>
      </c>
    </row>
    <row r="5" spans="1:8" ht="10.5" x14ac:dyDescent="0.25">
      <c r="A5" s="21" t="s">
        <v>97</v>
      </c>
      <c r="B5" s="22"/>
      <c r="C5" s="22"/>
      <c r="D5" s="23"/>
      <c r="E5" s="24"/>
      <c r="F5" s="25"/>
      <c r="G5" s="25"/>
      <c r="H5" s="24"/>
    </row>
    <row r="6" spans="1:8" ht="10.5" x14ac:dyDescent="0.25">
      <c r="A6" s="26" t="s">
        <v>33</v>
      </c>
      <c r="B6" s="27"/>
      <c r="C6" s="27"/>
      <c r="D6" s="28"/>
      <c r="E6" s="29"/>
      <c r="F6" s="30"/>
      <c r="G6" s="30"/>
      <c r="H6" s="29"/>
    </row>
    <row r="7" spans="1:8" x14ac:dyDescent="0.2">
      <c r="A7" s="27" t="s">
        <v>187</v>
      </c>
      <c r="B7" s="27" t="s">
        <v>186</v>
      </c>
      <c r="C7" s="27" t="s">
        <v>188</v>
      </c>
      <c r="D7" s="31">
        <v>64500</v>
      </c>
      <c r="E7" s="29">
        <v>1240.68975</v>
      </c>
      <c r="F7" s="30">
        <v>9.5547884912553407</v>
      </c>
      <c r="G7" s="29">
        <v>-9.5714000000000006</v>
      </c>
      <c r="H7" s="29"/>
    </row>
    <row r="8" spans="1:8" x14ac:dyDescent="0.2">
      <c r="A8" s="27" t="s">
        <v>105</v>
      </c>
      <c r="B8" s="27" t="s">
        <v>104</v>
      </c>
      <c r="C8" s="27" t="s">
        <v>100</v>
      </c>
      <c r="D8" s="31">
        <v>177000</v>
      </c>
      <c r="E8" s="29">
        <v>871.72500000000002</v>
      </c>
      <c r="F8" s="30">
        <v>6.7133205521683097</v>
      </c>
      <c r="G8" s="29">
        <v>-3.1928000000000001</v>
      </c>
      <c r="H8" s="29"/>
    </row>
    <row r="9" spans="1:8" x14ac:dyDescent="0.2">
      <c r="A9" s="27" t="s">
        <v>143</v>
      </c>
      <c r="B9" s="27" t="s">
        <v>142</v>
      </c>
      <c r="C9" s="27" t="s">
        <v>144</v>
      </c>
      <c r="D9" s="31">
        <v>439400</v>
      </c>
      <c r="E9" s="29">
        <v>824.53409999999997</v>
      </c>
      <c r="F9" s="30">
        <v>6.3498944271342399</v>
      </c>
      <c r="G9" s="29">
        <v>-4.7538999999999998</v>
      </c>
      <c r="H9" s="29"/>
    </row>
    <row r="10" spans="1:8" x14ac:dyDescent="0.2">
      <c r="A10" s="27" t="s">
        <v>102</v>
      </c>
      <c r="B10" s="27" t="s">
        <v>101</v>
      </c>
      <c r="C10" s="27" t="s">
        <v>103</v>
      </c>
      <c r="D10" s="31">
        <v>61245</v>
      </c>
      <c r="E10" s="29">
        <v>649.56447000000003</v>
      </c>
      <c r="F10" s="30">
        <v>5.0024199218897198</v>
      </c>
      <c r="G10" s="29"/>
      <c r="H10" s="29"/>
    </row>
    <row r="11" spans="1:8" x14ac:dyDescent="0.2">
      <c r="A11" s="27" t="s">
        <v>112</v>
      </c>
      <c r="B11" s="27" t="s">
        <v>111</v>
      </c>
      <c r="C11" s="27" t="s">
        <v>100</v>
      </c>
      <c r="D11" s="31">
        <v>155061</v>
      </c>
      <c r="E11" s="29">
        <v>608.76948600000003</v>
      </c>
      <c r="F11" s="30">
        <v>4.6882499663273798</v>
      </c>
      <c r="G11" s="29">
        <v>-1.6681999999999999</v>
      </c>
      <c r="H11" s="29"/>
    </row>
    <row r="12" spans="1:8" x14ac:dyDescent="0.2">
      <c r="A12" s="27" t="s">
        <v>190</v>
      </c>
      <c r="B12" s="27" t="s">
        <v>189</v>
      </c>
      <c r="C12" s="27" t="s">
        <v>174</v>
      </c>
      <c r="D12" s="31">
        <v>123000</v>
      </c>
      <c r="E12" s="29">
        <v>519.05999999999995</v>
      </c>
      <c r="F12" s="30">
        <v>3.99738009786169</v>
      </c>
      <c r="G12" s="29">
        <v>-4.0021000000000004</v>
      </c>
      <c r="H12" s="29"/>
    </row>
    <row r="13" spans="1:8" x14ac:dyDescent="0.2">
      <c r="A13" s="27" t="s">
        <v>107</v>
      </c>
      <c r="B13" s="27" t="s">
        <v>106</v>
      </c>
      <c r="C13" s="27" t="s">
        <v>108</v>
      </c>
      <c r="D13" s="31">
        <v>73951</v>
      </c>
      <c r="E13" s="29">
        <v>320.76246250000003</v>
      </c>
      <c r="F13" s="30">
        <v>2.47025292594037</v>
      </c>
      <c r="G13" s="29"/>
      <c r="H13" s="29"/>
    </row>
    <row r="14" spans="1:8" x14ac:dyDescent="0.2">
      <c r="A14" s="27" t="s">
        <v>192</v>
      </c>
      <c r="B14" s="27" t="s">
        <v>191</v>
      </c>
      <c r="C14" s="27" t="s">
        <v>133</v>
      </c>
      <c r="D14" s="31">
        <v>4600</v>
      </c>
      <c r="E14" s="29">
        <v>320.39690000000002</v>
      </c>
      <c r="F14" s="30">
        <v>2.4674376593776901</v>
      </c>
      <c r="G14" s="29">
        <v>-2.4698000000000002</v>
      </c>
      <c r="H14" s="29"/>
    </row>
    <row r="15" spans="1:8" x14ac:dyDescent="0.2">
      <c r="A15" s="27" t="s">
        <v>194</v>
      </c>
      <c r="B15" s="27" t="s">
        <v>193</v>
      </c>
      <c r="C15" s="27" t="s">
        <v>147</v>
      </c>
      <c r="D15" s="31">
        <v>567938</v>
      </c>
      <c r="E15" s="29">
        <v>296.17966699999999</v>
      </c>
      <c r="F15" s="30">
        <v>2.28093612734</v>
      </c>
      <c r="G15" s="29"/>
      <c r="H15" s="29"/>
    </row>
    <row r="16" spans="1:8" x14ac:dyDescent="0.2">
      <c r="A16" s="27" t="s">
        <v>196</v>
      </c>
      <c r="B16" s="27" t="s">
        <v>195</v>
      </c>
      <c r="C16" s="27" t="s">
        <v>147</v>
      </c>
      <c r="D16" s="31">
        <v>1300000</v>
      </c>
      <c r="E16" s="29">
        <v>258.05</v>
      </c>
      <c r="F16" s="30">
        <v>1.98729228654338</v>
      </c>
      <c r="G16" s="29"/>
      <c r="H16" s="29"/>
    </row>
    <row r="17" spans="1:8" x14ac:dyDescent="0.2">
      <c r="A17" s="27" t="s">
        <v>149</v>
      </c>
      <c r="B17" s="27" t="s">
        <v>148</v>
      </c>
      <c r="C17" s="27" t="s">
        <v>147</v>
      </c>
      <c r="D17" s="31">
        <v>283537</v>
      </c>
      <c r="E17" s="29">
        <v>248.378412</v>
      </c>
      <c r="F17" s="30">
        <v>1.9128095419937801</v>
      </c>
      <c r="G17" s="29"/>
      <c r="H17" s="29"/>
    </row>
    <row r="18" spans="1:8" x14ac:dyDescent="0.2">
      <c r="A18" s="27" t="s">
        <v>198</v>
      </c>
      <c r="B18" s="27" t="s">
        <v>197</v>
      </c>
      <c r="C18" s="27" t="s">
        <v>103</v>
      </c>
      <c r="D18" s="31">
        <v>29733</v>
      </c>
      <c r="E18" s="29">
        <v>241.818489</v>
      </c>
      <c r="F18" s="30">
        <v>1.86229032332213</v>
      </c>
      <c r="G18" s="29"/>
      <c r="H18" s="29"/>
    </row>
    <row r="19" spans="1:8" x14ac:dyDescent="0.2">
      <c r="A19" s="27" t="s">
        <v>132</v>
      </c>
      <c r="B19" s="27" t="s">
        <v>131</v>
      </c>
      <c r="C19" s="27" t="s">
        <v>133</v>
      </c>
      <c r="D19" s="31">
        <v>40438</v>
      </c>
      <c r="E19" s="29">
        <v>240.20171999999999</v>
      </c>
      <c r="F19" s="30">
        <v>1.84983927676983</v>
      </c>
      <c r="G19" s="29"/>
      <c r="H19" s="29"/>
    </row>
    <row r="20" spans="1:8" x14ac:dyDescent="0.2">
      <c r="A20" s="27" t="s">
        <v>99</v>
      </c>
      <c r="B20" s="27" t="s">
        <v>98</v>
      </c>
      <c r="C20" s="27" t="s">
        <v>100</v>
      </c>
      <c r="D20" s="31">
        <v>19878</v>
      </c>
      <c r="E20" s="29">
        <v>235.26606899999999</v>
      </c>
      <c r="F20" s="30">
        <v>1.81182888668507</v>
      </c>
      <c r="G20" s="29"/>
      <c r="H20" s="29"/>
    </row>
    <row r="21" spans="1:8" x14ac:dyDescent="0.2">
      <c r="A21" s="27" t="s">
        <v>200</v>
      </c>
      <c r="B21" s="27" t="s">
        <v>199</v>
      </c>
      <c r="C21" s="27" t="s">
        <v>188</v>
      </c>
      <c r="D21" s="31">
        <v>56311</v>
      </c>
      <c r="E21" s="29">
        <v>218.0643475</v>
      </c>
      <c r="F21" s="30">
        <v>1.67935514728489</v>
      </c>
      <c r="G21" s="29"/>
      <c r="H21" s="29"/>
    </row>
    <row r="22" spans="1:8" x14ac:dyDescent="0.2">
      <c r="A22" s="27" t="s">
        <v>202</v>
      </c>
      <c r="B22" s="27" t="s">
        <v>201</v>
      </c>
      <c r="C22" s="27" t="s">
        <v>130</v>
      </c>
      <c r="D22" s="31">
        <v>41250</v>
      </c>
      <c r="E22" s="29">
        <v>210.97312500000001</v>
      </c>
      <c r="F22" s="30">
        <v>1.62474428979056</v>
      </c>
      <c r="G22" s="29">
        <v>-1.6258999999999999</v>
      </c>
      <c r="H22" s="29"/>
    </row>
    <row r="23" spans="1:8" x14ac:dyDescent="0.2">
      <c r="A23" s="27" t="s">
        <v>146</v>
      </c>
      <c r="B23" s="27" t="s">
        <v>145</v>
      </c>
      <c r="C23" s="27" t="s">
        <v>147</v>
      </c>
      <c r="D23" s="31">
        <v>115523</v>
      </c>
      <c r="E23" s="29">
        <v>197.54433</v>
      </c>
      <c r="F23" s="30">
        <v>1.5213265772500699</v>
      </c>
      <c r="G23" s="29"/>
      <c r="H23" s="29"/>
    </row>
    <row r="24" spans="1:8" x14ac:dyDescent="0.2">
      <c r="A24" s="27" t="s">
        <v>151</v>
      </c>
      <c r="B24" s="27" t="s">
        <v>150</v>
      </c>
      <c r="C24" s="27" t="s">
        <v>100</v>
      </c>
      <c r="D24" s="31">
        <v>97218</v>
      </c>
      <c r="E24" s="29">
        <v>183.98506499999999</v>
      </c>
      <c r="F24" s="30">
        <v>1.4169040903456001</v>
      </c>
      <c r="G24" s="29"/>
      <c r="H24" s="29"/>
    </row>
    <row r="25" spans="1:8" x14ac:dyDescent="0.2">
      <c r="A25" s="27" t="s">
        <v>110</v>
      </c>
      <c r="B25" s="27" t="s">
        <v>109</v>
      </c>
      <c r="C25" s="27" t="s">
        <v>100</v>
      </c>
      <c r="D25" s="31">
        <v>11128</v>
      </c>
      <c r="E25" s="29">
        <v>172.194672</v>
      </c>
      <c r="F25" s="30">
        <v>1.32610402421805</v>
      </c>
      <c r="G25" s="29"/>
      <c r="H25" s="29"/>
    </row>
    <row r="26" spans="1:8" x14ac:dyDescent="0.2">
      <c r="A26" s="27" t="s">
        <v>162</v>
      </c>
      <c r="B26" s="27" t="s">
        <v>161</v>
      </c>
      <c r="C26" s="27" t="s">
        <v>130</v>
      </c>
      <c r="D26" s="31">
        <v>18456</v>
      </c>
      <c r="E26" s="29">
        <v>170.93947199999999</v>
      </c>
      <c r="F26" s="30">
        <v>1.31643748952296</v>
      </c>
      <c r="G26" s="29"/>
      <c r="H26" s="29"/>
    </row>
    <row r="27" spans="1:8" x14ac:dyDescent="0.2">
      <c r="A27" s="27" t="s">
        <v>120</v>
      </c>
      <c r="B27" s="27" t="s">
        <v>119</v>
      </c>
      <c r="C27" s="27" t="s">
        <v>121</v>
      </c>
      <c r="D27" s="31">
        <v>73156</v>
      </c>
      <c r="E27" s="29">
        <v>168.95378199999999</v>
      </c>
      <c r="F27" s="30">
        <v>1.30114531195866</v>
      </c>
      <c r="G27" s="29"/>
      <c r="H27" s="29"/>
    </row>
    <row r="28" spans="1:8" x14ac:dyDescent="0.2">
      <c r="A28" s="27" t="s">
        <v>135</v>
      </c>
      <c r="B28" s="27" t="s">
        <v>134</v>
      </c>
      <c r="C28" s="27" t="s">
        <v>121</v>
      </c>
      <c r="D28" s="31">
        <v>82933</v>
      </c>
      <c r="E28" s="29">
        <v>160.22655599999999</v>
      </c>
      <c r="F28" s="30">
        <v>1.23393527935753</v>
      </c>
      <c r="G28" s="29"/>
      <c r="H28" s="29"/>
    </row>
    <row r="29" spans="1:8" x14ac:dyDescent="0.2">
      <c r="A29" s="27" t="s">
        <v>129</v>
      </c>
      <c r="B29" s="27" t="s">
        <v>128</v>
      </c>
      <c r="C29" s="27" t="s">
        <v>130</v>
      </c>
      <c r="D29" s="31">
        <v>10287</v>
      </c>
      <c r="E29" s="29">
        <v>156.022929</v>
      </c>
      <c r="F29" s="30">
        <v>1.2015623457686699</v>
      </c>
      <c r="G29" s="29"/>
      <c r="H29" s="29"/>
    </row>
    <row r="30" spans="1:8" x14ac:dyDescent="0.2">
      <c r="A30" s="27" t="s">
        <v>204</v>
      </c>
      <c r="B30" s="27" t="s">
        <v>203</v>
      </c>
      <c r="C30" s="27" t="s">
        <v>130</v>
      </c>
      <c r="D30" s="31">
        <v>902</v>
      </c>
      <c r="E30" s="29">
        <v>154.79763199999999</v>
      </c>
      <c r="F30" s="30">
        <v>1.1921260997821399</v>
      </c>
      <c r="G30" s="29"/>
      <c r="H30" s="29"/>
    </row>
    <row r="31" spans="1:8" x14ac:dyDescent="0.2">
      <c r="A31" s="27" t="s">
        <v>206</v>
      </c>
      <c r="B31" s="27" t="s">
        <v>205</v>
      </c>
      <c r="C31" s="27" t="s">
        <v>207</v>
      </c>
      <c r="D31" s="31">
        <v>16500</v>
      </c>
      <c r="E31" s="29">
        <v>153.36750000000001</v>
      </c>
      <c r="F31" s="30">
        <v>1.18111238037761</v>
      </c>
      <c r="G31" s="29">
        <v>-1.1626000000000001</v>
      </c>
      <c r="H31" s="29"/>
    </row>
    <row r="32" spans="1:8" x14ac:dyDescent="0.2">
      <c r="A32" s="27" t="s">
        <v>114</v>
      </c>
      <c r="B32" s="27" t="s">
        <v>113</v>
      </c>
      <c r="C32" s="27" t="s">
        <v>115</v>
      </c>
      <c r="D32" s="31">
        <v>17712</v>
      </c>
      <c r="E32" s="29">
        <v>137.86135200000001</v>
      </c>
      <c r="F32" s="30">
        <v>1.0616965760203201</v>
      </c>
      <c r="G32" s="29"/>
      <c r="H32" s="29"/>
    </row>
    <row r="33" spans="1:10" x14ac:dyDescent="0.2">
      <c r="A33" s="27" t="s">
        <v>137</v>
      </c>
      <c r="B33" s="27" t="s">
        <v>136</v>
      </c>
      <c r="C33" s="27" t="s">
        <v>138</v>
      </c>
      <c r="D33" s="31">
        <v>31144</v>
      </c>
      <c r="E33" s="29">
        <v>127.86169200000001</v>
      </c>
      <c r="F33" s="30">
        <v>0.98468728640180503</v>
      </c>
      <c r="G33" s="29"/>
      <c r="H33" s="29"/>
    </row>
    <row r="34" spans="1:10" x14ac:dyDescent="0.2">
      <c r="A34" s="27" t="s">
        <v>185</v>
      </c>
      <c r="B34" s="27" t="s">
        <v>184</v>
      </c>
      <c r="C34" s="27" t="s">
        <v>141</v>
      </c>
      <c r="D34" s="31">
        <v>2392</v>
      </c>
      <c r="E34" s="29">
        <v>116.936508</v>
      </c>
      <c r="F34" s="30">
        <v>0.90055035986715304</v>
      </c>
      <c r="G34" s="29"/>
      <c r="H34" s="29"/>
    </row>
    <row r="35" spans="1:10" x14ac:dyDescent="0.2">
      <c r="A35" s="27" t="s">
        <v>209</v>
      </c>
      <c r="B35" s="27" t="s">
        <v>208</v>
      </c>
      <c r="C35" s="27" t="s">
        <v>210</v>
      </c>
      <c r="D35" s="31">
        <v>122059</v>
      </c>
      <c r="E35" s="29">
        <v>116.44428600000001</v>
      </c>
      <c r="F35" s="30">
        <v>0.89675966432804399</v>
      </c>
      <c r="G35" s="29"/>
      <c r="H35" s="29"/>
    </row>
    <row r="36" spans="1:10" x14ac:dyDescent="0.2">
      <c r="A36" s="27" t="s">
        <v>123</v>
      </c>
      <c r="B36" s="27" t="s">
        <v>122</v>
      </c>
      <c r="C36" s="27" t="s">
        <v>124</v>
      </c>
      <c r="D36" s="31">
        <v>60335</v>
      </c>
      <c r="E36" s="29">
        <v>102.96167749999999</v>
      </c>
      <c r="F36" s="30">
        <v>0.79292752375631703</v>
      </c>
      <c r="G36" s="29"/>
      <c r="H36" s="29"/>
    </row>
    <row r="37" spans="1:10" x14ac:dyDescent="0.2">
      <c r="A37" s="27" t="s">
        <v>212</v>
      </c>
      <c r="B37" s="27" t="s">
        <v>211</v>
      </c>
      <c r="C37" s="27" t="s">
        <v>213</v>
      </c>
      <c r="D37" s="31">
        <v>76471</v>
      </c>
      <c r="E37" s="29">
        <v>97.232876500000003</v>
      </c>
      <c r="F37" s="30">
        <v>0.74880893418669003</v>
      </c>
      <c r="G37" s="29"/>
      <c r="H37" s="29"/>
    </row>
    <row r="38" spans="1:10" x14ac:dyDescent="0.2">
      <c r="A38" s="27" t="s">
        <v>215</v>
      </c>
      <c r="B38" s="27" t="s">
        <v>214</v>
      </c>
      <c r="C38" s="27" t="s">
        <v>144</v>
      </c>
      <c r="D38" s="31">
        <v>121901</v>
      </c>
      <c r="E38" s="29">
        <v>96.9722455</v>
      </c>
      <c r="F38" s="30">
        <v>0.74680176512668595</v>
      </c>
      <c r="G38" s="29"/>
      <c r="H38" s="29"/>
    </row>
    <row r="39" spans="1:10" x14ac:dyDescent="0.2">
      <c r="A39" s="27" t="s">
        <v>217</v>
      </c>
      <c r="B39" s="27" t="s">
        <v>216</v>
      </c>
      <c r="C39" s="27" t="s">
        <v>160</v>
      </c>
      <c r="D39" s="31">
        <v>64953</v>
      </c>
      <c r="E39" s="29">
        <v>89.375327999999996</v>
      </c>
      <c r="F39" s="30">
        <v>0.68829645394956396</v>
      </c>
      <c r="G39" s="29"/>
      <c r="H39" s="29"/>
    </row>
    <row r="40" spans="1:10" x14ac:dyDescent="0.2">
      <c r="A40" s="27" t="s">
        <v>219</v>
      </c>
      <c r="B40" s="27" t="s">
        <v>218</v>
      </c>
      <c r="C40" s="27" t="s">
        <v>188</v>
      </c>
      <c r="D40" s="31">
        <v>21957</v>
      </c>
      <c r="E40" s="29">
        <v>77.464296000000004</v>
      </c>
      <c r="F40" s="30">
        <v>0.59656732386480704</v>
      </c>
      <c r="G40" s="29"/>
      <c r="H40" s="29"/>
    </row>
    <row r="41" spans="1:10" x14ac:dyDescent="0.2">
      <c r="A41" s="27" t="s">
        <v>221</v>
      </c>
      <c r="B41" s="27" t="s">
        <v>220</v>
      </c>
      <c r="C41" s="27" t="s">
        <v>121</v>
      </c>
      <c r="D41" s="31">
        <v>47372</v>
      </c>
      <c r="E41" s="29">
        <v>40.147770000000001</v>
      </c>
      <c r="F41" s="30">
        <v>0.30918563705839103</v>
      </c>
      <c r="G41" s="29"/>
      <c r="H41" s="29"/>
    </row>
    <row r="42" spans="1:10" x14ac:dyDescent="0.2">
      <c r="A42" s="27" t="s">
        <v>223</v>
      </c>
      <c r="B42" s="27" t="s">
        <v>222</v>
      </c>
      <c r="C42" s="27" t="s">
        <v>100</v>
      </c>
      <c r="D42" s="31">
        <v>8500</v>
      </c>
      <c r="E42" s="29">
        <v>4.2882499999999997</v>
      </c>
      <c r="F42" s="30">
        <v>3.3024631458127E-2</v>
      </c>
      <c r="G42" s="29">
        <v>-3.32E-2</v>
      </c>
      <c r="H42" s="29"/>
    </row>
    <row r="43" spans="1:10" ht="10.5" x14ac:dyDescent="0.25">
      <c r="A43" s="26" t="s">
        <v>43</v>
      </c>
      <c r="B43" s="26"/>
      <c r="C43" s="26"/>
      <c r="D43" s="32"/>
      <c r="E43" s="33">
        <f>SUM(E7:E42)</f>
        <v>9830.0122174999997</v>
      </c>
      <c r="F43" s="34">
        <f>SUM(F7:F42)</f>
        <v>75.702799676283576</v>
      </c>
      <c r="G43" s="34">
        <f>SUM(G7:G42)</f>
        <v>-28.479900000000004</v>
      </c>
      <c r="H43" s="33"/>
      <c r="I43" s="18"/>
      <c r="J43" s="18"/>
    </row>
    <row r="44" spans="1:10" x14ac:dyDescent="0.2">
      <c r="A44" s="27"/>
      <c r="B44" s="27"/>
      <c r="C44" s="27"/>
      <c r="D44" s="28"/>
      <c r="E44" s="29"/>
      <c r="F44" s="30"/>
      <c r="G44" s="30"/>
      <c r="H44" s="29"/>
    </row>
    <row r="45" spans="1:10" ht="10.5" x14ac:dyDescent="0.25">
      <c r="A45" s="26" t="s">
        <v>32</v>
      </c>
      <c r="B45" s="27"/>
      <c r="C45" s="27"/>
      <c r="D45" s="28"/>
      <c r="E45" s="29"/>
      <c r="F45" s="30"/>
      <c r="G45" s="30"/>
      <c r="H45" s="29"/>
    </row>
    <row r="46" spans="1:10" ht="10.5" x14ac:dyDescent="0.25">
      <c r="A46" s="26" t="s">
        <v>33</v>
      </c>
      <c r="B46" s="27"/>
      <c r="C46" s="27"/>
      <c r="D46" s="28"/>
      <c r="E46" s="29"/>
      <c r="F46" s="30"/>
      <c r="G46" s="30"/>
      <c r="H46" s="29"/>
    </row>
    <row r="47" spans="1:10" x14ac:dyDescent="0.2">
      <c r="A47" s="27" t="s">
        <v>181</v>
      </c>
      <c r="B47" s="27" t="s">
        <v>180</v>
      </c>
      <c r="C47" s="27" t="s">
        <v>42</v>
      </c>
      <c r="D47" s="31">
        <v>50</v>
      </c>
      <c r="E47" s="29">
        <v>521.83950000000004</v>
      </c>
      <c r="F47" s="30">
        <v>4.0187855576967904</v>
      </c>
      <c r="G47" s="30"/>
      <c r="H47" s="29">
        <v>5.0199999999999996</v>
      </c>
    </row>
    <row r="48" spans="1:10" ht="10.5" x14ac:dyDescent="0.25">
      <c r="A48" s="26" t="s">
        <v>43</v>
      </c>
      <c r="B48" s="26"/>
      <c r="C48" s="26"/>
      <c r="D48" s="32"/>
      <c r="E48" s="33">
        <f>SUM(E46:E47)</f>
        <v>521.83950000000004</v>
      </c>
      <c r="F48" s="34">
        <f>SUM(F46:F47)</f>
        <v>4.0187855576967904</v>
      </c>
      <c r="G48" s="34"/>
      <c r="H48" s="33"/>
      <c r="I48" s="18"/>
      <c r="J48" s="18"/>
    </row>
    <row r="49" spans="1:10" x14ac:dyDescent="0.2">
      <c r="A49" s="27"/>
      <c r="B49" s="27"/>
      <c r="C49" s="27"/>
      <c r="D49" s="28"/>
      <c r="E49" s="29"/>
      <c r="F49" s="30"/>
      <c r="G49" s="30"/>
      <c r="H49" s="29"/>
    </row>
    <row r="50" spans="1:10" ht="10.5" x14ac:dyDescent="0.25">
      <c r="A50" s="26" t="s">
        <v>62</v>
      </c>
      <c r="B50" s="27"/>
      <c r="C50" s="27"/>
      <c r="D50" s="28"/>
      <c r="E50" s="29"/>
      <c r="F50" s="30"/>
      <c r="G50" s="30"/>
      <c r="H50" s="29"/>
    </row>
    <row r="51" spans="1:10" ht="10.5" x14ac:dyDescent="0.25">
      <c r="A51" s="26" t="s">
        <v>63</v>
      </c>
      <c r="B51" s="27"/>
      <c r="C51" s="27"/>
      <c r="D51" s="28"/>
      <c r="E51" s="29"/>
      <c r="F51" s="30"/>
      <c r="G51" s="30"/>
      <c r="H51" s="29"/>
    </row>
    <row r="52" spans="1:10" x14ac:dyDescent="0.2">
      <c r="A52" s="27" t="s">
        <v>65</v>
      </c>
      <c r="B52" s="27" t="s">
        <v>64</v>
      </c>
      <c r="C52" s="27" t="s">
        <v>66</v>
      </c>
      <c r="D52" s="31">
        <v>500</v>
      </c>
      <c r="E52" s="29">
        <v>495.41449999999998</v>
      </c>
      <c r="F52" s="30">
        <v>3.8152815907450002</v>
      </c>
      <c r="G52" s="30"/>
      <c r="H52" s="29">
        <v>3.28</v>
      </c>
    </row>
    <row r="53" spans="1:10" ht="10.5" x14ac:dyDescent="0.25">
      <c r="A53" s="26" t="s">
        <v>43</v>
      </c>
      <c r="B53" s="26"/>
      <c r="C53" s="26"/>
      <c r="D53" s="32"/>
      <c r="E53" s="33">
        <f>SUM(E51:E52)</f>
        <v>495.41449999999998</v>
      </c>
      <c r="F53" s="34">
        <f>SUM(F51:F52)</f>
        <v>3.8152815907450002</v>
      </c>
      <c r="G53" s="34"/>
      <c r="H53" s="33"/>
      <c r="I53" s="18"/>
      <c r="J53" s="18"/>
    </row>
    <row r="54" spans="1:10" x14ac:dyDescent="0.2">
      <c r="A54" s="27"/>
      <c r="B54" s="27"/>
      <c r="C54" s="27"/>
      <c r="D54" s="28"/>
      <c r="E54" s="29"/>
      <c r="F54" s="30"/>
      <c r="G54" s="30"/>
      <c r="H54" s="29"/>
    </row>
    <row r="55" spans="1:10" ht="10.5" x14ac:dyDescent="0.25">
      <c r="A55" s="26" t="s">
        <v>48</v>
      </c>
      <c r="B55" s="26"/>
      <c r="C55" s="26"/>
      <c r="D55" s="32"/>
      <c r="E55" s="33">
        <f>E43+E48+E53</f>
        <v>10847.2662175</v>
      </c>
      <c r="F55" s="34">
        <f>F43+F48+F53</f>
        <v>83.536866824725365</v>
      </c>
      <c r="G55" s="34"/>
      <c r="H55" s="33"/>
      <c r="I55" s="18"/>
      <c r="J55" s="18"/>
    </row>
    <row r="56" spans="1:10" ht="10.5" x14ac:dyDescent="0.25">
      <c r="A56" s="26"/>
      <c r="B56" s="26"/>
      <c r="C56" s="26"/>
      <c r="D56" s="32"/>
      <c r="E56" s="33"/>
      <c r="F56" s="34"/>
      <c r="G56" s="34"/>
      <c r="H56" s="33"/>
      <c r="I56" s="18"/>
      <c r="J56" s="18"/>
    </row>
    <row r="57" spans="1:10" ht="10.5" x14ac:dyDescent="0.25">
      <c r="A57" s="26" t="s">
        <v>722</v>
      </c>
      <c r="B57" s="26"/>
      <c r="C57" s="26"/>
      <c r="D57" s="32"/>
      <c r="E57" s="33">
        <v>1447.5325399999999</v>
      </c>
      <c r="F57" s="34">
        <v>11.147724283133318</v>
      </c>
      <c r="G57" s="34"/>
      <c r="H57" s="33"/>
      <c r="I57" s="18"/>
      <c r="J57" s="18"/>
    </row>
    <row r="58" spans="1:10" ht="10.5" x14ac:dyDescent="0.25">
      <c r="A58" s="26" t="s">
        <v>50</v>
      </c>
      <c r="B58" s="26"/>
      <c r="C58" s="26"/>
      <c r="D58" s="32"/>
      <c r="E58" s="33">
        <f>E60-(E43+E48+E53+E57)</f>
        <v>690.20610299999862</v>
      </c>
      <c r="F58" s="34">
        <f>F60-(F43+F48+F53+F57)</f>
        <v>5.3154088921413205</v>
      </c>
      <c r="G58" s="34"/>
      <c r="H58" s="33"/>
      <c r="I58" s="18"/>
      <c r="J58" s="18"/>
    </row>
    <row r="59" spans="1:10" ht="10.5" x14ac:dyDescent="0.25">
      <c r="A59" s="26"/>
      <c r="B59" s="26"/>
      <c r="C59" s="26"/>
      <c r="D59" s="32"/>
      <c r="E59" s="33"/>
      <c r="F59" s="34"/>
      <c r="G59" s="34"/>
      <c r="H59" s="33"/>
      <c r="I59" s="18"/>
      <c r="J59" s="18"/>
    </row>
    <row r="60" spans="1:10" ht="10.5" x14ac:dyDescent="0.25">
      <c r="A60" s="35" t="s">
        <v>49</v>
      </c>
      <c r="B60" s="35"/>
      <c r="C60" s="35"/>
      <c r="D60" s="36"/>
      <c r="E60" s="37">
        <v>12985.004860499999</v>
      </c>
      <c r="F60" s="38">
        <v>100</v>
      </c>
      <c r="G60" s="38"/>
      <c r="H60" s="37"/>
      <c r="I60" s="18"/>
      <c r="J60" s="18"/>
    </row>
    <row r="62" spans="1:10" ht="10.5" x14ac:dyDescent="0.25">
      <c r="A62" s="18" t="s">
        <v>766</v>
      </c>
    </row>
    <row r="63" spans="1:10" ht="10.5" x14ac:dyDescent="0.25">
      <c r="A63" s="18"/>
    </row>
    <row r="64" spans="1:10" ht="10.5" x14ac:dyDescent="0.25">
      <c r="A64" s="18" t="s">
        <v>51</v>
      </c>
    </row>
    <row r="65" spans="1:6" ht="10.5" x14ac:dyDescent="0.25">
      <c r="A65" s="18" t="s">
        <v>52</v>
      </c>
    </row>
    <row r="66" spans="1:6" ht="10.5" x14ac:dyDescent="0.25">
      <c r="A66" s="18" t="s">
        <v>53</v>
      </c>
      <c r="B66" s="18"/>
      <c r="C66" s="39" t="s">
        <v>55</v>
      </c>
      <c r="D66" s="19" t="s">
        <v>54</v>
      </c>
    </row>
    <row r="67" spans="1:6" x14ac:dyDescent="0.2">
      <c r="A67" s="9" t="s">
        <v>71</v>
      </c>
      <c r="C67" s="40">
        <v>9.5295000000000005</v>
      </c>
      <c r="D67" s="40">
        <v>10.3459</v>
      </c>
    </row>
    <row r="68" spans="1:6" x14ac:dyDescent="0.2">
      <c r="A68" s="9" t="s">
        <v>77</v>
      </c>
      <c r="C68" s="40">
        <v>9.5295000000000005</v>
      </c>
      <c r="D68" s="40">
        <v>10.3459</v>
      </c>
    </row>
    <row r="69" spans="1:6" x14ac:dyDescent="0.2">
      <c r="A69" s="9" t="s">
        <v>72</v>
      </c>
      <c r="C69" s="40">
        <v>9.4718999999999998</v>
      </c>
      <c r="D69" s="40">
        <v>10.2836</v>
      </c>
    </row>
    <row r="70" spans="1:6" x14ac:dyDescent="0.2">
      <c r="A70" s="9" t="s">
        <v>73</v>
      </c>
      <c r="C70" s="40">
        <v>9.5295000000000005</v>
      </c>
      <c r="D70" s="40">
        <v>10.3459</v>
      </c>
    </row>
    <row r="71" spans="1:6" x14ac:dyDescent="0.2">
      <c r="A71" s="9" t="s">
        <v>74</v>
      </c>
      <c r="C71" s="40">
        <v>9.8272999999999993</v>
      </c>
      <c r="D71" s="40">
        <v>10.746</v>
      </c>
    </row>
    <row r="72" spans="1:6" x14ac:dyDescent="0.2">
      <c r="A72" s="9" t="s">
        <v>78</v>
      </c>
      <c r="C72" s="40">
        <v>9.8272999999999993</v>
      </c>
      <c r="D72" s="40">
        <v>10.746</v>
      </c>
    </row>
    <row r="73" spans="1:6" x14ac:dyDescent="0.2">
      <c r="A73" s="9" t="s">
        <v>75</v>
      </c>
      <c r="C73" s="40">
        <v>9.7698999999999998</v>
      </c>
      <c r="D73" s="40">
        <v>10.6822</v>
      </c>
    </row>
    <row r="74" spans="1:6" x14ac:dyDescent="0.2">
      <c r="A74" s="9" t="s">
        <v>76</v>
      </c>
      <c r="C74" s="40">
        <v>9.8272999999999993</v>
      </c>
      <c r="D74" s="40">
        <v>10.746</v>
      </c>
    </row>
    <row r="76" spans="1:6" ht="10.5" x14ac:dyDescent="0.25">
      <c r="A76" s="18" t="s">
        <v>56</v>
      </c>
      <c r="D76" s="41" t="s">
        <v>57</v>
      </c>
    </row>
    <row r="78" spans="1:6" ht="10.5" x14ac:dyDescent="0.25">
      <c r="A78" s="66" t="s">
        <v>1575</v>
      </c>
      <c r="B78" s="67"/>
      <c r="C78" s="67"/>
      <c r="D78" s="75" t="s">
        <v>1576</v>
      </c>
    </row>
    <row r="79" spans="1:6" x14ac:dyDescent="0.2">
      <c r="F79" s="76"/>
    </row>
    <row r="80" spans="1:6" ht="10.5" x14ac:dyDescent="0.25">
      <c r="A80" s="18" t="s">
        <v>1571</v>
      </c>
      <c r="D80" s="42">
        <f>-G43</f>
        <v>28.479900000000004</v>
      </c>
    </row>
    <row r="82" spans="1:5" ht="10.5" x14ac:dyDescent="0.25">
      <c r="A82" s="18" t="s">
        <v>1572</v>
      </c>
      <c r="D82" s="45">
        <v>1.9931018522958299</v>
      </c>
    </row>
    <row r="84" spans="1:5" ht="10.5" x14ac:dyDescent="0.25">
      <c r="A84" s="18" t="s">
        <v>1573</v>
      </c>
      <c r="D84" s="42">
        <v>0.83651286052239504</v>
      </c>
      <c r="E84" s="13" t="s">
        <v>58</v>
      </c>
    </row>
    <row r="86" spans="1:5" ht="10.5" x14ac:dyDescent="0.25">
      <c r="A86" s="18" t="s">
        <v>1574</v>
      </c>
      <c r="D86" s="41" t="s">
        <v>57</v>
      </c>
    </row>
  </sheetData>
  <mergeCells count="1">
    <mergeCell ref="A1:H1"/>
  </mergeCells>
  <conditionalFormatting sqref="F2:G3 F5:G6 F7:F42 F43:G65542">
    <cfRule type="cellIs" dxfId="2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03"/>
  <sheetViews>
    <sheetView workbookViewId="0">
      <selection sqref="A1:G1"/>
    </sheetView>
  </sheetViews>
  <sheetFormatPr defaultColWidth="9.1796875" defaultRowHeight="10" x14ac:dyDescent="0.2"/>
  <cols>
    <col min="1" max="1" width="38.7265625" style="9" bestFit="1" customWidth="1"/>
    <col min="2" max="2" width="51.81640625" style="9" bestFit="1" customWidth="1"/>
    <col min="3" max="3" width="35.7265625" style="9" bestFit="1" customWidth="1"/>
    <col min="4" max="4" width="1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9" t="s">
        <v>9</v>
      </c>
      <c r="B1" s="80"/>
      <c r="C1" s="80"/>
      <c r="D1" s="80"/>
      <c r="E1" s="80"/>
      <c r="F1" s="80"/>
      <c r="G1" s="80"/>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97</v>
      </c>
      <c r="B5" s="22"/>
      <c r="C5" s="22"/>
      <c r="D5" s="23"/>
      <c r="E5" s="24"/>
      <c r="F5" s="25"/>
      <c r="G5" s="24"/>
    </row>
    <row r="6" spans="1:7" ht="10.5" x14ac:dyDescent="0.25">
      <c r="A6" s="26" t="s">
        <v>33</v>
      </c>
      <c r="B6" s="27"/>
      <c r="C6" s="27"/>
      <c r="D6" s="28"/>
      <c r="E6" s="29"/>
      <c r="F6" s="30"/>
      <c r="G6" s="29"/>
    </row>
    <row r="7" spans="1:7" x14ac:dyDescent="0.2">
      <c r="A7" s="27" t="s">
        <v>102</v>
      </c>
      <c r="B7" s="27" t="s">
        <v>101</v>
      </c>
      <c r="C7" s="27" t="s">
        <v>103</v>
      </c>
      <c r="D7" s="31">
        <v>1053784</v>
      </c>
      <c r="E7" s="29">
        <v>11176.4331</v>
      </c>
      <c r="F7" s="30">
        <v>8.7736998061565306</v>
      </c>
      <c r="G7" s="29"/>
    </row>
    <row r="8" spans="1:7" x14ac:dyDescent="0.2">
      <c r="A8" s="27" t="s">
        <v>105</v>
      </c>
      <c r="B8" s="27" t="s">
        <v>104</v>
      </c>
      <c r="C8" s="27" t="s">
        <v>100</v>
      </c>
      <c r="D8" s="31">
        <v>2236935</v>
      </c>
      <c r="E8" s="29">
        <v>11016.90488</v>
      </c>
      <c r="F8" s="30">
        <v>8.6484673012627695</v>
      </c>
      <c r="G8" s="29"/>
    </row>
    <row r="9" spans="1:7" x14ac:dyDescent="0.2">
      <c r="A9" s="27" t="s">
        <v>99</v>
      </c>
      <c r="B9" s="27" t="s">
        <v>98</v>
      </c>
      <c r="C9" s="27" t="s">
        <v>100</v>
      </c>
      <c r="D9" s="31">
        <v>693868</v>
      </c>
      <c r="E9" s="29">
        <v>8212.2747139999992</v>
      </c>
      <c r="F9" s="30">
        <v>6.4467824771685001</v>
      </c>
      <c r="G9" s="29"/>
    </row>
    <row r="10" spans="1:7" x14ac:dyDescent="0.2">
      <c r="A10" s="27" t="s">
        <v>112</v>
      </c>
      <c r="B10" s="27" t="s">
        <v>111</v>
      </c>
      <c r="C10" s="27" t="s">
        <v>100</v>
      </c>
      <c r="D10" s="31">
        <v>1581302</v>
      </c>
      <c r="E10" s="29">
        <v>6208.1916520000004</v>
      </c>
      <c r="F10" s="30">
        <v>4.8735414426392403</v>
      </c>
      <c r="G10" s="29"/>
    </row>
    <row r="11" spans="1:7" x14ac:dyDescent="0.2">
      <c r="A11" s="27" t="s">
        <v>132</v>
      </c>
      <c r="B11" s="27" t="s">
        <v>131</v>
      </c>
      <c r="C11" s="27" t="s">
        <v>133</v>
      </c>
      <c r="D11" s="31">
        <v>1021320</v>
      </c>
      <c r="E11" s="29">
        <v>6066.6408000000001</v>
      </c>
      <c r="F11" s="30">
        <v>4.7624214930415798</v>
      </c>
      <c r="G11" s="29"/>
    </row>
    <row r="12" spans="1:7" x14ac:dyDescent="0.2">
      <c r="A12" s="27" t="s">
        <v>107</v>
      </c>
      <c r="B12" s="27" t="s">
        <v>106</v>
      </c>
      <c r="C12" s="27" t="s">
        <v>108</v>
      </c>
      <c r="D12" s="31">
        <v>1164520</v>
      </c>
      <c r="E12" s="29">
        <v>5051.1054999999997</v>
      </c>
      <c r="F12" s="30">
        <v>3.96520812585781</v>
      </c>
      <c r="G12" s="29"/>
    </row>
    <row r="13" spans="1:7" x14ac:dyDescent="0.2">
      <c r="A13" s="27" t="s">
        <v>146</v>
      </c>
      <c r="B13" s="27" t="s">
        <v>145</v>
      </c>
      <c r="C13" s="27" t="s">
        <v>147</v>
      </c>
      <c r="D13" s="31">
        <v>2508769</v>
      </c>
      <c r="E13" s="29">
        <v>4289.9949900000001</v>
      </c>
      <c r="F13" s="30">
        <v>3.36772276766686</v>
      </c>
      <c r="G13" s="29"/>
    </row>
    <row r="14" spans="1:7" x14ac:dyDescent="0.2">
      <c r="A14" s="27" t="s">
        <v>185</v>
      </c>
      <c r="B14" s="27" t="s">
        <v>184</v>
      </c>
      <c r="C14" s="27" t="s">
        <v>141</v>
      </c>
      <c r="D14" s="31">
        <v>71688</v>
      </c>
      <c r="E14" s="29">
        <v>3504.5754120000001</v>
      </c>
      <c r="F14" s="30">
        <v>2.7511543564758001</v>
      </c>
      <c r="G14" s="29"/>
    </row>
    <row r="15" spans="1:7" x14ac:dyDescent="0.2">
      <c r="A15" s="27" t="s">
        <v>198</v>
      </c>
      <c r="B15" s="27" t="s">
        <v>197</v>
      </c>
      <c r="C15" s="27" t="s">
        <v>103</v>
      </c>
      <c r="D15" s="31">
        <v>429717</v>
      </c>
      <c r="E15" s="29">
        <v>3494.8883609999998</v>
      </c>
      <c r="F15" s="30">
        <v>2.7435498482466998</v>
      </c>
      <c r="G15" s="29"/>
    </row>
    <row r="16" spans="1:7" x14ac:dyDescent="0.2">
      <c r="A16" s="27" t="s">
        <v>120</v>
      </c>
      <c r="B16" s="27" t="s">
        <v>119</v>
      </c>
      <c r="C16" s="27" t="s">
        <v>121</v>
      </c>
      <c r="D16" s="31">
        <v>1379354</v>
      </c>
      <c r="E16" s="29">
        <v>3185.6180629999999</v>
      </c>
      <c r="F16" s="30">
        <v>2.5007671348949301</v>
      </c>
      <c r="G16" s="29"/>
    </row>
    <row r="17" spans="1:7" x14ac:dyDescent="0.2">
      <c r="A17" s="27" t="s">
        <v>123</v>
      </c>
      <c r="B17" s="27" t="s">
        <v>122</v>
      </c>
      <c r="C17" s="27" t="s">
        <v>124</v>
      </c>
      <c r="D17" s="31">
        <v>1606555</v>
      </c>
      <c r="E17" s="29">
        <v>2741.586108</v>
      </c>
      <c r="F17" s="30">
        <v>2.1521941114040302</v>
      </c>
      <c r="G17" s="29"/>
    </row>
    <row r="18" spans="1:7" x14ac:dyDescent="0.2">
      <c r="A18" s="27" t="s">
        <v>228</v>
      </c>
      <c r="B18" s="27" t="s">
        <v>227</v>
      </c>
      <c r="C18" s="27" t="s">
        <v>103</v>
      </c>
      <c r="D18" s="31">
        <v>93552</v>
      </c>
      <c r="E18" s="29">
        <v>2493.0204720000002</v>
      </c>
      <c r="F18" s="30">
        <v>1.95706564305661</v>
      </c>
      <c r="G18" s="29"/>
    </row>
    <row r="19" spans="1:7" x14ac:dyDescent="0.2">
      <c r="A19" s="27" t="s">
        <v>135</v>
      </c>
      <c r="B19" s="27" t="s">
        <v>134</v>
      </c>
      <c r="C19" s="27" t="s">
        <v>121</v>
      </c>
      <c r="D19" s="31">
        <v>1266102</v>
      </c>
      <c r="E19" s="29">
        <v>2446.1090640000002</v>
      </c>
      <c r="F19" s="30">
        <v>1.92023934905086</v>
      </c>
      <c r="G19" s="29"/>
    </row>
    <row r="20" spans="1:7" x14ac:dyDescent="0.2">
      <c r="A20" s="27" t="s">
        <v>149</v>
      </c>
      <c r="B20" s="27" t="s">
        <v>148</v>
      </c>
      <c r="C20" s="27" t="s">
        <v>147</v>
      </c>
      <c r="D20" s="31">
        <v>2512015</v>
      </c>
      <c r="E20" s="29">
        <v>2200.5251400000002</v>
      </c>
      <c r="F20" s="30">
        <v>1.72745157793326</v>
      </c>
      <c r="G20" s="29"/>
    </row>
    <row r="21" spans="1:7" x14ac:dyDescent="0.2">
      <c r="A21" s="27" t="s">
        <v>215</v>
      </c>
      <c r="B21" s="27" t="s">
        <v>214</v>
      </c>
      <c r="C21" s="27" t="s">
        <v>144</v>
      </c>
      <c r="D21" s="31">
        <v>2568360</v>
      </c>
      <c r="E21" s="29">
        <v>2043.1303800000001</v>
      </c>
      <c r="F21" s="30">
        <v>1.6038938772834901</v>
      </c>
      <c r="G21" s="29"/>
    </row>
    <row r="22" spans="1:7" x14ac:dyDescent="0.2">
      <c r="A22" s="27" t="s">
        <v>126</v>
      </c>
      <c r="B22" s="27" t="s">
        <v>125</v>
      </c>
      <c r="C22" s="27" t="s">
        <v>127</v>
      </c>
      <c r="D22" s="31">
        <v>274626</v>
      </c>
      <c r="E22" s="29">
        <v>1937.6237430000001</v>
      </c>
      <c r="F22" s="30">
        <v>1.5210692808927899</v>
      </c>
      <c r="G22" s="29"/>
    </row>
    <row r="23" spans="1:7" x14ac:dyDescent="0.2">
      <c r="A23" s="27" t="s">
        <v>206</v>
      </c>
      <c r="B23" s="27" t="s">
        <v>205</v>
      </c>
      <c r="C23" s="27" t="s">
        <v>207</v>
      </c>
      <c r="D23" s="31">
        <v>205227</v>
      </c>
      <c r="E23" s="29">
        <v>1907.584965</v>
      </c>
      <c r="F23" s="30">
        <v>1.4974883031016</v>
      </c>
      <c r="G23" s="29"/>
    </row>
    <row r="24" spans="1:7" x14ac:dyDescent="0.2">
      <c r="A24" s="27" t="s">
        <v>209</v>
      </c>
      <c r="B24" s="27" t="s">
        <v>208</v>
      </c>
      <c r="C24" s="27" t="s">
        <v>210</v>
      </c>
      <c r="D24" s="31">
        <v>1583382</v>
      </c>
      <c r="E24" s="29">
        <v>1510.5464280000001</v>
      </c>
      <c r="F24" s="30">
        <v>1.1858059529327001</v>
      </c>
      <c r="G24" s="29"/>
    </row>
    <row r="25" spans="1:7" x14ac:dyDescent="0.2">
      <c r="A25" s="27" t="s">
        <v>140</v>
      </c>
      <c r="B25" s="27" t="s">
        <v>139</v>
      </c>
      <c r="C25" s="27" t="s">
        <v>141</v>
      </c>
      <c r="D25" s="31">
        <v>349001</v>
      </c>
      <c r="E25" s="29">
        <v>1457.7771769999999</v>
      </c>
      <c r="F25" s="30">
        <v>1.1443811474399901</v>
      </c>
      <c r="G25" s="29"/>
    </row>
    <row r="26" spans="1:7" x14ac:dyDescent="0.2">
      <c r="A26" s="27" t="s">
        <v>169</v>
      </c>
      <c r="B26" s="27" t="s">
        <v>168</v>
      </c>
      <c r="C26" s="27" t="s">
        <v>133</v>
      </c>
      <c r="D26" s="31">
        <v>1081483</v>
      </c>
      <c r="E26" s="29">
        <v>1434.5871999999999</v>
      </c>
      <c r="F26" s="30">
        <v>1.1261766008830301</v>
      </c>
      <c r="G26" s="29"/>
    </row>
    <row r="27" spans="1:7" x14ac:dyDescent="0.2">
      <c r="A27" s="27" t="s">
        <v>143</v>
      </c>
      <c r="B27" s="27" t="s">
        <v>142</v>
      </c>
      <c r="C27" s="27" t="s">
        <v>144</v>
      </c>
      <c r="D27" s="31">
        <v>762218</v>
      </c>
      <c r="E27" s="29">
        <v>1430.3020770000001</v>
      </c>
      <c r="F27" s="30">
        <v>1.12281270271462</v>
      </c>
      <c r="G27" s="29"/>
    </row>
    <row r="28" spans="1:7" x14ac:dyDescent="0.2">
      <c r="A28" s="27" t="s">
        <v>196</v>
      </c>
      <c r="B28" s="27" t="s">
        <v>195</v>
      </c>
      <c r="C28" s="27" t="s">
        <v>147</v>
      </c>
      <c r="D28" s="31">
        <v>6797235</v>
      </c>
      <c r="E28" s="29">
        <v>1349.2511480000001</v>
      </c>
      <c r="F28" s="30">
        <v>1.0591862743458</v>
      </c>
      <c r="G28" s="29"/>
    </row>
    <row r="29" spans="1:7" x14ac:dyDescent="0.2">
      <c r="A29" s="27" t="s">
        <v>200</v>
      </c>
      <c r="B29" s="27" t="s">
        <v>199</v>
      </c>
      <c r="C29" s="27" t="s">
        <v>188</v>
      </c>
      <c r="D29" s="31">
        <v>345421</v>
      </c>
      <c r="E29" s="29">
        <v>1337.6428229999999</v>
      </c>
      <c r="F29" s="30">
        <v>1.0500735316763801</v>
      </c>
      <c r="G29" s="29"/>
    </row>
    <row r="30" spans="1:7" x14ac:dyDescent="0.2">
      <c r="A30" s="27" t="s">
        <v>117</v>
      </c>
      <c r="B30" s="27" t="s">
        <v>116</v>
      </c>
      <c r="C30" s="27" t="s">
        <v>118</v>
      </c>
      <c r="D30" s="31">
        <v>99000</v>
      </c>
      <c r="E30" s="29">
        <v>1334.0744999999999</v>
      </c>
      <c r="F30" s="30">
        <v>1.0472723343235799</v>
      </c>
      <c r="G30" s="29"/>
    </row>
    <row r="31" spans="1:7" x14ac:dyDescent="0.2">
      <c r="A31" s="27" t="s">
        <v>219</v>
      </c>
      <c r="B31" s="27" t="s">
        <v>218</v>
      </c>
      <c r="C31" s="27" t="s">
        <v>188</v>
      </c>
      <c r="D31" s="31">
        <v>336933</v>
      </c>
      <c r="E31" s="29">
        <v>1188.6996240000001</v>
      </c>
      <c r="F31" s="30">
        <v>0.93315045751646297</v>
      </c>
      <c r="G31" s="29"/>
    </row>
    <row r="32" spans="1:7" x14ac:dyDescent="0.2">
      <c r="A32" s="27" t="s">
        <v>162</v>
      </c>
      <c r="B32" s="27" t="s">
        <v>161</v>
      </c>
      <c r="C32" s="27" t="s">
        <v>130</v>
      </c>
      <c r="D32" s="31">
        <v>128251</v>
      </c>
      <c r="E32" s="29">
        <v>1187.860762</v>
      </c>
      <c r="F32" s="30">
        <v>0.93249193584850898</v>
      </c>
      <c r="G32" s="29"/>
    </row>
    <row r="33" spans="1:9" x14ac:dyDescent="0.2">
      <c r="A33" s="27" t="s">
        <v>212</v>
      </c>
      <c r="B33" s="27" t="s">
        <v>211</v>
      </c>
      <c r="C33" s="27" t="s">
        <v>213</v>
      </c>
      <c r="D33" s="31">
        <v>921918</v>
      </c>
      <c r="E33" s="29">
        <v>1172.2187369999999</v>
      </c>
      <c r="F33" s="30">
        <v>0.92021266656084999</v>
      </c>
      <c r="G33" s="29"/>
    </row>
    <row r="34" spans="1:9" x14ac:dyDescent="0.2">
      <c r="A34" s="27" t="s">
        <v>151</v>
      </c>
      <c r="B34" s="27" t="s">
        <v>150</v>
      </c>
      <c r="C34" s="27" t="s">
        <v>100</v>
      </c>
      <c r="D34" s="31">
        <v>615662</v>
      </c>
      <c r="E34" s="29">
        <v>1165.1403350000001</v>
      </c>
      <c r="F34" s="30">
        <v>0.91465599443660195</v>
      </c>
      <c r="G34" s="29"/>
    </row>
    <row r="35" spans="1:9" x14ac:dyDescent="0.2">
      <c r="A35" s="27" t="s">
        <v>166</v>
      </c>
      <c r="B35" s="27" t="s">
        <v>165</v>
      </c>
      <c r="C35" s="27" t="s">
        <v>167</v>
      </c>
      <c r="D35" s="31">
        <v>649104</v>
      </c>
      <c r="E35" s="29">
        <v>995.07643199999995</v>
      </c>
      <c r="F35" s="30">
        <v>0.78115279002111404</v>
      </c>
      <c r="G35" s="29"/>
    </row>
    <row r="36" spans="1:9" x14ac:dyDescent="0.2">
      <c r="A36" s="27" t="s">
        <v>137</v>
      </c>
      <c r="B36" s="27" t="s">
        <v>136</v>
      </c>
      <c r="C36" s="27" t="s">
        <v>138</v>
      </c>
      <c r="D36" s="31">
        <v>235077</v>
      </c>
      <c r="E36" s="29">
        <v>965.10862350000002</v>
      </c>
      <c r="F36" s="30">
        <v>0.75762752455628701</v>
      </c>
      <c r="G36" s="29"/>
    </row>
    <row r="37" spans="1:9" x14ac:dyDescent="0.2">
      <c r="A37" s="27" t="s">
        <v>230</v>
      </c>
      <c r="B37" s="27" t="s">
        <v>229</v>
      </c>
      <c r="C37" s="27" t="s">
        <v>127</v>
      </c>
      <c r="D37" s="31">
        <v>72561</v>
      </c>
      <c r="E37" s="29">
        <v>845.87985749999996</v>
      </c>
      <c r="F37" s="30">
        <v>0.66403081156361599</v>
      </c>
      <c r="G37" s="29"/>
    </row>
    <row r="38" spans="1:9" x14ac:dyDescent="0.2">
      <c r="A38" s="27" t="s">
        <v>217</v>
      </c>
      <c r="B38" s="27" t="s">
        <v>216</v>
      </c>
      <c r="C38" s="27" t="s">
        <v>160</v>
      </c>
      <c r="D38" s="31">
        <v>377910</v>
      </c>
      <c r="E38" s="29">
        <v>520.00415999999996</v>
      </c>
      <c r="F38" s="30">
        <v>0.40821256271758</v>
      </c>
      <c r="G38" s="29"/>
    </row>
    <row r="39" spans="1:9" x14ac:dyDescent="0.2">
      <c r="A39" s="27" t="s">
        <v>173</v>
      </c>
      <c r="B39" s="27" t="s">
        <v>172</v>
      </c>
      <c r="C39" s="27" t="s">
        <v>174</v>
      </c>
      <c r="D39" s="31">
        <v>1265151</v>
      </c>
      <c r="E39" s="29">
        <v>464.9429925</v>
      </c>
      <c r="F39" s="30">
        <v>0.36498856179536299</v>
      </c>
      <c r="G39" s="29"/>
    </row>
    <row r="40" spans="1:9" x14ac:dyDescent="0.2">
      <c r="A40" s="27" t="s">
        <v>176</v>
      </c>
      <c r="B40" s="27" t="s">
        <v>175</v>
      </c>
      <c r="C40" s="27" t="s">
        <v>167</v>
      </c>
      <c r="D40" s="31">
        <v>75869</v>
      </c>
      <c r="E40" s="29">
        <v>72.416960500000002</v>
      </c>
      <c r="F40" s="30">
        <v>5.6848608730212399E-2</v>
      </c>
      <c r="G40" s="29"/>
    </row>
    <row r="41" spans="1:9" ht="10.5" x14ac:dyDescent="0.25">
      <c r="A41" s="26" t="s">
        <v>43</v>
      </c>
      <c r="B41" s="26"/>
      <c r="C41" s="26"/>
      <c r="D41" s="32"/>
      <c r="E41" s="33">
        <f>SUM(E7:E40)</f>
        <v>96407.737181000004</v>
      </c>
      <c r="F41" s="34">
        <f>SUM(F7:F40)</f>
        <v>75.681797354196021</v>
      </c>
      <c r="G41" s="33"/>
      <c r="H41" s="18"/>
      <c r="I41" s="18"/>
    </row>
    <row r="42" spans="1:9" x14ac:dyDescent="0.2">
      <c r="A42" s="27"/>
      <c r="B42" s="27"/>
      <c r="C42" s="27"/>
      <c r="D42" s="28"/>
      <c r="E42" s="29"/>
      <c r="F42" s="30"/>
      <c r="G42" s="29"/>
    </row>
    <row r="43" spans="1:9" ht="10.5" x14ac:dyDescent="0.25">
      <c r="A43" s="26" t="s">
        <v>231</v>
      </c>
      <c r="B43" s="27"/>
      <c r="C43" s="27"/>
      <c r="D43" s="28"/>
      <c r="E43" s="29"/>
      <c r="F43" s="30"/>
      <c r="G43" s="29"/>
    </row>
    <row r="44" spans="1:9" x14ac:dyDescent="0.2">
      <c r="A44" s="27" t="s">
        <v>232</v>
      </c>
      <c r="B44" s="27" t="s">
        <v>1570</v>
      </c>
      <c r="C44" s="27" t="s">
        <v>233</v>
      </c>
      <c r="D44" s="31">
        <v>270000</v>
      </c>
      <c r="E44" s="29">
        <v>2.7E-2</v>
      </c>
      <c r="F44" s="30">
        <v>2.1195482731089402E-5</v>
      </c>
      <c r="G44" s="29"/>
    </row>
    <row r="45" spans="1:9" x14ac:dyDescent="0.2">
      <c r="A45" s="27"/>
      <c r="B45" s="27" t="s">
        <v>1565</v>
      </c>
      <c r="C45" s="27" t="s">
        <v>188</v>
      </c>
      <c r="D45" s="31">
        <v>27500</v>
      </c>
      <c r="E45" s="29">
        <v>2.7499999999999998E-3</v>
      </c>
      <c r="F45" s="30">
        <v>2.1587991670553998E-6</v>
      </c>
      <c r="G45" s="29"/>
    </row>
    <row r="46" spans="1:9" ht="10.5" x14ac:dyDescent="0.25">
      <c r="A46" s="26" t="s">
        <v>43</v>
      </c>
      <c r="B46" s="26"/>
      <c r="C46" s="26"/>
      <c r="D46" s="32"/>
      <c r="E46" s="33">
        <f>SUM(E43:E45)</f>
        <v>2.9749999999999999E-2</v>
      </c>
      <c r="F46" s="34">
        <f>SUM(F43:F45)</f>
        <v>2.3354281898144801E-5</v>
      </c>
      <c r="G46" s="33"/>
      <c r="H46" s="18"/>
      <c r="I46" s="18"/>
    </row>
    <row r="47" spans="1:9" x14ac:dyDescent="0.2">
      <c r="A47" s="27"/>
      <c r="B47" s="27"/>
      <c r="C47" s="27"/>
      <c r="D47" s="28"/>
      <c r="E47" s="29"/>
      <c r="F47" s="30"/>
      <c r="G47" s="29"/>
    </row>
    <row r="48" spans="1:9" ht="10.5" x14ac:dyDescent="0.25">
      <c r="A48" s="26" t="s">
        <v>32</v>
      </c>
      <c r="B48" s="27"/>
      <c r="C48" s="27"/>
      <c r="D48" s="28"/>
      <c r="E48" s="29"/>
      <c r="F48" s="30"/>
      <c r="G48" s="29"/>
    </row>
    <row r="49" spans="1:9" ht="10.5" x14ac:dyDescent="0.25">
      <c r="A49" s="26" t="s">
        <v>33</v>
      </c>
      <c r="B49" s="27"/>
      <c r="C49" s="27"/>
      <c r="D49" s="28"/>
      <c r="E49" s="29"/>
      <c r="F49" s="30"/>
      <c r="G49" s="29"/>
    </row>
    <row r="50" spans="1:9" x14ac:dyDescent="0.2">
      <c r="A50" s="27" t="s">
        <v>35</v>
      </c>
      <c r="B50" s="27" t="s">
        <v>34</v>
      </c>
      <c r="C50" s="27" t="s">
        <v>36</v>
      </c>
      <c r="D50" s="31">
        <v>450</v>
      </c>
      <c r="E50" s="29">
        <v>4475.0339999999997</v>
      </c>
      <c r="F50" s="30">
        <v>3.5129816988162199</v>
      </c>
      <c r="G50" s="29">
        <v>10.626099999999999</v>
      </c>
    </row>
    <row r="51" spans="1:9" x14ac:dyDescent="0.2">
      <c r="A51" s="27" t="s">
        <v>41</v>
      </c>
      <c r="B51" s="27" t="s">
        <v>40</v>
      </c>
      <c r="C51" s="27" t="s">
        <v>39</v>
      </c>
      <c r="D51" s="31">
        <v>350</v>
      </c>
      <c r="E51" s="29">
        <v>3721.7809999999999</v>
      </c>
      <c r="F51" s="30">
        <v>2.9216646264591399</v>
      </c>
      <c r="G51" s="29">
        <v>7.0876000000000001</v>
      </c>
    </row>
    <row r="52" spans="1:9" x14ac:dyDescent="0.2">
      <c r="A52" s="27" t="s">
        <v>38</v>
      </c>
      <c r="B52" s="27" t="s">
        <v>37</v>
      </c>
      <c r="C52" s="27" t="s">
        <v>36</v>
      </c>
      <c r="D52" s="31">
        <v>250</v>
      </c>
      <c r="E52" s="29">
        <v>2503.0174999999999</v>
      </c>
      <c r="F52" s="30">
        <v>1.96491348877276</v>
      </c>
      <c r="G52" s="29">
        <v>10.2308</v>
      </c>
    </row>
    <row r="53" spans="1:9" x14ac:dyDescent="0.2">
      <c r="A53" s="27" t="s">
        <v>60</v>
      </c>
      <c r="B53" s="27" t="s">
        <v>59</v>
      </c>
      <c r="C53" s="27" t="s">
        <v>39</v>
      </c>
      <c r="D53" s="31">
        <v>80</v>
      </c>
      <c r="E53" s="29">
        <v>774.68</v>
      </c>
      <c r="F53" s="30">
        <v>0.608137650448902</v>
      </c>
      <c r="G53" s="29">
        <v>12.0748</v>
      </c>
    </row>
    <row r="54" spans="1:9" x14ac:dyDescent="0.2">
      <c r="A54" s="27" t="s">
        <v>96</v>
      </c>
      <c r="B54" s="27" t="s">
        <v>95</v>
      </c>
      <c r="C54" s="27" t="s">
        <v>42</v>
      </c>
      <c r="D54" s="31">
        <v>60</v>
      </c>
      <c r="E54" s="29">
        <v>676.36559999999997</v>
      </c>
      <c r="F54" s="30">
        <v>0.53095908869270103</v>
      </c>
      <c r="G54" s="29">
        <v>6.8273000000000001</v>
      </c>
    </row>
    <row r="55" spans="1:9" x14ac:dyDescent="0.2">
      <c r="A55" s="27" t="s">
        <v>181</v>
      </c>
      <c r="B55" s="27" t="s">
        <v>180</v>
      </c>
      <c r="C55" s="27" t="s">
        <v>42</v>
      </c>
      <c r="D55" s="31">
        <v>50</v>
      </c>
      <c r="E55" s="29">
        <v>521.83950000000004</v>
      </c>
      <c r="F55" s="30">
        <v>0.40965333743149401</v>
      </c>
      <c r="G55" s="29">
        <v>5.0199999999999996</v>
      </c>
    </row>
    <row r="56" spans="1:9" x14ac:dyDescent="0.2">
      <c r="A56" s="27" t="s">
        <v>94</v>
      </c>
      <c r="B56" s="27" t="s">
        <v>93</v>
      </c>
      <c r="C56" s="27" t="s">
        <v>42</v>
      </c>
      <c r="D56" s="31">
        <v>30</v>
      </c>
      <c r="E56" s="29">
        <v>337.56150000000002</v>
      </c>
      <c r="F56" s="30">
        <v>0.26499181273817202</v>
      </c>
      <c r="G56" s="29">
        <v>6.84</v>
      </c>
    </row>
    <row r="57" spans="1:9" ht="10.5" x14ac:dyDescent="0.25">
      <c r="A57" s="26" t="s">
        <v>43</v>
      </c>
      <c r="B57" s="26"/>
      <c r="C57" s="26"/>
      <c r="D57" s="32"/>
      <c r="E57" s="33">
        <f>SUM(E49:E56)</f>
        <v>13010.279099999998</v>
      </c>
      <c r="F57" s="34">
        <f>SUM(F49:F56)</f>
        <v>10.213301703359388</v>
      </c>
      <c r="G57" s="33"/>
      <c r="H57" s="18"/>
      <c r="I57" s="18"/>
    </row>
    <row r="58" spans="1:9" x14ac:dyDescent="0.2">
      <c r="A58" s="27"/>
      <c r="B58" s="27"/>
      <c r="C58" s="27"/>
      <c r="D58" s="28"/>
      <c r="E58" s="29"/>
      <c r="F58" s="30"/>
      <c r="G58" s="29"/>
    </row>
    <row r="59" spans="1:9" ht="10.5" x14ac:dyDescent="0.25">
      <c r="A59" s="26" t="s">
        <v>44</v>
      </c>
      <c r="B59" s="27"/>
      <c r="C59" s="27"/>
      <c r="D59" s="28"/>
      <c r="E59" s="29"/>
      <c r="F59" s="30"/>
      <c r="G59" s="29"/>
    </row>
    <row r="60" spans="1:9" x14ac:dyDescent="0.2">
      <c r="A60" s="27" t="s">
        <v>46</v>
      </c>
      <c r="B60" s="27" t="s">
        <v>45</v>
      </c>
      <c r="C60" s="27" t="s">
        <v>47</v>
      </c>
      <c r="D60" s="31">
        <v>14</v>
      </c>
      <c r="E60" s="29">
        <v>1932.9156</v>
      </c>
      <c r="F60" s="30">
        <v>1.5173733044612401</v>
      </c>
      <c r="G60" s="29">
        <v>10.46</v>
      </c>
    </row>
    <row r="61" spans="1:9" ht="10.5" x14ac:dyDescent="0.25">
      <c r="A61" s="26" t="s">
        <v>43</v>
      </c>
      <c r="B61" s="26"/>
      <c r="C61" s="26"/>
      <c r="D61" s="32"/>
      <c r="E61" s="33">
        <f>SUM(E59:E60)</f>
        <v>1932.9156</v>
      </c>
      <c r="F61" s="34">
        <f>SUM(F59:F60)</f>
        <v>1.5173733044612401</v>
      </c>
      <c r="G61" s="33"/>
      <c r="H61" s="18"/>
      <c r="I61" s="18"/>
    </row>
    <row r="62" spans="1:9" x14ac:dyDescent="0.2">
      <c r="A62" s="27"/>
      <c r="B62" s="27"/>
      <c r="C62" s="27"/>
      <c r="D62" s="28"/>
      <c r="E62" s="29"/>
      <c r="F62" s="30"/>
      <c r="G62" s="29"/>
    </row>
    <row r="63" spans="1:9" ht="10.5" x14ac:dyDescent="0.25">
      <c r="A63" s="26" t="s">
        <v>62</v>
      </c>
      <c r="B63" s="27"/>
      <c r="C63" s="27"/>
      <c r="D63" s="28"/>
      <c r="E63" s="29"/>
      <c r="F63" s="30"/>
      <c r="G63" s="29"/>
    </row>
    <row r="64" spans="1:9" ht="10.5" x14ac:dyDescent="0.25">
      <c r="A64" s="26" t="s">
        <v>63</v>
      </c>
      <c r="B64" s="27"/>
      <c r="C64" s="27"/>
      <c r="D64" s="28"/>
      <c r="E64" s="29"/>
      <c r="F64" s="30"/>
      <c r="G64" s="29"/>
    </row>
    <row r="65" spans="1:9" x14ac:dyDescent="0.2">
      <c r="A65" s="27" t="s">
        <v>235</v>
      </c>
      <c r="B65" s="27" t="s">
        <v>234</v>
      </c>
      <c r="C65" s="27" t="s">
        <v>67</v>
      </c>
      <c r="D65" s="31">
        <v>2500</v>
      </c>
      <c r="E65" s="29">
        <v>2475.3825000000002</v>
      </c>
      <c r="F65" s="30">
        <v>1.94321951968855</v>
      </c>
      <c r="G65" s="29">
        <v>3.2999000000000001</v>
      </c>
    </row>
    <row r="66" spans="1:9" ht="10.5" x14ac:dyDescent="0.25">
      <c r="A66" s="26" t="s">
        <v>43</v>
      </c>
      <c r="B66" s="26"/>
      <c r="C66" s="26"/>
      <c r="D66" s="32"/>
      <c r="E66" s="33">
        <f>SUM(E64:E65)</f>
        <v>2475.3825000000002</v>
      </c>
      <c r="F66" s="34">
        <f>SUM(F64:F65)</f>
        <v>1.94321951968855</v>
      </c>
      <c r="G66" s="33"/>
      <c r="H66" s="18"/>
      <c r="I66" s="18"/>
    </row>
    <row r="67" spans="1:9" x14ac:dyDescent="0.2">
      <c r="A67" s="27"/>
      <c r="B67" s="27"/>
      <c r="C67" s="27"/>
      <c r="D67" s="28"/>
      <c r="E67" s="29"/>
      <c r="F67" s="30"/>
      <c r="G67" s="29"/>
    </row>
    <row r="68" spans="1:9" ht="10.5" x14ac:dyDescent="0.25">
      <c r="A68" s="26" t="s">
        <v>79</v>
      </c>
      <c r="B68" s="27"/>
      <c r="C68" s="27"/>
      <c r="D68" s="28"/>
      <c r="E68" s="29"/>
      <c r="F68" s="30"/>
      <c r="G68" s="29"/>
    </row>
    <row r="69" spans="1:9" x14ac:dyDescent="0.2">
      <c r="A69" s="27" t="s">
        <v>84</v>
      </c>
      <c r="B69" s="27" t="s">
        <v>83</v>
      </c>
      <c r="C69" s="27" t="s">
        <v>82</v>
      </c>
      <c r="D69" s="31">
        <v>5100000</v>
      </c>
      <c r="E69" s="29">
        <v>5058.7155000000002</v>
      </c>
      <c r="F69" s="30">
        <v>3.9711821119164599</v>
      </c>
      <c r="G69" s="29">
        <v>5.8788</v>
      </c>
    </row>
    <row r="70" spans="1:9" x14ac:dyDescent="0.2">
      <c r="A70" s="27" t="s">
        <v>86</v>
      </c>
      <c r="B70" s="27" t="s">
        <v>85</v>
      </c>
      <c r="C70" s="27" t="s">
        <v>82</v>
      </c>
      <c r="D70" s="31">
        <v>2000000</v>
      </c>
      <c r="E70" s="29">
        <v>2171.636</v>
      </c>
      <c r="F70" s="30">
        <v>1.7047730865263799</v>
      </c>
      <c r="G70" s="29">
        <v>5.4256000000000002</v>
      </c>
    </row>
    <row r="71" spans="1:9" x14ac:dyDescent="0.2">
      <c r="A71" s="27" t="s">
        <v>81</v>
      </c>
      <c r="B71" s="27" t="s">
        <v>80</v>
      </c>
      <c r="C71" s="27" t="s">
        <v>82</v>
      </c>
      <c r="D71" s="31">
        <v>1500000</v>
      </c>
      <c r="E71" s="29">
        <v>1494.6524999999999</v>
      </c>
      <c r="F71" s="30">
        <v>1.1733289352862799</v>
      </c>
      <c r="G71" s="29">
        <v>6.2278000000000002</v>
      </c>
    </row>
    <row r="72" spans="1:9" x14ac:dyDescent="0.2">
      <c r="A72" s="27" t="s">
        <v>183</v>
      </c>
      <c r="B72" s="27" t="s">
        <v>182</v>
      </c>
      <c r="C72" s="27" t="s">
        <v>82</v>
      </c>
      <c r="D72" s="31">
        <v>300000</v>
      </c>
      <c r="E72" s="29">
        <v>313.40370000000001</v>
      </c>
      <c r="F72" s="30">
        <v>0.24602750782257499</v>
      </c>
      <c r="G72" s="29">
        <v>4.9382999999999999</v>
      </c>
    </row>
    <row r="73" spans="1:9" x14ac:dyDescent="0.2">
      <c r="A73" s="27" t="s">
        <v>88</v>
      </c>
      <c r="B73" s="27" t="s">
        <v>87</v>
      </c>
      <c r="C73" s="27" t="s">
        <v>82</v>
      </c>
      <c r="D73" s="31">
        <v>100000</v>
      </c>
      <c r="E73" s="29">
        <v>108.0125</v>
      </c>
      <c r="F73" s="30">
        <v>8.4791743647844295E-2</v>
      </c>
      <c r="G73" s="29">
        <v>4.6284000000000001</v>
      </c>
    </row>
    <row r="74" spans="1:9" x14ac:dyDescent="0.2">
      <c r="A74" s="27" t="s">
        <v>90</v>
      </c>
      <c r="B74" s="27" t="s">
        <v>89</v>
      </c>
      <c r="C74" s="27" t="s">
        <v>82</v>
      </c>
      <c r="D74" s="31">
        <v>100000</v>
      </c>
      <c r="E74" s="29">
        <v>100.21250000000001</v>
      </c>
      <c r="F74" s="30">
        <v>7.8668604192196304E-2</v>
      </c>
      <c r="G74" s="29">
        <v>5.1661999999999999</v>
      </c>
    </row>
    <row r="75" spans="1:9" ht="10.5" x14ac:dyDescent="0.25">
      <c r="A75" s="26" t="s">
        <v>43</v>
      </c>
      <c r="B75" s="26"/>
      <c r="C75" s="26"/>
      <c r="D75" s="32"/>
      <c r="E75" s="33">
        <f>SUM(E69:E74)</f>
        <v>9246.6327000000019</v>
      </c>
      <c r="F75" s="34">
        <f>SUM(F69:F74)</f>
        <v>7.258771989391736</v>
      </c>
      <c r="G75" s="33"/>
      <c r="H75" s="18"/>
      <c r="I75" s="18"/>
    </row>
    <row r="76" spans="1:9" x14ac:dyDescent="0.2">
      <c r="A76" s="27"/>
      <c r="B76" s="27"/>
      <c r="C76" s="27"/>
      <c r="D76" s="28"/>
      <c r="E76" s="29"/>
      <c r="F76" s="30"/>
      <c r="G76" s="29"/>
    </row>
    <row r="77" spans="1:9" ht="10.5" x14ac:dyDescent="0.25">
      <c r="A77" s="26" t="s">
        <v>48</v>
      </c>
      <c r="B77" s="26"/>
      <c r="C77" s="26"/>
      <c r="D77" s="32"/>
      <c r="E77" s="33">
        <f>E41+E46+E57+E61+E66+E75</f>
        <v>123072.97683100001</v>
      </c>
      <c r="F77" s="34">
        <f>F41+F46+F57+F61+F66+F75</f>
        <v>96.614487225378838</v>
      </c>
      <c r="G77" s="33"/>
      <c r="H77" s="18"/>
      <c r="I77" s="18"/>
    </row>
    <row r="78" spans="1:9" ht="10.5" x14ac:dyDescent="0.25">
      <c r="A78" s="26"/>
      <c r="B78" s="26"/>
      <c r="C78" s="26"/>
      <c r="D78" s="32"/>
      <c r="E78" s="33"/>
      <c r="F78" s="34"/>
      <c r="G78" s="33"/>
      <c r="H78" s="18"/>
      <c r="I78" s="18"/>
    </row>
    <row r="79" spans="1:9" ht="10.5" x14ac:dyDescent="0.25">
      <c r="A79" s="26" t="s">
        <v>50</v>
      </c>
      <c r="B79" s="26"/>
      <c r="C79" s="26"/>
      <c r="D79" s="32"/>
      <c r="E79" s="33">
        <f>E81-(E41+E46+E57+E61+E66+E75)</f>
        <v>4312.6569030999963</v>
      </c>
      <c r="F79" s="34">
        <f>F81-(F41+F46+F57+F61+F66+F75)</f>
        <v>3.3855127746211622</v>
      </c>
      <c r="G79" s="33"/>
      <c r="H79" s="18"/>
      <c r="I79" s="18"/>
    </row>
    <row r="80" spans="1:9" ht="10.5" x14ac:dyDescent="0.25">
      <c r="A80" s="26"/>
      <c r="B80" s="26"/>
      <c r="C80" s="26"/>
      <c r="D80" s="32"/>
      <c r="E80" s="33"/>
      <c r="F80" s="34"/>
      <c r="G80" s="33"/>
      <c r="H80" s="18"/>
      <c r="I80" s="18"/>
    </row>
    <row r="81" spans="1:9" ht="10.5" x14ac:dyDescent="0.25">
      <c r="A81" s="35" t="s">
        <v>49</v>
      </c>
      <c r="B81" s="35"/>
      <c r="C81" s="35"/>
      <c r="D81" s="36"/>
      <c r="E81" s="37">
        <v>127385.6337341</v>
      </c>
      <c r="F81" s="38">
        <v>100</v>
      </c>
      <c r="G81" s="37"/>
      <c r="H81" s="18"/>
      <c r="I81" s="18"/>
    </row>
    <row r="83" spans="1:9" ht="10.5" x14ac:dyDescent="0.25">
      <c r="A83" s="18" t="s">
        <v>766</v>
      </c>
    </row>
    <row r="84" spans="1:9" ht="10.5" x14ac:dyDescent="0.25">
      <c r="A84" s="18"/>
    </row>
    <row r="85" spans="1:9" ht="10.5" x14ac:dyDescent="0.25">
      <c r="A85" s="18" t="s">
        <v>51</v>
      </c>
    </row>
    <row r="86" spans="1:9" ht="10.5" x14ac:dyDescent="0.25">
      <c r="A86" s="18" t="s">
        <v>52</v>
      </c>
    </row>
    <row r="87" spans="1:9" ht="10.5" x14ac:dyDescent="0.25">
      <c r="A87" s="18" t="s">
        <v>53</v>
      </c>
      <c r="B87" s="18"/>
      <c r="C87" s="39" t="s">
        <v>55</v>
      </c>
      <c r="D87" s="19" t="s">
        <v>54</v>
      </c>
    </row>
    <row r="88" spans="1:9" x14ac:dyDescent="0.2">
      <c r="A88" s="9" t="s">
        <v>71</v>
      </c>
      <c r="C88" s="40">
        <v>106.28530000000001</v>
      </c>
      <c r="D88" s="40">
        <v>121.6978</v>
      </c>
    </row>
    <row r="89" spans="1:9" x14ac:dyDescent="0.2">
      <c r="A89" s="9" t="s">
        <v>77</v>
      </c>
      <c r="C89" s="40">
        <v>18.164899999999999</v>
      </c>
      <c r="D89" s="40">
        <v>19.378499999999999</v>
      </c>
    </row>
    <row r="90" spans="1:9" x14ac:dyDescent="0.2">
      <c r="A90" s="9" t="s">
        <v>74</v>
      </c>
      <c r="C90" s="40">
        <v>115.0842</v>
      </c>
      <c r="D90" s="40">
        <v>132.43450000000001</v>
      </c>
    </row>
    <row r="91" spans="1:9" x14ac:dyDescent="0.2">
      <c r="A91" s="9" t="s">
        <v>78</v>
      </c>
      <c r="C91" s="40">
        <v>20.098199999999999</v>
      </c>
      <c r="D91" s="40">
        <v>21.700199999999999</v>
      </c>
    </row>
    <row r="93" spans="1:9" ht="10.5" x14ac:dyDescent="0.25">
      <c r="A93" s="18" t="s">
        <v>56</v>
      </c>
    </row>
    <row r="94" spans="1:9" ht="10.5" x14ac:dyDescent="0.25">
      <c r="A94" s="81" t="s">
        <v>68</v>
      </c>
      <c r="B94" s="82"/>
      <c r="C94" s="43" t="s">
        <v>69</v>
      </c>
    </row>
    <row r="95" spans="1:9" x14ac:dyDescent="0.2">
      <c r="A95" s="77" t="s">
        <v>77</v>
      </c>
      <c r="B95" s="78"/>
      <c r="C95" s="44">
        <v>1.25</v>
      </c>
    </row>
    <row r="96" spans="1:9" x14ac:dyDescent="0.2">
      <c r="A96" s="77" t="s">
        <v>78</v>
      </c>
      <c r="B96" s="78"/>
      <c r="C96" s="44">
        <v>1.25</v>
      </c>
    </row>
    <row r="97" spans="1:5" x14ac:dyDescent="0.2">
      <c r="A97" s="9" t="s">
        <v>70</v>
      </c>
    </row>
    <row r="99" spans="1:5" ht="10.5" x14ac:dyDescent="0.25">
      <c r="A99" s="18" t="s">
        <v>224</v>
      </c>
      <c r="D99" s="45">
        <v>0.48952775137177001</v>
      </c>
    </row>
    <row r="101" spans="1:5" ht="10.5" x14ac:dyDescent="0.25">
      <c r="A101" s="18" t="s">
        <v>225</v>
      </c>
      <c r="D101" s="42">
        <v>3.81610249060234</v>
      </c>
      <c r="E101" s="13" t="s">
        <v>58</v>
      </c>
    </row>
    <row r="103" spans="1:5" ht="10.5" x14ac:dyDescent="0.25">
      <c r="A103" s="18" t="s">
        <v>226</v>
      </c>
      <c r="D103" s="41" t="s">
        <v>57</v>
      </c>
    </row>
  </sheetData>
  <mergeCells count="4">
    <mergeCell ref="A1:G1"/>
    <mergeCell ref="A94:B94"/>
    <mergeCell ref="A95:B95"/>
    <mergeCell ref="A96:B96"/>
  </mergeCells>
  <conditionalFormatting sqref="F2:F3 F5:F65537">
    <cfRule type="cellIs" dxfId="2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2"/>
  <sheetViews>
    <sheetView workbookViewId="0">
      <selection sqref="A1:F1"/>
    </sheetView>
  </sheetViews>
  <sheetFormatPr defaultColWidth="9.1796875" defaultRowHeight="10" x14ac:dyDescent="0.2"/>
  <cols>
    <col min="1" max="1" width="38.7265625" style="9" bestFit="1" customWidth="1"/>
    <col min="2" max="2" width="25.81640625" style="9" bestFit="1" customWidth="1"/>
    <col min="3" max="3" width="18.81640625" style="9" bestFit="1" customWidth="1"/>
    <col min="4" max="4" width="15" style="10" bestFit="1" customWidth="1"/>
    <col min="5" max="5" width="23" style="13" bestFit="1" customWidth="1"/>
    <col min="6" max="6" width="13.54296875" style="14" bestFit="1" customWidth="1"/>
    <col min="7" max="16384" width="9.1796875" style="9"/>
  </cols>
  <sheetData>
    <row r="1" spans="1:6" s="1" customFormat="1" ht="14" x14ac:dyDescent="0.25">
      <c r="A1" s="79" t="s">
        <v>10</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112</v>
      </c>
      <c r="B7" s="27" t="s">
        <v>111</v>
      </c>
      <c r="C7" s="27" t="s">
        <v>100</v>
      </c>
      <c r="D7" s="31">
        <v>800000</v>
      </c>
      <c r="E7" s="29">
        <v>3140.8</v>
      </c>
      <c r="F7" s="30">
        <v>7.9575229006501198</v>
      </c>
    </row>
    <row r="8" spans="1:6" x14ac:dyDescent="0.2">
      <c r="A8" s="27" t="s">
        <v>151</v>
      </c>
      <c r="B8" s="27" t="s">
        <v>150</v>
      </c>
      <c r="C8" s="27" t="s">
        <v>100</v>
      </c>
      <c r="D8" s="31">
        <v>1400000</v>
      </c>
      <c r="E8" s="29">
        <v>2649.5</v>
      </c>
      <c r="F8" s="30">
        <v>6.7127664688208402</v>
      </c>
    </row>
    <row r="9" spans="1:6" x14ac:dyDescent="0.2">
      <c r="A9" s="27" t="s">
        <v>99</v>
      </c>
      <c r="B9" s="27" t="s">
        <v>98</v>
      </c>
      <c r="C9" s="27" t="s">
        <v>100</v>
      </c>
      <c r="D9" s="31">
        <v>200000</v>
      </c>
      <c r="E9" s="29">
        <v>2367.1</v>
      </c>
      <c r="F9" s="30">
        <v>5.9972785462712999</v>
      </c>
    </row>
    <row r="10" spans="1:6" x14ac:dyDescent="0.2">
      <c r="A10" s="27" t="s">
        <v>107</v>
      </c>
      <c r="B10" s="27" t="s">
        <v>106</v>
      </c>
      <c r="C10" s="27" t="s">
        <v>108</v>
      </c>
      <c r="D10" s="31">
        <v>500000</v>
      </c>
      <c r="E10" s="29">
        <v>2168.75</v>
      </c>
      <c r="F10" s="30">
        <v>5.49473949018879</v>
      </c>
    </row>
    <row r="11" spans="1:6" x14ac:dyDescent="0.2">
      <c r="A11" s="27" t="s">
        <v>102</v>
      </c>
      <c r="B11" s="27" t="s">
        <v>101</v>
      </c>
      <c r="C11" s="27" t="s">
        <v>103</v>
      </c>
      <c r="D11" s="31">
        <v>180000</v>
      </c>
      <c r="E11" s="29">
        <v>1909.08</v>
      </c>
      <c r="F11" s="30">
        <v>4.8368402378926199</v>
      </c>
    </row>
    <row r="12" spans="1:6" x14ac:dyDescent="0.2">
      <c r="A12" s="27" t="s">
        <v>105</v>
      </c>
      <c r="B12" s="27" t="s">
        <v>104</v>
      </c>
      <c r="C12" s="27" t="s">
        <v>100</v>
      </c>
      <c r="D12" s="31">
        <v>385000</v>
      </c>
      <c r="E12" s="29">
        <v>1896.125</v>
      </c>
      <c r="F12" s="30">
        <v>4.8040174828054001</v>
      </c>
    </row>
    <row r="13" spans="1:6" x14ac:dyDescent="0.2">
      <c r="A13" s="27" t="s">
        <v>237</v>
      </c>
      <c r="B13" s="27" t="s">
        <v>236</v>
      </c>
      <c r="C13" s="27" t="s">
        <v>133</v>
      </c>
      <c r="D13" s="31">
        <v>3000000</v>
      </c>
      <c r="E13" s="29">
        <v>1666.5</v>
      </c>
      <c r="F13" s="30">
        <v>4.2222401661784996</v>
      </c>
    </row>
    <row r="14" spans="1:6" x14ac:dyDescent="0.2">
      <c r="A14" s="27" t="s">
        <v>132</v>
      </c>
      <c r="B14" s="27" t="s">
        <v>131</v>
      </c>
      <c r="C14" s="27" t="s">
        <v>133</v>
      </c>
      <c r="D14" s="31">
        <v>280000</v>
      </c>
      <c r="E14" s="29">
        <v>1663.2</v>
      </c>
      <c r="F14" s="30">
        <v>4.2138792945623003</v>
      </c>
    </row>
    <row r="15" spans="1:6" x14ac:dyDescent="0.2">
      <c r="A15" s="27" t="s">
        <v>114</v>
      </c>
      <c r="B15" s="27" t="s">
        <v>113</v>
      </c>
      <c r="C15" s="27" t="s">
        <v>115</v>
      </c>
      <c r="D15" s="31">
        <v>210000</v>
      </c>
      <c r="E15" s="29">
        <v>1634.5350000000001</v>
      </c>
      <c r="F15" s="30">
        <v>4.1412537233870799</v>
      </c>
    </row>
    <row r="16" spans="1:6" x14ac:dyDescent="0.2">
      <c r="A16" s="27" t="s">
        <v>239</v>
      </c>
      <c r="B16" s="27" t="s">
        <v>238</v>
      </c>
      <c r="C16" s="27" t="s">
        <v>130</v>
      </c>
      <c r="D16" s="31">
        <v>800000</v>
      </c>
      <c r="E16" s="29">
        <v>1322</v>
      </c>
      <c r="F16" s="30">
        <v>3.3494158413969299</v>
      </c>
    </row>
    <row r="17" spans="1:6" x14ac:dyDescent="0.2">
      <c r="A17" s="27" t="s">
        <v>149</v>
      </c>
      <c r="B17" s="27" t="s">
        <v>148</v>
      </c>
      <c r="C17" s="27" t="s">
        <v>147</v>
      </c>
      <c r="D17" s="31">
        <v>1400000</v>
      </c>
      <c r="E17" s="29">
        <v>1226.4000000000001</v>
      </c>
      <c r="F17" s="30">
        <v>3.1072039242732101</v>
      </c>
    </row>
    <row r="18" spans="1:6" x14ac:dyDescent="0.2">
      <c r="A18" s="27" t="s">
        <v>241</v>
      </c>
      <c r="B18" s="27" t="s">
        <v>240</v>
      </c>
      <c r="C18" s="27" t="s">
        <v>103</v>
      </c>
      <c r="D18" s="31">
        <v>130000</v>
      </c>
      <c r="E18" s="29">
        <v>1094.5350000000001</v>
      </c>
      <c r="F18" s="30">
        <v>2.7731110952824398</v>
      </c>
    </row>
    <row r="19" spans="1:6" x14ac:dyDescent="0.2">
      <c r="A19" s="27" t="s">
        <v>243</v>
      </c>
      <c r="B19" s="27" t="s">
        <v>242</v>
      </c>
      <c r="C19" s="27" t="s">
        <v>130</v>
      </c>
      <c r="D19" s="31">
        <v>300000</v>
      </c>
      <c r="E19" s="29">
        <v>1085.8499999999999</v>
      </c>
      <c r="F19" s="30">
        <v>2.7511068013470901</v>
      </c>
    </row>
    <row r="20" spans="1:6" x14ac:dyDescent="0.2">
      <c r="A20" s="27" t="s">
        <v>146</v>
      </c>
      <c r="B20" s="27" t="s">
        <v>145</v>
      </c>
      <c r="C20" s="27" t="s">
        <v>147</v>
      </c>
      <c r="D20" s="31">
        <v>600000</v>
      </c>
      <c r="E20" s="29">
        <v>1026</v>
      </c>
      <c r="F20" s="30">
        <v>2.5994709933988198</v>
      </c>
    </row>
    <row r="21" spans="1:6" x14ac:dyDescent="0.2">
      <c r="A21" s="27" t="s">
        <v>245</v>
      </c>
      <c r="B21" s="27" t="s">
        <v>244</v>
      </c>
      <c r="C21" s="27" t="s">
        <v>246</v>
      </c>
      <c r="D21" s="31">
        <v>1100000</v>
      </c>
      <c r="E21" s="29">
        <v>957</v>
      </c>
      <c r="F21" s="30">
        <v>2.4246527686965602</v>
      </c>
    </row>
    <row r="22" spans="1:6" x14ac:dyDescent="0.2">
      <c r="A22" s="27" t="s">
        <v>178</v>
      </c>
      <c r="B22" s="27" t="s">
        <v>177</v>
      </c>
      <c r="C22" s="27" t="s">
        <v>179</v>
      </c>
      <c r="D22" s="31">
        <v>800000</v>
      </c>
      <c r="E22" s="29">
        <v>913.6</v>
      </c>
      <c r="F22" s="30">
        <v>2.3146946389563001</v>
      </c>
    </row>
    <row r="23" spans="1:6" x14ac:dyDescent="0.2">
      <c r="A23" s="27" t="s">
        <v>215</v>
      </c>
      <c r="B23" s="27" t="s">
        <v>214</v>
      </c>
      <c r="C23" s="27" t="s">
        <v>144</v>
      </c>
      <c r="D23" s="31">
        <v>1100000</v>
      </c>
      <c r="E23" s="29">
        <v>875.05</v>
      </c>
      <c r="F23" s="30">
        <v>2.2170244568943902</v>
      </c>
    </row>
    <row r="24" spans="1:6" x14ac:dyDescent="0.2">
      <c r="A24" s="27" t="s">
        <v>248</v>
      </c>
      <c r="B24" s="27" t="s">
        <v>247</v>
      </c>
      <c r="C24" s="27" t="s">
        <v>249</v>
      </c>
      <c r="D24" s="31">
        <v>1300000</v>
      </c>
      <c r="E24" s="29">
        <v>843.7</v>
      </c>
      <c r="F24" s="30">
        <v>2.13759617654053</v>
      </c>
    </row>
    <row r="25" spans="1:6" x14ac:dyDescent="0.2">
      <c r="A25" s="27" t="s">
        <v>251</v>
      </c>
      <c r="B25" s="27" t="s">
        <v>250</v>
      </c>
      <c r="C25" s="27" t="s">
        <v>160</v>
      </c>
      <c r="D25" s="31">
        <v>300000</v>
      </c>
      <c r="E25" s="29">
        <v>830.85</v>
      </c>
      <c r="F25" s="30">
        <v>2.1050394491865601</v>
      </c>
    </row>
    <row r="26" spans="1:6" x14ac:dyDescent="0.2">
      <c r="A26" s="27" t="s">
        <v>198</v>
      </c>
      <c r="B26" s="27" t="s">
        <v>197</v>
      </c>
      <c r="C26" s="27" t="s">
        <v>103</v>
      </c>
      <c r="D26" s="31">
        <v>100000</v>
      </c>
      <c r="E26" s="29">
        <v>813.3</v>
      </c>
      <c r="F26" s="30">
        <v>2.0605748137731599</v>
      </c>
    </row>
    <row r="27" spans="1:6" x14ac:dyDescent="0.2">
      <c r="A27" s="27" t="s">
        <v>223</v>
      </c>
      <c r="B27" s="27" t="s">
        <v>222</v>
      </c>
      <c r="C27" s="27" t="s">
        <v>100</v>
      </c>
      <c r="D27" s="31">
        <v>1600000</v>
      </c>
      <c r="E27" s="29">
        <v>807.2</v>
      </c>
      <c r="F27" s="30">
        <v>2.0451198692705002</v>
      </c>
    </row>
    <row r="28" spans="1:6" x14ac:dyDescent="0.2">
      <c r="A28" s="27" t="s">
        <v>253</v>
      </c>
      <c r="B28" s="27" t="s">
        <v>252</v>
      </c>
      <c r="C28" s="27" t="s">
        <v>254</v>
      </c>
      <c r="D28" s="31">
        <v>250000</v>
      </c>
      <c r="E28" s="29">
        <v>805.875</v>
      </c>
      <c r="F28" s="30">
        <v>2.0417628526367202</v>
      </c>
    </row>
    <row r="29" spans="1:6" x14ac:dyDescent="0.2">
      <c r="A29" s="27" t="s">
        <v>153</v>
      </c>
      <c r="B29" s="27" t="s">
        <v>152</v>
      </c>
      <c r="C29" s="27" t="s">
        <v>144</v>
      </c>
      <c r="D29" s="31">
        <v>200000</v>
      </c>
      <c r="E29" s="29">
        <v>708.9</v>
      </c>
      <c r="F29" s="30">
        <v>1.79606723900626</v>
      </c>
    </row>
    <row r="30" spans="1:6" x14ac:dyDescent="0.2">
      <c r="A30" s="27" t="s">
        <v>219</v>
      </c>
      <c r="B30" s="27" t="s">
        <v>218</v>
      </c>
      <c r="C30" s="27" t="s">
        <v>188</v>
      </c>
      <c r="D30" s="31">
        <v>200000</v>
      </c>
      <c r="E30" s="29">
        <v>705.6</v>
      </c>
      <c r="F30" s="30">
        <v>1.7877063673900699</v>
      </c>
    </row>
    <row r="31" spans="1:6" x14ac:dyDescent="0.2">
      <c r="A31" s="27" t="s">
        <v>221</v>
      </c>
      <c r="B31" s="27" t="s">
        <v>220</v>
      </c>
      <c r="C31" s="27" t="s">
        <v>121</v>
      </c>
      <c r="D31" s="31">
        <v>800000</v>
      </c>
      <c r="E31" s="29">
        <v>678</v>
      </c>
      <c r="F31" s="30">
        <v>1.7177790775091599</v>
      </c>
    </row>
    <row r="32" spans="1:6" x14ac:dyDescent="0.2">
      <c r="A32" s="27" t="s">
        <v>256</v>
      </c>
      <c r="B32" s="27" t="s">
        <v>255</v>
      </c>
      <c r="C32" s="27" t="s">
        <v>257</v>
      </c>
      <c r="D32" s="31">
        <v>160000</v>
      </c>
      <c r="E32" s="29">
        <v>625.44000000000005</v>
      </c>
      <c r="F32" s="30">
        <v>1.58461319504031</v>
      </c>
    </row>
    <row r="33" spans="1:9" x14ac:dyDescent="0.2">
      <c r="A33" s="27" t="s">
        <v>259</v>
      </c>
      <c r="B33" s="27" t="s">
        <v>258</v>
      </c>
      <c r="C33" s="27" t="s">
        <v>103</v>
      </c>
      <c r="D33" s="31">
        <v>150000</v>
      </c>
      <c r="E33" s="29">
        <v>591.45000000000005</v>
      </c>
      <c r="F33" s="30">
        <v>1.4984962173934999</v>
      </c>
    </row>
    <row r="34" spans="1:9" x14ac:dyDescent="0.2">
      <c r="A34" s="27" t="s">
        <v>261</v>
      </c>
      <c r="B34" s="27" t="s">
        <v>260</v>
      </c>
      <c r="C34" s="27" t="s">
        <v>115</v>
      </c>
      <c r="D34" s="31">
        <v>30000</v>
      </c>
      <c r="E34" s="29">
        <v>494.7</v>
      </c>
      <c r="F34" s="30">
        <v>1.2533706631914201</v>
      </c>
    </row>
    <row r="35" spans="1:9" x14ac:dyDescent="0.2">
      <c r="A35" s="27" t="s">
        <v>263</v>
      </c>
      <c r="B35" s="27" t="s">
        <v>262</v>
      </c>
      <c r="C35" s="27" t="s">
        <v>144</v>
      </c>
      <c r="D35" s="31">
        <v>70000</v>
      </c>
      <c r="E35" s="29">
        <v>461.89499999999998</v>
      </c>
      <c r="F35" s="30">
        <v>1.1702559985340599</v>
      </c>
    </row>
    <row r="36" spans="1:9" x14ac:dyDescent="0.2">
      <c r="A36" s="27" t="s">
        <v>265</v>
      </c>
      <c r="B36" s="27" t="s">
        <v>264</v>
      </c>
      <c r="C36" s="27" t="s">
        <v>118</v>
      </c>
      <c r="D36" s="31">
        <v>300000</v>
      </c>
      <c r="E36" s="29">
        <v>419.7</v>
      </c>
      <c r="F36" s="30">
        <v>1.0633508537324401</v>
      </c>
    </row>
    <row r="37" spans="1:9" x14ac:dyDescent="0.2">
      <c r="A37" s="27" t="s">
        <v>137</v>
      </c>
      <c r="B37" s="27" t="s">
        <v>136</v>
      </c>
      <c r="C37" s="27" t="s">
        <v>138</v>
      </c>
      <c r="D37" s="31">
        <v>100000</v>
      </c>
      <c r="E37" s="29">
        <v>410.55</v>
      </c>
      <c r="F37" s="30">
        <v>1.0401684369784501</v>
      </c>
    </row>
    <row r="38" spans="1:9" x14ac:dyDescent="0.2">
      <c r="A38" s="27" t="s">
        <v>267</v>
      </c>
      <c r="B38" s="27" t="s">
        <v>266</v>
      </c>
      <c r="C38" s="27" t="s">
        <v>118</v>
      </c>
      <c r="D38" s="31">
        <v>3500</v>
      </c>
      <c r="E38" s="29">
        <v>406.35525000000001</v>
      </c>
      <c r="F38" s="30">
        <v>1.0295406290354101</v>
      </c>
    </row>
    <row r="39" spans="1:9" x14ac:dyDescent="0.2">
      <c r="A39" s="27" t="s">
        <v>269</v>
      </c>
      <c r="B39" s="27" t="s">
        <v>268</v>
      </c>
      <c r="C39" s="27" t="s">
        <v>270</v>
      </c>
      <c r="D39" s="31">
        <v>130000</v>
      </c>
      <c r="E39" s="29">
        <v>397.41</v>
      </c>
      <c r="F39" s="30">
        <v>1.00687696636123</v>
      </c>
    </row>
    <row r="40" spans="1:9" x14ac:dyDescent="0.2">
      <c r="A40" s="27" t="s">
        <v>212</v>
      </c>
      <c r="B40" s="27" t="s">
        <v>211</v>
      </c>
      <c r="C40" s="27" t="s">
        <v>213</v>
      </c>
      <c r="D40" s="31">
        <v>300000</v>
      </c>
      <c r="E40" s="29">
        <v>381.45</v>
      </c>
      <c r="F40" s="30">
        <v>0.96644075090836401</v>
      </c>
    </row>
    <row r="41" spans="1:9" x14ac:dyDescent="0.2">
      <c r="A41" s="27" t="s">
        <v>272</v>
      </c>
      <c r="B41" s="27" t="s">
        <v>271</v>
      </c>
      <c r="C41" s="27" t="s">
        <v>188</v>
      </c>
      <c r="D41" s="31">
        <v>800000</v>
      </c>
      <c r="E41" s="29">
        <v>374.4</v>
      </c>
      <c r="F41" s="30">
        <v>0.94857888881922003</v>
      </c>
    </row>
    <row r="42" spans="1:9" x14ac:dyDescent="0.2">
      <c r="A42" s="27" t="s">
        <v>274</v>
      </c>
      <c r="B42" s="27" t="s">
        <v>273</v>
      </c>
      <c r="C42" s="27" t="s">
        <v>275</v>
      </c>
      <c r="D42" s="31">
        <v>40000</v>
      </c>
      <c r="E42" s="29">
        <v>306</v>
      </c>
      <c r="F42" s="30">
        <v>0.77528082259263198</v>
      </c>
    </row>
    <row r="43" spans="1:9" ht="10.5" x14ac:dyDescent="0.25">
      <c r="A43" s="26" t="s">
        <v>43</v>
      </c>
      <c r="B43" s="26"/>
      <c r="C43" s="26"/>
      <c r="D43" s="32"/>
      <c r="E43" s="33">
        <f>SUM(E7:E42)</f>
        <v>38658.800249999993</v>
      </c>
      <c r="F43" s="34">
        <f>SUM(F7:F42)</f>
        <v>97.945838098902684</v>
      </c>
      <c r="G43" s="18"/>
      <c r="H43" s="18"/>
      <c r="I43" s="18"/>
    </row>
    <row r="44" spans="1:9" x14ac:dyDescent="0.2">
      <c r="A44" s="27"/>
      <c r="B44" s="27"/>
      <c r="C44" s="27"/>
      <c r="D44" s="28"/>
      <c r="E44" s="29"/>
      <c r="F44" s="30"/>
    </row>
    <row r="45" spans="1:9" ht="10.5" x14ac:dyDescent="0.25">
      <c r="A45" s="26" t="s">
        <v>48</v>
      </c>
      <c r="B45" s="26"/>
      <c r="C45" s="26"/>
      <c r="D45" s="32"/>
      <c r="E45" s="33">
        <f>E43</f>
        <v>38658.800249999993</v>
      </c>
      <c r="F45" s="34">
        <f>F43</f>
        <v>97.945838098902684</v>
      </c>
      <c r="G45" s="18"/>
      <c r="H45" s="18"/>
      <c r="I45" s="18"/>
    </row>
    <row r="46" spans="1:9" ht="10.5" x14ac:dyDescent="0.25">
      <c r="A46" s="26"/>
      <c r="B46" s="26"/>
      <c r="C46" s="26"/>
      <c r="D46" s="32"/>
      <c r="E46" s="33"/>
      <c r="F46" s="34"/>
      <c r="G46" s="18"/>
      <c r="H46" s="18"/>
      <c r="I46" s="18"/>
    </row>
    <row r="47" spans="1:9" ht="10.5" x14ac:dyDescent="0.25">
      <c r="A47" s="26" t="s">
        <v>50</v>
      </c>
      <c r="B47" s="26"/>
      <c r="C47" s="26"/>
      <c r="D47" s="32"/>
      <c r="E47" s="33">
        <f>E49-(E43)</f>
        <v>810.768851000008</v>
      </c>
      <c r="F47" s="34">
        <f>F49-(F43)</f>
        <v>2.0541619010973164</v>
      </c>
      <c r="G47" s="18"/>
      <c r="H47" s="18"/>
      <c r="I47" s="18"/>
    </row>
    <row r="48" spans="1:9" ht="10.5" x14ac:dyDescent="0.25">
      <c r="A48" s="26"/>
      <c r="B48" s="26"/>
      <c r="C48" s="26"/>
      <c r="D48" s="32"/>
      <c r="E48" s="33"/>
      <c r="F48" s="34"/>
      <c r="G48" s="18"/>
      <c r="H48" s="18"/>
      <c r="I48" s="18"/>
    </row>
    <row r="49" spans="1:9" ht="10.5" x14ac:dyDescent="0.25">
      <c r="A49" s="35" t="s">
        <v>49</v>
      </c>
      <c r="B49" s="35"/>
      <c r="C49" s="35"/>
      <c r="D49" s="36"/>
      <c r="E49" s="37">
        <v>39469.569101000001</v>
      </c>
      <c r="F49" s="38">
        <v>100</v>
      </c>
      <c r="G49" s="18"/>
      <c r="H49" s="18"/>
      <c r="I49" s="18"/>
    </row>
    <row r="52" spans="1:9" ht="10.5" x14ac:dyDescent="0.25">
      <c r="A52" s="18" t="s">
        <v>51</v>
      </c>
    </row>
    <row r="53" spans="1:9" ht="10.5" x14ac:dyDescent="0.25">
      <c r="A53" s="18" t="s">
        <v>52</v>
      </c>
    </row>
    <row r="54" spans="1:9" ht="10.5" x14ac:dyDescent="0.25">
      <c r="A54" s="18" t="s">
        <v>53</v>
      </c>
      <c r="B54" s="18"/>
      <c r="C54" s="39" t="s">
        <v>55</v>
      </c>
      <c r="D54" s="19" t="s">
        <v>54</v>
      </c>
    </row>
    <row r="55" spans="1:9" x14ac:dyDescent="0.2">
      <c r="A55" s="9" t="s">
        <v>71</v>
      </c>
      <c r="C55" s="40">
        <v>183.5745</v>
      </c>
      <c r="D55" s="40">
        <v>217.19040000000001</v>
      </c>
    </row>
    <row r="56" spans="1:9" x14ac:dyDescent="0.2">
      <c r="A56" s="9" t="s">
        <v>77</v>
      </c>
      <c r="C56" s="40">
        <v>40.1479</v>
      </c>
      <c r="D56" s="40">
        <v>47.4998</v>
      </c>
    </row>
    <row r="57" spans="1:9" x14ac:dyDescent="0.2">
      <c r="A57" s="9" t="s">
        <v>74</v>
      </c>
      <c r="C57" s="40">
        <v>193.5805</v>
      </c>
      <c r="D57" s="40">
        <v>230.15780000000001</v>
      </c>
    </row>
    <row r="58" spans="1:9" x14ac:dyDescent="0.2">
      <c r="A58" s="9" t="s">
        <v>78</v>
      </c>
      <c r="C58" s="40">
        <v>43.119</v>
      </c>
      <c r="D58" s="40">
        <v>51.260599999999997</v>
      </c>
    </row>
    <row r="60" spans="1:9" ht="10.5" x14ac:dyDescent="0.25">
      <c r="A60" s="18" t="s">
        <v>56</v>
      </c>
      <c r="D60" s="41" t="s">
        <v>57</v>
      </c>
    </row>
    <row r="62" spans="1:9" ht="10.5" x14ac:dyDescent="0.25">
      <c r="A62" s="18" t="s">
        <v>224</v>
      </c>
      <c r="D62" s="45">
        <v>0.24176953597041501</v>
      </c>
    </row>
  </sheetData>
  <mergeCells count="1">
    <mergeCell ref="A1:F1"/>
  </mergeCells>
  <conditionalFormatting sqref="F2:F3 F5:F65536">
    <cfRule type="cellIs" dxfId="2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5"/>
  <sheetViews>
    <sheetView workbookViewId="0">
      <selection sqref="A1:F1"/>
    </sheetView>
  </sheetViews>
  <sheetFormatPr defaultColWidth="9.1796875" defaultRowHeight="10" x14ac:dyDescent="0.2"/>
  <cols>
    <col min="1" max="1" width="40.54296875" style="9" bestFit="1" customWidth="1"/>
    <col min="2" max="2" width="26.54296875" style="9" bestFit="1" customWidth="1"/>
    <col min="3" max="3" width="21.1796875" style="9" bestFit="1" customWidth="1"/>
    <col min="4" max="4" width="15" style="10" bestFit="1" customWidth="1"/>
    <col min="5" max="5" width="23" style="13" bestFit="1" customWidth="1"/>
    <col min="6" max="6" width="13.54296875" style="14" bestFit="1" customWidth="1"/>
    <col min="7" max="16384" width="9.1796875" style="9"/>
  </cols>
  <sheetData>
    <row r="1" spans="1:6" s="1" customFormat="1" ht="14" x14ac:dyDescent="0.25">
      <c r="A1" s="79" t="s">
        <v>11</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102</v>
      </c>
      <c r="B7" s="27" t="s">
        <v>101</v>
      </c>
      <c r="C7" s="27" t="s">
        <v>103</v>
      </c>
      <c r="D7" s="31">
        <v>775444</v>
      </c>
      <c r="E7" s="29">
        <v>8224.3590640000002</v>
      </c>
      <c r="F7" s="30">
        <v>10.176278865916901</v>
      </c>
    </row>
    <row r="8" spans="1:6" x14ac:dyDescent="0.2">
      <c r="A8" s="27" t="s">
        <v>146</v>
      </c>
      <c r="B8" s="27" t="s">
        <v>145</v>
      </c>
      <c r="C8" s="27" t="s">
        <v>147</v>
      </c>
      <c r="D8" s="31">
        <v>2509054</v>
      </c>
      <c r="E8" s="29">
        <v>4290.4823399999996</v>
      </c>
      <c r="F8" s="30">
        <v>5.3087595545587503</v>
      </c>
    </row>
    <row r="9" spans="1:6" x14ac:dyDescent="0.2">
      <c r="A9" s="27" t="s">
        <v>194</v>
      </c>
      <c r="B9" s="27" t="s">
        <v>193</v>
      </c>
      <c r="C9" s="27" t="s">
        <v>147</v>
      </c>
      <c r="D9" s="31">
        <v>7297866</v>
      </c>
      <c r="E9" s="29">
        <v>3805.8371189999998</v>
      </c>
      <c r="F9" s="30">
        <v>4.7090915583597504</v>
      </c>
    </row>
    <row r="10" spans="1:6" x14ac:dyDescent="0.2">
      <c r="A10" s="27" t="s">
        <v>149</v>
      </c>
      <c r="B10" s="27" t="s">
        <v>148</v>
      </c>
      <c r="C10" s="27" t="s">
        <v>147</v>
      </c>
      <c r="D10" s="31">
        <v>3350145</v>
      </c>
      <c r="E10" s="29">
        <v>2934.7270199999998</v>
      </c>
      <c r="F10" s="30">
        <v>3.6312374397156302</v>
      </c>
    </row>
    <row r="11" spans="1:6" x14ac:dyDescent="0.2">
      <c r="A11" s="27" t="s">
        <v>196</v>
      </c>
      <c r="B11" s="27" t="s">
        <v>195</v>
      </c>
      <c r="C11" s="27" t="s">
        <v>147</v>
      </c>
      <c r="D11" s="31">
        <v>14497327</v>
      </c>
      <c r="E11" s="29">
        <v>2877.7194100000002</v>
      </c>
      <c r="F11" s="30">
        <v>3.5606999872132499</v>
      </c>
    </row>
    <row r="12" spans="1:6" x14ac:dyDescent="0.2">
      <c r="A12" s="27" t="s">
        <v>278</v>
      </c>
      <c r="B12" s="27" t="s">
        <v>277</v>
      </c>
      <c r="C12" s="27" t="s">
        <v>188</v>
      </c>
      <c r="D12" s="31">
        <v>284585</v>
      </c>
      <c r="E12" s="29">
        <v>2405.739298</v>
      </c>
      <c r="F12" s="30">
        <v>2.9767029606361102</v>
      </c>
    </row>
    <row r="13" spans="1:6" x14ac:dyDescent="0.2">
      <c r="A13" s="27" t="s">
        <v>280</v>
      </c>
      <c r="B13" s="27" t="s">
        <v>279</v>
      </c>
      <c r="C13" s="27" t="s">
        <v>160</v>
      </c>
      <c r="D13" s="31">
        <v>419757</v>
      </c>
      <c r="E13" s="29">
        <v>2193.0204469999999</v>
      </c>
      <c r="F13" s="30">
        <v>2.7134986998580599</v>
      </c>
    </row>
    <row r="14" spans="1:6" x14ac:dyDescent="0.2">
      <c r="A14" s="27" t="s">
        <v>114</v>
      </c>
      <c r="B14" s="27" t="s">
        <v>113</v>
      </c>
      <c r="C14" s="27" t="s">
        <v>115</v>
      </c>
      <c r="D14" s="31">
        <v>264691</v>
      </c>
      <c r="E14" s="29">
        <v>2060.2223990000002</v>
      </c>
      <c r="F14" s="30">
        <v>2.54918316368299</v>
      </c>
    </row>
    <row r="15" spans="1:6" x14ac:dyDescent="0.2">
      <c r="A15" s="27" t="s">
        <v>282</v>
      </c>
      <c r="B15" s="27" t="s">
        <v>281</v>
      </c>
      <c r="C15" s="27" t="s">
        <v>130</v>
      </c>
      <c r="D15" s="31">
        <v>401912</v>
      </c>
      <c r="E15" s="29">
        <v>1980.823292</v>
      </c>
      <c r="F15" s="30">
        <v>2.45093995126373</v>
      </c>
    </row>
    <row r="16" spans="1:6" x14ac:dyDescent="0.2">
      <c r="A16" s="27" t="s">
        <v>284</v>
      </c>
      <c r="B16" s="27" t="s">
        <v>283</v>
      </c>
      <c r="C16" s="27" t="s">
        <v>257</v>
      </c>
      <c r="D16" s="31">
        <v>1517846</v>
      </c>
      <c r="E16" s="29">
        <v>1966.3694929999999</v>
      </c>
      <c r="F16" s="30">
        <v>2.43305577473991</v>
      </c>
    </row>
    <row r="17" spans="1:6" x14ac:dyDescent="0.2">
      <c r="A17" s="27" t="s">
        <v>120</v>
      </c>
      <c r="B17" s="27" t="s">
        <v>119</v>
      </c>
      <c r="C17" s="27" t="s">
        <v>121</v>
      </c>
      <c r="D17" s="31">
        <v>803388</v>
      </c>
      <c r="E17" s="29">
        <v>1855.4245860000001</v>
      </c>
      <c r="F17" s="30">
        <v>2.2957798723140099</v>
      </c>
    </row>
    <row r="18" spans="1:6" x14ac:dyDescent="0.2">
      <c r="A18" s="27" t="s">
        <v>129</v>
      </c>
      <c r="B18" s="27" t="s">
        <v>128</v>
      </c>
      <c r="C18" s="27" t="s">
        <v>130</v>
      </c>
      <c r="D18" s="31">
        <v>114045</v>
      </c>
      <c r="E18" s="29">
        <v>1729.720515</v>
      </c>
      <c r="F18" s="30">
        <v>2.1402419548759899</v>
      </c>
    </row>
    <row r="19" spans="1:6" x14ac:dyDescent="0.2">
      <c r="A19" s="27" t="s">
        <v>253</v>
      </c>
      <c r="B19" s="27" t="s">
        <v>252</v>
      </c>
      <c r="C19" s="27" t="s">
        <v>254</v>
      </c>
      <c r="D19" s="31">
        <v>484134</v>
      </c>
      <c r="E19" s="29">
        <v>1560.605949</v>
      </c>
      <c r="F19" s="30">
        <v>1.9309907572431499</v>
      </c>
    </row>
    <row r="20" spans="1:6" x14ac:dyDescent="0.2">
      <c r="A20" s="27" t="s">
        <v>178</v>
      </c>
      <c r="B20" s="27" t="s">
        <v>177</v>
      </c>
      <c r="C20" s="27" t="s">
        <v>179</v>
      </c>
      <c r="D20" s="31">
        <v>1247000</v>
      </c>
      <c r="E20" s="29">
        <v>1424.0740000000001</v>
      </c>
      <c r="F20" s="30">
        <v>1.7620551385135601</v>
      </c>
    </row>
    <row r="21" spans="1:6" x14ac:dyDescent="0.2">
      <c r="A21" s="27" t="s">
        <v>286</v>
      </c>
      <c r="B21" s="27" t="s">
        <v>285</v>
      </c>
      <c r="C21" s="27" t="s">
        <v>115</v>
      </c>
      <c r="D21" s="31">
        <v>76875</v>
      </c>
      <c r="E21" s="29">
        <v>1423.2637500000001</v>
      </c>
      <c r="F21" s="30">
        <v>1.76105258866294</v>
      </c>
    </row>
    <row r="22" spans="1:6" x14ac:dyDescent="0.2">
      <c r="A22" s="27" t="s">
        <v>228</v>
      </c>
      <c r="B22" s="27" t="s">
        <v>227</v>
      </c>
      <c r="C22" s="27" t="s">
        <v>103</v>
      </c>
      <c r="D22" s="31">
        <v>51823</v>
      </c>
      <c r="E22" s="29">
        <v>1381.005216</v>
      </c>
      <c r="F22" s="30">
        <v>1.70876466894756</v>
      </c>
    </row>
    <row r="23" spans="1:6" x14ac:dyDescent="0.2">
      <c r="A23" s="27" t="s">
        <v>288</v>
      </c>
      <c r="B23" s="27" t="s">
        <v>287</v>
      </c>
      <c r="C23" s="27" t="s">
        <v>213</v>
      </c>
      <c r="D23" s="31">
        <v>178656</v>
      </c>
      <c r="E23" s="29">
        <v>1320.26784</v>
      </c>
      <c r="F23" s="30">
        <v>1.6336122502666299</v>
      </c>
    </row>
    <row r="24" spans="1:6" x14ac:dyDescent="0.2">
      <c r="A24" s="27" t="s">
        <v>135</v>
      </c>
      <c r="B24" s="27" t="s">
        <v>134</v>
      </c>
      <c r="C24" s="27" t="s">
        <v>121</v>
      </c>
      <c r="D24" s="31">
        <v>624255</v>
      </c>
      <c r="E24" s="29">
        <v>1206.0606600000001</v>
      </c>
      <c r="F24" s="30">
        <v>1.4922998266326499</v>
      </c>
    </row>
    <row r="25" spans="1:6" x14ac:dyDescent="0.2">
      <c r="A25" s="27" t="s">
        <v>143</v>
      </c>
      <c r="B25" s="27" t="s">
        <v>142</v>
      </c>
      <c r="C25" s="27" t="s">
        <v>144</v>
      </c>
      <c r="D25" s="31">
        <v>639633</v>
      </c>
      <c r="E25" s="29">
        <v>1200.2713249999999</v>
      </c>
      <c r="F25" s="30">
        <v>1.4851364857631899</v>
      </c>
    </row>
    <row r="26" spans="1:6" x14ac:dyDescent="0.2">
      <c r="A26" s="27" t="s">
        <v>274</v>
      </c>
      <c r="B26" s="27" t="s">
        <v>273</v>
      </c>
      <c r="C26" s="27" t="s">
        <v>275</v>
      </c>
      <c r="D26" s="31">
        <v>136944</v>
      </c>
      <c r="E26" s="29">
        <v>1047.6215999999999</v>
      </c>
      <c r="F26" s="30">
        <v>1.2962577952394301</v>
      </c>
    </row>
    <row r="27" spans="1:6" x14ac:dyDescent="0.2">
      <c r="A27" s="27" t="s">
        <v>198</v>
      </c>
      <c r="B27" s="27" t="s">
        <v>197</v>
      </c>
      <c r="C27" s="27" t="s">
        <v>103</v>
      </c>
      <c r="D27" s="31">
        <v>121952</v>
      </c>
      <c r="E27" s="29">
        <v>991.83561599999996</v>
      </c>
      <c r="F27" s="30">
        <v>1.2272319020876501</v>
      </c>
    </row>
    <row r="28" spans="1:6" x14ac:dyDescent="0.2">
      <c r="A28" s="27" t="s">
        <v>290</v>
      </c>
      <c r="B28" s="27" t="s">
        <v>289</v>
      </c>
      <c r="C28" s="27" t="s">
        <v>133</v>
      </c>
      <c r="D28" s="31">
        <v>1239545</v>
      </c>
      <c r="E28" s="29">
        <v>978.62077750000003</v>
      </c>
      <c r="F28" s="30">
        <v>1.2108807334801499</v>
      </c>
    </row>
    <row r="29" spans="1:6" x14ac:dyDescent="0.2">
      <c r="A29" s="27" t="s">
        <v>185</v>
      </c>
      <c r="B29" s="27" t="s">
        <v>184</v>
      </c>
      <c r="C29" s="27" t="s">
        <v>141</v>
      </c>
      <c r="D29" s="31">
        <v>20000</v>
      </c>
      <c r="E29" s="29">
        <v>977.73</v>
      </c>
      <c r="F29" s="30">
        <v>1.2097785442181099</v>
      </c>
    </row>
    <row r="30" spans="1:6" x14ac:dyDescent="0.2">
      <c r="A30" s="27" t="s">
        <v>292</v>
      </c>
      <c r="B30" s="27" t="s">
        <v>291</v>
      </c>
      <c r="C30" s="27" t="s">
        <v>124</v>
      </c>
      <c r="D30" s="31">
        <v>3209748</v>
      </c>
      <c r="E30" s="29">
        <v>974.15851799999996</v>
      </c>
      <c r="F30" s="30">
        <v>1.20535942820995</v>
      </c>
    </row>
    <row r="31" spans="1:6" x14ac:dyDescent="0.2">
      <c r="A31" s="27" t="s">
        <v>132</v>
      </c>
      <c r="B31" s="27" t="s">
        <v>131</v>
      </c>
      <c r="C31" s="27" t="s">
        <v>133</v>
      </c>
      <c r="D31" s="31">
        <v>155566</v>
      </c>
      <c r="E31" s="29">
        <v>924.06204000000002</v>
      </c>
      <c r="F31" s="30">
        <v>1.1433733541145501</v>
      </c>
    </row>
    <row r="32" spans="1:6" x14ac:dyDescent="0.2">
      <c r="A32" s="27" t="s">
        <v>294</v>
      </c>
      <c r="B32" s="27" t="s">
        <v>293</v>
      </c>
      <c r="C32" s="27" t="s">
        <v>130</v>
      </c>
      <c r="D32" s="31">
        <v>38206</v>
      </c>
      <c r="E32" s="29">
        <v>791.36087799999996</v>
      </c>
      <c r="F32" s="30">
        <v>0.97917769827867396</v>
      </c>
    </row>
    <row r="33" spans="1:9" x14ac:dyDescent="0.2">
      <c r="A33" s="27" t="s">
        <v>296</v>
      </c>
      <c r="B33" s="27" t="s">
        <v>295</v>
      </c>
      <c r="C33" s="27" t="s">
        <v>118</v>
      </c>
      <c r="D33" s="31">
        <v>46395</v>
      </c>
      <c r="E33" s="29">
        <v>780.24791249999998</v>
      </c>
      <c r="F33" s="30">
        <v>0.96542724853842299</v>
      </c>
    </row>
    <row r="34" spans="1:9" x14ac:dyDescent="0.2">
      <c r="A34" s="27" t="s">
        <v>215</v>
      </c>
      <c r="B34" s="27" t="s">
        <v>214</v>
      </c>
      <c r="C34" s="27" t="s">
        <v>144</v>
      </c>
      <c r="D34" s="31">
        <v>972460</v>
      </c>
      <c r="E34" s="29">
        <v>773.59193000000005</v>
      </c>
      <c r="F34" s="30">
        <v>0.95719157527567</v>
      </c>
    </row>
    <row r="35" spans="1:9" x14ac:dyDescent="0.2">
      <c r="A35" s="27" t="s">
        <v>223</v>
      </c>
      <c r="B35" s="27" t="s">
        <v>222</v>
      </c>
      <c r="C35" s="27" t="s">
        <v>100</v>
      </c>
      <c r="D35" s="31">
        <v>1505600</v>
      </c>
      <c r="E35" s="29">
        <v>759.5752</v>
      </c>
      <c r="F35" s="30">
        <v>0.93984819907354999</v>
      </c>
    </row>
    <row r="36" spans="1:9" x14ac:dyDescent="0.2">
      <c r="A36" s="27" t="s">
        <v>245</v>
      </c>
      <c r="B36" s="27" t="s">
        <v>244</v>
      </c>
      <c r="C36" s="27" t="s">
        <v>246</v>
      </c>
      <c r="D36" s="31">
        <v>821499</v>
      </c>
      <c r="E36" s="29">
        <v>714.70412999999996</v>
      </c>
      <c r="F36" s="30">
        <v>0.88432769981290704</v>
      </c>
    </row>
    <row r="37" spans="1:9" x14ac:dyDescent="0.2">
      <c r="A37" s="27" t="s">
        <v>272</v>
      </c>
      <c r="B37" s="27" t="s">
        <v>271</v>
      </c>
      <c r="C37" s="27" t="s">
        <v>188</v>
      </c>
      <c r="D37" s="31">
        <v>1505501</v>
      </c>
      <c r="E37" s="29">
        <v>704.57446800000002</v>
      </c>
      <c r="F37" s="30">
        <v>0.87179392489776497</v>
      </c>
    </row>
    <row r="38" spans="1:9" x14ac:dyDescent="0.2">
      <c r="A38" s="27" t="s">
        <v>237</v>
      </c>
      <c r="B38" s="27" t="s">
        <v>236</v>
      </c>
      <c r="C38" s="27" t="s">
        <v>133</v>
      </c>
      <c r="D38" s="31">
        <v>1158906</v>
      </c>
      <c r="E38" s="29">
        <v>643.77228300000002</v>
      </c>
      <c r="F38" s="30">
        <v>0.796561315839456</v>
      </c>
    </row>
    <row r="39" spans="1:9" x14ac:dyDescent="0.2">
      <c r="A39" s="27" t="s">
        <v>298</v>
      </c>
      <c r="B39" s="27" t="s">
        <v>297</v>
      </c>
      <c r="C39" s="27" t="s">
        <v>115</v>
      </c>
      <c r="D39" s="31">
        <v>70800</v>
      </c>
      <c r="E39" s="29">
        <v>596.73779999999999</v>
      </c>
      <c r="F39" s="30">
        <v>0.73836395217894502</v>
      </c>
    </row>
    <row r="40" spans="1:9" x14ac:dyDescent="0.2">
      <c r="A40" s="27" t="s">
        <v>300</v>
      </c>
      <c r="B40" s="27" t="s">
        <v>299</v>
      </c>
      <c r="C40" s="27" t="s">
        <v>179</v>
      </c>
      <c r="D40" s="31">
        <v>709254</v>
      </c>
      <c r="E40" s="29">
        <v>584.77992300000005</v>
      </c>
      <c r="F40" s="30">
        <v>0.72356806473660495</v>
      </c>
    </row>
    <row r="41" spans="1:9" x14ac:dyDescent="0.2">
      <c r="A41" s="27" t="s">
        <v>302</v>
      </c>
      <c r="B41" s="27" t="s">
        <v>301</v>
      </c>
      <c r="C41" s="27" t="s">
        <v>147</v>
      </c>
      <c r="D41" s="31">
        <v>100000</v>
      </c>
      <c r="E41" s="29">
        <v>563</v>
      </c>
      <c r="F41" s="30">
        <v>0.69661902610618298</v>
      </c>
    </row>
    <row r="42" spans="1:9" x14ac:dyDescent="0.2">
      <c r="A42" s="27" t="s">
        <v>212</v>
      </c>
      <c r="B42" s="27" t="s">
        <v>211</v>
      </c>
      <c r="C42" s="27" t="s">
        <v>213</v>
      </c>
      <c r="D42" s="31">
        <v>439349</v>
      </c>
      <c r="E42" s="29">
        <v>558.63225350000005</v>
      </c>
      <c r="F42" s="30">
        <v>0.69121466498165596</v>
      </c>
    </row>
    <row r="43" spans="1:9" x14ac:dyDescent="0.2">
      <c r="A43" s="27" t="s">
        <v>221</v>
      </c>
      <c r="B43" s="27" t="s">
        <v>220</v>
      </c>
      <c r="C43" s="27" t="s">
        <v>121</v>
      </c>
      <c r="D43" s="31">
        <v>621258</v>
      </c>
      <c r="E43" s="29">
        <v>526.51615500000003</v>
      </c>
      <c r="F43" s="30">
        <v>0.65147632526691301</v>
      </c>
    </row>
    <row r="44" spans="1:9" x14ac:dyDescent="0.2">
      <c r="A44" s="27" t="s">
        <v>248</v>
      </c>
      <c r="B44" s="27" t="s">
        <v>247</v>
      </c>
      <c r="C44" s="27" t="s">
        <v>249</v>
      </c>
      <c r="D44" s="31">
        <v>753071</v>
      </c>
      <c r="E44" s="29">
        <v>488.74307900000002</v>
      </c>
      <c r="F44" s="30">
        <v>0.60473841511388504</v>
      </c>
    </row>
    <row r="45" spans="1:9" x14ac:dyDescent="0.2">
      <c r="A45" s="27" t="s">
        <v>259</v>
      </c>
      <c r="B45" s="27" t="s">
        <v>258</v>
      </c>
      <c r="C45" s="27" t="s">
        <v>103</v>
      </c>
      <c r="D45" s="31">
        <v>119545</v>
      </c>
      <c r="E45" s="29">
        <v>471.36593499999998</v>
      </c>
      <c r="F45" s="30">
        <v>0.58323708451035605</v>
      </c>
    </row>
    <row r="46" spans="1:9" ht="10.5" x14ac:dyDescent="0.25">
      <c r="A46" s="26" t="s">
        <v>43</v>
      </c>
      <c r="B46" s="26"/>
      <c r="C46" s="26"/>
      <c r="D46" s="32"/>
      <c r="E46" s="33">
        <f>SUM(E7:E45)</f>
        <v>60691.624221499995</v>
      </c>
      <c r="F46" s="34">
        <f>SUM(F7:F45)</f>
        <v>75.095808451125592</v>
      </c>
      <c r="G46" s="18"/>
      <c r="H46" s="18"/>
      <c r="I46" s="18"/>
    </row>
    <row r="47" spans="1:9" x14ac:dyDescent="0.2">
      <c r="A47" s="27"/>
      <c r="B47" s="27"/>
      <c r="C47" s="27"/>
      <c r="D47" s="28"/>
      <c r="E47" s="29"/>
      <c r="F47" s="30"/>
    </row>
    <row r="48" spans="1:9" ht="10.5" x14ac:dyDescent="0.25">
      <c r="A48" s="26" t="s">
        <v>303</v>
      </c>
      <c r="B48" s="27"/>
      <c r="C48" s="27"/>
      <c r="D48" s="28"/>
      <c r="E48" s="29"/>
      <c r="F48" s="30"/>
    </row>
    <row r="49" spans="1:9" x14ac:dyDescent="0.2">
      <c r="A49" s="27" t="s">
        <v>305</v>
      </c>
      <c r="B49" s="27" t="s">
        <v>304</v>
      </c>
      <c r="C49" s="27"/>
      <c r="D49" s="31">
        <v>289200</v>
      </c>
      <c r="E49" s="29">
        <v>995.74451999999997</v>
      </c>
      <c r="F49" s="30">
        <v>1.23206852179923</v>
      </c>
    </row>
    <row r="50" spans="1:9" ht="10.5" x14ac:dyDescent="0.25">
      <c r="A50" s="26" t="s">
        <v>43</v>
      </c>
      <c r="B50" s="26"/>
      <c r="C50" s="26"/>
      <c r="D50" s="32"/>
      <c r="E50" s="33">
        <f>SUM(E48:E49)</f>
        <v>995.74451999999997</v>
      </c>
      <c r="F50" s="34">
        <f>SUM(F48:F49)</f>
        <v>1.23206852179923</v>
      </c>
      <c r="G50" s="18"/>
      <c r="H50" s="18"/>
      <c r="I50" s="18"/>
    </row>
    <row r="51" spans="1:9" x14ac:dyDescent="0.2">
      <c r="A51" s="27"/>
      <c r="B51" s="27"/>
      <c r="C51" s="27"/>
      <c r="D51" s="28"/>
      <c r="E51" s="29"/>
      <c r="F51" s="30"/>
    </row>
    <row r="52" spans="1:9" ht="10.5" x14ac:dyDescent="0.25">
      <c r="A52" s="26" t="s">
        <v>306</v>
      </c>
      <c r="B52" s="27"/>
      <c r="C52" s="27"/>
      <c r="D52" s="28"/>
      <c r="E52" s="29"/>
      <c r="F52" s="30"/>
    </row>
    <row r="53" spans="1:9" x14ac:dyDescent="0.2">
      <c r="A53" s="27" t="s">
        <v>308</v>
      </c>
      <c r="B53" s="27" t="s">
        <v>307</v>
      </c>
      <c r="C53" s="27" t="s">
        <v>246</v>
      </c>
      <c r="D53" s="31">
        <v>5075983</v>
      </c>
      <c r="E53" s="29">
        <v>6878.7685279999996</v>
      </c>
      <c r="F53" s="30">
        <v>8.5113339836327206</v>
      </c>
    </row>
    <row r="54" spans="1:9" x14ac:dyDescent="0.2">
      <c r="A54" s="27" t="s">
        <v>309</v>
      </c>
      <c r="B54" s="27" t="s">
        <v>719</v>
      </c>
      <c r="C54" s="27" t="s">
        <v>130</v>
      </c>
      <c r="D54" s="31">
        <v>86900</v>
      </c>
      <c r="E54" s="29">
        <v>3736.5948600000002</v>
      </c>
      <c r="F54" s="30">
        <v>4.6234157590169902</v>
      </c>
    </row>
    <row r="55" spans="1:9" x14ac:dyDescent="0.2">
      <c r="A55" s="27" t="s">
        <v>311</v>
      </c>
      <c r="B55" s="27" t="s">
        <v>310</v>
      </c>
      <c r="C55" s="27" t="s">
        <v>257</v>
      </c>
      <c r="D55" s="31">
        <v>2562198</v>
      </c>
      <c r="E55" s="29">
        <v>2053.2959270000001</v>
      </c>
      <c r="F55" s="30">
        <v>2.5406128045728802</v>
      </c>
    </row>
    <row r="56" spans="1:9" x14ac:dyDescent="0.2">
      <c r="A56" s="27" t="s">
        <v>313</v>
      </c>
      <c r="B56" s="27" t="s">
        <v>312</v>
      </c>
      <c r="C56" s="27" t="s">
        <v>314</v>
      </c>
      <c r="D56" s="31">
        <v>187038</v>
      </c>
      <c r="E56" s="29">
        <v>1301.7347540000001</v>
      </c>
      <c r="F56" s="30">
        <v>1.61068063335711</v>
      </c>
    </row>
    <row r="57" spans="1:9" x14ac:dyDescent="0.2">
      <c r="A57" s="27" t="s">
        <v>316</v>
      </c>
      <c r="B57" s="27" t="s">
        <v>315</v>
      </c>
      <c r="C57" s="27" t="s">
        <v>103</v>
      </c>
      <c r="D57" s="31">
        <v>633055</v>
      </c>
      <c r="E57" s="29">
        <v>990.52916619999996</v>
      </c>
      <c r="F57" s="30">
        <v>1.2256153873677</v>
      </c>
    </row>
    <row r="58" spans="1:9" x14ac:dyDescent="0.2">
      <c r="A58" s="27" t="s">
        <v>318</v>
      </c>
      <c r="B58" s="27" t="s">
        <v>317</v>
      </c>
      <c r="C58" s="27" t="s">
        <v>127</v>
      </c>
      <c r="D58" s="31">
        <v>3297307</v>
      </c>
      <c r="E58" s="29">
        <v>827.12532050000004</v>
      </c>
      <c r="F58" s="30">
        <v>1.0234302579653201</v>
      </c>
    </row>
    <row r="59" spans="1:9" x14ac:dyDescent="0.2">
      <c r="A59" s="27" t="s">
        <v>320</v>
      </c>
      <c r="B59" s="27" t="s">
        <v>319</v>
      </c>
      <c r="C59" s="27" t="s">
        <v>321</v>
      </c>
      <c r="D59" s="31">
        <v>500000</v>
      </c>
      <c r="E59" s="29">
        <v>578.67452400000002</v>
      </c>
      <c r="F59" s="30">
        <v>0.716013647142698</v>
      </c>
    </row>
    <row r="60" spans="1:9" x14ac:dyDescent="0.2">
      <c r="A60" s="27" t="s">
        <v>323</v>
      </c>
      <c r="B60" s="27" t="s">
        <v>322</v>
      </c>
      <c r="C60" s="27" t="s">
        <v>118</v>
      </c>
      <c r="D60" s="31">
        <v>200000</v>
      </c>
      <c r="E60" s="29">
        <v>474.28096879999998</v>
      </c>
      <c r="F60" s="30">
        <v>0.586843954859952</v>
      </c>
    </row>
    <row r="61" spans="1:9" x14ac:dyDescent="0.2">
      <c r="A61" s="27" t="s">
        <v>325</v>
      </c>
      <c r="B61" s="27" t="s">
        <v>324</v>
      </c>
      <c r="C61" s="27" t="s">
        <v>188</v>
      </c>
      <c r="D61" s="31">
        <v>25000</v>
      </c>
      <c r="E61" s="29">
        <v>291.00567649999999</v>
      </c>
      <c r="F61" s="30">
        <v>0.36007120951119198</v>
      </c>
    </row>
    <row r="62" spans="1:9" ht="10.5" x14ac:dyDescent="0.25">
      <c r="A62" s="26" t="s">
        <v>43</v>
      </c>
      <c r="B62" s="26"/>
      <c r="C62" s="26"/>
      <c r="D62" s="32"/>
      <c r="E62" s="33">
        <f>SUM(E52:E61)</f>
        <v>17132.009725000004</v>
      </c>
      <c r="F62" s="34">
        <f>SUM(F52:F61)</f>
        <v>21.19801763742656</v>
      </c>
      <c r="G62" s="18"/>
      <c r="H62" s="18"/>
      <c r="I62" s="18"/>
    </row>
    <row r="63" spans="1:9" x14ac:dyDescent="0.2">
      <c r="A63" s="27"/>
      <c r="B63" s="27"/>
      <c r="C63" s="27"/>
      <c r="D63" s="28"/>
      <c r="E63" s="29"/>
      <c r="F63" s="30"/>
    </row>
    <row r="64" spans="1:9" ht="10.5" x14ac:dyDescent="0.25">
      <c r="A64" s="26" t="s">
        <v>48</v>
      </c>
      <c r="B64" s="26"/>
      <c r="C64" s="26"/>
      <c r="D64" s="32"/>
      <c r="E64" s="33">
        <f>E46+E50+E62</f>
        <v>78819.378466499998</v>
      </c>
      <c r="F64" s="34">
        <f>F46+F50+F62</f>
        <v>97.525894610351386</v>
      </c>
      <c r="G64" s="18"/>
      <c r="H64" s="18"/>
      <c r="I64" s="18"/>
    </row>
    <row r="65" spans="1:9" ht="10.5" x14ac:dyDescent="0.25">
      <c r="A65" s="26"/>
      <c r="B65" s="26"/>
      <c r="C65" s="26"/>
      <c r="D65" s="32"/>
      <c r="E65" s="33"/>
      <c r="F65" s="34"/>
      <c r="G65" s="18"/>
      <c r="H65" s="18"/>
      <c r="I65" s="18"/>
    </row>
    <row r="66" spans="1:9" ht="10.5" x14ac:dyDescent="0.25">
      <c r="A66" s="26" t="s">
        <v>50</v>
      </c>
      <c r="B66" s="26"/>
      <c r="C66" s="26"/>
      <c r="D66" s="32"/>
      <c r="E66" s="33">
        <f>E68-(E46+E50+E62)</f>
        <v>1999.5453500000003</v>
      </c>
      <c r="F66" s="34">
        <f>F68-(F46+F50+F62)</f>
        <v>2.4741053896486136</v>
      </c>
      <c r="G66" s="18"/>
      <c r="H66" s="18"/>
      <c r="I66" s="18"/>
    </row>
    <row r="67" spans="1:9" ht="10.5" x14ac:dyDescent="0.25">
      <c r="A67" s="26"/>
      <c r="B67" s="26"/>
      <c r="C67" s="26"/>
      <c r="D67" s="32"/>
      <c r="E67" s="33"/>
      <c r="F67" s="34"/>
      <c r="G67" s="18"/>
      <c r="H67" s="18"/>
      <c r="I67" s="18"/>
    </row>
    <row r="68" spans="1:9" ht="10.5" x14ac:dyDescent="0.25">
      <c r="A68" s="35" t="s">
        <v>49</v>
      </c>
      <c r="B68" s="35"/>
      <c r="C68" s="35"/>
      <c r="D68" s="36"/>
      <c r="E68" s="37">
        <v>80818.923816499999</v>
      </c>
      <c r="F68" s="38">
        <v>100</v>
      </c>
      <c r="G68" s="18"/>
      <c r="H68" s="18"/>
      <c r="I68" s="18"/>
    </row>
    <row r="71" spans="1:9" ht="10.5" x14ac:dyDescent="0.25">
      <c r="A71" s="18" t="s">
        <v>51</v>
      </c>
    </row>
    <row r="72" spans="1:9" ht="10.5" x14ac:dyDescent="0.25">
      <c r="A72" s="18" t="s">
        <v>52</v>
      </c>
    </row>
    <row r="73" spans="1:9" ht="10.5" x14ac:dyDescent="0.25">
      <c r="A73" s="18" t="s">
        <v>53</v>
      </c>
      <c r="B73" s="18"/>
      <c r="C73" s="39" t="s">
        <v>55</v>
      </c>
      <c r="D73" s="19" t="s">
        <v>54</v>
      </c>
    </row>
    <row r="74" spans="1:9" x14ac:dyDescent="0.2">
      <c r="A74" s="9" t="s">
        <v>71</v>
      </c>
      <c r="C74" s="40">
        <v>37.416899999999998</v>
      </c>
      <c r="D74" s="40">
        <v>47.330300000000001</v>
      </c>
    </row>
    <row r="75" spans="1:9" x14ac:dyDescent="0.2">
      <c r="A75" s="9" t="s">
        <v>77</v>
      </c>
      <c r="C75" s="40">
        <v>11.442399999999999</v>
      </c>
      <c r="D75" s="40">
        <v>12.9968</v>
      </c>
    </row>
    <row r="76" spans="1:9" x14ac:dyDescent="0.2">
      <c r="A76" s="9" t="s">
        <v>74</v>
      </c>
      <c r="C76" s="40">
        <v>39.230800000000002</v>
      </c>
      <c r="D76" s="40">
        <v>49.91</v>
      </c>
    </row>
    <row r="77" spans="1:9" x14ac:dyDescent="0.2">
      <c r="A77" s="9" t="s">
        <v>78</v>
      </c>
      <c r="C77" s="40">
        <v>12.1593</v>
      </c>
      <c r="D77" s="40">
        <v>13.986599999999999</v>
      </c>
    </row>
    <row r="79" spans="1:9" ht="10.5" x14ac:dyDescent="0.25">
      <c r="A79" s="18" t="s">
        <v>56</v>
      </c>
    </row>
    <row r="80" spans="1:9" ht="10.5" x14ac:dyDescent="0.25">
      <c r="A80" s="81" t="s">
        <v>68</v>
      </c>
      <c r="B80" s="82"/>
      <c r="C80" s="43" t="s">
        <v>69</v>
      </c>
    </row>
    <row r="81" spans="1:4" x14ac:dyDescent="0.2">
      <c r="A81" s="77" t="s">
        <v>77</v>
      </c>
      <c r="B81" s="78"/>
      <c r="C81" s="44">
        <v>1.35</v>
      </c>
    </row>
    <row r="82" spans="1:4" x14ac:dyDescent="0.2">
      <c r="A82" s="77" t="s">
        <v>78</v>
      </c>
      <c r="B82" s="78"/>
      <c r="C82" s="44">
        <v>1.35</v>
      </c>
    </row>
    <row r="83" spans="1:4" x14ac:dyDescent="0.2">
      <c r="A83" s="9" t="s">
        <v>70</v>
      </c>
    </row>
    <row r="85" spans="1:4" ht="10.5" x14ac:dyDescent="0.25">
      <c r="A85" s="18" t="s">
        <v>224</v>
      </c>
      <c r="D85" s="45">
        <v>7.7637393231014956E-2</v>
      </c>
    </row>
  </sheetData>
  <mergeCells count="4">
    <mergeCell ref="A1:F1"/>
    <mergeCell ref="A80:B80"/>
    <mergeCell ref="A81:B81"/>
    <mergeCell ref="A82:B82"/>
  </mergeCells>
  <conditionalFormatting sqref="F2:F3 F5:F65536">
    <cfRule type="cellIs" dxfId="2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62"/>
  <sheetViews>
    <sheetView workbookViewId="0">
      <selection sqref="A1:F1"/>
    </sheetView>
  </sheetViews>
  <sheetFormatPr defaultColWidth="9.1796875" defaultRowHeight="10" x14ac:dyDescent="0.2"/>
  <cols>
    <col min="1" max="1" width="38.7265625" style="9" bestFit="1" customWidth="1"/>
    <col min="2" max="2" width="33.1796875" style="9" bestFit="1" customWidth="1"/>
    <col min="3" max="3" width="26.81640625" style="9" bestFit="1" customWidth="1"/>
    <col min="4" max="4" width="15" style="10" bestFit="1" customWidth="1"/>
    <col min="5" max="5" width="23" style="13" bestFit="1" customWidth="1"/>
    <col min="6" max="6" width="14.7265625" style="14" bestFit="1" customWidth="1"/>
    <col min="7" max="16384" width="9.1796875" style="9"/>
  </cols>
  <sheetData>
    <row r="1" spans="1:6" s="1" customFormat="1" ht="14" x14ac:dyDescent="0.25">
      <c r="A1" s="79" t="s">
        <v>12</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102</v>
      </c>
      <c r="B7" s="27" t="s">
        <v>101</v>
      </c>
      <c r="C7" s="27" t="s">
        <v>103</v>
      </c>
      <c r="D7" s="31">
        <v>945647</v>
      </c>
      <c r="E7" s="29">
        <v>10029.532080000001</v>
      </c>
      <c r="F7" s="30">
        <v>25.8273249419717</v>
      </c>
    </row>
    <row r="8" spans="1:6" x14ac:dyDescent="0.2">
      <c r="A8" s="27" t="s">
        <v>228</v>
      </c>
      <c r="B8" s="27" t="s">
        <v>227</v>
      </c>
      <c r="C8" s="27" t="s">
        <v>103</v>
      </c>
      <c r="D8" s="31">
        <v>164086</v>
      </c>
      <c r="E8" s="29">
        <v>4372.6457710000004</v>
      </c>
      <c r="F8" s="30">
        <v>11.2601208394316</v>
      </c>
    </row>
    <row r="9" spans="1:6" x14ac:dyDescent="0.2">
      <c r="A9" s="27" t="s">
        <v>241</v>
      </c>
      <c r="B9" s="27" t="s">
        <v>240</v>
      </c>
      <c r="C9" s="27" t="s">
        <v>103</v>
      </c>
      <c r="D9" s="31">
        <v>380000</v>
      </c>
      <c r="E9" s="29">
        <v>3199.41</v>
      </c>
      <c r="F9" s="30">
        <v>8.2388890163053006</v>
      </c>
    </row>
    <row r="10" spans="1:6" x14ac:dyDescent="0.2">
      <c r="A10" s="27" t="s">
        <v>107</v>
      </c>
      <c r="B10" s="27" t="s">
        <v>106</v>
      </c>
      <c r="C10" s="27" t="s">
        <v>108</v>
      </c>
      <c r="D10" s="31">
        <v>600000</v>
      </c>
      <c r="E10" s="29">
        <v>2602.5</v>
      </c>
      <c r="F10" s="30">
        <v>6.7017695965614097</v>
      </c>
    </row>
    <row r="11" spans="1:6" x14ac:dyDescent="0.2">
      <c r="A11" s="27" t="s">
        <v>327</v>
      </c>
      <c r="B11" s="27" t="s">
        <v>326</v>
      </c>
      <c r="C11" s="27" t="s">
        <v>103</v>
      </c>
      <c r="D11" s="31">
        <v>46300</v>
      </c>
      <c r="E11" s="29">
        <v>1643.1638499999999</v>
      </c>
      <c r="F11" s="30">
        <v>4.2313565925451702</v>
      </c>
    </row>
    <row r="12" spans="1:6" x14ac:dyDescent="0.2">
      <c r="A12" s="27" t="s">
        <v>198</v>
      </c>
      <c r="B12" s="27" t="s">
        <v>197</v>
      </c>
      <c r="C12" s="27" t="s">
        <v>103</v>
      </c>
      <c r="D12" s="31">
        <v>200000</v>
      </c>
      <c r="E12" s="29">
        <v>1626.6</v>
      </c>
      <c r="F12" s="30">
        <v>4.1887025651361398</v>
      </c>
    </row>
    <row r="13" spans="1:6" x14ac:dyDescent="0.2">
      <c r="A13" s="27" t="s">
        <v>329</v>
      </c>
      <c r="B13" s="27" t="s">
        <v>328</v>
      </c>
      <c r="C13" s="27" t="s">
        <v>103</v>
      </c>
      <c r="D13" s="31">
        <v>31000</v>
      </c>
      <c r="E13" s="29">
        <v>904.73500000000001</v>
      </c>
      <c r="F13" s="30">
        <v>2.3298080752910599</v>
      </c>
    </row>
    <row r="14" spans="1:6" x14ac:dyDescent="0.2">
      <c r="A14" s="27" t="s">
        <v>259</v>
      </c>
      <c r="B14" s="27" t="s">
        <v>258</v>
      </c>
      <c r="C14" s="27" t="s">
        <v>103</v>
      </c>
      <c r="D14" s="31">
        <v>215000</v>
      </c>
      <c r="E14" s="29">
        <v>847.745</v>
      </c>
      <c r="F14" s="30">
        <v>2.1830515529825001</v>
      </c>
    </row>
    <row r="15" spans="1:6" x14ac:dyDescent="0.2">
      <c r="A15" s="27" t="s">
        <v>331</v>
      </c>
      <c r="B15" s="27" t="s">
        <v>330</v>
      </c>
      <c r="C15" s="27" t="s">
        <v>103</v>
      </c>
      <c r="D15" s="31">
        <v>201960</v>
      </c>
      <c r="E15" s="29">
        <v>684.54341999999997</v>
      </c>
      <c r="F15" s="30">
        <v>1.7627866588596199</v>
      </c>
    </row>
    <row r="16" spans="1:6" x14ac:dyDescent="0.2">
      <c r="A16" s="27" t="s">
        <v>333</v>
      </c>
      <c r="B16" s="27" t="s">
        <v>332</v>
      </c>
      <c r="C16" s="27" t="s">
        <v>167</v>
      </c>
      <c r="D16" s="31">
        <v>11000</v>
      </c>
      <c r="E16" s="29">
        <v>533.05999999999995</v>
      </c>
      <c r="F16" s="30">
        <v>1.37269752205304</v>
      </c>
    </row>
    <row r="17" spans="1:9" x14ac:dyDescent="0.2">
      <c r="A17" s="27" t="s">
        <v>335</v>
      </c>
      <c r="B17" s="27" t="s">
        <v>334</v>
      </c>
      <c r="C17" s="27" t="s">
        <v>103</v>
      </c>
      <c r="D17" s="31">
        <v>27677</v>
      </c>
      <c r="E17" s="29">
        <v>180.537071</v>
      </c>
      <c r="F17" s="30">
        <v>0.46490599557350598</v>
      </c>
    </row>
    <row r="18" spans="1:9" ht="10.5" x14ac:dyDescent="0.25">
      <c r="A18" s="26" t="s">
        <v>43</v>
      </c>
      <c r="B18" s="26"/>
      <c r="C18" s="26"/>
      <c r="D18" s="32"/>
      <c r="E18" s="33">
        <f>SUM(E7:E17)</f>
        <v>26624.472191999997</v>
      </c>
      <c r="F18" s="34">
        <f>SUM(F7:F17)</f>
        <v>68.561413356711057</v>
      </c>
      <c r="G18" s="18"/>
      <c r="H18" s="18"/>
      <c r="I18" s="18"/>
    </row>
    <row r="19" spans="1:9" x14ac:dyDescent="0.2">
      <c r="A19" s="27"/>
      <c r="B19" s="27"/>
      <c r="C19" s="27"/>
      <c r="D19" s="28"/>
      <c r="E19" s="29"/>
      <c r="F19" s="30"/>
    </row>
    <row r="20" spans="1:9" ht="10.5" x14ac:dyDescent="0.25">
      <c r="A20" s="26" t="s">
        <v>231</v>
      </c>
      <c r="B20" s="27"/>
      <c r="C20" s="27"/>
      <c r="D20" s="28"/>
      <c r="E20" s="29"/>
      <c r="F20" s="30"/>
    </row>
    <row r="21" spans="1:9" x14ac:dyDescent="0.2">
      <c r="A21" s="27"/>
      <c r="B21" s="27" t="s">
        <v>1568</v>
      </c>
      <c r="C21" s="27" t="s">
        <v>103</v>
      </c>
      <c r="D21" s="31">
        <v>970000</v>
      </c>
      <c r="E21" s="29">
        <v>9.7000000000000003E-2</v>
      </c>
      <c r="F21" s="30">
        <v>2.49787377854546E-4</v>
      </c>
    </row>
    <row r="22" spans="1:9" ht="10.5" x14ac:dyDescent="0.25">
      <c r="A22" s="26" t="s">
        <v>43</v>
      </c>
      <c r="B22" s="26"/>
      <c r="C22" s="26"/>
      <c r="D22" s="32"/>
      <c r="E22" s="33">
        <f>SUM(E20:E21)</f>
        <v>9.7000000000000003E-2</v>
      </c>
      <c r="F22" s="34">
        <f>SUM(F20:F21)</f>
        <v>2.49787377854546E-4</v>
      </c>
      <c r="G22" s="18"/>
      <c r="H22" s="18"/>
      <c r="I22" s="18"/>
    </row>
    <row r="23" spans="1:9" x14ac:dyDescent="0.2">
      <c r="A23" s="27"/>
      <c r="B23" s="27"/>
      <c r="C23" s="27"/>
      <c r="D23" s="28"/>
      <c r="E23" s="29"/>
      <c r="F23" s="30"/>
    </row>
    <row r="24" spans="1:9" ht="10.5" x14ac:dyDescent="0.25">
      <c r="A24" s="26" t="s">
        <v>306</v>
      </c>
      <c r="B24" s="27"/>
      <c r="C24" s="27"/>
      <c r="D24" s="28"/>
      <c r="E24" s="29"/>
      <c r="F24" s="30"/>
    </row>
    <row r="25" spans="1:9" x14ac:dyDescent="0.2">
      <c r="A25" s="27" t="s">
        <v>337</v>
      </c>
      <c r="B25" s="27" t="s">
        <v>336</v>
      </c>
      <c r="C25" s="27" t="s">
        <v>321</v>
      </c>
      <c r="D25" s="31">
        <v>88000</v>
      </c>
      <c r="E25" s="29">
        <v>990.94102269999996</v>
      </c>
      <c r="F25" s="30">
        <v>2.5517995842137702</v>
      </c>
    </row>
    <row r="26" spans="1:9" x14ac:dyDescent="0.2">
      <c r="A26" s="27" t="s">
        <v>339</v>
      </c>
      <c r="B26" s="27" t="s">
        <v>338</v>
      </c>
      <c r="C26" s="27" t="s">
        <v>103</v>
      </c>
      <c r="D26" s="31">
        <v>15960</v>
      </c>
      <c r="E26" s="29">
        <v>849.44087490000004</v>
      </c>
      <c r="F26" s="30">
        <v>2.1874186472550798</v>
      </c>
    </row>
    <row r="27" spans="1:9" x14ac:dyDescent="0.2">
      <c r="A27" s="27" t="s">
        <v>341</v>
      </c>
      <c r="B27" s="27" t="s">
        <v>340</v>
      </c>
      <c r="C27" s="27" t="s">
        <v>103</v>
      </c>
      <c r="D27" s="31">
        <v>60135</v>
      </c>
      <c r="E27" s="29">
        <v>841.14721310000004</v>
      </c>
      <c r="F27" s="30">
        <v>2.1660614097928699</v>
      </c>
    </row>
    <row r="28" spans="1:9" x14ac:dyDescent="0.2">
      <c r="A28" s="27" t="s">
        <v>343</v>
      </c>
      <c r="B28" s="27" t="s">
        <v>342</v>
      </c>
      <c r="C28" s="27" t="s">
        <v>103</v>
      </c>
      <c r="D28" s="31">
        <v>22500</v>
      </c>
      <c r="E28" s="29">
        <v>693.49521779999998</v>
      </c>
      <c r="F28" s="30">
        <v>1.78583868050443</v>
      </c>
    </row>
    <row r="29" spans="1:9" x14ac:dyDescent="0.2">
      <c r="A29" s="27" t="s">
        <v>345</v>
      </c>
      <c r="B29" s="27" t="s">
        <v>344</v>
      </c>
      <c r="C29" s="27" t="s">
        <v>321</v>
      </c>
      <c r="D29" s="31">
        <v>17000</v>
      </c>
      <c r="E29" s="29">
        <v>632.37244069999997</v>
      </c>
      <c r="F29" s="30">
        <v>1.6284397297931199</v>
      </c>
    </row>
    <row r="30" spans="1:9" x14ac:dyDescent="0.2">
      <c r="A30" s="27" t="s">
        <v>347</v>
      </c>
      <c r="B30" s="27" t="s">
        <v>346</v>
      </c>
      <c r="C30" s="27" t="s">
        <v>348</v>
      </c>
      <c r="D30" s="31">
        <v>6000</v>
      </c>
      <c r="E30" s="29">
        <v>551.57685409999999</v>
      </c>
      <c r="F30" s="30">
        <v>1.4203807842360701</v>
      </c>
    </row>
    <row r="31" spans="1:9" x14ac:dyDescent="0.2">
      <c r="A31" s="27" t="s">
        <v>350</v>
      </c>
      <c r="B31" s="27" t="s">
        <v>349</v>
      </c>
      <c r="C31" s="27" t="s">
        <v>321</v>
      </c>
      <c r="D31" s="31">
        <v>22000</v>
      </c>
      <c r="E31" s="29">
        <v>388.80672070000003</v>
      </c>
      <c r="F31" s="30">
        <v>1.0012269201636901</v>
      </c>
    </row>
    <row r="32" spans="1:9" x14ac:dyDescent="0.2">
      <c r="A32" s="27" t="s">
        <v>352</v>
      </c>
      <c r="B32" s="27" t="s">
        <v>351</v>
      </c>
      <c r="C32" s="27" t="s">
        <v>353</v>
      </c>
      <c r="D32" s="31">
        <v>2173</v>
      </c>
      <c r="E32" s="29">
        <v>376.12592489999997</v>
      </c>
      <c r="F32" s="30">
        <v>0.96857225282357795</v>
      </c>
    </row>
    <row r="33" spans="1:9" x14ac:dyDescent="0.2">
      <c r="A33" s="27" t="s">
        <v>355</v>
      </c>
      <c r="B33" s="27" t="s">
        <v>354</v>
      </c>
      <c r="C33" s="27" t="s">
        <v>321</v>
      </c>
      <c r="D33" s="31">
        <v>1000</v>
      </c>
      <c r="E33" s="29">
        <v>373.61998970000002</v>
      </c>
      <c r="F33" s="30">
        <v>0.962119149909336</v>
      </c>
    </row>
    <row r="34" spans="1:9" x14ac:dyDescent="0.2">
      <c r="A34" s="27" t="s">
        <v>357</v>
      </c>
      <c r="B34" s="27" t="s">
        <v>356</v>
      </c>
      <c r="C34" s="27" t="s">
        <v>103</v>
      </c>
      <c r="D34" s="31">
        <v>267</v>
      </c>
      <c r="E34" s="29">
        <v>321.56043039999997</v>
      </c>
      <c r="F34" s="30">
        <v>0.82805914156077698</v>
      </c>
    </row>
    <row r="35" spans="1:9" x14ac:dyDescent="0.2">
      <c r="A35" s="27" t="s">
        <v>359</v>
      </c>
      <c r="B35" s="27" t="s">
        <v>358</v>
      </c>
      <c r="C35" s="27" t="s">
        <v>321</v>
      </c>
      <c r="D35" s="31">
        <v>8982</v>
      </c>
      <c r="E35" s="29">
        <v>296.38832020000001</v>
      </c>
      <c r="F35" s="30">
        <v>0.76323774566465696</v>
      </c>
    </row>
    <row r="36" spans="1:9" x14ac:dyDescent="0.2">
      <c r="A36" s="27" t="s">
        <v>361</v>
      </c>
      <c r="B36" s="27" t="s">
        <v>360</v>
      </c>
      <c r="C36" s="27" t="s">
        <v>321</v>
      </c>
      <c r="D36" s="31">
        <v>23000</v>
      </c>
      <c r="E36" s="29">
        <v>283.3918036</v>
      </c>
      <c r="F36" s="30">
        <v>0.72977005697643904</v>
      </c>
    </row>
    <row r="37" spans="1:9" x14ac:dyDescent="0.2">
      <c r="A37" s="27" t="s">
        <v>363</v>
      </c>
      <c r="B37" s="27" t="s">
        <v>362</v>
      </c>
      <c r="C37" s="27" t="s">
        <v>103</v>
      </c>
      <c r="D37" s="31">
        <v>1100</v>
      </c>
      <c r="E37" s="29">
        <v>165.9716037</v>
      </c>
      <c r="F37" s="30">
        <v>0.42739805862409203</v>
      </c>
    </row>
    <row r="38" spans="1:9" ht="10.5" x14ac:dyDescent="0.25">
      <c r="A38" s="26" t="s">
        <v>43</v>
      </c>
      <c r="B38" s="26"/>
      <c r="C38" s="26"/>
      <c r="D38" s="32"/>
      <c r="E38" s="33">
        <f>SUM(E24:E37)</f>
        <v>6764.8384164999989</v>
      </c>
      <c r="F38" s="34">
        <f>SUM(F24:F37)</f>
        <v>17.420322161517909</v>
      </c>
      <c r="G38" s="18"/>
      <c r="H38" s="18"/>
      <c r="I38" s="18"/>
    </row>
    <row r="39" spans="1:9" x14ac:dyDescent="0.2">
      <c r="A39" s="27"/>
      <c r="B39" s="27"/>
      <c r="C39" s="27"/>
      <c r="D39" s="28"/>
      <c r="E39" s="29"/>
      <c r="F39" s="30"/>
    </row>
    <row r="40" spans="1:9" ht="10.5" x14ac:dyDescent="0.25">
      <c r="A40" s="26" t="s">
        <v>364</v>
      </c>
      <c r="B40" s="27"/>
      <c r="C40" s="27"/>
      <c r="D40" s="28"/>
      <c r="E40" s="29"/>
      <c r="F40" s="30"/>
    </row>
    <row r="41" spans="1:9" x14ac:dyDescent="0.2">
      <c r="A41" s="27" t="s">
        <v>366</v>
      </c>
      <c r="B41" s="27" t="s">
        <v>365</v>
      </c>
      <c r="C41" s="27" t="s">
        <v>367</v>
      </c>
      <c r="D41" s="31">
        <v>91868.481</v>
      </c>
      <c r="E41" s="29">
        <v>3246.448425</v>
      </c>
      <c r="F41" s="30">
        <v>8.3600189631007407</v>
      </c>
    </row>
    <row r="42" spans="1:9" ht="10.5" x14ac:dyDescent="0.25">
      <c r="A42" s="26" t="s">
        <v>43</v>
      </c>
      <c r="B42" s="26"/>
      <c r="C42" s="26"/>
      <c r="D42" s="32"/>
      <c r="E42" s="33">
        <f>SUM(E41:E41)</f>
        <v>3246.448425</v>
      </c>
      <c r="F42" s="34">
        <f>SUM(F41:F41)</f>
        <v>8.3600189631007407</v>
      </c>
      <c r="G42" s="18"/>
      <c r="H42" s="18"/>
      <c r="I42" s="18"/>
    </row>
    <row r="43" spans="1:9" x14ac:dyDescent="0.2">
      <c r="A43" s="27"/>
      <c r="B43" s="27"/>
      <c r="C43" s="27"/>
      <c r="D43" s="28"/>
      <c r="E43" s="29"/>
      <c r="F43" s="30"/>
    </row>
    <row r="44" spans="1:9" ht="10.5" x14ac:dyDescent="0.25">
      <c r="A44" s="26" t="s">
        <v>48</v>
      </c>
      <c r="B44" s="26"/>
      <c r="C44" s="26"/>
      <c r="D44" s="32"/>
      <c r="E44" s="33">
        <f>E18+E22+E38+E42</f>
        <v>36635.8560335</v>
      </c>
      <c r="F44" s="34">
        <f>F18+F22+F38+F42</f>
        <v>94.342004268707569</v>
      </c>
      <c r="G44" s="18"/>
      <c r="H44" s="18"/>
      <c r="I44" s="18"/>
    </row>
    <row r="45" spans="1:9" ht="10.5" x14ac:dyDescent="0.25">
      <c r="A45" s="26"/>
      <c r="B45" s="26"/>
      <c r="C45" s="26"/>
      <c r="D45" s="32"/>
      <c r="E45" s="33"/>
      <c r="F45" s="34"/>
      <c r="G45" s="18"/>
      <c r="H45" s="18"/>
      <c r="I45" s="18"/>
    </row>
    <row r="46" spans="1:9" ht="10.5" x14ac:dyDescent="0.25">
      <c r="A46" s="26" t="s">
        <v>50</v>
      </c>
      <c r="B46" s="26"/>
      <c r="C46" s="26"/>
      <c r="D46" s="32"/>
      <c r="E46" s="33">
        <f>E48-(E18+E22+E38+E42)</f>
        <v>2197.1710125999962</v>
      </c>
      <c r="F46" s="34">
        <f>F48-(F18+F22+F38+F42)</f>
        <v>5.6579957312924307</v>
      </c>
      <c r="G46" s="18"/>
      <c r="H46" s="18"/>
      <c r="I46" s="18"/>
    </row>
    <row r="47" spans="1:9" ht="10.5" x14ac:dyDescent="0.25">
      <c r="A47" s="26"/>
      <c r="B47" s="26"/>
      <c r="C47" s="26"/>
      <c r="D47" s="32"/>
      <c r="E47" s="33"/>
      <c r="F47" s="34"/>
      <c r="G47" s="18"/>
      <c r="H47" s="18"/>
      <c r="I47" s="18"/>
    </row>
    <row r="48" spans="1:9" ht="10.5" x14ac:dyDescent="0.25">
      <c r="A48" s="35" t="s">
        <v>49</v>
      </c>
      <c r="B48" s="35"/>
      <c r="C48" s="35"/>
      <c r="D48" s="36"/>
      <c r="E48" s="37">
        <v>38833.027046099996</v>
      </c>
      <c r="F48" s="38">
        <v>100</v>
      </c>
      <c r="G48" s="18"/>
      <c r="H48" s="18"/>
      <c r="I48" s="18"/>
    </row>
    <row r="49" spans="1:6" ht="10.5" x14ac:dyDescent="0.25">
      <c r="F49" s="20" t="s">
        <v>61</v>
      </c>
    </row>
    <row r="50" spans="1:6" ht="10.5" x14ac:dyDescent="0.25">
      <c r="A50" s="18" t="s">
        <v>766</v>
      </c>
    </row>
    <row r="52" spans="1:6" ht="10.5" x14ac:dyDescent="0.25">
      <c r="A52" s="18" t="s">
        <v>51</v>
      </c>
    </row>
    <row r="53" spans="1:6" ht="10.5" x14ac:dyDescent="0.25">
      <c r="A53" s="18" t="s">
        <v>52</v>
      </c>
    </row>
    <row r="54" spans="1:6" ht="10.5" x14ac:dyDescent="0.25">
      <c r="A54" s="18" t="s">
        <v>53</v>
      </c>
      <c r="B54" s="18"/>
      <c r="C54" s="39" t="s">
        <v>55</v>
      </c>
      <c r="D54" s="19" t="s">
        <v>54</v>
      </c>
    </row>
    <row r="55" spans="1:6" x14ac:dyDescent="0.2">
      <c r="A55" s="9" t="s">
        <v>71</v>
      </c>
      <c r="C55" s="40">
        <v>159.34460000000001</v>
      </c>
      <c r="D55" s="40">
        <v>223.4238</v>
      </c>
    </row>
    <row r="56" spans="1:6" x14ac:dyDescent="0.2">
      <c r="A56" s="9" t="s">
        <v>77</v>
      </c>
      <c r="C56" s="40">
        <v>23.2515</v>
      </c>
      <c r="D56" s="40">
        <v>32.6021</v>
      </c>
    </row>
    <row r="57" spans="1:6" x14ac:dyDescent="0.2">
      <c r="A57" s="9" t="s">
        <v>74</v>
      </c>
      <c r="C57" s="40">
        <v>166.542</v>
      </c>
      <c r="D57" s="40">
        <v>234.66120000000001</v>
      </c>
    </row>
    <row r="58" spans="1:6" x14ac:dyDescent="0.2">
      <c r="A58" s="9" t="s">
        <v>78</v>
      </c>
      <c r="C58" s="40">
        <v>24.505600000000001</v>
      </c>
      <c r="D58" s="40">
        <v>34.522300000000001</v>
      </c>
    </row>
    <row r="60" spans="1:6" ht="10.5" x14ac:dyDescent="0.25">
      <c r="A60" s="18" t="s">
        <v>56</v>
      </c>
      <c r="D60" s="41" t="s">
        <v>57</v>
      </c>
    </row>
    <row r="62" spans="1:6" ht="10.5" x14ac:dyDescent="0.25">
      <c r="A62" s="18" t="s">
        <v>224</v>
      </c>
      <c r="D62" s="45">
        <v>7.3497571935906697E-2</v>
      </c>
    </row>
  </sheetData>
  <mergeCells count="1">
    <mergeCell ref="A1:F1"/>
  </mergeCells>
  <conditionalFormatting sqref="F2:F3 F5:F48 F50:F65537">
    <cfRule type="cellIs" dxfId="21" priority="2" stopIfTrue="1" operator="between">
      <formula>0.009</formula>
      <formula>-0.009</formula>
    </cfRule>
  </conditionalFormatting>
  <conditionalFormatting sqref="F49">
    <cfRule type="cellIs" dxfId="2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92"/>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 style="10" bestFit="1" customWidth="1"/>
    <col min="5" max="5" width="23" style="13" bestFit="1" customWidth="1"/>
    <col min="6" max="6" width="13.54296875" style="14" bestFit="1" customWidth="1"/>
    <col min="7" max="16384" width="9.1796875" style="9"/>
  </cols>
  <sheetData>
    <row r="1" spans="1:6" s="1" customFormat="1" ht="14" x14ac:dyDescent="0.25">
      <c r="A1" s="79" t="s">
        <v>13</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369</v>
      </c>
      <c r="B7" s="27" t="s">
        <v>368</v>
      </c>
      <c r="C7" s="27" t="s">
        <v>254</v>
      </c>
      <c r="D7" s="31">
        <v>4442967</v>
      </c>
      <c r="E7" s="29">
        <v>32977.922559999999</v>
      </c>
      <c r="F7" s="30">
        <v>5.8419487476721299</v>
      </c>
    </row>
    <row r="8" spans="1:6" x14ac:dyDescent="0.2">
      <c r="A8" s="27" t="s">
        <v>102</v>
      </c>
      <c r="B8" s="27" t="s">
        <v>101</v>
      </c>
      <c r="C8" s="27" t="s">
        <v>103</v>
      </c>
      <c r="D8" s="31">
        <v>1982437</v>
      </c>
      <c r="E8" s="29">
        <v>21025.72682</v>
      </c>
      <c r="F8" s="30">
        <v>3.7246499757986999</v>
      </c>
    </row>
    <row r="9" spans="1:6" x14ac:dyDescent="0.2">
      <c r="A9" s="27" t="s">
        <v>99</v>
      </c>
      <c r="B9" s="27" t="s">
        <v>98</v>
      </c>
      <c r="C9" s="27" t="s">
        <v>100</v>
      </c>
      <c r="D9" s="31">
        <v>1649964</v>
      </c>
      <c r="E9" s="29">
        <v>19528.14892</v>
      </c>
      <c r="F9" s="30">
        <v>3.45935814847001</v>
      </c>
    </row>
    <row r="10" spans="1:6" x14ac:dyDescent="0.2">
      <c r="A10" s="27" t="s">
        <v>371</v>
      </c>
      <c r="B10" s="27" t="s">
        <v>370</v>
      </c>
      <c r="C10" s="27" t="s">
        <v>141</v>
      </c>
      <c r="D10" s="31">
        <v>1626587</v>
      </c>
      <c r="E10" s="29">
        <v>16407.38307</v>
      </c>
      <c r="F10" s="30">
        <v>2.9065230171479799</v>
      </c>
    </row>
    <row r="11" spans="1:6" x14ac:dyDescent="0.2">
      <c r="A11" s="27" t="s">
        <v>373</v>
      </c>
      <c r="B11" s="27" t="s">
        <v>372</v>
      </c>
      <c r="C11" s="27" t="s">
        <v>374</v>
      </c>
      <c r="D11" s="31">
        <v>8895595</v>
      </c>
      <c r="E11" s="29">
        <v>15945.35404</v>
      </c>
      <c r="F11" s="30">
        <v>2.8246758386822699</v>
      </c>
    </row>
    <row r="12" spans="1:6" x14ac:dyDescent="0.2">
      <c r="A12" s="27" t="s">
        <v>126</v>
      </c>
      <c r="B12" s="27" t="s">
        <v>125</v>
      </c>
      <c r="C12" s="27" t="s">
        <v>127</v>
      </c>
      <c r="D12" s="31">
        <v>2061210</v>
      </c>
      <c r="E12" s="29">
        <v>14542.86716</v>
      </c>
      <c r="F12" s="30">
        <v>2.5762291253595602</v>
      </c>
    </row>
    <row r="13" spans="1:6" x14ac:dyDescent="0.2">
      <c r="A13" s="27" t="s">
        <v>376</v>
      </c>
      <c r="B13" s="27" t="s">
        <v>375</v>
      </c>
      <c r="C13" s="27" t="s">
        <v>233</v>
      </c>
      <c r="D13" s="31">
        <v>2791126</v>
      </c>
      <c r="E13" s="29">
        <v>14104.955239999999</v>
      </c>
      <c r="F13" s="30">
        <v>2.4986542269413801</v>
      </c>
    </row>
    <row r="14" spans="1:6" x14ac:dyDescent="0.2">
      <c r="A14" s="27" t="s">
        <v>378</v>
      </c>
      <c r="B14" s="27" t="s">
        <v>377</v>
      </c>
      <c r="C14" s="27" t="s">
        <v>130</v>
      </c>
      <c r="D14" s="31">
        <v>10263765</v>
      </c>
      <c r="E14" s="29">
        <v>13938.192870000001</v>
      </c>
      <c r="F14" s="30">
        <v>2.4691127293892601</v>
      </c>
    </row>
    <row r="15" spans="1:6" x14ac:dyDescent="0.2">
      <c r="A15" s="27" t="s">
        <v>380</v>
      </c>
      <c r="B15" s="27" t="s">
        <v>379</v>
      </c>
      <c r="C15" s="27" t="s">
        <v>130</v>
      </c>
      <c r="D15" s="31">
        <v>5467185</v>
      </c>
      <c r="E15" s="29">
        <v>13170.44867</v>
      </c>
      <c r="F15" s="30">
        <v>2.3331089450525599</v>
      </c>
    </row>
    <row r="16" spans="1:6" x14ac:dyDescent="0.2">
      <c r="A16" s="27" t="s">
        <v>259</v>
      </c>
      <c r="B16" s="27" t="s">
        <v>258</v>
      </c>
      <c r="C16" s="27" t="s">
        <v>103</v>
      </c>
      <c r="D16" s="31">
        <v>3303552</v>
      </c>
      <c r="E16" s="29">
        <v>13025.90554</v>
      </c>
      <c r="F16" s="30">
        <v>2.3075035250703899</v>
      </c>
    </row>
    <row r="17" spans="1:6" x14ac:dyDescent="0.2">
      <c r="A17" s="27" t="s">
        <v>274</v>
      </c>
      <c r="B17" s="27" t="s">
        <v>273</v>
      </c>
      <c r="C17" s="27" t="s">
        <v>275</v>
      </c>
      <c r="D17" s="31">
        <v>1655675</v>
      </c>
      <c r="E17" s="29">
        <v>12665.91375</v>
      </c>
      <c r="F17" s="30">
        <v>2.2437319644775</v>
      </c>
    </row>
    <row r="18" spans="1:6" x14ac:dyDescent="0.2">
      <c r="A18" s="27" t="s">
        <v>288</v>
      </c>
      <c r="B18" s="27" t="s">
        <v>287</v>
      </c>
      <c r="C18" s="27" t="s">
        <v>213</v>
      </c>
      <c r="D18" s="31">
        <v>1675886</v>
      </c>
      <c r="E18" s="29">
        <v>12384.79754</v>
      </c>
      <c r="F18" s="30">
        <v>2.1939329970631101</v>
      </c>
    </row>
    <row r="19" spans="1:6" x14ac:dyDescent="0.2">
      <c r="A19" s="27" t="s">
        <v>382</v>
      </c>
      <c r="B19" s="27" t="s">
        <v>381</v>
      </c>
      <c r="C19" s="27" t="s">
        <v>127</v>
      </c>
      <c r="D19" s="31">
        <v>1968713</v>
      </c>
      <c r="E19" s="29">
        <v>12356.627140000001</v>
      </c>
      <c r="F19" s="30">
        <v>2.1889426877826499</v>
      </c>
    </row>
    <row r="20" spans="1:6" x14ac:dyDescent="0.2">
      <c r="A20" s="27" t="s">
        <v>143</v>
      </c>
      <c r="B20" s="27" t="s">
        <v>142</v>
      </c>
      <c r="C20" s="27" t="s">
        <v>144</v>
      </c>
      <c r="D20" s="31">
        <v>6289744</v>
      </c>
      <c r="E20" s="29">
        <v>11802.70462</v>
      </c>
      <c r="F20" s="30">
        <v>2.09081682900141</v>
      </c>
    </row>
    <row r="21" spans="1:6" x14ac:dyDescent="0.2">
      <c r="A21" s="27" t="s">
        <v>384</v>
      </c>
      <c r="B21" s="27" t="s">
        <v>383</v>
      </c>
      <c r="C21" s="27" t="s">
        <v>141</v>
      </c>
      <c r="D21" s="31">
        <v>2350900</v>
      </c>
      <c r="E21" s="29">
        <v>11773.307199999999</v>
      </c>
      <c r="F21" s="30">
        <v>2.0856091564853099</v>
      </c>
    </row>
    <row r="22" spans="1:6" x14ac:dyDescent="0.2">
      <c r="A22" s="27" t="s">
        <v>251</v>
      </c>
      <c r="B22" s="27" t="s">
        <v>250</v>
      </c>
      <c r="C22" s="27" t="s">
        <v>160</v>
      </c>
      <c r="D22" s="31">
        <v>4112021</v>
      </c>
      <c r="E22" s="29">
        <v>11388.24216</v>
      </c>
      <c r="F22" s="30">
        <v>2.0173959382600701</v>
      </c>
    </row>
    <row r="23" spans="1:6" x14ac:dyDescent="0.2">
      <c r="A23" s="27" t="s">
        <v>105</v>
      </c>
      <c r="B23" s="27" t="s">
        <v>104</v>
      </c>
      <c r="C23" s="27" t="s">
        <v>100</v>
      </c>
      <c r="D23" s="31">
        <v>2299441</v>
      </c>
      <c r="E23" s="29">
        <v>11324.746929999999</v>
      </c>
      <c r="F23" s="30">
        <v>2.0061479320005202</v>
      </c>
    </row>
    <row r="24" spans="1:6" x14ac:dyDescent="0.2">
      <c r="A24" s="27" t="s">
        <v>386</v>
      </c>
      <c r="B24" s="27" t="s">
        <v>385</v>
      </c>
      <c r="C24" s="27" t="s">
        <v>254</v>
      </c>
      <c r="D24" s="31">
        <v>185642</v>
      </c>
      <c r="E24" s="29">
        <v>11154.485210000001</v>
      </c>
      <c r="F24" s="30">
        <v>1.9759865341707801</v>
      </c>
    </row>
    <row r="25" spans="1:6" x14ac:dyDescent="0.2">
      <c r="A25" s="27" t="s">
        <v>110</v>
      </c>
      <c r="B25" s="27" t="s">
        <v>109</v>
      </c>
      <c r="C25" s="27" t="s">
        <v>100</v>
      </c>
      <c r="D25" s="31">
        <v>673158</v>
      </c>
      <c r="E25" s="29">
        <v>10416.446889999999</v>
      </c>
      <c r="F25" s="30">
        <v>1.8452450651951799</v>
      </c>
    </row>
    <row r="26" spans="1:6" x14ac:dyDescent="0.2">
      <c r="A26" s="27" t="s">
        <v>388</v>
      </c>
      <c r="B26" s="27" t="s">
        <v>387</v>
      </c>
      <c r="C26" s="27" t="s">
        <v>389</v>
      </c>
      <c r="D26" s="31">
        <v>2460139</v>
      </c>
      <c r="E26" s="29">
        <v>10069.34893</v>
      </c>
      <c r="F26" s="30">
        <v>1.7837576113068301</v>
      </c>
    </row>
    <row r="27" spans="1:6" x14ac:dyDescent="0.2">
      <c r="A27" s="27" t="s">
        <v>263</v>
      </c>
      <c r="B27" s="27" t="s">
        <v>262</v>
      </c>
      <c r="C27" s="27" t="s">
        <v>144</v>
      </c>
      <c r="D27" s="31">
        <v>1497004</v>
      </c>
      <c r="E27" s="29">
        <v>9877.9808940000003</v>
      </c>
      <c r="F27" s="30">
        <v>1.7498572873485601</v>
      </c>
    </row>
    <row r="28" spans="1:6" x14ac:dyDescent="0.2">
      <c r="A28" s="27" t="s">
        <v>391</v>
      </c>
      <c r="B28" s="27" t="s">
        <v>390</v>
      </c>
      <c r="C28" s="27" t="s">
        <v>127</v>
      </c>
      <c r="D28" s="31">
        <v>162407</v>
      </c>
      <c r="E28" s="29">
        <v>9264.8321290000004</v>
      </c>
      <c r="F28" s="30">
        <v>1.6412396613197699</v>
      </c>
    </row>
    <row r="29" spans="1:6" x14ac:dyDescent="0.2">
      <c r="A29" s="27" t="s">
        <v>393</v>
      </c>
      <c r="B29" s="27" t="s">
        <v>392</v>
      </c>
      <c r="C29" s="27" t="s">
        <v>233</v>
      </c>
      <c r="D29" s="31">
        <v>408284</v>
      </c>
      <c r="E29" s="29">
        <v>9092.8929640000006</v>
      </c>
      <c r="F29" s="30">
        <v>1.6107811086980901</v>
      </c>
    </row>
    <row r="30" spans="1:6" x14ac:dyDescent="0.2">
      <c r="A30" s="27" t="s">
        <v>395</v>
      </c>
      <c r="B30" s="27" t="s">
        <v>394</v>
      </c>
      <c r="C30" s="27" t="s">
        <v>188</v>
      </c>
      <c r="D30" s="31">
        <v>504140</v>
      </c>
      <c r="E30" s="29">
        <v>8575.4213999999993</v>
      </c>
      <c r="F30" s="30">
        <v>1.51911243703554</v>
      </c>
    </row>
    <row r="31" spans="1:6" x14ac:dyDescent="0.2">
      <c r="A31" s="27" t="s">
        <v>397</v>
      </c>
      <c r="B31" s="27" t="s">
        <v>396</v>
      </c>
      <c r="C31" s="27" t="s">
        <v>174</v>
      </c>
      <c r="D31" s="31">
        <v>11177038</v>
      </c>
      <c r="E31" s="29">
        <v>8567.199627</v>
      </c>
      <c r="F31" s="30">
        <v>1.5176559724449099</v>
      </c>
    </row>
    <row r="32" spans="1:6" x14ac:dyDescent="0.2">
      <c r="A32" s="27" t="s">
        <v>399</v>
      </c>
      <c r="B32" s="27" t="s">
        <v>398</v>
      </c>
      <c r="C32" s="27" t="s">
        <v>374</v>
      </c>
      <c r="D32" s="31">
        <v>2829248</v>
      </c>
      <c r="E32" s="29">
        <v>8243.0140479999991</v>
      </c>
      <c r="F32" s="30">
        <v>1.4602273841581099</v>
      </c>
    </row>
    <row r="33" spans="1:6" x14ac:dyDescent="0.2">
      <c r="A33" s="27" t="s">
        <v>333</v>
      </c>
      <c r="B33" s="27" t="s">
        <v>332</v>
      </c>
      <c r="C33" s="27" t="s">
        <v>167</v>
      </c>
      <c r="D33" s="31">
        <v>170000</v>
      </c>
      <c r="E33" s="29">
        <v>8238.2000000000007</v>
      </c>
      <c r="F33" s="30">
        <v>1.4593745887270499</v>
      </c>
    </row>
    <row r="34" spans="1:6" x14ac:dyDescent="0.2">
      <c r="A34" s="27" t="s">
        <v>401</v>
      </c>
      <c r="B34" s="27" t="s">
        <v>400</v>
      </c>
      <c r="C34" s="27" t="s">
        <v>402</v>
      </c>
      <c r="D34" s="31">
        <v>2384260</v>
      </c>
      <c r="E34" s="29">
        <v>8152.9770699999999</v>
      </c>
      <c r="F34" s="30">
        <v>1.4442775798636001</v>
      </c>
    </row>
    <row r="35" spans="1:6" x14ac:dyDescent="0.2">
      <c r="A35" s="27" t="s">
        <v>404</v>
      </c>
      <c r="B35" s="27" t="s">
        <v>403</v>
      </c>
      <c r="C35" s="27" t="s">
        <v>160</v>
      </c>
      <c r="D35" s="31">
        <v>2767883</v>
      </c>
      <c r="E35" s="29">
        <v>7866.3234860000002</v>
      </c>
      <c r="F35" s="30">
        <v>1.39349768179641</v>
      </c>
    </row>
    <row r="36" spans="1:6" x14ac:dyDescent="0.2">
      <c r="A36" s="27" t="s">
        <v>406</v>
      </c>
      <c r="B36" s="27" t="s">
        <v>405</v>
      </c>
      <c r="C36" s="27" t="s">
        <v>402</v>
      </c>
      <c r="D36" s="31">
        <v>393330</v>
      </c>
      <c r="E36" s="29">
        <v>7738.76775</v>
      </c>
      <c r="F36" s="30">
        <v>1.3709015321806199</v>
      </c>
    </row>
    <row r="37" spans="1:6" x14ac:dyDescent="0.2">
      <c r="A37" s="27" t="s">
        <v>272</v>
      </c>
      <c r="B37" s="27" t="s">
        <v>271</v>
      </c>
      <c r="C37" s="27" t="s">
        <v>188</v>
      </c>
      <c r="D37" s="31">
        <v>16272603</v>
      </c>
      <c r="E37" s="29">
        <v>7615.5782040000004</v>
      </c>
      <c r="F37" s="30">
        <v>1.3490788411766199</v>
      </c>
    </row>
    <row r="38" spans="1:6" x14ac:dyDescent="0.2">
      <c r="A38" s="27" t="s">
        <v>137</v>
      </c>
      <c r="B38" s="27" t="s">
        <v>136</v>
      </c>
      <c r="C38" s="27" t="s">
        <v>138</v>
      </c>
      <c r="D38" s="31">
        <v>1852195</v>
      </c>
      <c r="E38" s="29">
        <v>7604.186573</v>
      </c>
      <c r="F38" s="30">
        <v>1.34706084491462</v>
      </c>
    </row>
    <row r="39" spans="1:6" x14ac:dyDescent="0.2">
      <c r="A39" s="27" t="s">
        <v>408</v>
      </c>
      <c r="B39" s="27" t="s">
        <v>407</v>
      </c>
      <c r="C39" s="27" t="s">
        <v>100</v>
      </c>
      <c r="D39" s="31">
        <v>9849096</v>
      </c>
      <c r="E39" s="29">
        <v>7569.0302760000004</v>
      </c>
      <c r="F39" s="30">
        <v>1.3408330030953499</v>
      </c>
    </row>
    <row r="40" spans="1:6" x14ac:dyDescent="0.2">
      <c r="A40" s="27" t="s">
        <v>280</v>
      </c>
      <c r="B40" s="27" t="s">
        <v>279</v>
      </c>
      <c r="C40" s="27" t="s">
        <v>160</v>
      </c>
      <c r="D40" s="31">
        <v>1416126</v>
      </c>
      <c r="E40" s="29">
        <v>7398.550287</v>
      </c>
      <c r="F40" s="30">
        <v>1.31063293950948</v>
      </c>
    </row>
    <row r="41" spans="1:6" x14ac:dyDescent="0.2">
      <c r="A41" s="27" t="s">
        <v>410</v>
      </c>
      <c r="B41" s="27" t="s">
        <v>409</v>
      </c>
      <c r="C41" s="27" t="s">
        <v>374</v>
      </c>
      <c r="D41" s="31">
        <v>3270913</v>
      </c>
      <c r="E41" s="29">
        <v>7128.9548839999998</v>
      </c>
      <c r="F41" s="30">
        <v>1.2628748515320301</v>
      </c>
    </row>
    <row r="42" spans="1:6" x14ac:dyDescent="0.2">
      <c r="A42" s="27" t="s">
        <v>412</v>
      </c>
      <c r="B42" s="27" t="s">
        <v>411</v>
      </c>
      <c r="C42" s="27" t="s">
        <v>374</v>
      </c>
      <c r="D42" s="31">
        <v>2805627</v>
      </c>
      <c r="E42" s="29">
        <v>7023.8871950000002</v>
      </c>
      <c r="F42" s="30">
        <v>1.2442623979107501</v>
      </c>
    </row>
    <row r="43" spans="1:6" x14ac:dyDescent="0.2">
      <c r="A43" s="27" t="s">
        <v>414</v>
      </c>
      <c r="B43" s="27" t="s">
        <v>413</v>
      </c>
      <c r="C43" s="27" t="s">
        <v>115</v>
      </c>
      <c r="D43" s="31">
        <v>2345030</v>
      </c>
      <c r="E43" s="29">
        <v>6802.9320299999999</v>
      </c>
      <c r="F43" s="30">
        <v>1.20512079500611</v>
      </c>
    </row>
    <row r="44" spans="1:6" x14ac:dyDescent="0.2">
      <c r="A44" s="27" t="s">
        <v>416</v>
      </c>
      <c r="B44" s="27" t="s">
        <v>415</v>
      </c>
      <c r="C44" s="27" t="s">
        <v>118</v>
      </c>
      <c r="D44" s="31">
        <v>1000416</v>
      </c>
      <c r="E44" s="29">
        <v>6551.2241759999997</v>
      </c>
      <c r="F44" s="30">
        <v>1.16053143739029</v>
      </c>
    </row>
    <row r="45" spans="1:6" x14ac:dyDescent="0.2">
      <c r="A45" s="27" t="s">
        <v>418</v>
      </c>
      <c r="B45" s="27" t="s">
        <v>417</v>
      </c>
      <c r="C45" s="27" t="s">
        <v>188</v>
      </c>
      <c r="D45" s="31">
        <v>2353836</v>
      </c>
      <c r="E45" s="29">
        <v>6431.8568699999996</v>
      </c>
      <c r="F45" s="30">
        <v>1.1393858457439101</v>
      </c>
    </row>
    <row r="46" spans="1:6" x14ac:dyDescent="0.2">
      <c r="A46" s="27" t="s">
        <v>420</v>
      </c>
      <c r="B46" s="27" t="s">
        <v>419</v>
      </c>
      <c r="C46" s="27" t="s">
        <v>100</v>
      </c>
      <c r="D46" s="31">
        <v>4308453</v>
      </c>
      <c r="E46" s="29">
        <v>6363.5850810000002</v>
      </c>
      <c r="F46" s="30">
        <v>1.12729168512709</v>
      </c>
    </row>
    <row r="47" spans="1:6" x14ac:dyDescent="0.2">
      <c r="A47" s="27" t="s">
        <v>171</v>
      </c>
      <c r="B47" s="27" t="s">
        <v>170</v>
      </c>
      <c r="C47" s="27" t="s">
        <v>100</v>
      </c>
      <c r="D47" s="31">
        <v>19398917</v>
      </c>
      <c r="E47" s="29">
        <v>6294.9485670000004</v>
      </c>
      <c r="F47" s="30">
        <v>1.1151329144744699</v>
      </c>
    </row>
    <row r="48" spans="1:6" x14ac:dyDescent="0.2">
      <c r="A48" s="27" t="s">
        <v>422</v>
      </c>
      <c r="B48" s="27" t="s">
        <v>421</v>
      </c>
      <c r="C48" s="27" t="s">
        <v>210</v>
      </c>
      <c r="D48" s="31">
        <v>23086857</v>
      </c>
      <c r="E48" s="29">
        <v>6233.4513900000002</v>
      </c>
      <c r="F48" s="30">
        <v>1.1042388578368201</v>
      </c>
    </row>
    <row r="49" spans="1:6" x14ac:dyDescent="0.2">
      <c r="A49" s="27" t="s">
        <v>424</v>
      </c>
      <c r="B49" s="27" t="s">
        <v>423</v>
      </c>
      <c r="C49" s="27" t="s">
        <v>254</v>
      </c>
      <c r="D49" s="31">
        <v>3836227</v>
      </c>
      <c r="E49" s="29">
        <v>6017.1220499999999</v>
      </c>
      <c r="F49" s="30">
        <v>1.0659167071738</v>
      </c>
    </row>
    <row r="50" spans="1:6" x14ac:dyDescent="0.2">
      <c r="A50" s="27" t="s">
        <v>426</v>
      </c>
      <c r="B50" s="27" t="s">
        <v>425</v>
      </c>
      <c r="C50" s="27" t="s">
        <v>127</v>
      </c>
      <c r="D50" s="31">
        <v>2046602</v>
      </c>
      <c r="E50" s="29">
        <v>5564.710838</v>
      </c>
      <c r="F50" s="30">
        <v>0.98577329885062503</v>
      </c>
    </row>
    <row r="51" spans="1:6" x14ac:dyDescent="0.2">
      <c r="A51" s="27" t="s">
        <v>428</v>
      </c>
      <c r="B51" s="27" t="s">
        <v>427</v>
      </c>
      <c r="C51" s="27" t="s">
        <v>174</v>
      </c>
      <c r="D51" s="31">
        <v>2713308</v>
      </c>
      <c r="E51" s="29">
        <v>5474.0988900000002</v>
      </c>
      <c r="F51" s="30">
        <v>0.96972164019384799</v>
      </c>
    </row>
    <row r="52" spans="1:6" x14ac:dyDescent="0.2">
      <c r="A52" s="27" t="s">
        <v>430</v>
      </c>
      <c r="B52" s="27" t="s">
        <v>429</v>
      </c>
      <c r="C52" s="27" t="s">
        <v>174</v>
      </c>
      <c r="D52" s="31">
        <v>24421468</v>
      </c>
      <c r="E52" s="29">
        <v>5238.4048860000003</v>
      </c>
      <c r="F52" s="30">
        <v>0.92796909228861002</v>
      </c>
    </row>
    <row r="53" spans="1:6" x14ac:dyDescent="0.2">
      <c r="A53" s="27" t="s">
        <v>212</v>
      </c>
      <c r="B53" s="27" t="s">
        <v>211</v>
      </c>
      <c r="C53" s="27" t="s">
        <v>213</v>
      </c>
      <c r="D53" s="31">
        <v>4031266</v>
      </c>
      <c r="E53" s="29">
        <v>5125.7547189999996</v>
      </c>
      <c r="F53" s="30">
        <v>0.90801342343671798</v>
      </c>
    </row>
    <row r="54" spans="1:6" x14ac:dyDescent="0.2">
      <c r="A54" s="27" t="s">
        <v>432</v>
      </c>
      <c r="B54" s="27" t="s">
        <v>431</v>
      </c>
      <c r="C54" s="27" t="s">
        <v>160</v>
      </c>
      <c r="D54" s="31">
        <v>135105</v>
      </c>
      <c r="E54" s="29">
        <v>5086.2979349999996</v>
      </c>
      <c r="F54" s="30">
        <v>0.90102376211234003</v>
      </c>
    </row>
    <row r="55" spans="1:6" x14ac:dyDescent="0.2">
      <c r="A55" s="27" t="s">
        <v>434</v>
      </c>
      <c r="B55" s="27" t="s">
        <v>433</v>
      </c>
      <c r="C55" s="27" t="s">
        <v>160</v>
      </c>
      <c r="D55" s="31">
        <v>1349476</v>
      </c>
      <c r="E55" s="29">
        <v>5055.1370960000004</v>
      </c>
      <c r="F55" s="30">
        <v>0.89550370474543795</v>
      </c>
    </row>
    <row r="56" spans="1:6" x14ac:dyDescent="0.2">
      <c r="A56" s="27" t="s">
        <v>436</v>
      </c>
      <c r="B56" s="27" t="s">
        <v>435</v>
      </c>
      <c r="C56" s="27" t="s">
        <v>254</v>
      </c>
      <c r="D56" s="31">
        <v>9156106</v>
      </c>
      <c r="E56" s="29">
        <v>4317.1039790000004</v>
      </c>
      <c r="F56" s="30">
        <v>0.76476315746704904</v>
      </c>
    </row>
    <row r="57" spans="1:6" x14ac:dyDescent="0.2">
      <c r="A57" s="27" t="s">
        <v>438</v>
      </c>
      <c r="B57" s="27" t="s">
        <v>437</v>
      </c>
      <c r="C57" s="27" t="s">
        <v>103</v>
      </c>
      <c r="D57" s="31">
        <v>4450639</v>
      </c>
      <c r="E57" s="29">
        <v>4192.5019380000003</v>
      </c>
      <c r="F57" s="30">
        <v>0.74269024683864404</v>
      </c>
    </row>
    <row r="58" spans="1:6" x14ac:dyDescent="0.2">
      <c r="A58" s="27" t="s">
        <v>440</v>
      </c>
      <c r="B58" s="27" t="s">
        <v>439</v>
      </c>
      <c r="C58" s="27" t="s">
        <v>207</v>
      </c>
      <c r="D58" s="31">
        <v>2017424</v>
      </c>
      <c r="E58" s="29">
        <v>3867.4018080000001</v>
      </c>
      <c r="F58" s="30">
        <v>0.68509964834457204</v>
      </c>
    </row>
    <row r="59" spans="1:6" x14ac:dyDescent="0.2">
      <c r="A59" s="27" t="s">
        <v>442</v>
      </c>
      <c r="B59" s="27" t="s">
        <v>441</v>
      </c>
      <c r="C59" s="27" t="s">
        <v>207</v>
      </c>
      <c r="D59" s="31">
        <v>6313159</v>
      </c>
      <c r="E59" s="29">
        <v>3832.0875129999999</v>
      </c>
      <c r="F59" s="30">
        <v>0.67884381761191104</v>
      </c>
    </row>
    <row r="60" spans="1:6" x14ac:dyDescent="0.2">
      <c r="A60" s="27" t="s">
        <v>444</v>
      </c>
      <c r="B60" s="27" t="s">
        <v>443</v>
      </c>
      <c r="C60" s="27" t="s">
        <v>160</v>
      </c>
      <c r="D60" s="31">
        <v>1196703</v>
      </c>
      <c r="E60" s="29">
        <v>3679.2633740000001</v>
      </c>
      <c r="F60" s="30">
        <v>0.65177143954380301</v>
      </c>
    </row>
    <row r="61" spans="1:6" x14ac:dyDescent="0.2">
      <c r="A61" s="27" t="s">
        <v>446</v>
      </c>
      <c r="B61" s="27" t="s">
        <v>445</v>
      </c>
      <c r="C61" s="27" t="s">
        <v>174</v>
      </c>
      <c r="D61" s="31">
        <v>1444442</v>
      </c>
      <c r="E61" s="29">
        <v>3663.8271329999998</v>
      </c>
      <c r="F61" s="30">
        <v>0.64903695168712705</v>
      </c>
    </row>
    <row r="62" spans="1:6" x14ac:dyDescent="0.2">
      <c r="A62" s="52" t="s">
        <v>447</v>
      </c>
      <c r="B62" s="52" t="s">
        <v>723</v>
      </c>
      <c r="C62" s="52" t="s">
        <v>100</v>
      </c>
      <c r="D62" s="53">
        <v>9879057</v>
      </c>
      <c r="E62" s="54">
        <v>3260.0888100000002</v>
      </c>
      <c r="F62" s="54">
        <v>0.57751581247207096</v>
      </c>
    </row>
    <row r="63" spans="1:6" x14ac:dyDescent="0.2">
      <c r="A63" s="27" t="s">
        <v>449</v>
      </c>
      <c r="B63" s="27" t="s">
        <v>448</v>
      </c>
      <c r="C63" s="27" t="s">
        <v>188</v>
      </c>
      <c r="D63" s="31">
        <v>1054022</v>
      </c>
      <c r="E63" s="29">
        <v>3145.2016480000002</v>
      </c>
      <c r="F63" s="30">
        <v>0.55716386607677004</v>
      </c>
    </row>
    <row r="64" spans="1:6" x14ac:dyDescent="0.2">
      <c r="A64" s="27" t="s">
        <v>451</v>
      </c>
      <c r="B64" s="27" t="s">
        <v>450</v>
      </c>
      <c r="C64" s="27" t="s">
        <v>167</v>
      </c>
      <c r="D64" s="31">
        <v>988899</v>
      </c>
      <c r="E64" s="29">
        <v>3129.3708860000002</v>
      </c>
      <c r="F64" s="30">
        <v>0.55435948990442796</v>
      </c>
    </row>
    <row r="65" spans="1:9" x14ac:dyDescent="0.2">
      <c r="A65" s="27" t="s">
        <v>453</v>
      </c>
      <c r="B65" s="27" t="s">
        <v>452</v>
      </c>
      <c r="C65" s="27" t="s">
        <v>103</v>
      </c>
      <c r="D65" s="31">
        <v>286766</v>
      </c>
      <c r="E65" s="29">
        <v>2639.8244129999998</v>
      </c>
      <c r="F65" s="30">
        <v>0.46763767170419601</v>
      </c>
    </row>
    <row r="66" spans="1:9" x14ac:dyDescent="0.2">
      <c r="A66" s="27" t="s">
        <v>455</v>
      </c>
      <c r="B66" s="27" t="s">
        <v>454</v>
      </c>
      <c r="C66" s="27" t="s">
        <v>115</v>
      </c>
      <c r="D66" s="31">
        <v>7433782</v>
      </c>
      <c r="E66" s="29">
        <v>2363.9426760000001</v>
      </c>
      <c r="F66" s="30">
        <v>0.41876597685924399</v>
      </c>
    </row>
    <row r="67" spans="1:9" x14ac:dyDescent="0.2">
      <c r="A67" s="27" t="s">
        <v>457</v>
      </c>
      <c r="B67" s="27" t="s">
        <v>456</v>
      </c>
      <c r="C67" s="27" t="s">
        <v>188</v>
      </c>
      <c r="D67" s="31">
        <v>157872</v>
      </c>
      <c r="E67" s="29">
        <v>2047.363032</v>
      </c>
      <c r="F67" s="30">
        <v>0.36268475914641202</v>
      </c>
    </row>
    <row r="68" spans="1:9" x14ac:dyDescent="0.2">
      <c r="A68" s="27" t="s">
        <v>459</v>
      </c>
      <c r="B68" s="27" t="s">
        <v>458</v>
      </c>
      <c r="C68" s="27" t="s">
        <v>174</v>
      </c>
      <c r="D68" s="31">
        <v>11046869</v>
      </c>
      <c r="E68" s="29">
        <v>1524.467922</v>
      </c>
      <c r="F68" s="30">
        <v>0.27005532114980602</v>
      </c>
    </row>
    <row r="69" spans="1:9" x14ac:dyDescent="0.2">
      <c r="A69" s="27" t="s">
        <v>461</v>
      </c>
      <c r="B69" s="27" t="s">
        <v>460</v>
      </c>
      <c r="C69" s="27" t="s">
        <v>138</v>
      </c>
      <c r="D69" s="31">
        <v>8689354</v>
      </c>
      <c r="E69" s="29">
        <v>1416.3647020000001</v>
      </c>
      <c r="F69" s="30">
        <v>0.25090513151765698</v>
      </c>
    </row>
    <row r="70" spans="1:9" x14ac:dyDescent="0.2">
      <c r="A70" s="27" t="s">
        <v>335</v>
      </c>
      <c r="B70" s="27" t="s">
        <v>334</v>
      </c>
      <c r="C70" s="27" t="s">
        <v>103</v>
      </c>
      <c r="D70" s="31">
        <v>137093</v>
      </c>
      <c r="E70" s="29">
        <v>894.25763900000004</v>
      </c>
      <c r="F70" s="30">
        <v>0.15841529389085601</v>
      </c>
    </row>
    <row r="71" spans="1:9" x14ac:dyDescent="0.2">
      <c r="A71" s="27" t="s">
        <v>463</v>
      </c>
      <c r="B71" s="27" t="s">
        <v>462</v>
      </c>
      <c r="C71" s="27" t="s">
        <v>464</v>
      </c>
      <c r="D71" s="31">
        <v>46103</v>
      </c>
      <c r="E71" s="29">
        <v>114.197131</v>
      </c>
      <c r="F71" s="30">
        <v>2.0229709291706199E-2</v>
      </c>
    </row>
    <row r="72" spans="1:9" ht="10.5" x14ac:dyDescent="0.25">
      <c r="A72" s="26" t="s">
        <v>43</v>
      </c>
      <c r="B72" s="26"/>
      <c r="C72" s="26"/>
      <c r="D72" s="32"/>
      <c r="E72" s="33">
        <f>SUM(E7:E71)</f>
        <v>540288.111179</v>
      </c>
      <c r="F72" s="34">
        <f>SUM(F7:F71)</f>
        <v>95.710560564925473</v>
      </c>
      <c r="G72" s="18"/>
      <c r="H72" s="18"/>
      <c r="I72" s="18"/>
    </row>
    <row r="73" spans="1:9" x14ac:dyDescent="0.2">
      <c r="A73" s="27"/>
      <c r="B73" s="27"/>
      <c r="C73" s="27"/>
      <c r="D73" s="28"/>
      <c r="E73" s="29"/>
      <c r="F73" s="30"/>
    </row>
    <row r="74" spans="1:9" ht="10.5" x14ac:dyDescent="0.25">
      <c r="A74" s="26" t="s">
        <v>48</v>
      </c>
      <c r="B74" s="26"/>
      <c r="C74" s="26"/>
      <c r="D74" s="32"/>
      <c r="E74" s="33">
        <f>E72</f>
        <v>540288.111179</v>
      </c>
      <c r="F74" s="34">
        <f>F72</f>
        <v>95.710560564925473</v>
      </c>
      <c r="G74" s="18"/>
      <c r="H74" s="18"/>
      <c r="I74" s="18"/>
    </row>
    <row r="75" spans="1:9" ht="10.5" x14ac:dyDescent="0.25">
      <c r="A75" s="26"/>
      <c r="B75" s="26"/>
      <c r="C75" s="26"/>
      <c r="D75" s="32"/>
      <c r="E75" s="33"/>
      <c r="F75" s="34"/>
      <c r="G75" s="18"/>
      <c r="H75" s="18"/>
      <c r="I75" s="18"/>
    </row>
    <row r="76" spans="1:9" ht="10.5" x14ac:dyDescent="0.25">
      <c r="A76" s="26" t="s">
        <v>50</v>
      </c>
      <c r="B76" s="26"/>
      <c r="C76" s="26"/>
      <c r="D76" s="32"/>
      <c r="E76" s="33">
        <f>E78-(E72)</f>
        <v>24213.975100700045</v>
      </c>
      <c r="F76" s="34">
        <f>F78-(F72)</f>
        <v>4.2894394350745273</v>
      </c>
      <c r="G76" s="18"/>
      <c r="H76" s="18"/>
      <c r="I76" s="18"/>
    </row>
    <row r="77" spans="1:9" ht="10.5" x14ac:dyDescent="0.25">
      <c r="A77" s="26"/>
      <c r="B77" s="26"/>
      <c r="C77" s="26"/>
      <c r="D77" s="32"/>
      <c r="E77" s="33"/>
      <c r="F77" s="34"/>
      <c r="G77" s="18"/>
      <c r="H77" s="18"/>
      <c r="I77" s="18"/>
    </row>
    <row r="78" spans="1:9" ht="10.5" x14ac:dyDescent="0.25">
      <c r="A78" s="35" t="s">
        <v>49</v>
      </c>
      <c r="B78" s="35"/>
      <c r="C78" s="35"/>
      <c r="D78" s="36"/>
      <c r="E78" s="37">
        <v>564502.08627970004</v>
      </c>
      <c r="F78" s="38">
        <v>100</v>
      </c>
      <c r="G78" s="18"/>
      <c r="H78" s="18"/>
      <c r="I78" s="18"/>
    </row>
    <row r="80" spans="1:9" ht="10.5" x14ac:dyDescent="0.25">
      <c r="A80" s="18" t="s">
        <v>724</v>
      </c>
    </row>
    <row r="82" spans="1:4" ht="10.5" x14ac:dyDescent="0.25">
      <c r="A82" s="18" t="s">
        <v>51</v>
      </c>
    </row>
    <row r="83" spans="1:4" ht="10.5" x14ac:dyDescent="0.25">
      <c r="A83" s="18" t="s">
        <v>52</v>
      </c>
    </row>
    <row r="84" spans="1:4" ht="10.5" x14ac:dyDescent="0.25">
      <c r="A84" s="18" t="s">
        <v>53</v>
      </c>
      <c r="B84" s="18"/>
      <c r="C84" s="39" t="s">
        <v>55</v>
      </c>
      <c r="D84" s="19" t="s">
        <v>54</v>
      </c>
    </row>
    <row r="85" spans="1:4" x14ac:dyDescent="0.2">
      <c r="A85" s="9" t="s">
        <v>71</v>
      </c>
      <c r="C85" s="40">
        <v>37.288200000000003</v>
      </c>
      <c r="D85" s="40">
        <v>47.9831</v>
      </c>
    </row>
    <row r="86" spans="1:4" x14ac:dyDescent="0.2">
      <c r="A86" s="9" t="s">
        <v>77</v>
      </c>
      <c r="C86" s="40">
        <v>15.711600000000001</v>
      </c>
      <c r="D86" s="40">
        <v>20.2181</v>
      </c>
    </row>
    <row r="87" spans="1:4" x14ac:dyDescent="0.2">
      <c r="A87" s="9" t="s">
        <v>74</v>
      </c>
      <c r="C87" s="40">
        <v>40.394799999999996</v>
      </c>
      <c r="D87" s="40">
        <v>52.203699999999998</v>
      </c>
    </row>
    <row r="88" spans="1:4" x14ac:dyDescent="0.2">
      <c r="A88" s="9" t="s">
        <v>78</v>
      </c>
      <c r="C88" s="40">
        <v>17.536300000000001</v>
      </c>
      <c r="D88" s="40">
        <v>22.662700000000001</v>
      </c>
    </row>
    <row r="90" spans="1:4" ht="10.5" x14ac:dyDescent="0.25">
      <c r="A90" s="18" t="s">
        <v>56</v>
      </c>
      <c r="D90" s="41" t="s">
        <v>57</v>
      </c>
    </row>
    <row r="92" spans="1:4" ht="10.5" x14ac:dyDescent="0.25">
      <c r="A92" s="18" t="s">
        <v>224</v>
      </c>
      <c r="D92" s="45">
        <v>9.5789475941530297E-2</v>
      </c>
    </row>
  </sheetData>
  <mergeCells count="1">
    <mergeCell ref="A1:F1"/>
  </mergeCells>
  <conditionalFormatting sqref="F2:F3 F5:F65537">
    <cfRule type="cellIs" dxfId="1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4"/>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 style="10" bestFit="1" customWidth="1"/>
    <col min="5" max="5" width="23" style="13" bestFit="1" customWidth="1"/>
    <col min="6" max="6" width="14.7265625" style="14" bestFit="1" customWidth="1"/>
    <col min="7" max="16384" width="9.1796875" style="9"/>
  </cols>
  <sheetData>
    <row r="1" spans="1:6" s="1" customFormat="1" ht="14" x14ac:dyDescent="0.25">
      <c r="A1" s="79" t="s">
        <v>14</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466</v>
      </c>
      <c r="B7" s="27" t="s">
        <v>465</v>
      </c>
      <c r="C7" s="27" t="s">
        <v>115</v>
      </c>
      <c r="D7" s="31">
        <v>3167222</v>
      </c>
      <c r="E7" s="29">
        <v>25241.175729999999</v>
      </c>
      <c r="F7" s="30">
        <v>3.9832624779009702</v>
      </c>
    </row>
    <row r="8" spans="1:6" x14ac:dyDescent="0.2">
      <c r="A8" s="27" t="s">
        <v>468</v>
      </c>
      <c r="B8" s="27" t="s">
        <v>467</v>
      </c>
      <c r="C8" s="27" t="s">
        <v>127</v>
      </c>
      <c r="D8" s="31">
        <v>7941052</v>
      </c>
      <c r="E8" s="29">
        <v>23767.568640000001</v>
      </c>
      <c r="F8" s="30">
        <v>3.75071531403057</v>
      </c>
    </row>
    <row r="9" spans="1:6" x14ac:dyDescent="0.2">
      <c r="A9" s="27" t="s">
        <v>99</v>
      </c>
      <c r="B9" s="27" t="s">
        <v>98</v>
      </c>
      <c r="C9" s="27" t="s">
        <v>100</v>
      </c>
      <c r="D9" s="31">
        <v>1988423</v>
      </c>
      <c r="E9" s="29">
        <v>23533.98042</v>
      </c>
      <c r="F9" s="30">
        <v>3.7138531962766899</v>
      </c>
    </row>
    <row r="10" spans="1:6" x14ac:dyDescent="0.2">
      <c r="A10" s="27" t="s">
        <v>157</v>
      </c>
      <c r="B10" s="27" t="s">
        <v>156</v>
      </c>
      <c r="C10" s="27" t="s">
        <v>130</v>
      </c>
      <c r="D10" s="31">
        <v>4435936</v>
      </c>
      <c r="E10" s="29">
        <v>22829.544620000001</v>
      </c>
      <c r="F10" s="30">
        <v>3.6026875073149398</v>
      </c>
    </row>
    <row r="11" spans="1:6" x14ac:dyDescent="0.2">
      <c r="A11" s="27" t="s">
        <v>110</v>
      </c>
      <c r="B11" s="27" t="s">
        <v>109</v>
      </c>
      <c r="C11" s="27" t="s">
        <v>100</v>
      </c>
      <c r="D11" s="31">
        <v>1350892</v>
      </c>
      <c r="E11" s="29">
        <v>20903.702809999999</v>
      </c>
      <c r="F11" s="30">
        <v>3.29877403267324</v>
      </c>
    </row>
    <row r="12" spans="1:6" x14ac:dyDescent="0.2">
      <c r="A12" s="27" t="s">
        <v>112</v>
      </c>
      <c r="B12" s="27" t="s">
        <v>111</v>
      </c>
      <c r="C12" s="27" t="s">
        <v>100</v>
      </c>
      <c r="D12" s="31">
        <v>5159409</v>
      </c>
      <c r="E12" s="29">
        <v>20255.83973</v>
      </c>
      <c r="F12" s="30">
        <v>3.1965359782741301</v>
      </c>
    </row>
    <row r="13" spans="1:6" x14ac:dyDescent="0.2">
      <c r="A13" s="27" t="s">
        <v>126</v>
      </c>
      <c r="B13" s="27" t="s">
        <v>125</v>
      </c>
      <c r="C13" s="27" t="s">
        <v>127</v>
      </c>
      <c r="D13" s="31">
        <v>2821691</v>
      </c>
      <c r="E13" s="29">
        <v>19908.440849999999</v>
      </c>
      <c r="F13" s="30">
        <v>3.14171361427766</v>
      </c>
    </row>
    <row r="14" spans="1:6" x14ac:dyDescent="0.2">
      <c r="A14" s="27" t="s">
        <v>286</v>
      </c>
      <c r="B14" s="27" t="s">
        <v>285</v>
      </c>
      <c r="C14" s="27" t="s">
        <v>115</v>
      </c>
      <c r="D14" s="31">
        <v>1003268</v>
      </c>
      <c r="E14" s="29">
        <v>18574.50375</v>
      </c>
      <c r="F14" s="30">
        <v>2.9312075088907101</v>
      </c>
    </row>
    <row r="15" spans="1:6" x14ac:dyDescent="0.2">
      <c r="A15" s="27" t="s">
        <v>420</v>
      </c>
      <c r="B15" s="27" t="s">
        <v>419</v>
      </c>
      <c r="C15" s="27" t="s">
        <v>100</v>
      </c>
      <c r="D15" s="31">
        <v>11788196</v>
      </c>
      <c r="E15" s="29">
        <v>17411.165489999999</v>
      </c>
      <c r="F15" s="30">
        <v>2.7476232856464202</v>
      </c>
    </row>
    <row r="16" spans="1:6" x14ac:dyDescent="0.2">
      <c r="A16" s="27" t="s">
        <v>327</v>
      </c>
      <c r="B16" s="27" t="s">
        <v>326</v>
      </c>
      <c r="C16" s="27" t="s">
        <v>103</v>
      </c>
      <c r="D16" s="31">
        <v>478016</v>
      </c>
      <c r="E16" s="29">
        <v>16964.54883</v>
      </c>
      <c r="F16" s="30">
        <v>2.6771435503593999</v>
      </c>
    </row>
    <row r="17" spans="1:6" x14ac:dyDescent="0.2">
      <c r="A17" s="27" t="s">
        <v>282</v>
      </c>
      <c r="B17" s="27" t="s">
        <v>281</v>
      </c>
      <c r="C17" s="27" t="s">
        <v>130</v>
      </c>
      <c r="D17" s="31">
        <v>3346137</v>
      </c>
      <c r="E17" s="29">
        <v>16491.4362</v>
      </c>
      <c r="F17" s="30">
        <v>2.6024825358702799</v>
      </c>
    </row>
    <row r="18" spans="1:6" x14ac:dyDescent="0.2">
      <c r="A18" s="27" t="s">
        <v>117</v>
      </c>
      <c r="B18" s="27" t="s">
        <v>116</v>
      </c>
      <c r="C18" s="27" t="s">
        <v>118</v>
      </c>
      <c r="D18" s="31">
        <v>1161879</v>
      </c>
      <c r="E18" s="29">
        <v>15656.900460000001</v>
      </c>
      <c r="F18" s="30">
        <v>2.4707860200198501</v>
      </c>
    </row>
    <row r="19" spans="1:6" x14ac:dyDescent="0.2">
      <c r="A19" s="27" t="s">
        <v>470</v>
      </c>
      <c r="B19" s="27" t="s">
        <v>469</v>
      </c>
      <c r="C19" s="27" t="s">
        <v>254</v>
      </c>
      <c r="D19" s="31">
        <v>1489796</v>
      </c>
      <c r="E19" s="29">
        <v>14906.15388</v>
      </c>
      <c r="F19" s="30">
        <v>2.3523121139500902</v>
      </c>
    </row>
    <row r="20" spans="1:6" x14ac:dyDescent="0.2">
      <c r="A20" s="27" t="s">
        <v>290</v>
      </c>
      <c r="B20" s="27" t="s">
        <v>289</v>
      </c>
      <c r="C20" s="27" t="s">
        <v>133</v>
      </c>
      <c r="D20" s="31">
        <v>18734302</v>
      </c>
      <c r="E20" s="29">
        <v>14790.73143</v>
      </c>
      <c r="F20" s="30">
        <v>2.3340975141584499</v>
      </c>
    </row>
    <row r="21" spans="1:6" x14ac:dyDescent="0.2">
      <c r="A21" s="27" t="s">
        <v>472</v>
      </c>
      <c r="B21" s="27" t="s">
        <v>471</v>
      </c>
      <c r="C21" s="27" t="s">
        <v>402</v>
      </c>
      <c r="D21" s="31">
        <v>687865</v>
      </c>
      <c r="E21" s="29">
        <v>14578.954739999999</v>
      </c>
      <c r="F21" s="30">
        <v>2.3006774329390001</v>
      </c>
    </row>
    <row r="22" spans="1:6" x14ac:dyDescent="0.2">
      <c r="A22" s="27" t="s">
        <v>153</v>
      </c>
      <c r="B22" s="27" t="s">
        <v>152</v>
      </c>
      <c r="C22" s="27" t="s">
        <v>144</v>
      </c>
      <c r="D22" s="31">
        <v>4050170</v>
      </c>
      <c r="E22" s="29">
        <v>14355.827569999999</v>
      </c>
      <c r="F22" s="30">
        <v>2.2654661538144301</v>
      </c>
    </row>
    <row r="23" spans="1:6" x14ac:dyDescent="0.2">
      <c r="A23" s="27" t="s">
        <v>474</v>
      </c>
      <c r="B23" s="27" t="s">
        <v>473</v>
      </c>
      <c r="C23" s="27" t="s">
        <v>167</v>
      </c>
      <c r="D23" s="31">
        <v>2147234</v>
      </c>
      <c r="E23" s="29">
        <v>14162.08185</v>
      </c>
      <c r="F23" s="30">
        <v>2.23489150606486</v>
      </c>
    </row>
    <row r="24" spans="1:6" x14ac:dyDescent="0.2">
      <c r="A24" s="27" t="s">
        <v>243</v>
      </c>
      <c r="B24" s="27" t="s">
        <v>242</v>
      </c>
      <c r="C24" s="27" t="s">
        <v>130</v>
      </c>
      <c r="D24" s="31">
        <v>3895000</v>
      </c>
      <c r="E24" s="29">
        <v>14097.952499999999</v>
      </c>
      <c r="F24" s="30">
        <v>2.2247713739315702</v>
      </c>
    </row>
    <row r="25" spans="1:6" x14ac:dyDescent="0.2">
      <c r="A25" s="27" t="s">
        <v>135</v>
      </c>
      <c r="B25" s="27" t="s">
        <v>134</v>
      </c>
      <c r="C25" s="27" t="s">
        <v>121</v>
      </c>
      <c r="D25" s="31">
        <v>7072160</v>
      </c>
      <c r="E25" s="29">
        <v>13663.413119999999</v>
      </c>
      <c r="F25" s="30">
        <v>2.15619753149097</v>
      </c>
    </row>
    <row r="26" spans="1:6" x14ac:dyDescent="0.2">
      <c r="A26" s="27" t="s">
        <v>476</v>
      </c>
      <c r="B26" s="27" t="s">
        <v>475</v>
      </c>
      <c r="C26" s="27" t="s">
        <v>464</v>
      </c>
      <c r="D26" s="31">
        <v>583155</v>
      </c>
      <c r="E26" s="29">
        <v>12813.08166</v>
      </c>
      <c r="F26" s="30">
        <v>2.0220083227699601</v>
      </c>
    </row>
    <row r="27" spans="1:6" x14ac:dyDescent="0.2">
      <c r="A27" s="27" t="s">
        <v>164</v>
      </c>
      <c r="B27" s="27" t="s">
        <v>163</v>
      </c>
      <c r="C27" s="27" t="s">
        <v>133</v>
      </c>
      <c r="D27" s="31">
        <v>2779985</v>
      </c>
      <c r="E27" s="29">
        <v>12662.831679999999</v>
      </c>
      <c r="F27" s="30">
        <v>1.9982976559594601</v>
      </c>
    </row>
    <row r="28" spans="1:6" x14ac:dyDescent="0.2">
      <c r="A28" s="27" t="s">
        <v>209</v>
      </c>
      <c r="B28" s="27" t="s">
        <v>208</v>
      </c>
      <c r="C28" s="27" t="s">
        <v>210</v>
      </c>
      <c r="D28" s="31">
        <v>12940848</v>
      </c>
      <c r="E28" s="29">
        <v>12345.56899</v>
      </c>
      <c r="F28" s="30">
        <v>1.94823102743815</v>
      </c>
    </row>
    <row r="29" spans="1:6" x14ac:dyDescent="0.2">
      <c r="A29" s="27" t="s">
        <v>200</v>
      </c>
      <c r="B29" s="27" t="s">
        <v>199</v>
      </c>
      <c r="C29" s="27" t="s">
        <v>188</v>
      </c>
      <c r="D29" s="31">
        <v>3121672</v>
      </c>
      <c r="E29" s="29">
        <v>12088.67482</v>
      </c>
      <c r="F29" s="30">
        <v>1.9076910415397801</v>
      </c>
    </row>
    <row r="30" spans="1:6" x14ac:dyDescent="0.2">
      <c r="A30" s="27" t="s">
        <v>478</v>
      </c>
      <c r="B30" s="27" t="s">
        <v>477</v>
      </c>
      <c r="C30" s="27" t="s">
        <v>160</v>
      </c>
      <c r="D30" s="31">
        <v>783689</v>
      </c>
      <c r="E30" s="29">
        <v>11568.81702</v>
      </c>
      <c r="F30" s="30">
        <v>1.8256532596735799</v>
      </c>
    </row>
    <row r="31" spans="1:6" x14ac:dyDescent="0.2">
      <c r="A31" s="27" t="s">
        <v>480</v>
      </c>
      <c r="B31" s="27" t="s">
        <v>479</v>
      </c>
      <c r="C31" s="27" t="s">
        <v>374</v>
      </c>
      <c r="D31" s="31">
        <v>2606125</v>
      </c>
      <c r="E31" s="29">
        <v>11549.042939999999</v>
      </c>
      <c r="F31" s="30">
        <v>1.82253274929238</v>
      </c>
    </row>
    <row r="32" spans="1:6" x14ac:dyDescent="0.2">
      <c r="A32" s="27" t="s">
        <v>251</v>
      </c>
      <c r="B32" s="27" t="s">
        <v>250</v>
      </c>
      <c r="C32" s="27" t="s">
        <v>160</v>
      </c>
      <c r="D32" s="31">
        <v>4145052</v>
      </c>
      <c r="E32" s="29">
        <v>11479.721509999999</v>
      </c>
      <c r="F32" s="30">
        <v>1.8115932647775901</v>
      </c>
    </row>
    <row r="33" spans="1:6" x14ac:dyDescent="0.2">
      <c r="A33" s="27" t="s">
        <v>482</v>
      </c>
      <c r="B33" s="27" t="s">
        <v>481</v>
      </c>
      <c r="C33" s="27" t="s">
        <v>188</v>
      </c>
      <c r="D33" s="31">
        <v>784058</v>
      </c>
      <c r="E33" s="29">
        <v>11350.415639999999</v>
      </c>
      <c r="F33" s="30">
        <v>1.7911877485824399</v>
      </c>
    </row>
    <row r="34" spans="1:6" x14ac:dyDescent="0.2">
      <c r="A34" s="27" t="s">
        <v>261</v>
      </c>
      <c r="B34" s="27" t="s">
        <v>260</v>
      </c>
      <c r="C34" s="27" t="s">
        <v>115</v>
      </c>
      <c r="D34" s="31">
        <v>672877</v>
      </c>
      <c r="E34" s="29">
        <v>11095.74173</v>
      </c>
      <c r="F34" s="30">
        <v>1.75099813773964</v>
      </c>
    </row>
    <row r="35" spans="1:6" x14ac:dyDescent="0.2">
      <c r="A35" s="27" t="s">
        <v>223</v>
      </c>
      <c r="B35" s="27" t="s">
        <v>222</v>
      </c>
      <c r="C35" s="27" t="s">
        <v>100</v>
      </c>
      <c r="D35" s="31">
        <v>20869927</v>
      </c>
      <c r="E35" s="29">
        <v>10528.87817</v>
      </c>
      <c r="F35" s="30">
        <v>1.66154246527848</v>
      </c>
    </row>
    <row r="36" spans="1:6" x14ac:dyDescent="0.2">
      <c r="A36" s="27" t="s">
        <v>120</v>
      </c>
      <c r="B36" s="27" t="s">
        <v>119</v>
      </c>
      <c r="C36" s="27" t="s">
        <v>121</v>
      </c>
      <c r="D36" s="31">
        <v>4535064</v>
      </c>
      <c r="E36" s="29">
        <v>10473.730310000001</v>
      </c>
      <c r="F36" s="30">
        <v>1.65283968519311</v>
      </c>
    </row>
    <row r="37" spans="1:6" x14ac:dyDescent="0.2">
      <c r="A37" s="27" t="s">
        <v>265</v>
      </c>
      <c r="B37" s="27" t="s">
        <v>264</v>
      </c>
      <c r="C37" s="27" t="s">
        <v>118</v>
      </c>
      <c r="D37" s="31">
        <v>7460107</v>
      </c>
      <c r="E37" s="29">
        <v>10436.689689999999</v>
      </c>
      <c r="F37" s="30">
        <v>1.6469943746028901</v>
      </c>
    </row>
    <row r="38" spans="1:6" x14ac:dyDescent="0.2">
      <c r="A38" s="27" t="s">
        <v>245</v>
      </c>
      <c r="B38" s="27" t="s">
        <v>244</v>
      </c>
      <c r="C38" s="27" t="s">
        <v>246</v>
      </c>
      <c r="D38" s="31">
        <v>11887252</v>
      </c>
      <c r="E38" s="29">
        <v>10341.909240000001</v>
      </c>
      <c r="F38" s="30">
        <v>1.63203725001559</v>
      </c>
    </row>
    <row r="39" spans="1:6" x14ac:dyDescent="0.2">
      <c r="A39" s="27" t="s">
        <v>484</v>
      </c>
      <c r="B39" s="27" t="s">
        <v>483</v>
      </c>
      <c r="C39" s="27" t="s">
        <v>485</v>
      </c>
      <c r="D39" s="31">
        <v>1386228</v>
      </c>
      <c r="E39" s="29">
        <v>10071.63953</v>
      </c>
      <c r="F39" s="30">
        <v>1.58938649530147</v>
      </c>
    </row>
    <row r="40" spans="1:6" x14ac:dyDescent="0.2">
      <c r="A40" s="27" t="s">
        <v>432</v>
      </c>
      <c r="B40" s="27" t="s">
        <v>431</v>
      </c>
      <c r="C40" s="27" t="s">
        <v>160</v>
      </c>
      <c r="D40" s="31">
        <v>264692</v>
      </c>
      <c r="E40" s="29">
        <v>9964.8597239999999</v>
      </c>
      <c r="F40" s="30">
        <v>1.5725357749076501</v>
      </c>
    </row>
    <row r="41" spans="1:6" x14ac:dyDescent="0.2">
      <c r="A41" s="27" t="s">
        <v>487</v>
      </c>
      <c r="B41" s="27" t="s">
        <v>486</v>
      </c>
      <c r="C41" s="27" t="s">
        <v>103</v>
      </c>
      <c r="D41" s="31">
        <v>714369</v>
      </c>
      <c r="E41" s="29">
        <v>9849.0054029999992</v>
      </c>
      <c r="F41" s="30">
        <v>1.5542530223655999</v>
      </c>
    </row>
    <row r="42" spans="1:6" x14ac:dyDescent="0.2">
      <c r="A42" s="27" t="s">
        <v>253</v>
      </c>
      <c r="B42" s="27" t="s">
        <v>252</v>
      </c>
      <c r="C42" s="27" t="s">
        <v>254</v>
      </c>
      <c r="D42" s="31">
        <v>2956964</v>
      </c>
      <c r="E42" s="29">
        <v>9531.7734540000001</v>
      </c>
      <c r="F42" s="30">
        <v>1.5041912450237001</v>
      </c>
    </row>
    <row r="43" spans="1:6" x14ac:dyDescent="0.2">
      <c r="A43" s="27" t="s">
        <v>489</v>
      </c>
      <c r="B43" s="27" t="s">
        <v>488</v>
      </c>
      <c r="C43" s="27" t="s">
        <v>160</v>
      </c>
      <c r="D43" s="31">
        <v>540261</v>
      </c>
      <c r="E43" s="29">
        <v>9180.1149119999991</v>
      </c>
      <c r="F43" s="30">
        <v>1.44869667177698</v>
      </c>
    </row>
    <row r="44" spans="1:6" x14ac:dyDescent="0.2">
      <c r="A44" s="27" t="s">
        <v>491</v>
      </c>
      <c r="B44" s="27" t="s">
        <v>490</v>
      </c>
      <c r="C44" s="27" t="s">
        <v>374</v>
      </c>
      <c r="D44" s="31">
        <v>1543720</v>
      </c>
      <c r="E44" s="29">
        <v>8789.9416799999999</v>
      </c>
      <c r="F44" s="30">
        <v>1.3871241677252</v>
      </c>
    </row>
    <row r="45" spans="1:6" x14ac:dyDescent="0.2">
      <c r="A45" s="27" t="s">
        <v>302</v>
      </c>
      <c r="B45" s="27" t="s">
        <v>301</v>
      </c>
      <c r="C45" s="27" t="s">
        <v>147</v>
      </c>
      <c r="D45" s="31">
        <v>1529004</v>
      </c>
      <c r="E45" s="29">
        <v>8608.2925200000009</v>
      </c>
      <c r="F45" s="30">
        <v>1.35845845536259</v>
      </c>
    </row>
    <row r="46" spans="1:6" x14ac:dyDescent="0.2">
      <c r="A46" s="27" t="s">
        <v>493</v>
      </c>
      <c r="B46" s="27" t="s">
        <v>492</v>
      </c>
      <c r="C46" s="27" t="s">
        <v>118</v>
      </c>
      <c r="D46" s="31">
        <v>1950821</v>
      </c>
      <c r="E46" s="29">
        <v>8329.0302599999995</v>
      </c>
      <c r="F46" s="30">
        <v>1.3143886032427601</v>
      </c>
    </row>
    <row r="47" spans="1:6" x14ac:dyDescent="0.2">
      <c r="A47" s="27" t="s">
        <v>495</v>
      </c>
      <c r="B47" s="27" t="s">
        <v>494</v>
      </c>
      <c r="C47" s="27" t="s">
        <v>100</v>
      </c>
      <c r="D47" s="31">
        <v>4734341</v>
      </c>
      <c r="E47" s="29">
        <v>8254.3235339999992</v>
      </c>
      <c r="F47" s="30">
        <v>1.3025992752928399</v>
      </c>
    </row>
    <row r="48" spans="1:6" x14ac:dyDescent="0.2">
      <c r="A48" s="27" t="s">
        <v>497</v>
      </c>
      <c r="B48" s="27" t="s">
        <v>496</v>
      </c>
      <c r="C48" s="27" t="s">
        <v>160</v>
      </c>
      <c r="D48" s="31">
        <v>3000000</v>
      </c>
      <c r="E48" s="29">
        <v>7453.5</v>
      </c>
      <c r="F48" s="30">
        <v>1.1762228192781099</v>
      </c>
    </row>
    <row r="49" spans="1:9" x14ac:dyDescent="0.2">
      <c r="A49" s="27" t="s">
        <v>499</v>
      </c>
      <c r="B49" s="27" t="s">
        <v>498</v>
      </c>
      <c r="C49" s="27" t="s">
        <v>147</v>
      </c>
      <c r="D49" s="31">
        <v>2365150</v>
      </c>
      <c r="E49" s="29">
        <v>7383.9983000000002</v>
      </c>
      <c r="F49" s="30">
        <v>1.1652548866936101</v>
      </c>
    </row>
    <row r="50" spans="1:9" x14ac:dyDescent="0.2">
      <c r="A50" s="27" t="s">
        <v>501</v>
      </c>
      <c r="B50" s="27" t="s">
        <v>500</v>
      </c>
      <c r="C50" s="27" t="s">
        <v>160</v>
      </c>
      <c r="D50" s="31">
        <v>1521940</v>
      </c>
      <c r="E50" s="29">
        <v>6868.5152200000002</v>
      </c>
      <c r="F50" s="30">
        <v>1.08390747116429</v>
      </c>
    </row>
    <row r="51" spans="1:9" x14ac:dyDescent="0.2">
      <c r="A51" s="27" t="s">
        <v>503</v>
      </c>
      <c r="B51" s="27" t="s">
        <v>502</v>
      </c>
      <c r="C51" s="27" t="s">
        <v>374</v>
      </c>
      <c r="D51" s="31">
        <v>1021062</v>
      </c>
      <c r="E51" s="29">
        <v>5883.3592440000002</v>
      </c>
      <c r="F51" s="30">
        <v>0.92844185910023802</v>
      </c>
    </row>
    <row r="52" spans="1:9" x14ac:dyDescent="0.2">
      <c r="A52" s="27" t="s">
        <v>272</v>
      </c>
      <c r="B52" s="27" t="s">
        <v>271</v>
      </c>
      <c r="C52" s="27" t="s">
        <v>188</v>
      </c>
      <c r="D52" s="31">
        <v>11253507</v>
      </c>
      <c r="E52" s="29">
        <v>5266.6412760000003</v>
      </c>
      <c r="F52" s="30">
        <v>0.83111875625990494</v>
      </c>
    </row>
    <row r="53" spans="1:9" x14ac:dyDescent="0.2">
      <c r="A53" s="27" t="s">
        <v>166</v>
      </c>
      <c r="B53" s="27" t="s">
        <v>165</v>
      </c>
      <c r="C53" s="27" t="s">
        <v>167</v>
      </c>
      <c r="D53" s="31">
        <v>3318223</v>
      </c>
      <c r="E53" s="29">
        <v>5086.8358589999998</v>
      </c>
      <c r="F53" s="30">
        <v>0.80274400151311198</v>
      </c>
    </row>
    <row r="54" spans="1:9" x14ac:dyDescent="0.2">
      <c r="A54" s="27" t="s">
        <v>171</v>
      </c>
      <c r="B54" s="27" t="s">
        <v>170</v>
      </c>
      <c r="C54" s="27" t="s">
        <v>100</v>
      </c>
      <c r="D54" s="31">
        <v>12530441</v>
      </c>
      <c r="E54" s="29">
        <v>4066.1281049999998</v>
      </c>
      <c r="F54" s="30">
        <v>0.64166803021521102</v>
      </c>
    </row>
    <row r="55" spans="1:9" x14ac:dyDescent="0.2">
      <c r="A55" s="27" t="s">
        <v>176</v>
      </c>
      <c r="B55" s="27" t="s">
        <v>175</v>
      </c>
      <c r="C55" s="27" t="s">
        <v>167</v>
      </c>
      <c r="D55" s="31">
        <v>387844</v>
      </c>
      <c r="E55" s="29">
        <v>370.19709799999998</v>
      </c>
      <c r="F55" s="30">
        <v>5.84201079087859E-2</v>
      </c>
    </row>
    <row r="56" spans="1:9" ht="10.5" x14ac:dyDescent="0.25">
      <c r="A56" s="26" t="s">
        <v>43</v>
      </c>
      <c r="B56" s="26"/>
      <c r="C56" s="26"/>
      <c r="D56" s="32"/>
      <c r="E56" s="33">
        <f>SUM(E7:E55)</f>
        <v>615787.18213900004</v>
      </c>
      <c r="F56" s="34">
        <f>SUM(F7:F55)</f>
        <v>97.176217273879345</v>
      </c>
      <c r="G56" s="18"/>
      <c r="H56" s="18"/>
      <c r="I56" s="18"/>
    </row>
    <row r="57" spans="1:9" x14ac:dyDescent="0.2">
      <c r="A57" s="27"/>
      <c r="B57" s="27"/>
      <c r="C57" s="27"/>
      <c r="D57" s="28"/>
      <c r="E57" s="29"/>
      <c r="F57" s="30"/>
    </row>
    <row r="58" spans="1:9" ht="10.5" x14ac:dyDescent="0.25">
      <c r="A58" s="26" t="s">
        <v>231</v>
      </c>
      <c r="B58" s="27"/>
      <c r="C58" s="27"/>
      <c r="D58" s="28"/>
      <c r="E58" s="29"/>
      <c r="F58" s="30"/>
    </row>
    <row r="59" spans="1:9" x14ac:dyDescent="0.2">
      <c r="A59" s="27"/>
      <c r="B59" s="27" t="s">
        <v>1564</v>
      </c>
      <c r="C59" s="27" t="s">
        <v>188</v>
      </c>
      <c r="D59" s="31">
        <v>8100</v>
      </c>
      <c r="E59" s="29">
        <v>8.0999999999999996E-4</v>
      </c>
      <c r="F59" s="30">
        <v>1.2782457685855899E-7</v>
      </c>
    </row>
    <row r="60" spans="1:9" ht="10.5" x14ac:dyDescent="0.25">
      <c r="A60" s="26" t="s">
        <v>43</v>
      </c>
      <c r="B60" s="26"/>
      <c r="C60" s="26"/>
      <c r="D60" s="32"/>
      <c r="E60" s="33">
        <f>SUM(E58:E59)</f>
        <v>8.0999999999999996E-4</v>
      </c>
      <c r="F60" s="34">
        <f>SUM(F58:F59)</f>
        <v>1.2782457685855899E-7</v>
      </c>
      <c r="G60" s="18"/>
      <c r="H60" s="18"/>
      <c r="I60" s="18"/>
    </row>
    <row r="61" spans="1:9" x14ac:dyDescent="0.2">
      <c r="A61" s="27"/>
      <c r="B61" s="27"/>
      <c r="C61" s="27"/>
      <c r="D61" s="28"/>
      <c r="E61" s="29"/>
      <c r="F61" s="30"/>
    </row>
    <row r="62" spans="1:9" ht="10.5" x14ac:dyDescent="0.25">
      <c r="A62" s="26" t="s">
        <v>48</v>
      </c>
      <c r="B62" s="26"/>
      <c r="C62" s="26"/>
      <c r="D62" s="32"/>
      <c r="E62" s="33">
        <f>E56+E60</f>
        <v>615787.18294900004</v>
      </c>
      <c r="F62" s="34">
        <f>F56+F60</f>
        <v>97.176217401703923</v>
      </c>
      <c r="G62" s="18"/>
      <c r="H62" s="18"/>
      <c r="I62" s="18"/>
    </row>
    <row r="63" spans="1:9" ht="10.5" x14ac:dyDescent="0.25">
      <c r="A63" s="26"/>
      <c r="B63" s="26"/>
      <c r="C63" s="26"/>
      <c r="D63" s="32"/>
      <c r="E63" s="33"/>
      <c r="F63" s="34"/>
      <c r="G63" s="18"/>
      <c r="H63" s="18"/>
      <c r="I63" s="18"/>
    </row>
    <row r="64" spans="1:9" ht="10.5" x14ac:dyDescent="0.25">
      <c r="A64" s="26" t="s">
        <v>50</v>
      </c>
      <c r="B64" s="26"/>
      <c r="C64" s="26"/>
      <c r="D64" s="32"/>
      <c r="E64" s="33">
        <f>E66-(E56+E60)</f>
        <v>17893.772550099995</v>
      </c>
      <c r="F64" s="34">
        <f>F66-(F56+F60)</f>
        <v>2.8237825982960771</v>
      </c>
      <c r="G64" s="18"/>
      <c r="H64" s="18"/>
      <c r="I64" s="18"/>
    </row>
    <row r="65" spans="1:9" ht="10.5" x14ac:dyDescent="0.25">
      <c r="A65" s="26"/>
      <c r="B65" s="26"/>
      <c r="C65" s="26"/>
      <c r="D65" s="32"/>
      <c r="E65" s="33"/>
      <c r="F65" s="34"/>
      <c r="G65" s="18"/>
      <c r="H65" s="18"/>
      <c r="I65" s="18"/>
    </row>
    <row r="66" spans="1:9" ht="10.5" x14ac:dyDescent="0.25">
      <c r="A66" s="35" t="s">
        <v>49</v>
      </c>
      <c r="B66" s="35"/>
      <c r="C66" s="35"/>
      <c r="D66" s="36"/>
      <c r="E66" s="37">
        <v>633680.95549910003</v>
      </c>
      <c r="F66" s="38">
        <v>100</v>
      </c>
      <c r="G66" s="18"/>
      <c r="H66" s="18"/>
      <c r="I66" s="18"/>
    </row>
    <row r="67" spans="1:9" ht="10.5" x14ac:dyDescent="0.25">
      <c r="F67" s="20" t="s">
        <v>61</v>
      </c>
    </row>
    <row r="68" spans="1:9" ht="10.5" x14ac:dyDescent="0.25">
      <c r="A68" s="18" t="s">
        <v>766</v>
      </c>
    </row>
    <row r="70" spans="1:9" ht="10.5" x14ac:dyDescent="0.25">
      <c r="A70" s="18" t="s">
        <v>51</v>
      </c>
    </row>
    <row r="71" spans="1:9" ht="10.5" x14ac:dyDescent="0.25">
      <c r="A71" s="18" t="s">
        <v>52</v>
      </c>
    </row>
    <row r="72" spans="1:9" ht="10.5" x14ac:dyDescent="0.25">
      <c r="A72" s="18" t="s">
        <v>53</v>
      </c>
      <c r="B72" s="18"/>
      <c r="C72" s="39" t="s">
        <v>55</v>
      </c>
      <c r="D72" s="19" t="s">
        <v>54</v>
      </c>
    </row>
    <row r="73" spans="1:9" x14ac:dyDescent="0.2">
      <c r="A73" s="9" t="s">
        <v>71</v>
      </c>
      <c r="C73" s="40">
        <v>776.4402</v>
      </c>
      <c r="D73" s="40">
        <v>943.70780000000002</v>
      </c>
    </row>
    <row r="74" spans="1:9" x14ac:dyDescent="0.2">
      <c r="A74" s="9" t="s">
        <v>77</v>
      </c>
      <c r="C74" s="40">
        <v>44.738999999999997</v>
      </c>
      <c r="D74" s="40">
        <v>49.538600000000002</v>
      </c>
    </row>
    <row r="75" spans="1:9" x14ac:dyDescent="0.2">
      <c r="A75" s="9" t="s">
        <v>74</v>
      </c>
      <c r="C75" s="40">
        <v>836.4049</v>
      </c>
      <c r="D75" s="40">
        <v>1020.7605</v>
      </c>
    </row>
    <row r="76" spans="1:9" x14ac:dyDescent="0.2">
      <c r="A76" s="9" t="s">
        <v>78</v>
      </c>
      <c r="C76" s="40">
        <v>49.585099999999997</v>
      </c>
      <c r="D76" s="40">
        <v>55.662799999999997</v>
      </c>
    </row>
    <row r="78" spans="1:9" ht="10.5" x14ac:dyDescent="0.25">
      <c r="A78" s="18" t="s">
        <v>56</v>
      </c>
    </row>
    <row r="79" spans="1:9" ht="10.5" x14ac:dyDescent="0.25">
      <c r="A79" s="81" t="s">
        <v>68</v>
      </c>
      <c r="B79" s="82"/>
      <c r="C79" s="43" t="s">
        <v>69</v>
      </c>
    </row>
    <row r="80" spans="1:9" x14ac:dyDescent="0.2">
      <c r="A80" s="77" t="s">
        <v>77</v>
      </c>
      <c r="B80" s="78"/>
      <c r="C80" s="44">
        <v>4.25</v>
      </c>
    </row>
    <row r="81" spans="1:4" x14ac:dyDescent="0.2">
      <c r="A81" s="77" t="s">
        <v>78</v>
      </c>
      <c r="B81" s="78"/>
      <c r="C81" s="44">
        <v>4.25</v>
      </c>
    </row>
    <row r="82" spans="1:4" x14ac:dyDescent="0.2">
      <c r="A82" s="9" t="s">
        <v>70</v>
      </c>
    </row>
    <row r="84" spans="1:4" ht="10.5" x14ac:dyDescent="0.25">
      <c r="A84" s="18" t="s">
        <v>224</v>
      </c>
      <c r="D84" s="45">
        <v>8.8090679555750701E-2</v>
      </c>
    </row>
  </sheetData>
  <mergeCells count="4">
    <mergeCell ref="A1:F1"/>
    <mergeCell ref="A79:B79"/>
    <mergeCell ref="A80:B80"/>
    <mergeCell ref="A81:B81"/>
  </mergeCells>
  <conditionalFormatting sqref="F2:F3 F5:F65537">
    <cfRule type="cellIs" dxfId="1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70"/>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18.81640625" style="9" bestFit="1" customWidth="1"/>
    <col min="4" max="4" width="15" style="10" bestFit="1" customWidth="1"/>
    <col min="5" max="5" width="23" style="13" bestFit="1" customWidth="1"/>
    <col min="6" max="6" width="14.7265625" style="14" bestFit="1" customWidth="1"/>
    <col min="7" max="16384" width="9.1796875" style="9"/>
  </cols>
  <sheetData>
    <row r="1" spans="1:6" s="1" customFormat="1" ht="14" x14ac:dyDescent="0.25">
      <c r="A1" s="79" t="s">
        <v>15</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99</v>
      </c>
      <c r="B7" s="27" t="s">
        <v>98</v>
      </c>
      <c r="C7" s="27" t="s">
        <v>100</v>
      </c>
      <c r="D7" s="31">
        <v>395485</v>
      </c>
      <c r="E7" s="29">
        <v>4680.7627179999999</v>
      </c>
      <c r="F7" s="30">
        <v>8.9225352071595392</v>
      </c>
    </row>
    <row r="8" spans="1:6" x14ac:dyDescent="0.2">
      <c r="A8" s="27" t="s">
        <v>102</v>
      </c>
      <c r="B8" s="27" t="s">
        <v>101</v>
      </c>
      <c r="C8" s="27" t="s">
        <v>103</v>
      </c>
      <c r="D8" s="31">
        <v>405492</v>
      </c>
      <c r="E8" s="29">
        <v>4300.6481519999998</v>
      </c>
      <c r="F8" s="30">
        <v>8.1979555174336003</v>
      </c>
    </row>
    <row r="9" spans="1:6" x14ac:dyDescent="0.2">
      <c r="A9" s="27" t="s">
        <v>327</v>
      </c>
      <c r="B9" s="27" t="s">
        <v>326</v>
      </c>
      <c r="C9" s="27" t="s">
        <v>103</v>
      </c>
      <c r="D9" s="31">
        <v>95845</v>
      </c>
      <c r="E9" s="29">
        <v>3401.4911280000001</v>
      </c>
      <c r="F9" s="30">
        <v>6.48396985168878</v>
      </c>
    </row>
    <row r="10" spans="1:6" x14ac:dyDescent="0.2">
      <c r="A10" s="27" t="s">
        <v>110</v>
      </c>
      <c r="B10" s="27" t="s">
        <v>109</v>
      </c>
      <c r="C10" s="27" t="s">
        <v>100</v>
      </c>
      <c r="D10" s="31">
        <v>186650</v>
      </c>
      <c r="E10" s="29">
        <v>2888.2221</v>
      </c>
      <c r="F10" s="30">
        <v>5.5055692684967799</v>
      </c>
    </row>
    <row r="11" spans="1:6" x14ac:dyDescent="0.2">
      <c r="A11" s="27" t="s">
        <v>112</v>
      </c>
      <c r="B11" s="27" t="s">
        <v>111</v>
      </c>
      <c r="C11" s="27" t="s">
        <v>100</v>
      </c>
      <c r="D11" s="31">
        <v>583651</v>
      </c>
      <c r="E11" s="29">
        <v>2291.413826</v>
      </c>
      <c r="F11" s="30">
        <v>4.3679250088953401</v>
      </c>
    </row>
    <row r="12" spans="1:6" x14ac:dyDescent="0.2">
      <c r="A12" s="27" t="s">
        <v>105</v>
      </c>
      <c r="B12" s="27" t="s">
        <v>104</v>
      </c>
      <c r="C12" s="27" t="s">
        <v>100</v>
      </c>
      <c r="D12" s="31">
        <v>458037</v>
      </c>
      <c r="E12" s="29">
        <v>2255.8322250000001</v>
      </c>
      <c r="F12" s="30">
        <v>4.3000988645730196</v>
      </c>
    </row>
    <row r="13" spans="1:6" x14ac:dyDescent="0.2">
      <c r="A13" s="27" t="s">
        <v>114</v>
      </c>
      <c r="B13" s="27" t="s">
        <v>113</v>
      </c>
      <c r="C13" s="27" t="s">
        <v>115</v>
      </c>
      <c r="D13" s="31">
        <v>269484</v>
      </c>
      <c r="E13" s="29">
        <v>2097.528714</v>
      </c>
      <c r="F13" s="30">
        <v>3.9983385029800802</v>
      </c>
    </row>
    <row r="14" spans="1:6" x14ac:dyDescent="0.2">
      <c r="A14" s="27" t="s">
        <v>286</v>
      </c>
      <c r="B14" s="27" t="s">
        <v>285</v>
      </c>
      <c r="C14" s="27" t="s">
        <v>115</v>
      </c>
      <c r="D14" s="31">
        <v>111898</v>
      </c>
      <c r="E14" s="29">
        <v>2071.679572</v>
      </c>
      <c r="F14" s="30">
        <v>3.9490645078076798</v>
      </c>
    </row>
    <row r="15" spans="1:6" x14ac:dyDescent="0.2">
      <c r="A15" s="27" t="s">
        <v>132</v>
      </c>
      <c r="B15" s="27" t="s">
        <v>131</v>
      </c>
      <c r="C15" s="27" t="s">
        <v>133</v>
      </c>
      <c r="D15" s="31">
        <v>343240</v>
      </c>
      <c r="E15" s="29">
        <v>2038.8456000000001</v>
      </c>
      <c r="F15" s="30">
        <v>3.8864759322248399</v>
      </c>
    </row>
    <row r="16" spans="1:6" x14ac:dyDescent="0.2">
      <c r="A16" s="27" t="s">
        <v>241</v>
      </c>
      <c r="B16" s="27" t="s">
        <v>240</v>
      </c>
      <c r="C16" s="27" t="s">
        <v>103</v>
      </c>
      <c r="D16" s="31">
        <v>229692</v>
      </c>
      <c r="E16" s="29">
        <v>1933.8917939999999</v>
      </c>
      <c r="F16" s="30">
        <v>3.6864115227303702</v>
      </c>
    </row>
    <row r="17" spans="1:6" x14ac:dyDescent="0.2">
      <c r="A17" s="27" t="s">
        <v>153</v>
      </c>
      <c r="B17" s="27" t="s">
        <v>152</v>
      </c>
      <c r="C17" s="27" t="s">
        <v>144</v>
      </c>
      <c r="D17" s="31">
        <v>523765</v>
      </c>
      <c r="E17" s="29">
        <v>1856.4850429999999</v>
      </c>
      <c r="F17" s="30">
        <v>3.5388576938611198</v>
      </c>
    </row>
    <row r="18" spans="1:6" x14ac:dyDescent="0.2">
      <c r="A18" s="27" t="s">
        <v>453</v>
      </c>
      <c r="B18" s="27" t="s">
        <v>452</v>
      </c>
      <c r="C18" s="27" t="s">
        <v>103</v>
      </c>
      <c r="D18" s="31">
        <v>176709</v>
      </c>
      <c r="E18" s="29">
        <v>1626.6947</v>
      </c>
      <c r="F18" s="30">
        <v>3.1008281356016898</v>
      </c>
    </row>
    <row r="19" spans="1:6" x14ac:dyDescent="0.2">
      <c r="A19" s="27" t="s">
        <v>505</v>
      </c>
      <c r="B19" s="27" t="s">
        <v>504</v>
      </c>
      <c r="C19" s="27" t="s">
        <v>130</v>
      </c>
      <c r="D19" s="31">
        <v>73037</v>
      </c>
      <c r="E19" s="29">
        <v>1615.2132549999999</v>
      </c>
      <c r="F19" s="30">
        <v>3.07894204493368</v>
      </c>
    </row>
    <row r="20" spans="1:6" x14ac:dyDescent="0.2">
      <c r="A20" s="27" t="s">
        <v>466</v>
      </c>
      <c r="B20" s="27" t="s">
        <v>465</v>
      </c>
      <c r="C20" s="27" t="s">
        <v>115</v>
      </c>
      <c r="D20" s="31">
        <v>169316</v>
      </c>
      <c r="E20" s="29">
        <v>1349.3638619999999</v>
      </c>
      <c r="F20" s="30">
        <v>2.5721762224059299</v>
      </c>
    </row>
    <row r="21" spans="1:6" x14ac:dyDescent="0.2">
      <c r="A21" s="27" t="s">
        <v>335</v>
      </c>
      <c r="B21" s="27" t="s">
        <v>334</v>
      </c>
      <c r="C21" s="27" t="s">
        <v>103</v>
      </c>
      <c r="D21" s="31">
        <v>194891</v>
      </c>
      <c r="E21" s="29">
        <v>1271.273993</v>
      </c>
      <c r="F21" s="30">
        <v>2.4233202244730401</v>
      </c>
    </row>
    <row r="22" spans="1:6" x14ac:dyDescent="0.2">
      <c r="A22" s="27" t="s">
        <v>395</v>
      </c>
      <c r="B22" s="27" t="s">
        <v>394</v>
      </c>
      <c r="C22" s="27" t="s">
        <v>188</v>
      </c>
      <c r="D22" s="31">
        <v>71018</v>
      </c>
      <c r="E22" s="29">
        <v>1208.0161800000001</v>
      </c>
      <c r="F22" s="30">
        <v>2.30273729864988</v>
      </c>
    </row>
    <row r="23" spans="1:6" x14ac:dyDescent="0.2">
      <c r="A23" s="27" t="s">
        <v>137</v>
      </c>
      <c r="B23" s="27" t="s">
        <v>136</v>
      </c>
      <c r="C23" s="27" t="s">
        <v>138</v>
      </c>
      <c r="D23" s="31">
        <v>278178</v>
      </c>
      <c r="E23" s="29">
        <v>1142.0597789999999</v>
      </c>
      <c r="F23" s="30">
        <v>2.1770102867257402</v>
      </c>
    </row>
    <row r="24" spans="1:6" x14ac:dyDescent="0.2">
      <c r="A24" s="27" t="s">
        <v>140</v>
      </c>
      <c r="B24" s="27" t="s">
        <v>139</v>
      </c>
      <c r="C24" s="27" t="s">
        <v>141</v>
      </c>
      <c r="D24" s="31">
        <v>268813</v>
      </c>
      <c r="E24" s="29">
        <v>1122.831901</v>
      </c>
      <c r="F24" s="30">
        <v>2.1403578373814902</v>
      </c>
    </row>
    <row r="25" spans="1:6" x14ac:dyDescent="0.2">
      <c r="A25" s="27" t="s">
        <v>206</v>
      </c>
      <c r="B25" s="27" t="s">
        <v>205</v>
      </c>
      <c r="C25" s="27" t="s">
        <v>207</v>
      </c>
      <c r="D25" s="31">
        <v>116490</v>
      </c>
      <c r="E25" s="29">
        <v>1082.7745500000001</v>
      </c>
      <c r="F25" s="30">
        <v>2.06399995595575</v>
      </c>
    </row>
    <row r="26" spans="1:6" x14ac:dyDescent="0.2">
      <c r="A26" s="27" t="s">
        <v>107</v>
      </c>
      <c r="B26" s="27" t="s">
        <v>106</v>
      </c>
      <c r="C26" s="27" t="s">
        <v>108</v>
      </c>
      <c r="D26" s="31">
        <v>242272</v>
      </c>
      <c r="E26" s="29">
        <v>1050.8548000000001</v>
      </c>
      <c r="F26" s="30">
        <v>2.0031540831061201</v>
      </c>
    </row>
    <row r="27" spans="1:6" x14ac:dyDescent="0.2">
      <c r="A27" s="27" t="s">
        <v>143</v>
      </c>
      <c r="B27" s="27" t="s">
        <v>142</v>
      </c>
      <c r="C27" s="27" t="s">
        <v>144</v>
      </c>
      <c r="D27" s="31">
        <v>551423</v>
      </c>
      <c r="E27" s="29">
        <v>1034.7452599999999</v>
      </c>
      <c r="F27" s="30">
        <v>1.97244585316992</v>
      </c>
    </row>
    <row r="28" spans="1:6" x14ac:dyDescent="0.2">
      <c r="A28" s="27" t="s">
        <v>302</v>
      </c>
      <c r="B28" s="27" t="s">
        <v>301</v>
      </c>
      <c r="C28" s="27" t="s">
        <v>147</v>
      </c>
      <c r="D28" s="31">
        <v>183307</v>
      </c>
      <c r="E28" s="29">
        <v>1032.0184099999999</v>
      </c>
      <c r="F28" s="30">
        <v>1.96724789365018</v>
      </c>
    </row>
    <row r="29" spans="1:6" x14ac:dyDescent="0.2">
      <c r="A29" s="27" t="s">
        <v>333</v>
      </c>
      <c r="B29" s="27" t="s">
        <v>332</v>
      </c>
      <c r="C29" s="27" t="s">
        <v>167</v>
      </c>
      <c r="D29" s="31">
        <v>20384</v>
      </c>
      <c r="E29" s="29">
        <v>987.80863999999997</v>
      </c>
      <c r="F29" s="30">
        <v>1.8829746131849101</v>
      </c>
    </row>
    <row r="30" spans="1:6" x14ac:dyDescent="0.2">
      <c r="A30" s="27" t="s">
        <v>442</v>
      </c>
      <c r="B30" s="27" t="s">
        <v>441</v>
      </c>
      <c r="C30" s="27" t="s">
        <v>207</v>
      </c>
      <c r="D30" s="31">
        <v>1262673</v>
      </c>
      <c r="E30" s="29">
        <v>766.44251099999997</v>
      </c>
      <c r="F30" s="30">
        <v>1.4610034092015001</v>
      </c>
    </row>
    <row r="31" spans="1:6" x14ac:dyDescent="0.2">
      <c r="A31" s="27" t="s">
        <v>228</v>
      </c>
      <c r="B31" s="27" t="s">
        <v>227</v>
      </c>
      <c r="C31" s="27" t="s">
        <v>103</v>
      </c>
      <c r="D31" s="31">
        <v>25813</v>
      </c>
      <c r="E31" s="29">
        <v>687.87773049999998</v>
      </c>
      <c r="F31" s="30">
        <v>1.31124212834051</v>
      </c>
    </row>
    <row r="32" spans="1:6" x14ac:dyDescent="0.2">
      <c r="A32" s="27" t="s">
        <v>256</v>
      </c>
      <c r="B32" s="27" t="s">
        <v>255</v>
      </c>
      <c r="C32" s="27" t="s">
        <v>257</v>
      </c>
      <c r="D32" s="31">
        <v>170533</v>
      </c>
      <c r="E32" s="29">
        <v>666.61349700000005</v>
      </c>
      <c r="F32" s="30">
        <v>1.2707079497274001</v>
      </c>
    </row>
    <row r="33" spans="1:9" x14ac:dyDescent="0.2">
      <c r="A33" s="27" t="s">
        <v>507</v>
      </c>
      <c r="B33" s="27" t="s">
        <v>506</v>
      </c>
      <c r="C33" s="27" t="s">
        <v>174</v>
      </c>
      <c r="D33" s="31">
        <v>583460</v>
      </c>
      <c r="E33" s="29">
        <v>665.43613000000005</v>
      </c>
      <c r="F33" s="30">
        <v>1.2684636363233399</v>
      </c>
    </row>
    <row r="34" spans="1:9" x14ac:dyDescent="0.2">
      <c r="A34" s="27" t="s">
        <v>169</v>
      </c>
      <c r="B34" s="27" t="s">
        <v>168</v>
      </c>
      <c r="C34" s="27" t="s">
        <v>133</v>
      </c>
      <c r="D34" s="31">
        <v>484457</v>
      </c>
      <c r="E34" s="29">
        <v>642.63221050000004</v>
      </c>
      <c r="F34" s="30">
        <v>1.2249944867726601</v>
      </c>
    </row>
    <row r="35" spans="1:9" x14ac:dyDescent="0.2">
      <c r="A35" s="27" t="s">
        <v>157</v>
      </c>
      <c r="B35" s="27" t="s">
        <v>156</v>
      </c>
      <c r="C35" s="27" t="s">
        <v>130</v>
      </c>
      <c r="D35" s="31">
        <v>122466</v>
      </c>
      <c r="E35" s="29">
        <v>630.27126899999996</v>
      </c>
      <c r="F35" s="30">
        <v>1.2014318876040999</v>
      </c>
    </row>
    <row r="36" spans="1:9" x14ac:dyDescent="0.2">
      <c r="A36" s="27" t="s">
        <v>509</v>
      </c>
      <c r="B36" s="27" t="s">
        <v>508</v>
      </c>
      <c r="C36" s="27" t="s">
        <v>141</v>
      </c>
      <c r="D36" s="31">
        <v>119673</v>
      </c>
      <c r="E36" s="29">
        <v>595.31333849999999</v>
      </c>
      <c r="F36" s="30">
        <v>1.13479459269141</v>
      </c>
    </row>
    <row r="37" spans="1:9" x14ac:dyDescent="0.2">
      <c r="A37" s="52" t="s">
        <v>272</v>
      </c>
      <c r="B37" s="52" t="s">
        <v>271</v>
      </c>
      <c r="C37" s="52" t="s">
        <v>188</v>
      </c>
      <c r="D37" s="53">
        <v>1247117</v>
      </c>
      <c r="E37" s="54">
        <v>583.650756</v>
      </c>
      <c r="F37" s="54">
        <v>1.11256321519336</v>
      </c>
    </row>
    <row r="38" spans="1:9" x14ac:dyDescent="0.2">
      <c r="A38" s="27" t="s">
        <v>265</v>
      </c>
      <c r="B38" s="27" t="s">
        <v>264</v>
      </c>
      <c r="C38" s="27" t="s">
        <v>118</v>
      </c>
      <c r="D38" s="31">
        <v>407009</v>
      </c>
      <c r="E38" s="29">
        <v>569.40559099999996</v>
      </c>
      <c r="F38" s="30">
        <v>1.08540888289715</v>
      </c>
    </row>
    <row r="39" spans="1:9" x14ac:dyDescent="0.2">
      <c r="A39" s="27" t="s">
        <v>282</v>
      </c>
      <c r="B39" s="27" t="s">
        <v>281</v>
      </c>
      <c r="C39" s="27" t="s">
        <v>130</v>
      </c>
      <c r="D39" s="31">
        <v>111273</v>
      </c>
      <c r="E39" s="29">
        <v>548.40898049999998</v>
      </c>
      <c r="F39" s="30">
        <v>1.04538485098097</v>
      </c>
    </row>
    <row r="40" spans="1:9" x14ac:dyDescent="0.2">
      <c r="A40" s="27" t="s">
        <v>166</v>
      </c>
      <c r="B40" s="27" t="s">
        <v>165</v>
      </c>
      <c r="C40" s="27" t="s">
        <v>167</v>
      </c>
      <c r="D40" s="31">
        <v>226247</v>
      </c>
      <c r="E40" s="29">
        <v>346.83665100000002</v>
      </c>
      <c r="F40" s="30">
        <v>0.66114486380183302</v>
      </c>
    </row>
    <row r="41" spans="1:9" x14ac:dyDescent="0.2">
      <c r="A41" s="27" t="s">
        <v>511</v>
      </c>
      <c r="B41" s="27" t="s">
        <v>510</v>
      </c>
      <c r="C41" s="27" t="s">
        <v>188</v>
      </c>
      <c r="D41" s="31">
        <v>12795</v>
      </c>
      <c r="E41" s="29">
        <v>162.99550500000001</v>
      </c>
      <c r="F41" s="30">
        <v>0.31070430602657401</v>
      </c>
    </row>
    <row r="42" spans="1:9" x14ac:dyDescent="0.2">
      <c r="A42" s="27" t="s">
        <v>176</v>
      </c>
      <c r="B42" s="27" t="s">
        <v>175</v>
      </c>
      <c r="C42" s="27" t="s">
        <v>167</v>
      </c>
      <c r="D42" s="31">
        <v>26444</v>
      </c>
      <c r="E42" s="29">
        <v>25.240798000000002</v>
      </c>
      <c r="F42" s="30">
        <v>4.8114361350927601E-2</v>
      </c>
    </row>
    <row r="43" spans="1:9" ht="10.5" x14ac:dyDescent="0.25">
      <c r="A43" s="26" t="s">
        <v>43</v>
      </c>
      <c r="B43" s="26"/>
      <c r="C43" s="26"/>
      <c r="D43" s="32"/>
      <c r="E43" s="33">
        <f>SUM(E7:E42)</f>
        <v>51231.581169999998</v>
      </c>
      <c r="F43" s="34">
        <f>SUM(F7:F42)</f>
        <v>97.658354898001235</v>
      </c>
      <c r="G43" s="18"/>
      <c r="H43" s="18"/>
      <c r="I43" s="18"/>
    </row>
    <row r="44" spans="1:9" x14ac:dyDescent="0.2">
      <c r="A44" s="27"/>
      <c r="B44" s="27"/>
      <c r="C44" s="27"/>
      <c r="D44" s="28"/>
      <c r="E44" s="29"/>
      <c r="F44" s="30"/>
    </row>
    <row r="45" spans="1:9" ht="10.5" x14ac:dyDescent="0.25">
      <c r="A45" s="26" t="s">
        <v>231</v>
      </c>
      <c r="B45" s="27"/>
      <c r="C45" s="27"/>
      <c r="D45" s="28"/>
      <c r="E45" s="29"/>
      <c r="F45" s="30"/>
    </row>
    <row r="46" spans="1:9" x14ac:dyDescent="0.2">
      <c r="A46" s="27"/>
      <c r="B46" s="27" t="s">
        <v>1568</v>
      </c>
      <c r="C46" s="27" t="s">
        <v>103</v>
      </c>
      <c r="D46" s="31">
        <v>489000</v>
      </c>
      <c r="E46" s="29">
        <v>4.8899999999999999E-2</v>
      </c>
      <c r="F46" s="30">
        <v>9.3213862337488705E-5</v>
      </c>
    </row>
    <row r="47" spans="1:9" x14ac:dyDescent="0.2">
      <c r="A47" s="27"/>
      <c r="B47" s="27" t="s">
        <v>1565</v>
      </c>
      <c r="C47" s="27" t="s">
        <v>188</v>
      </c>
      <c r="D47" s="31">
        <v>98000</v>
      </c>
      <c r="E47" s="29">
        <v>9.7999999999999997E-3</v>
      </c>
      <c r="F47" s="30">
        <v>1.8680896746572399E-5</v>
      </c>
    </row>
    <row r="48" spans="1:9" x14ac:dyDescent="0.2">
      <c r="A48" s="27" t="s">
        <v>512</v>
      </c>
      <c r="B48" s="27" t="s">
        <v>1567</v>
      </c>
      <c r="C48" s="27" t="s">
        <v>188</v>
      </c>
      <c r="D48" s="31">
        <v>44170</v>
      </c>
      <c r="E48" s="29">
        <v>4.4169999999999999E-3</v>
      </c>
      <c r="F48" s="30">
        <v>8.4197470336336898E-6</v>
      </c>
    </row>
    <row r="49" spans="1:9" x14ac:dyDescent="0.2">
      <c r="A49" s="27"/>
      <c r="B49" s="27" t="s">
        <v>1569</v>
      </c>
      <c r="C49" s="27" t="s">
        <v>103</v>
      </c>
      <c r="D49" s="31">
        <v>23815</v>
      </c>
      <c r="E49" s="29">
        <v>2.3814999999999999E-3</v>
      </c>
      <c r="F49" s="30">
        <v>4.5396485308124598E-6</v>
      </c>
    </row>
    <row r="50" spans="1:9" ht="10.5" x14ac:dyDescent="0.25">
      <c r="A50" s="26" t="s">
        <v>43</v>
      </c>
      <c r="B50" s="26"/>
      <c r="C50" s="26"/>
      <c r="D50" s="32"/>
      <c r="E50" s="33">
        <f>SUM(E45:E49)</f>
        <v>6.5498500000000001E-2</v>
      </c>
      <c r="F50" s="34">
        <f>SUM(F45:F49)</f>
        <v>1.2485415464850725E-4</v>
      </c>
      <c r="G50" s="18"/>
      <c r="H50" s="18"/>
      <c r="I50" s="18"/>
    </row>
    <row r="51" spans="1:9" x14ac:dyDescent="0.2">
      <c r="A51" s="27"/>
      <c r="B51" s="27"/>
      <c r="C51" s="27"/>
      <c r="D51" s="28"/>
      <c r="E51" s="29"/>
      <c r="F51" s="30"/>
    </row>
    <row r="52" spans="1:9" ht="10.5" x14ac:dyDescent="0.25">
      <c r="A52" s="26" t="s">
        <v>48</v>
      </c>
      <c r="B52" s="26"/>
      <c r="C52" s="26"/>
      <c r="D52" s="32"/>
      <c r="E52" s="33">
        <f>E43+E50</f>
        <v>51231.646668499998</v>
      </c>
      <c r="F52" s="34">
        <f>F43+F50</f>
        <v>97.658479752155884</v>
      </c>
      <c r="G52" s="18"/>
      <c r="H52" s="18"/>
      <c r="I52" s="18"/>
    </row>
    <row r="53" spans="1:9" ht="10.5" x14ac:dyDescent="0.25">
      <c r="A53" s="26"/>
      <c r="B53" s="26"/>
      <c r="C53" s="26"/>
      <c r="D53" s="32"/>
      <c r="E53" s="33"/>
      <c r="F53" s="34"/>
      <c r="G53" s="18"/>
      <c r="H53" s="18"/>
      <c r="I53" s="18"/>
    </row>
    <row r="54" spans="1:9" ht="10.5" x14ac:dyDescent="0.25">
      <c r="A54" s="26" t="s">
        <v>50</v>
      </c>
      <c r="B54" s="26"/>
      <c r="C54" s="26"/>
      <c r="D54" s="32"/>
      <c r="E54" s="33">
        <f>E56-(E43+E50)</f>
        <v>1228.3617184000032</v>
      </c>
      <c r="F54" s="34">
        <f>F56-(F43+F50)</f>
        <v>2.3415202478441159</v>
      </c>
      <c r="G54" s="18"/>
      <c r="H54" s="18"/>
      <c r="I54" s="18"/>
    </row>
    <row r="55" spans="1:9" ht="10.5" x14ac:dyDescent="0.25">
      <c r="A55" s="26"/>
      <c r="B55" s="26"/>
      <c r="C55" s="26"/>
      <c r="D55" s="32"/>
      <c r="E55" s="33"/>
      <c r="F55" s="34"/>
      <c r="G55" s="18"/>
      <c r="H55" s="18"/>
      <c r="I55" s="18"/>
    </row>
    <row r="56" spans="1:9" ht="10.5" x14ac:dyDescent="0.25">
      <c r="A56" s="35" t="s">
        <v>49</v>
      </c>
      <c r="B56" s="35"/>
      <c r="C56" s="35"/>
      <c r="D56" s="36"/>
      <c r="E56" s="37">
        <v>52460.008386900001</v>
      </c>
      <c r="F56" s="38">
        <v>100</v>
      </c>
      <c r="G56" s="18"/>
      <c r="H56" s="18"/>
      <c r="I56" s="18"/>
    </row>
    <row r="57" spans="1:9" ht="10.5" x14ac:dyDescent="0.25">
      <c r="F57" s="20" t="s">
        <v>61</v>
      </c>
    </row>
    <row r="58" spans="1:9" ht="10.5" x14ac:dyDescent="0.25">
      <c r="A58" s="18" t="s">
        <v>766</v>
      </c>
    </row>
    <row r="60" spans="1:9" ht="10.5" x14ac:dyDescent="0.25">
      <c r="A60" s="18" t="s">
        <v>51</v>
      </c>
    </row>
    <row r="61" spans="1:9" ht="10.5" x14ac:dyDescent="0.25">
      <c r="A61" s="18" t="s">
        <v>52</v>
      </c>
    </row>
    <row r="62" spans="1:9" ht="10.5" x14ac:dyDescent="0.25">
      <c r="A62" s="18" t="s">
        <v>53</v>
      </c>
      <c r="B62" s="18"/>
      <c r="C62" s="39" t="s">
        <v>55</v>
      </c>
      <c r="D62" s="19" t="s">
        <v>54</v>
      </c>
    </row>
    <row r="63" spans="1:9" x14ac:dyDescent="0.2">
      <c r="A63" s="9" t="s">
        <v>71</v>
      </c>
      <c r="C63" s="40">
        <v>60.583300000000001</v>
      </c>
      <c r="D63" s="40">
        <v>76.361599999999996</v>
      </c>
    </row>
    <row r="64" spans="1:9" x14ac:dyDescent="0.2">
      <c r="A64" s="9" t="s">
        <v>77</v>
      </c>
      <c r="C64" s="40">
        <v>14.150700000000001</v>
      </c>
      <c r="D64" s="40">
        <v>17.836099999999998</v>
      </c>
    </row>
    <row r="65" spans="1:4" x14ac:dyDescent="0.2">
      <c r="A65" s="9" t="s">
        <v>74</v>
      </c>
      <c r="C65" s="40">
        <v>63.626899999999999</v>
      </c>
      <c r="D65" s="40">
        <v>80.618399999999994</v>
      </c>
    </row>
    <row r="66" spans="1:4" x14ac:dyDescent="0.2">
      <c r="A66" s="9" t="s">
        <v>78</v>
      </c>
      <c r="C66" s="40">
        <v>15.0831</v>
      </c>
      <c r="D66" s="40">
        <v>19.1096</v>
      </c>
    </row>
    <row r="68" spans="1:4" ht="10.5" x14ac:dyDescent="0.25">
      <c r="A68" s="18" t="s">
        <v>56</v>
      </c>
      <c r="D68" s="41" t="s">
        <v>57</v>
      </c>
    </row>
    <row r="70" spans="1:4" ht="10.5" x14ac:dyDescent="0.25">
      <c r="A70" s="18" t="s">
        <v>224</v>
      </c>
      <c r="D70" s="45">
        <v>0.20184935466439299</v>
      </c>
    </row>
  </sheetData>
  <mergeCells count="1">
    <mergeCell ref="A1:F1"/>
  </mergeCells>
  <conditionalFormatting sqref="F2:F3 F5:F65537">
    <cfRule type="cellIs" dxfId="1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55"/>
  <sheetViews>
    <sheetView workbookViewId="0">
      <selection sqref="A1:F1"/>
    </sheetView>
  </sheetViews>
  <sheetFormatPr defaultColWidth="9.1796875" defaultRowHeight="10" x14ac:dyDescent="0.2"/>
  <cols>
    <col min="1" max="1" width="38.7265625" style="9" bestFit="1" customWidth="1"/>
    <col min="2" max="2" width="24.1796875" style="9" bestFit="1" customWidth="1"/>
    <col min="3" max="3" width="21.1796875" style="9" bestFit="1" customWidth="1"/>
    <col min="4" max="4" width="15" style="10" bestFit="1" customWidth="1"/>
    <col min="5" max="5" width="23" style="13" bestFit="1" customWidth="1"/>
    <col min="6" max="6" width="13.54296875" style="14" bestFit="1" customWidth="1"/>
    <col min="7" max="16384" width="9.1796875" style="9"/>
  </cols>
  <sheetData>
    <row r="1" spans="1:6" s="1" customFormat="1" ht="14" x14ac:dyDescent="0.25">
      <c r="A1" s="79" t="s">
        <v>16</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112</v>
      </c>
      <c r="B7" s="27" t="s">
        <v>111</v>
      </c>
      <c r="C7" s="27" t="s">
        <v>100</v>
      </c>
      <c r="D7" s="31">
        <v>17000000</v>
      </c>
      <c r="E7" s="29">
        <v>66742</v>
      </c>
      <c r="F7" s="30">
        <v>10.1422166356397</v>
      </c>
    </row>
    <row r="8" spans="1:6" x14ac:dyDescent="0.2">
      <c r="A8" s="27" t="s">
        <v>151</v>
      </c>
      <c r="B8" s="27" t="s">
        <v>150</v>
      </c>
      <c r="C8" s="27" t="s">
        <v>100</v>
      </c>
      <c r="D8" s="31">
        <v>35000000</v>
      </c>
      <c r="E8" s="29">
        <v>66237.5</v>
      </c>
      <c r="F8" s="30">
        <v>10.0655520422401</v>
      </c>
    </row>
    <row r="9" spans="1:6" x14ac:dyDescent="0.2">
      <c r="A9" s="27" t="s">
        <v>105</v>
      </c>
      <c r="B9" s="27" t="s">
        <v>104</v>
      </c>
      <c r="C9" s="27" t="s">
        <v>100</v>
      </c>
      <c r="D9" s="31">
        <v>12083924</v>
      </c>
      <c r="E9" s="29">
        <v>59513.325700000001</v>
      </c>
      <c r="F9" s="30">
        <v>9.0437362074373802</v>
      </c>
    </row>
    <row r="10" spans="1:6" x14ac:dyDescent="0.2">
      <c r="A10" s="27" t="s">
        <v>107</v>
      </c>
      <c r="B10" s="27" t="s">
        <v>106</v>
      </c>
      <c r="C10" s="27" t="s">
        <v>108</v>
      </c>
      <c r="D10" s="31">
        <v>10000000</v>
      </c>
      <c r="E10" s="29">
        <v>43375</v>
      </c>
      <c r="F10" s="30">
        <v>6.5913314939749101</v>
      </c>
    </row>
    <row r="11" spans="1:6" x14ac:dyDescent="0.2">
      <c r="A11" s="27" t="s">
        <v>99</v>
      </c>
      <c r="B11" s="27" t="s">
        <v>98</v>
      </c>
      <c r="C11" s="27" t="s">
        <v>100</v>
      </c>
      <c r="D11" s="31">
        <v>2900000</v>
      </c>
      <c r="E11" s="29">
        <v>34322.949999999997</v>
      </c>
      <c r="F11" s="30">
        <v>5.2157680991614104</v>
      </c>
    </row>
    <row r="12" spans="1:6" x14ac:dyDescent="0.2">
      <c r="A12" s="27" t="s">
        <v>261</v>
      </c>
      <c r="B12" s="27" t="s">
        <v>260</v>
      </c>
      <c r="C12" s="27" t="s">
        <v>115</v>
      </c>
      <c r="D12" s="31">
        <v>1950000</v>
      </c>
      <c r="E12" s="29">
        <v>32155.5</v>
      </c>
      <c r="F12" s="30">
        <v>4.8863990744555599</v>
      </c>
    </row>
    <row r="13" spans="1:6" x14ac:dyDescent="0.2">
      <c r="A13" s="27" t="s">
        <v>215</v>
      </c>
      <c r="B13" s="27" t="s">
        <v>214</v>
      </c>
      <c r="C13" s="27" t="s">
        <v>144</v>
      </c>
      <c r="D13" s="31">
        <v>39000000</v>
      </c>
      <c r="E13" s="29">
        <v>31024.5</v>
      </c>
      <c r="F13" s="30">
        <v>4.71453058062996</v>
      </c>
    </row>
    <row r="14" spans="1:6" x14ac:dyDescent="0.2">
      <c r="A14" s="27" t="s">
        <v>514</v>
      </c>
      <c r="B14" s="27" t="s">
        <v>513</v>
      </c>
      <c r="C14" s="27" t="s">
        <v>115</v>
      </c>
      <c r="D14" s="31">
        <v>665000</v>
      </c>
      <c r="E14" s="29">
        <v>30417.432499999999</v>
      </c>
      <c r="F14" s="30">
        <v>4.6222796726940798</v>
      </c>
    </row>
    <row r="15" spans="1:6" x14ac:dyDescent="0.2">
      <c r="A15" s="27" t="s">
        <v>153</v>
      </c>
      <c r="B15" s="27" t="s">
        <v>152</v>
      </c>
      <c r="C15" s="27" t="s">
        <v>144</v>
      </c>
      <c r="D15" s="31">
        <v>8500000</v>
      </c>
      <c r="E15" s="29">
        <v>30128.25</v>
      </c>
      <c r="F15" s="30">
        <v>4.5783350566766403</v>
      </c>
    </row>
    <row r="16" spans="1:6" x14ac:dyDescent="0.2">
      <c r="A16" s="27" t="s">
        <v>149</v>
      </c>
      <c r="B16" s="27" t="s">
        <v>148</v>
      </c>
      <c r="C16" s="27" t="s">
        <v>147</v>
      </c>
      <c r="D16" s="31">
        <v>32000000</v>
      </c>
      <c r="E16" s="29">
        <v>28032</v>
      </c>
      <c r="F16" s="30">
        <v>4.2597856931205698</v>
      </c>
    </row>
    <row r="17" spans="1:9" x14ac:dyDescent="0.2">
      <c r="A17" s="27" t="s">
        <v>516</v>
      </c>
      <c r="B17" s="27" t="s">
        <v>515</v>
      </c>
      <c r="C17" s="27" t="s">
        <v>257</v>
      </c>
      <c r="D17" s="31">
        <v>2100000</v>
      </c>
      <c r="E17" s="29">
        <v>27499.5</v>
      </c>
      <c r="F17" s="30">
        <v>4.1788661767968396</v>
      </c>
    </row>
    <row r="18" spans="1:9" x14ac:dyDescent="0.2">
      <c r="A18" s="27" t="s">
        <v>206</v>
      </c>
      <c r="B18" s="27" t="s">
        <v>205</v>
      </c>
      <c r="C18" s="27" t="s">
        <v>207</v>
      </c>
      <c r="D18" s="31">
        <v>2675000</v>
      </c>
      <c r="E18" s="29">
        <v>24864.125</v>
      </c>
      <c r="F18" s="30">
        <v>3.7783905517608898</v>
      </c>
    </row>
    <row r="19" spans="1:9" x14ac:dyDescent="0.2">
      <c r="A19" s="27" t="s">
        <v>518</v>
      </c>
      <c r="B19" s="27" t="s">
        <v>517</v>
      </c>
      <c r="C19" s="27" t="s">
        <v>141</v>
      </c>
      <c r="D19" s="31">
        <v>2400000</v>
      </c>
      <c r="E19" s="29">
        <v>21822</v>
      </c>
      <c r="F19" s="30">
        <v>3.31610457317626</v>
      </c>
    </row>
    <row r="20" spans="1:9" x14ac:dyDescent="0.2">
      <c r="A20" s="27" t="s">
        <v>223</v>
      </c>
      <c r="B20" s="27" t="s">
        <v>222</v>
      </c>
      <c r="C20" s="27" t="s">
        <v>100</v>
      </c>
      <c r="D20" s="31">
        <v>40000000</v>
      </c>
      <c r="E20" s="29">
        <v>20180</v>
      </c>
      <c r="F20" s="30">
        <v>3.0665837359864798</v>
      </c>
    </row>
    <row r="21" spans="1:9" x14ac:dyDescent="0.2">
      <c r="A21" s="27" t="s">
        <v>221</v>
      </c>
      <c r="B21" s="27" t="s">
        <v>220</v>
      </c>
      <c r="C21" s="27" t="s">
        <v>121</v>
      </c>
      <c r="D21" s="31">
        <v>19000000</v>
      </c>
      <c r="E21" s="29">
        <v>16102.5</v>
      </c>
      <c r="F21" s="30">
        <v>2.4469605851695899</v>
      </c>
    </row>
    <row r="22" spans="1:9" x14ac:dyDescent="0.2">
      <c r="A22" s="27" t="s">
        <v>399</v>
      </c>
      <c r="B22" s="27" t="s">
        <v>398</v>
      </c>
      <c r="C22" s="27" t="s">
        <v>374</v>
      </c>
      <c r="D22" s="31">
        <v>4800000</v>
      </c>
      <c r="E22" s="29">
        <v>13984.8</v>
      </c>
      <c r="F22" s="30">
        <v>2.1251516467306102</v>
      </c>
    </row>
    <row r="23" spans="1:9" x14ac:dyDescent="0.2">
      <c r="A23" s="27" t="s">
        <v>520</v>
      </c>
      <c r="B23" s="27" t="s">
        <v>519</v>
      </c>
      <c r="C23" s="27" t="s">
        <v>160</v>
      </c>
      <c r="D23" s="31">
        <v>4000000</v>
      </c>
      <c r="E23" s="29">
        <v>13654</v>
      </c>
      <c r="F23" s="30">
        <v>2.0748827716134501</v>
      </c>
    </row>
    <row r="24" spans="1:9" x14ac:dyDescent="0.2">
      <c r="A24" s="27" t="s">
        <v>414</v>
      </c>
      <c r="B24" s="27" t="s">
        <v>413</v>
      </c>
      <c r="C24" s="27" t="s">
        <v>115</v>
      </c>
      <c r="D24" s="31">
        <v>4500000</v>
      </c>
      <c r="E24" s="29">
        <v>13054.5</v>
      </c>
      <c r="F24" s="30">
        <v>1.9837818325785701</v>
      </c>
    </row>
    <row r="25" spans="1:9" x14ac:dyDescent="0.2">
      <c r="A25" s="27" t="s">
        <v>522</v>
      </c>
      <c r="B25" s="27" t="s">
        <v>521</v>
      </c>
      <c r="C25" s="27" t="s">
        <v>115</v>
      </c>
      <c r="D25" s="31">
        <v>17200000</v>
      </c>
      <c r="E25" s="29">
        <v>11111.2</v>
      </c>
      <c r="F25" s="30">
        <v>1.6884749854951899</v>
      </c>
    </row>
    <row r="26" spans="1:9" x14ac:dyDescent="0.2">
      <c r="A26" s="27" t="s">
        <v>472</v>
      </c>
      <c r="B26" s="27" t="s">
        <v>471</v>
      </c>
      <c r="C26" s="27" t="s">
        <v>402</v>
      </c>
      <c r="D26" s="31">
        <v>500000</v>
      </c>
      <c r="E26" s="29">
        <v>10597.25</v>
      </c>
      <c r="F26" s="30">
        <v>1.61037435560866</v>
      </c>
    </row>
    <row r="27" spans="1:9" x14ac:dyDescent="0.2">
      <c r="A27" s="27" t="s">
        <v>524</v>
      </c>
      <c r="B27" s="27" t="s">
        <v>523</v>
      </c>
      <c r="C27" s="27" t="s">
        <v>257</v>
      </c>
      <c r="D27" s="31">
        <v>14992218</v>
      </c>
      <c r="E27" s="29">
        <v>7436.140128</v>
      </c>
      <c r="F27" s="30">
        <v>1.1300072534708201</v>
      </c>
    </row>
    <row r="28" spans="1:9" x14ac:dyDescent="0.2">
      <c r="A28" s="27" t="s">
        <v>526</v>
      </c>
      <c r="B28" s="27" t="s">
        <v>525</v>
      </c>
      <c r="C28" s="27" t="s">
        <v>374</v>
      </c>
      <c r="D28" s="31">
        <v>15000000</v>
      </c>
      <c r="E28" s="29">
        <v>7350</v>
      </c>
      <c r="F28" s="30">
        <v>1.1169172675669301</v>
      </c>
    </row>
    <row r="29" spans="1:9" x14ac:dyDescent="0.2">
      <c r="A29" s="27" t="s">
        <v>528</v>
      </c>
      <c r="B29" s="27" t="s">
        <v>527</v>
      </c>
      <c r="C29" s="27" t="s">
        <v>374</v>
      </c>
      <c r="D29" s="31">
        <v>3200000</v>
      </c>
      <c r="E29" s="29">
        <v>6692.8</v>
      </c>
      <c r="F29" s="30">
        <v>1.01704814807782</v>
      </c>
    </row>
    <row r="30" spans="1:9" x14ac:dyDescent="0.2">
      <c r="A30" s="27" t="s">
        <v>140</v>
      </c>
      <c r="B30" s="27" t="s">
        <v>139</v>
      </c>
      <c r="C30" s="27" t="s">
        <v>141</v>
      </c>
      <c r="D30" s="31">
        <v>1400000</v>
      </c>
      <c r="E30" s="29">
        <v>5847.8</v>
      </c>
      <c r="F30" s="30">
        <v>0.888640652690869</v>
      </c>
    </row>
    <row r="31" spans="1:9" x14ac:dyDescent="0.2">
      <c r="A31" s="27" t="s">
        <v>530</v>
      </c>
      <c r="B31" s="27" t="s">
        <v>529</v>
      </c>
      <c r="C31" s="27" t="s">
        <v>531</v>
      </c>
      <c r="D31" s="31">
        <v>300000</v>
      </c>
      <c r="E31" s="29">
        <v>2061.3000000000002</v>
      </c>
      <c r="F31" s="30">
        <v>0.31323830797764801</v>
      </c>
    </row>
    <row r="32" spans="1:9" ht="10.5" x14ac:dyDescent="0.25">
      <c r="A32" s="26" t="s">
        <v>43</v>
      </c>
      <c r="B32" s="26"/>
      <c r="C32" s="26"/>
      <c r="D32" s="32"/>
      <c r="E32" s="33">
        <f>SUM(E7:E31)</f>
        <v>624206.37332800019</v>
      </c>
      <c r="F32" s="34">
        <f>SUM(F7:F31)</f>
        <v>94.855357400730938</v>
      </c>
      <c r="G32" s="18"/>
      <c r="H32" s="18"/>
      <c r="I32" s="18"/>
    </row>
    <row r="33" spans="1:9" x14ac:dyDescent="0.2">
      <c r="A33" s="27"/>
      <c r="B33" s="27"/>
      <c r="C33" s="27"/>
      <c r="D33" s="28"/>
      <c r="E33" s="29"/>
      <c r="F33" s="30"/>
    </row>
    <row r="34" spans="1:9" ht="10.5" x14ac:dyDescent="0.25">
      <c r="A34" s="26" t="s">
        <v>48</v>
      </c>
      <c r="B34" s="26"/>
      <c r="C34" s="26"/>
      <c r="D34" s="32"/>
      <c r="E34" s="33">
        <f>E32</f>
        <v>624206.37332800019</v>
      </c>
      <c r="F34" s="34">
        <f>F32</f>
        <v>94.855357400730938</v>
      </c>
      <c r="G34" s="18"/>
      <c r="H34" s="18"/>
      <c r="I34" s="18"/>
    </row>
    <row r="35" spans="1:9" ht="10.5" x14ac:dyDescent="0.25">
      <c r="A35" s="26"/>
      <c r="B35" s="26"/>
      <c r="C35" s="26"/>
      <c r="D35" s="32"/>
      <c r="E35" s="33"/>
      <c r="F35" s="34"/>
      <c r="G35" s="18"/>
      <c r="H35" s="18"/>
      <c r="I35" s="18"/>
    </row>
    <row r="36" spans="1:9" ht="10.5" x14ac:dyDescent="0.25">
      <c r="A36" s="26" t="s">
        <v>50</v>
      </c>
      <c r="B36" s="26"/>
      <c r="C36" s="26"/>
      <c r="D36" s="32"/>
      <c r="E36" s="33">
        <f>E38-(E32)</f>
        <v>33854.900629299809</v>
      </c>
      <c r="F36" s="34">
        <f>F38-(F32)</f>
        <v>5.1446425992690621</v>
      </c>
      <c r="G36" s="18"/>
      <c r="H36" s="18"/>
      <c r="I36" s="18"/>
    </row>
    <row r="37" spans="1:9" ht="10.5" x14ac:dyDescent="0.25">
      <c r="A37" s="26"/>
      <c r="B37" s="26"/>
      <c r="C37" s="26"/>
      <c r="D37" s="32"/>
      <c r="E37" s="33"/>
      <c r="F37" s="34"/>
      <c r="G37" s="18"/>
      <c r="H37" s="18"/>
      <c r="I37" s="18"/>
    </row>
    <row r="38" spans="1:9" ht="10.5" x14ac:dyDescent="0.25">
      <c r="A38" s="35" t="s">
        <v>49</v>
      </c>
      <c r="B38" s="35"/>
      <c r="C38" s="35"/>
      <c r="D38" s="36"/>
      <c r="E38" s="37">
        <v>658061.2739573</v>
      </c>
      <c r="F38" s="38">
        <v>100</v>
      </c>
      <c r="G38" s="18"/>
      <c r="H38" s="18"/>
      <c r="I38" s="18"/>
    </row>
    <row r="41" spans="1:9" ht="10.5" x14ac:dyDescent="0.25">
      <c r="A41" s="18" t="s">
        <v>51</v>
      </c>
    </row>
    <row r="42" spans="1:9" ht="10.5" x14ac:dyDescent="0.25">
      <c r="A42" s="18" t="s">
        <v>52</v>
      </c>
    </row>
    <row r="43" spans="1:9" ht="10.5" x14ac:dyDescent="0.25">
      <c r="A43" s="18" t="s">
        <v>53</v>
      </c>
      <c r="B43" s="18"/>
      <c r="C43" s="39" t="s">
        <v>55</v>
      </c>
      <c r="D43" s="19" t="s">
        <v>54</v>
      </c>
    </row>
    <row r="44" spans="1:9" x14ac:dyDescent="0.2">
      <c r="A44" s="9" t="s">
        <v>71</v>
      </c>
      <c r="C44" s="40">
        <v>33.159999999999997</v>
      </c>
      <c r="D44" s="40">
        <v>37.341500000000003</v>
      </c>
    </row>
    <row r="45" spans="1:9" x14ac:dyDescent="0.2">
      <c r="A45" s="9" t="s">
        <v>77</v>
      </c>
      <c r="C45" s="40">
        <v>17.977799999999998</v>
      </c>
      <c r="D45" s="40">
        <v>18.764700000000001</v>
      </c>
    </row>
    <row r="46" spans="1:9" x14ac:dyDescent="0.2">
      <c r="A46" s="9" t="s">
        <v>74</v>
      </c>
      <c r="C46" s="40">
        <v>35.804400000000001</v>
      </c>
      <c r="D46" s="40">
        <v>40.482700000000001</v>
      </c>
    </row>
    <row r="47" spans="1:9" x14ac:dyDescent="0.2">
      <c r="A47" s="9" t="s">
        <v>78</v>
      </c>
      <c r="C47" s="40">
        <v>19.900099999999998</v>
      </c>
      <c r="D47" s="40">
        <v>21.0182</v>
      </c>
    </row>
    <row r="49" spans="1:4" ht="10.5" x14ac:dyDescent="0.25">
      <c r="A49" s="18" t="s">
        <v>56</v>
      </c>
    </row>
    <row r="50" spans="1:4" ht="10.5" x14ac:dyDescent="0.25">
      <c r="A50" s="81" t="s">
        <v>68</v>
      </c>
      <c r="B50" s="82"/>
      <c r="C50" s="43" t="s">
        <v>69</v>
      </c>
    </row>
    <row r="51" spans="1:4" x14ac:dyDescent="0.2">
      <c r="A51" s="77" t="s">
        <v>77</v>
      </c>
      <c r="B51" s="78"/>
      <c r="C51" s="44">
        <v>1.5</v>
      </c>
    </row>
    <row r="52" spans="1:4" x14ac:dyDescent="0.2">
      <c r="A52" s="77" t="s">
        <v>78</v>
      </c>
      <c r="B52" s="78"/>
      <c r="C52" s="44">
        <v>1.5</v>
      </c>
    </row>
    <row r="53" spans="1:4" x14ac:dyDescent="0.2">
      <c r="A53" s="9" t="s">
        <v>70</v>
      </c>
    </row>
    <row r="55" spans="1:4" ht="10.5" x14ac:dyDescent="0.25">
      <c r="A55" s="18" t="s">
        <v>224</v>
      </c>
      <c r="D55" s="45">
        <v>0.14073476430613299</v>
      </c>
    </row>
  </sheetData>
  <mergeCells count="4">
    <mergeCell ref="A1:F1"/>
    <mergeCell ref="A50:B50"/>
    <mergeCell ref="A51:B51"/>
    <mergeCell ref="A52:B52"/>
  </mergeCells>
  <conditionalFormatting sqref="F2:F3 F5:F65536">
    <cfRule type="cellIs" dxfId="1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2"/>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18.81640625" style="9" bestFit="1" customWidth="1"/>
    <col min="4" max="4" width="15" style="10" bestFit="1" customWidth="1"/>
    <col min="5" max="5" width="23" style="13" bestFit="1" customWidth="1"/>
    <col min="6" max="6" width="14.7265625" style="14" bestFit="1" customWidth="1"/>
    <col min="7" max="16384" width="9.1796875" style="9"/>
  </cols>
  <sheetData>
    <row r="1" spans="1:6" s="1" customFormat="1" ht="14" x14ac:dyDescent="0.25">
      <c r="A1" s="79" t="s">
        <v>17</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99</v>
      </c>
      <c r="B7" s="27" t="s">
        <v>98</v>
      </c>
      <c r="C7" s="27" t="s">
        <v>100</v>
      </c>
      <c r="D7" s="31">
        <v>5700000</v>
      </c>
      <c r="E7" s="29">
        <v>67462.350000000006</v>
      </c>
      <c r="F7" s="30">
        <v>8.3067562433854203</v>
      </c>
    </row>
    <row r="8" spans="1:6" x14ac:dyDescent="0.2">
      <c r="A8" s="27" t="s">
        <v>102</v>
      </c>
      <c r="B8" s="27" t="s">
        <v>101</v>
      </c>
      <c r="C8" s="27" t="s">
        <v>103</v>
      </c>
      <c r="D8" s="31">
        <v>5400000</v>
      </c>
      <c r="E8" s="29">
        <v>57272.4</v>
      </c>
      <c r="F8" s="30">
        <v>7.0520500141733402</v>
      </c>
    </row>
    <row r="9" spans="1:6" x14ac:dyDescent="0.2">
      <c r="A9" s="27" t="s">
        <v>107</v>
      </c>
      <c r="B9" s="27" t="s">
        <v>106</v>
      </c>
      <c r="C9" s="27" t="s">
        <v>108</v>
      </c>
      <c r="D9" s="31">
        <v>12500000</v>
      </c>
      <c r="E9" s="29">
        <v>54218.75</v>
      </c>
      <c r="F9" s="30">
        <v>6.6760487897479601</v>
      </c>
    </row>
    <row r="10" spans="1:6" x14ac:dyDescent="0.2">
      <c r="A10" s="27" t="s">
        <v>112</v>
      </c>
      <c r="B10" s="27" t="s">
        <v>111</v>
      </c>
      <c r="C10" s="27" t="s">
        <v>100</v>
      </c>
      <c r="D10" s="31">
        <v>13500000</v>
      </c>
      <c r="E10" s="29">
        <v>53001</v>
      </c>
      <c r="F10" s="30">
        <v>6.5261051187168899</v>
      </c>
    </row>
    <row r="11" spans="1:6" x14ac:dyDescent="0.2">
      <c r="A11" s="27" t="s">
        <v>105</v>
      </c>
      <c r="B11" s="27" t="s">
        <v>104</v>
      </c>
      <c r="C11" s="27" t="s">
        <v>100</v>
      </c>
      <c r="D11" s="31">
        <v>9600000</v>
      </c>
      <c r="E11" s="29">
        <v>47280</v>
      </c>
      <c r="F11" s="30">
        <v>5.8216684593297199</v>
      </c>
    </row>
    <row r="12" spans="1:6" x14ac:dyDescent="0.2">
      <c r="A12" s="27" t="s">
        <v>132</v>
      </c>
      <c r="B12" s="27" t="s">
        <v>131</v>
      </c>
      <c r="C12" s="27" t="s">
        <v>133</v>
      </c>
      <c r="D12" s="31">
        <v>5300000</v>
      </c>
      <c r="E12" s="29">
        <v>31482</v>
      </c>
      <c r="F12" s="30">
        <v>3.87643330026689</v>
      </c>
    </row>
    <row r="13" spans="1:6" x14ac:dyDescent="0.2">
      <c r="A13" s="27" t="s">
        <v>206</v>
      </c>
      <c r="B13" s="27" t="s">
        <v>205</v>
      </c>
      <c r="C13" s="27" t="s">
        <v>207</v>
      </c>
      <c r="D13" s="31">
        <v>3200000</v>
      </c>
      <c r="E13" s="29">
        <v>29744</v>
      </c>
      <c r="F13" s="30">
        <v>3.6624303437881398</v>
      </c>
    </row>
    <row r="14" spans="1:6" x14ac:dyDescent="0.2">
      <c r="A14" s="27" t="s">
        <v>151</v>
      </c>
      <c r="B14" s="27" t="s">
        <v>150</v>
      </c>
      <c r="C14" s="27" t="s">
        <v>100</v>
      </c>
      <c r="D14" s="31">
        <v>14000000</v>
      </c>
      <c r="E14" s="29">
        <v>26495</v>
      </c>
      <c r="F14" s="30">
        <v>3.2623753348126301</v>
      </c>
    </row>
    <row r="15" spans="1:6" x14ac:dyDescent="0.2">
      <c r="A15" s="27" t="s">
        <v>169</v>
      </c>
      <c r="B15" s="27" t="s">
        <v>168</v>
      </c>
      <c r="C15" s="27" t="s">
        <v>133</v>
      </c>
      <c r="D15" s="31">
        <v>16500000</v>
      </c>
      <c r="E15" s="29">
        <v>21887.25</v>
      </c>
      <c r="F15" s="30">
        <v>2.69501508008597</v>
      </c>
    </row>
    <row r="16" spans="1:6" x14ac:dyDescent="0.2">
      <c r="A16" s="27" t="s">
        <v>114</v>
      </c>
      <c r="B16" s="27" t="s">
        <v>113</v>
      </c>
      <c r="C16" s="27" t="s">
        <v>115</v>
      </c>
      <c r="D16" s="31">
        <v>2800000</v>
      </c>
      <c r="E16" s="29">
        <v>21793.8</v>
      </c>
      <c r="F16" s="30">
        <v>2.6835084193938301</v>
      </c>
    </row>
    <row r="17" spans="1:6" x14ac:dyDescent="0.2">
      <c r="A17" s="27" t="s">
        <v>110</v>
      </c>
      <c r="B17" s="27" t="s">
        <v>109</v>
      </c>
      <c r="C17" s="27" t="s">
        <v>100</v>
      </c>
      <c r="D17" s="31">
        <v>1400000</v>
      </c>
      <c r="E17" s="29">
        <v>21663.599999999999</v>
      </c>
      <c r="F17" s="30">
        <v>2.66747666741826</v>
      </c>
    </row>
    <row r="18" spans="1:6" x14ac:dyDescent="0.2">
      <c r="A18" s="27" t="s">
        <v>126</v>
      </c>
      <c r="B18" s="27" t="s">
        <v>125</v>
      </c>
      <c r="C18" s="27" t="s">
        <v>127</v>
      </c>
      <c r="D18" s="31">
        <v>2800000</v>
      </c>
      <c r="E18" s="29">
        <v>19755.400000000001</v>
      </c>
      <c r="F18" s="30">
        <v>2.4325166895398098</v>
      </c>
    </row>
    <row r="19" spans="1:6" x14ac:dyDescent="0.2">
      <c r="A19" s="27" t="s">
        <v>241</v>
      </c>
      <c r="B19" s="27" t="s">
        <v>240</v>
      </c>
      <c r="C19" s="27" t="s">
        <v>103</v>
      </c>
      <c r="D19" s="31">
        <v>2200000</v>
      </c>
      <c r="E19" s="29">
        <v>18522.900000000001</v>
      </c>
      <c r="F19" s="30">
        <v>2.2807568254085999</v>
      </c>
    </row>
    <row r="20" spans="1:6" x14ac:dyDescent="0.2">
      <c r="A20" s="27" t="s">
        <v>162</v>
      </c>
      <c r="B20" s="27" t="s">
        <v>161</v>
      </c>
      <c r="C20" s="27" t="s">
        <v>130</v>
      </c>
      <c r="D20" s="31">
        <v>1920000</v>
      </c>
      <c r="E20" s="29">
        <v>17783.04</v>
      </c>
      <c r="F20" s="30">
        <v>2.18965657950505</v>
      </c>
    </row>
    <row r="21" spans="1:6" x14ac:dyDescent="0.2">
      <c r="A21" s="27" t="s">
        <v>149</v>
      </c>
      <c r="B21" s="27" t="s">
        <v>148</v>
      </c>
      <c r="C21" s="27" t="s">
        <v>147</v>
      </c>
      <c r="D21" s="31">
        <v>20200000</v>
      </c>
      <c r="E21" s="29">
        <v>17695.2</v>
      </c>
      <c r="F21" s="30">
        <v>2.1788406878496498</v>
      </c>
    </row>
    <row r="22" spans="1:6" x14ac:dyDescent="0.2">
      <c r="A22" s="27" t="s">
        <v>166</v>
      </c>
      <c r="B22" s="27" t="s">
        <v>165</v>
      </c>
      <c r="C22" s="27" t="s">
        <v>167</v>
      </c>
      <c r="D22" s="31">
        <v>11500000</v>
      </c>
      <c r="E22" s="29">
        <v>17629.5</v>
      </c>
      <c r="F22" s="30">
        <v>2.1707509328204999</v>
      </c>
    </row>
    <row r="23" spans="1:6" x14ac:dyDescent="0.2">
      <c r="A23" s="27" t="s">
        <v>533</v>
      </c>
      <c r="B23" s="27" t="s">
        <v>532</v>
      </c>
      <c r="C23" s="27" t="s">
        <v>130</v>
      </c>
      <c r="D23" s="31">
        <v>4800000</v>
      </c>
      <c r="E23" s="29">
        <v>17119.2</v>
      </c>
      <c r="F23" s="30">
        <v>2.1079168081420798</v>
      </c>
    </row>
    <row r="24" spans="1:6" x14ac:dyDescent="0.2">
      <c r="A24" s="27" t="s">
        <v>535</v>
      </c>
      <c r="B24" s="27" t="s">
        <v>534</v>
      </c>
      <c r="C24" s="27" t="s">
        <v>130</v>
      </c>
      <c r="D24" s="31">
        <v>3300000</v>
      </c>
      <c r="E24" s="29">
        <v>16641.900000000001</v>
      </c>
      <c r="F24" s="30">
        <v>2.0491460307385601</v>
      </c>
    </row>
    <row r="25" spans="1:6" x14ac:dyDescent="0.2">
      <c r="A25" s="27" t="s">
        <v>143</v>
      </c>
      <c r="B25" s="27" t="s">
        <v>142</v>
      </c>
      <c r="C25" s="27" t="s">
        <v>144</v>
      </c>
      <c r="D25" s="31">
        <v>8700000</v>
      </c>
      <c r="E25" s="29">
        <v>16325.55</v>
      </c>
      <c r="F25" s="30">
        <v>2.0101933061804198</v>
      </c>
    </row>
    <row r="26" spans="1:6" x14ac:dyDescent="0.2">
      <c r="A26" s="27" t="s">
        <v>198</v>
      </c>
      <c r="B26" s="27" t="s">
        <v>197</v>
      </c>
      <c r="C26" s="27" t="s">
        <v>103</v>
      </c>
      <c r="D26" s="31">
        <v>2000000</v>
      </c>
      <c r="E26" s="29">
        <v>16266</v>
      </c>
      <c r="F26" s="30">
        <v>2.00286081132524</v>
      </c>
    </row>
    <row r="27" spans="1:6" x14ac:dyDescent="0.2">
      <c r="A27" s="27" t="s">
        <v>537</v>
      </c>
      <c r="B27" s="27" t="s">
        <v>536</v>
      </c>
      <c r="C27" s="27" t="s">
        <v>188</v>
      </c>
      <c r="D27" s="31">
        <v>3859610</v>
      </c>
      <c r="E27" s="29">
        <v>15567.736940000001</v>
      </c>
      <c r="F27" s="30">
        <v>1.9168824688396799</v>
      </c>
    </row>
    <row r="28" spans="1:6" x14ac:dyDescent="0.2">
      <c r="A28" s="27" t="s">
        <v>539</v>
      </c>
      <c r="B28" s="27" t="s">
        <v>538</v>
      </c>
      <c r="C28" s="27" t="s">
        <v>141</v>
      </c>
      <c r="D28" s="31">
        <v>3000000</v>
      </c>
      <c r="E28" s="29">
        <v>13972.5</v>
      </c>
      <c r="F28" s="30">
        <v>1.72045817571879</v>
      </c>
    </row>
    <row r="29" spans="1:6" x14ac:dyDescent="0.2">
      <c r="A29" s="27" t="s">
        <v>164</v>
      </c>
      <c r="B29" s="27" t="s">
        <v>163</v>
      </c>
      <c r="C29" s="27" t="s">
        <v>133</v>
      </c>
      <c r="D29" s="31">
        <v>3000000</v>
      </c>
      <c r="E29" s="29">
        <v>13665</v>
      </c>
      <c r="F29" s="30">
        <v>1.68259516702074</v>
      </c>
    </row>
    <row r="30" spans="1:6" x14ac:dyDescent="0.2">
      <c r="A30" s="27" t="s">
        <v>261</v>
      </c>
      <c r="B30" s="27" t="s">
        <v>260</v>
      </c>
      <c r="C30" s="27" t="s">
        <v>115</v>
      </c>
      <c r="D30" s="31">
        <v>800000</v>
      </c>
      <c r="E30" s="29">
        <v>13192</v>
      </c>
      <c r="F30" s="30">
        <v>1.6243538560803199</v>
      </c>
    </row>
    <row r="31" spans="1:6" x14ac:dyDescent="0.2">
      <c r="A31" s="27" t="s">
        <v>378</v>
      </c>
      <c r="B31" s="27" t="s">
        <v>377</v>
      </c>
      <c r="C31" s="27" t="s">
        <v>130</v>
      </c>
      <c r="D31" s="31">
        <v>9000000</v>
      </c>
      <c r="E31" s="29">
        <v>12222</v>
      </c>
      <c r="F31" s="30">
        <v>1.5049160725450099</v>
      </c>
    </row>
    <row r="32" spans="1:6" x14ac:dyDescent="0.2">
      <c r="A32" s="27" t="s">
        <v>514</v>
      </c>
      <c r="B32" s="27" t="s">
        <v>513</v>
      </c>
      <c r="C32" s="27" t="s">
        <v>115</v>
      </c>
      <c r="D32" s="31">
        <v>230000</v>
      </c>
      <c r="E32" s="29">
        <v>10520.315000000001</v>
      </c>
      <c r="F32" s="30">
        <v>1.2953846450447</v>
      </c>
    </row>
    <row r="33" spans="1:6" x14ac:dyDescent="0.2">
      <c r="A33" s="27" t="s">
        <v>221</v>
      </c>
      <c r="B33" s="27" t="s">
        <v>220</v>
      </c>
      <c r="C33" s="27" t="s">
        <v>121</v>
      </c>
      <c r="D33" s="31">
        <v>12000000</v>
      </c>
      <c r="E33" s="29">
        <v>10170</v>
      </c>
      <c r="F33" s="30">
        <v>1.25224975108679</v>
      </c>
    </row>
    <row r="34" spans="1:6" x14ac:dyDescent="0.2">
      <c r="A34" s="27" t="s">
        <v>280</v>
      </c>
      <c r="B34" s="27" t="s">
        <v>279</v>
      </c>
      <c r="C34" s="27" t="s">
        <v>160</v>
      </c>
      <c r="D34" s="31">
        <v>1888237</v>
      </c>
      <c r="E34" s="29">
        <v>9865.0942070000001</v>
      </c>
      <c r="F34" s="30">
        <v>1.2147061715991601</v>
      </c>
    </row>
    <row r="35" spans="1:6" x14ac:dyDescent="0.2">
      <c r="A35" s="27" t="s">
        <v>518</v>
      </c>
      <c r="B35" s="27" t="s">
        <v>517</v>
      </c>
      <c r="C35" s="27" t="s">
        <v>141</v>
      </c>
      <c r="D35" s="31">
        <v>1000000</v>
      </c>
      <c r="E35" s="29">
        <v>9092.5</v>
      </c>
      <c r="F35" s="30">
        <v>1.1195753059741</v>
      </c>
    </row>
    <row r="36" spans="1:6" x14ac:dyDescent="0.2">
      <c r="A36" s="27" t="s">
        <v>159</v>
      </c>
      <c r="B36" s="27" t="s">
        <v>158</v>
      </c>
      <c r="C36" s="27" t="s">
        <v>160</v>
      </c>
      <c r="D36" s="31">
        <v>1842188</v>
      </c>
      <c r="E36" s="29">
        <v>7996.9381080000003</v>
      </c>
      <c r="F36" s="30">
        <v>0.98467686875117399</v>
      </c>
    </row>
    <row r="37" spans="1:6" x14ac:dyDescent="0.2">
      <c r="A37" s="27" t="s">
        <v>478</v>
      </c>
      <c r="B37" s="27" t="s">
        <v>477</v>
      </c>
      <c r="C37" s="27" t="s">
        <v>160</v>
      </c>
      <c r="D37" s="31">
        <v>540000</v>
      </c>
      <c r="E37" s="29">
        <v>7971.48</v>
      </c>
      <c r="F37" s="30">
        <v>0.981542167727955</v>
      </c>
    </row>
    <row r="38" spans="1:6" x14ac:dyDescent="0.2">
      <c r="A38" s="27" t="s">
        <v>541</v>
      </c>
      <c r="B38" s="27" t="s">
        <v>540</v>
      </c>
      <c r="C38" s="27" t="s">
        <v>188</v>
      </c>
      <c r="D38" s="31">
        <v>12000000</v>
      </c>
      <c r="E38" s="29">
        <v>7770</v>
      </c>
      <c r="F38" s="30">
        <v>0.95673358563857802</v>
      </c>
    </row>
    <row r="39" spans="1:6" x14ac:dyDescent="0.2">
      <c r="A39" s="27" t="s">
        <v>414</v>
      </c>
      <c r="B39" s="27" t="s">
        <v>413</v>
      </c>
      <c r="C39" s="27" t="s">
        <v>115</v>
      </c>
      <c r="D39" s="31">
        <v>2600000</v>
      </c>
      <c r="E39" s="29">
        <v>7542.6</v>
      </c>
      <c r="F39" s="30">
        <v>0.92873342896236</v>
      </c>
    </row>
    <row r="40" spans="1:6" x14ac:dyDescent="0.2">
      <c r="A40" s="27" t="s">
        <v>263</v>
      </c>
      <c r="B40" s="27" t="s">
        <v>262</v>
      </c>
      <c r="C40" s="27" t="s">
        <v>144</v>
      </c>
      <c r="D40" s="31">
        <v>1000000</v>
      </c>
      <c r="E40" s="29">
        <v>6598.5</v>
      </c>
      <c r="F40" s="30">
        <v>0.81248475737917003</v>
      </c>
    </row>
    <row r="41" spans="1:6" x14ac:dyDescent="0.2">
      <c r="A41" s="27" t="s">
        <v>140</v>
      </c>
      <c r="B41" s="27" t="s">
        <v>139</v>
      </c>
      <c r="C41" s="27" t="s">
        <v>141</v>
      </c>
      <c r="D41" s="31">
        <v>1531260</v>
      </c>
      <c r="E41" s="29">
        <v>6396.0730199999998</v>
      </c>
      <c r="F41" s="30">
        <v>0.78755957199881199</v>
      </c>
    </row>
    <row r="42" spans="1:6" x14ac:dyDescent="0.2">
      <c r="A42" s="27" t="s">
        <v>543</v>
      </c>
      <c r="B42" s="27" t="s">
        <v>542</v>
      </c>
      <c r="C42" s="27" t="s">
        <v>257</v>
      </c>
      <c r="D42" s="31">
        <v>6653576</v>
      </c>
      <c r="E42" s="29">
        <v>5891.741548</v>
      </c>
      <c r="F42" s="30">
        <v>0.72546036253202395</v>
      </c>
    </row>
    <row r="43" spans="1:6" x14ac:dyDescent="0.2">
      <c r="A43" s="27" t="s">
        <v>215</v>
      </c>
      <c r="B43" s="27" t="s">
        <v>214</v>
      </c>
      <c r="C43" s="27" t="s">
        <v>144</v>
      </c>
      <c r="D43" s="31">
        <v>7000000</v>
      </c>
      <c r="E43" s="29">
        <v>5568.5</v>
      </c>
      <c r="F43" s="30">
        <v>0.68565906970764701</v>
      </c>
    </row>
    <row r="44" spans="1:6" x14ac:dyDescent="0.2">
      <c r="A44" s="27" t="s">
        <v>256</v>
      </c>
      <c r="B44" s="27" t="s">
        <v>255</v>
      </c>
      <c r="C44" s="27" t="s">
        <v>257</v>
      </c>
      <c r="D44" s="31">
        <v>1400000</v>
      </c>
      <c r="E44" s="29">
        <v>5472.6</v>
      </c>
      <c r="F44" s="30">
        <v>0.67385073626327896</v>
      </c>
    </row>
    <row r="45" spans="1:6" x14ac:dyDescent="0.2">
      <c r="A45" s="27" t="s">
        <v>202</v>
      </c>
      <c r="B45" s="27" t="s">
        <v>201</v>
      </c>
      <c r="C45" s="27" t="s">
        <v>130</v>
      </c>
      <c r="D45" s="31">
        <v>1000000</v>
      </c>
      <c r="E45" s="29">
        <v>5114.5</v>
      </c>
      <c r="F45" s="30">
        <v>0.62975726174369395</v>
      </c>
    </row>
    <row r="46" spans="1:6" x14ac:dyDescent="0.2">
      <c r="A46" s="27" t="s">
        <v>245</v>
      </c>
      <c r="B46" s="27" t="s">
        <v>244</v>
      </c>
      <c r="C46" s="27" t="s">
        <v>246</v>
      </c>
      <c r="D46" s="31">
        <v>5500000</v>
      </c>
      <c r="E46" s="29">
        <v>4785</v>
      </c>
      <c r="F46" s="30">
        <v>0.58918535486236701</v>
      </c>
    </row>
    <row r="47" spans="1:6" x14ac:dyDescent="0.2">
      <c r="A47" s="27" t="s">
        <v>269</v>
      </c>
      <c r="B47" s="27" t="s">
        <v>268</v>
      </c>
      <c r="C47" s="27" t="s">
        <v>270</v>
      </c>
      <c r="D47" s="31">
        <v>1500000</v>
      </c>
      <c r="E47" s="29">
        <v>4585.5</v>
      </c>
      <c r="F47" s="30">
        <v>0.56462057360948503</v>
      </c>
    </row>
    <row r="48" spans="1:6" x14ac:dyDescent="0.2">
      <c r="A48" s="27" t="s">
        <v>237</v>
      </c>
      <c r="B48" s="27" t="s">
        <v>236</v>
      </c>
      <c r="C48" s="27" t="s">
        <v>133</v>
      </c>
      <c r="D48" s="31">
        <v>7000000</v>
      </c>
      <c r="E48" s="29">
        <v>3888.5</v>
      </c>
      <c r="F48" s="30">
        <v>0.478797753893901</v>
      </c>
    </row>
    <row r="49" spans="1:9" x14ac:dyDescent="0.2">
      <c r="A49" s="27" t="s">
        <v>545</v>
      </c>
      <c r="B49" s="27" t="s">
        <v>544</v>
      </c>
      <c r="C49" s="27" t="s">
        <v>246</v>
      </c>
      <c r="D49" s="31">
        <v>10000000</v>
      </c>
      <c r="E49" s="29">
        <v>3140</v>
      </c>
      <c r="F49" s="30">
        <v>0.38663364979474102</v>
      </c>
    </row>
    <row r="50" spans="1:9" x14ac:dyDescent="0.2">
      <c r="A50" s="27" t="s">
        <v>547</v>
      </c>
      <c r="B50" s="27" t="s">
        <v>546</v>
      </c>
      <c r="C50" s="27" t="s">
        <v>167</v>
      </c>
      <c r="D50" s="31">
        <v>2437912</v>
      </c>
      <c r="E50" s="29">
        <v>3009.6023639999999</v>
      </c>
      <c r="F50" s="30">
        <v>0.37057756255547702</v>
      </c>
    </row>
    <row r="51" spans="1:9" x14ac:dyDescent="0.2">
      <c r="A51" s="27" t="s">
        <v>173</v>
      </c>
      <c r="B51" s="27" t="s">
        <v>172</v>
      </c>
      <c r="C51" s="27" t="s">
        <v>174</v>
      </c>
      <c r="D51" s="31">
        <v>7000000</v>
      </c>
      <c r="E51" s="29">
        <v>2572.5</v>
      </c>
      <c r="F51" s="30">
        <v>0.31675638983979898</v>
      </c>
    </row>
    <row r="52" spans="1:9" x14ac:dyDescent="0.2">
      <c r="A52" s="27" t="s">
        <v>171</v>
      </c>
      <c r="B52" s="27" t="s">
        <v>170</v>
      </c>
      <c r="C52" s="27" t="s">
        <v>100</v>
      </c>
      <c r="D52" s="31">
        <v>7000000</v>
      </c>
      <c r="E52" s="29">
        <v>2271.5</v>
      </c>
      <c r="F52" s="30">
        <v>0.27969373742317</v>
      </c>
    </row>
    <row r="53" spans="1:9" x14ac:dyDescent="0.2">
      <c r="A53" s="27" t="s">
        <v>549</v>
      </c>
      <c r="B53" s="27" t="s">
        <v>548</v>
      </c>
      <c r="C53" s="27" t="s">
        <v>108</v>
      </c>
      <c r="D53" s="31">
        <v>18000000</v>
      </c>
      <c r="E53" s="29">
        <v>1575</v>
      </c>
      <c r="F53" s="30">
        <v>0.193932483575387</v>
      </c>
    </row>
    <row r="54" spans="1:9" x14ac:dyDescent="0.2">
      <c r="A54" s="27" t="s">
        <v>176</v>
      </c>
      <c r="B54" s="27" t="s">
        <v>175</v>
      </c>
      <c r="C54" s="27" t="s">
        <v>167</v>
      </c>
      <c r="D54" s="31">
        <v>1344155</v>
      </c>
      <c r="E54" s="29">
        <v>1282.995948</v>
      </c>
      <c r="F54" s="30">
        <v>0.15797751784939601</v>
      </c>
    </row>
    <row r="55" spans="1:9" x14ac:dyDescent="0.2">
      <c r="A55" s="27" t="s">
        <v>335</v>
      </c>
      <c r="B55" s="27" t="s">
        <v>334</v>
      </c>
      <c r="C55" s="27" t="s">
        <v>103</v>
      </c>
      <c r="D55" s="31">
        <v>165473</v>
      </c>
      <c r="E55" s="29">
        <v>1079.3803789999999</v>
      </c>
      <c r="F55" s="30">
        <v>0.13290597944254801</v>
      </c>
    </row>
    <row r="56" spans="1:9" ht="10.5" x14ac:dyDescent="0.25">
      <c r="A56" s="26" t="s">
        <v>43</v>
      </c>
      <c r="B56" s="26"/>
      <c r="C56" s="26"/>
      <c r="D56" s="32"/>
      <c r="E56" s="33">
        <f>SUM(E7:E55)</f>
        <v>792818.89751399995</v>
      </c>
      <c r="F56" s="34">
        <f>SUM(F7:F55)</f>
        <v>97.621166870089212</v>
      </c>
      <c r="G56" s="18"/>
      <c r="H56" s="18"/>
      <c r="I56" s="18"/>
    </row>
    <row r="57" spans="1:9" x14ac:dyDescent="0.2">
      <c r="A57" s="27"/>
      <c r="B57" s="27"/>
      <c r="C57" s="27"/>
      <c r="D57" s="28"/>
      <c r="E57" s="29"/>
      <c r="F57" s="30"/>
    </row>
    <row r="58" spans="1:9" ht="10.5" x14ac:dyDescent="0.25">
      <c r="A58" s="26" t="s">
        <v>231</v>
      </c>
      <c r="B58" s="27"/>
      <c r="C58" s="27"/>
      <c r="D58" s="28"/>
      <c r="E58" s="29"/>
      <c r="F58" s="30"/>
    </row>
    <row r="59" spans="1:9" x14ac:dyDescent="0.2">
      <c r="A59" s="27"/>
      <c r="B59" s="27" t="s">
        <v>1565</v>
      </c>
      <c r="C59" s="27" t="s">
        <v>188</v>
      </c>
      <c r="D59" s="31">
        <v>73500</v>
      </c>
      <c r="E59" s="29">
        <v>7.3499999999999998E-3</v>
      </c>
      <c r="F59" s="30">
        <v>9.0501825668514098E-7</v>
      </c>
    </row>
    <row r="60" spans="1:9" x14ac:dyDescent="0.2">
      <c r="A60" s="27"/>
      <c r="B60" s="27" t="s">
        <v>1566</v>
      </c>
      <c r="C60" s="27" t="s">
        <v>103</v>
      </c>
      <c r="D60" s="31">
        <v>45000</v>
      </c>
      <c r="E60" s="29">
        <v>4.4999999999999997E-3</v>
      </c>
      <c r="F60" s="30">
        <v>5.5409281021539199E-7</v>
      </c>
    </row>
    <row r="61" spans="1:9" x14ac:dyDescent="0.2">
      <c r="A61" s="27" t="s">
        <v>512</v>
      </c>
      <c r="B61" s="27" t="s">
        <v>1567</v>
      </c>
      <c r="C61" s="27" t="s">
        <v>188</v>
      </c>
      <c r="D61" s="31">
        <v>38000</v>
      </c>
      <c r="E61" s="29">
        <v>3.8E-3</v>
      </c>
      <c r="F61" s="30">
        <v>4.67900595292998E-7</v>
      </c>
    </row>
    <row r="62" spans="1:9" ht="10.5" x14ac:dyDescent="0.25">
      <c r="A62" s="26" t="s">
        <v>43</v>
      </c>
      <c r="B62" s="26"/>
      <c r="C62" s="26"/>
      <c r="D62" s="32"/>
      <c r="E62" s="33">
        <f>SUM(E58:E61)</f>
        <v>1.5650000000000001E-2</v>
      </c>
      <c r="F62" s="34">
        <f>SUM(F58:F61)</f>
        <v>1.927011662193531E-6</v>
      </c>
      <c r="G62" s="18"/>
      <c r="H62" s="18"/>
      <c r="I62" s="18"/>
    </row>
    <row r="63" spans="1:9" x14ac:dyDescent="0.2">
      <c r="A63" s="27"/>
      <c r="B63" s="27"/>
      <c r="C63" s="27"/>
      <c r="D63" s="28"/>
      <c r="E63" s="29"/>
      <c r="F63" s="30"/>
    </row>
    <row r="64" spans="1:9" ht="10.5" x14ac:dyDescent="0.25">
      <c r="A64" s="26" t="s">
        <v>48</v>
      </c>
      <c r="B64" s="26"/>
      <c r="C64" s="26"/>
      <c r="D64" s="32"/>
      <c r="E64" s="33">
        <f>E56+E62</f>
        <v>792818.91316399991</v>
      </c>
      <c r="F64" s="34">
        <f>F56+F62</f>
        <v>97.621168797100879</v>
      </c>
      <c r="G64" s="18"/>
      <c r="H64" s="18"/>
      <c r="I64" s="18"/>
    </row>
    <row r="65" spans="1:9" ht="10.5" x14ac:dyDescent="0.25">
      <c r="A65" s="26"/>
      <c r="B65" s="26"/>
      <c r="C65" s="26"/>
      <c r="D65" s="32"/>
      <c r="E65" s="33"/>
      <c r="F65" s="34"/>
      <c r="G65" s="18"/>
      <c r="H65" s="18"/>
      <c r="I65" s="18"/>
    </row>
    <row r="66" spans="1:9" ht="10.5" x14ac:dyDescent="0.25">
      <c r="A66" s="26" t="s">
        <v>50</v>
      </c>
      <c r="B66" s="26"/>
      <c r="C66" s="26"/>
      <c r="D66" s="32"/>
      <c r="E66" s="33">
        <f>E68-(E56+E62)</f>
        <v>19319.39959460008</v>
      </c>
      <c r="F66" s="34">
        <f>F68-(F56+F62)</f>
        <v>2.3788312028991214</v>
      </c>
      <c r="G66" s="18"/>
      <c r="H66" s="18"/>
      <c r="I66" s="18"/>
    </row>
    <row r="67" spans="1:9" ht="10.5" x14ac:dyDescent="0.25">
      <c r="A67" s="26"/>
      <c r="B67" s="26"/>
      <c r="C67" s="26"/>
      <c r="D67" s="32"/>
      <c r="E67" s="33"/>
      <c r="F67" s="34"/>
      <c r="G67" s="18"/>
      <c r="H67" s="18"/>
      <c r="I67" s="18"/>
    </row>
    <row r="68" spans="1:9" ht="10.5" x14ac:dyDescent="0.25">
      <c r="A68" s="35" t="s">
        <v>49</v>
      </c>
      <c r="B68" s="35"/>
      <c r="C68" s="35"/>
      <c r="D68" s="36"/>
      <c r="E68" s="37">
        <v>812138.31275859999</v>
      </c>
      <c r="F68" s="38">
        <v>100</v>
      </c>
      <c r="G68" s="18"/>
      <c r="H68" s="18"/>
      <c r="I68" s="18"/>
    </row>
    <row r="69" spans="1:9" ht="10.5" x14ac:dyDescent="0.25">
      <c r="F69" s="20" t="s">
        <v>61</v>
      </c>
    </row>
    <row r="70" spans="1:9" ht="10.5" x14ac:dyDescent="0.25">
      <c r="A70" s="18" t="s">
        <v>766</v>
      </c>
    </row>
    <row r="72" spans="1:9" ht="10.5" x14ac:dyDescent="0.25">
      <c r="A72" s="18" t="s">
        <v>51</v>
      </c>
    </row>
    <row r="73" spans="1:9" ht="10.5" x14ac:dyDescent="0.25">
      <c r="A73" s="18" t="s">
        <v>52</v>
      </c>
    </row>
    <row r="74" spans="1:9" ht="10.5" x14ac:dyDescent="0.25">
      <c r="A74" s="18" t="s">
        <v>53</v>
      </c>
      <c r="B74" s="18"/>
      <c r="C74" s="39" t="s">
        <v>55</v>
      </c>
      <c r="D74" s="19" t="s">
        <v>54</v>
      </c>
    </row>
    <row r="75" spans="1:9" x14ac:dyDescent="0.2">
      <c r="A75" s="9" t="s">
        <v>71</v>
      </c>
      <c r="C75" s="40">
        <v>471.6696</v>
      </c>
      <c r="D75" s="40">
        <v>562.31119999999999</v>
      </c>
    </row>
    <row r="76" spans="1:9" x14ac:dyDescent="0.2">
      <c r="A76" s="9" t="s">
        <v>77</v>
      </c>
      <c r="C76" s="40">
        <v>26.6173</v>
      </c>
      <c r="D76" s="40">
        <v>31.731999999999999</v>
      </c>
    </row>
    <row r="77" spans="1:9" x14ac:dyDescent="0.2">
      <c r="A77" s="9" t="s">
        <v>74</v>
      </c>
      <c r="C77" s="40">
        <v>504.82749999999999</v>
      </c>
      <c r="D77" s="40">
        <v>604.09559999999999</v>
      </c>
    </row>
    <row r="78" spans="1:9" x14ac:dyDescent="0.2">
      <c r="A78" s="9" t="s">
        <v>78</v>
      </c>
      <c r="C78" s="40">
        <v>29.1691</v>
      </c>
      <c r="D78" s="40">
        <v>34.904699999999998</v>
      </c>
    </row>
    <row r="80" spans="1:9" ht="10.5" x14ac:dyDescent="0.25">
      <c r="A80" s="18" t="s">
        <v>56</v>
      </c>
      <c r="D80" s="41" t="s">
        <v>57</v>
      </c>
    </row>
    <row r="82" spans="1:4" ht="10.5" x14ac:dyDescent="0.25">
      <c r="A82" s="18" t="s">
        <v>224</v>
      </c>
      <c r="D82" s="45">
        <v>9.2340449055614601E-2</v>
      </c>
    </row>
  </sheetData>
  <mergeCells count="1">
    <mergeCell ref="A1:F1"/>
  </mergeCells>
  <conditionalFormatting sqref="F2:F3 F5:F65537">
    <cfRule type="cellIs" dxfId="1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84"/>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 style="10" bestFit="1" customWidth="1"/>
    <col min="5" max="5" width="23" style="13" bestFit="1" customWidth="1"/>
    <col min="6" max="6" width="13.54296875" style="14" bestFit="1" customWidth="1"/>
    <col min="7" max="16384" width="9.1796875" style="9"/>
  </cols>
  <sheetData>
    <row r="1" spans="1:6" s="1" customFormat="1" ht="14" x14ac:dyDescent="0.25">
      <c r="A1" s="79" t="s">
        <v>18</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102</v>
      </c>
      <c r="B7" s="27" t="s">
        <v>101</v>
      </c>
      <c r="C7" s="27" t="s">
        <v>103</v>
      </c>
      <c r="D7" s="31">
        <v>1729339</v>
      </c>
      <c r="E7" s="29">
        <v>18341.369429999999</v>
      </c>
      <c r="F7" s="30">
        <v>8.9570600706465502</v>
      </c>
    </row>
    <row r="8" spans="1:6" x14ac:dyDescent="0.2">
      <c r="A8" s="27" t="s">
        <v>105</v>
      </c>
      <c r="B8" s="27" t="s">
        <v>104</v>
      </c>
      <c r="C8" s="27" t="s">
        <v>100</v>
      </c>
      <c r="D8" s="31">
        <v>3444468</v>
      </c>
      <c r="E8" s="29">
        <v>16964.0049</v>
      </c>
      <c r="F8" s="30">
        <v>8.2844201741833796</v>
      </c>
    </row>
    <row r="9" spans="1:6" x14ac:dyDescent="0.2">
      <c r="A9" s="27" t="s">
        <v>99</v>
      </c>
      <c r="B9" s="27" t="s">
        <v>98</v>
      </c>
      <c r="C9" s="27" t="s">
        <v>100</v>
      </c>
      <c r="D9" s="31">
        <v>1188046</v>
      </c>
      <c r="E9" s="29">
        <v>14061.11843</v>
      </c>
      <c r="F9" s="30">
        <v>6.8667872875392604</v>
      </c>
    </row>
    <row r="10" spans="1:6" x14ac:dyDescent="0.2">
      <c r="A10" s="27" t="s">
        <v>112</v>
      </c>
      <c r="B10" s="27" t="s">
        <v>111</v>
      </c>
      <c r="C10" s="27" t="s">
        <v>100</v>
      </c>
      <c r="D10" s="31">
        <v>2485871</v>
      </c>
      <c r="E10" s="29">
        <v>9759.5295459999998</v>
      </c>
      <c r="F10" s="30">
        <v>4.7660940879250298</v>
      </c>
    </row>
    <row r="11" spans="1:6" x14ac:dyDescent="0.2">
      <c r="A11" s="27" t="s">
        <v>194</v>
      </c>
      <c r="B11" s="27" t="s">
        <v>193</v>
      </c>
      <c r="C11" s="27" t="s">
        <v>147</v>
      </c>
      <c r="D11" s="31">
        <v>16577483</v>
      </c>
      <c r="E11" s="29">
        <v>8645.1573850000004</v>
      </c>
      <c r="F11" s="30">
        <v>4.2218872649161101</v>
      </c>
    </row>
    <row r="12" spans="1:6" x14ac:dyDescent="0.2">
      <c r="A12" s="27" t="s">
        <v>472</v>
      </c>
      <c r="B12" s="27" t="s">
        <v>471</v>
      </c>
      <c r="C12" s="27" t="s">
        <v>402</v>
      </c>
      <c r="D12" s="31">
        <v>357232</v>
      </c>
      <c r="E12" s="29">
        <v>7571.3536240000003</v>
      </c>
      <c r="F12" s="30">
        <v>3.6974921357480901</v>
      </c>
    </row>
    <row r="13" spans="1:6" x14ac:dyDescent="0.2">
      <c r="A13" s="27" t="s">
        <v>107</v>
      </c>
      <c r="B13" s="27" t="s">
        <v>106</v>
      </c>
      <c r="C13" s="27" t="s">
        <v>108</v>
      </c>
      <c r="D13" s="31">
        <v>1583873</v>
      </c>
      <c r="E13" s="29">
        <v>6870.0491380000003</v>
      </c>
      <c r="F13" s="30">
        <v>3.3550080898926402</v>
      </c>
    </row>
    <row r="14" spans="1:6" x14ac:dyDescent="0.2">
      <c r="A14" s="27" t="s">
        <v>200</v>
      </c>
      <c r="B14" s="27" t="s">
        <v>199</v>
      </c>
      <c r="C14" s="27" t="s">
        <v>188</v>
      </c>
      <c r="D14" s="31">
        <v>1190390</v>
      </c>
      <c r="E14" s="29">
        <v>4609.7852750000002</v>
      </c>
      <c r="F14" s="30">
        <v>2.2512017861338598</v>
      </c>
    </row>
    <row r="15" spans="1:6" x14ac:dyDescent="0.2">
      <c r="A15" s="27" t="s">
        <v>140</v>
      </c>
      <c r="B15" s="27" t="s">
        <v>139</v>
      </c>
      <c r="C15" s="27" t="s">
        <v>141</v>
      </c>
      <c r="D15" s="31">
        <v>1052564</v>
      </c>
      <c r="E15" s="29">
        <v>4396.5598280000004</v>
      </c>
      <c r="F15" s="30">
        <v>2.14707253097336</v>
      </c>
    </row>
    <row r="16" spans="1:6" x14ac:dyDescent="0.2">
      <c r="A16" s="27" t="s">
        <v>245</v>
      </c>
      <c r="B16" s="27" t="s">
        <v>244</v>
      </c>
      <c r="C16" s="27" t="s">
        <v>246</v>
      </c>
      <c r="D16" s="31">
        <v>5044411</v>
      </c>
      <c r="E16" s="29">
        <v>4388.6375699999999</v>
      </c>
      <c r="F16" s="30">
        <v>2.1432036736848099</v>
      </c>
    </row>
    <row r="17" spans="1:6" x14ac:dyDescent="0.2">
      <c r="A17" s="27" t="s">
        <v>135</v>
      </c>
      <c r="B17" s="27" t="s">
        <v>134</v>
      </c>
      <c r="C17" s="27" t="s">
        <v>121</v>
      </c>
      <c r="D17" s="31">
        <v>2265841</v>
      </c>
      <c r="E17" s="29">
        <v>4377.6048119999996</v>
      </c>
      <c r="F17" s="30">
        <v>2.13781579485013</v>
      </c>
    </row>
    <row r="18" spans="1:6" x14ac:dyDescent="0.2">
      <c r="A18" s="27" t="s">
        <v>209</v>
      </c>
      <c r="B18" s="27" t="s">
        <v>208</v>
      </c>
      <c r="C18" s="27" t="s">
        <v>210</v>
      </c>
      <c r="D18" s="31">
        <v>4517530</v>
      </c>
      <c r="E18" s="29">
        <v>4309.7236199999998</v>
      </c>
      <c r="F18" s="30">
        <v>2.1046658211400699</v>
      </c>
    </row>
    <row r="19" spans="1:6" x14ac:dyDescent="0.2">
      <c r="A19" s="27" t="s">
        <v>223</v>
      </c>
      <c r="B19" s="27" t="s">
        <v>222</v>
      </c>
      <c r="C19" s="27" t="s">
        <v>100</v>
      </c>
      <c r="D19" s="31">
        <v>8330054</v>
      </c>
      <c r="E19" s="29">
        <v>4202.5122430000001</v>
      </c>
      <c r="F19" s="30">
        <v>2.05230883941574</v>
      </c>
    </row>
    <row r="20" spans="1:6" x14ac:dyDescent="0.2">
      <c r="A20" s="27" t="s">
        <v>420</v>
      </c>
      <c r="B20" s="27" t="s">
        <v>419</v>
      </c>
      <c r="C20" s="27" t="s">
        <v>100</v>
      </c>
      <c r="D20" s="31">
        <v>2836879</v>
      </c>
      <c r="E20" s="29">
        <v>4190.070283</v>
      </c>
      <c r="F20" s="30">
        <v>2.04623277276532</v>
      </c>
    </row>
    <row r="21" spans="1:6" x14ac:dyDescent="0.2">
      <c r="A21" s="27" t="s">
        <v>302</v>
      </c>
      <c r="B21" s="27" t="s">
        <v>301</v>
      </c>
      <c r="C21" s="27" t="s">
        <v>147</v>
      </c>
      <c r="D21" s="31">
        <v>708658</v>
      </c>
      <c r="E21" s="29">
        <v>3989.7445400000001</v>
      </c>
      <c r="F21" s="30">
        <v>1.9484031248431199</v>
      </c>
    </row>
    <row r="22" spans="1:6" x14ac:dyDescent="0.2">
      <c r="A22" s="27" t="s">
        <v>290</v>
      </c>
      <c r="B22" s="27" t="s">
        <v>289</v>
      </c>
      <c r="C22" s="27" t="s">
        <v>133</v>
      </c>
      <c r="D22" s="31">
        <v>4919680</v>
      </c>
      <c r="E22" s="29">
        <v>3884.08736</v>
      </c>
      <c r="F22" s="30">
        <v>1.8968051396562999</v>
      </c>
    </row>
    <row r="23" spans="1:6" x14ac:dyDescent="0.2">
      <c r="A23" s="27" t="s">
        <v>117</v>
      </c>
      <c r="B23" s="27" t="s">
        <v>116</v>
      </c>
      <c r="C23" s="27" t="s">
        <v>118</v>
      </c>
      <c r="D23" s="31">
        <v>282387</v>
      </c>
      <c r="E23" s="29">
        <v>3805.3060190000001</v>
      </c>
      <c r="F23" s="30">
        <v>1.8583320470949101</v>
      </c>
    </row>
    <row r="24" spans="1:6" x14ac:dyDescent="0.2">
      <c r="A24" s="27" t="s">
        <v>206</v>
      </c>
      <c r="B24" s="27" t="s">
        <v>205</v>
      </c>
      <c r="C24" s="27" t="s">
        <v>207</v>
      </c>
      <c r="D24" s="31">
        <v>399838</v>
      </c>
      <c r="E24" s="29">
        <v>3716.4942099999998</v>
      </c>
      <c r="F24" s="30">
        <v>1.8149605468788601</v>
      </c>
    </row>
    <row r="25" spans="1:6" x14ac:dyDescent="0.2">
      <c r="A25" s="27" t="s">
        <v>484</v>
      </c>
      <c r="B25" s="27" t="s">
        <v>483</v>
      </c>
      <c r="C25" s="27" t="s">
        <v>485</v>
      </c>
      <c r="D25" s="31">
        <v>511291</v>
      </c>
      <c r="E25" s="29">
        <v>3714.7847609999999</v>
      </c>
      <c r="F25" s="30">
        <v>1.81412573258437</v>
      </c>
    </row>
    <row r="26" spans="1:6" x14ac:dyDescent="0.2">
      <c r="A26" s="27" t="s">
        <v>551</v>
      </c>
      <c r="B26" s="27" t="s">
        <v>550</v>
      </c>
      <c r="C26" s="27" t="s">
        <v>100</v>
      </c>
      <c r="D26" s="31">
        <v>630528</v>
      </c>
      <c r="E26" s="29">
        <v>3693.0024960000001</v>
      </c>
      <c r="F26" s="30">
        <v>1.8034883013487</v>
      </c>
    </row>
    <row r="27" spans="1:6" x14ac:dyDescent="0.2">
      <c r="A27" s="27" t="s">
        <v>196</v>
      </c>
      <c r="B27" s="27" t="s">
        <v>195</v>
      </c>
      <c r="C27" s="27" t="s">
        <v>147</v>
      </c>
      <c r="D27" s="31">
        <v>18217899</v>
      </c>
      <c r="E27" s="29">
        <v>3616.2529519999998</v>
      </c>
      <c r="F27" s="30">
        <v>1.7660074426469301</v>
      </c>
    </row>
    <row r="28" spans="1:6" x14ac:dyDescent="0.2">
      <c r="A28" s="27" t="s">
        <v>132</v>
      </c>
      <c r="B28" s="27" t="s">
        <v>131</v>
      </c>
      <c r="C28" s="27" t="s">
        <v>133</v>
      </c>
      <c r="D28" s="31">
        <v>586570</v>
      </c>
      <c r="E28" s="29">
        <v>3484.2258000000002</v>
      </c>
      <c r="F28" s="30">
        <v>1.70153160642687</v>
      </c>
    </row>
    <row r="29" spans="1:6" x14ac:dyDescent="0.2">
      <c r="A29" s="27" t="s">
        <v>219</v>
      </c>
      <c r="B29" s="27" t="s">
        <v>218</v>
      </c>
      <c r="C29" s="27" t="s">
        <v>188</v>
      </c>
      <c r="D29" s="31">
        <v>974352</v>
      </c>
      <c r="E29" s="29">
        <v>3437.513856</v>
      </c>
      <c r="F29" s="30">
        <v>1.6787196953522101</v>
      </c>
    </row>
    <row r="30" spans="1:6" x14ac:dyDescent="0.2">
      <c r="A30" s="27" t="s">
        <v>217</v>
      </c>
      <c r="B30" s="27" t="s">
        <v>216</v>
      </c>
      <c r="C30" s="27" t="s">
        <v>160</v>
      </c>
      <c r="D30" s="31">
        <v>2493349</v>
      </c>
      <c r="E30" s="29">
        <v>3430.8482239999998</v>
      </c>
      <c r="F30" s="30">
        <v>1.6754645149546501</v>
      </c>
    </row>
    <row r="31" spans="1:6" x14ac:dyDescent="0.2">
      <c r="A31" s="27" t="s">
        <v>185</v>
      </c>
      <c r="B31" s="27" t="s">
        <v>184</v>
      </c>
      <c r="C31" s="27" t="s">
        <v>141</v>
      </c>
      <c r="D31" s="31">
        <v>67295</v>
      </c>
      <c r="E31" s="29">
        <v>3289.8170180000002</v>
      </c>
      <c r="F31" s="30">
        <v>1.6065915232841601</v>
      </c>
    </row>
    <row r="32" spans="1:6" x14ac:dyDescent="0.2">
      <c r="A32" s="27" t="s">
        <v>253</v>
      </c>
      <c r="B32" s="27" t="s">
        <v>252</v>
      </c>
      <c r="C32" s="27" t="s">
        <v>254</v>
      </c>
      <c r="D32" s="31">
        <v>1001059</v>
      </c>
      <c r="E32" s="29">
        <v>3226.9136870000002</v>
      </c>
      <c r="F32" s="30">
        <v>1.57587250219029</v>
      </c>
    </row>
    <row r="33" spans="1:6" x14ac:dyDescent="0.2">
      <c r="A33" s="27" t="s">
        <v>282</v>
      </c>
      <c r="B33" s="27" t="s">
        <v>281</v>
      </c>
      <c r="C33" s="27" t="s">
        <v>130</v>
      </c>
      <c r="D33" s="31">
        <v>641207</v>
      </c>
      <c r="E33" s="29">
        <v>3160.1887000000002</v>
      </c>
      <c r="F33" s="30">
        <v>1.5432871644894599</v>
      </c>
    </row>
    <row r="34" spans="1:6" x14ac:dyDescent="0.2">
      <c r="A34" s="27" t="s">
        <v>215</v>
      </c>
      <c r="B34" s="27" t="s">
        <v>214</v>
      </c>
      <c r="C34" s="27" t="s">
        <v>144</v>
      </c>
      <c r="D34" s="31">
        <v>3938381</v>
      </c>
      <c r="E34" s="29">
        <v>3132.982086</v>
      </c>
      <c r="F34" s="30">
        <v>1.53000073694942</v>
      </c>
    </row>
    <row r="35" spans="1:6" x14ac:dyDescent="0.2">
      <c r="A35" s="27" t="s">
        <v>288</v>
      </c>
      <c r="B35" s="27" t="s">
        <v>287</v>
      </c>
      <c r="C35" s="27" t="s">
        <v>213</v>
      </c>
      <c r="D35" s="31">
        <v>417110</v>
      </c>
      <c r="E35" s="29">
        <v>3082.4429</v>
      </c>
      <c r="F35" s="30">
        <v>1.50531978132878</v>
      </c>
    </row>
    <row r="36" spans="1:6" x14ac:dyDescent="0.2">
      <c r="A36" s="27" t="s">
        <v>120</v>
      </c>
      <c r="B36" s="27" t="s">
        <v>119</v>
      </c>
      <c r="C36" s="27" t="s">
        <v>121</v>
      </c>
      <c r="D36" s="31">
        <v>1232307</v>
      </c>
      <c r="E36" s="29">
        <v>2846.0130170000002</v>
      </c>
      <c r="F36" s="30">
        <v>1.3898585736687299</v>
      </c>
    </row>
    <row r="37" spans="1:6" x14ac:dyDescent="0.2">
      <c r="A37" s="27" t="s">
        <v>518</v>
      </c>
      <c r="B37" s="27" t="s">
        <v>517</v>
      </c>
      <c r="C37" s="27" t="s">
        <v>141</v>
      </c>
      <c r="D37" s="31">
        <v>311893</v>
      </c>
      <c r="E37" s="29">
        <v>2835.887103</v>
      </c>
      <c r="F37" s="30">
        <v>1.38491355468777</v>
      </c>
    </row>
    <row r="38" spans="1:6" x14ac:dyDescent="0.2">
      <c r="A38" s="27" t="s">
        <v>126</v>
      </c>
      <c r="B38" s="27" t="s">
        <v>125</v>
      </c>
      <c r="C38" s="27" t="s">
        <v>127</v>
      </c>
      <c r="D38" s="31">
        <v>373797</v>
      </c>
      <c r="E38" s="29">
        <v>2637.3247339999998</v>
      </c>
      <c r="F38" s="30">
        <v>1.2879450554876</v>
      </c>
    </row>
    <row r="39" spans="1:6" x14ac:dyDescent="0.2">
      <c r="A39" s="27" t="s">
        <v>198</v>
      </c>
      <c r="B39" s="27" t="s">
        <v>197</v>
      </c>
      <c r="C39" s="27" t="s">
        <v>103</v>
      </c>
      <c r="D39" s="31">
        <v>283932</v>
      </c>
      <c r="E39" s="29">
        <v>2309.2189560000002</v>
      </c>
      <c r="F39" s="30">
        <v>1.1277136630450499</v>
      </c>
    </row>
    <row r="40" spans="1:6" x14ac:dyDescent="0.2">
      <c r="A40" s="27" t="s">
        <v>143</v>
      </c>
      <c r="B40" s="27" t="s">
        <v>142</v>
      </c>
      <c r="C40" s="27" t="s">
        <v>144</v>
      </c>
      <c r="D40" s="31">
        <v>1225067</v>
      </c>
      <c r="E40" s="29">
        <v>2298.8382259999998</v>
      </c>
      <c r="F40" s="30">
        <v>1.1226442039437501</v>
      </c>
    </row>
    <row r="41" spans="1:6" x14ac:dyDescent="0.2">
      <c r="A41" s="27" t="s">
        <v>162</v>
      </c>
      <c r="B41" s="27" t="s">
        <v>161</v>
      </c>
      <c r="C41" s="27" t="s">
        <v>130</v>
      </c>
      <c r="D41" s="31">
        <v>247050</v>
      </c>
      <c r="E41" s="29">
        <v>2288.1770999999999</v>
      </c>
      <c r="F41" s="30">
        <v>1.1174378126561599</v>
      </c>
    </row>
    <row r="42" spans="1:6" x14ac:dyDescent="0.2">
      <c r="A42" s="27" t="s">
        <v>237</v>
      </c>
      <c r="B42" s="27" t="s">
        <v>236</v>
      </c>
      <c r="C42" s="27" t="s">
        <v>133</v>
      </c>
      <c r="D42" s="31">
        <v>3415915</v>
      </c>
      <c r="E42" s="29">
        <v>1897.5407829999999</v>
      </c>
      <c r="F42" s="30">
        <v>0.92666945315613203</v>
      </c>
    </row>
    <row r="43" spans="1:6" x14ac:dyDescent="0.2">
      <c r="A43" s="27" t="s">
        <v>123</v>
      </c>
      <c r="B43" s="27" t="s">
        <v>122</v>
      </c>
      <c r="C43" s="27" t="s">
        <v>124</v>
      </c>
      <c r="D43" s="31">
        <v>1049831</v>
      </c>
      <c r="E43" s="29">
        <v>1791.5366019999999</v>
      </c>
      <c r="F43" s="30">
        <v>0.87490200904131699</v>
      </c>
    </row>
    <row r="44" spans="1:6" x14ac:dyDescent="0.2">
      <c r="A44" s="27" t="s">
        <v>149</v>
      </c>
      <c r="B44" s="27" t="s">
        <v>148</v>
      </c>
      <c r="C44" s="27" t="s">
        <v>147</v>
      </c>
      <c r="D44" s="31">
        <v>1892345</v>
      </c>
      <c r="E44" s="29">
        <v>1657.6942200000001</v>
      </c>
      <c r="F44" s="30">
        <v>0.809539700073724</v>
      </c>
    </row>
    <row r="45" spans="1:6" x14ac:dyDescent="0.2">
      <c r="A45" s="27" t="s">
        <v>259</v>
      </c>
      <c r="B45" s="27" t="s">
        <v>258</v>
      </c>
      <c r="C45" s="27" t="s">
        <v>103</v>
      </c>
      <c r="D45" s="31">
        <v>415509</v>
      </c>
      <c r="E45" s="29">
        <v>1638.351987</v>
      </c>
      <c r="F45" s="30">
        <v>0.80009386542421002</v>
      </c>
    </row>
    <row r="46" spans="1:6" x14ac:dyDescent="0.2">
      <c r="A46" s="27" t="s">
        <v>157</v>
      </c>
      <c r="B46" s="27" t="s">
        <v>156</v>
      </c>
      <c r="C46" s="27" t="s">
        <v>130</v>
      </c>
      <c r="D46" s="31">
        <v>312320</v>
      </c>
      <c r="E46" s="29">
        <v>1607.3548800000001</v>
      </c>
      <c r="F46" s="30">
        <v>0.78495633981714497</v>
      </c>
    </row>
    <row r="47" spans="1:6" x14ac:dyDescent="0.2">
      <c r="A47" s="27" t="s">
        <v>422</v>
      </c>
      <c r="B47" s="27" t="s">
        <v>421</v>
      </c>
      <c r="C47" s="27" t="s">
        <v>210</v>
      </c>
      <c r="D47" s="31">
        <v>5150797</v>
      </c>
      <c r="E47" s="29">
        <v>1390.7151899999999</v>
      </c>
      <c r="F47" s="30">
        <v>0.67915972935018898</v>
      </c>
    </row>
    <row r="48" spans="1:6" x14ac:dyDescent="0.2">
      <c r="A48" s="27" t="s">
        <v>478</v>
      </c>
      <c r="B48" s="27" t="s">
        <v>477</v>
      </c>
      <c r="C48" s="27" t="s">
        <v>160</v>
      </c>
      <c r="D48" s="31">
        <v>90000</v>
      </c>
      <c r="E48" s="29">
        <v>1328.58</v>
      </c>
      <c r="F48" s="30">
        <v>0.64881583210439697</v>
      </c>
    </row>
    <row r="49" spans="1:9" x14ac:dyDescent="0.2">
      <c r="A49" s="27" t="s">
        <v>166</v>
      </c>
      <c r="B49" s="27" t="s">
        <v>165</v>
      </c>
      <c r="C49" s="27" t="s">
        <v>167</v>
      </c>
      <c r="D49" s="31">
        <v>805716</v>
      </c>
      <c r="E49" s="29">
        <v>1235.162628</v>
      </c>
      <c r="F49" s="30">
        <v>0.60319519206225702</v>
      </c>
    </row>
    <row r="50" spans="1:9" x14ac:dyDescent="0.2">
      <c r="A50" s="27" t="s">
        <v>269</v>
      </c>
      <c r="B50" s="27" t="s">
        <v>268</v>
      </c>
      <c r="C50" s="27" t="s">
        <v>270</v>
      </c>
      <c r="D50" s="31">
        <v>397199</v>
      </c>
      <c r="E50" s="29">
        <v>1214.237343</v>
      </c>
      <c r="F50" s="30">
        <v>0.59297626945368498</v>
      </c>
    </row>
    <row r="51" spans="1:9" x14ac:dyDescent="0.2">
      <c r="A51" s="27" t="s">
        <v>251</v>
      </c>
      <c r="B51" s="27" t="s">
        <v>250</v>
      </c>
      <c r="C51" s="27" t="s">
        <v>160</v>
      </c>
      <c r="D51" s="31">
        <v>360275</v>
      </c>
      <c r="E51" s="29">
        <v>997.78161250000005</v>
      </c>
      <c r="F51" s="30">
        <v>0.48726949613320503</v>
      </c>
    </row>
    <row r="52" spans="1:9" x14ac:dyDescent="0.2">
      <c r="A52" s="27" t="s">
        <v>292</v>
      </c>
      <c r="B52" s="27" t="s">
        <v>291</v>
      </c>
      <c r="C52" s="27" t="s">
        <v>124</v>
      </c>
      <c r="D52" s="31">
        <v>3050843</v>
      </c>
      <c r="E52" s="29">
        <v>925.93085050000002</v>
      </c>
      <c r="F52" s="30">
        <v>0.45218097159244403</v>
      </c>
    </row>
    <row r="53" spans="1:9" x14ac:dyDescent="0.2">
      <c r="A53" s="27" t="s">
        <v>212</v>
      </c>
      <c r="B53" s="27" t="s">
        <v>211</v>
      </c>
      <c r="C53" s="27" t="s">
        <v>213</v>
      </c>
      <c r="D53" s="31">
        <v>656332</v>
      </c>
      <c r="E53" s="29">
        <v>834.52613799999995</v>
      </c>
      <c r="F53" s="30">
        <v>0.407543219557225</v>
      </c>
    </row>
    <row r="54" spans="1:9" x14ac:dyDescent="0.2">
      <c r="A54" s="27" t="s">
        <v>296</v>
      </c>
      <c r="B54" s="27" t="s">
        <v>295</v>
      </c>
      <c r="C54" s="27" t="s">
        <v>118</v>
      </c>
      <c r="D54" s="31">
        <v>42129</v>
      </c>
      <c r="E54" s="29">
        <v>708.50445749999994</v>
      </c>
      <c r="F54" s="30">
        <v>0.34600017247176401</v>
      </c>
    </row>
    <row r="55" spans="1:9" x14ac:dyDescent="0.2">
      <c r="A55" s="27" t="s">
        <v>173</v>
      </c>
      <c r="B55" s="27" t="s">
        <v>172</v>
      </c>
      <c r="C55" s="27" t="s">
        <v>174</v>
      </c>
      <c r="D55" s="31">
        <v>1656994</v>
      </c>
      <c r="E55" s="29">
        <v>608.94529499999999</v>
      </c>
      <c r="F55" s="30">
        <v>0.29738017152259</v>
      </c>
    </row>
    <row r="56" spans="1:9" x14ac:dyDescent="0.2">
      <c r="A56" s="27" t="s">
        <v>503</v>
      </c>
      <c r="B56" s="27" t="s">
        <v>502</v>
      </c>
      <c r="C56" s="27" t="s">
        <v>374</v>
      </c>
      <c r="D56" s="31">
        <v>105014</v>
      </c>
      <c r="E56" s="29">
        <v>605.09066800000005</v>
      </c>
      <c r="F56" s="30">
        <v>0.29549775343376</v>
      </c>
    </row>
    <row r="57" spans="1:9" x14ac:dyDescent="0.2">
      <c r="A57" s="27" t="s">
        <v>272</v>
      </c>
      <c r="B57" s="27" t="s">
        <v>271</v>
      </c>
      <c r="C57" s="27" t="s">
        <v>188</v>
      </c>
      <c r="D57" s="31">
        <v>1113029</v>
      </c>
      <c r="E57" s="29">
        <v>520.89757199999997</v>
      </c>
      <c r="F57" s="30">
        <v>0.254381814883816</v>
      </c>
    </row>
    <row r="58" spans="1:9" x14ac:dyDescent="0.2">
      <c r="A58" s="27" t="s">
        <v>553</v>
      </c>
      <c r="B58" s="27" t="s">
        <v>552</v>
      </c>
      <c r="C58" s="27" t="s">
        <v>160</v>
      </c>
      <c r="D58" s="31">
        <v>724550</v>
      </c>
      <c r="E58" s="29">
        <v>486.535325</v>
      </c>
      <c r="F58" s="30">
        <v>0.23760091356038601</v>
      </c>
    </row>
    <row r="59" spans="1:9" x14ac:dyDescent="0.2">
      <c r="A59" s="27" t="s">
        <v>555</v>
      </c>
      <c r="B59" s="27" t="s">
        <v>554</v>
      </c>
      <c r="C59" s="27" t="s">
        <v>174</v>
      </c>
      <c r="D59" s="31">
        <v>3052521</v>
      </c>
      <c r="E59" s="29">
        <v>346.46113350000002</v>
      </c>
      <c r="F59" s="30">
        <v>0.16919528265037501</v>
      </c>
    </row>
    <row r="60" spans="1:9" x14ac:dyDescent="0.2">
      <c r="A60" s="27" t="s">
        <v>176</v>
      </c>
      <c r="B60" s="27" t="s">
        <v>175</v>
      </c>
      <c r="C60" s="27" t="s">
        <v>167</v>
      </c>
      <c r="D60" s="31">
        <v>94174</v>
      </c>
      <c r="E60" s="29">
        <v>89.889082999999999</v>
      </c>
      <c r="F60" s="30">
        <v>4.3897590046324798E-2</v>
      </c>
    </row>
    <row r="61" spans="1:9" ht="10.5" x14ac:dyDescent="0.25">
      <c r="A61" s="26" t="s">
        <v>43</v>
      </c>
      <c r="B61" s="26"/>
      <c r="C61" s="26"/>
      <c r="D61" s="32"/>
      <c r="E61" s="33">
        <f>SUM(E7:E60)</f>
        <v>200453.27559699991</v>
      </c>
      <c r="F61" s="34">
        <f>SUM(F7:F60)</f>
        <v>97.891928829667407</v>
      </c>
      <c r="G61" s="18"/>
      <c r="H61" s="18"/>
      <c r="I61" s="18"/>
    </row>
    <row r="62" spans="1:9" x14ac:dyDescent="0.2">
      <c r="A62" s="27"/>
      <c r="B62" s="27"/>
      <c r="C62" s="27"/>
      <c r="D62" s="28"/>
      <c r="E62" s="29"/>
      <c r="F62" s="30"/>
    </row>
    <row r="63" spans="1:9" ht="10.5" x14ac:dyDescent="0.25">
      <c r="A63" s="26" t="s">
        <v>48</v>
      </c>
      <c r="B63" s="26"/>
      <c r="C63" s="26"/>
      <c r="D63" s="32"/>
      <c r="E63" s="33">
        <f>E61</f>
        <v>200453.27559699991</v>
      </c>
      <c r="F63" s="34">
        <f>F61</f>
        <v>97.891928829667407</v>
      </c>
      <c r="G63" s="18"/>
      <c r="H63" s="18"/>
      <c r="I63" s="18"/>
    </row>
    <row r="64" spans="1:9" ht="10.5" x14ac:dyDescent="0.25">
      <c r="A64" s="26"/>
      <c r="B64" s="26"/>
      <c r="C64" s="26"/>
      <c r="D64" s="32"/>
      <c r="E64" s="33"/>
      <c r="F64" s="34"/>
      <c r="G64" s="18"/>
      <c r="H64" s="18"/>
      <c r="I64" s="18"/>
    </row>
    <row r="65" spans="1:9" ht="10.5" x14ac:dyDescent="0.25">
      <c r="A65" s="26" t="s">
        <v>50</v>
      </c>
      <c r="B65" s="26"/>
      <c r="C65" s="26"/>
      <c r="D65" s="32"/>
      <c r="E65" s="33">
        <f>E67-(E61)</f>
        <v>4316.6967526000808</v>
      </c>
      <c r="F65" s="34">
        <f>F67-(F61)</f>
        <v>2.1080711703325932</v>
      </c>
      <c r="G65" s="18"/>
      <c r="H65" s="18"/>
      <c r="I65" s="18"/>
    </row>
    <row r="66" spans="1:9" ht="10.5" x14ac:dyDescent="0.25">
      <c r="A66" s="26"/>
      <c r="B66" s="26"/>
      <c r="C66" s="26"/>
      <c r="D66" s="32"/>
      <c r="E66" s="33"/>
      <c r="F66" s="34"/>
      <c r="G66" s="18"/>
      <c r="H66" s="18"/>
      <c r="I66" s="18"/>
    </row>
    <row r="67" spans="1:9" ht="10.5" x14ac:dyDescent="0.25">
      <c r="A67" s="35" t="s">
        <v>49</v>
      </c>
      <c r="B67" s="35"/>
      <c r="C67" s="35"/>
      <c r="D67" s="36"/>
      <c r="E67" s="37">
        <v>204769.97234959999</v>
      </c>
      <c r="F67" s="38">
        <v>100</v>
      </c>
      <c r="G67" s="18"/>
      <c r="H67" s="18"/>
      <c r="I67" s="18"/>
    </row>
    <row r="70" spans="1:9" ht="10.5" x14ac:dyDescent="0.25">
      <c r="A70" s="18" t="s">
        <v>51</v>
      </c>
    </row>
    <row r="71" spans="1:9" ht="10.5" x14ac:dyDescent="0.25">
      <c r="A71" s="18" t="s">
        <v>52</v>
      </c>
    </row>
    <row r="72" spans="1:9" ht="10.5" x14ac:dyDescent="0.25">
      <c r="A72" s="18" t="s">
        <v>53</v>
      </c>
      <c r="B72" s="18"/>
      <c r="C72" s="39" t="s">
        <v>55</v>
      </c>
      <c r="D72" s="19" t="s">
        <v>54</v>
      </c>
    </row>
    <row r="73" spans="1:9" x14ac:dyDescent="0.2">
      <c r="A73" s="9" t="s">
        <v>71</v>
      </c>
      <c r="C73" s="40">
        <v>59.828699999999998</v>
      </c>
      <c r="D73" s="40">
        <v>72.541399999999996</v>
      </c>
    </row>
    <row r="74" spans="1:9" x14ac:dyDescent="0.2">
      <c r="A74" s="9" t="s">
        <v>77</v>
      </c>
      <c r="C74" s="40">
        <v>11.4177</v>
      </c>
      <c r="D74" s="40">
        <v>12.716699999999999</v>
      </c>
    </row>
    <row r="75" spans="1:9" x14ac:dyDescent="0.2">
      <c r="A75" s="9" t="s">
        <v>74</v>
      </c>
      <c r="C75" s="40">
        <v>63.163499999999999</v>
      </c>
      <c r="D75" s="40">
        <v>76.960300000000004</v>
      </c>
    </row>
    <row r="76" spans="1:9" x14ac:dyDescent="0.2">
      <c r="A76" s="9" t="s">
        <v>78</v>
      </c>
      <c r="C76" s="40">
        <v>12.277799999999999</v>
      </c>
      <c r="D76" s="40">
        <v>13.8284</v>
      </c>
    </row>
    <row r="78" spans="1:9" ht="10.5" x14ac:dyDescent="0.25">
      <c r="A78" s="18" t="s">
        <v>56</v>
      </c>
    </row>
    <row r="79" spans="1:9" ht="10.5" x14ac:dyDescent="0.25">
      <c r="A79" s="81" t="s">
        <v>68</v>
      </c>
      <c r="B79" s="82"/>
      <c r="C79" s="43" t="s">
        <v>69</v>
      </c>
    </row>
    <row r="80" spans="1:9" x14ac:dyDescent="0.2">
      <c r="A80" s="77" t="s">
        <v>77</v>
      </c>
      <c r="B80" s="78"/>
      <c r="C80" s="44">
        <v>1</v>
      </c>
    </row>
    <row r="81" spans="1:4" x14ac:dyDescent="0.2">
      <c r="A81" s="77" t="s">
        <v>78</v>
      </c>
      <c r="B81" s="78"/>
      <c r="C81" s="44">
        <v>1</v>
      </c>
    </row>
    <row r="82" spans="1:4" x14ac:dyDescent="0.2">
      <c r="A82" s="9" t="s">
        <v>70</v>
      </c>
    </row>
    <row r="84" spans="1:4" ht="10.5" x14ac:dyDescent="0.25">
      <c r="A84" s="18" t="s">
        <v>224</v>
      </c>
      <c r="D84" s="45">
        <v>7.2106330661584603E-2</v>
      </c>
    </row>
  </sheetData>
  <mergeCells count="4">
    <mergeCell ref="A1:F1"/>
    <mergeCell ref="A79:B79"/>
    <mergeCell ref="A80:B80"/>
    <mergeCell ref="A81:B81"/>
  </mergeCells>
  <conditionalFormatting sqref="F2:F3 F5:F65536">
    <cfRule type="cellIs" dxfId="1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1"/>
  <sheetViews>
    <sheetView workbookViewId="0">
      <selection sqref="A1:F1"/>
    </sheetView>
  </sheetViews>
  <sheetFormatPr defaultColWidth="9.1796875" defaultRowHeight="10" x14ac:dyDescent="0.2"/>
  <cols>
    <col min="1" max="1" width="38.7265625" style="9" bestFit="1" customWidth="1"/>
    <col min="2" max="2" width="24.1796875" style="9" bestFit="1" customWidth="1"/>
    <col min="3" max="3" width="18.81640625" style="9" bestFit="1" customWidth="1"/>
    <col min="4" max="4" width="15" style="10" bestFit="1" customWidth="1"/>
    <col min="5" max="5" width="23" style="13" bestFit="1" customWidth="1"/>
    <col min="6" max="6" width="13.54296875" style="14" bestFit="1" customWidth="1"/>
    <col min="7" max="16384" width="9.1796875" style="9"/>
  </cols>
  <sheetData>
    <row r="1" spans="1:6" s="1" customFormat="1" ht="14" x14ac:dyDescent="0.25">
      <c r="A1" s="79" t="s">
        <v>19</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112</v>
      </c>
      <c r="B7" s="27" t="s">
        <v>111</v>
      </c>
      <c r="C7" s="27" t="s">
        <v>100</v>
      </c>
      <c r="D7" s="31">
        <v>12300000</v>
      </c>
      <c r="E7" s="29">
        <v>48289.8</v>
      </c>
      <c r="F7" s="30">
        <v>9.7591842440500596</v>
      </c>
    </row>
    <row r="8" spans="1:6" x14ac:dyDescent="0.2">
      <c r="A8" s="27" t="s">
        <v>105</v>
      </c>
      <c r="B8" s="27" t="s">
        <v>104</v>
      </c>
      <c r="C8" s="27" t="s">
        <v>100</v>
      </c>
      <c r="D8" s="31">
        <v>9300000</v>
      </c>
      <c r="E8" s="29">
        <v>45802.5</v>
      </c>
      <c r="F8" s="30">
        <v>9.2565104087841092</v>
      </c>
    </row>
    <row r="9" spans="1:6" x14ac:dyDescent="0.2">
      <c r="A9" s="27" t="s">
        <v>151</v>
      </c>
      <c r="B9" s="27" t="s">
        <v>150</v>
      </c>
      <c r="C9" s="27" t="s">
        <v>100</v>
      </c>
      <c r="D9" s="31">
        <v>21000000</v>
      </c>
      <c r="E9" s="29">
        <v>39742.5</v>
      </c>
      <c r="F9" s="30">
        <v>8.0318075415338104</v>
      </c>
    </row>
    <row r="10" spans="1:6" x14ac:dyDescent="0.2">
      <c r="A10" s="27" t="s">
        <v>99</v>
      </c>
      <c r="B10" s="27" t="s">
        <v>98</v>
      </c>
      <c r="C10" s="27" t="s">
        <v>100</v>
      </c>
      <c r="D10" s="31">
        <v>2700000</v>
      </c>
      <c r="E10" s="29">
        <v>31955.85</v>
      </c>
      <c r="F10" s="30">
        <v>6.4581553003994001</v>
      </c>
    </row>
    <row r="11" spans="1:6" x14ac:dyDescent="0.2">
      <c r="A11" s="27" t="s">
        <v>107</v>
      </c>
      <c r="B11" s="27" t="s">
        <v>106</v>
      </c>
      <c r="C11" s="27" t="s">
        <v>108</v>
      </c>
      <c r="D11" s="31">
        <v>7200000</v>
      </c>
      <c r="E11" s="29">
        <v>31230</v>
      </c>
      <c r="F11" s="30">
        <v>6.3114637861760299</v>
      </c>
    </row>
    <row r="12" spans="1:6" x14ac:dyDescent="0.2">
      <c r="A12" s="27" t="s">
        <v>514</v>
      </c>
      <c r="B12" s="27" t="s">
        <v>513</v>
      </c>
      <c r="C12" s="27" t="s">
        <v>115</v>
      </c>
      <c r="D12" s="31">
        <v>525000</v>
      </c>
      <c r="E12" s="29">
        <v>24013.762500000001</v>
      </c>
      <c r="F12" s="30">
        <v>4.8530897338642998</v>
      </c>
    </row>
    <row r="13" spans="1:6" x14ac:dyDescent="0.2">
      <c r="A13" s="27" t="s">
        <v>516</v>
      </c>
      <c r="B13" s="27" t="s">
        <v>515</v>
      </c>
      <c r="C13" s="27" t="s">
        <v>257</v>
      </c>
      <c r="D13" s="31">
        <v>1800000</v>
      </c>
      <c r="E13" s="29">
        <v>23571</v>
      </c>
      <c r="F13" s="30">
        <v>4.76360912276514</v>
      </c>
    </row>
    <row r="14" spans="1:6" x14ac:dyDescent="0.2">
      <c r="A14" s="27" t="s">
        <v>102</v>
      </c>
      <c r="B14" s="27" t="s">
        <v>101</v>
      </c>
      <c r="C14" s="27" t="s">
        <v>103</v>
      </c>
      <c r="D14" s="31">
        <v>2200000</v>
      </c>
      <c r="E14" s="29">
        <v>23333.200000000001</v>
      </c>
      <c r="F14" s="30">
        <v>4.7155506505156097</v>
      </c>
    </row>
    <row r="15" spans="1:6" x14ac:dyDescent="0.2">
      <c r="A15" s="27" t="s">
        <v>261</v>
      </c>
      <c r="B15" s="27" t="s">
        <v>260</v>
      </c>
      <c r="C15" s="27" t="s">
        <v>115</v>
      </c>
      <c r="D15" s="31">
        <v>1400000</v>
      </c>
      <c r="E15" s="29">
        <v>23086</v>
      </c>
      <c r="F15" s="30">
        <v>4.6655924741485704</v>
      </c>
    </row>
    <row r="16" spans="1:6" x14ac:dyDescent="0.2">
      <c r="A16" s="27" t="s">
        <v>206</v>
      </c>
      <c r="B16" s="27" t="s">
        <v>205</v>
      </c>
      <c r="C16" s="27" t="s">
        <v>207</v>
      </c>
      <c r="D16" s="31">
        <v>2300000</v>
      </c>
      <c r="E16" s="29">
        <v>21378.5</v>
      </c>
      <c r="F16" s="30">
        <v>4.3205132421634396</v>
      </c>
    </row>
    <row r="17" spans="1:9" x14ac:dyDescent="0.2">
      <c r="A17" s="27" t="s">
        <v>149</v>
      </c>
      <c r="B17" s="27" t="s">
        <v>148</v>
      </c>
      <c r="C17" s="27" t="s">
        <v>147</v>
      </c>
      <c r="D17" s="31">
        <v>24000000</v>
      </c>
      <c r="E17" s="29">
        <v>21024</v>
      </c>
      <c r="F17" s="30">
        <v>4.2488701453911304</v>
      </c>
    </row>
    <row r="18" spans="1:9" x14ac:dyDescent="0.2">
      <c r="A18" s="27" t="s">
        <v>153</v>
      </c>
      <c r="B18" s="27" t="s">
        <v>152</v>
      </c>
      <c r="C18" s="27" t="s">
        <v>144</v>
      </c>
      <c r="D18" s="31">
        <v>5500000</v>
      </c>
      <c r="E18" s="29">
        <v>19494.75</v>
      </c>
      <c r="F18" s="30">
        <v>3.93981455797487</v>
      </c>
    </row>
    <row r="19" spans="1:9" x14ac:dyDescent="0.2">
      <c r="A19" s="27" t="s">
        <v>215</v>
      </c>
      <c r="B19" s="27" t="s">
        <v>214</v>
      </c>
      <c r="C19" s="27" t="s">
        <v>144</v>
      </c>
      <c r="D19" s="31">
        <v>24000000</v>
      </c>
      <c r="E19" s="29">
        <v>19092</v>
      </c>
      <c r="F19" s="30">
        <v>3.8584203203865801</v>
      </c>
    </row>
    <row r="20" spans="1:9" x14ac:dyDescent="0.2">
      <c r="A20" s="27" t="s">
        <v>518</v>
      </c>
      <c r="B20" s="27" t="s">
        <v>517</v>
      </c>
      <c r="C20" s="27" t="s">
        <v>141</v>
      </c>
      <c r="D20" s="31">
        <v>1900000</v>
      </c>
      <c r="E20" s="29">
        <v>17275.75</v>
      </c>
      <c r="F20" s="30">
        <v>3.4913631285312401</v>
      </c>
    </row>
    <row r="21" spans="1:9" x14ac:dyDescent="0.2">
      <c r="A21" s="27" t="s">
        <v>221</v>
      </c>
      <c r="B21" s="27" t="s">
        <v>220</v>
      </c>
      <c r="C21" s="27" t="s">
        <v>121</v>
      </c>
      <c r="D21" s="31">
        <v>15500000</v>
      </c>
      <c r="E21" s="29">
        <v>13136.25</v>
      </c>
      <c r="F21" s="30">
        <v>2.6547859801842799</v>
      </c>
    </row>
    <row r="22" spans="1:9" x14ac:dyDescent="0.2">
      <c r="A22" s="27" t="s">
        <v>472</v>
      </c>
      <c r="B22" s="27" t="s">
        <v>471</v>
      </c>
      <c r="C22" s="27" t="s">
        <v>402</v>
      </c>
      <c r="D22" s="31">
        <v>500000</v>
      </c>
      <c r="E22" s="29">
        <v>10597.25</v>
      </c>
      <c r="F22" s="30">
        <v>2.14166377227198</v>
      </c>
    </row>
    <row r="23" spans="1:9" x14ac:dyDescent="0.2">
      <c r="A23" s="27" t="s">
        <v>223</v>
      </c>
      <c r="B23" s="27" t="s">
        <v>222</v>
      </c>
      <c r="C23" s="27" t="s">
        <v>100</v>
      </c>
      <c r="D23" s="31">
        <v>20000000</v>
      </c>
      <c r="E23" s="29">
        <v>10090</v>
      </c>
      <c r="F23" s="30">
        <v>2.0391504835900198</v>
      </c>
    </row>
    <row r="24" spans="1:9" x14ac:dyDescent="0.2">
      <c r="A24" s="27" t="s">
        <v>557</v>
      </c>
      <c r="B24" s="27" t="s">
        <v>556</v>
      </c>
      <c r="C24" s="27" t="s">
        <v>115</v>
      </c>
      <c r="D24" s="31">
        <v>3645539</v>
      </c>
      <c r="E24" s="29">
        <v>9467.4647829999994</v>
      </c>
      <c r="F24" s="30">
        <v>1.9133384926289301</v>
      </c>
    </row>
    <row r="25" spans="1:9" x14ac:dyDescent="0.2">
      <c r="A25" s="27" t="s">
        <v>114</v>
      </c>
      <c r="B25" s="27" t="s">
        <v>113</v>
      </c>
      <c r="C25" s="27" t="s">
        <v>115</v>
      </c>
      <c r="D25" s="31">
        <v>1000000</v>
      </c>
      <c r="E25" s="29">
        <v>7783.5</v>
      </c>
      <c r="F25" s="30">
        <v>1.57301563815886</v>
      </c>
    </row>
    <row r="26" spans="1:9" x14ac:dyDescent="0.2">
      <c r="A26" s="27" t="s">
        <v>123</v>
      </c>
      <c r="B26" s="27" t="s">
        <v>122</v>
      </c>
      <c r="C26" s="27" t="s">
        <v>124</v>
      </c>
      <c r="D26" s="31">
        <v>3600000</v>
      </c>
      <c r="E26" s="29">
        <v>6143.4</v>
      </c>
      <c r="F26" s="30">
        <v>1.2415576888886899</v>
      </c>
    </row>
    <row r="27" spans="1:9" x14ac:dyDescent="0.2">
      <c r="A27" s="27" t="s">
        <v>185</v>
      </c>
      <c r="B27" s="27" t="s">
        <v>184</v>
      </c>
      <c r="C27" s="27" t="s">
        <v>141</v>
      </c>
      <c r="D27" s="31">
        <v>125000</v>
      </c>
      <c r="E27" s="29">
        <v>6110.8125</v>
      </c>
      <c r="F27" s="30">
        <v>1.23497187953448</v>
      </c>
    </row>
    <row r="28" spans="1:9" x14ac:dyDescent="0.2">
      <c r="A28" s="27" t="s">
        <v>535</v>
      </c>
      <c r="B28" s="27" t="s">
        <v>534</v>
      </c>
      <c r="C28" s="27" t="s">
        <v>130</v>
      </c>
      <c r="D28" s="31">
        <v>1200000</v>
      </c>
      <c r="E28" s="29">
        <v>6051.6</v>
      </c>
      <c r="F28" s="30">
        <v>1.2230052593154901</v>
      </c>
    </row>
    <row r="29" spans="1:9" x14ac:dyDescent="0.2">
      <c r="A29" s="27" t="s">
        <v>155</v>
      </c>
      <c r="B29" s="27" t="s">
        <v>154</v>
      </c>
      <c r="C29" s="27" t="s">
        <v>133</v>
      </c>
      <c r="D29" s="31">
        <v>200000</v>
      </c>
      <c r="E29" s="29">
        <v>5773.8</v>
      </c>
      <c r="F29" s="30">
        <v>1.16686293975739</v>
      </c>
    </row>
    <row r="30" spans="1:9" x14ac:dyDescent="0.2">
      <c r="A30" s="27" t="s">
        <v>140</v>
      </c>
      <c r="B30" s="27" t="s">
        <v>139</v>
      </c>
      <c r="C30" s="27" t="s">
        <v>141</v>
      </c>
      <c r="D30" s="31">
        <v>620727</v>
      </c>
      <c r="E30" s="29">
        <v>2592.7766790000001</v>
      </c>
      <c r="F30" s="30">
        <v>0.52399026945726102</v>
      </c>
    </row>
    <row r="31" spans="1:9" x14ac:dyDescent="0.2">
      <c r="A31" s="27" t="s">
        <v>265</v>
      </c>
      <c r="B31" s="27" t="s">
        <v>264</v>
      </c>
      <c r="C31" s="27" t="s">
        <v>118</v>
      </c>
      <c r="D31" s="31">
        <v>1500000</v>
      </c>
      <c r="E31" s="29">
        <v>2098.5</v>
      </c>
      <c r="F31" s="30">
        <v>0.42409883942652599</v>
      </c>
    </row>
    <row r="32" spans="1:9" ht="10.5" x14ac:dyDescent="0.25">
      <c r="A32" s="26" t="s">
        <v>43</v>
      </c>
      <c r="B32" s="26"/>
      <c r="C32" s="26"/>
      <c r="D32" s="32"/>
      <c r="E32" s="33">
        <f>SUM(E7:E31)</f>
        <v>469134.96646199998</v>
      </c>
      <c r="F32" s="34">
        <f>SUM(F7:F31)</f>
        <v>94.810385899898179</v>
      </c>
      <c r="G32" s="18"/>
      <c r="H32" s="18"/>
      <c r="I32" s="18"/>
    </row>
    <row r="33" spans="1:9" x14ac:dyDescent="0.2">
      <c r="A33" s="27"/>
      <c r="B33" s="27"/>
      <c r="C33" s="27"/>
      <c r="D33" s="28"/>
      <c r="E33" s="29"/>
      <c r="F33" s="30"/>
    </row>
    <row r="34" spans="1:9" ht="10.5" x14ac:dyDescent="0.25">
      <c r="A34" s="26" t="s">
        <v>48</v>
      </c>
      <c r="B34" s="26"/>
      <c r="C34" s="26"/>
      <c r="D34" s="32"/>
      <c r="E34" s="33">
        <f>E32</f>
        <v>469134.96646199998</v>
      </c>
      <c r="F34" s="34">
        <f>F32</f>
        <v>94.810385899898179</v>
      </c>
      <c r="G34" s="18"/>
      <c r="H34" s="18"/>
      <c r="I34" s="18"/>
    </row>
    <row r="35" spans="1:9" ht="10.5" x14ac:dyDescent="0.25">
      <c r="A35" s="26"/>
      <c r="B35" s="26"/>
      <c r="C35" s="26"/>
      <c r="D35" s="32"/>
      <c r="E35" s="33"/>
      <c r="F35" s="34"/>
      <c r="G35" s="18"/>
      <c r="H35" s="18"/>
      <c r="I35" s="18"/>
    </row>
    <row r="36" spans="1:9" ht="10.5" x14ac:dyDescent="0.25">
      <c r="A36" s="26" t="s">
        <v>50</v>
      </c>
      <c r="B36" s="26"/>
      <c r="C36" s="26"/>
      <c r="D36" s="32"/>
      <c r="E36" s="33">
        <f>E38-(E32)</f>
        <v>25678.931835299998</v>
      </c>
      <c r="F36" s="34">
        <f>F38-(F32)</f>
        <v>5.1896141001018208</v>
      </c>
      <c r="G36" s="18"/>
      <c r="H36" s="18"/>
      <c r="I36" s="18"/>
    </row>
    <row r="37" spans="1:9" ht="10.5" x14ac:dyDescent="0.25">
      <c r="A37" s="26"/>
      <c r="B37" s="26"/>
      <c r="C37" s="26"/>
      <c r="D37" s="32"/>
      <c r="E37" s="33"/>
      <c r="F37" s="34"/>
      <c r="G37" s="18"/>
      <c r="H37" s="18"/>
      <c r="I37" s="18"/>
    </row>
    <row r="38" spans="1:9" ht="10.5" x14ac:dyDescent="0.25">
      <c r="A38" s="35" t="s">
        <v>49</v>
      </c>
      <c r="B38" s="35"/>
      <c r="C38" s="35"/>
      <c r="D38" s="36"/>
      <c r="E38" s="37">
        <v>494813.89829729998</v>
      </c>
      <c r="F38" s="38">
        <v>100</v>
      </c>
      <c r="G38" s="18"/>
      <c r="H38" s="18"/>
      <c r="I38" s="18"/>
    </row>
    <row r="41" spans="1:9" ht="10.5" x14ac:dyDescent="0.25">
      <c r="A41" s="18" t="s">
        <v>51</v>
      </c>
    </row>
    <row r="42" spans="1:9" ht="10.5" x14ac:dyDescent="0.25">
      <c r="A42" s="18" t="s">
        <v>52</v>
      </c>
    </row>
    <row r="43" spans="1:9" ht="10.5" x14ac:dyDescent="0.25">
      <c r="A43" s="18" t="s">
        <v>53</v>
      </c>
      <c r="B43" s="18"/>
      <c r="C43" s="39" t="s">
        <v>55</v>
      </c>
      <c r="D43" s="19" t="s">
        <v>54</v>
      </c>
    </row>
    <row r="44" spans="1:9" x14ac:dyDescent="0.2">
      <c r="A44" s="9" t="s">
        <v>71</v>
      </c>
      <c r="C44" s="40">
        <v>383.20170000000002</v>
      </c>
      <c r="D44" s="40">
        <v>438.34269999999998</v>
      </c>
    </row>
    <row r="45" spans="1:9" x14ac:dyDescent="0.2">
      <c r="A45" s="9" t="s">
        <v>77</v>
      </c>
      <c r="C45" s="40">
        <v>28.225100000000001</v>
      </c>
      <c r="D45" s="40">
        <v>32.2866</v>
      </c>
    </row>
    <row r="46" spans="1:9" x14ac:dyDescent="0.2">
      <c r="A46" s="9" t="s">
        <v>74</v>
      </c>
      <c r="C46" s="40">
        <v>407.24040000000002</v>
      </c>
      <c r="D46" s="40">
        <v>467.53370000000001</v>
      </c>
    </row>
    <row r="47" spans="1:9" x14ac:dyDescent="0.2">
      <c r="A47" s="9" t="s">
        <v>78</v>
      </c>
      <c r="C47" s="40">
        <v>30.835000000000001</v>
      </c>
      <c r="D47" s="40">
        <v>35.4</v>
      </c>
    </row>
    <row r="49" spans="1:4" ht="10.5" x14ac:dyDescent="0.25">
      <c r="A49" s="18" t="s">
        <v>56</v>
      </c>
      <c r="D49" s="41" t="s">
        <v>57</v>
      </c>
    </row>
    <row r="51" spans="1:4" ht="10.5" x14ac:dyDescent="0.25">
      <c r="A51" s="18" t="s">
        <v>224</v>
      </c>
      <c r="D51" s="45">
        <v>0.15896695735782199</v>
      </c>
    </row>
  </sheetData>
  <mergeCells count="1">
    <mergeCell ref="A1:F1"/>
  </mergeCells>
  <conditionalFormatting sqref="F2:F3 F5:F65536">
    <cfRule type="cellIs" dxfId="1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57"/>
  <sheetViews>
    <sheetView workbookViewId="0">
      <selection sqref="A1:F1"/>
    </sheetView>
  </sheetViews>
  <sheetFormatPr defaultColWidth="9.1796875" defaultRowHeight="10" x14ac:dyDescent="0.2"/>
  <cols>
    <col min="1" max="1" width="38.7265625" style="9" bestFit="1" customWidth="1"/>
    <col min="2" max="2" width="24.7265625" style="9" bestFit="1" customWidth="1"/>
    <col min="3" max="3" width="18.81640625" style="9" bestFit="1" customWidth="1"/>
    <col min="4" max="4" width="15" style="10" bestFit="1" customWidth="1"/>
    <col min="5" max="5" width="23" style="13" bestFit="1" customWidth="1"/>
    <col min="6" max="6" width="13.54296875" style="14" bestFit="1" customWidth="1"/>
    <col min="7" max="16384" width="9.1796875" style="9"/>
  </cols>
  <sheetData>
    <row r="1" spans="1:6" s="1" customFormat="1" ht="14" x14ac:dyDescent="0.25">
      <c r="A1" s="79" t="s">
        <v>20</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112</v>
      </c>
      <c r="B7" s="27" t="s">
        <v>111</v>
      </c>
      <c r="C7" s="27" t="s">
        <v>100</v>
      </c>
      <c r="D7" s="31">
        <v>2000000</v>
      </c>
      <c r="E7" s="29">
        <v>7852</v>
      </c>
      <c r="F7" s="30">
        <v>9.3855118568873603</v>
      </c>
    </row>
    <row r="8" spans="1:6" x14ac:dyDescent="0.2">
      <c r="A8" s="27" t="s">
        <v>151</v>
      </c>
      <c r="B8" s="27" t="s">
        <v>150</v>
      </c>
      <c r="C8" s="27" t="s">
        <v>100</v>
      </c>
      <c r="D8" s="31">
        <v>4000000</v>
      </c>
      <c r="E8" s="29">
        <v>7570</v>
      </c>
      <c r="F8" s="30">
        <v>9.0484366730307304</v>
      </c>
    </row>
    <row r="9" spans="1:6" x14ac:dyDescent="0.2">
      <c r="A9" s="27" t="s">
        <v>105</v>
      </c>
      <c r="B9" s="27" t="s">
        <v>104</v>
      </c>
      <c r="C9" s="27" t="s">
        <v>100</v>
      </c>
      <c r="D9" s="31">
        <v>1532843</v>
      </c>
      <c r="E9" s="29">
        <v>7549.2517749999997</v>
      </c>
      <c r="F9" s="30">
        <v>9.02363627673083</v>
      </c>
    </row>
    <row r="10" spans="1:6" x14ac:dyDescent="0.2">
      <c r="A10" s="27" t="s">
        <v>107</v>
      </c>
      <c r="B10" s="27" t="s">
        <v>106</v>
      </c>
      <c r="C10" s="27" t="s">
        <v>108</v>
      </c>
      <c r="D10" s="31">
        <v>1200000</v>
      </c>
      <c r="E10" s="29">
        <v>5205</v>
      </c>
      <c r="F10" s="30">
        <v>6.2215472765026396</v>
      </c>
    </row>
    <row r="11" spans="1:6" x14ac:dyDescent="0.2">
      <c r="A11" s="27" t="s">
        <v>514</v>
      </c>
      <c r="B11" s="27" t="s">
        <v>513</v>
      </c>
      <c r="C11" s="27" t="s">
        <v>115</v>
      </c>
      <c r="D11" s="31">
        <v>100000</v>
      </c>
      <c r="E11" s="29">
        <v>4574.05</v>
      </c>
      <c r="F11" s="30">
        <v>5.4673714351751901</v>
      </c>
    </row>
    <row r="12" spans="1:6" x14ac:dyDescent="0.2">
      <c r="A12" s="27" t="s">
        <v>261</v>
      </c>
      <c r="B12" s="27" t="s">
        <v>260</v>
      </c>
      <c r="C12" s="27" t="s">
        <v>115</v>
      </c>
      <c r="D12" s="31">
        <v>275000</v>
      </c>
      <c r="E12" s="29">
        <v>4534.75</v>
      </c>
      <c r="F12" s="30">
        <v>5.4203960638079396</v>
      </c>
    </row>
    <row r="13" spans="1:6" x14ac:dyDescent="0.2">
      <c r="A13" s="27" t="s">
        <v>149</v>
      </c>
      <c r="B13" s="27" t="s">
        <v>148</v>
      </c>
      <c r="C13" s="27" t="s">
        <v>147</v>
      </c>
      <c r="D13" s="31">
        <v>5000000</v>
      </c>
      <c r="E13" s="29">
        <v>4380</v>
      </c>
      <c r="F13" s="30">
        <v>5.23542306841144</v>
      </c>
    </row>
    <row r="14" spans="1:6" x14ac:dyDescent="0.2">
      <c r="A14" s="27" t="s">
        <v>215</v>
      </c>
      <c r="B14" s="27" t="s">
        <v>214</v>
      </c>
      <c r="C14" s="27" t="s">
        <v>144</v>
      </c>
      <c r="D14" s="31">
        <v>5000000</v>
      </c>
      <c r="E14" s="29">
        <v>3977.5</v>
      </c>
      <c r="F14" s="30">
        <v>4.75431398506998</v>
      </c>
    </row>
    <row r="15" spans="1:6" x14ac:dyDescent="0.2">
      <c r="A15" s="27" t="s">
        <v>153</v>
      </c>
      <c r="B15" s="27" t="s">
        <v>152</v>
      </c>
      <c r="C15" s="27" t="s">
        <v>144</v>
      </c>
      <c r="D15" s="31">
        <v>1000000</v>
      </c>
      <c r="E15" s="29">
        <v>3544.5</v>
      </c>
      <c r="F15" s="30">
        <v>4.2367481885808997</v>
      </c>
    </row>
    <row r="16" spans="1:6" x14ac:dyDescent="0.2">
      <c r="A16" s="27" t="s">
        <v>516</v>
      </c>
      <c r="B16" s="27" t="s">
        <v>515</v>
      </c>
      <c r="C16" s="27" t="s">
        <v>257</v>
      </c>
      <c r="D16" s="31">
        <v>225000</v>
      </c>
      <c r="E16" s="29">
        <v>2946.375</v>
      </c>
      <c r="F16" s="30">
        <v>3.5218081377147898</v>
      </c>
    </row>
    <row r="17" spans="1:6" x14ac:dyDescent="0.2">
      <c r="A17" s="27" t="s">
        <v>520</v>
      </c>
      <c r="B17" s="27" t="s">
        <v>519</v>
      </c>
      <c r="C17" s="27" t="s">
        <v>160</v>
      </c>
      <c r="D17" s="31">
        <v>775000</v>
      </c>
      <c r="E17" s="29">
        <v>2645.4625000000001</v>
      </c>
      <c r="F17" s="30">
        <v>3.1621268034514598</v>
      </c>
    </row>
    <row r="18" spans="1:6" x14ac:dyDescent="0.2">
      <c r="A18" s="27" t="s">
        <v>221</v>
      </c>
      <c r="B18" s="27" t="s">
        <v>220</v>
      </c>
      <c r="C18" s="27" t="s">
        <v>121</v>
      </c>
      <c r="D18" s="31">
        <v>3000000</v>
      </c>
      <c r="E18" s="29">
        <v>2542.5</v>
      </c>
      <c r="F18" s="30">
        <v>3.0390555140264999</v>
      </c>
    </row>
    <row r="19" spans="1:6" x14ac:dyDescent="0.2">
      <c r="A19" s="27" t="s">
        <v>414</v>
      </c>
      <c r="B19" s="27" t="s">
        <v>413</v>
      </c>
      <c r="C19" s="27" t="s">
        <v>115</v>
      </c>
      <c r="D19" s="31">
        <v>825000</v>
      </c>
      <c r="E19" s="29">
        <v>2393.3249999999998</v>
      </c>
      <c r="F19" s="30">
        <v>2.86074632767256</v>
      </c>
    </row>
    <row r="20" spans="1:6" x14ac:dyDescent="0.2">
      <c r="A20" s="27" t="s">
        <v>206</v>
      </c>
      <c r="B20" s="27" t="s">
        <v>205</v>
      </c>
      <c r="C20" s="27" t="s">
        <v>207</v>
      </c>
      <c r="D20" s="31">
        <v>250000</v>
      </c>
      <c r="E20" s="29">
        <v>2323.75</v>
      </c>
      <c r="F20" s="30">
        <v>2.77758318612354</v>
      </c>
    </row>
    <row r="21" spans="1:6" x14ac:dyDescent="0.2">
      <c r="A21" s="27" t="s">
        <v>399</v>
      </c>
      <c r="B21" s="27" t="s">
        <v>398</v>
      </c>
      <c r="C21" s="27" t="s">
        <v>374</v>
      </c>
      <c r="D21" s="31">
        <v>700000</v>
      </c>
      <c r="E21" s="29">
        <v>2039.45</v>
      </c>
      <c r="F21" s="30">
        <v>2.4377588075049599</v>
      </c>
    </row>
    <row r="22" spans="1:6" x14ac:dyDescent="0.2">
      <c r="A22" s="27" t="s">
        <v>543</v>
      </c>
      <c r="B22" s="27" t="s">
        <v>542</v>
      </c>
      <c r="C22" s="27" t="s">
        <v>257</v>
      </c>
      <c r="D22" s="31">
        <v>2300000</v>
      </c>
      <c r="E22" s="29">
        <v>2036.65</v>
      </c>
      <c r="F22" s="30">
        <v>2.4344119617077999</v>
      </c>
    </row>
    <row r="23" spans="1:6" x14ac:dyDescent="0.2">
      <c r="A23" s="27" t="s">
        <v>251</v>
      </c>
      <c r="B23" s="27" t="s">
        <v>250</v>
      </c>
      <c r="C23" s="27" t="s">
        <v>160</v>
      </c>
      <c r="D23" s="31">
        <v>525000</v>
      </c>
      <c r="E23" s="29">
        <v>1453.9875</v>
      </c>
      <c r="F23" s="30">
        <v>1.7379542691054499</v>
      </c>
    </row>
    <row r="24" spans="1:6" x14ac:dyDescent="0.2">
      <c r="A24" s="27" t="s">
        <v>248</v>
      </c>
      <c r="B24" s="27" t="s">
        <v>247</v>
      </c>
      <c r="C24" s="27" t="s">
        <v>249</v>
      </c>
      <c r="D24" s="31">
        <v>2200000</v>
      </c>
      <c r="E24" s="29">
        <v>1427.8</v>
      </c>
      <c r="F24" s="30">
        <v>1.7066522961365</v>
      </c>
    </row>
    <row r="25" spans="1:6" x14ac:dyDescent="0.2">
      <c r="A25" s="27" t="s">
        <v>559</v>
      </c>
      <c r="B25" s="27" t="s">
        <v>558</v>
      </c>
      <c r="C25" s="27" t="s">
        <v>257</v>
      </c>
      <c r="D25" s="31">
        <v>1492592</v>
      </c>
      <c r="E25" s="29">
        <v>1364.9753840000001</v>
      </c>
      <c r="F25" s="30">
        <v>1.6315579025587601</v>
      </c>
    </row>
    <row r="26" spans="1:6" x14ac:dyDescent="0.2">
      <c r="A26" s="27" t="s">
        <v>528</v>
      </c>
      <c r="B26" s="27" t="s">
        <v>527</v>
      </c>
      <c r="C26" s="27" t="s">
        <v>374</v>
      </c>
      <c r="D26" s="31">
        <v>550000</v>
      </c>
      <c r="E26" s="29">
        <v>1150.325</v>
      </c>
      <c r="F26" s="30">
        <v>1.3749858541484901</v>
      </c>
    </row>
    <row r="27" spans="1:6" x14ac:dyDescent="0.2">
      <c r="A27" s="27" t="s">
        <v>553</v>
      </c>
      <c r="B27" s="27" t="s">
        <v>552</v>
      </c>
      <c r="C27" s="27" t="s">
        <v>160</v>
      </c>
      <c r="D27" s="31">
        <v>1600000</v>
      </c>
      <c r="E27" s="29">
        <v>1074.4000000000001</v>
      </c>
      <c r="F27" s="30">
        <v>1.2842325444523399</v>
      </c>
    </row>
    <row r="28" spans="1:6" x14ac:dyDescent="0.2">
      <c r="A28" s="27" t="s">
        <v>292</v>
      </c>
      <c r="B28" s="27" t="s">
        <v>291</v>
      </c>
      <c r="C28" s="27" t="s">
        <v>124</v>
      </c>
      <c r="D28" s="31">
        <v>3500000</v>
      </c>
      <c r="E28" s="29">
        <v>1062.25</v>
      </c>
      <c r="F28" s="30">
        <v>1.26970962429682</v>
      </c>
    </row>
    <row r="29" spans="1:6" x14ac:dyDescent="0.2">
      <c r="A29" s="27" t="s">
        <v>472</v>
      </c>
      <c r="B29" s="27" t="s">
        <v>471</v>
      </c>
      <c r="C29" s="27" t="s">
        <v>402</v>
      </c>
      <c r="D29" s="31">
        <v>50000</v>
      </c>
      <c r="E29" s="29">
        <v>1059.7249999999999</v>
      </c>
      <c r="F29" s="30">
        <v>1.26669148656902</v>
      </c>
    </row>
    <row r="30" spans="1:6" x14ac:dyDescent="0.2">
      <c r="A30" s="27" t="s">
        <v>526</v>
      </c>
      <c r="B30" s="27" t="s">
        <v>525</v>
      </c>
      <c r="C30" s="27" t="s">
        <v>374</v>
      </c>
      <c r="D30" s="31">
        <v>2100000</v>
      </c>
      <c r="E30" s="29">
        <v>1029</v>
      </c>
      <c r="F30" s="30">
        <v>1.2299658304555601</v>
      </c>
    </row>
    <row r="31" spans="1:6" x14ac:dyDescent="0.2">
      <c r="A31" s="27" t="s">
        <v>524</v>
      </c>
      <c r="B31" s="27" t="s">
        <v>523</v>
      </c>
      <c r="C31" s="27" t="s">
        <v>257</v>
      </c>
      <c r="D31" s="31">
        <v>2000000</v>
      </c>
      <c r="E31" s="29">
        <v>992</v>
      </c>
      <c r="F31" s="30">
        <v>1.18573965385026</v>
      </c>
    </row>
    <row r="32" spans="1:6" x14ac:dyDescent="0.2">
      <c r="A32" s="27" t="s">
        <v>561</v>
      </c>
      <c r="B32" s="27" t="s">
        <v>560</v>
      </c>
      <c r="C32" s="27" t="s">
        <v>374</v>
      </c>
      <c r="D32" s="31">
        <v>2233265</v>
      </c>
      <c r="E32" s="29">
        <v>961.42058250000002</v>
      </c>
      <c r="F32" s="30">
        <v>1.1491880128004699</v>
      </c>
    </row>
    <row r="33" spans="1:9" x14ac:dyDescent="0.2">
      <c r="A33" s="27" t="s">
        <v>256</v>
      </c>
      <c r="B33" s="27" t="s">
        <v>255</v>
      </c>
      <c r="C33" s="27" t="s">
        <v>257</v>
      </c>
      <c r="D33" s="31">
        <v>200000</v>
      </c>
      <c r="E33" s="29">
        <v>781.8</v>
      </c>
      <c r="F33" s="30">
        <v>0.93448715864932996</v>
      </c>
    </row>
    <row r="34" spans="1:9" x14ac:dyDescent="0.2">
      <c r="A34" s="27" t="s">
        <v>444</v>
      </c>
      <c r="B34" s="27" t="s">
        <v>443</v>
      </c>
      <c r="C34" s="27" t="s">
        <v>160</v>
      </c>
      <c r="D34" s="31">
        <v>250000</v>
      </c>
      <c r="E34" s="29">
        <v>768.625</v>
      </c>
      <c r="F34" s="30">
        <v>0.91873905387163102</v>
      </c>
    </row>
    <row r="35" spans="1:9" x14ac:dyDescent="0.2">
      <c r="A35" s="27" t="s">
        <v>563</v>
      </c>
      <c r="B35" s="27" t="s">
        <v>562</v>
      </c>
      <c r="C35" s="27" t="s">
        <v>188</v>
      </c>
      <c r="D35" s="31">
        <v>600000</v>
      </c>
      <c r="E35" s="29">
        <v>607.5</v>
      </c>
      <c r="F35" s="30">
        <v>0.72614600777624405</v>
      </c>
    </row>
    <row r="36" spans="1:9" x14ac:dyDescent="0.2">
      <c r="A36" s="27" t="s">
        <v>123</v>
      </c>
      <c r="B36" s="27" t="s">
        <v>122</v>
      </c>
      <c r="C36" s="27" t="s">
        <v>124</v>
      </c>
      <c r="D36" s="31">
        <v>300000</v>
      </c>
      <c r="E36" s="29">
        <v>511.95</v>
      </c>
      <c r="F36" s="30">
        <v>0.61193489494822795</v>
      </c>
    </row>
    <row r="37" spans="1:9" x14ac:dyDescent="0.2">
      <c r="A37" s="27" t="s">
        <v>565</v>
      </c>
      <c r="B37" s="27" t="s">
        <v>564</v>
      </c>
      <c r="C37" s="27" t="s">
        <v>174</v>
      </c>
      <c r="D37" s="31">
        <v>400000</v>
      </c>
      <c r="E37" s="29">
        <v>201.2</v>
      </c>
      <c r="F37" s="30">
        <v>0.24049477656720999</v>
      </c>
    </row>
    <row r="38" spans="1:9" ht="10.5" x14ac:dyDescent="0.25">
      <c r="A38" s="26" t="s">
        <v>43</v>
      </c>
      <c r="B38" s="26"/>
      <c r="C38" s="26"/>
      <c r="D38" s="32"/>
      <c r="E38" s="33">
        <f>SUM(E7:E37)</f>
        <v>80561.522741499997</v>
      </c>
      <c r="F38" s="34">
        <f>SUM(F7:F37)</f>
        <v>96.295354928584914</v>
      </c>
      <c r="G38" s="18"/>
      <c r="H38" s="18"/>
      <c r="I38" s="18"/>
    </row>
    <row r="39" spans="1:9" x14ac:dyDescent="0.2">
      <c r="A39" s="27"/>
      <c r="B39" s="27"/>
      <c r="C39" s="27"/>
      <c r="D39" s="28"/>
      <c r="E39" s="29"/>
      <c r="F39" s="30"/>
    </row>
    <row r="40" spans="1:9" ht="10.5" x14ac:dyDescent="0.25">
      <c r="A40" s="26" t="s">
        <v>48</v>
      </c>
      <c r="B40" s="26"/>
      <c r="C40" s="26"/>
      <c r="D40" s="32"/>
      <c r="E40" s="33">
        <f>E38</f>
        <v>80561.522741499997</v>
      </c>
      <c r="F40" s="34">
        <f>F38</f>
        <v>96.295354928584914</v>
      </c>
      <c r="G40" s="18"/>
      <c r="H40" s="18"/>
      <c r="I40" s="18"/>
    </row>
    <row r="41" spans="1:9" ht="10.5" x14ac:dyDescent="0.25">
      <c r="A41" s="26"/>
      <c r="B41" s="26"/>
      <c r="C41" s="26"/>
      <c r="D41" s="32"/>
      <c r="E41" s="33"/>
      <c r="F41" s="34"/>
      <c r="G41" s="18"/>
      <c r="H41" s="18"/>
      <c r="I41" s="18"/>
    </row>
    <row r="42" spans="1:9" ht="10.5" x14ac:dyDescent="0.25">
      <c r="A42" s="26" t="s">
        <v>50</v>
      </c>
      <c r="B42" s="26"/>
      <c r="C42" s="26"/>
      <c r="D42" s="32"/>
      <c r="E42" s="33">
        <f>E44-(E38)</f>
        <v>3099.3379524000047</v>
      </c>
      <c r="F42" s="34">
        <f>F44-(F38)</f>
        <v>3.7046450714150865</v>
      </c>
      <c r="G42" s="18"/>
      <c r="H42" s="18"/>
      <c r="I42" s="18"/>
    </row>
    <row r="43" spans="1:9" ht="10.5" x14ac:dyDescent="0.25">
      <c r="A43" s="26"/>
      <c r="B43" s="26"/>
      <c r="C43" s="26"/>
      <c r="D43" s="32"/>
      <c r="E43" s="33"/>
      <c r="F43" s="34"/>
      <c r="G43" s="18"/>
      <c r="H43" s="18"/>
      <c r="I43" s="18"/>
    </row>
    <row r="44" spans="1:9" ht="10.5" x14ac:dyDescent="0.25">
      <c r="A44" s="35" t="s">
        <v>49</v>
      </c>
      <c r="B44" s="35"/>
      <c r="C44" s="35"/>
      <c r="D44" s="36"/>
      <c r="E44" s="37">
        <v>83660.860693900002</v>
      </c>
      <c r="F44" s="38">
        <v>100</v>
      </c>
      <c r="G44" s="18"/>
      <c r="H44" s="18"/>
      <c r="I44" s="18"/>
    </row>
    <row r="47" spans="1:9" ht="10.5" x14ac:dyDescent="0.25">
      <c r="A47" s="18" t="s">
        <v>51</v>
      </c>
    </row>
    <row r="48" spans="1:9" ht="10.5" x14ac:dyDescent="0.25">
      <c r="A48" s="18" t="s">
        <v>52</v>
      </c>
    </row>
    <row r="49" spans="1:4" ht="10.5" x14ac:dyDescent="0.25">
      <c r="A49" s="18" t="s">
        <v>53</v>
      </c>
      <c r="B49" s="18"/>
      <c r="C49" s="39" t="s">
        <v>55</v>
      </c>
      <c r="D49" s="19" t="s">
        <v>54</v>
      </c>
    </row>
    <row r="50" spans="1:4" x14ac:dyDescent="0.2">
      <c r="A50" s="9" t="s">
        <v>71</v>
      </c>
      <c r="C50" s="40">
        <v>30.8111</v>
      </c>
      <c r="D50" s="40">
        <v>34.562600000000003</v>
      </c>
    </row>
    <row r="51" spans="1:4" x14ac:dyDescent="0.2">
      <c r="A51" s="9" t="s">
        <v>77</v>
      </c>
      <c r="C51" s="40">
        <v>14.7257</v>
      </c>
      <c r="D51" s="40">
        <v>16.518899999999999</v>
      </c>
    </row>
    <row r="52" spans="1:4" x14ac:dyDescent="0.2">
      <c r="A52" s="9" t="s">
        <v>74</v>
      </c>
      <c r="C52" s="40">
        <v>33.569600000000001</v>
      </c>
      <c r="D52" s="40">
        <v>37.8583</v>
      </c>
    </row>
    <row r="53" spans="1:4" x14ac:dyDescent="0.2">
      <c r="A53" s="9" t="s">
        <v>78</v>
      </c>
      <c r="C53" s="40">
        <v>16.568999999999999</v>
      </c>
      <c r="D53" s="40">
        <v>18.685400000000001</v>
      </c>
    </row>
    <row r="55" spans="1:4" ht="10.5" x14ac:dyDescent="0.25">
      <c r="A55" s="18" t="s">
        <v>56</v>
      </c>
      <c r="D55" s="41" t="s">
        <v>57</v>
      </c>
    </row>
    <row r="57" spans="1:4" ht="10.5" x14ac:dyDescent="0.25">
      <c r="A57" s="18" t="s">
        <v>224</v>
      </c>
      <c r="D57" s="45">
        <v>9.8072538567002002E-2</v>
      </c>
    </row>
  </sheetData>
  <mergeCells count="1">
    <mergeCell ref="A1:F1"/>
  </mergeCells>
  <conditionalFormatting sqref="F2:F3 F5:F65536">
    <cfRule type="cellIs" dxfId="1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81"/>
  <sheetViews>
    <sheetView workbookViewId="0">
      <selection sqref="A1:F1"/>
    </sheetView>
  </sheetViews>
  <sheetFormatPr defaultColWidth="9.1796875" defaultRowHeight="10" x14ac:dyDescent="0.2"/>
  <cols>
    <col min="1" max="1" width="38.7265625" style="9" bestFit="1" customWidth="1"/>
    <col min="2" max="2" width="40.26953125" style="9" bestFit="1" customWidth="1"/>
    <col min="3" max="3" width="35.7265625" style="9" bestFit="1" customWidth="1"/>
    <col min="4" max="4" width="15" style="10" bestFit="1" customWidth="1"/>
    <col min="5" max="5" width="23" style="13" bestFit="1" customWidth="1"/>
    <col min="6" max="6" width="14.7265625" style="14" bestFit="1" customWidth="1"/>
    <col min="7" max="16384" width="9.1796875" style="9"/>
  </cols>
  <sheetData>
    <row r="1" spans="1:6" s="1" customFormat="1" ht="14" x14ac:dyDescent="0.25">
      <c r="A1" s="79" t="s">
        <v>21</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99</v>
      </c>
      <c r="B7" s="27" t="s">
        <v>98</v>
      </c>
      <c r="C7" s="27" t="s">
        <v>100</v>
      </c>
      <c r="D7" s="31">
        <v>30714</v>
      </c>
      <c r="E7" s="29">
        <v>363.51554700000003</v>
      </c>
      <c r="F7" s="30">
        <v>1.83802639876282</v>
      </c>
    </row>
    <row r="8" spans="1:6" x14ac:dyDescent="0.2">
      <c r="A8" s="27" t="s">
        <v>110</v>
      </c>
      <c r="B8" s="27" t="s">
        <v>109</v>
      </c>
      <c r="C8" s="27" t="s">
        <v>100</v>
      </c>
      <c r="D8" s="31">
        <v>19534</v>
      </c>
      <c r="E8" s="29">
        <v>302.269116</v>
      </c>
      <c r="F8" s="30">
        <v>1.5283489779838799</v>
      </c>
    </row>
    <row r="9" spans="1:6" x14ac:dyDescent="0.2">
      <c r="A9" s="27" t="s">
        <v>206</v>
      </c>
      <c r="B9" s="27" t="s">
        <v>205</v>
      </c>
      <c r="C9" s="27" t="s">
        <v>207</v>
      </c>
      <c r="D9" s="31">
        <v>28139</v>
      </c>
      <c r="E9" s="29">
        <v>261.55200500000001</v>
      </c>
      <c r="F9" s="30">
        <v>1.32247298308632</v>
      </c>
    </row>
    <row r="10" spans="1:6" x14ac:dyDescent="0.2">
      <c r="A10" s="27" t="s">
        <v>209</v>
      </c>
      <c r="B10" s="27" t="s">
        <v>208</v>
      </c>
      <c r="C10" s="27" t="s">
        <v>210</v>
      </c>
      <c r="D10" s="31">
        <v>238985</v>
      </c>
      <c r="E10" s="29">
        <v>227.99169000000001</v>
      </c>
      <c r="F10" s="30">
        <v>1.1527835559631501</v>
      </c>
    </row>
    <row r="11" spans="1:6" x14ac:dyDescent="0.2">
      <c r="A11" s="27" t="s">
        <v>112</v>
      </c>
      <c r="B11" s="27" t="s">
        <v>111</v>
      </c>
      <c r="C11" s="27" t="s">
        <v>100</v>
      </c>
      <c r="D11" s="31">
        <v>53346</v>
      </c>
      <c r="E11" s="29">
        <v>209.436396</v>
      </c>
      <c r="F11" s="30">
        <v>1.0589633040089601</v>
      </c>
    </row>
    <row r="12" spans="1:6" x14ac:dyDescent="0.2">
      <c r="A12" s="27" t="s">
        <v>474</v>
      </c>
      <c r="B12" s="27" t="s">
        <v>473</v>
      </c>
      <c r="C12" s="27" t="s">
        <v>167</v>
      </c>
      <c r="D12" s="31">
        <v>31568</v>
      </c>
      <c r="E12" s="29">
        <v>208.20674399999999</v>
      </c>
      <c r="F12" s="30">
        <v>1.0527458729913799</v>
      </c>
    </row>
    <row r="13" spans="1:6" x14ac:dyDescent="0.2">
      <c r="A13" s="27" t="s">
        <v>282</v>
      </c>
      <c r="B13" s="27" t="s">
        <v>281</v>
      </c>
      <c r="C13" s="27" t="s">
        <v>130</v>
      </c>
      <c r="D13" s="31">
        <v>40909</v>
      </c>
      <c r="E13" s="29">
        <v>201.62000649999999</v>
      </c>
      <c r="F13" s="30">
        <v>1.0194416649413101</v>
      </c>
    </row>
    <row r="14" spans="1:6" x14ac:dyDescent="0.2">
      <c r="A14" s="27" t="s">
        <v>567</v>
      </c>
      <c r="B14" s="27" t="s">
        <v>566</v>
      </c>
      <c r="C14" s="27" t="s">
        <v>374</v>
      </c>
      <c r="D14" s="31">
        <v>19381</v>
      </c>
      <c r="E14" s="29">
        <v>200.48675449999999</v>
      </c>
      <c r="F14" s="30">
        <v>1.0137116566661799</v>
      </c>
    </row>
    <row r="15" spans="1:6" x14ac:dyDescent="0.2">
      <c r="A15" s="27" t="s">
        <v>569</v>
      </c>
      <c r="B15" s="27" t="s">
        <v>568</v>
      </c>
      <c r="C15" s="27" t="s">
        <v>188</v>
      </c>
      <c r="D15" s="31">
        <v>33474</v>
      </c>
      <c r="E15" s="29">
        <v>188.57577900000001</v>
      </c>
      <c r="F15" s="30">
        <v>0.95348675683811601</v>
      </c>
    </row>
    <row r="16" spans="1:6" x14ac:dyDescent="0.2">
      <c r="A16" s="27" t="s">
        <v>123</v>
      </c>
      <c r="B16" s="27" t="s">
        <v>122</v>
      </c>
      <c r="C16" s="27" t="s">
        <v>124</v>
      </c>
      <c r="D16" s="31">
        <v>84613</v>
      </c>
      <c r="E16" s="29">
        <v>144.39208450000001</v>
      </c>
      <c r="F16" s="30">
        <v>0.730082840400199</v>
      </c>
    </row>
    <row r="17" spans="1:9" x14ac:dyDescent="0.2">
      <c r="A17" s="27" t="s">
        <v>401</v>
      </c>
      <c r="B17" s="27" t="s">
        <v>400</v>
      </c>
      <c r="C17" s="27" t="s">
        <v>402</v>
      </c>
      <c r="D17" s="31">
        <v>37307</v>
      </c>
      <c r="E17" s="29">
        <v>127.5712865</v>
      </c>
      <c r="F17" s="30">
        <v>0.64503263820827805</v>
      </c>
    </row>
    <row r="18" spans="1:9" x14ac:dyDescent="0.2">
      <c r="A18" s="27" t="s">
        <v>480</v>
      </c>
      <c r="B18" s="27" t="s">
        <v>479</v>
      </c>
      <c r="C18" s="27" t="s">
        <v>374</v>
      </c>
      <c r="D18" s="31">
        <v>27999</v>
      </c>
      <c r="E18" s="29">
        <v>124.0775685</v>
      </c>
      <c r="F18" s="30">
        <v>0.62736751778405297</v>
      </c>
    </row>
    <row r="19" spans="1:9" ht="10.5" x14ac:dyDescent="0.25">
      <c r="A19" s="26" t="s">
        <v>43</v>
      </c>
      <c r="B19" s="26"/>
      <c r="C19" s="26"/>
      <c r="D19" s="32"/>
      <c r="E19" s="33">
        <f>SUM(E7:E18)</f>
        <v>2559.6949774999998</v>
      </c>
      <c r="F19" s="34">
        <f>SUM(F7:F18)</f>
        <v>12.942464167634647</v>
      </c>
      <c r="G19" s="18"/>
      <c r="H19" s="18"/>
      <c r="I19" s="18"/>
    </row>
    <row r="20" spans="1:9" x14ac:dyDescent="0.2">
      <c r="A20" s="27"/>
      <c r="B20" s="27"/>
      <c r="C20" s="27"/>
      <c r="D20" s="28"/>
      <c r="E20" s="29"/>
      <c r="F20" s="30"/>
    </row>
    <row r="21" spans="1:9" ht="10.5" x14ac:dyDescent="0.25">
      <c r="A21" s="26" t="s">
        <v>306</v>
      </c>
      <c r="B21" s="27"/>
      <c r="C21" s="27"/>
      <c r="D21" s="28"/>
      <c r="E21" s="29"/>
      <c r="F21" s="30"/>
    </row>
    <row r="22" spans="1:9" x14ac:dyDescent="0.2">
      <c r="A22" s="27" t="s">
        <v>571</v>
      </c>
      <c r="B22" s="27" t="s">
        <v>570</v>
      </c>
      <c r="C22" s="27" t="s">
        <v>103</v>
      </c>
      <c r="D22" s="31">
        <v>37300</v>
      </c>
      <c r="E22" s="29">
        <v>2118.6915610000001</v>
      </c>
      <c r="F22" s="30">
        <v>10.712639533829901</v>
      </c>
    </row>
    <row r="23" spans="1:9" x14ac:dyDescent="0.2">
      <c r="A23" s="27" t="s">
        <v>573</v>
      </c>
      <c r="B23" s="27" t="s">
        <v>572</v>
      </c>
      <c r="C23" s="27" t="s">
        <v>167</v>
      </c>
      <c r="D23" s="31">
        <v>9063</v>
      </c>
      <c r="E23" s="29">
        <v>2110.988175</v>
      </c>
      <c r="F23" s="30">
        <v>10.6736892689934</v>
      </c>
    </row>
    <row r="24" spans="1:9" x14ac:dyDescent="0.2">
      <c r="A24" s="27" t="s">
        <v>337</v>
      </c>
      <c r="B24" s="27" t="s">
        <v>336</v>
      </c>
      <c r="C24" s="27" t="s">
        <v>321</v>
      </c>
      <c r="D24" s="31">
        <v>149714</v>
      </c>
      <c r="E24" s="29">
        <v>1685.883458</v>
      </c>
      <c r="F24" s="30">
        <v>8.5242524745208605</v>
      </c>
    </row>
    <row r="25" spans="1:9" x14ac:dyDescent="0.2">
      <c r="A25" s="27" t="s">
        <v>345</v>
      </c>
      <c r="B25" s="27" t="s">
        <v>344</v>
      </c>
      <c r="C25" s="27" t="s">
        <v>321</v>
      </c>
      <c r="D25" s="31">
        <v>41915</v>
      </c>
      <c r="E25" s="29">
        <v>1559.1700499999999</v>
      </c>
      <c r="F25" s="30">
        <v>7.8835574866357803</v>
      </c>
    </row>
    <row r="26" spans="1:9" x14ac:dyDescent="0.2">
      <c r="A26" s="27" t="s">
        <v>575</v>
      </c>
      <c r="B26" s="27" t="s">
        <v>574</v>
      </c>
      <c r="C26" s="27" t="s">
        <v>167</v>
      </c>
      <c r="D26" s="31">
        <v>28600</v>
      </c>
      <c r="E26" s="29">
        <v>792.19379000000004</v>
      </c>
      <c r="F26" s="30">
        <v>4.00553184306027</v>
      </c>
    </row>
    <row r="27" spans="1:9" x14ac:dyDescent="0.2">
      <c r="A27" s="27" t="s">
        <v>577</v>
      </c>
      <c r="B27" s="27" t="s">
        <v>576</v>
      </c>
      <c r="C27" s="27" t="s">
        <v>188</v>
      </c>
      <c r="D27" s="31">
        <v>112524</v>
      </c>
      <c r="E27" s="29">
        <v>790.01767229999996</v>
      </c>
      <c r="F27" s="30">
        <v>3.99452884246669</v>
      </c>
    </row>
    <row r="28" spans="1:9" x14ac:dyDescent="0.2">
      <c r="A28" s="27" t="s">
        <v>579</v>
      </c>
      <c r="B28" s="27" t="s">
        <v>578</v>
      </c>
      <c r="C28" s="27" t="s">
        <v>188</v>
      </c>
      <c r="D28" s="31">
        <v>80310</v>
      </c>
      <c r="E28" s="29">
        <v>614.01818549999996</v>
      </c>
      <c r="F28" s="30">
        <v>3.1046309946942898</v>
      </c>
    </row>
    <row r="29" spans="1:9" x14ac:dyDescent="0.2">
      <c r="A29" s="27" t="s">
        <v>581</v>
      </c>
      <c r="B29" s="27" t="s">
        <v>580</v>
      </c>
      <c r="C29" s="27" t="s">
        <v>582</v>
      </c>
      <c r="D29" s="31">
        <v>3660</v>
      </c>
      <c r="E29" s="29">
        <v>451.5342445</v>
      </c>
      <c r="F29" s="30">
        <v>2.2830711593648201</v>
      </c>
    </row>
    <row r="30" spans="1:9" x14ac:dyDescent="0.2">
      <c r="A30" s="27" t="s">
        <v>584</v>
      </c>
      <c r="B30" s="27" t="s">
        <v>583</v>
      </c>
      <c r="C30" s="27" t="s">
        <v>130</v>
      </c>
      <c r="D30" s="31">
        <v>121000</v>
      </c>
      <c r="E30" s="29">
        <v>423.8911281</v>
      </c>
      <c r="F30" s="30">
        <v>2.1433005825446898</v>
      </c>
    </row>
    <row r="31" spans="1:9" x14ac:dyDescent="0.2">
      <c r="A31" s="27" t="s">
        <v>586</v>
      </c>
      <c r="B31" s="27" t="s">
        <v>585</v>
      </c>
      <c r="C31" s="27" t="s">
        <v>167</v>
      </c>
      <c r="D31" s="31">
        <v>37521</v>
      </c>
      <c r="E31" s="29">
        <v>372.87766240000002</v>
      </c>
      <c r="F31" s="30">
        <v>1.8853636182998601</v>
      </c>
    </row>
    <row r="32" spans="1:9" x14ac:dyDescent="0.2">
      <c r="A32" s="27" t="s">
        <v>588</v>
      </c>
      <c r="B32" s="27" t="s">
        <v>587</v>
      </c>
      <c r="C32" s="27" t="s">
        <v>174</v>
      </c>
      <c r="D32" s="31">
        <v>1900</v>
      </c>
      <c r="E32" s="29">
        <v>362.125561</v>
      </c>
      <c r="F32" s="30">
        <v>1.8309982785545</v>
      </c>
    </row>
    <row r="33" spans="1:6" x14ac:dyDescent="0.2">
      <c r="A33" s="27" t="s">
        <v>590</v>
      </c>
      <c r="B33" s="27" t="s">
        <v>589</v>
      </c>
      <c r="C33" s="27" t="s">
        <v>100</v>
      </c>
      <c r="D33" s="31">
        <v>195429</v>
      </c>
      <c r="E33" s="29">
        <v>288.28505289999998</v>
      </c>
      <c r="F33" s="30">
        <v>1.45764202376449</v>
      </c>
    </row>
    <row r="34" spans="1:6" x14ac:dyDescent="0.2">
      <c r="A34" s="27" t="s">
        <v>592</v>
      </c>
      <c r="B34" s="27" t="s">
        <v>591</v>
      </c>
      <c r="C34" s="27" t="s">
        <v>130</v>
      </c>
      <c r="D34" s="31">
        <v>1500</v>
      </c>
      <c r="E34" s="29">
        <v>279.1573368</v>
      </c>
      <c r="F34" s="30">
        <v>1.4114899862776</v>
      </c>
    </row>
    <row r="35" spans="1:6" x14ac:dyDescent="0.2">
      <c r="A35" s="27" t="s">
        <v>594</v>
      </c>
      <c r="B35" s="27" t="s">
        <v>593</v>
      </c>
      <c r="C35" s="27" t="s">
        <v>100</v>
      </c>
      <c r="D35" s="31">
        <v>67000</v>
      </c>
      <c r="E35" s="29">
        <v>259.50831210000001</v>
      </c>
      <c r="F35" s="30">
        <v>1.31213955572079</v>
      </c>
    </row>
    <row r="36" spans="1:6" x14ac:dyDescent="0.2">
      <c r="A36" s="27" t="s">
        <v>596</v>
      </c>
      <c r="B36" s="27" t="s">
        <v>595</v>
      </c>
      <c r="C36" s="27" t="s">
        <v>374</v>
      </c>
      <c r="D36" s="31">
        <v>84000</v>
      </c>
      <c r="E36" s="29">
        <v>254.71239159999999</v>
      </c>
      <c r="F36" s="30">
        <v>1.2878901706309001</v>
      </c>
    </row>
    <row r="37" spans="1:6" x14ac:dyDescent="0.2">
      <c r="A37" s="27" t="s">
        <v>598</v>
      </c>
      <c r="B37" s="27" t="s">
        <v>597</v>
      </c>
      <c r="C37" s="27" t="s">
        <v>188</v>
      </c>
      <c r="D37" s="31">
        <v>15720</v>
      </c>
      <c r="E37" s="29">
        <v>229.74361060000001</v>
      </c>
      <c r="F37" s="30">
        <v>1.16164170890299</v>
      </c>
    </row>
    <row r="38" spans="1:6" x14ac:dyDescent="0.2">
      <c r="A38" s="27" t="s">
        <v>600</v>
      </c>
      <c r="B38" s="27" t="s">
        <v>599</v>
      </c>
      <c r="C38" s="27" t="s">
        <v>115</v>
      </c>
      <c r="D38" s="31">
        <v>456800</v>
      </c>
      <c r="E38" s="29">
        <v>222.8688774</v>
      </c>
      <c r="F38" s="30">
        <v>1.1268813218704901</v>
      </c>
    </row>
    <row r="39" spans="1:6" x14ac:dyDescent="0.2">
      <c r="A39" s="27" t="s">
        <v>602</v>
      </c>
      <c r="B39" s="27" t="s">
        <v>601</v>
      </c>
      <c r="C39" s="27" t="s">
        <v>402</v>
      </c>
      <c r="D39" s="31">
        <v>112000</v>
      </c>
      <c r="E39" s="29">
        <v>217.9789088</v>
      </c>
      <c r="F39" s="30">
        <v>1.1021564058384401</v>
      </c>
    </row>
    <row r="40" spans="1:6" x14ac:dyDescent="0.2">
      <c r="A40" s="27" t="s">
        <v>604</v>
      </c>
      <c r="B40" s="27" t="s">
        <v>603</v>
      </c>
      <c r="C40" s="27" t="s">
        <v>130</v>
      </c>
      <c r="D40" s="31">
        <v>99100</v>
      </c>
      <c r="E40" s="29">
        <v>217.1600463</v>
      </c>
      <c r="F40" s="30">
        <v>1.0980160302633699</v>
      </c>
    </row>
    <row r="41" spans="1:6" x14ac:dyDescent="0.2">
      <c r="A41" s="27" t="s">
        <v>606</v>
      </c>
      <c r="B41" s="27" t="s">
        <v>605</v>
      </c>
      <c r="C41" s="27" t="s">
        <v>103</v>
      </c>
      <c r="D41" s="31">
        <v>6400</v>
      </c>
      <c r="E41" s="29">
        <v>193.88205170000001</v>
      </c>
      <c r="F41" s="30">
        <v>0.98031661152280303</v>
      </c>
    </row>
    <row r="42" spans="1:6" x14ac:dyDescent="0.2">
      <c r="A42" s="27" t="s">
        <v>608</v>
      </c>
      <c r="B42" s="27" t="s">
        <v>607</v>
      </c>
      <c r="C42" s="27" t="s">
        <v>127</v>
      </c>
      <c r="D42" s="31">
        <v>22100</v>
      </c>
      <c r="E42" s="29">
        <v>191.77790210000001</v>
      </c>
      <c r="F42" s="30">
        <v>0.96967749981585305</v>
      </c>
    </row>
    <row r="43" spans="1:6" x14ac:dyDescent="0.2">
      <c r="A43" s="27" t="s">
        <v>610</v>
      </c>
      <c r="B43" s="27" t="s">
        <v>609</v>
      </c>
      <c r="C43" s="27" t="s">
        <v>130</v>
      </c>
      <c r="D43" s="31">
        <v>4600</v>
      </c>
      <c r="E43" s="29">
        <v>185.8650648</v>
      </c>
      <c r="F43" s="30">
        <v>0.93978070134690195</v>
      </c>
    </row>
    <row r="44" spans="1:6" x14ac:dyDescent="0.2">
      <c r="A44" s="27" t="s">
        <v>612</v>
      </c>
      <c r="B44" s="27" t="s">
        <v>611</v>
      </c>
      <c r="C44" s="27" t="s">
        <v>103</v>
      </c>
      <c r="D44" s="31">
        <v>1400</v>
      </c>
      <c r="E44" s="29">
        <v>174.25166540000001</v>
      </c>
      <c r="F44" s="30">
        <v>0.881060421422873</v>
      </c>
    </row>
    <row r="45" spans="1:6" x14ac:dyDescent="0.2">
      <c r="A45" s="27" t="s">
        <v>614</v>
      </c>
      <c r="B45" s="27" t="s">
        <v>613</v>
      </c>
      <c r="C45" s="27" t="s">
        <v>115</v>
      </c>
      <c r="D45" s="31">
        <v>176000</v>
      </c>
      <c r="E45" s="29">
        <v>171.1845653</v>
      </c>
      <c r="F45" s="30">
        <v>0.86555238882847096</v>
      </c>
    </row>
    <row r="46" spans="1:6" x14ac:dyDescent="0.2">
      <c r="A46" s="27" t="s">
        <v>616</v>
      </c>
      <c r="B46" s="27" t="s">
        <v>615</v>
      </c>
      <c r="C46" s="27" t="s">
        <v>389</v>
      </c>
      <c r="D46" s="31">
        <v>36000</v>
      </c>
      <c r="E46" s="29">
        <v>168.32815740000001</v>
      </c>
      <c r="F46" s="30">
        <v>0.85110966920021003</v>
      </c>
    </row>
    <row r="47" spans="1:6" x14ac:dyDescent="0.2">
      <c r="A47" s="27" t="s">
        <v>618</v>
      </c>
      <c r="B47" s="27" t="s">
        <v>617</v>
      </c>
      <c r="C47" s="27" t="s">
        <v>257</v>
      </c>
      <c r="D47" s="31">
        <v>7538</v>
      </c>
      <c r="E47" s="29">
        <v>165.54523760000001</v>
      </c>
      <c r="F47" s="30">
        <v>0.83703852396239797</v>
      </c>
    </row>
    <row r="48" spans="1:6" x14ac:dyDescent="0.2">
      <c r="A48" s="27" t="s">
        <v>620</v>
      </c>
      <c r="B48" s="27" t="s">
        <v>619</v>
      </c>
      <c r="C48" s="27" t="s">
        <v>115</v>
      </c>
      <c r="D48" s="31">
        <v>262100</v>
      </c>
      <c r="E48" s="29">
        <v>163.26776079999999</v>
      </c>
      <c r="F48" s="30">
        <v>0.82552302616452899</v>
      </c>
    </row>
    <row r="49" spans="1:9" x14ac:dyDescent="0.2">
      <c r="A49" s="27" t="s">
        <v>622</v>
      </c>
      <c r="B49" s="27" t="s">
        <v>621</v>
      </c>
      <c r="C49" s="27" t="s">
        <v>249</v>
      </c>
      <c r="D49" s="31">
        <v>238000</v>
      </c>
      <c r="E49" s="29">
        <v>161.0352828</v>
      </c>
      <c r="F49" s="30">
        <v>0.81423505366233095</v>
      </c>
    </row>
    <row r="50" spans="1:9" x14ac:dyDescent="0.2">
      <c r="A50" s="27" t="s">
        <v>624</v>
      </c>
      <c r="B50" s="27" t="s">
        <v>623</v>
      </c>
      <c r="C50" s="27" t="s">
        <v>167</v>
      </c>
      <c r="D50" s="31">
        <v>1925400</v>
      </c>
      <c r="E50" s="29">
        <v>153.5394063</v>
      </c>
      <c r="F50" s="30">
        <v>0.776334009257026</v>
      </c>
    </row>
    <row r="51" spans="1:9" x14ac:dyDescent="0.2">
      <c r="A51" s="27" t="s">
        <v>626</v>
      </c>
      <c r="B51" s="27" t="s">
        <v>625</v>
      </c>
      <c r="C51" s="27" t="s">
        <v>115</v>
      </c>
      <c r="D51" s="31">
        <v>17512</v>
      </c>
      <c r="E51" s="29">
        <v>141.55830839999999</v>
      </c>
      <c r="F51" s="30">
        <v>0.71575455286760803</v>
      </c>
    </row>
    <row r="52" spans="1:9" x14ac:dyDescent="0.2">
      <c r="A52" s="27" t="s">
        <v>350</v>
      </c>
      <c r="B52" s="27" t="s">
        <v>349</v>
      </c>
      <c r="C52" s="27" t="s">
        <v>321</v>
      </c>
      <c r="D52" s="31">
        <v>8000</v>
      </c>
      <c r="E52" s="29">
        <v>141.3842621</v>
      </c>
      <c r="F52" s="30">
        <v>0.71487453082550501</v>
      </c>
    </row>
    <row r="53" spans="1:9" x14ac:dyDescent="0.2">
      <c r="A53" s="27" t="s">
        <v>628</v>
      </c>
      <c r="B53" s="27" t="s">
        <v>627</v>
      </c>
      <c r="C53" s="27" t="s">
        <v>629</v>
      </c>
      <c r="D53" s="31">
        <v>33750</v>
      </c>
      <c r="E53" s="29">
        <v>139.42237560000001</v>
      </c>
      <c r="F53" s="30">
        <v>0.704954737275723</v>
      </c>
    </row>
    <row r="54" spans="1:9" x14ac:dyDescent="0.2">
      <c r="A54" s="27" t="s">
        <v>631</v>
      </c>
      <c r="B54" s="27" t="s">
        <v>630</v>
      </c>
      <c r="C54" s="27" t="s">
        <v>321</v>
      </c>
      <c r="D54" s="31">
        <v>2568</v>
      </c>
      <c r="E54" s="29">
        <v>134.8495125</v>
      </c>
      <c r="F54" s="30">
        <v>0.68183318672556603</v>
      </c>
    </row>
    <row r="55" spans="1:9" x14ac:dyDescent="0.2">
      <c r="A55" s="27" t="s">
        <v>341</v>
      </c>
      <c r="B55" s="27" t="s">
        <v>340</v>
      </c>
      <c r="C55" s="27" t="s">
        <v>103</v>
      </c>
      <c r="D55" s="31">
        <v>6900</v>
      </c>
      <c r="E55" s="29">
        <v>95.2806985</v>
      </c>
      <c r="F55" s="30">
        <v>0.48176327142223002</v>
      </c>
    </row>
    <row r="56" spans="1:9" x14ac:dyDescent="0.2">
      <c r="A56" s="27" t="s">
        <v>633</v>
      </c>
      <c r="B56" s="27" t="s">
        <v>632</v>
      </c>
      <c r="C56" s="27" t="s">
        <v>210</v>
      </c>
      <c r="D56" s="31">
        <v>217546</v>
      </c>
      <c r="E56" s="29">
        <v>86.886137000000005</v>
      </c>
      <c r="F56" s="30">
        <v>0.43931824872547498</v>
      </c>
    </row>
    <row r="57" spans="1:9" x14ac:dyDescent="0.2">
      <c r="A57" s="27" t="s">
        <v>635</v>
      </c>
      <c r="B57" s="27" t="s">
        <v>634</v>
      </c>
      <c r="C57" s="27" t="s">
        <v>127</v>
      </c>
      <c r="D57" s="31">
        <v>1000</v>
      </c>
      <c r="E57" s="29">
        <v>78.850920500000001</v>
      </c>
      <c r="F57" s="30">
        <v>0.39869016508872601</v>
      </c>
    </row>
    <row r="58" spans="1:9" x14ac:dyDescent="0.2">
      <c r="A58" s="27" t="s">
        <v>637</v>
      </c>
      <c r="B58" s="27" t="s">
        <v>636</v>
      </c>
      <c r="C58" s="27" t="s">
        <v>130</v>
      </c>
      <c r="D58" s="31">
        <v>101700</v>
      </c>
      <c r="E58" s="29">
        <v>76.240718400000006</v>
      </c>
      <c r="F58" s="30">
        <v>0.38549232415592499</v>
      </c>
    </row>
    <row r="59" spans="1:9" x14ac:dyDescent="0.2">
      <c r="A59" s="27" t="s">
        <v>639</v>
      </c>
      <c r="B59" s="27" t="s">
        <v>638</v>
      </c>
      <c r="C59" s="27" t="s">
        <v>130</v>
      </c>
      <c r="D59" s="31">
        <v>16000</v>
      </c>
      <c r="E59" s="29">
        <v>47.363318499999998</v>
      </c>
      <c r="F59" s="30">
        <v>0.23948089828469299</v>
      </c>
    </row>
    <row r="60" spans="1:9" x14ac:dyDescent="0.2">
      <c r="A60" s="27" t="s">
        <v>641</v>
      </c>
      <c r="B60" s="27" t="s">
        <v>640</v>
      </c>
      <c r="C60" s="27" t="s">
        <v>210</v>
      </c>
      <c r="D60" s="31">
        <v>9888</v>
      </c>
      <c r="E60" s="29">
        <v>1.4661656999999999</v>
      </c>
      <c r="F60" s="29">
        <v>7.4133040080417E-3</v>
      </c>
    </row>
    <row r="61" spans="1:9" x14ac:dyDescent="0.2">
      <c r="A61" s="27" t="s">
        <v>643</v>
      </c>
      <c r="B61" s="27" t="s">
        <v>642</v>
      </c>
      <c r="C61" s="27" t="s">
        <v>210</v>
      </c>
      <c r="D61" s="31">
        <v>9695</v>
      </c>
      <c r="E61" s="29">
        <v>5.5647000000000002E-2</v>
      </c>
      <c r="F61" s="30">
        <v>2.8136528370258302E-4</v>
      </c>
    </row>
    <row r="62" spans="1:9" ht="10.5" x14ac:dyDescent="0.25">
      <c r="A62" s="26" t="s">
        <v>43</v>
      </c>
      <c r="B62" s="26"/>
      <c r="C62" s="26"/>
      <c r="D62" s="32"/>
      <c r="E62" s="33">
        <f>SUM(E21:E61)</f>
        <v>15922.841182700002</v>
      </c>
      <c r="F62" s="34">
        <f>SUM(F21:F61)</f>
        <v>80.509905776080757</v>
      </c>
      <c r="G62" s="18"/>
      <c r="H62" s="18"/>
      <c r="I62" s="18"/>
    </row>
    <row r="63" spans="1:9" x14ac:dyDescent="0.2">
      <c r="A63" s="27"/>
      <c r="B63" s="27"/>
      <c r="C63" s="27"/>
      <c r="D63" s="28"/>
      <c r="E63" s="29"/>
      <c r="F63" s="30"/>
    </row>
    <row r="64" spans="1:9" ht="10.5" x14ac:dyDescent="0.25">
      <c r="A64" s="26" t="s">
        <v>48</v>
      </c>
      <c r="B64" s="26"/>
      <c r="C64" s="26"/>
      <c r="D64" s="32"/>
      <c r="E64" s="33">
        <f>E19+E62</f>
        <v>18482.536160200001</v>
      </c>
      <c r="F64" s="34">
        <f>F19+F62</f>
        <v>93.452369943715411</v>
      </c>
      <c r="G64" s="18"/>
      <c r="H64" s="18"/>
      <c r="I64" s="18"/>
    </row>
    <row r="65" spans="1:9" ht="10.5" x14ac:dyDescent="0.25">
      <c r="A65" s="26"/>
      <c r="B65" s="26"/>
      <c r="C65" s="26"/>
      <c r="D65" s="32"/>
      <c r="E65" s="33"/>
      <c r="F65" s="34"/>
      <c r="G65" s="18"/>
      <c r="H65" s="18"/>
      <c r="I65" s="18"/>
    </row>
    <row r="66" spans="1:9" ht="10.5" x14ac:dyDescent="0.25">
      <c r="A66" s="26" t="s">
        <v>50</v>
      </c>
      <c r="B66" s="26"/>
      <c r="C66" s="26"/>
      <c r="D66" s="32"/>
      <c r="E66" s="33">
        <f>E68-(E19+E62)</f>
        <v>1294.9570925999978</v>
      </c>
      <c r="F66" s="34">
        <f>F68-(F19+F62)</f>
        <v>6.5476300562845893</v>
      </c>
      <c r="G66" s="18"/>
      <c r="H66" s="18"/>
      <c r="I66" s="18"/>
    </row>
    <row r="67" spans="1:9" ht="10.5" x14ac:dyDescent="0.25">
      <c r="A67" s="26"/>
      <c r="B67" s="26"/>
      <c r="C67" s="26"/>
      <c r="D67" s="32"/>
      <c r="E67" s="33"/>
      <c r="F67" s="34"/>
      <c r="G67" s="18"/>
      <c r="H67" s="18"/>
      <c r="I67" s="18"/>
    </row>
    <row r="68" spans="1:9" ht="10.5" x14ac:dyDescent="0.25">
      <c r="A68" s="35" t="s">
        <v>49</v>
      </c>
      <c r="B68" s="35"/>
      <c r="C68" s="35"/>
      <c r="D68" s="36"/>
      <c r="E68" s="37">
        <v>19777.493252799999</v>
      </c>
      <c r="F68" s="38">
        <v>100</v>
      </c>
      <c r="G68" s="18"/>
      <c r="H68" s="18"/>
      <c r="I68" s="18"/>
    </row>
    <row r="69" spans="1:9" ht="10.5" x14ac:dyDescent="0.25">
      <c r="F69" s="20" t="s">
        <v>61</v>
      </c>
    </row>
    <row r="71" spans="1:9" ht="10.5" x14ac:dyDescent="0.25">
      <c r="A71" s="18" t="s">
        <v>51</v>
      </c>
    </row>
    <row r="72" spans="1:9" ht="10.5" x14ac:dyDescent="0.25">
      <c r="A72" s="18" t="s">
        <v>52</v>
      </c>
    </row>
    <row r="73" spans="1:9" ht="10.5" x14ac:dyDescent="0.25">
      <c r="A73" s="18" t="s">
        <v>53</v>
      </c>
      <c r="B73" s="18"/>
      <c r="C73" s="39" t="s">
        <v>55</v>
      </c>
      <c r="D73" s="19" t="s">
        <v>54</v>
      </c>
    </row>
    <row r="74" spans="1:9" x14ac:dyDescent="0.2">
      <c r="A74" s="9" t="s">
        <v>71</v>
      </c>
      <c r="C74" s="40">
        <v>22.394400000000001</v>
      </c>
      <c r="D74" s="40">
        <v>27.822199999999999</v>
      </c>
    </row>
    <row r="75" spans="1:9" x14ac:dyDescent="0.2">
      <c r="A75" s="9" t="s">
        <v>77</v>
      </c>
      <c r="C75" s="40">
        <v>12.3323</v>
      </c>
      <c r="D75" s="40">
        <v>15.321400000000001</v>
      </c>
    </row>
    <row r="76" spans="1:9" x14ac:dyDescent="0.2">
      <c r="A76" s="9" t="s">
        <v>74</v>
      </c>
      <c r="C76" s="40">
        <v>23.456</v>
      </c>
      <c r="D76" s="40">
        <v>29.225200000000001</v>
      </c>
    </row>
    <row r="77" spans="1:9" x14ac:dyDescent="0.2">
      <c r="A77" s="9" t="s">
        <v>78</v>
      </c>
      <c r="C77" s="40">
        <v>13.014699999999999</v>
      </c>
      <c r="D77" s="40">
        <v>16.213000000000001</v>
      </c>
    </row>
    <row r="79" spans="1:9" ht="10.5" x14ac:dyDescent="0.25">
      <c r="A79" s="18" t="s">
        <v>56</v>
      </c>
      <c r="D79" s="41" t="s">
        <v>57</v>
      </c>
    </row>
    <row r="81" spans="1:4" ht="10.5" x14ac:dyDescent="0.25">
      <c r="A81" s="18" t="s">
        <v>224</v>
      </c>
      <c r="D81" s="45">
        <v>0.13934091607984</v>
      </c>
    </row>
  </sheetData>
  <mergeCells count="1">
    <mergeCell ref="A1:F1"/>
  </mergeCells>
  <conditionalFormatting sqref="F2:F3 F5:F59 F61:F65536">
    <cfRule type="cellIs" dxfId="1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7"/>
  <sheetViews>
    <sheetView workbookViewId="0">
      <selection sqref="A1:F1"/>
    </sheetView>
  </sheetViews>
  <sheetFormatPr defaultColWidth="9.1796875" defaultRowHeight="10" x14ac:dyDescent="0.2"/>
  <cols>
    <col min="1" max="1" width="38.7265625" style="9" bestFit="1" customWidth="1"/>
    <col min="2" max="2" width="33.453125" style="9" bestFit="1" customWidth="1"/>
    <col min="3" max="3" width="18.81640625" style="9" bestFit="1" customWidth="1"/>
    <col min="4" max="4" width="15" style="10" bestFit="1" customWidth="1"/>
    <col min="5" max="5" width="23" style="13" bestFit="1" customWidth="1"/>
    <col min="6" max="6" width="14.7265625" style="14" bestFit="1" customWidth="1"/>
    <col min="7" max="16384" width="9.1796875" style="9"/>
  </cols>
  <sheetData>
    <row r="1" spans="1:6" s="1" customFormat="1" ht="14" x14ac:dyDescent="0.25">
      <c r="A1" s="79" t="s">
        <v>22</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645</v>
      </c>
      <c r="B7" s="27" t="s">
        <v>644</v>
      </c>
      <c r="C7" s="27" t="s">
        <v>144</v>
      </c>
      <c r="D7" s="31">
        <v>208315</v>
      </c>
      <c r="E7" s="29">
        <v>4279.8316750000004</v>
      </c>
      <c r="F7" s="30">
        <v>13.059198945771501</v>
      </c>
    </row>
    <row r="8" spans="1:6" x14ac:dyDescent="0.2">
      <c r="A8" s="27" t="s">
        <v>99</v>
      </c>
      <c r="B8" s="27" t="s">
        <v>98</v>
      </c>
      <c r="C8" s="27" t="s">
        <v>100</v>
      </c>
      <c r="D8" s="31">
        <v>284952</v>
      </c>
      <c r="E8" s="29">
        <v>3372.5493959999999</v>
      </c>
      <c r="F8" s="30">
        <v>10.2907770354789</v>
      </c>
    </row>
    <row r="9" spans="1:6" x14ac:dyDescent="0.2">
      <c r="A9" s="27" t="s">
        <v>102</v>
      </c>
      <c r="B9" s="27" t="s">
        <v>101</v>
      </c>
      <c r="C9" s="27" t="s">
        <v>103</v>
      </c>
      <c r="D9" s="31">
        <v>238302</v>
      </c>
      <c r="E9" s="29">
        <v>2527.431012</v>
      </c>
      <c r="F9" s="30">
        <v>7.7120379757506399</v>
      </c>
    </row>
    <row r="10" spans="1:6" x14ac:dyDescent="0.2">
      <c r="A10" s="27" t="s">
        <v>187</v>
      </c>
      <c r="B10" s="27" t="s">
        <v>186</v>
      </c>
      <c r="C10" s="27" t="s">
        <v>188</v>
      </c>
      <c r="D10" s="31">
        <v>116135</v>
      </c>
      <c r="E10" s="29">
        <v>2233.9147929999999</v>
      </c>
      <c r="F10" s="30">
        <v>6.8164217485700203</v>
      </c>
    </row>
    <row r="11" spans="1:6" x14ac:dyDescent="0.2">
      <c r="A11" s="27" t="s">
        <v>228</v>
      </c>
      <c r="B11" s="27" t="s">
        <v>227</v>
      </c>
      <c r="C11" s="27" t="s">
        <v>103</v>
      </c>
      <c r="D11" s="31">
        <v>69409</v>
      </c>
      <c r="E11" s="29">
        <v>1849.6457370000001</v>
      </c>
      <c r="F11" s="30">
        <v>5.6438882397591197</v>
      </c>
    </row>
    <row r="12" spans="1:6" x14ac:dyDescent="0.2">
      <c r="A12" s="27" t="s">
        <v>112</v>
      </c>
      <c r="B12" s="27" t="s">
        <v>111</v>
      </c>
      <c r="C12" s="27" t="s">
        <v>100</v>
      </c>
      <c r="D12" s="31">
        <v>447207</v>
      </c>
      <c r="E12" s="29">
        <v>1755.734682</v>
      </c>
      <c r="F12" s="30">
        <v>5.35733417792156</v>
      </c>
    </row>
    <row r="13" spans="1:6" x14ac:dyDescent="0.2">
      <c r="A13" s="27" t="s">
        <v>110</v>
      </c>
      <c r="B13" s="27" t="s">
        <v>109</v>
      </c>
      <c r="C13" s="27" t="s">
        <v>100</v>
      </c>
      <c r="D13" s="31">
        <v>96821</v>
      </c>
      <c r="E13" s="29">
        <v>1498.2081539999999</v>
      </c>
      <c r="F13" s="30">
        <v>4.57153454411569</v>
      </c>
    </row>
    <row r="14" spans="1:6" x14ac:dyDescent="0.2">
      <c r="A14" s="27" t="s">
        <v>294</v>
      </c>
      <c r="B14" s="27" t="s">
        <v>293</v>
      </c>
      <c r="C14" s="27" t="s">
        <v>130</v>
      </c>
      <c r="D14" s="31">
        <v>58914</v>
      </c>
      <c r="E14" s="29">
        <v>1220.285682</v>
      </c>
      <c r="F14" s="30">
        <v>3.7235000584256399</v>
      </c>
    </row>
    <row r="15" spans="1:6" x14ac:dyDescent="0.2">
      <c r="A15" s="27" t="s">
        <v>239</v>
      </c>
      <c r="B15" s="27" t="s">
        <v>238</v>
      </c>
      <c r="C15" s="27" t="s">
        <v>130</v>
      </c>
      <c r="D15" s="31">
        <v>555245</v>
      </c>
      <c r="E15" s="29">
        <v>917.54236249999997</v>
      </c>
      <c r="F15" s="30">
        <v>2.7997288592104801</v>
      </c>
    </row>
    <row r="16" spans="1:6" x14ac:dyDescent="0.2">
      <c r="A16" s="27" t="s">
        <v>105</v>
      </c>
      <c r="B16" s="27" t="s">
        <v>104</v>
      </c>
      <c r="C16" s="27" t="s">
        <v>100</v>
      </c>
      <c r="D16" s="31">
        <v>154646</v>
      </c>
      <c r="E16" s="29">
        <v>761.63154999999995</v>
      </c>
      <c r="F16" s="30">
        <v>2.3239927852597799</v>
      </c>
    </row>
    <row r="17" spans="1:6" x14ac:dyDescent="0.2">
      <c r="A17" s="27" t="s">
        <v>206</v>
      </c>
      <c r="B17" s="27" t="s">
        <v>205</v>
      </c>
      <c r="C17" s="27" t="s">
        <v>207</v>
      </c>
      <c r="D17" s="31">
        <v>79141</v>
      </c>
      <c r="E17" s="29">
        <v>735.61559499999998</v>
      </c>
      <c r="F17" s="30">
        <v>2.24460939873694</v>
      </c>
    </row>
    <row r="18" spans="1:6" x14ac:dyDescent="0.2">
      <c r="A18" s="27" t="s">
        <v>107</v>
      </c>
      <c r="B18" s="27" t="s">
        <v>106</v>
      </c>
      <c r="C18" s="27" t="s">
        <v>108</v>
      </c>
      <c r="D18" s="31">
        <v>155893</v>
      </c>
      <c r="E18" s="29">
        <v>676.18588750000004</v>
      </c>
      <c r="F18" s="30">
        <v>2.06326946939696</v>
      </c>
    </row>
    <row r="19" spans="1:6" x14ac:dyDescent="0.2">
      <c r="A19" s="27" t="s">
        <v>505</v>
      </c>
      <c r="B19" s="27" t="s">
        <v>504</v>
      </c>
      <c r="C19" s="27" t="s">
        <v>130</v>
      </c>
      <c r="D19" s="31">
        <v>29384</v>
      </c>
      <c r="E19" s="29">
        <v>649.82716000000005</v>
      </c>
      <c r="F19" s="30">
        <v>1.9828401692469999</v>
      </c>
    </row>
    <row r="20" spans="1:6" x14ac:dyDescent="0.2">
      <c r="A20" s="27" t="s">
        <v>192</v>
      </c>
      <c r="B20" s="27" t="s">
        <v>191</v>
      </c>
      <c r="C20" s="27" t="s">
        <v>133</v>
      </c>
      <c r="D20" s="31">
        <v>8723</v>
      </c>
      <c r="E20" s="29">
        <v>607.57003450000002</v>
      </c>
      <c r="F20" s="30">
        <v>1.8538995354355201</v>
      </c>
    </row>
    <row r="21" spans="1:6" x14ac:dyDescent="0.2">
      <c r="A21" s="27" t="s">
        <v>241</v>
      </c>
      <c r="B21" s="27" t="s">
        <v>240</v>
      </c>
      <c r="C21" s="27" t="s">
        <v>103</v>
      </c>
      <c r="D21" s="31">
        <v>70237</v>
      </c>
      <c r="E21" s="29">
        <v>591.36042150000003</v>
      </c>
      <c r="F21" s="30">
        <v>1.80443858064202</v>
      </c>
    </row>
    <row r="22" spans="1:6" x14ac:dyDescent="0.2">
      <c r="A22" s="27" t="s">
        <v>647</v>
      </c>
      <c r="B22" s="27" t="s">
        <v>646</v>
      </c>
      <c r="C22" s="27" t="s">
        <v>188</v>
      </c>
      <c r="D22" s="31">
        <v>17252</v>
      </c>
      <c r="E22" s="29">
        <v>570.86868000000004</v>
      </c>
      <c r="F22" s="30">
        <v>1.7419114185208999</v>
      </c>
    </row>
    <row r="23" spans="1:6" x14ac:dyDescent="0.2">
      <c r="A23" s="27" t="s">
        <v>151</v>
      </c>
      <c r="B23" s="27" t="s">
        <v>150</v>
      </c>
      <c r="C23" s="27" t="s">
        <v>100</v>
      </c>
      <c r="D23" s="31">
        <v>243837</v>
      </c>
      <c r="E23" s="29">
        <v>461.4615225</v>
      </c>
      <c r="F23" s="30">
        <v>1.40807356124493</v>
      </c>
    </row>
    <row r="24" spans="1:6" x14ac:dyDescent="0.2">
      <c r="A24" s="27" t="s">
        <v>204</v>
      </c>
      <c r="B24" s="27" t="s">
        <v>203</v>
      </c>
      <c r="C24" s="27" t="s">
        <v>130</v>
      </c>
      <c r="D24" s="31">
        <v>2347</v>
      </c>
      <c r="E24" s="29">
        <v>402.78275200000002</v>
      </c>
      <c r="F24" s="30">
        <v>1.2290249920385801</v>
      </c>
    </row>
    <row r="25" spans="1:6" x14ac:dyDescent="0.2">
      <c r="A25" s="27" t="s">
        <v>185</v>
      </c>
      <c r="B25" s="27" t="s">
        <v>184</v>
      </c>
      <c r="C25" s="27" t="s">
        <v>141</v>
      </c>
      <c r="D25" s="31">
        <v>7788</v>
      </c>
      <c r="E25" s="29">
        <v>380.72806200000002</v>
      </c>
      <c r="F25" s="30">
        <v>1.16172875090841</v>
      </c>
    </row>
    <row r="26" spans="1:6" x14ac:dyDescent="0.2">
      <c r="A26" s="27" t="s">
        <v>132</v>
      </c>
      <c r="B26" s="27" t="s">
        <v>131</v>
      </c>
      <c r="C26" s="27" t="s">
        <v>133</v>
      </c>
      <c r="D26" s="31">
        <v>62712</v>
      </c>
      <c r="E26" s="29">
        <v>372.50927999999999</v>
      </c>
      <c r="F26" s="30">
        <v>1.13665049611235</v>
      </c>
    </row>
    <row r="27" spans="1:6" x14ac:dyDescent="0.2">
      <c r="A27" s="27" t="s">
        <v>514</v>
      </c>
      <c r="B27" s="27" t="s">
        <v>513</v>
      </c>
      <c r="C27" s="27" t="s">
        <v>115</v>
      </c>
      <c r="D27" s="31">
        <v>7516</v>
      </c>
      <c r="E27" s="29">
        <v>343.78559799999999</v>
      </c>
      <c r="F27" s="30">
        <v>1.0490049282073699</v>
      </c>
    </row>
    <row r="28" spans="1:6" x14ac:dyDescent="0.2">
      <c r="A28" s="27" t="s">
        <v>539</v>
      </c>
      <c r="B28" s="27" t="s">
        <v>538</v>
      </c>
      <c r="C28" s="27" t="s">
        <v>141</v>
      </c>
      <c r="D28" s="31">
        <v>69886</v>
      </c>
      <c r="E28" s="29">
        <v>325.49404500000003</v>
      </c>
      <c r="F28" s="30">
        <v>0.99319127762632997</v>
      </c>
    </row>
    <row r="29" spans="1:6" x14ac:dyDescent="0.2">
      <c r="A29" s="27" t="s">
        <v>198</v>
      </c>
      <c r="B29" s="27" t="s">
        <v>197</v>
      </c>
      <c r="C29" s="27" t="s">
        <v>103</v>
      </c>
      <c r="D29" s="31">
        <v>39917</v>
      </c>
      <c r="E29" s="29">
        <v>324.64496100000002</v>
      </c>
      <c r="F29" s="30">
        <v>0.99060043814485199</v>
      </c>
    </row>
    <row r="30" spans="1:6" x14ac:dyDescent="0.2">
      <c r="A30" s="27" t="s">
        <v>230</v>
      </c>
      <c r="B30" s="27" t="s">
        <v>229</v>
      </c>
      <c r="C30" s="27" t="s">
        <v>127</v>
      </c>
      <c r="D30" s="31">
        <v>27269</v>
      </c>
      <c r="E30" s="29">
        <v>317.88836750000002</v>
      </c>
      <c r="F30" s="30">
        <v>0.96998380987238397</v>
      </c>
    </row>
    <row r="31" spans="1:6" x14ac:dyDescent="0.2">
      <c r="A31" s="27" t="s">
        <v>649</v>
      </c>
      <c r="B31" s="27" t="s">
        <v>648</v>
      </c>
      <c r="C31" s="27" t="s">
        <v>103</v>
      </c>
      <c r="D31" s="31">
        <v>90979</v>
      </c>
      <c r="E31" s="29">
        <v>309.96545300000002</v>
      </c>
      <c r="F31" s="30">
        <v>0.945808345848828</v>
      </c>
    </row>
    <row r="32" spans="1:6" x14ac:dyDescent="0.2">
      <c r="A32" s="27" t="s">
        <v>651</v>
      </c>
      <c r="B32" s="27" t="s">
        <v>650</v>
      </c>
      <c r="C32" s="27" t="s">
        <v>188</v>
      </c>
      <c r="D32" s="31">
        <v>47558</v>
      </c>
      <c r="E32" s="29">
        <v>280.47330499999998</v>
      </c>
      <c r="F32" s="30">
        <v>0.85581793096408099</v>
      </c>
    </row>
    <row r="33" spans="1:6" x14ac:dyDescent="0.2">
      <c r="A33" s="27" t="s">
        <v>146</v>
      </c>
      <c r="B33" s="27" t="s">
        <v>145</v>
      </c>
      <c r="C33" s="27" t="s">
        <v>147</v>
      </c>
      <c r="D33" s="31">
        <v>161190</v>
      </c>
      <c r="E33" s="29">
        <v>275.63490000000002</v>
      </c>
      <c r="F33" s="30">
        <v>0.84105433784327999</v>
      </c>
    </row>
    <row r="34" spans="1:6" x14ac:dyDescent="0.2">
      <c r="A34" s="27" t="s">
        <v>149</v>
      </c>
      <c r="B34" s="27" t="s">
        <v>148</v>
      </c>
      <c r="C34" s="27" t="s">
        <v>147</v>
      </c>
      <c r="D34" s="31">
        <v>310138</v>
      </c>
      <c r="E34" s="29">
        <v>271.68088799999998</v>
      </c>
      <c r="F34" s="30">
        <v>0.828989323781256</v>
      </c>
    </row>
    <row r="35" spans="1:6" x14ac:dyDescent="0.2">
      <c r="A35" s="27" t="s">
        <v>653</v>
      </c>
      <c r="B35" s="27" t="s">
        <v>652</v>
      </c>
      <c r="C35" s="27" t="s">
        <v>130</v>
      </c>
      <c r="D35" s="31">
        <v>7611</v>
      </c>
      <c r="E35" s="29">
        <v>264.34905750000001</v>
      </c>
      <c r="F35" s="30">
        <v>0.80661745488382497</v>
      </c>
    </row>
    <row r="36" spans="1:6" x14ac:dyDescent="0.2">
      <c r="A36" s="27" t="s">
        <v>655</v>
      </c>
      <c r="B36" s="27" t="s">
        <v>654</v>
      </c>
      <c r="C36" s="27" t="s">
        <v>141</v>
      </c>
      <c r="D36" s="31">
        <v>8054</v>
      </c>
      <c r="E36" s="29">
        <v>253.06070700000001</v>
      </c>
      <c r="F36" s="30">
        <v>0.772172919176916</v>
      </c>
    </row>
    <row r="37" spans="1:6" x14ac:dyDescent="0.2">
      <c r="A37" s="27" t="s">
        <v>657</v>
      </c>
      <c r="B37" s="27" t="s">
        <v>656</v>
      </c>
      <c r="C37" s="27" t="s">
        <v>141</v>
      </c>
      <c r="D37" s="31">
        <v>31734</v>
      </c>
      <c r="E37" s="29">
        <v>239.43303</v>
      </c>
      <c r="F37" s="30">
        <v>0.73059031532095597</v>
      </c>
    </row>
    <row r="38" spans="1:6" x14ac:dyDescent="0.2">
      <c r="A38" s="27" t="s">
        <v>155</v>
      </c>
      <c r="B38" s="27" t="s">
        <v>154</v>
      </c>
      <c r="C38" s="27" t="s">
        <v>133</v>
      </c>
      <c r="D38" s="31">
        <v>8239</v>
      </c>
      <c r="E38" s="29">
        <v>237.85169099999999</v>
      </c>
      <c r="F38" s="30">
        <v>0.72576512074091304</v>
      </c>
    </row>
    <row r="39" spans="1:6" x14ac:dyDescent="0.2">
      <c r="A39" s="27" t="s">
        <v>659</v>
      </c>
      <c r="B39" s="27" t="s">
        <v>658</v>
      </c>
      <c r="C39" s="27" t="s">
        <v>133</v>
      </c>
      <c r="D39" s="31">
        <v>8162</v>
      </c>
      <c r="E39" s="29">
        <v>228.519676</v>
      </c>
      <c r="F39" s="30">
        <v>0.69729001945087798</v>
      </c>
    </row>
    <row r="40" spans="1:6" x14ac:dyDescent="0.2">
      <c r="A40" s="27" t="s">
        <v>551</v>
      </c>
      <c r="B40" s="27" t="s">
        <v>550</v>
      </c>
      <c r="C40" s="27" t="s">
        <v>100</v>
      </c>
      <c r="D40" s="31">
        <v>37303</v>
      </c>
      <c r="E40" s="29">
        <v>218.48367099999999</v>
      </c>
      <c r="F40" s="30">
        <v>0.66666680903787601</v>
      </c>
    </row>
    <row r="41" spans="1:6" x14ac:dyDescent="0.2">
      <c r="A41" s="27" t="s">
        <v>661</v>
      </c>
      <c r="B41" s="27" t="s">
        <v>660</v>
      </c>
      <c r="C41" s="27" t="s">
        <v>188</v>
      </c>
      <c r="D41" s="31">
        <v>3832</v>
      </c>
      <c r="E41" s="29">
        <v>213.57651999999999</v>
      </c>
      <c r="F41" s="30">
        <v>0.65169344886105496</v>
      </c>
    </row>
    <row r="42" spans="1:6" x14ac:dyDescent="0.2">
      <c r="A42" s="27" t="s">
        <v>114</v>
      </c>
      <c r="B42" s="27" t="s">
        <v>113</v>
      </c>
      <c r="C42" s="27" t="s">
        <v>115</v>
      </c>
      <c r="D42" s="31">
        <v>25442</v>
      </c>
      <c r="E42" s="29">
        <v>198.027807</v>
      </c>
      <c r="F42" s="30">
        <v>0.60424912117784002</v>
      </c>
    </row>
    <row r="43" spans="1:6" x14ac:dyDescent="0.2">
      <c r="A43" s="27" t="s">
        <v>137</v>
      </c>
      <c r="B43" s="27" t="s">
        <v>136</v>
      </c>
      <c r="C43" s="27" t="s">
        <v>138</v>
      </c>
      <c r="D43" s="31">
        <v>47977</v>
      </c>
      <c r="E43" s="29">
        <v>196.9695735</v>
      </c>
      <c r="F43" s="30">
        <v>0.60102009656729205</v>
      </c>
    </row>
    <row r="44" spans="1:6" x14ac:dyDescent="0.2">
      <c r="A44" s="27" t="s">
        <v>663</v>
      </c>
      <c r="B44" s="27" t="s">
        <v>662</v>
      </c>
      <c r="C44" s="27" t="s">
        <v>138</v>
      </c>
      <c r="D44" s="31">
        <v>62186</v>
      </c>
      <c r="E44" s="29">
        <v>192.15474</v>
      </c>
      <c r="F44" s="30">
        <v>0.58632842798262297</v>
      </c>
    </row>
    <row r="45" spans="1:6" x14ac:dyDescent="0.2">
      <c r="A45" s="27" t="s">
        <v>665</v>
      </c>
      <c r="B45" s="27" t="s">
        <v>664</v>
      </c>
      <c r="C45" s="27" t="s">
        <v>133</v>
      </c>
      <c r="D45" s="31">
        <v>8845</v>
      </c>
      <c r="E45" s="29">
        <v>184.47131999999999</v>
      </c>
      <c r="F45" s="30">
        <v>0.56288374183993295</v>
      </c>
    </row>
    <row r="46" spans="1:6" x14ac:dyDescent="0.2">
      <c r="A46" s="27" t="s">
        <v>667</v>
      </c>
      <c r="B46" s="27" t="s">
        <v>666</v>
      </c>
      <c r="C46" s="27" t="s">
        <v>115</v>
      </c>
      <c r="D46" s="31">
        <v>841</v>
      </c>
      <c r="E46" s="29">
        <v>182.4511655</v>
      </c>
      <c r="F46" s="30">
        <v>0.55671957429315799</v>
      </c>
    </row>
    <row r="47" spans="1:6" x14ac:dyDescent="0.2">
      <c r="A47" s="27" t="s">
        <v>669</v>
      </c>
      <c r="B47" s="27" t="s">
        <v>668</v>
      </c>
      <c r="C47" s="27" t="s">
        <v>188</v>
      </c>
      <c r="D47" s="31">
        <v>23408</v>
      </c>
      <c r="E47" s="29">
        <v>180.042632</v>
      </c>
      <c r="F47" s="30">
        <v>0.54937033242278599</v>
      </c>
    </row>
    <row r="48" spans="1:6" x14ac:dyDescent="0.2">
      <c r="A48" s="27" t="s">
        <v>153</v>
      </c>
      <c r="B48" s="27" t="s">
        <v>152</v>
      </c>
      <c r="C48" s="27" t="s">
        <v>144</v>
      </c>
      <c r="D48" s="31">
        <v>50084</v>
      </c>
      <c r="E48" s="29">
        <v>177.522738</v>
      </c>
      <c r="F48" s="30">
        <v>0.54168129239336504</v>
      </c>
    </row>
    <row r="49" spans="1:9" x14ac:dyDescent="0.2">
      <c r="A49" s="27" t="s">
        <v>671</v>
      </c>
      <c r="B49" s="27" t="s">
        <v>670</v>
      </c>
      <c r="C49" s="27" t="s">
        <v>257</v>
      </c>
      <c r="D49" s="31">
        <v>47395</v>
      </c>
      <c r="E49" s="29">
        <v>170.55090749999999</v>
      </c>
      <c r="F49" s="30">
        <v>0.52040790399177705</v>
      </c>
    </row>
    <row r="50" spans="1:9" x14ac:dyDescent="0.2">
      <c r="A50" s="27" t="s">
        <v>123</v>
      </c>
      <c r="B50" s="27" t="s">
        <v>122</v>
      </c>
      <c r="C50" s="27" t="s">
        <v>124</v>
      </c>
      <c r="D50" s="31">
        <v>92894</v>
      </c>
      <c r="E50" s="29">
        <v>158.52361099999999</v>
      </c>
      <c r="F50" s="30">
        <v>0.483708596705753</v>
      </c>
    </row>
    <row r="51" spans="1:9" x14ac:dyDescent="0.2">
      <c r="A51" s="27" t="s">
        <v>673</v>
      </c>
      <c r="B51" s="27" t="s">
        <v>672</v>
      </c>
      <c r="C51" s="27" t="s">
        <v>464</v>
      </c>
      <c r="D51" s="31">
        <v>34539</v>
      </c>
      <c r="E51" s="29">
        <v>156.54801749999999</v>
      </c>
      <c r="F51" s="30">
        <v>0.47768039968502102</v>
      </c>
    </row>
    <row r="52" spans="1:9" x14ac:dyDescent="0.2">
      <c r="A52" s="27" t="s">
        <v>248</v>
      </c>
      <c r="B52" s="27" t="s">
        <v>247</v>
      </c>
      <c r="C52" s="27" t="s">
        <v>249</v>
      </c>
      <c r="D52" s="31">
        <v>230640</v>
      </c>
      <c r="E52" s="29">
        <v>149.68536</v>
      </c>
      <c r="F52" s="30">
        <v>0.4567401346478</v>
      </c>
    </row>
    <row r="53" spans="1:9" x14ac:dyDescent="0.2">
      <c r="A53" s="27" t="s">
        <v>178</v>
      </c>
      <c r="B53" s="27" t="s">
        <v>177</v>
      </c>
      <c r="C53" s="27" t="s">
        <v>179</v>
      </c>
      <c r="D53" s="31">
        <v>129456</v>
      </c>
      <c r="E53" s="29">
        <v>147.838752</v>
      </c>
      <c r="F53" s="30">
        <v>0.45110551556039102</v>
      </c>
    </row>
    <row r="54" spans="1:9" x14ac:dyDescent="0.2">
      <c r="A54" s="27" t="s">
        <v>169</v>
      </c>
      <c r="B54" s="27" t="s">
        <v>168</v>
      </c>
      <c r="C54" s="27" t="s">
        <v>133</v>
      </c>
      <c r="D54" s="31">
        <v>111219</v>
      </c>
      <c r="E54" s="29">
        <v>147.5320035</v>
      </c>
      <c r="F54" s="30">
        <v>0.45016952321489401</v>
      </c>
    </row>
    <row r="55" spans="1:9" x14ac:dyDescent="0.2">
      <c r="A55" s="27" t="s">
        <v>215</v>
      </c>
      <c r="B55" s="27" t="s">
        <v>214</v>
      </c>
      <c r="C55" s="27" t="s">
        <v>144</v>
      </c>
      <c r="D55" s="31">
        <v>151450</v>
      </c>
      <c r="E55" s="29">
        <v>120.478475</v>
      </c>
      <c r="F55" s="30">
        <v>0.36762015265662301</v>
      </c>
    </row>
    <row r="56" spans="1:9" x14ac:dyDescent="0.2">
      <c r="A56" s="27" t="s">
        <v>221</v>
      </c>
      <c r="B56" s="27" t="s">
        <v>220</v>
      </c>
      <c r="C56" s="27" t="s">
        <v>121</v>
      </c>
      <c r="D56" s="31">
        <v>112478</v>
      </c>
      <c r="E56" s="29">
        <v>95.325104999999994</v>
      </c>
      <c r="F56" s="30">
        <v>0.29086880168518597</v>
      </c>
    </row>
    <row r="57" spans="1:9" x14ac:dyDescent="0.2">
      <c r="A57" s="27" t="s">
        <v>675</v>
      </c>
      <c r="B57" s="27" t="s">
        <v>674</v>
      </c>
      <c r="C57" s="27" t="s">
        <v>100</v>
      </c>
      <c r="D57" s="31">
        <v>92088</v>
      </c>
      <c r="E57" s="29">
        <v>9.2088000000000003E-5</v>
      </c>
      <c r="F57" s="30">
        <v>2.8099131083658799E-7</v>
      </c>
    </row>
    <row r="58" spans="1:9" ht="10.5" x14ac:dyDescent="0.25">
      <c r="A58" s="26" t="s">
        <v>43</v>
      </c>
      <c r="B58" s="26"/>
      <c r="C58" s="26"/>
      <c r="D58" s="32"/>
      <c r="E58" s="33">
        <f>SUM(E7:E57)</f>
        <v>32428.648608088002</v>
      </c>
      <c r="F58" s="34">
        <f>SUM(F7:F57)</f>
        <v>98.950661118123506</v>
      </c>
      <c r="G58" s="18"/>
      <c r="H58" s="18"/>
      <c r="I58" s="18"/>
    </row>
    <row r="59" spans="1:9" x14ac:dyDescent="0.2">
      <c r="A59" s="27"/>
      <c r="B59" s="27"/>
      <c r="C59" s="27"/>
      <c r="D59" s="28"/>
      <c r="E59" s="29"/>
      <c r="F59" s="30"/>
    </row>
    <row r="60" spans="1:9" ht="10.5" x14ac:dyDescent="0.25">
      <c r="A60" s="26" t="s">
        <v>48</v>
      </c>
      <c r="B60" s="26"/>
      <c r="C60" s="26"/>
      <c r="D60" s="32"/>
      <c r="E60" s="33">
        <f>E58</f>
        <v>32428.648608088002</v>
      </c>
      <c r="F60" s="34">
        <f>F58</f>
        <v>98.950661118123506</v>
      </c>
      <c r="G60" s="18"/>
      <c r="H60" s="18"/>
      <c r="I60" s="18"/>
    </row>
    <row r="61" spans="1:9" ht="10.5" x14ac:dyDescent="0.25">
      <c r="A61" s="26"/>
      <c r="B61" s="26"/>
      <c r="C61" s="26"/>
      <c r="D61" s="32"/>
      <c r="E61" s="33"/>
      <c r="F61" s="34"/>
      <c r="G61" s="18"/>
      <c r="H61" s="18"/>
      <c r="I61" s="18"/>
    </row>
    <row r="62" spans="1:9" ht="10.5" x14ac:dyDescent="0.25">
      <c r="A62" s="26" t="s">
        <v>50</v>
      </c>
      <c r="B62" s="26"/>
      <c r="C62" s="26"/>
      <c r="D62" s="32"/>
      <c r="E62" s="33">
        <f>E64-(E58)</f>
        <v>343.89504311199926</v>
      </c>
      <c r="F62" s="34">
        <f>F64-(F58)</f>
        <v>1.0493388818764942</v>
      </c>
      <c r="G62" s="18"/>
      <c r="H62" s="18"/>
      <c r="I62" s="18"/>
    </row>
    <row r="63" spans="1:9" ht="10.5" x14ac:dyDescent="0.25">
      <c r="A63" s="26"/>
      <c r="B63" s="26"/>
      <c r="C63" s="26"/>
      <c r="D63" s="32"/>
      <c r="E63" s="33"/>
      <c r="F63" s="34"/>
      <c r="G63" s="18"/>
      <c r="H63" s="18"/>
      <c r="I63" s="18"/>
    </row>
    <row r="64" spans="1:9" ht="10.5" x14ac:dyDescent="0.25">
      <c r="A64" s="35" t="s">
        <v>49</v>
      </c>
      <c r="B64" s="35"/>
      <c r="C64" s="35"/>
      <c r="D64" s="36"/>
      <c r="E64" s="37">
        <v>32772.543651200001</v>
      </c>
      <c r="F64" s="38">
        <v>100</v>
      </c>
      <c r="G64" s="18"/>
      <c r="H64" s="18"/>
      <c r="I64" s="18"/>
    </row>
    <row r="65" spans="1:6" ht="10.5" x14ac:dyDescent="0.25">
      <c r="F65" s="20" t="s">
        <v>61</v>
      </c>
    </row>
    <row r="67" spans="1:6" ht="10.5" x14ac:dyDescent="0.25">
      <c r="A67" s="18" t="s">
        <v>51</v>
      </c>
    </row>
    <row r="68" spans="1:6" ht="10.5" x14ac:dyDescent="0.25">
      <c r="A68" s="18" t="s">
        <v>52</v>
      </c>
    </row>
    <row r="69" spans="1:6" ht="10.5" x14ac:dyDescent="0.25">
      <c r="A69" s="18" t="s">
        <v>53</v>
      </c>
      <c r="B69" s="18"/>
      <c r="C69" s="39" t="s">
        <v>55</v>
      </c>
      <c r="D69" s="19" t="s">
        <v>54</v>
      </c>
    </row>
    <row r="70" spans="1:6" x14ac:dyDescent="0.2">
      <c r="A70" s="9" t="s">
        <v>71</v>
      </c>
      <c r="C70" s="40">
        <v>77.9863</v>
      </c>
      <c r="D70" s="40">
        <v>92.121499999999997</v>
      </c>
    </row>
    <row r="71" spans="1:6" x14ac:dyDescent="0.2">
      <c r="A71" s="9" t="s">
        <v>77</v>
      </c>
      <c r="C71" s="40">
        <v>77.9863</v>
      </c>
      <c r="D71" s="40">
        <v>92.121499999999997</v>
      </c>
    </row>
    <row r="72" spans="1:6" x14ac:dyDescent="0.2">
      <c r="A72" s="9" t="s">
        <v>74</v>
      </c>
      <c r="C72" s="40">
        <v>80.258300000000006</v>
      </c>
      <c r="D72" s="40">
        <v>95.024299999999997</v>
      </c>
    </row>
    <row r="73" spans="1:6" x14ac:dyDescent="0.2">
      <c r="A73" s="9" t="s">
        <v>78</v>
      </c>
      <c r="C73" s="40">
        <v>80.258300000000006</v>
      </c>
      <c r="D73" s="40">
        <v>95.024299999999997</v>
      </c>
    </row>
    <row r="75" spans="1:6" ht="10.5" x14ac:dyDescent="0.25">
      <c r="A75" s="18" t="s">
        <v>56</v>
      </c>
      <c r="D75" s="41" t="s">
        <v>57</v>
      </c>
    </row>
    <row r="77" spans="1:6" ht="10.5" x14ac:dyDescent="0.25">
      <c r="A77" s="18" t="s">
        <v>224</v>
      </c>
      <c r="D77" s="45">
        <v>3.2311740705804497E-2</v>
      </c>
    </row>
  </sheetData>
  <mergeCells count="1">
    <mergeCell ref="A1:F1"/>
  </mergeCells>
  <conditionalFormatting sqref="F2:F3 F5:F65536">
    <cfRule type="cellIs" dxfId="1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87"/>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 style="10" bestFit="1" customWidth="1"/>
    <col min="5" max="5" width="23" style="13" bestFit="1" customWidth="1"/>
    <col min="6" max="6" width="14.7265625" style="14" bestFit="1" customWidth="1"/>
    <col min="7" max="16384" width="9.1796875" style="9"/>
  </cols>
  <sheetData>
    <row r="1" spans="1:6" s="1" customFormat="1" ht="14" x14ac:dyDescent="0.25">
      <c r="A1" s="79" t="s">
        <v>23</v>
      </c>
      <c r="B1" s="80"/>
      <c r="C1" s="80"/>
      <c r="D1" s="80"/>
      <c r="E1" s="80"/>
      <c r="F1" s="80"/>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276</v>
      </c>
      <c r="D4" s="16" t="s">
        <v>1</v>
      </c>
      <c r="E4" s="15" t="s">
        <v>3</v>
      </c>
      <c r="F4" s="15" t="s">
        <v>4</v>
      </c>
    </row>
    <row r="5" spans="1:6" ht="10.5" x14ac:dyDescent="0.25">
      <c r="A5" s="21" t="s">
        <v>97</v>
      </c>
      <c r="B5" s="22"/>
      <c r="C5" s="22"/>
      <c r="D5" s="23"/>
      <c r="E5" s="24"/>
      <c r="F5" s="25"/>
    </row>
    <row r="6" spans="1:6" ht="10.5" x14ac:dyDescent="0.25">
      <c r="A6" s="26" t="s">
        <v>33</v>
      </c>
      <c r="B6" s="27"/>
      <c r="C6" s="27"/>
      <c r="D6" s="28"/>
      <c r="E6" s="29"/>
      <c r="F6" s="30"/>
    </row>
    <row r="7" spans="1:6" x14ac:dyDescent="0.2">
      <c r="A7" s="27" t="s">
        <v>102</v>
      </c>
      <c r="B7" s="27" t="s">
        <v>101</v>
      </c>
      <c r="C7" s="27" t="s">
        <v>103</v>
      </c>
      <c r="D7" s="31">
        <v>3570979</v>
      </c>
      <c r="E7" s="29">
        <v>37873.803269999997</v>
      </c>
      <c r="F7" s="30">
        <v>10.629381889726</v>
      </c>
    </row>
    <row r="8" spans="1:6" x14ac:dyDescent="0.2">
      <c r="A8" s="27" t="s">
        <v>105</v>
      </c>
      <c r="B8" s="27" t="s">
        <v>104</v>
      </c>
      <c r="C8" s="27" t="s">
        <v>100</v>
      </c>
      <c r="D8" s="31">
        <v>7029842</v>
      </c>
      <c r="E8" s="29">
        <v>34621.971850000002</v>
      </c>
      <c r="F8" s="30">
        <v>9.7167469014260401</v>
      </c>
    </row>
    <row r="9" spans="1:6" x14ac:dyDescent="0.2">
      <c r="A9" s="27" t="s">
        <v>99</v>
      </c>
      <c r="B9" s="27" t="s">
        <v>98</v>
      </c>
      <c r="C9" s="27" t="s">
        <v>100</v>
      </c>
      <c r="D9" s="31">
        <v>2630104</v>
      </c>
      <c r="E9" s="29">
        <v>31128.595890000001</v>
      </c>
      <c r="F9" s="30">
        <v>8.73632180657847</v>
      </c>
    </row>
    <row r="10" spans="1:6" x14ac:dyDescent="0.2">
      <c r="A10" s="27" t="s">
        <v>112</v>
      </c>
      <c r="B10" s="27" t="s">
        <v>111</v>
      </c>
      <c r="C10" s="27" t="s">
        <v>100</v>
      </c>
      <c r="D10" s="31">
        <v>4383052</v>
      </c>
      <c r="E10" s="29">
        <v>17207.862150000001</v>
      </c>
      <c r="F10" s="30">
        <v>4.8294314936940497</v>
      </c>
    </row>
    <row r="11" spans="1:6" x14ac:dyDescent="0.2">
      <c r="A11" s="27" t="s">
        <v>146</v>
      </c>
      <c r="B11" s="27" t="s">
        <v>145</v>
      </c>
      <c r="C11" s="27" t="s">
        <v>147</v>
      </c>
      <c r="D11" s="31">
        <v>8119223</v>
      </c>
      <c r="E11" s="29">
        <v>13883.87133</v>
      </c>
      <c r="F11" s="30">
        <v>3.8965447811596898</v>
      </c>
    </row>
    <row r="12" spans="1:6" x14ac:dyDescent="0.2">
      <c r="A12" s="27" t="s">
        <v>107</v>
      </c>
      <c r="B12" s="27" t="s">
        <v>106</v>
      </c>
      <c r="C12" s="27" t="s">
        <v>108</v>
      </c>
      <c r="D12" s="31">
        <v>3044619</v>
      </c>
      <c r="E12" s="29">
        <v>13206.03491</v>
      </c>
      <c r="F12" s="30">
        <v>3.7063082180244602</v>
      </c>
    </row>
    <row r="13" spans="1:6" x14ac:dyDescent="0.2">
      <c r="A13" s="27" t="s">
        <v>194</v>
      </c>
      <c r="B13" s="27" t="s">
        <v>193</v>
      </c>
      <c r="C13" s="27" t="s">
        <v>147</v>
      </c>
      <c r="D13" s="31">
        <v>20624428</v>
      </c>
      <c r="E13" s="29">
        <v>10755.6392</v>
      </c>
      <c r="F13" s="30">
        <v>3.01859825668642</v>
      </c>
    </row>
    <row r="14" spans="1:6" x14ac:dyDescent="0.2">
      <c r="A14" s="27" t="s">
        <v>132</v>
      </c>
      <c r="B14" s="27" t="s">
        <v>131</v>
      </c>
      <c r="C14" s="27" t="s">
        <v>133</v>
      </c>
      <c r="D14" s="31">
        <v>1679699</v>
      </c>
      <c r="E14" s="29">
        <v>9977.4120600000006</v>
      </c>
      <c r="F14" s="30">
        <v>2.8001867755621701</v>
      </c>
    </row>
    <row r="15" spans="1:6" x14ac:dyDescent="0.2">
      <c r="A15" s="27" t="s">
        <v>120</v>
      </c>
      <c r="B15" s="27" t="s">
        <v>119</v>
      </c>
      <c r="C15" s="27" t="s">
        <v>121</v>
      </c>
      <c r="D15" s="31">
        <v>4078627</v>
      </c>
      <c r="E15" s="29">
        <v>9419.5890569999992</v>
      </c>
      <c r="F15" s="30">
        <v>2.64363229162268</v>
      </c>
    </row>
    <row r="16" spans="1:6" x14ac:dyDescent="0.2">
      <c r="A16" s="27" t="s">
        <v>185</v>
      </c>
      <c r="B16" s="27" t="s">
        <v>184</v>
      </c>
      <c r="C16" s="27" t="s">
        <v>141</v>
      </c>
      <c r="D16" s="31">
        <v>177107</v>
      </c>
      <c r="E16" s="29">
        <v>8658.1413560000001</v>
      </c>
      <c r="F16" s="30">
        <v>2.4299300039151799</v>
      </c>
    </row>
    <row r="17" spans="1:6" x14ac:dyDescent="0.2">
      <c r="A17" s="27" t="s">
        <v>114</v>
      </c>
      <c r="B17" s="27" t="s">
        <v>113</v>
      </c>
      <c r="C17" s="27" t="s">
        <v>115</v>
      </c>
      <c r="D17" s="31">
        <v>1081440</v>
      </c>
      <c r="E17" s="29">
        <v>8417.3882400000002</v>
      </c>
      <c r="F17" s="30">
        <v>2.3623620125819</v>
      </c>
    </row>
    <row r="18" spans="1:6" x14ac:dyDescent="0.2">
      <c r="A18" s="27" t="s">
        <v>162</v>
      </c>
      <c r="B18" s="27" t="s">
        <v>161</v>
      </c>
      <c r="C18" s="27" t="s">
        <v>130</v>
      </c>
      <c r="D18" s="31">
        <v>871834</v>
      </c>
      <c r="E18" s="29">
        <v>8074.9265079999996</v>
      </c>
      <c r="F18" s="30">
        <v>2.2662492323022301</v>
      </c>
    </row>
    <row r="19" spans="1:6" x14ac:dyDescent="0.2">
      <c r="A19" s="27" t="s">
        <v>135</v>
      </c>
      <c r="B19" s="27" t="s">
        <v>134</v>
      </c>
      <c r="C19" s="27" t="s">
        <v>121</v>
      </c>
      <c r="D19" s="31">
        <v>3995176</v>
      </c>
      <c r="E19" s="29">
        <v>7718.6800320000002</v>
      </c>
      <c r="F19" s="30">
        <v>2.1662677275856801</v>
      </c>
    </row>
    <row r="20" spans="1:6" x14ac:dyDescent="0.2">
      <c r="A20" s="27" t="s">
        <v>110</v>
      </c>
      <c r="B20" s="27" t="s">
        <v>109</v>
      </c>
      <c r="C20" s="27" t="s">
        <v>100</v>
      </c>
      <c r="D20" s="31">
        <v>474652</v>
      </c>
      <c r="E20" s="29">
        <v>7344.7650480000002</v>
      </c>
      <c r="F20" s="30">
        <v>2.06132750991351</v>
      </c>
    </row>
    <row r="21" spans="1:6" x14ac:dyDescent="0.2">
      <c r="A21" s="27" t="s">
        <v>206</v>
      </c>
      <c r="B21" s="27" t="s">
        <v>205</v>
      </c>
      <c r="C21" s="27" t="s">
        <v>207</v>
      </c>
      <c r="D21" s="31">
        <v>757133</v>
      </c>
      <c r="E21" s="29">
        <v>7037.5512349999999</v>
      </c>
      <c r="F21" s="30">
        <v>1.97510715023914</v>
      </c>
    </row>
    <row r="22" spans="1:6" x14ac:dyDescent="0.2">
      <c r="A22" s="27" t="s">
        <v>123</v>
      </c>
      <c r="B22" s="27" t="s">
        <v>122</v>
      </c>
      <c r="C22" s="27" t="s">
        <v>124</v>
      </c>
      <c r="D22" s="31">
        <v>4049242</v>
      </c>
      <c r="E22" s="29">
        <v>6910.031473</v>
      </c>
      <c r="F22" s="30">
        <v>1.9393183956975899</v>
      </c>
    </row>
    <row r="23" spans="1:6" x14ac:dyDescent="0.2">
      <c r="A23" s="27" t="s">
        <v>209</v>
      </c>
      <c r="B23" s="27" t="s">
        <v>208</v>
      </c>
      <c r="C23" s="27" t="s">
        <v>210</v>
      </c>
      <c r="D23" s="31">
        <v>6223868</v>
      </c>
      <c r="E23" s="29">
        <v>5937.5700720000004</v>
      </c>
      <c r="F23" s="30">
        <v>1.6663945614959501</v>
      </c>
    </row>
    <row r="24" spans="1:6" x14ac:dyDescent="0.2">
      <c r="A24" s="27" t="s">
        <v>198</v>
      </c>
      <c r="B24" s="27" t="s">
        <v>197</v>
      </c>
      <c r="C24" s="27" t="s">
        <v>103</v>
      </c>
      <c r="D24" s="31">
        <v>705548</v>
      </c>
      <c r="E24" s="29">
        <v>5738.2218839999996</v>
      </c>
      <c r="F24" s="30">
        <v>1.6104469714382299</v>
      </c>
    </row>
    <row r="25" spans="1:6" x14ac:dyDescent="0.2">
      <c r="A25" s="27" t="s">
        <v>117</v>
      </c>
      <c r="B25" s="27" t="s">
        <v>116</v>
      </c>
      <c r="C25" s="27" t="s">
        <v>118</v>
      </c>
      <c r="D25" s="31">
        <v>402972</v>
      </c>
      <c r="E25" s="29">
        <v>5430.249186</v>
      </c>
      <c r="F25" s="30">
        <v>1.52401362870488</v>
      </c>
    </row>
    <row r="26" spans="1:6" x14ac:dyDescent="0.2">
      <c r="A26" s="27" t="s">
        <v>215</v>
      </c>
      <c r="B26" s="27" t="s">
        <v>214</v>
      </c>
      <c r="C26" s="27" t="s">
        <v>144</v>
      </c>
      <c r="D26" s="31">
        <v>5948967</v>
      </c>
      <c r="E26" s="29">
        <v>4732.403249</v>
      </c>
      <c r="F26" s="30">
        <v>1.3281613423187899</v>
      </c>
    </row>
    <row r="27" spans="1:6" x14ac:dyDescent="0.2">
      <c r="A27" s="27" t="s">
        <v>143</v>
      </c>
      <c r="B27" s="27" t="s">
        <v>142</v>
      </c>
      <c r="C27" s="27" t="s">
        <v>144</v>
      </c>
      <c r="D27" s="31">
        <v>2520962</v>
      </c>
      <c r="E27" s="29">
        <v>4730.5851929999999</v>
      </c>
      <c r="F27" s="30">
        <v>1.32765110014999</v>
      </c>
    </row>
    <row r="28" spans="1:6" x14ac:dyDescent="0.2">
      <c r="A28" s="27" t="s">
        <v>518</v>
      </c>
      <c r="B28" s="27" t="s">
        <v>517</v>
      </c>
      <c r="C28" s="27" t="s">
        <v>141</v>
      </c>
      <c r="D28" s="31">
        <v>503898</v>
      </c>
      <c r="E28" s="29">
        <v>4581.6925650000003</v>
      </c>
      <c r="F28" s="30">
        <v>1.2858639948969399</v>
      </c>
    </row>
    <row r="29" spans="1:6" x14ac:dyDescent="0.2">
      <c r="A29" s="27" t="s">
        <v>535</v>
      </c>
      <c r="B29" s="27" t="s">
        <v>534</v>
      </c>
      <c r="C29" s="27" t="s">
        <v>130</v>
      </c>
      <c r="D29" s="31">
        <v>896279</v>
      </c>
      <c r="E29" s="29">
        <v>4519.9349970000003</v>
      </c>
      <c r="F29" s="30">
        <v>1.2685315720036601</v>
      </c>
    </row>
    <row r="30" spans="1:6" x14ac:dyDescent="0.2">
      <c r="A30" s="27" t="s">
        <v>149</v>
      </c>
      <c r="B30" s="27" t="s">
        <v>148</v>
      </c>
      <c r="C30" s="27" t="s">
        <v>147</v>
      </c>
      <c r="D30" s="31">
        <v>5065496</v>
      </c>
      <c r="E30" s="29">
        <v>4437.3744960000004</v>
      </c>
      <c r="F30" s="30">
        <v>1.2453607515851199</v>
      </c>
    </row>
    <row r="31" spans="1:6" x14ac:dyDescent="0.2">
      <c r="A31" s="27" t="s">
        <v>200</v>
      </c>
      <c r="B31" s="27" t="s">
        <v>199</v>
      </c>
      <c r="C31" s="27" t="s">
        <v>188</v>
      </c>
      <c r="D31" s="31">
        <v>1115794</v>
      </c>
      <c r="E31" s="29">
        <v>4320.9122649999999</v>
      </c>
      <c r="F31" s="30">
        <v>1.2126753220230699</v>
      </c>
    </row>
    <row r="32" spans="1:6" x14ac:dyDescent="0.2">
      <c r="A32" s="27" t="s">
        <v>420</v>
      </c>
      <c r="B32" s="27" t="s">
        <v>419</v>
      </c>
      <c r="C32" s="27" t="s">
        <v>100</v>
      </c>
      <c r="D32" s="31">
        <v>2914508</v>
      </c>
      <c r="E32" s="29">
        <v>4304.7283159999997</v>
      </c>
      <c r="F32" s="30">
        <v>1.20813325443143</v>
      </c>
    </row>
    <row r="33" spans="1:6" x14ac:dyDescent="0.2">
      <c r="A33" s="27" t="s">
        <v>219</v>
      </c>
      <c r="B33" s="27" t="s">
        <v>218</v>
      </c>
      <c r="C33" s="27" t="s">
        <v>188</v>
      </c>
      <c r="D33" s="31">
        <v>1158898</v>
      </c>
      <c r="E33" s="29">
        <v>4088.5921440000002</v>
      </c>
      <c r="F33" s="30">
        <v>1.1474740727803701</v>
      </c>
    </row>
    <row r="34" spans="1:6" x14ac:dyDescent="0.2">
      <c r="A34" s="27" t="s">
        <v>155</v>
      </c>
      <c r="B34" s="27" t="s">
        <v>154</v>
      </c>
      <c r="C34" s="27" t="s">
        <v>133</v>
      </c>
      <c r="D34" s="31">
        <v>137369</v>
      </c>
      <c r="E34" s="29">
        <v>3965.705661</v>
      </c>
      <c r="F34" s="30">
        <v>1.11298566010155</v>
      </c>
    </row>
    <row r="35" spans="1:6" x14ac:dyDescent="0.2">
      <c r="A35" s="27" t="s">
        <v>137</v>
      </c>
      <c r="B35" s="27" t="s">
        <v>136</v>
      </c>
      <c r="C35" s="27" t="s">
        <v>138</v>
      </c>
      <c r="D35" s="31">
        <v>960704</v>
      </c>
      <c r="E35" s="29">
        <v>3944.1702719999998</v>
      </c>
      <c r="F35" s="30">
        <v>1.1069416968852599</v>
      </c>
    </row>
    <row r="36" spans="1:6" x14ac:dyDescent="0.2">
      <c r="A36" s="27" t="s">
        <v>140</v>
      </c>
      <c r="B36" s="27" t="s">
        <v>139</v>
      </c>
      <c r="C36" s="27" t="s">
        <v>141</v>
      </c>
      <c r="D36" s="31">
        <v>920735</v>
      </c>
      <c r="E36" s="29">
        <v>3845.9100950000002</v>
      </c>
      <c r="F36" s="30">
        <v>1.0793647213584201</v>
      </c>
    </row>
    <row r="37" spans="1:6" x14ac:dyDescent="0.2">
      <c r="A37" s="27" t="s">
        <v>151</v>
      </c>
      <c r="B37" s="27" t="s">
        <v>150</v>
      </c>
      <c r="C37" s="27" t="s">
        <v>100</v>
      </c>
      <c r="D37" s="31">
        <v>1935519</v>
      </c>
      <c r="E37" s="29">
        <v>3662.9697080000001</v>
      </c>
      <c r="F37" s="30">
        <v>1.02802202354129</v>
      </c>
    </row>
    <row r="38" spans="1:6" x14ac:dyDescent="0.2">
      <c r="A38" s="27" t="s">
        <v>169</v>
      </c>
      <c r="B38" s="27" t="s">
        <v>168</v>
      </c>
      <c r="C38" s="27" t="s">
        <v>133</v>
      </c>
      <c r="D38" s="31">
        <v>2746634</v>
      </c>
      <c r="E38" s="29">
        <v>3643.4100010000002</v>
      </c>
      <c r="F38" s="30">
        <v>1.0225325406427199</v>
      </c>
    </row>
    <row r="39" spans="1:6" x14ac:dyDescent="0.2">
      <c r="A39" s="27" t="s">
        <v>217</v>
      </c>
      <c r="B39" s="27" t="s">
        <v>216</v>
      </c>
      <c r="C39" s="27" t="s">
        <v>160</v>
      </c>
      <c r="D39" s="31">
        <v>2627584</v>
      </c>
      <c r="E39" s="29">
        <v>3615.5555840000002</v>
      </c>
      <c r="F39" s="30">
        <v>1.01471512570032</v>
      </c>
    </row>
    <row r="40" spans="1:6" x14ac:dyDescent="0.2">
      <c r="A40" s="27" t="s">
        <v>245</v>
      </c>
      <c r="B40" s="27" t="s">
        <v>244</v>
      </c>
      <c r="C40" s="27" t="s">
        <v>246</v>
      </c>
      <c r="D40" s="31">
        <v>3970503</v>
      </c>
      <c r="E40" s="29">
        <v>3454.33761</v>
      </c>
      <c r="F40" s="30">
        <v>0.96946887987395003</v>
      </c>
    </row>
    <row r="41" spans="1:6" x14ac:dyDescent="0.2">
      <c r="A41" s="27" t="s">
        <v>157</v>
      </c>
      <c r="B41" s="27" t="s">
        <v>156</v>
      </c>
      <c r="C41" s="27" t="s">
        <v>130</v>
      </c>
      <c r="D41" s="31">
        <v>607174</v>
      </c>
      <c r="E41" s="29">
        <v>3124.820991</v>
      </c>
      <c r="F41" s="30">
        <v>0.87698917939621301</v>
      </c>
    </row>
    <row r="42" spans="1:6" x14ac:dyDescent="0.2">
      <c r="A42" s="27" t="s">
        <v>251</v>
      </c>
      <c r="B42" s="27" t="s">
        <v>250</v>
      </c>
      <c r="C42" s="27" t="s">
        <v>160</v>
      </c>
      <c r="D42" s="31">
        <v>990217</v>
      </c>
      <c r="E42" s="29">
        <v>2742.4059820000002</v>
      </c>
      <c r="F42" s="30">
        <v>0.76966340748875395</v>
      </c>
    </row>
    <row r="43" spans="1:6" x14ac:dyDescent="0.2">
      <c r="A43" s="27" t="s">
        <v>221</v>
      </c>
      <c r="B43" s="27" t="s">
        <v>220</v>
      </c>
      <c r="C43" s="27" t="s">
        <v>121</v>
      </c>
      <c r="D43" s="31">
        <v>2792178</v>
      </c>
      <c r="E43" s="29">
        <v>2366.3708550000001</v>
      </c>
      <c r="F43" s="30">
        <v>0.66412816614158698</v>
      </c>
    </row>
    <row r="44" spans="1:6" x14ac:dyDescent="0.2">
      <c r="A44" s="27" t="s">
        <v>230</v>
      </c>
      <c r="B44" s="27" t="s">
        <v>229</v>
      </c>
      <c r="C44" s="27" t="s">
        <v>127</v>
      </c>
      <c r="D44" s="31">
        <v>199808</v>
      </c>
      <c r="E44" s="29">
        <v>2329.2617599999999</v>
      </c>
      <c r="F44" s="30">
        <v>0.65371340162678104</v>
      </c>
    </row>
    <row r="45" spans="1:6" x14ac:dyDescent="0.2">
      <c r="A45" s="27" t="s">
        <v>126</v>
      </c>
      <c r="B45" s="27" t="s">
        <v>125</v>
      </c>
      <c r="C45" s="27" t="s">
        <v>127</v>
      </c>
      <c r="D45" s="31">
        <v>300000</v>
      </c>
      <c r="E45" s="29">
        <v>2116.65</v>
      </c>
      <c r="F45" s="30">
        <v>0.59404335541632103</v>
      </c>
    </row>
    <row r="46" spans="1:6" x14ac:dyDescent="0.2">
      <c r="A46" s="27" t="s">
        <v>677</v>
      </c>
      <c r="B46" s="27" t="s">
        <v>676</v>
      </c>
      <c r="C46" s="27" t="s">
        <v>374</v>
      </c>
      <c r="D46" s="31">
        <v>771008</v>
      </c>
      <c r="E46" s="29">
        <v>1932.1460480000001</v>
      </c>
      <c r="F46" s="30">
        <v>0.54226183899478198</v>
      </c>
    </row>
    <row r="47" spans="1:6" x14ac:dyDescent="0.2">
      <c r="A47" s="27" t="s">
        <v>259</v>
      </c>
      <c r="B47" s="27" t="s">
        <v>258</v>
      </c>
      <c r="C47" s="27" t="s">
        <v>103</v>
      </c>
      <c r="D47" s="31">
        <v>481063</v>
      </c>
      <c r="E47" s="29">
        <v>1896.8314089999999</v>
      </c>
      <c r="F47" s="30">
        <v>0.53235069324707895</v>
      </c>
    </row>
    <row r="48" spans="1:6" x14ac:dyDescent="0.2">
      <c r="A48" s="27" t="s">
        <v>551</v>
      </c>
      <c r="B48" s="27" t="s">
        <v>550</v>
      </c>
      <c r="C48" s="27" t="s">
        <v>100</v>
      </c>
      <c r="D48" s="31">
        <v>305270</v>
      </c>
      <c r="E48" s="29">
        <v>1787.96639</v>
      </c>
      <c r="F48" s="30">
        <v>0.50179744109191704</v>
      </c>
    </row>
    <row r="49" spans="1:9" x14ac:dyDescent="0.2">
      <c r="A49" s="27" t="s">
        <v>422</v>
      </c>
      <c r="B49" s="27" t="s">
        <v>421</v>
      </c>
      <c r="C49" s="27" t="s">
        <v>210</v>
      </c>
      <c r="D49" s="31">
        <v>6320734</v>
      </c>
      <c r="E49" s="29">
        <v>1706.59818</v>
      </c>
      <c r="F49" s="30">
        <v>0.47896124025917702</v>
      </c>
    </row>
    <row r="50" spans="1:9" x14ac:dyDescent="0.2">
      <c r="A50" s="27" t="s">
        <v>223</v>
      </c>
      <c r="B50" s="27" t="s">
        <v>222</v>
      </c>
      <c r="C50" s="27" t="s">
        <v>100</v>
      </c>
      <c r="D50" s="31">
        <v>3293517</v>
      </c>
      <c r="E50" s="29">
        <v>1661.5793269999999</v>
      </c>
      <c r="F50" s="30">
        <v>0.46632658148558997</v>
      </c>
    </row>
    <row r="51" spans="1:9" x14ac:dyDescent="0.2">
      <c r="A51" s="27" t="s">
        <v>166</v>
      </c>
      <c r="B51" s="27" t="s">
        <v>165</v>
      </c>
      <c r="C51" s="27" t="s">
        <v>167</v>
      </c>
      <c r="D51" s="31">
        <v>1075124</v>
      </c>
      <c r="E51" s="29">
        <v>1648.165092</v>
      </c>
      <c r="F51" s="30">
        <v>0.46256184136807199</v>
      </c>
    </row>
    <row r="52" spans="1:9" x14ac:dyDescent="0.2">
      <c r="A52" s="27" t="s">
        <v>212</v>
      </c>
      <c r="B52" s="27" t="s">
        <v>211</v>
      </c>
      <c r="C52" s="27" t="s">
        <v>213</v>
      </c>
      <c r="D52" s="31">
        <v>1278633</v>
      </c>
      <c r="E52" s="29">
        <v>1625.7818600000001</v>
      </c>
      <c r="F52" s="30">
        <v>0.45627992879757501</v>
      </c>
    </row>
    <row r="53" spans="1:9" x14ac:dyDescent="0.2">
      <c r="A53" s="27" t="s">
        <v>164</v>
      </c>
      <c r="B53" s="27" t="s">
        <v>163</v>
      </c>
      <c r="C53" s="27" t="s">
        <v>133</v>
      </c>
      <c r="D53" s="31">
        <v>265282</v>
      </c>
      <c r="E53" s="29">
        <v>1208.35951</v>
      </c>
      <c r="F53" s="30">
        <v>0.33912925512938902</v>
      </c>
    </row>
    <row r="54" spans="1:9" x14ac:dyDescent="0.2">
      <c r="A54" s="27" t="s">
        <v>173</v>
      </c>
      <c r="B54" s="27" t="s">
        <v>172</v>
      </c>
      <c r="C54" s="27" t="s">
        <v>174</v>
      </c>
      <c r="D54" s="31">
        <v>3057159</v>
      </c>
      <c r="E54" s="29">
        <v>1123.5059329999999</v>
      </c>
      <c r="F54" s="30">
        <v>0.31531487693736099</v>
      </c>
    </row>
    <row r="55" spans="1:9" x14ac:dyDescent="0.2">
      <c r="A55" s="27" t="s">
        <v>237</v>
      </c>
      <c r="B55" s="27" t="s">
        <v>236</v>
      </c>
      <c r="C55" s="27" t="s">
        <v>133</v>
      </c>
      <c r="D55" s="31">
        <v>1791828</v>
      </c>
      <c r="E55" s="29">
        <v>995.360454</v>
      </c>
      <c r="F55" s="30">
        <v>0.27935051328413901</v>
      </c>
    </row>
    <row r="56" spans="1:9" x14ac:dyDescent="0.2">
      <c r="A56" s="27" t="s">
        <v>557</v>
      </c>
      <c r="B56" s="27" t="s">
        <v>556</v>
      </c>
      <c r="C56" s="27" t="s">
        <v>115</v>
      </c>
      <c r="D56" s="31">
        <v>311857</v>
      </c>
      <c r="E56" s="29">
        <v>809.89262900000006</v>
      </c>
      <c r="F56" s="30">
        <v>0.227298483385589</v>
      </c>
    </row>
    <row r="57" spans="1:9" x14ac:dyDescent="0.2">
      <c r="A57" s="27" t="s">
        <v>272</v>
      </c>
      <c r="B57" s="27" t="s">
        <v>271</v>
      </c>
      <c r="C57" s="27" t="s">
        <v>188</v>
      </c>
      <c r="D57" s="31">
        <v>1695647</v>
      </c>
      <c r="E57" s="29">
        <v>793.56279600000005</v>
      </c>
      <c r="F57" s="30">
        <v>0.22271547306800701</v>
      </c>
    </row>
    <row r="58" spans="1:9" x14ac:dyDescent="0.2">
      <c r="A58" s="27" t="s">
        <v>543</v>
      </c>
      <c r="B58" s="27" t="s">
        <v>542</v>
      </c>
      <c r="C58" s="27" t="s">
        <v>257</v>
      </c>
      <c r="D58" s="31">
        <v>774842</v>
      </c>
      <c r="E58" s="29">
        <v>686.12259100000006</v>
      </c>
      <c r="F58" s="30">
        <v>0.192562098686406</v>
      </c>
    </row>
    <row r="59" spans="1:9" x14ac:dyDescent="0.2">
      <c r="A59" s="27" t="s">
        <v>555</v>
      </c>
      <c r="B59" s="27" t="s">
        <v>554</v>
      </c>
      <c r="C59" s="27" t="s">
        <v>174</v>
      </c>
      <c r="D59" s="31">
        <v>1488483</v>
      </c>
      <c r="E59" s="29">
        <v>168.94282050000001</v>
      </c>
      <c r="F59" s="30">
        <v>4.74142441893168E-2</v>
      </c>
    </row>
    <row r="60" spans="1:9" x14ac:dyDescent="0.2">
      <c r="A60" s="27" t="s">
        <v>176</v>
      </c>
      <c r="B60" s="27" t="s">
        <v>175</v>
      </c>
      <c r="C60" s="27" t="s">
        <v>167</v>
      </c>
      <c r="D60" s="31">
        <v>125663</v>
      </c>
      <c r="E60" s="29">
        <v>119.9453335</v>
      </c>
      <c r="F60" s="30">
        <v>3.3662971383492599E-2</v>
      </c>
    </row>
    <row r="61" spans="1:9" ht="10.5" x14ac:dyDescent="0.25">
      <c r="A61" s="26" t="s">
        <v>43</v>
      </c>
      <c r="B61" s="26"/>
      <c r="C61" s="26"/>
      <c r="D61" s="32"/>
      <c r="E61" s="33">
        <f>SUM(E7:E60)</f>
        <v>342034.85686799994</v>
      </c>
      <c r="F61" s="34">
        <f>SUM(F7:F60)</f>
        <v>95.992976658024702</v>
      </c>
      <c r="G61" s="18"/>
      <c r="H61" s="18"/>
      <c r="I61" s="18"/>
    </row>
    <row r="62" spans="1:9" x14ac:dyDescent="0.2">
      <c r="A62" s="27"/>
      <c r="B62" s="27"/>
      <c r="C62" s="27"/>
      <c r="D62" s="28"/>
      <c r="E62" s="29"/>
      <c r="F62" s="30"/>
    </row>
    <row r="63" spans="1:9" ht="10.5" x14ac:dyDescent="0.25">
      <c r="A63" s="26" t="s">
        <v>231</v>
      </c>
      <c r="B63" s="27"/>
      <c r="C63" s="27"/>
      <c r="D63" s="28"/>
      <c r="E63" s="29"/>
      <c r="F63" s="30"/>
    </row>
    <row r="64" spans="1:9" x14ac:dyDescent="0.2">
      <c r="A64" s="27" t="s">
        <v>232</v>
      </c>
      <c r="B64" s="27" t="s">
        <v>1570</v>
      </c>
      <c r="C64" s="27" t="s">
        <v>233</v>
      </c>
      <c r="D64" s="31">
        <v>30000</v>
      </c>
      <c r="E64" s="29">
        <v>3.0000000000000001E-3</v>
      </c>
      <c r="F64" s="30">
        <v>8.4195784199039201E-7</v>
      </c>
    </row>
    <row r="65" spans="1:9" x14ac:dyDescent="0.2">
      <c r="A65" s="27" t="s">
        <v>512</v>
      </c>
      <c r="B65" s="27" t="s">
        <v>1567</v>
      </c>
      <c r="C65" s="27" t="s">
        <v>188</v>
      </c>
      <c r="D65" s="31">
        <v>3500</v>
      </c>
      <c r="E65" s="29">
        <v>3.5E-4</v>
      </c>
      <c r="F65" s="30">
        <v>9.8228414898879097E-8</v>
      </c>
    </row>
    <row r="66" spans="1:9" x14ac:dyDescent="0.2">
      <c r="A66" s="27"/>
      <c r="B66" s="27" t="s">
        <v>1565</v>
      </c>
      <c r="C66" s="27" t="s">
        <v>188</v>
      </c>
      <c r="D66" s="31">
        <v>2900</v>
      </c>
      <c r="E66" s="29">
        <v>2.9E-4</v>
      </c>
      <c r="F66" s="30">
        <v>8.1389258059071295E-8</v>
      </c>
    </row>
    <row r="67" spans="1:9" ht="10.5" x14ac:dyDescent="0.25">
      <c r="A67" s="26" t="s">
        <v>43</v>
      </c>
      <c r="B67" s="26"/>
      <c r="C67" s="26"/>
      <c r="D67" s="32"/>
      <c r="E67" s="33">
        <f>SUM(E63:E66)</f>
        <v>3.64E-3</v>
      </c>
      <c r="F67" s="34">
        <f>SUM(F63:F66)</f>
        <v>1.0215755149483423E-6</v>
      </c>
      <c r="G67" s="18"/>
      <c r="H67" s="18"/>
      <c r="I67" s="18"/>
    </row>
    <row r="68" spans="1:9" x14ac:dyDescent="0.2">
      <c r="A68" s="27"/>
      <c r="B68" s="27"/>
      <c r="C68" s="27"/>
      <c r="D68" s="28"/>
      <c r="E68" s="29"/>
      <c r="F68" s="30"/>
    </row>
    <row r="69" spans="1:9" ht="10.5" x14ac:dyDescent="0.25">
      <c r="A69" s="26" t="s">
        <v>48</v>
      </c>
      <c r="B69" s="26"/>
      <c r="C69" s="26"/>
      <c r="D69" s="32"/>
      <c r="E69" s="33">
        <f>E61+E67</f>
        <v>342034.86050799995</v>
      </c>
      <c r="F69" s="34">
        <f>F61+F67</f>
        <v>95.992977679600216</v>
      </c>
      <c r="G69" s="18"/>
      <c r="H69" s="18"/>
      <c r="I69" s="18"/>
    </row>
    <row r="70" spans="1:9" ht="10.5" x14ac:dyDescent="0.25">
      <c r="A70" s="26"/>
      <c r="B70" s="26"/>
      <c r="C70" s="26"/>
      <c r="D70" s="32"/>
      <c r="E70" s="33"/>
      <c r="F70" s="34"/>
      <c r="G70" s="18"/>
      <c r="H70" s="18"/>
      <c r="I70" s="18"/>
    </row>
    <row r="71" spans="1:9" ht="10.5" x14ac:dyDescent="0.25">
      <c r="A71" s="26" t="s">
        <v>50</v>
      </c>
      <c r="B71" s="26"/>
      <c r="C71" s="26"/>
      <c r="D71" s="32"/>
      <c r="E71" s="33">
        <f>E73-(E61+E67)</f>
        <v>14277.51647610002</v>
      </c>
      <c r="F71" s="34">
        <f>F73-(F61+F67)</f>
        <v>4.0070223203997841</v>
      </c>
      <c r="G71" s="18"/>
      <c r="H71" s="18"/>
      <c r="I71" s="18"/>
    </row>
    <row r="72" spans="1:9" ht="10.5" x14ac:dyDescent="0.25">
      <c r="A72" s="26"/>
      <c r="B72" s="26"/>
      <c r="C72" s="26"/>
      <c r="D72" s="32"/>
      <c r="E72" s="33"/>
      <c r="F72" s="34"/>
      <c r="G72" s="18"/>
      <c r="H72" s="18"/>
      <c r="I72" s="18"/>
    </row>
    <row r="73" spans="1:9" ht="10.5" x14ac:dyDescent="0.25">
      <c r="A73" s="35" t="s">
        <v>49</v>
      </c>
      <c r="B73" s="35"/>
      <c r="C73" s="35"/>
      <c r="D73" s="36"/>
      <c r="E73" s="37">
        <v>356312.37698409997</v>
      </c>
      <c r="F73" s="38">
        <v>100</v>
      </c>
      <c r="G73" s="18"/>
      <c r="H73" s="18"/>
      <c r="I73" s="18"/>
    </row>
    <row r="74" spans="1:9" ht="10.5" x14ac:dyDescent="0.25">
      <c r="F74" s="20" t="s">
        <v>61</v>
      </c>
    </row>
    <row r="75" spans="1:9" ht="10.5" x14ac:dyDescent="0.25">
      <c r="A75" s="18" t="s">
        <v>766</v>
      </c>
    </row>
    <row r="77" spans="1:9" ht="10.5" x14ac:dyDescent="0.25">
      <c r="A77" s="18" t="s">
        <v>51</v>
      </c>
    </row>
    <row r="78" spans="1:9" ht="10.5" x14ac:dyDescent="0.25">
      <c r="A78" s="18" t="s">
        <v>52</v>
      </c>
    </row>
    <row r="79" spans="1:9" ht="10.5" x14ac:dyDescent="0.25">
      <c r="A79" s="18" t="s">
        <v>53</v>
      </c>
      <c r="B79" s="18"/>
      <c r="C79" s="39" t="s">
        <v>55</v>
      </c>
      <c r="D79" s="19" t="s">
        <v>54</v>
      </c>
    </row>
    <row r="80" spans="1:9" x14ac:dyDescent="0.2">
      <c r="A80" s="9" t="s">
        <v>71</v>
      </c>
      <c r="C80" s="40">
        <v>441.05119999999999</v>
      </c>
      <c r="D80" s="40">
        <v>517.13170000000002</v>
      </c>
    </row>
    <row r="81" spans="1:4" x14ac:dyDescent="0.2">
      <c r="A81" s="9" t="s">
        <v>77</v>
      </c>
      <c r="C81" s="40">
        <v>29.331099999999999</v>
      </c>
      <c r="D81" s="40">
        <v>34.390700000000002</v>
      </c>
    </row>
    <row r="82" spans="1:4" x14ac:dyDescent="0.2">
      <c r="A82" s="9" t="s">
        <v>74</v>
      </c>
      <c r="C82" s="40">
        <v>470.79070000000002</v>
      </c>
      <c r="D82" s="40">
        <v>554.56349999999998</v>
      </c>
    </row>
    <row r="83" spans="1:4" x14ac:dyDescent="0.2">
      <c r="A83" s="9" t="s">
        <v>78</v>
      </c>
      <c r="C83" s="40">
        <v>32.086500000000001</v>
      </c>
      <c r="D83" s="40">
        <v>37.795699999999997</v>
      </c>
    </row>
    <row r="85" spans="1:4" ht="10.5" x14ac:dyDescent="0.25">
      <c r="A85" s="18" t="s">
        <v>56</v>
      </c>
      <c r="D85" s="41" t="s">
        <v>57</v>
      </c>
    </row>
    <row r="87" spans="1:4" ht="10.5" x14ac:dyDescent="0.25">
      <c r="A87" s="18" t="s">
        <v>224</v>
      </c>
      <c r="D87" s="45">
        <v>7.6562647099416306E-2</v>
      </c>
    </row>
  </sheetData>
  <mergeCells count="1">
    <mergeCell ref="A1:F1"/>
  </mergeCells>
  <conditionalFormatting sqref="F2:F3 F5:F65537">
    <cfRule type="cellIs" dxfId="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I26"/>
  <sheetViews>
    <sheetView workbookViewId="0">
      <selection sqref="A1:E1"/>
    </sheetView>
  </sheetViews>
  <sheetFormatPr defaultColWidth="9.1796875" defaultRowHeight="10" x14ac:dyDescent="0.2"/>
  <cols>
    <col min="1" max="1" width="35" style="9" bestFit="1" customWidth="1"/>
    <col min="2" max="2" width="33.54296875" style="9" bestFit="1" customWidth="1"/>
    <col min="3" max="3" width="18.81640625" style="9" bestFit="1" customWidth="1"/>
    <col min="4" max="4" width="23" style="10" bestFit="1" customWidth="1"/>
    <col min="5" max="5" width="13.54296875" style="13" customWidth="1"/>
    <col min="6" max="6" width="13.54296875" style="14" bestFit="1" customWidth="1"/>
    <col min="7" max="16384" width="9.1796875" style="9"/>
  </cols>
  <sheetData>
    <row r="1" spans="1:9" s="1" customFormat="1" ht="15" customHeight="1" x14ac:dyDescent="0.25">
      <c r="A1" s="79" t="s">
        <v>24</v>
      </c>
      <c r="B1" s="80"/>
      <c r="C1" s="80"/>
      <c r="D1" s="80"/>
      <c r="E1" s="80"/>
    </row>
    <row r="2" spans="1:9" s="1" customFormat="1" ht="11.5" x14ac:dyDescent="0.25">
      <c r="D2" s="6"/>
      <c r="E2" s="7"/>
      <c r="F2" s="12"/>
    </row>
    <row r="3" spans="1:9" s="1" customFormat="1" ht="11.5" x14ac:dyDescent="0.25">
      <c r="A3" s="11" t="s">
        <v>7</v>
      </c>
      <c r="B3" s="2"/>
      <c r="C3" s="3"/>
      <c r="D3" s="4"/>
      <c r="E3" s="5"/>
      <c r="F3" s="12"/>
    </row>
    <row r="4" spans="1:9" s="1" customFormat="1" ht="17.5" customHeight="1" x14ac:dyDescent="0.25">
      <c r="A4" s="8" t="s">
        <v>2</v>
      </c>
      <c r="B4" s="8" t="s">
        <v>0</v>
      </c>
      <c r="C4" s="16" t="s">
        <v>1</v>
      </c>
      <c r="D4" s="15" t="s">
        <v>3</v>
      </c>
      <c r="E4" s="15" t="s">
        <v>4</v>
      </c>
    </row>
    <row r="5" spans="1:9" ht="10.5" x14ac:dyDescent="0.25">
      <c r="A5" s="21" t="s">
        <v>364</v>
      </c>
      <c r="B5" s="22"/>
      <c r="C5" s="23"/>
      <c r="D5" s="24"/>
      <c r="E5" s="25"/>
    </row>
    <row r="6" spans="1:9" x14ac:dyDescent="0.2">
      <c r="A6" s="27" t="s">
        <v>679</v>
      </c>
      <c r="B6" s="27" t="s">
        <v>678</v>
      </c>
      <c r="C6" s="31">
        <v>4772414.358</v>
      </c>
      <c r="D6" s="29">
        <v>227684.90345000001</v>
      </c>
      <c r="E6" s="30">
        <v>99.792895497486896</v>
      </c>
    </row>
    <row r="7" spans="1:9" ht="10.5" x14ac:dyDescent="0.25">
      <c r="A7" s="26" t="s">
        <v>43</v>
      </c>
      <c r="B7" s="26"/>
      <c r="C7" s="32"/>
      <c r="D7" s="33">
        <f>SUM(D6:D6)</f>
        <v>227684.90345000001</v>
      </c>
      <c r="E7" s="34">
        <f>SUM(E6:E6)</f>
        <v>99.792895497486896</v>
      </c>
      <c r="G7" s="18"/>
      <c r="H7" s="18"/>
      <c r="I7" s="18"/>
    </row>
    <row r="8" spans="1:9" x14ac:dyDescent="0.2">
      <c r="A8" s="27"/>
      <c r="B8" s="27"/>
      <c r="C8" s="28"/>
      <c r="D8" s="29"/>
      <c r="E8" s="30"/>
    </row>
    <row r="9" spans="1:9" ht="10.5" x14ac:dyDescent="0.25">
      <c r="A9" s="26" t="s">
        <v>48</v>
      </c>
      <c r="B9" s="26"/>
      <c r="C9" s="32"/>
      <c r="D9" s="33">
        <f>D7</f>
        <v>227684.90345000001</v>
      </c>
      <c r="E9" s="34">
        <f>E7</f>
        <v>99.792895497486896</v>
      </c>
      <c r="G9" s="18"/>
      <c r="H9" s="18"/>
      <c r="I9" s="18"/>
    </row>
    <row r="10" spans="1:9" ht="10.5" x14ac:dyDescent="0.25">
      <c r="A10" s="26"/>
      <c r="B10" s="26"/>
      <c r="C10" s="32"/>
      <c r="D10" s="33"/>
      <c r="E10" s="34"/>
      <c r="G10" s="18"/>
      <c r="H10" s="18"/>
      <c r="I10" s="18"/>
    </row>
    <row r="11" spans="1:9" ht="10.5" x14ac:dyDescent="0.25">
      <c r="A11" s="26" t="s">
        <v>50</v>
      </c>
      <c r="B11" s="26"/>
      <c r="C11" s="32"/>
      <c r="D11" s="33">
        <f>D13-(D7)</f>
        <v>472.52430569997523</v>
      </c>
      <c r="E11" s="34">
        <f>E13-(E7)</f>
        <v>0.20710450251310419</v>
      </c>
      <c r="G11" s="18"/>
      <c r="H11" s="18"/>
      <c r="I11" s="18"/>
    </row>
    <row r="12" spans="1:9" ht="10.5" x14ac:dyDescent="0.25">
      <c r="A12" s="26"/>
      <c r="B12" s="26"/>
      <c r="C12" s="32"/>
      <c r="D12" s="33"/>
      <c r="E12" s="34"/>
      <c r="G12" s="18"/>
      <c r="H12" s="18"/>
      <c r="I12" s="18"/>
    </row>
    <row r="13" spans="1:9" ht="10.5" x14ac:dyDescent="0.25">
      <c r="A13" s="35" t="s">
        <v>49</v>
      </c>
      <c r="B13" s="35"/>
      <c r="C13" s="36"/>
      <c r="D13" s="37">
        <v>228157.42775569999</v>
      </c>
      <c r="E13" s="38">
        <v>100</v>
      </c>
      <c r="G13" s="18"/>
      <c r="H13" s="18"/>
      <c r="I13" s="18"/>
    </row>
    <row r="14" spans="1:9" x14ac:dyDescent="0.2">
      <c r="C14" s="10"/>
      <c r="D14" s="13"/>
      <c r="E14" s="14"/>
    </row>
    <row r="16" spans="1:9" ht="10.5" x14ac:dyDescent="0.25">
      <c r="A16" s="18" t="s">
        <v>51</v>
      </c>
    </row>
    <row r="17" spans="1:4" ht="10.5" x14ac:dyDescent="0.25">
      <c r="A17" s="18" t="s">
        <v>52</v>
      </c>
    </row>
    <row r="18" spans="1:4" ht="10.5" x14ac:dyDescent="0.25">
      <c r="A18" s="18" t="s">
        <v>53</v>
      </c>
      <c r="B18" s="18"/>
      <c r="C18" s="39" t="s">
        <v>55</v>
      </c>
      <c r="D18" s="41" t="s">
        <v>54</v>
      </c>
    </row>
    <row r="19" spans="1:4" x14ac:dyDescent="0.2">
      <c r="A19" s="9" t="s">
        <v>71</v>
      </c>
      <c r="C19" s="40">
        <v>36.816800000000001</v>
      </c>
      <c r="D19" s="40">
        <v>44.8508</v>
      </c>
    </row>
    <row r="20" spans="1:4" x14ac:dyDescent="0.2">
      <c r="A20" s="9" t="s">
        <v>77</v>
      </c>
      <c r="C20" s="40">
        <v>36.816800000000001</v>
      </c>
      <c r="D20" s="40">
        <v>44.8508</v>
      </c>
    </row>
    <row r="21" spans="1:4" x14ac:dyDescent="0.2">
      <c r="A21" s="9" t="s">
        <v>74</v>
      </c>
      <c r="C21" s="40">
        <v>39.522100000000002</v>
      </c>
      <c r="D21" s="40">
        <v>48.3795</v>
      </c>
    </row>
    <row r="22" spans="1:4" x14ac:dyDescent="0.2">
      <c r="A22" s="9" t="s">
        <v>78</v>
      </c>
      <c r="C22" s="40">
        <v>39.522100000000002</v>
      </c>
      <c r="D22" s="40">
        <v>48.3795</v>
      </c>
    </row>
    <row r="24" spans="1:4" ht="10.5" x14ac:dyDescent="0.25">
      <c r="A24" s="18" t="s">
        <v>56</v>
      </c>
      <c r="D24" s="41" t="s">
        <v>57</v>
      </c>
    </row>
    <row r="26" spans="1:4" ht="10.5" x14ac:dyDescent="0.25">
      <c r="A26" s="18" t="s">
        <v>224</v>
      </c>
      <c r="D26" s="45">
        <v>1.85425926125901E-2</v>
      </c>
    </row>
  </sheetData>
  <mergeCells count="1">
    <mergeCell ref="A1:E1"/>
  </mergeCells>
  <conditionalFormatting sqref="F2:F3 F15:F65536 E5:E14">
    <cfRule type="cellIs" dxfId="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8"/>
  <sheetViews>
    <sheetView workbookViewId="0">
      <selection sqref="A1:E1"/>
    </sheetView>
  </sheetViews>
  <sheetFormatPr defaultColWidth="9.1796875" defaultRowHeight="10" x14ac:dyDescent="0.2"/>
  <cols>
    <col min="1" max="1" width="35" style="9" bestFit="1" customWidth="1"/>
    <col min="2" max="2" width="39.26953125" style="9" bestFit="1" customWidth="1"/>
    <col min="3" max="3" width="18.81640625" style="9" bestFit="1" customWidth="1"/>
    <col min="4" max="4" width="23" style="10" bestFit="1" customWidth="1"/>
    <col min="5" max="5" width="13.54296875" style="13" bestFit="1" customWidth="1"/>
    <col min="6" max="6" width="13.54296875" style="14" bestFit="1" customWidth="1"/>
    <col min="7" max="16384" width="9.1796875" style="9"/>
  </cols>
  <sheetData>
    <row r="1" spans="1:9" s="1" customFormat="1" ht="15" customHeight="1" x14ac:dyDescent="0.25">
      <c r="A1" s="79" t="s">
        <v>718</v>
      </c>
      <c r="B1" s="80"/>
      <c r="C1" s="80"/>
      <c r="D1" s="80"/>
      <c r="E1" s="80"/>
    </row>
    <row r="2" spans="1:9" s="1" customFormat="1" ht="11.5" x14ac:dyDescent="0.25">
      <c r="D2" s="6"/>
      <c r="E2" s="7"/>
      <c r="F2" s="12"/>
    </row>
    <row r="3" spans="1:9" s="1" customFormat="1" ht="11.5" x14ac:dyDescent="0.25">
      <c r="A3" s="11" t="s">
        <v>7</v>
      </c>
      <c r="B3" s="2"/>
      <c r="C3" s="3"/>
      <c r="D3" s="4"/>
      <c r="E3" s="5"/>
      <c r="F3" s="12"/>
    </row>
    <row r="4" spans="1:9" s="1" customFormat="1" ht="17.5" customHeight="1" x14ac:dyDescent="0.25">
      <c r="A4" s="8" t="s">
        <v>2</v>
      </c>
      <c r="B4" s="8" t="s">
        <v>0</v>
      </c>
      <c r="C4" s="16" t="s">
        <v>1</v>
      </c>
      <c r="D4" s="15" t="s">
        <v>3</v>
      </c>
      <c r="E4" s="15" t="s">
        <v>4</v>
      </c>
    </row>
    <row r="5" spans="1:9" ht="10.5" x14ac:dyDescent="0.25">
      <c r="A5" s="21" t="s">
        <v>364</v>
      </c>
      <c r="B5" s="22"/>
      <c r="C5" s="23"/>
      <c r="D5" s="24"/>
      <c r="E5" s="25"/>
    </row>
    <row r="6" spans="1:9" x14ac:dyDescent="0.2">
      <c r="A6" s="27" t="s">
        <v>681</v>
      </c>
      <c r="B6" s="27" t="s">
        <v>680</v>
      </c>
      <c r="C6" s="31">
        <v>83414.038</v>
      </c>
      <c r="D6" s="29">
        <v>1656.5630229999999</v>
      </c>
      <c r="E6" s="30">
        <v>98.058824752860602</v>
      </c>
    </row>
    <row r="7" spans="1:9" ht="10.5" x14ac:dyDescent="0.25">
      <c r="A7" s="26" t="s">
        <v>43</v>
      </c>
      <c r="B7" s="26"/>
      <c r="C7" s="32"/>
      <c r="D7" s="33">
        <f>SUM(D6:D6)</f>
        <v>1656.5630229999999</v>
      </c>
      <c r="E7" s="34">
        <f>SUM(E6:E6)</f>
        <v>98.058824752860602</v>
      </c>
      <c r="G7" s="18"/>
      <c r="H7" s="18"/>
      <c r="I7" s="18"/>
    </row>
    <row r="8" spans="1:9" x14ac:dyDescent="0.2">
      <c r="A8" s="27"/>
      <c r="B8" s="27"/>
      <c r="C8" s="28"/>
      <c r="D8" s="29"/>
      <c r="E8" s="30"/>
    </row>
    <row r="9" spans="1:9" ht="10.5" x14ac:dyDescent="0.25">
      <c r="A9" s="26" t="s">
        <v>48</v>
      </c>
      <c r="B9" s="26"/>
      <c r="C9" s="32"/>
      <c r="D9" s="33">
        <f>D7</f>
        <v>1656.5630229999999</v>
      </c>
      <c r="E9" s="34">
        <f>E7</f>
        <v>98.058824752860602</v>
      </c>
      <c r="G9" s="18"/>
      <c r="H9" s="18"/>
      <c r="I9" s="18"/>
    </row>
    <row r="10" spans="1:9" ht="10.5" x14ac:dyDescent="0.25">
      <c r="A10" s="26"/>
      <c r="B10" s="26"/>
      <c r="C10" s="32"/>
      <c r="D10" s="33"/>
      <c r="E10" s="34"/>
      <c r="G10" s="18"/>
      <c r="H10" s="18"/>
      <c r="I10" s="18"/>
    </row>
    <row r="11" spans="1:9" ht="10.5" x14ac:dyDescent="0.25">
      <c r="A11" s="26" t="s">
        <v>50</v>
      </c>
      <c r="B11" s="26"/>
      <c r="C11" s="32"/>
      <c r="D11" s="33">
        <f>D13-(D7)</f>
        <v>32.79336810000018</v>
      </c>
      <c r="E11" s="34">
        <f>E13-(E7)</f>
        <v>1.9411752471393982</v>
      </c>
      <c r="G11" s="18"/>
      <c r="H11" s="18"/>
      <c r="I11" s="18"/>
    </row>
    <row r="12" spans="1:9" ht="10.5" x14ac:dyDescent="0.25">
      <c r="A12" s="26"/>
      <c r="B12" s="26"/>
      <c r="C12" s="32"/>
      <c r="D12" s="33"/>
      <c r="E12" s="34"/>
      <c r="G12" s="18"/>
      <c r="H12" s="18"/>
      <c r="I12" s="18"/>
    </row>
    <row r="13" spans="1:9" ht="10.5" x14ac:dyDescent="0.25">
      <c r="A13" s="35" t="s">
        <v>49</v>
      </c>
      <c r="B13" s="35"/>
      <c r="C13" s="36"/>
      <c r="D13" s="37">
        <v>1689.3563911000001</v>
      </c>
      <c r="E13" s="38">
        <v>100</v>
      </c>
      <c r="G13" s="18"/>
      <c r="H13" s="18"/>
      <c r="I13" s="18"/>
    </row>
    <row r="16" spans="1:9" ht="10.5" x14ac:dyDescent="0.25">
      <c r="A16" s="18" t="s">
        <v>51</v>
      </c>
    </row>
    <row r="17" spans="1:4" ht="10.5" x14ac:dyDescent="0.25">
      <c r="A17" s="18" t="s">
        <v>52</v>
      </c>
    </row>
    <row r="18" spans="1:4" ht="10.5" x14ac:dyDescent="0.25">
      <c r="A18" s="18" t="s">
        <v>53</v>
      </c>
      <c r="B18" s="18"/>
      <c r="C18" s="39" t="s">
        <v>55</v>
      </c>
      <c r="D18" s="41" t="s">
        <v>54</v>
      </c>
    </row>
    <row r="19" spans="1:4" x14ac:dyDescent="0.2">
      <c r="A19" s="9" t="s">
        <v>71</v>
      </c>
      <c r="C19" s="40">
        <v>7.5301</v>
      </c>
      <c r="D19" s="40">
        <v>7.532</v>
      </c>
    </row>
    <row r="20" spans="1:4" x14ac:dyDescent="0.2">
      <c r="A20" s="9" t="s">
        <v>77</v>
      </c>
      <c r="C20" s="40">
        <v>7.5301</v>
      </c>
      <c r="D20" s="40">
        <v>7.532</v>
      </c>
    </row>
    <row r="21" spans="1:4" x14ac:dyDescent="0.2">
      <c r="A21" s="9" t="s">
        <v>74</v>
      </c>
      <c r="C21" s="40">
        <v>8.1065000000000005</v>
      </c>
      <c r="D21" s="40">
        <v>8.1431000000000004</v>
      </c>
    </row>
    <row r="22" spans="1:4" x14ac:dyDescent="0.2">
      <c r="A22" s="9" t="s">
        <v>78</v>
      </c>
      <c r="C22" s="40">
        <v>8.1065000000000005</v>
      </c>
      <c r="D22" s="40">
        <v>8.1431000000000004</v>
      </c>
    </row>
    <row r="24" spans="1:4" ht="10.5" x14ac:dyDescent="0.25">
      <c r="A24" s="18" t="s">
        <v>56</v>
      </c>
      <c r="D24" s="41" t="s">
        <v>57</v>
      </c>
    </row>
    <row r="26" spans="1:4" ht="10.5" x14ac:dyDescent="0.25">
      <c r="A26" s="18" t="s">
        <v>224</v>
      </c>
      <c r="D26" s="45">
        <v>9.5912339453764303E-2</v>
      </c>
    </row>
    <row r="28" spans="1:4" ht="10.5" x14ac:dyDescent="0.25">
      <c r="A28" s="18" t="s">
        <v>717</v>
      </c>
    </row>
  </sheetData>
  <mergeCells count="1">
    <mergeCell ref="A1:E1"/>
  </mergeCells>
  <conditionalFormatting sqref="F2:F3 F14:F65536 E5:E13">
    <cfRule type="cellIs" dxfId="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I31"/>
  <sheetViews>
    <sheetView workbookViewId="0">
      <selection sqref="A1:E1"/>
    </sheetView>
  </sheetViews>
  <sheetFormatPr defaultColWidth="9.1796875" defaultRowHeight="10" x14ac:dyDescent="0.2"/>
  <cols>
    <col min="1" max="1" width="35" style="9" bestFit="1" customWidth="1"/>
    <col min="2" max="2" width="48.7265625" style="9" customWidth="1"/>
    <col min="3" max="3" width="15.26953125" style="9" bestFit="1" customWidth="1"/>
    <col min="4" max="4" width="23" style="10" bestFit="1" customWidth="1"/>
    <col min="5" max="5" width="13.54296875" style="13" customWidth="1"/>
    <col min="6" max="6" width="14.7265625" style="14" bestFit="1" customWidth="1"/>
    <col min="7" max="16384" width="9.1796875" style="9"/>
  </cols>
  <sheetData>
    <row r="1" spans="1:9" s="1" customFormat="1" ht="15" customHeight="1" x14ac:dyDescent="0.25">
      <c r="A1" s="79" t="s">
        <v>25</v>
      </c>
      <c r="B1" s="80"/>
      <c r="C1" s="80"/>
      <c r="D1" s="80"/>
      <c r="E1" s="80"/>
    </row>
    <row r="2" spans="1:9" s="1" customFormat="1" ht="11.5" x14ac:dyDescent="0.25">
      <c r="D2" s="6"/>
      <c r="E2" s="7"/>
      <c r="F2" s="12"/>
    </row>
    <row r="3" spans="1:9" s="1" customFormat="1" ht="11.5" x14ac:dyDescent="0.25">
      <c r="A3" s="11" t="s">
        <v>711</v>
      </c>
      <c r="B3" s="2"/>
      <c r="C3" s="3"/>
      <c r="D3" s="4"/>
      <c r="E3" s="5"/>
      <c r="F3" s="12"/>
    </row>
    <row r="4" spans="1:9" s="1" customFormat="1" ht="17.5" customHeight="1" x14ac:dyDescent="0.25">
      <c r="A4" s="8" t="s">
        <v>2</v>
      </c>
      <c r="B4" s="8" t="s">
        <v>0</v>
      </c>
      <c r="C4" s="16" t="s">
        <v>1</v>
      </c>
      <c r="D4" s="15" t="s">
        <v>3</v>
      </c>
      <c r="E4" s="15" t="s">
        <v>4</v>
      </c>
    </row>
    <row r="5" spans="1:9" ht="10.5" x14ac:dyDescent="0.25">
      <c r="A5" s="21" t="s">
        <v>682</v>
      </c>
      <c r="B5" s="22"/>
      <c r="C5" s="23"/>
      <c r="D5" s="24"/>
      <c r="E5" s="25"/>
    </row>
    <row r="6" spans="1:9" x14ac:dyDescent="0.2">
      <c r="A6" s="27" t="s">
        <v>684</v>
      </c>
      <c r="B6" s="27" t="s">
        <v>683</v>
      </c>
      <c r="C6" s="31">
        <v>117090.076</v>
      </c>
      <c r="D6" s="29">
        <v>549.27481560000001</v>
      </c>
      <c r="E6" s="30">
        <v>29.2392422349381</v>
      </c>
    </row>
    <row r="7" spans="1:9" ht="20" x14ac:dyDescent="0.2">
      <c r="A7" s="27" t="s">
        <v>686</v>
      </c>
      <c r="B7" s="46" t="s">
        <v>685</v>
      </c>
      <c r="C7" s="31">
        <v>27213.78</v>
      </c>
      <c r="D7" s="29">
        <v>531.68789330000004</v>
      </c>
      <c r="E7" s="30">
        <v>28.303047334512801</v>
      </c>
    </row>
    <row r="8" spans="1:9" x14ac:dyDescent="0.2">
      <c r="A8" s="27" t="s">
        <v>688</v>
      </c>
      <c r="B8" s="27" t="s">
        <v>687</v>
      </c>
      <c r="C8" s="31">
        <v>894954</v>
      </c>
      <c r="D8" s="29">
        <v>396.91209900000001</v>
      </c>
      <c r="E8" s="30">
        <v>21.128602075013301</v>
      </c>
    </row>
    <row r="9" spans="1:9" ht="20" x14ac:dyDescent="0.2">
      <c r="A9" s="27" t="s">
        <v>692</v>
      </c>
      <c r="B9" s="47" t="s">
        <v>691</v>
      </c>
      <c r="C9" s="31">
        <v>22876.138999999999</v>
      </c>
      <c r="D9" s="29">
        <v>0</v>
      </c>
      <c r="E9" s="29">
        <v>0</v>
      </c>
    </row>
    <row r="10" spans="1:9" ht="20" x14ac:dyDescent="0.2">
      <c r="A10" s="27" t="s">
        <v>690</v>
      </c>
      <c r="B10" s="46" t="s">
        <v>689</v>
      </c>
      <c r="C10" s="31">
        <v>23973.544999999998</v>
      </c>
      <c r="D10" s="29">
        <v>0</v>
      </c>
      <c r="E10" s="29">
        <v>0</v>
      </c>
    </row>
    <row r="11" spans="1:9" ht="10.5" x14ac:dyDescent="0.25">
      <c r="A11" s="26" t="s">
        <v>43</v>
      </c>
      <c r="B11" s="26"/>
      <c r="C11" s="32"/>
      <c r="D11" s="33">
        <f>SUM(D6:D10)</f>
        <v>1477.8748079000002</v>
      </c>
      <c r="E11" s="34">
        <f>SUM(E6:E10)</f>
        <v>78.670891644464206</v>
      </c>
      <c r="G11" s="18"/>
      <c r="H11" s="18"/>
      <c r="I11" s="18"/>
    </row>
    <row r="12" spans="1:9" x14ac:dyDescent="0.2">
      <c r="A12" s="27"/>
      <c r="B12" s="27"/>
      <c r="C12" s="28"/>
      <c r="D12" s="29"/>
      <c r="E12" s="30"/>
    </row>
    <row r="13" spans="1:9" ht="10.5" x14ac:dyDescent="0.25">
      <c r="A13" s="26" t="s">
        <v>48</v>
      </c>
      <c r="B13" s="26"/>
      <c r="C13" s="32"/>
      <c r="D13" s="33">
        <f>D11</f>
        <v>1477.8748079000002</v>
      </c>
      <c r="E13" s="34">
        <f>E11</f>
        <v>78.670891644464206</v>
      </c>
      <c r="G13" s="18"/>
      <c r="H13" s="18"/>
      <c r="I13" s="18"/>
    </row>
    <row r="14" spans="1:9" ht="10.5" x14ac:dyDescent="0.25">
      <c r="A14" s="26"/>
      <c r="B14" s="26"/>
      <c r="C14" s="32"/>
      <c r="D14" s="33"/>
      <c r="E14" s="34"/>
      <c r="G14" s="18"/>
      <c r="H14" s="18"/>
      <c r="I14" s="18"/>
    </row>
    <row r="15" spans="1:9" ht="10.5" x14ac:dyDescent="0.25">
      <c r="A15" s="26" t="s">
        <v>50</v>
      </c>
      <c r="B15" s="26"/>
      <c r="C15" s="32"/>
      <c r="D15" s="33">
        <f>D17-(D11)</f>
        <v>400.67871679999985</v>
      </c>
      <c r="E15" s="34">
        <f>E17-(E11)</f>
        <v>21.329108355535794</v>
      </c>
      <c r="G15" s="18"/>
      <c r="H15" s="18"/>
      <c r="I15" s="18"/>
    </row>
    <row r="16" spans="1:9" ht="10.5" x14ac:dyDescent="0.25">
      <c r="A16" s="26"/>
      <c r="B16" s="26"/>
      <c r="C16" s="32"/>
      <c r="D16" s="33"/>
      <c r="E16" s="34"/>
      <c r="G16" s="18"/>
      <c r="H16" s="18"/>
      <c r="I16" s="18"/>
    </row>
    <row r="17" spans="1:9" ht="10.5" x14ac:dyDescent="0.25">
      <c r="A17" s="35" t="s">
        <v>49</v>
      </c>
      <c r="B17" s="35"/>
      <c r="C17" s="36"/>
      <c r="D17" s="37">
        <v>1878.5535247</v>
      </c>
      <c r="E17" s="38">
        <v>100</v>
      </c>
      <c r="G17" s="18"/>
      <c r="H17" s="18"/>
      <c r="I17" s="18"/>
    </row>
    <row r="18" spans="1:9" ht="10.5" x14ac:dyDescent="0.25">
      <c r="C18" s="10"/>
      <c r="D18" s="13"/>
      <c r="E18" s="20"/>
    </row>
    <row r="19" spans="1:9" ht="10.5" x14ac:dyDescent="0.25">
      <c r="A19" s="18" t="s">
        <v>712</v>
      </c>
    </row>
    <row r="21" spans="1:9" ht="10.5" x14ac:dyDescent="0.25">
      <c r="A21" s="18" t="s">
        <v>51</v>
      </c>
    </row>
    <row r="22" spans="1:9" ht="10.5" x14ac:dyDescent="0.25">
      <c r="A22" s="18" t="s">
        <v>713</v>
      </c>
    </row>
    <row r="23" spans="1:9" ht="10.5" x14ac:dyDescent="0.25">
      <c r="A23" s="18" t="s">
        <v>53</v>
      </c>
      <c r="B23" s="18"/>
      <c r="C23" s="39" t="s">
        <v>55</v>
      </c>
      <c r="D23" s="41" t="s">
        <v>714</v>
      </c>
    </row>
    <row r="24" spans="1:9" x14ac:dyDescent="0.2">
      <c r="A24" s="9" t="s">
        <v>71</v>
      </c>
      <c r="C24" s="40">
        <v>9.8952000000000009</v>
      </c>
      <c r="D24" s="40">
        <v>10.552899999999999</v>
      </c>
    </row>
    <row r="25" spans="1:9" x14ac:dyDescent="0.2">
      <c r="A25" s="9" t="s">
        <v>77</v>
      </c>
      <c r="C25" s="40">
        <v>9.8952000000000009</v>
      </c>
      <c r="D25" s="40">
        <v>10.552899999999999</v>
      </c>
    </row>
    <row r="26" spans="1:9" x14ac:dyDescent="0.2">
      <c r="A26" s="9" t="s">
        <v>74</v>
      </c>
      <c r="C26" s="40">
        <v>10.638999999999999</v>
      </c>
      <c r="D26" s="40">
        <v>11.382199999999999</v>
      </c>
    </row>
    <row r="27" spans="1:9" x14ac:dyDescent="0.2">
      <c r="A27" s="9" t="s">
        <v>78</v>
      </c>
      <c r="C27" s="40">
        <v>10.638999999999999</v>
      </c>
      <c r="D27" s="40">
        <v>11.382199999999999</v>
      </c>
    </row>
    <row r="29" spans="1:9" ht="10.5" x14ac:dyDescent="0.25">
      <c r="A29" s="18" t="s">
        <v>715</v>
      </c>
      <c r="D29" s="41" t="s">
        <v>57</v>
      </c>
    </row>
    <row r="31" spans="1:9" ht="10.5" x14ac:dyDescent="0.25">
      <c r="A31" s="18" t="s">
        <v>716</v>
      </c>
      <c r="D31" s="48">
        <v>0.36397957012056598</v>
      </c>
    </row>
  </sheetData>
  <mergeCells count="1">
    <mergeCell ref="A1:E1"/>
  </mergeCells>
  <conditionalFormatting sqref="F2:F3 F19:F65536 E5:E8 E11:E18">
    <cfRule type="cellIs" dxfId="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I32"/>
  <sheetViews>
    <sheetView workbookViewId="0">
      <selection sqref="A1:E1"/>
    </sheetView>
  </sheetViews>
  <sheetFormatPr defaultColWidth="9.1796875" defaultRowHeight="10" x14ac:dyDescent="0.2"/>
  <cols>
    <col min="1" max="1" width="35" style="9" bestFit="1" customWidth="1"/>
    <col min="2" max="2" width="34.453125" style="9" bestFit="1" customWidth="1"/>
    <col min="3" max="3" width="21.1796875" style="9" bestFit="1" customWidth="1"/>
    <col min="4" max="4" width="23" style="10" bestFit="1" customWidth="1"/>
    <col min="5" max="5" width="13.54296875" style="13" customWidth="1"/>
    <col min="6" max="6" width="13.54296875" style="14" bestFit="1" customWidth="1"/>
    <col min="7" max="16384" width="9.1796875" style="9"/>
  </cols>
  <sheetData>
    <row r="1" spans="1:9" s="1" customFormat="1" ht="15" customHeight="1" x14ac:dyDescent="0.25">
      <c r="A1" s="79" t="s">
        <v>26</v>
      </c>
      <c r="B1" s="80"/>
      <c r="C1" s="80"/>
      <c r="D1" s="80"/>
      <c r="E1" s="80"/>
    </row>
    <row r="2" spans="1:9" s="1" customFormat="1" ht="11.5" x14ac:dyDescent="0.25">
      <c r="D2" s="6"/>
      <c r="E2" s="7"/>
      <c r="F2" s="12"/>
    </row>
    <row r="3" spans="1:9" s="1" customFormat="1" ht="11.5" x14ac:dyDescent="0.25">
      <c r="A3" s="11" t="s">
        <v>711</v>
      </c>
      <c r="B3" s="2"/>
      <c r="C3" s="3"/>
      <c r="D3" s="4"/>
      <c r="E3" s="5"/>
      <c r="F3" s="12"/>
    </row>
    <row r="4" spans="1:9" s="1" customFormat="1" ht="17.5" customHeight="1" x14ac:dyDescent="0.25">
      <c r="A4" s="8" t="s">
        <v>2</v>
      </c>
      <c r="B4" s="8" t="s">
        <v>0</v>
      </c>
      <c r="C4" s="16" t="s">
        <v>1</v>
      </c>
      <c r="D4" s="15" t="s">
        <v>3</v>
      </c>
      <c r="E4" s="15" t="s">
        <v>4</v>
      </c>
    </row>
    <row r="5" spans="1:9" ht="10.5" x14ac:dyDescent="0.25">
      <c r="A5" s="21" t="s">
        <v>682</v>
      </c>
      <c r="B5" s="22"/>
      <c r="C5" s="23"/>
      <c r="D5" s="24"/>
      <c r="E5" s="25"/>
    </row>
    <row r="6" spans="1:9" x14ac:dyDescent="0.2">
      <c r="A6" s="27" t="s">
        <v>694</v>
      </c>
      <c r="B6" s="27" t="s">
        <v>693</v>
      </c>
      <c r="C6" s="31">
        <v>4260105.8660000004</v>
      </c>
      <c r="D6" s="29">
        <v>1677.0758760000001</v>
      </c>
      <c r="E6" s="30">
        <v>79.592562213746803</v>
      </c>
    </row>
    <row r="7" spans="1:9" x14ac:dyDescent="0.2">
      <c r="A7" s="27" t="s">
        <v>684</v>
      </c>
      <c r="B7" s="27" t="s">
        <v>683</v>
      </c>
      <c r="C7" s="31">
        <v>43871.373</v>
      </c>
      <c r="D7" s="29">
        <v>205.80258499999999</v>
      </c>
      <c r="E7" s="30">
        <v>9.7672116597558194</v>
      </c>
    </row>
    <row r="8" spans="1:9" x14ac:dyDescent="0.2">
      <c r="A8" s="27" t="s">
        <v>696</v>
      </c>
      <c r="B8" s="27" t="s">
        <v>695</v>
      </c>
      <c r="C8" s="31">
        <v>89160.028999999995</v>
      </c>
      <c r="D8" s="29">
        <v>205.33073210000001</v>
      </c>
      <c r="E8" s="30">
        <v>9.7448179315790409</v>
      </c>
    </row>
    <row r="9" spans="1:9" ht="10.5" x14ac:dyDescent="0.25">
      <c r="A9" s="26" t="s">
        <v>43</v>
      </c>
      <c r="B9" s="26"/>
      <c r="C9" s="32"/>
      <c r="D9" s="33">
        <f>SUM(D6:D8)</f>
        <v>2088.2091931</v>
      </c>
      <c r="E9" s="34">
        <f>SUM(E6:E8)</f>
        <v>99.104591805081654</v>
      </c>
      <c r="G9" s="18"/>
      <c r="H9" s="18"/>
      <c r="I9" s="18"/>
    </row>
    <row r="10" spans="1:9" x14ac:dyDescent="0.2">
      <c r="A10" s="27"/>
      <c r="B10" s="27"/>
      <c r="C10" s="28"/>
      <c r="D10" s="29"/>
      <c r="E10" s="30"/>
    </row>
    <row r="11" spans="1:9" ht="10.5" x14ac:dyDescent="0.25">
      <c r="A11" s="26" t="s">
        <v>48</v>
      </c>
      <c r="B11" s="26"/>
      <c r="C11" s="32"/>
      <c r="D11" s="33">
        <f>D9</f>
        <v>2088.2091931</v>
      </c>
      <c r="E11" s="34">
        <f>E9</f>
        <v>99.104591805081654</v>
      </c>
      <c r="G11" s="18"/>
      <c r="H11" s="18"/>
      <c r="I11" s="18"/>
    </row>
    <row r="12" spans="1:9" ht="10.5" x14ac:dyDescent="0.25">
      <c r="A12" s="26"/>
      <c r="B12" s="26"/>
      <c r="C12" s="32"/>
      <c r="D12" s="33"/>
      <c r="E12" s="34"/>
      <c r="G12" s="18"/>
      <c r="H12" s="18"/>
      <c r="I12" s="18"/>
    </row>
    <row r="13" spans="1:9" ht="10.5" x14ac:dyDescent="0.25">
      <c r="A13" s="26" t="s">
        <v>50</v>
      </c>
      <c r="B13" s="26"/>
      <c r="C13" s="32"/>
      <c r="D13" s="33">
        <f>D15-(D9)</f>
        <v>18.866932299999917</v>
      </c>
      <c r="E13" s="34">
        <f>E15-(E9)</f>
        <v>0.89540819491834611</v>
      </c>
      <c r="G13" s="18"/>
      <c r="H13" s="18"/>
      <c r="I13" s="18"/>
    </row>
    <row r="14" spans="1:9" ht="10.5" x14ac:dyDescent="0.25">
      <c r="A14" s="26"/>
      <c r="B14" s="26"/>
      <c r="C14" s="32"/>
      <c r="D14" s="33"/>
      <c r="E14" s="34"/>
      <c r="G14" s="18"/>
      <c r="H14" s="18"/>
      <c r="I14" s="18"/>
    </row>
    <row r="15" spans="1:9" ht="10.5" x14ac:dyDescent="0.25">
      <c r="A15" s="35" t="s">
        <v>49</v>
      </c>
      <c r="B15" s="35"/>
      <c r="C15" s="36"/>
      <c r="D15" s="37">
        <v>2107.0761253999999</v>
      </c>
      <c r="E15" s="38">
        <v>100</v>
      </c>
      <c r="G15" s="18"/>
      <c r="H15" s="18"/>
      <c r="I15" s="18"/>
    </row>
    <row r="18" spans="1:4" ht="10.5" x14ac:dyDescent="0.25">
      <c r="A18" s="18" t="s">
        <v>51</v>
      </c>
    </row>
    <row r="19" spans="1:4" ht="10.5" x14ac:dyDescent="0.25">
      <c r="A19" s="18" t="s">
        <v>713</v>
      </c>
    </row>
    <row r="20" spans="1:4" ht="10.5" x14ac:dyDescent="0.25">
      <c r="A20" s="18" t="s">
        <v>53</v>
      </c>
      <c r="B20" s="18"/>
      <c r="C20" s="39" t="s">
        <v>55</v>
      </c>
      <c r="D20" s="41" t="s">
        <v>714</v>
      </c>
    </row>
    <row r="21" spans="1:4" x14ac:dyDescent="0.2">
      <c r="A21" s="9" t="s">
        <v>91</v>
      </c>
      <c r="C21" s="40">
        <v>38.511800000000001</v>
      </c>
      <c r="D21" s="40">
        <v>40.595300000000002</v>
      </c>
    </row>
    <row r="22" spans="1:4" x14ac:dyDescent="0.2">
      <c r="A22" s="9" t="s">
        <v>697</v>
      </c>
      <c r="C22" s="40">
        <v>13.4498</v>
      </c>
      <c r="D22" s="40">
        <v>13.637</v>
      </c>
    </row>
    <row r="23" spans="1:4" x14ac:dyDescent="0.2">
      <c r="A23" s="9" t="s">
        <v>92</v>
      </c>
      <c r="C23" s="40">
        <v>39.698500000000003</v>
      </c>
      <c r="D23" s="40">
        <v>41.988900000000001</v>
      </c>
    </row>
    <row r="24" spans="1:4" x14ac:dyDescent="0.2">
      <c r="A24" s="9" t="s">
        <v>698</v>
      </c>
      <c r="C24" s="40">
        <v>13.9054</v>
      </c>
      <c r="D24" s="40">
        <v>14.151</v>
      </c>
    </row>
    <row r="26" spans="1:4" ht="10.5" x14ac:dyDescent="0.25">
      <c r="A26" s="18" t="s">
        <v>715</v>
      </c>
    </row>
    <row r="27" spans="1:4" ht="10.5" x14ac:dyDescent="0.25">
      <c r="A27" s="81" t="s">
        <v>68</v>
      </c>
      <c r="B27" s="82"/>
      <c r="C27" s="43" t="s">
        <v>69</v>
      </c>
    </row>
    <row r="28" spans="1:4" x14ac:dyDescent="0.2">
      <c r="A28" s="77" t="s">
        <v>697</v>
      </c>
      <c r="B28" s="78"/>
      <c r="C28" s="44">
        <v>0.53</v>
      </c>
    </row>
    <row r="29" spans="1:4" x14ac:dyDescent="0.2">
      <c r="A29" s="77" t="s">
        <v>698</v>
      </c>
      <c r="B29" s="78"/>
      <c r="C29" s="44">
        <v>0.53</v>
      </c>
    </row>
    <row r="30" spans="1:4" x14ac:dyDescent="0.2">
      <c r="A30" s="9" t="s">
        <v>70</v>
      </c>
    </row>
    <row r="32" spans="1:4" ht="10.5" x14ac:dyDescent="0.25">
      <c r="A32" s="18" t="s">
        <v>716</v>
      </c>
      <c r="D32" s="49">
        <v>7.7586659581422496E-2</v>
      </c>
    </row>
  </sheetData>
  <mergeCells count="4">
    <mergeCell ref="A1:E1"/>
    <mergeCell ref="A27:B27"/>
    <mergeCell ref="A28:B28"/>
    <mergeCell ref="A29:B29"/>
  </mergeCells>
  <conditionalFormatting sqref="F2:F3 E5:E15 F16:F65536">
    <cfRule type="cellIs" dxfId="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I32"/>
  <sheetViews>
    <sheetView workbookViewId="0">
      <selection sqref="A1:E1"/>
    </sheetView>
  </sheetViews>
  <sheetFormatPr defaultColWidth="9.1796875" defaultRowHeight="10" x14ac:dyDescent="0.2"/>
  <cols>
    <col min="1" max="1" width="35" style="9" bestFit="1" customWidth="1"/>
    <col min="2" max="2" width="48.7265625" style="9" customWidth="1"/>
    <col min="3" max="3" width="15.26953125" style="9" bestFit="1" customWidth="1"/>
    <col min="4" max="4" width="23" style="10" bestFit="1" customWidth="1"/>
    <col min="5" max="5" width="13.54296875" style="13" customWidth="1"/>
    <col min="6" max="6" width="14.7265625" style="14" bestFit="1" customWidth="1"/>
    <col min="7" max="16384" width="9.1796875" style="9"/>
  </cols>
  <sheetData>
    <row r="1" spans="1:9" s="1" customFormat="1" ht="15" customHeight="1" x14ac:dyDescent="0.25">
      <c r="A1" s="79" t="s">
        <v>27</v>
      </c>
      <c r="B1" s="80"/>
      <c r="C1" s="80"/>
      <c r="D1" s="80"/>
      <c r="E1" s="80"/>
    </row>
    <row r="2" spans="1:9" s="1" customFormat="1" ht="11.5" x14ac:dyDescent="0.25">
      <c r="D2" s="6"/>
      <c r="E2" s="7"/>
      <c r="F2" s="12"/>
    </row>
    <row r="3" spans="1:9" s="1" customFormat="1" ht="11.5" x14ac:dyDescent="0.25">
      <c r="A3" s="11" t="s">
        <v>711</v>
      </c>
      <c r="B3" s="2"/>
      <c r="C3" s="3"/>
      <c r="D3" s="4"/>
      <c r="E3" s="5"/>
      <c r="F3" s="12"/>
    </row>
    <row r="4" spans="1:9" s="1" customFormat="1" ht="17.5" customHeight="1" x14ac:dyDescent="0.25">
      <c r="A4" s="8" t="s">
        <v>2</v>
      </c>
      <c r="B4" s="8" t="s">
        <v>0</v>
      </c>
      <c r="C4" s="16" t="s">
        <v>1</v>
      </c>
      <c r="D4" s="15" t="s">
        <v>3</v>
      </c>
      <c r="E4" s="15" t="s">
        <v>4</v>
      </c>
    </row>
    <row r="5" spans="1:9" ht="10.5" x14ac:dyDescent="0.25">
      <c r="A5" s="21" t="s">
        <v>682</v>
      </c>
      <c r="B5" s="22"/>
      <c r="C5" s="23"/>
      <c r="D5" s="24"/>
      <c r="E5" s="25"/>
    </row>
    <row r="6" spans="1:9" x14ac:dyDescent="0.2">
      <c r="A6" s="27" t="s">
        <v>700</v>
      </c>
      <c r="B6" s="27" t="s">
        <v>699</v>
      </c>
      <c r="C6" s="31">
        <v>1070772.1710000001</v>
      </c>
      <c r="D6" s="29">
        <v>856.31792059999998</v>
      </c>
      <c r="E6" s="30">
        <v>66.486047904604902</v>
      </c>
    </row>
    <row r="7" spans="1:9" ht="20" x14ac:dyDescent="0.2">
      <c r="A7" s="27" t="s">
        <v>702</v>
      </c>
      <c r="B7" s="46" t="s">
        <v>701</v>
      </c>
      <c r="C7" s="31">
        <v>427573.21600000001</v>
      </c>
      <c r="D7" s="29">
        <v>150.32790159999999</v>
      </c>
      <c r="E7" s="30">
        <v>11.671725917137501</v>
      </c>
    </row>
    <row r="8" spans="1:9" x14ac:dyDescent="0.2">
      <c r="A8" s="27" t="s">
        <v>684</v>
      </c>
      <c r="B8" s="27" t="s">
        <v>683</v>
      </c>
      <c r="C8" s="31">
        <v>25608.489000000001</v>
      </c>
      <c r="D8" s="29">
        <v>120.13057430000001</v>
      </c>
      <c r="E8" s="30">
        <v>9.3271516636265197</v>
      </c>
    </row>
    <row r="9" spans="1:9" x14ac:dyDescent="0.2">
      <c r="A9" s="27" t="s">
        <v>696</v>
      </c>
      <c r="B9" s="27" t="s">
        <v>695</v>
      </c>
      <c r="C9" s="31">
        <v>51607.951000000001</v>
      </c>
      <c r="D9" s="29">
        <v>118.8503243</v>
      </c>
      <c r="E9" s="30">
        <v>9.2277507743280403</v>
      </c>
    </row>
    <row r="10" spans="1:9" ht="20" x14ac:dyDescent="0.2">
      <c r="A10" s="27" t="s">
        <v>706</v>
      </c>
      <c r="B10" s="46" t="s">
        <v>705</v>
      </c>
      <c r="C10" s="31">
        <v>371180.549</v>
      </c>
      <c r="D10" s="29">
        <v>0</v>
      </c>
      <c r="E10" s="29">
        <v>0</v>
      </c>
    </row>
    <row r="11" spans="1:9" ht="20" x14ac:dyDescent="0.2">
      <c r="A11" s="27" t="s">
        <v>704</v>
      </c>
      <c r="B11" s="46" t="s">
        <v>703</v>
      </c>
      <c r="C11" s="31">
        <v>489502.28</v>
      </c>
      <c r="D11" s="29">
        <v>0</v>
      </c>
      <c r="E11" s="29">
        <v>0</v>
      </c>
    </row>
    <row r="12" spans="1:9" ht="10.5" x14ac:dyDescent="0.25">
      <c r="A12" s="26" t="s">
        <v>43</v>
      </c>
      <c r="B12" s="26"/>
      <c r="C12" s="32"/>
      <c r="D12" s="33">
        <f>SUM(D6:D11)</f>
        <v>1245.6267207999999</v>
      </c>
      <c r="E12" s="34">
        <f>SUM(E6:E11)</f>
        <v>96.712676259696977</v>
      </c>
      <c r="G12" s="18"/>
      <c r="H12" s="18"/>
      <c r="I12" s="18"/>
    </row>
    <row r="13" spans="1:9" x14ac:dyDescent="0.2">
      <c r="A13" s="27"/>
      <c r="B13" s="27"/>
      <c r="C13" s="28"/>
      <c r="D13" s="29"/>
      <c r="E13" s="30"/>
    </row>
    <row r="14" spans="1:9" ht="10.5" x14ac:dyDescent="0.25">
      <c r="A14" s="26" t="s">
        <v>48</v>
      </c>
      <c r="B14" s="26"/>
      <c r="C14" s="32"/>
      <c r="D14" s="33">
        <f>D12</f>
        <v>1245.6267207999999</v>
      </c>
      <c r="E14" s="34">
        <f>E12</f>
        <v>96.712676259696977</v>
      </c>
      <c r="G14" s="18"/>
      <c r="H14" s="18"/>
      <c r="I14" s="18"/>
    </row>
    <row r="15" spans="1:9" ht="10.5" x14ac:dyDescent="0.25">
      <c r="A15" s="26"/>
      <c r="B15" s="26"/>
      <c r="C15" s="32"/>
      <c r="D15" s="33"/>
      <c r="E15" s="34"/>
      <c r="G15" s="18"/>
      <c r="H15" s="18"/>
      <c r="I15" s="18"/>
    </row>
    <row r="16" spans="1:9" ht="10.5" x14ac:dyDescent="0.25">
      <c r="A16" s="26" t="s">
        <v>50</v>
      </c>
      <c r="B16" s="26"/>
      <c r="C16" s="32"/>
      <c r="D16" s="33">
        <f>D18-(D12)</f>
        <v>42.339623400000164</v>
      </c>
      <c r="E16" s="34">
        <f>E18-(E12)</f>
        <v>3.2873237403030231</v>
      </c>
      <c r="G16" s="18"/>
      <c r="H16" s="18"/>
      <c r="I16" s="18"/>
    </row>
    <row r="17" spans="1:9" ht="10.5" x14ac:dyDescent="0.25">
      <c r="A17" s="26"/>
      <c r="B17" s="26"/>
      <c r="C17" s="32"/>
      <c r="D17" s="33"/>
      <c r="E17" s="34"/>
      <c r="G17" s="18"/>
      <c r="H17" s="18"/>
      <c r="I17" s="18"/>
    </row>
    <row r="18" spans="1:9" ht="10.5" x14ac:dyDescent="0.25">
      <c r="A18" s="35" t="s">
        <v>49</v>
      </c>
      <c r="B18" s="35"/>
      <c r="C18" s="36"/>
      <c r="D18" s="37">
        <v>1287.9663442000001</v>
      </c>
      <c r="E18" s="38">
        <v>100</v>
      </c>
      <c r="G18" s="18"/>
      <c r="H18" s="18"/>
      <c r="I18" s="18"/>
    </row>
    <row r="19" spans="1:9" ht="10.5" x14ac:dyDescent="0.25">
      <c r="C19" s="10"/>
      <c r="D19" s="13"/>
      <c r="E19" s="20"/>
    </row>
    <row r="20" spans="1:9" ht="10.5" x14ac:dyDescent="0.25">
      <c r="A20" s="18" t="s">
        <v>712</v>
      </c>
    </row>
    <row r="22" spans="1:9" ht="10.5" x14ac:dyDescent="0.25">
      <c r="A22" s="18" t="s">
        <v>51</v>
      </c>
    </row>
    <row r="23" spans="1:9" ht="10.5" x14ac:dyDescent="0.25">
      <c r="A23" s="18" t="s">
        <v>713</v>
      </c>
    </row>
    <row r="24" spans="1:9" ht="10.5" x14ac:dyDescent="0.25">
      <c r="A24" s="18" t="s">
        <v>53</v>
      </c>
      <c r="B24" s="18"/>
      <c r="C24" s="39" t="s">
        <v>55</v>
      </c>
      <c r="D24" s="41" t="s">
        <v>714</v>
      </c>
    </row>
    <row r="25" spans="1:9" x14ac:dyDescent="0.2">
      <c r="A25" s="9" t="s">
        <v>91</v>
      </c>
      <c r="C25" s="40">
        <v>26.1036</v>
      </c>
      <c r="D25" s="40">
        <v>28.296700000000001</v>
      </c>
    </row>
    <row r="26" spans="1:9" x14ac:dyDescent="0.2">
      <c r="A26" s="9" t="s">
        <v>697</v>
      </c>
      <c r="C26" s="40">
        <v>8.9372000000000007</v>
      </c>
      <c r="D26" s="40">
        <v>9.6888000000000005</v>
      </c>
    </row>
    <row r="27" spans="1:9" x14ac:dyDescent="0.2">
      <c r="A27" s="9" t="s">
        <v>92</v>
      </c>
      <c r="C27" s="40">
        <v>27.427099999999999</v>
      </c>
      <c r="D27" s="40">
        <v>29.817699999999999</v>
      </c>
    </row>
    <row r="28" spans="1:9" x14ac:dyDescent="0.2">
      <c r="A28" s="9" t="s">
        <v>698</v>
      </c>
      <c r="C28" s="40">
        <v>9.4085000000000001</v>
      </c>
      <c r="D28" s="40">
        <v>10.226800000000001</v>
      </c>
    </row>
    <row r="30" spans="1:9" ht="10.5" x14ac:dyDescent="0.25">
      <c r="A30" s="18" t="s">
        <v>715</v>
      </c>
      <c r="D30" s="41" t="s">
        <v>57</v>
      </c>
    </row>
    <row r="32" spans="1:9" ht="10.5" x14ac:dyDescent="0.25">
      <c r="A32" s="18" t="s">
        <v>716</v>
      </c>
      <c r="D32" s="48">
        <v>3.6616008326995499E-2</v>
      </c>
    </row>
  </sheetData>
  <mergeCells count="1">
    <mergeCell ref="A1:E1"/>
  </mergeCells>
  <conditionalFormatting sqref="F2:F3 F20:F65536 E5:E9 E12:E19">
    <cfRule type="cellIs" dxfId="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I37"/>
  <sheetViews>
    <sheetView workbookViewId="0">
      <selection sqref="A1:E1"/>
    </sheetView>
  </sheetViews>
  <sheetFormatPr defaultColWidth="9.1796875" defaultRowHeight="10" x14ac:dyDescent="0.2"/>
  <cols>
    <col min="1" max="1" width="35" style="9" bestFit="1" customWidth="1"/>
    <col min="2" max="2" width="48.7265625" style="9" customWidth="1"/>
    <col min="3" max="3" width="21.1796875" style="9" bestFit="1" customWidth="1"/>
    <col min="4" max="4" width="23" style="10" bestFit="1" customWidth="1"/>
    <col min="5" max="5" width="13.54296875" style="13" bestFit="1" customWidth="1"/>
    <col min="6" max="6" width="14.7265625" style="14" bestFit="1" customWidth="1"/>
    <col min="7" max="16384" width="9.1796875" style="9"/>
  </cols>
  <sheetData>
    <row r="1" spans="1:9" s="1" customFormat="1" ht="15" customHeight="1" x14ac:dyDescent="0.25">
      <c r="A1" s="79" t="s">
        <v>28</v>
      </c>
      <c r="B1" s="80"/>
      <c r="C1" s="80"/>
      <c r="D1" s="80"/>
      <c r="E1" s="80"/>
    </row>
    <row r="2" spans="1:9" s="1" customFormat="1" ht="11.5" x14ac:dyDescent="0.25">
      <c r="D2" s="6"/>
      <c r="E2" s="7"/>
      <c r="F2" s="12"/>
    </row>
    <row r="3" spans="1:9" s="1" customFormat="1" ht="11.5" x14ac:dyDescent="0.25">
      <c r="A3" s="11" t="s">
        <v>711</v>
      </c>
      <c r="B3" s="2"/>
      <c r="C3" s="3"/>
      <c r="D3" s="4"/>
      <c r="E3" s="5"/>
      <c r="F3" s="12"/>
    </row>
    <row r="4" spans="1:9" s="1" customFormat="1" ht="17.5" customHeight="1" x14ac:dyDescent="0.25">
      <c r="A4" s="8" t="s">
        <v>2</v>
      </c>
      <c r="B4" s="8" t="s">
        <v>0</v>
      </c>
      <c r="C4" s="16" t="s">
        <v>1</v>
      </c>
      <c r="D4" s="15" t="s">
        <v>3</v>
      </c>
      <c r="E4" s="15" t="s">
        <v>4</v>
      </c>
    </row>
    <row r="5" spans="1:9" ht="10.5" x14ac:dyDescent="0.25">
      <c r="A5" s="21" t="s">
        <v>682</v>
      </c>
      <c r="B5" s="22"/>
      <c r="C5" s="23"/>
      <c r="D5" s="24"/>
      <c r="E5" s="25"/>
    </row>
    <row r="6" spans="1:9" x14ac:dyDescent="0.2">
      <c r="A6" s="27" t="s">
        <v>700</v>
      </c>
      <c r="B6" s="27" t="s">
        <v>699</v>
      </c>
      <c r="C6" s="31">
        <v>747537.53500000003</v>
      </c>
      <c r="D6" s="29">
        <v>597.8207175</v>
      </c>
      <c r="E6" s="30">
        <v>48.704077692953902</v>
      </c>
    </row>
    <row r="7" spans="1:9" ht="20" x14ac:dyDescent="0.2">
      <c r="A7" s="27" t="s">
        <v>702</v>
      </c>
      <c r="B7" s="46" t="s">
        <v>701</v>
      </c>
      <c r="C7" s="31">
        <v>556579.69499999995</v>
      </c>
      <c r="D7" s="29">
        <v>195.6845155</v>
      </c>
      <c r="E7" s="30">
        <v>15.9422943488405</v>
      </c>
    </row>
    <row r="8" spans="1:9" x14ac:dyDescent="0.2">
      <c r="A8" s="27" t="s">
        <v>684</v>
      </c>
      <c r="B8" s="27" t="s">
        <v>683</v>
      </c>
      <c r="C8" s="31">
        <v>36741.152000000002</v>
      </c>
      <c r="D8" s="29">
        <v>172.35439740000001</v>
      </c>
      <c r="E8" s="30">
        <v>14.0416043070502</v>
      </c>
    </row>
    <row r="9" spans="1:9" x14ac:dyDescent="0.2">
      <c r="A9" s="27" t="s">
        <v>708</v>
      </c>
      <c r="B9" s="27" t="s">
        <v>707</v>
      </c>
      <c r="C9" s="31">
        <v>11406.745000000001</v>
      </c>
      <c r="D9" s="29">
        <v>116.42476790000001</v>
      </c>
      <c r="E9" s="30">
        <v>9.4850525838220499</v>
      </c>
    </row>
    <row r="10" spans="1:9" x14ac:dyDescent="0.2">
      <c r="A10" s="27" t="s">
        <v>696</v>
      </c>
      <c r="B10" s="27" t="s">
        <v>695</v>
      </c>
      <c r="C10" s="31">
        <v>49912.082000000002</v>
      </c>
      <c r="D10" s="29">
        <v>114.94482960000001</v>
      </c>
      <c r="E10" s="30">
        <v>9.3644829417303495</v>
      </c>
    </row>
    <row r="11" spans="1:9" ht="20" x14ac:dyDescent="0.2">
      <c r="A11" s="27" t="s">
        <v>704</v>
      </c>
      <c r="B11" s="46" t="s">
        <v>703</v>
      </c>
      <c r="C11" s="31">
        <v>631308.71</v>
      </c>
      <c r="D11" s="29">
        <v>0</v>
      </c>
      <c r="E11" s="29">
        <v>0</v>
      </c>
    </row>
    <row r="12" spans="1:9" ht="20" x14ac:dyDescent="0.2">
      <c r="A12" s="50" t="s">
        <v>706</v>
      </c>
      <c r="B12" s="47" t="s">
        <v>705</v>
      </c>
      <c r="C12" s="31">
        <v>584729.58299999998</v>
      </c>
      <c r="D12" s="29">
        <v>0</v>
      </c>
      <c r="E12" s="29">
        <v>0</v>
      </c>
    </row>
    <row r="13" spans="1:9" ht="10.5" x14ac:dyDescent="0.25">
      <c r="A13" s="26" t="s">
        <v>43</v>
      </c>
      <c r="B13" s="26"/>
      <c r="C13" s="32"/>
      <c r="D13" s="33">
        <f>SUM(D6:D12)</f>
        <v>1197.2292279000001</v>
      </c>
      <c r="E13" s="34">
        <f>SUM(E6:E12)</f>
        <v>97.537511874397012</v>
      </c>
      <c r="G13" s="18"/>
      <c r="H13" s="18"/>
      <c r="I13" s="18"/>
    </row>
    <row r="14" spans="1:9" x14ac:dyDescent="0.2">
      <c r="A14" s="27"/>
      <c r="B14" s="27"/>
      <c r="C14" s="28"/>
      <c r="D14" s="29"/>
      <c r="E14" s="30"/>
    </row>
    <row r="15" spans="1:9" ht="10.5" x14ac:dyDescent="0.25">
      <c r="A15" s="26" t="s">
        <v>48</v>
      </c>
      <c r="B15" s="26"/>
      <c r="C15" s="32"/>
      <c r="D15" s="33">
        <f>D13</f>
        <v>1197.2292279000001</v>
      </c>
      <c r="E15" s="34">
        <f>E13</f>
        <v>97.537511874397012</v>
      </c>
      <c r="G15" s="18"/>
      <c r="H15" s="18"/>
      <c r="I15" s="18"/>
    </row>
    <row r="16" spans="1:9" ht="10.5" x14ac:dyDescent="0.25">
      <c r="A16" s="26"/>
      <c r="B16" s="26"/>
      <c r="C16" s="32"/>
      <c r="D16" s="33"/>
      <c r="E16" s="34"/>
      <c r="G16" s="18"/>
      <c r="H16" s="18"/>
      <c r="I16" s="18"/>
    </row>
    <row r="17" spans="1:9" ht="10.5" x14ac:dyDescent="0.25">
      <c r="A17" s="26" t="s">
        <v>50</v>
      </c>
      <c r="B17" s="26"/>
      <c r="C17" s="32"/>
      <c r="D17" s="33">
        <f>D19-(D13)</f>
        <v>30.225937700000031</v>
      </c>
      <c r="E17" s="34">
        <f>E19-(E13)</f>
        <v>2.462488125602988</v>
      </c>
      <c r="G17" s="18"/>
      <c r="H17" s="18"/>
      <c r="I17" s="18"/>
    </row>
    <row r="18" spans="1:9" ht="10.5" x14ac:dyDescent="0.25">
      <c r="A18" s="26"/>
      <c r="B18" s="26"/>
      <c r="C18" s="32"/>
      <c r="D18" s="33"/>
      <c r="E18" s="34"/>
      <c r="G18" s="18"/>
      <c r="H18" s="18"/>
      <c r="I18" s="18"/>
    </row>
    <row r="19" spans="1:9" ht="10.5" x14ac:dyDescent="0.25">
      <c r="A19" s="35" t="s">
        <v>49</v>
      </c>
      <c r="B19" s="35"/>
      <c r="C19" s="36"/>
      <c r="D19" s="37">
        <v>1227.4551656000001</v>
      </c>
      <c r="E19" s="38">
        <v>100</v>
      </c>
      <c r="G19" s="18"/>
      <c r="H19" s="18"/>
      <c r="I19" s="18"/>
    </row>
    <row r="21" spans="1:9" ht="10.5" x14ac:dyDescent="0.25">
      <c r="A21" s="18" t="s">
        <v>712</v>
      </c>
    </row>
    <row r="23" spans="1:9" ht="10.5" x14ac:dyDescent="0.25">
      <c r="A23" s="18" t="s">
        <v>51</v>
      </c>
    </row>
    <row r="24" spans="1:9" ht="10.5" x14ac:dyDescent="0.25">
      <c r="A24" s="18" t="s">
        <v>713</v>
      </c>
    </row>
    <row r="25" spans="1:9" ht="10.5" x14ac:dyDescent="0.25">
      <c r="A25" s="18" t="s">
        <v>53</v>
      </c>
      <c r="B25" s="18"/>
      <c r="C25" s="39" t="s">
        <v>55</v>
      </c>
      <c r="D25" s="41" t="s">
        <v>714</v>
      </c>
    </row>
    <row r="26" spans="1:9" x14ac:dyDescent="0.2">
      <c r="A26" s="9" t="s">
        <v>91</v>
      </c>
      <c r="C26" s="40">
        <v>37.899799999999999</v>
      </c>
      <c r="D26" s="40">
        <v>41.709699999999998</v>
      </c>
    </row>
    <row r="27" spans="1:9" x14ac:dyDescent="0.2">
      <c r="A27" s="9" t="s">
        <v>697</v>
      </c>
      <c r="C27" s="40">
        <v>10.8253</v>
      </c>
      <c r="D27" s="40">
        <v>10.9153</v>
      </c>
    </row>
    <row r="28" spans="1:9" x14ac:dyDescent="0.2">
      <c r="A28" s="9" t="s">
        <v>92</v>
      </c>
      <c r="C28" s="40">
        <v>39.7926</v>
      </c>
      <c r="D28" s="40">
        <v>43.920099999999998</v>
      </c>
    </row>
    <row r="29" spans="1:9" x14ac:dyDescent="0.2">
      <c r="A29" s="9" t="s">
        <v>698</v>
      </c>
      <c r="C29" s="40">
        <v>11.321199999999999</v>
      </c>
      <c r="D29" s="40">
        <v>11.489699999999999</v>
      </c>
    </row>
    <row r="31" spans="1:9" ht="10.5" x14ac:dyDescent="0.25">
      <c r="A31" s="18" t="s">
        <v>715</v>
      </c>
    </row>
    <row r="32" spans="1:9" ht="10.5" x14ac:dyDescent="0.25">
      <c r="A32" s="81" t="s">
        <v>68</v>
      </c>
      <c r="B32" s="82"/>
      <c r="C32" s="43" t="s">
        <v>69</v>
      </c>
    </row>
    <row r="33" spans="1:4" x14ac:dyDescent="0.2">
      <c r="A33" s="77" t="s">
        <v>697</v>
      </c>
      <c r="B33" s="78"/>
      <c r="C33" s="44">
        <v>1</v>
      </c>
    </row>
    <row r="34" spans="1:4" x14ac:dyDescent="0.2">
      <c r="A34" s="77" t="s">
        <v>698</v>
      </c>
      <c r="B34" s="78"/>
      <c r="C34" s="44">
        <v>1</v>
      </c>
    </row>
    <row r="35" spans="1:4" x14ac:dyDescent="0.2">
      <c r="A35" s="9" t="s">
        <v>70</v>
      </c>
    </row>
    <row r="37" spans="1:4" ht="10.5" x14ac:dyDescent="0.25">
      <c r="A37" s="18" t="s">
        <v>716</v>
      </c>
      <c r="D37" s="48">
        <v>0.15275542553906299</v>
      </c>
    </row>
  </sheetData>
  <mergeCells count="4">
    <mergeCell ref="A1:E1"/>
    <mergeCell ref="A32:B32"/>
    <mergeCell ref="A33:B33"/>
    <mergeCell ref="A34:B34"/>
  </mergeCells>
  <conditionalFormatting sqref="F2:F3 F21:F65536 E5:E10 E13:E19">
    <cfRule type="cellIs" dxfId="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37"/>
  <sheetViews>
    <sheetView workbookViewId="0">
      <selection sqref="A1:E1"/>
    </sheetView>
  </sheetViews>
  <sheetFormatPr defaultColWidth="9.1796875" defaultRowHeight="10" x14ac:dyDescent="0.2"/>
  <cols>
    <col min="1" max="1" width="35" style="9" bestFit="1" customWidth="1"/>
    <col min="2" max="2" width="50.7265625" style="9" customWidth="1"/>
    <col min="3" max="3" width="21.1796875" style="9" bestFit="1" customWidth="1"/>
    <col min="4" max="4" width="23" style="10" bestFit="1" customWidth="1"/>
    <col min="5" max="5" width="14.7265625" style="13" bestFit="1" customWidth="1"/>
    <col min="6" max="6" width="14.7265625" style="14" bestFit="1" customWidth="1"/>
    <col min="7" max="16384" width="9.1796875" style="9"/>
  </cols>
  <sheetData>
    <row r="1" spans="1:9" s="1" customFormat="1" ht="15" customHeight="1" x14ac:dyDescent="0.25">
      <c r="A1" s="79" t="s">
        <v>29</v>
      </c>
      <c r="B1" s="80"/>
      <c r="C1" s="80"/>
      <c r="D1" s="80"/>
      <c r="E1" s="80"/>
    </row>
    <row r="2" spans="1:9" s="1" customFormat="1" ht="11.5" x14ac:dyDescent="0.25">
      <c r="D2" s="6"/>
      <c r="E2" s="7"/>
      <c r="F2" s="12"/>
    </row>
    <row r="3" spans="1:9" s="1" customFormat="1" ht="11.5" x14ac:dyDescent="0.25">
      <c r="A3" s="11" t="s">
        <v>711</v>
      </c>
      <c r="B3" s="2"/>
      <c r="C3" s="3"/>
      <c r="D3" s="4"/>
      <c r="E3" s="5"/>
      <c r="F3" s="12"/>
    </row>
    <row r="4" spans="1:9" s="1" customFormat="1" ht="17.5" customHeight="1" x14ac:dyDescent="0.25">
      <c r="A4" s="8" t="s">
        <v>2</v>
      </c>
      <c r="B4" s="8" t="s">
        <v>0</v>
      </c>
      <c r="C4" s="16" t="s">
        <v>1</v>
      </c>
      <c r="D4" s="15" t="s">
        <v>3</v>
      </c>
      <c r="E4" s="15" t="s">
        <v>4</v>
      </c>
    </row>
    <row r="5" spans="1:9" ht="10.5" x14ac:dyDescent="0.25">
      <c r="A5" s="21" t="s">
        <v>682</v>
      </c>
      <c r="B5" s="22"/>
      <c r="C5" s="23"/>
      <c r="D5" s="24"/>
      <c r="E5" s="25"/>
    </row>
    <row r="6" spans="1:9" x14ac:dyDescent="0.2">
      <c r="A6" s="27" t="s">
        <v>684</v>
      </c>
      <c r="B6" s="27" t="s">
        <v>683</v>
      </c>
      <c r="C6" s="31">
        <v>34259.385999999999</v>
      </c>
      <c r="D6" s="29">
        <v>160.71232140000001</v>
      </c>
      <c r="E6" s="30">
        <v>34.561025690259498</v>
      </c>
    </row>
    <row r="7" spans="1:9" x14ac:dyDescent="0.2">
      <c r="A7" s="27" t="s">
        <v>700</v>
      </c>
      <c r="B7" s="27" t="s">
        <v>699</v>
      </c>
      <c r="C7" s="31">
        <v>186666.87100000001</v>
      </c>
      <c r="D7" s="29">
        <v>149.28123009999999</v>
      </c>
      <c r="E7" s="30">
        <v>32.102780817399399</v>
      </c>
    </row>
    <row r="8" spans="1:9" ht="20" x14ac:dyDescent="0.2">
      <c r="A8" s="27" t="s">
        <v>702</v>
      </c>
      <c r="B8" s="46" t="s">
        <v>701</v>
      </c>
      <c r="C8" s="31">
        <v>165948.389</v>
      </c>
      <c r="D8" s="29">
        <v>58.344798400000002</v>
      </c>
      <c r="E8" s="30">
        <v>12.5469911630274</v>
      </c>
    </row>
    <row r="9" spans="1:9" x14ac:dyDescent="0.2">
      <c r="A9" s="27" t="s">
        <v>708</v>
      </c>
      <c r="B9" s="27" t="s">
        <v>707</v>
      </c>
      <c r="C9" s="31">
        <v>4524.2569999999996</v>
      </c>
      <c r="D9" s="29">
        <v>46.177553000000003</v>
      </c>
      <c r="E9" s="30">
        <v>9.9304370793957109</v>
      </c>
    </row>
    <row r="10" spans="1:9" x14ac:dyDescent="0.2">
      <c r="A10" s="27" t="s">
        <v>696</v>
      </c>
      <c r="B10" s="27" t="s">
        <v>695</v>
      </c>
      <c r="C10" s="31">
        <v>19392.162</v>
      </c>
      <c r="D10" s="29">
        <v>44.659101900000003</v>
      </c>
      <c r="E10" s="30">
        <v>9.6038956728666705</v>
      </c>
    </row>
    <row r="11" spans="1:9" ht="20" x14ac:dyDescent="0.2">
      <c r="A11" s="27" t="s">
        <v>706</v>
      </c>
      <c r="B11" s="46" t="s">
        <v>705</v>
      </c>
      <c r="C11" s="31">
        <v>177292.25099999999</v>
      </c>
      <c r="D11" s="29">
        <v>0</v>
      </c>
      <c r="E11" s="30">
        <v>0</v>
      </c>
    </row>
    <row r="12" spans="1:9" ht="20" x14ac:dyDescent="0.2">
      <c r="A12" s="27" t="s">
        <v>704</v>
      </c>
      <c r="B12" s="46" t="s">
        <v>703</v>
      </c>
      <c r="C12" s="31">
        <v>196087.27</v>
      </c>
      <c r="D12" s="29">
        <v>0</v>
      </c>
      <c r="E12" s="30">
        <v>0</v>
      </c>
    </row>
    <row r="13" spans="1:9" ht="10.5" x14ac:dyDescent="0.25">
      <c r="A13" s="26" t="s">
        <v>43</v>
      </c>
      <c r="B13" s="26"/>
      <c r="C13" s="32"/>
      <c r="D13" s="33">
        <f>SUM(D6:D12)</f>
        <v>459.17500479999995</v>
      </c>
      <c r="E13" s="34">
        <f>SUM(E6:E12)</f>
        <v>98.745130422948691</v>
      </c>
      <c r="G13" s="18"/>
      <c r="H13" s="18"/>
      <c r="I13" s="18"/>
    </row>
    <row r="14" spans="1:9" x14ac:dyDescent="0.2">
      <c r="A14" s="27"/>
      <c r="B14" s="27"/>
      <c r="C14" s="28"/>
      <c r="D14" s="29"/>
      <c r="E14" s="30"/>
    </row>
    <row r="15" spans="1:9" ht="10.5" x14ac:dyDescent="0.25">
      <c r="A15" s="26" t="s">
        <v>48</v>
      </c>
      <c r="B15" s="26"/>
      <c r="C15" s="32"/>
      <c r="D15" s="33">
        <f>D13</f>
        <v>459.17500479999995</v>
      </c>
      <c r="E15" s="34">
        <f>E13</f>
        <v>98.745130422948691</v>
      </c>
      <c r="G15" s="18"/>
      <c r="H15" s="18"/>
      <c r="I15" s="18"/>
    </row>
    <row r="16" spans="1:9" ht="10.5" x14ac:dyDescent="0.25">
      <c r="A16" s="26"/>
      <c r="B16" s="26"/>
      <c r="C16" s="32"/>
      <c r="D16" s="33"/>
      <c r="E16" s="34"/>
      <c r="G16" s="18"/>
      <c r="H16" s="18"/>
      <c r="I16" s="18"/>
    </row>
    <row r="17" spans="1:9" ht="10.5" x14ac:dyDescent="0.25">
      <c r="A17" s="26" t="s">
        <v>50</v>
      </c>
      <c r="B17" s="26"/>
      <c r="C17" s="32"/>
      <c r="D17" s="33">
        <f>D19-(D13)</f>
        <v>5.8352725000000305</v>
      </c>
      <c r="E17" s="34">
        <f>E19-(E13)</f>
        <v>1.2548695770513092</v>
      </c>
      <c r="G17" s="18"/>
      <c r="H17" s="18"/>
      <c r="I17" s="18"/>
    </row>
    <row r="18" spans="1:9" ht="10.5" x14ac:dyDescent="0.25">
      <c r="A18" s="26"/>
      <c r="B18" s="26"/>
      <c r="C18" s="32"/>
      <c r="D18" s="33"/>
      <c r="E18" s="34"/>
      <c r="G18" s="18"/>
      <c r="H18" s="18"/>
      <c r="I18" s="18"/>
    </row>
    <row r="19" spans="1:9" ht="10.5" x14ac:dyDescent="0.25">
      <c r="A19" s="35" t="s">
        <v>49</v>
      </c>
      <c r="B19" s="35"/>
      <c r="C19" s="36"/>
      <c r="D19" s="37">
        <v>465.01027729999998</v>
      </c>
      <c r="E19" s="38">
        <v>100</v>
      </c>
      <c r="G19" s="18"/>
      <c r="H19" s="18"/>
      <c r="I19" s="18"/>
    </row>
    <row r="20" spans="1:9" ht="10.5" x14ac:dyDescent="0.25">
      <c r="C20" s="10"/>
      <c r="D20" s="13"/>
      <c r="E20" s="20"/>
    </row>
    <row r="21" spans="1:9" ht="10.5" x14ac:dyDescent="0.25">
      <c r="A21" s="18" t="s">
        <v>712</v>
      </c>
    </row>
    <row r="23" spans="1:9" ht="10.5" x14ac:dyDescent="0.25">
      <c r="A23" s="18" t="s">
        <v>51</v>
      </c>
    </row>
    <row r="24" spans="1:9" ht="10.5" x14ac:dyDescent="0.25">
      <c r="A24" s="18" t="s">
        <v>713</v>
      </c>
    </row>
    <row r="25" spans="1:9" ht="10.5" x14ac:dyDescent="0.25">
      <c r="A25" s="18" t="s">
        <v>53</v>
      </c>
      <c r="B25" s="18"/>
      <c r="C25" s="39" t="s">
        <v>55</v>
      </c>
      <c r="D25" s="41" t="s">
        <v>714</v>
      </c>
    </row>
    <row r="26" spans="1:9" x14ac:dyDescent="0.2">
      <c r="A26" s="9" t="s">
        <v>91</v>
      </c>
      <c r="C26" s="40">
        <v>47.488300000000002</v>
      </c>
      <c r="D26" s="40">
        <v>53.007199999999997</v>
      </c>
    </row>
    <row r="27" spans="1:9" x14ac:dyDescent="0.2">
      <c r="A27" s="9" t="s">
        <v>697</v>
      </c>
      <c r="C27" s="40">
        <v>16.756</v>
      </c>
      <c r="D27" s="40">
        <v>17.208100000000002</v>
      </c>
    </row>
    <row r="28" spans="1:9" x14ac:dyDescent="0.2">
      <c r="A28" s="9" t="s">
        <v>92</v>
      </c>
      <c r="C28" s="40">
        <v>49.518999999999998</v>
      </c>
      <c r="D28" s="40">
        <v>55.492100000000001</v>
      </c>
    </row>
    <row r="29" spans="1:9" x14ac:dyDescent="0.2">
      <c r="A29" s="9" t="s">
        <v>698</v>
      </c>
      <c r="C29" s="40">
        <v>17.675000000000001</v>
      </c>
      <c r="D29" s="40">
        <v>18.3078</v>
      </c>
    </row>
    <row r="31" spans="1:9" ht="10.5" x14ac:dyDescent="0.25">
      <c r="A31" s="18" t="s">
        <v>715</v>
      </c>
    </row>
    <row r="32" spans="1:9" ht="10.5" x14ac:dyDescent="0.25">
      <c r="A32" s="81" t="s">
        <v>68</v>
      </c>
      <c r="B32" s="82"/>
      <c r="C32" s="43" t="s">
        <v>69</v>
      </c>
    </row>
    <row r="33" spans="1:4" x14ac:dyDescent="0.2">
      <c r="A33" s="77" t="s">
        <v>697</v>
      </c>
      <c r="B33" s="78"/>
      <c r="C33" s="44">
        <v>1.5</v>
      </c>
    </row>
    <row r="34" spans="1:4" x14ac:dyDescent="0.2">
      <c r="A34" s="77" t="s">
        <v>698</v>
      </c>
      <c r="B34" s="78"/>
      <c r="C34" s="44">
        <v>1.5</v>
      </c>
    </row>
    <row r="35" spans="1:4" x14ac:dyDescent="0.2">
      <c r="A35" s="9" t="s">
        <v>70</v>
      </c>
    </row>
    <row r="37" spans="1:4" ht="10.5" x14ac:dyDescent="0.25">
      <c r="A37" s="18" t="s">
        <v>716</v>
      </c>
      <c r="D37" s="48">
        <v>0.14176254370381799</v>
      </c>
    </row>
  </sheetData>
  <mergeCells count="4">
    <mergeCell ref="A1:E1"/>
    <mergeCell ref="A32:B32"/>
    <mergeCell ref="A33:B33"/>
    <mergeCell ref="A34:B34"/>
  </mergeCells>
  <conditionalFormatting sqref="F2:F3 F21:F65536 E5:E20">
    <cfRule type="cellIs" dxfId="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I37"/>
  <sheetViews>
    <sheetView workbookViewId="0">
      <selection sqref="A1:E1"/>
    </sheetView>
  </sheetViews>
  <sheetFormatPr defaultColWidth="9.1796875" defaultRowHeight="10" x14ac:dyDescent="0.2"/>
  <cols>
    <col min="1" max="1" width="35" style="9" bestFit="1" customWidth="1"/>
    <col min="2" max="2" width="50.7265625" style="9" customWidth="1"/>
    <col min="3" max="3" width="21.1796875" style="9" bestFit="1" customWidth="1"/>
    <col min="4" max="4" width="23" style="10" bestFit="1" customWidth="1"/>
    <col min="5" max="5" width="13.54296875" style="13" bestFit="1" customWidth="1"/>
    <col min="6" max="6" width="14.7265625" style="14" bestFit="1" customWidth="1"/>
    <col min="7" max="16384" width="9.1796875" style="9"/>
  </cols>
  <sheetData>
    <row r="1" spans="1:9" s="1" customFormat="1" ht="15" customHeight="1" x14ac:dyDescent="0.25">
      <c r="A1" s="79" t="s">
        <v>30</v>
      </c>
      <c r="B1" s="80"/>
      <c r="C1" s="80"/>
      <c r="D1" s="80"/>
      <c r="E1" s="80"/>
    </row>
    <row r="2" spans="1:9" s="1" customFormat="1" ht="11.5" x14ac:dyDescent="0.25">
      <c r="D2" s="6"/>
      <c r="E2" s="7"/>
      <c r="F2" s="12"/>
    </row>
    <row r="3" spans="1:9" s="1" customFormat="1" ht="11.5" x14ac:dyDescent="0.25">
      <c r="A3" s="11" t="s">
        <v>711</v>
      </c>
      <c r="B3" s="2"/>
      <c r="C3" s="3"/>
      <c r="D3" s="4"/>
      <c r="E3" s="5"/>
      <c r="F3" s="12"/>
    </row>
    <row r="4" spans="1:9" s="1" customFormat="1" ht="17.5" customHeight="1" x14ac:dyDescent="0.25">
      <c r="A4" s="8" t="s">
        <v>2</v>
      </c>
      <c r="B4" s="8" t="s">
        <v>0</v>
      </c>
      <c r="C4" s="16" t="s">
        <v>1</v>
      </c>
      <c r="D4" s="15" t="s">
        <v>3</v>
      </c>
      <c r="E4" s="15" t="s">
        <v>4</v>
      </c>
    </row>
    <row r="5" spans="1:9" ht="10.5" x14ac:dyDescent="0.25">
      <c r="A5" s="21" t="s">
        <v>682</v>
      </c>
      <c r="B5" s="22"/>
      <c r="C5" s="23"/>
      <c r="D5" s="24"/>
      <c r="E5" s="25"/>
    </row>
    <row r="6" spans="1:9" x14ac:dyDescent="0.2">
      <c r="A6" s="27" t="s">
        <v>684</v>
      </c>
      <c r="B6" s="27" t="s">
        <v>683</v>
      </c>
      <c r="C6" s="31">
        <v>105792.844</v>
      </c>
      <c r="D6" s="29">
        <v>496.27899189999999</v>
      </c>
      <c r="E6" s="30">
        <v>48.776126622065298</v>
      </c>
    </row>
    <row r="7" spans="1:9" x14ac:dyDescent="0.2">
      <c r="A7" s="27" t="s">
        <v>700</v>
      </c>
      <c r="B7" s="27" t="s">
        <v>699</v>
      </c>
      <c r="C7" s="31">
        <v>190877.40900000001</v>
      </c>
      <c r="D7" s="29">
        <v>152.6484815</v>
      </c>
      <c r="E7" s="30">
        <v>15.002854813186</v>
      </c>
    </row>
    <row r="8" spans="1:9" x14ac:dyDescent="0.2">
      <c r="A8" s="27" t="s">
        <v>708</v>
      </c>
      <c r="B8" s="27" t="s">
        <v>707</v>
      </c>
      <c r="C8" s="31">
        <v>14622.734</v>
      </c>
      <c r="D8" s="29">
        <v>149.2492742</v>
      </c>
      <c r="E8" s="30">
        <v>14.6687682038683</v>
      </c>
    </row>
    <row r="9" spans="1:9" x14ac:dyDescent="0.2">
      <c r="A9" s="27" t="s">
        <v>696</v>
      </c>
      <c r="B9" s="27" t="s">
        <v>695</v>
      </c>
      <c r="C9" s="31">
        <v>63568.432000000001</v>
      </c>
      <c r="D9" s="29">
        <v>146.39466619999999</v>
      </c>
      <c r="E9" s="30">
        <v>14.388206818968101</v>
      </c>
    </row>
    <row r="10" spans="1:9" ht="20" x14ac:dyDescent="0.2">
      <c r="A10" s="27" t="s">
        <v>702</v>
      </c>
      <c r="B10" s="46" t="s">
        <v>701</v>
      </c>
      <c r="C10" s="31">
        <v>127811.15300000001</v>
      </c>
      <c r="D10" s="29">
        <v>44.936356400000001</v>
      </c>
      <c r="E10" s="30">
        <v>4.4165105625553096</v>
      </c>
    </row>
    <row r="11" spans="1:9" ht="20" x14ac:dyDescent="0.2">
      <c r="A11" s="27" t="s">
        <v>706</v>
      </c>
      <c r="B11" s="46" t="s">
        <v>705</v>
      </c>
      <c r="C11" s="31">
        <v>147479.853</v>
      </c>
      <c r="D11" s="29">
        <v>0</v>
      </c>
      <c r="E11" s="29">
        <v>0</v>
      </c>
    </row>
    <row r="12" spans="1:9" ht="20" x14ac:dyDescent="0.2">
      <c r="A12" s="27" t="s">
        <v>704</v>
      </c>
      <c r="B12" s="46" t="s">
        <v>703</v>
      </c>
      <c r="C12" s="31">
        <v>167004.62</v>
      </c>
      <c r="D12" s="29">
        <v>0</v>
      </c>
      <c r="E12" s="29">
        <v>0</v>
      </c>
    </row>
    <row r="13" spans="1:9" ht="10.5" x14ac:dyDescent="0.25">
      <c r="A13" s="26" t="s">
        <v>43</v>
      </c>
      <c r="B13" s="26"/>
      <c r="C13" s="32"/>
      <c r="D13" s="33">
        <f>SUM(D6:D12)</f>
        <v>989.50777019999998</v>
      </c>
      <c r="E13" s="34">
        <f>SUM(E6:E12)</f>
        <v>97.252467020642996</v>
      </c>
      <c r="G13" s="18"/>
      <c r="H13" s="18"/>
      <c r="I13" s="18"/>
    </row>
    <row r="14" spans="1:9" x14ac:dyDescent="0.2">
      <c r="A14" s="27"/>
      <c r="B14" s="27"/>
      <c r="C14" s="28"/>
      <c r="D14" s="29"/>
      <c r="E14" s="30"/>
    </row>
    <row r="15" spans="1:9" ht="10.5" x14ac:dyDescent="0.25">
      <c r="A15" s="26" t="s">
        <v>48</v>
      </c>
      <c r="B15" s="26"/>
      <c r="C15" s="32"/>
      <c r="D15" s="33">
        <f>D13</f>
        <v>989.50777019999998</v>
      </c>
      <c r="E15" s="34">
        <f>E13</f>
        <v>97.252467020642996</v>
      </c>
      <c r="G15" s="18"/>
      <c r="H15" s="18"/>
      <c r="I15" s="18"/>
    </row>
    <row r="16" spans="1:9" ht="10.5" x14ac:dyDescent="0.25">
      <c r="A16" s="26"/>
      <c r="B16" s="26"/>
      <c r="C16" s="32"/>
      <c r="D16" s="33"/>
      <c r="E16" s="34"/>
      <c r="G16" s="18"/>
      <c r="H16" s="18"/>
      <c r="I16" s="18"/>
    </row>
    <row r="17" spans="1:9" ht="10.5" x14ac:dyDescent="0.25">
      <c r="A17" s="26" t="s">
        <v>50</v>
      </c>
      <c r="B17" s="26"/>
      <c r="C17" s="32"/>
      <c r="D17" s="33">
        <f>D19-(D13)</f>
        <v>27.955128700000046</v>
      </c>
      <c r="E17" s="34">
        <f>E19-(E13)</f>
        <v>2.747532979357004</v>
      </c>
      <c r="G17" s="18"/>
      <c r="H17" s="18"/>
      <c r="I17" s="18"/>
    </row>
    <row r="18" spans="1:9" ht="10.5" x14ac:dyDescent="0.25">
      <c r="A18" s="26"/>
      <c r="B18" s="26"/>
      <c r="C18" s="32"/>
      <c r="D18" s="33"/>
      <c r="E18" s="34"/>
      <c r="G18" s="18"/>
      <c r="H18" s="18"/>
      <c r="I18" s="18"/>
    </row>
    <row r="19" spans="1:9" ht="10.5" x14ac:dyDescent="0.25">
      <c r="A19" s="35" t="s">
        <v>49</v>
      </c>
      <c r="B19" s="35"/>
      <c r="C19" s="36"/>
      <c r="D19" s="37">
        <v>1017.4628989</v>
      </c>
      <c r="E19" s="38">
        <v>100</v>
      </c>
      <c r="G19" s="18"/>
      <c r="H19" s="18"/>
      <c r="I19" s="18"/>
    </row>
    <row r="20" spans="1:9" ht="10.5" x14ac:dyDescent="0.25">
      <c r="C20" s="10"/>
      <c r="D20" s="13"/>
      <c r="E20" s="20"/>
    </row>
    <row r="21" spans="1:9" ht="10.5" x14ac:dyDescent="0.25">
      <c r="A21" s="18" t="s">
        <v>712</v>
      </c>
    </row>
    <row r="23" spans="1:9" ht="10.5" x14ac:dyDescent="0.25">
      <c r="A23" s="18" t="s">
        <v>51</v>
      </c>
    </row>
    <row r="24" spans="1:9" ht="10.5" x14ac:dyDescent="0.25">
      <c r="A24" s="18" t="s">
        <v>713</v>
      </c>
    </row>
    <row r="25" spans="1:9" ht="10.5" x14ac:dyDescent="0.25">
      <c r="A25" s="18" t="s">
        <v>53</v>
      </c>
      <c r="B25" s="18"/>
      <c r="C25" s="39" t="s">
        <v>55</v>
      </c>
      <c r="D25" s="41" t="s">
        <v>714</v>
      </c>
    </row>
    <row r="26" spans="1:9" x14ac:dyDescent="0.2">
      <c r="A26" s="9" t="s">
        <v>71</v>
      </c>
      <c r="C26" s="40">
        <v>66.674599999999998</v>
      </c>
      <c r="D26" s="40">
        <v>76.146199999999993</v>
      </c>
    </row>
    <row r="27" spans="1:9" x14ac:dyDescent="0.2">
      <c r="A27" s="9" t="s">
        <v>77</v>
      </c>
      <c r="C27" s="40">
        <v>21.799399999999999</v>
      </c>
      <c r="D27" s="40">
        <v>22.9053</v>
      </c>
    </row>
    <row r="28" spans="1:9" x14ac:dyDescent="0.2">
      <c r="A28" s="9" t="s">
        <v>74</v>
      </c>
      <c r="C28" s="40">
        <v>68.871899999999997</v>
      </c>
      <c r="D28" s="40">
        <v>79.014799999999994</v>
      </c>
    </row>
    <row r="29" spans="1:9" x14ac:dyDescent="0.2">
      <c r="A29" s="9" t="s">
        <v>78</v>
      </c>
      <c r="C29" s="40">
        <v>22.714700000000001</v>
      </c>
      <c r="D29" s="40">
        <v>24.066600000000001</v>
      </c>
    </row>
    <row r="31" spans="1:9" ht="10.5" x14ac:dyDescent="0.25">
      <c r="A31" s="18" t="s">
        <v>715</v>
      </c>
    </row>
    <row r="32" spans="1:9" ht="10.5" x14ac:dyDescent="0.25">
      <c r="A32" s="81" t="s">
        <v>68</v>
      </c>
      <c r="B32" s="82"/>
      <c r="C32" s="43" t="s">
        <v>69</v>
      </c>
    </row>
    <row r="33" spans="1:4" x14ac:dyDescent="0.2">
      <c r="A33" s="77" t="s">
        <v>77</v>
      </c>
      <c r="B33" s="78"/>
      <c r="C33" s="44">
        <v>2</v>
      </c>
    </row>
    <row r="34" spans="1:4" x14ac:dyDescent="0.2">
      <c r="A34" s="77" t="s">
        <v>78</v>
      </c>
      <c r="B34" s="78"/>
      <c r="C34" s="44">
        <v>2</v>
      </c>
    </row>
    <row r="35" spans="1:4" x14ac:dyDescent="0.2">
      <c r="A35" s="9" t="s">
        <v>70</v>
      </c>
    </row>
    <row r="37" spans="1:4" ht="10.5" x14ac:dyDescent="0.25">
      <c r="A37" s="18" t="s">
        <v>716</v>
      </c>
      <c r="D37" s="48">
        <v>0.11141059563243701</v>
      </c>
    </row>
  </sheetData>
  <mergeCells count="4">
    <mergeCell ref="A1:E1"/>
    <mergeCell ref="A32:B32"/>
    <mergeCell ref="A33:B33"/>
    <mergeCell ref="A34:B34"/>
  </mergeCells>
  <conditionalFormatting sqref="F2:F3 F21:F65536 E5:E10 E13:E20">
    <cfRule type="cellIs" dxfId="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I34"/>
  <sheetViews>
    <sheetView workbookViewId="0">
      <selection sqref="A1:E1"/>
    </sheetView>
  </sheetViews>
  <sheetFormatPr defaultColWidth="9.1796875" defaultRowHeight="10" x14ac:dyDescent="0.2"/>
  <cols>
    <col min="1" max="1" width="35" style="9" bestFit="1" customWidth="1"/>
    <col min="2" max="2" width="50.7265625" style="9" customWidth="1"/>
    <col min="3" max="3" width="21.1796875" style="9" bestFit="1" customWidth="1"/>
    <col min="4" max="4" width="23" style="10" bestFit="1" customWidth="1"/>
    <col min="5" max="5" width="13.54296875" style="13" bestFit="1" customWidth="1"/>
    <col min="6" max="6" width="14.7265625" style="14" bestFit="1" customWidth="1"/>
    <col min="7" max="16384" width="9.1796875" style="9"/>
  </cols>
  <sheetData>
    <row r="1" spans="1:9" s="1" customFormat="1" ht="15" customHeight="1" x14ac:dyDescent="0.25">
      <c r="A1" s="79" t="s">
        <v>31</v>
      </c>
      <c r="B1" s="80"/>
      <c r="C1" s="80"/>
      <c r="D1" s="80"/>
      <c r="E1" s="80"/>
    </row>
    <row r="2" spans="1:9" s="1" customFormat="1" ht="11.5" x14ac:dyDescent="0.25">
      <c r="D2" s="6"/>
      <c r="E2" s="7"/>
      <c r="F2" s="12"/>
    </row>
    <row r="3" spans="1:9" s="1" customFormat="1" ht="11.5" x14ac:dyDescent="0.25">
      <c r="A3" s="11" t="s">
        <v>711</v>
      </c>
      <c r="B3" s="2"/>
      <c r="C3" s="3"/>
      <c r="D3" s="4"/>
      <c r="E3" s="5"/>
      <c r="F3" s="12"/>
    </row>
    <row r="4" spans="1:9" s="1" customFormat="1" ht="17.5" customHeight="1" x14ac:dyDescent="0.25">
      <c r="A4" s="8" t="s">
        <v>2</v>
      </c>
      <c r="B4" s="8" t="s">
        <v>0</v>
      </c>
      <c r="C4" s="16" t="s">
        <v>1</v>
      </c>
      <c r="D4" s="15" t="s">
        <v>3</v>
      </c>
      <c r="E4" s="15" t="s">
        <v>4</v>
      </c>
    </row>
    <row r="5" spans="1:9" ht="10.5" x14ac:dyDescent="0.25">
      <c r="A5" s="21" t="s">
        <v>682</v>
      </c>
      <c r="B5" s="22"/>
      <c r="C5" s="23"/>
      <c r="D5" s="24"/>
      <c r="E5" s="25"/>
    </row>
    <row r="6" spans="1:9" x14ac:dyDescent="0.2">
      <c r="A6" s="27" t="s">
        <v>710</v>
      </c>
      <c r="B6" s="27" t="s">
        <v>709</v>
      </c>
      <c r="C6" s="31">
        <v>5917005.9699999997</v>
      </c>
      <c r="D6" s="29">
        <v>35830.595329999996</v>
      </c>
      <c r="E6" s="30">
        <v>48.553919048336198</v>
      </c>
    </row>
    <row r="7" spans="1:9" ht="20" x14ac:dyDescent="0.2">
      <c r="A7" s="27" t="s">
        <v>686</v>
      </c>
      <c r="B7" s="46" t="s">
        <v>685</v>
      </c>
      <c r="C7" s="31">
        <v>674821.91899999999</v>
      </c>
      <c r="D7" s="29">
        <v>13184.30018</v>
      </c>
      <c r="E7" s="30">
        <v>17.866000767023401</v>
      </c>
    </row>
    <row r="8" spans="1:9" ht="20" x14ac:dyDescent="0.2">
      <c r="A8" s="27" t="s">
        <v>690</v>
      </c>
      <c r="B8" s="46" t="s">
        <v>689</v>
      </c>
      <c r="C8" s="31">
        <v>1370528.45</v>
      </c>
      <c r="D8" s="29">
        <v>0</v>
      </c>
      <c r="E8" s="29">
        <v>0</v>
      </c>
    </row>
    <row r="9" spans="1:9" ht="20" x14ac:dyDescent="0.2">
      <c r="A9" s="27" t="s">
        <v>692</v>
      </c>
      <c r="B9" s="46" t="s">
        <v>691</v>
      </c>
      <c r="C9" s="31">
        <v>1235134.5419999999</v>
      </c>
      <c r="D9" s="29">
        <v>0</v>
      </c>
      <c r="E9" s="29">
        <v>0</v>
      </c>
    </row>
    <row r="10" spans="1:9" ht="10.5" x14ac:dyDescent="0.25">
      <c r="A10" s="26" t="s">
        <v>43</v>
      </c>
      <c r="B10" s="26"/>
      <c r="C10" s="32"/>
      <c r="D10" s="33">
        <f>SUM(D6:D9)</f>
        <v>49014.895509999995</v>
      </c>
      <c r="E10" s="34">
        <f>SUM(E6:E9)</f>
        <v>66.419919815359606</v>
      </c>
      <c r="G10" s="18"/>
      <c r="H10" s="18"/>
      <c r="I10" s="18"/>
    </row>
    <row r="11" spans="1:9" x14ac:dyDescent="0.2">
      <c r="A11" s="27"/>
      <c r="B11" s="27"/>
      <c r="C11" s="28"/>
      <c r="D11" s="29"/>
      <c r="E11" s="30"/>
    </row>
    <row r="12" spans="1:9" ht="10.5" x14ac:dyDescent="0.25">
      <c r="A12" s="26" t="s">
        <v>48</v>
      </c>
      <c r="B12" s="26"/>
      <c r="C12" s="32"/>
      <c r="D12" s="33">
        <f>D10</f>
        <v>49014.895509999995</v>
      </c>
      <c r="E12" s="34">
        <f>E10</f>
        <v>66.419919815359606</v>
      </c>
      <c r="G12" s="18"/>
      <c r="H12" s="18"/>
      <c r="I12" s="18"/>
    </row>
    <row r="13" spans="1:9" ht="10.5" x14ac:dyDescent="0.25">
      <c r="A13" s="26"/>
      <c r="B13" s="26"/>
      <c r="C13" s="32"/>
      <c r="D13" s="33"/>
      <c r="E13" s="34"/>
      <c r="G13" s="18"/>
      <c r="H13" s="18"/>
      <c r="I13" s="18"/>
    </row>
    <row r="14" spans="1:9" ht="10.5" x14ac:dyDescent="0.25">
      <c r="A14" s="26" t="s">
        <v>50</v>
      </c>
      <c r="B14" s="26"/>
      <c r="C14" s="32"/>
      <c r="D14" s="33">
        <f>D16-(D10)</f>
        <v>24780.579772500008</v>
      </c>
      <c r="E14" s="34">
        <f>E16-(E10)</f>
        <v>33.580080184640394</v>
      </c>
      <c r="G14" s="18"/>
      <c r="H14" s="18"/>
      <c r="I14" s="18"/>
    </row>
    <row r="15" spans="1:9" ht="10.5" x14ac:dyDescent="0.25">
      <c r="A15" s="26"/>
      <c r="B15" s="26"/>
      <c r="C15" s="32"/>
      <c r="D15" s="33"/>
      <c r="E15" s="34"/>
      <c r="G15" s="18"/>
      <c r="H15" s="18"/>
      <c r="I15" s="18"/>
    </row>
    <row r="16" spans="1:9" ht="10.5" x14ac:dyDescent="0.25">
      <c r="A16" s="35" t="s">
        <v>49</v>
      </c>
      <c r="B16" s="35"/>
      <c r="C16" s="36"/>
      <c r="D16" s="37">
        <v>73795.475282500003</v>
      </c>
      <c r="E16" s="38">
        <v>100</v>
      </c>
      <c r="G16" s="18"/>
      <c r="H16" s="18"/>
      <c r="I16" s="18"/>
    </row>
    <row r="17" spans="1:6" ht="10.5" x14ac:dyDescent="0.25">
      <c r="F17" s="20"/>
    </row>
    <row r="18" spans="1:6" ht="10.5" x14ac:dyDescent="0.25">
      <c r="A18" s="18" t="s">
        <v>712</v>
      </c>
    </row>
    <row r="20" spans="1:6" ht="10.5" x14ac:dyDescent="0.25">
      <c r="A20" s="18" t="s">
        <v>51</v>
      </c>
    </row>
    <row r="21" spans="1:6" ht="10.5" x14ac:dyDescent="0.25">
      <c r="A21" s="18" t="s">
        <v>713</v>
      </c>
    </row>
    <row r="22" spans="1:6" ht="10.5" x14ac:dyDescent="0.25">
      <c r="A22" s="18" t="s">
        <v>53</v>
      </c>
      <c r="B22" s="18"/>
      <c r="C22" s="39" t="s">
        <v>55</v>
      </c>
      <c r="D22" s="41" t="s">
        <v>714</v>
      </c>
    </row>
    <row r="23" spans="1:6" x14ac:dyDescent="0.2">
      <c r="A23" s="9" t="s">
        <v>71</v>
      </c>
      <c r="C23" s="40">
        <v>64.004300000000001</v>
      </c>
      <c r="D23" s="40">
        <v>71.666799999999995</v>
      </c>
    </row>
    <row r="24" spans="1:6" x14ac:dyDescent="0.2">
      <c r="A24" s="9" t="s">
        <v>77</v>
      </c>
      <c r="C24" s="40">
        <v>25.764099999999999</v>
      </c>
      <c r="D24" s="40">
        <v>27.327200000000001</v>
      </c>
    </row>
    <row r="25" spans="1:6" x14ac:dyDescent="0.2">
      <c r="A25" s="9" t="s">
        <v>74</v>
      </c>
      <c r="C25" s="40">
        <v>68.830799999999996</v>
      </c>
      <c r="D25" s="40">
        <v>77.4435</v>
      </c>
    </row>
    <row r="26" spans="1:6" x14ac:dyDescent="0.2">
      <c r="A26" s="9" t="s">
        <v>78</v>
      </c>
      <c r="C26" s="40">
        <v>28.442699999999999</v>
      </c>
      <c r="D26" s="40">
        <v>30.4772</v>
      </c>
    </row>
    <row r="28" spans="1:6" ht="10.5" x14ac:dyDescent="0.25">
      <c r="A28" s="18" t="s">
        <v>715</v>
      </c>
    </row>
    <row r="29" spans="1:6" ht="10.5" x14ac:dyDescent="0.25">
      <c r="A29" s="81" t="s">
        <v>68</v>
      </c>
      <c r="B29" s="82"/>
      <c r="C29" s="43" t="s">
        <v>69</v>
      </c>
    </row>
    <row r="30" spans="1:6" x14ac:dyDescent="0.2">
      <c r="A30" s="77" t="s">
        <v>77</v>
      </c>
      <c r="B30" s="78"/>
      <c r="C30" s="44">
        <v>1.5</v>
      </c>
    </row>
    <row r="31" spans="1:6" x14ac:dyDescent="0.2">
      <c r="A31" s="77" t="s">
        <v>78</v>
      </c>
      <c r="B31" s="78"/>
      <c r="C31" s="44">
        <v>1.5</v>
      </c>
    </row>
    <row r="32" spans="1:6" x14ac:dyDescent="0.2">
      <c r="A32" s="9" t="s">
        <v>70</v>
      </c>
    </row>
    <row r="34" spans="1:4" ht="10.5" x14ac:dyDescent="0.25">
      <c r="A34" s="18" t="s">
        <v>716</v>
      </c>
      <c r="D34" s="48">
        <v>1.54876487209496E-2</v>
      </c>
    </row>
  </sheetData>
  <mergeCells count="4">
    <mergeCell ref="A1:E1"/>
    <mergeCell ref="A29:B29"/>
    <mergeCell ref="A30:B30"/>
    <mergeCell ref="A31:B31"/>
  </mergeCells>
  <conditionalFormatting sqref="F2:F3 E5:E7 F17:F65536 E10:E16">
    <cfRule type="cellIs" dxfId="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FILF</vt:lpstr>
      <vt:lpstr>FIONF</vt:lpstr>
      <vt:lpstr>FISF</vt:lpstr>
      <vt:lpstr>FIFRF</vt:lpstr>
      <vt:lpstr>FICDF</vt:lpstr>
      <vt:lpstr>FBPF</vt:lpstr>
      <vt:lpstr>FIGSF</vt:lpstr>
      <vt:lpstr>FIDA</vt:lpstr>
      <vt:lpstr>FILDF</vt:lpstr>
      <vt:lpstr>FIUBF</vt:lpstr>
      <vt:lpstr>FISTIP</vt:lpstr>
      <vt:lpstr>FIIOF</vt:lpstr>
      <vt:lpstr>FICRF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October 2020</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2020-11-06T20:32:30Z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CLAPUBLIC</vt:lpwstr>
  </property>
</Properties>
</file>