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filterPrivacy="1" defaultThemeVersion="124226"/>
  <xr:revisionPtr revIDLastSave="0" documentId="13_ncr:1_{08B450DD-E937-4FB6-B893-7B09C8ADA1B9}" xr6:coauthVersionLast="46" xr6:coauthVersionMax="46" xr10:uidLastSave="{00000000-0000-0000-0000-000000000000}"/>
  <bookViews>
    <workbookView xWindow="-108" yWindow="-108" windowWidth="23256" windowHeight="12576" tabRatio="757" xr2:uid="{00000000-000D-0000-FFFF-FFFF00000000}"/>
  </bookViews>
  <sheets>
    <sheet name="FILF" sheetId="57" r:id="rId1"/>
    <sheet name="FIONF" sheetId="58" r:id="rId2"/>
    <sheet name="FISF" sheetId="59" r:id="rId3"/>
    <sheet name="FIFRF" sheetId="60" r:id="rId4"/>
    <sheet name="FICDF" sheetId="61" r:id="rId5"/>
    <sheet name="FBPF" sheetId="62" r:id="rId6"/>
    <sheet name="FIGSF" sheetId="63" r:id="rId7"/>
    <sheet name="FMPS6C" sheetId="64" r:id="rId8"/>
    <sheet name="FMPS5F" sheetId="65" r:id="rId9"/>
    <sheet name="FMPS5E" sheetId="66" r:id="rId10"/>
    <sheet name="FMPS5D" sheetId="67" r:id="rId11"/>
    <sheet name="FMPS5C" sheetId="68" r:id="rId12"/>
    <sheet name="FMPS5B" sheetId="69" r:id="rId13"/>
    <sheet name="FMPS5A" sheetId="70" r:id="rId14"/>
    <sheet name="FMPS4F" sheetId="71" r:id="rId15"/>
    <sheet name="FMPS4E" sheetId="72" r:id="rId16"/>
    <sheet name="FMPS4D" sheetId="73" r:id="rId17"/>
    <sheet name="FMPS4C" sheetId="74" r:id="rId18"/>
    <sheet name="FMPS4B" sheetId="75" r:id="rId19"/>
    <sheet name="FMPS4A" sheetId="76" r:id="rId20"/>
    <sheet name="FMPS3F" sheetId="77" r:id="rId21"/>
    <sheet name="FMPS3E" sheetId="78" r:id="rId22"/>
    <sheet name="FIPP" sheetId="79" r:id="rId23"/>
    <sheet name="FIDHY" sheetId="80" r:id="rId24"/>
    <sheet name="FIDA" sheetId="81" r:id="rId25"/>
    <sheet name="FILDF" sheetId="82" r:id="rId26"/>
    <sheet name="FIUBF" sheetId="83" r:id="rId27"/>
    <sheet name="FISTIP" sheetId="84" r:id="rId28"/>
    <sheet name="FIIOF" sheetId="85" r:id="rId29"/>
    <sheet name="FICRF" sheetId="86" r:id="rId30"/>
    <sheet name="FIESF" sheetId="32" r:id="rId31"/>
    <sheet name="FIEHF" sheetId="33" r:id="rId32"/>
    <sheet name="TIVF" sheetId="34" r:id="rId33"/>
    <sheet name="TIEIF" sheetId="35" r:id="rId34"/>
    <sheet name="FITF" sheetId="36" r:id="rId35"/>
    <sheet name="FISCF" sheetId="37" r:id="rId36"/>
    <sheet name="FIPF" sheetId="38" r:id="rId37"/>
    <sheet name="FIOF" sheetId="39" r:id="rId38"/>
    <sheet name="FIFEF" sheetId="40" r:id="rId39"/>
    <sheet name="FIEF" sheetId="41" r:id="rId40"/>
    <sheet name="FIEAF" sheetId="42" r:id="rId41"/>
    <sheet name="FIBF" sheetId="43" r:id="rId42"/>
    <sheet name="FBIF" sheetId="44" r:id="rId43"/>
    <sheet name="FAEF" sheetId="45" r:id="rId44"/>
    <sheet name="FIIF-NSE" sheetId="46" r:id="rId45"/>
    <sheet name="FITX" sheetId="47" r:id="rId46"/>
    <sheet name="FIUS" sheetId="48" r:id="rId47"/>
    <sheet name="FEGF" sheetId="49" r:id="rId48"/>
    <sheet name="FIMAS" sheetId="50" r:id="rId49"/>
    <sheet name="FIFOF-50's+" sheetId="51" r:id="rId50"/>
    <sheet name="FIFOF-50's" sheetId="52" r:id="rId51"/>
    <sheet name="FIFOF-40's" sheetId="53" r:id="rId52"/>
    <sheet name="FIFOF-30's" sheetId="54" r:id="rId53"/>
    <sheet name="FIFOF-20's" sheetId="55" r:id="rId54"/>
    <sheet name="FF" sheetId="56" r:id="rId5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7" i="86" l="1"/>
  <c r="F129" i="86" s="1"/>
  <c r="E127" i="86"/>
  <c r="E131" i="86" s="1"/>
  <c r="E96" i="86"/>
  <c r="F92" i="86"/>
  <c r="F94" i="86" s="1"/>
  <c r="E92" i="86"/>
  <c r="E94" i="86" s="1"/>
  <c r="F42" i="86"/>
  <c r="E42" i="86"/>
  <c r="F38" i="86"/>
  <c r="E38" i="86"/>
  <c r="F30" i="86"/>
  <c r="E30" i="86"/>
  <c r="F36" i="85"/>
  <c r="E36" i="85"/>
  <c r="F32" i="85"/>
  <c r="E32" i="85"/>
  <c r="F21" i="85"/>
  <c r="F40" i="85" s="1"/>
  <c r="E21" i="85"/>
  <c r="F153" i="84"/>
  <c r="F155" i="84" s="1"/>
  <c r="E153" i="84"/>
  <c r="E155" i="84" s="1"/>
  <c r="F113" i="84"/>
  <c r="F115" i="84" s="1"/>
  <c r="E113" i="84"/>
  <c r="E117" i="84" s="1"/>
  <c r="F55" i="84"/>
  <c r="E55" i="84"/>
  <c r="F51" i="84"/>
  <c r="E51" i="84"/>
  <c r="F33" i="84"/>
  <c r="E33" i="84"/>
  <c r="E59" i="84" s="1"/>
  <c r="F31" i="83"/>
  <c r="E31" i="83"/>
  <c r="F27" i="83"/>
  <c r="E27" i="83"/>
  <c r="F23" i="83"/>
  <c r="F35" i="83" s="1"/>
  <c r="E23" i="83"/>
  <c r="E80" i="82"/>
  <c r="F78" i="82"/>
  <c r="F80" i="82" s="1"/>
  <c r="E78" i="82"/>
  <c r="E82" i="82" s="1"/>
  <c r="F30" i="82"/>
  <c r="E30" i="82"/>
  <c r="F26" i="82"/>
  <c r="E26" i="82"/>
  <c r="F20" i="82"/>
  <c r="E20" i="82"/>
  <c r="E34" i="82" s="1"/>
  <c r="F120" i="81"/>
  <c r="F122" i="81" s="1"/>
  <c r="E120" i="81"/>
  <c r="E124" i="81" s="1"/>
  <c r="F85" i="81"/>
  <c r="F87" i="81" s="1"/>
  <c r="E85" i="81"/>
  <c r="E89" i="81" s="1"/>
  <c r="F36" i="81"/>
  <c r="E36" i="81"/>
  <c r="F32" i="81"/>
  <c r="E32" i="81"/>
  <c r="F22" i="81"/>
  <c r="E22" i="81"/>
  <c r="F62" i="80"/>
  <c r="E62" i="80"/>
  <c r="F53" i="80"/>
  <c r="E53" i="80"/>
  <c r="F49" i="80"/>
  <c r="E49" i="80"/>
  <c r="F44" i="80"/>
  <c r="E44" i="80"/>
  <c r="F36" i="80"/>
  <c r="E36" i="80"/>
  <c r="F32" i="80"/>
  <c r="F64" i="80" s="1"/>
  <c r="E32" i="80"/>
  <c r="F67" i="79"/>
  <c r="E67" i="79"/>
  <c r="F56" i="79"/>
  <c r="E56" i="79"/>
  <c r="F52" i="79"/>
  <c r="E52" i="79"/>
  <c r="F47" i="79"/>
  <c r="E47" i="79"/>
  <c r="F37" i="79"/>
  <c r="E37" i="79"/>
  <c r="E71" i="79" s="1"/>
  <c r="F18" i="77"/>
  <c r="F16" i="77"/>
  <c r="F14" i="77"/>
  <c r="E14" i="77"/>
  <c r="F9" i="77"/>
  <c r="E9" i="77"/>
  <c r="E24" i="76"/>
  <c r="F20" i="76"/>
  <c r="E20" i="76"/>
  <c r="F15" i="76"/>
  <c r="F22" i="76" s="1"/>
  <c r="E15" i="76"/>
  <c r="F22" i="75"/>
  <c r="F20" i="75"/>
  <c r="F18" i="75"/>
  <c r="E18" i="75"/>
  <c r="E20" i="75" s="1"/>
  <c r="F24" i="74"/>
  <c r="E24" i="74"/>
  <c r="F19" i="74"/>
  <c r="F28" i="74" s="1"/>
  <c r="E19" i="74"/>
  <c r="E26" i="74" s="1"/>
  <c r="F20" i="73"/>
  <c r="F22" i="73" s="1"/>
  <c r="E20" i="73"/>
  <c r="F16" i="73"/>
  <c r="E16" i="73"/>
  <c r="E24" i="73" s="1"/>
  <c r="F21" i="72"/>
  <c r="E21" i="72"/>
  <c r="F17" i="72"/>
  <c r="F25" i="72" s="1"/>
  <c r="E17" i="72"/>
  <c r="E25" i="72" s="1"/>
  <c r="F28" i="71"/>
  <c r="F30" i="71" s="1"/>
  <c r="E28" i="71"/>
  <c r="F24" i="71"/>
  <c r="E24" i="71"/>
  <c r="E32" i="71" s="1"/>
  <c r="E22" i="70"/>
  <c r="F20" i="70"/>
  <c r="F24" i="70" s="1"/>
  <c r="E20" i="70"/>
  <c r="E24" i="70" s="1"/>
  <c r="F24" i="69"/>
  <c r="F28" i="69" s="1"/>
  <c r="E24" i="69"/>
  <c r="E28" i="69" s="1"/>
  <c r="F24" i="68"/>
  <c r="F26" i="68" s="1"/>
  <c r="E24" i="68"/>
  <c r="E28" i="68" s="1"/>
  <c r="F26" i="67"/>
  <c r="F24" i="67"/>
  <c r="F22" i="67"/>
  <c r="E22" i="67"/>
  <c r="E24" i="67" s="1"/>
  <c r="E23" i="66"/>
  <c r="F21" i="66"/>
  <c r="F25" i="66" s="1"/>
  <c r="E21" i="66"/>
  <c r="E25" i="66" s="1"/>
  <c r="F22" i="65"/>
  <c r="F26" i="65" s="1"/>
  <c r="E22" i="65"/>
  <c r="E26" i="65" s="1"/>
  <c r="F23" i="64"/>
  <c r="F25" i="64" s="1"/>
  <c r="E23" i="64"/>
  <c r="E27" i="64" s="1"/>
  <c r="F18" i="63"/>
  <c r="E18" i="63"/>
  <c r="F8" i="63"/>
  <c r="E8" i="63"/>
  <c r="E20" i="63" s="1"/>
  <c r="F53" i="62"/>
  <c r="E53" i="62"/>
  <c r="F47" i="62"/>
  <c r="E47" i="62"/>
  <c r="F39" i="62"/>
  <c r="F57" i="62" s="1"/>
  <c r="E39" i="62"/>
  <c r="F53" i="61"/>
  <c r="E53" i="61"/>
  <c r="F47" i="61"/>
  <c r="F55" i="61" s="1"/>
  <c r="E47" i="61"/>
  <c r="F32" i="60"/>
  <c r="E32" i="60"/>
  <c r="F23" i="60"/>
  <c r="E23" i="60"/>
  <c r="F19" i="60"/>
  <c r="E19" i="60"/>
  <c r="F13" i="60"/>
  <c r="F34" i="60" s="1"/>
  <c r="E13" i="60"/>
  <c r="F35" i="59"/>
  <c r="E35" i="59"/>
  <c r="F30" i="59"/>
  <c r="E30" i="59"/>
  <c r="F24" i="59"/>
  <c r="E24" i="59"/>
  <c r="F13" i="59"/>
  <c r="F39" i="59" s="1"/>
  <c r="E13" i="59"/>
  <c r="F41" i="57"/>
  <c r="E41" i="57"/>
  <c r="F37" i="57"/>
  <c r="E37" i="57"/>
  <c r="F28" i="57"/>
  <c r="E28" i="57"/>
  <c r="F10" i="57"/>
  <c r="F43" i="57" s="1"/>
  <c r="E10" i="57"/>
  <c r="E23" i="72" l="1"/>
  <c r="E22" i="63"/>
  <c r="E28" i="74"/>
  <c r="E22" i="75"/>
  <c r="F24" i="76"/>
  <c r="F20" i="63"/>
  <c r="F22" i="63"/>
  <c r="F23" i="66"/>
  <c r="E30" i="71"/>
  <c r="E22" i="73"/>
  <c r="E16" i="77"/>
  <c r="F69" i="79"/>
  <c r="F71" i="79"/>
  <c r="F66" i="80"/>
  <c r="F34" i="82"/>
  <c r="E45" i="57"/>
  <c r="E39" i="59"/>
  <c r="E36" i="60"/>
  <c r="E57" i="61"/>
  <c r="E55" i="62"/>
  <c r="E26" i="67"/>
  <c r="F28" i="68"/>
  <c r="F32" i="71"/>
  <c r="F23" i="72"/>
  <c r="F24" i="73"/>
  <c r="F26" i="74"/>
  <c r="E22" i="76"/>
  <c r="E18" i="77"/>
  <c r="E66" i="80"/>
  <c r="E35" i="83"/>
  <c r="E40" i="85"/>
  <c r="E44" i="86"/>
  <c r="F44" i="86"/>
  <c r="E46" i="86"/>
  <c r="F46" i="86"/>
  <c r="E38" i="85"/>
  <c r="F38" i="85"/>
  <c r="F59" i="84"/>
  <c r="E157" i="84"/>
  <c r="E33" i="83"/>
  <c r="F33" i="83"/>
  <c r="E32" i="82"/>
  <c r="F38" i="81"/>
  <c r="E38" i="81"/>
  <c r="F40" i="81"/>
  <c r="F45" i="57"/>
  <c r="F36" i="60"/>
  <c r="F57" i="61"/>
  <c r="F55" i="62"/>
  <c r="F27" i="64"/>
  <c r="E40" i="81"/>
  <c r="F37" i="59"/>
  <c r="F22" i="70"/>
  <c r="E122" i="81"/>
  <c r="E115" i="84"/>
  <c r="E37" i="59"/>
  <c r="E24" i="65"/>
  <c r="E26" i="69"/>
  <c r="F24" i="65"/>
  <c r="F26" i="69"/>
  <c r="F32" i="82"/>
  <c r="E57" i="84"/>
  <c r="E43" i="57"/>
  <c r="E34" i="60"/>
  <c r="E55" i="61"/>
  <c r="E25" i="64"/>
  <c r="E26" i="68"/>
  <c r="E69" i="79"/>
  <c r="E64" i="80"/>
  <c r="E87" i="81"/>
  <c r="F57" i="84"/>
  <c r="E129" i="86"/>
  <c r="E57" i="62"/>
  <c r="E10" i="56"/>
  <c r="E14" i="56" s="1"/>
  <c r="D10" i="56"/>
  <c r="D14" i="56" s="1"/>
  <c r="E13" i="55"/>
  <c r="E17" i="55" s="1"/>
  <c r="D13" i="55"/>
  <c r="D17" i="55" s="1"/>
  <c r="E13" i="54"/>
  <c r="E17" i="54" s="1"/>
  <c r="D13" i="54"/>
  <c r="D17" i="54" s="1"/>
  <c r="E13" i="53"/>
  <c r="E17" i="53" s="1"/>
  <c r="D13" i="53"/>
  <c r="D17" i="53" s="1"/>
  <c r="E12" i="52"/>
  <c r="E16" i="52" s="1"/>
  <c r="D12" i="52"/>
  <c r="D16" i="52" s="1"/>
  <c r="E9" i="51"/>
  <c r="E13" i="51" s="1"/>
  <c r="D9" i="51"/>
  <c r="D13" i="51" s="1"/>
  <c r="E11" i="50"/>
  <c r="E15" i="50" s="1"/>
  <c r="D11" i="50"/>
  <c r="D15" i="50" s="1"/>
  <c r="E7" i="49"/>
  <c r="E11" i="49" s="1"/>
  <c r="D7" i="49"/>
  <c r="D11" i="49" s="1"/>
  <c r="E7" i="48"/>
  <c r="E11" i="48" s="1"/>
  <c r="D7" i="48"/>
  <c r="D11" i="48" s="1"/>
  <c r="D12" i="56" l="1"/>
  <c r="E12" i="56"/>
  <c r="D15" i="55"/>
  <c r="E15" i="55"/>
  <c r="D15" i="54"/>
  <c r="E15" i="54"/>
  <c r="D15" i="53"/>
  <c r="E15" i="53"/>
  <c r="D14" i="52"/>
  <c r="E14" i="52"/>
  <c r="E11" i="51"/>
  <c r="D11" i="51"/>
  <c r="D13" i="50"/>
  <c r="E13" i="50"/>
  <c r="D9" i="49"/>
  <c r="E9" i="49"/>
  <c r="D9" i="48"/>
  <c r="E9" i="48"/>
  <c r="G38" i="32" l="1"/>
  <c r="D82" i="32" s="1"/>
  <c r="F65" i="47" l="1"/>
  <c r="E65" i="47"/>
  <c r="F59" i="47"/>
  <c r="F69" i="47"/>
  <c r="E59" i="47"/>
  <c r="E69" i="47"/>
  <c r="F63" i="46"/>
  <c r="E63" i="46"/>
  <c r="F58" i="46"/>
  <c r="F67" i="46" s="1"/>
  <c r="E58" i="46"/>
  <c r="F71" i="45"/>
  <c r="F75" i="45" s="1"/>
  <c r="E71" i="45"/>
  <c r="F21" i="45"/>
  <c r="E21" i="45"/>
  <c r="E73" i="45" s="1"/>
  <c r="F33" i="44"/>
  <c r="F37" i="44" s="1"/>
  <c r="E33" i="44"/>
  <c r="E37" i="44" s="1"/>
  <c r="F33" i="43"/>
  <c r="F37" i="43" s="1"/>
  <c r="E33" i="43"/>
  <c r="E35" i="43" s="1"/>
  <c r="E37" i="43"/>
  <c r="F56" i="42"/>
  <c r="F60" i="42" s="1"/>
  <c r="E56" i="42"/>
  <c r="E58" i="42" s="1"/>
  <c r="F61" i="41"/>
  <c r="F65" i="41" s="1"/>
  <c r="E61" i="41"/>
  <c r="F55" i="41"/>
  <c r="E55" i="41"/>
  <c r="E63" i="41" s="1"/>
  <c r="F33" i="40"/>
  <c r="F37" i="40"/>
  <c r="E33" i="40"/>
  <c r="E37" i="40" s="1"/>
  <c r="F44" i="39"/>
  <c r="E44" i="39"/>
  <c r="E46" i="39" s="1"/>
  <c r="F37" i="39"/>
  <c r="F48" i="39" s="1"/>
  <c r="E37" i="39"/>
  <c r="E48" i="39"/>
  <c r="F61" i="38"/>
  <c r="F65" i="38" s="1"/>
  <c r="E61" i="38"/>
  <c r="F57" i="38"/>
  <c r="E57" i="38"/>
  <c r="E65" i="38" s="1"/>
  <c r="F67" i="37"/>
  <c r="F71" i="37" s="1"/>
  <c r="E67" i="37"/>
  <c r="E71" i="37" s="1"/>
  <c r="F44" i="36"/>
  <c r="E44" i="36"/>
  <c r="F40" i="36"/>
  <c r="E40" i="36"/>
  <c r="F22" i="36"/>
  <c r="F46" i="36" s="1"/>
  <c r="E22" i="36"/>
  <c r="F18" i="36"/>
  <c r="E18" i="36"/>
  <c r="E48" i="36" s="1"/>
  <c r="F64" i="35"/>
  <c r="E64" i="35"/>
  <c r="F52" i="35"/>
  <c r="E52" i="35"/>
  <c r="F47" i="35"/>
  <c r="E47" i="35"/>
  <c r="E66" i="35" s="1"/>
  <c r="F49" i="34"/>
  <c r="F45" i="34"/>
  <c r="E45" i="34"/>
  <c r="F41" i="34"/>
  <c r="F47" i="34" s="1"/>
  <c r="E41" i="34"/>
  <c r="E49" i="34" s="1"/>
  <c r="F85" i="33"/>
  <c r="E85" i="33"/>
  <c r="F74" i="33"/>
  <c r="E74" i="33"/>
  <c r="F69" i="33"/>
  <c r="E69" i="33"/>
  <c r="F64" i="33"/>
  <c r="E64" i="33"/>
  <c r="F56" i="33"/>
  <c r="E56" i="33"/>
  <c r="F52" i="33"/>
  <c r="F89" i="33" s="1"/>
  <c r="E52" i="33"/>
  <c r="F47" i="33"/>
  <c r="E47" i="33"/>
  <c r="E89" i="33"/>
  <c r="F42" i="33"/>
  <c r="E42" i="33"/>
  <c r="E87" i="33"/>
  <c r="F50" i="32"/>
  <c r="E50" i="32"/>
  <c r="F46" i="32"/>
  <c r="E46" i="32"/>
  <c r="E52" i="32" s="1"/>
  <c r="F42" i="32"/>
  <c r="E42" i="32"/>
  <c r="F38" i="32"/>
  <c r="F54" i="32" s="1"/>
  <c r="E38" i="32"/>
  <c r="E67" i="47"/>
  <c r="F67" i="47"/>
  <c r="F65" i="46"/>
  <c r="F35" i="40"/>
  <c r="F63" i="38"/>
  <c r="E63" i="38" l="1"/>
  <c r="F48" i="36"/>
  <c r="F63" i="41"/>
  <c r="E65" i="41"/>
  <c r="E65" i="46"/>
  <c r="F87" i="33"/>
  <c r="F66" i="35"/>
  <c r="E35" i="40"/>
  <c r="E54" i="32"/>
  <c r="E46" i="36"/>
  <c r="F46" i="39"/>
  <c r="F52" i="32"/>
  <c r="E75" i="45"/>
  <c r="E67" i="46"/>
  <c r="F73" i="45"/>
  <c r="F35" i="44"/>
  <c r="E35" i="44"/>
  <c r="F35" i="43"/>
  <c r="F58" i="42"/>
  <c r="E60" i="42"/>
  <c r="E69" i="37"/>
  <c r="F69" i="37"/>
  <c r="E68" i="35"/>
  <c r="F68" i="35"/>
  <c r="E47" i="34"/>
</calcChain>
</file>

<file path=xl/sharedStrings.xml><?xml version="1.0" encoding="utf-8"?>
<sst xmlns="http://schemas.openxmlformats.org/spreadsheetml/2006/main" count="6408" uniqueCount="1342">
  <si>
    <t>Name of the Instrument</t>
  </si>
  <si>
    <t>Quantity</t>
  </si>
  <si>
    <t>ISIN Number</t>
  </si>
  <si>
    <t xml:space="preserve">Market Value(Rs. in Lakhs) </t>
  </si>
  <si>
    <t>% to Net Assets</t>
  </si>
  <si>
    <t>Industry Classification / Rating</t>
  </si>
  <si>
    <t>YTM</t>
  </si>
  <si>
    <t>Portfolio Statement as on May 31, 2021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</si>
  <si>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</si>
  <si>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</si>
  <si>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</si>
  <si>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</si>
  <si>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</si>
  <si>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</si>
  <si>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</si>
  <si>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</si>
  <si>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</si>
  <si>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</si>
  <si>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</si>
  <si>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</si>
  <si>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</si>
  <si>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</si>
  <si>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</si>
  <si>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</si>
  <si>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</si>
  <si>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</si>
  <si>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</si>
  <si>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</si>
  <si>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</si>
  <si>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</si>
  <si>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</si>
  <si>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</si>
  <si>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</si>
  <si>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CARE AA-</t>
  </si>
  <si>
    <t>CRISIL AAA</t>
  </si>
  <si>
    <t>Sub Total</t>
  </si>
  <si>
    <t>(b) Privately Placed / Unlisted</t>
  </si>
  <si>
    <t>Mutual Fund Units</t>
  </si>
  <si>
    <t>Total</t>
  </si>
  <si>
    <t>Net Assets</t>
  </si>
  <si>
    <t>Call, Cash &amp; Other Assets</t>
  </si>
  <si>
    <t>** Non- Traded Scrips</t>
  </si>
  <si>
    <t>Notes</t>
  </si>
  <si>
    <t>a) NAV at the beginning and at the end of the Half-year ended 31-May-2021</t>
  </si>
  <si>
    <t xml:space="preserve">      Plan/Option</t>
  </si>
  <si>
    <t>As on 31-May-2021</t>
  </si>
  <si>
    <t>As on 27-Nov-2020</t>
  </si>
  <si>
    <t>IDCW - Income Distribution cum capital withdrawal</t>
  </si>
  <si>
    <t>b) Aggregate Distributions declared during the Half - year ended 31-May-2021</t>
  </si>
  <si>
    <t>Nil</t>
  </si>
  <si>
    <t>(In Years)</t>
  </si>
  <si>
    <t>https://www.franklintempletonindia.com/downloadsServlet/pdf/product-labels-jg9o5k7l</t>
  </si>
  <si>
    <t>Money Market Instruments</t>
  </si>
  <si>
    <t>Certificate of Deposit</t>
  </si>
  <si>
    <t>CRISIL A1+</t>
  </si>
  <si>
    <t>IND A1+</t>
  </si>
  <si>
    <t>Commercial Paper</t>
  </si>
  <si>
    <t>Housing Development Finance Corporation Ltd (28-Feb-2022) **@</t>
  </si>
  <si>
    <t>INE001A14XM0</t>
  </si>
  <si>
    <t>ICRA A1+</t>
  </si>
  <si>
    <t>SBI Cards and Payment Services Ltd (08-Oct-2021) **@</t>
  </si>
  <si>
    <t>INE018E14OX2</t>
  </si>
  <si>
    <t>Government Securities</t>
  </si>
  <si>
    <t>8.20% GOI 2022 (15-Feb-2022)</t>
  </si>
  <si>
    <t>IN0020060037</t>
  </si>
  <si>
    <t>SOVEREIGN</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</si>
  <si>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</si>
  <si>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</si>
  <si>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</si>
  <si>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</si>
  <si>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</si>
  <si>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</si>
  <si>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</si>
  <si>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</si>
  <si>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</si>
  <si>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</si>
  <si>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 xml:space="preserve">      IDCW Plan</t>
  </si>
  <si>
    <t xml:space="preserve">      Direct IDCW Plan</t>
  </si>
  <si>
    <t>5.15% GOI 2025 (09-Nov-2025)</t>
  </si>
  <si>
    <t>IN0020200278</t>
  </si>
  <si>
    <t>6.79% GOI 2027 (15-May-2027)</t>
  </si>
  <si>
    <t>IN0020170026</t>
  </si>
  <si>
    <t>7.17% GOI 2028 (08-Jan-2028)</t>
  </si>
  <si>
    <t>IN0020170174</t>
  </si>
  <si>
    <t>7.27% GOI 2026 (08-Apr-2026)</t>
  </si>
  <si>
    <t>IN0020190016</t>
  </si>
  <si>
    <t>7.32% GOI 2024 (28-Jan-2024)</t>
  </si>
  <si>
    <t>IN0020180488</t>
  </si>
  <si>
    <t>5.22% GOI 2025 (15-Jun-2025)</t>
  </si>
  <si>
    <t>IN0020200112</t>
  </si>
  <si>
    <t xml:space="preserve">      Growth Option</t>
  </si>
  <si>
    <t xml:space="preserve">      Direct Growth Option</t>
  </si>
  <si>
    <t>Indostar Capital Finance Ltd (1Y SBI MCLR + 200 Bps) (02-May-2023) **</t>
  </si>
  <si>
    <t>INE896L07561</t>
  </si>
  <si>
    <t>8.85% REC Ltd (16-Apr-2029)</t>
  </si>
  <si>
    <t>INE020B08BQ7</t>
  </si>
  <si>
    <t>6.18% GOI 2024 (04-Nov-2024)</t>
  </si>
  <si>
    <t>IN0020190396</t>
  </si>
  <si>
    <t>Equity &amp; Equity related</t>
  </si>
  <si>
    <t>HDFC Bank Ltd</t>
  </si>
  <si>
    <t>INE040A01034</t>
  </si>
  <si>
    <t>Banks</t>
  </si>
  <si>
    <t>Axis Bank Ltd</t>
  </si>
  <si>
    <t>INE238A01034</t>
  </si>
  <si>
    <t>Infosys Ltd</t>
  </si>
  <si>
    <t>INE009A01021</t>
  </si>
  <si>
    <t>Software</t>
  </si>
  <si>
    <t>ICICI Bank Ltd</t>
  </si>
  <si>
    <t>INE090A01021</t>
  </si>
  <si>
    <t>Balkrishna Industries Ltd</t>
  </si>
  <si>
    <t>INE787D01026</t>
  </si>
  <si>
    <t>Auto Ancillaries</t>
  </si>
  <si>
    <t>Bharti Airtel Ltd</t>
  </si>
  <si>
    <t>INE397D01024</t>
  </si>
  <si>
    <t>Telecom - Services</t>
  </si>
  <si>
    <t>Kotak Mahindra Bank Ltd</t>
  </si>
  <si>
    <t>INE237A01028</t>
  </si>
  <si>
    <t>Voltas Ltd</t>
  </si>
  <si>
    <t>INE226A01021</t>
  </si>
  <si>
    <t>Consumer Durables</t>
  </si>
  <si>
    <t>Hindalco Industries Ltd</t>
  </si>
  <si>
    <t>INE038A01020</t>
  </si>
  <si>
    <t>Non - Ferrous Metals</t>
  </si>
  <si>
    <t>Petronet LNG Ltd</t>
  </si>
  <si>
    <t>INE347G01014</t>
  </si>
  <si>
    <t>Gas</t>
  </si>
  <si>
    <t>Colgate Palmolive (India) Ltd</t>
  </si>
  <si>
    <t>INE259A01022</t>
  </si>
  <si>
    <t>Consumer Non Durables</t>
  </si>
  <si>
    <t>Dr. Reddy's Laboratories Ltd</t>
  </si>
  <si>
    <t>INE089A01023</t>
  </si>
  <si>
    <t>Pharmaceuticals</t>
  </si>
  <si>
    <t>Hindustan Petroleum Corporation Ltd</t>
  </si>
  <si>
    <t>INE094A01015</t>
  </si>
  <si>
    <t>Petroleum Products</t>
  </si>
  <si>
    <t>State Bank of India</t>
  </si>
  <si>
    <t>INE062A01020</t>
  </si>
  <si>
    <t>Tata Consultancy Services Ltd</t>
  </si>
  <si>
    <t>INE467B01029</t>
  </si>
  <si>
    <t>Gujarat State Petronet Ltd</t>
  </si>
  <si>
    <t>INE246F01010</t>
  </si>
  <si>
    <t>Hindustan Unilever Ltd</t>
  </si>
  <si>
    <t>INE030A01027</t>
  </si>
  <si>
    <t>Power Grid Corporation of India Ltd</t>
  </si>
  <si>
    <t>INE752E01010</t>
  </si>
  <si>
    <t>Power</t>
  </si>
  <si>
    <t>NTPC Ltd</t>
  </si>
  <si>
    <t>INE733E01010</t>
  </si>
  <si>
    <t>Mahindra &amp; Mahindra Ltd</t>
  </si>
  <si>
    <t>INE101A01026</t>
  </si>
  <si>
    <t>Auto</t>
  </si>
  <si>
    <t>Bajaj Auto Ltd</t>
  </si>
  <si>
    <t>INE917I01010</t>
  </si>
  <si>
    <t>Bharat Petroleum Corporation Ltd</t>
  </si>
  <si>
    <t>INE029A01011</t>
  </si>
  <si>
    <t>United Breweries Ltd</t>
  </si>
  <si>
    <t>INE686F01025</t>
  </si>
  <si>
    <t>City Union Bank Ltd</t>
  </si>
  <si>
    <t>INE491A01021</t>
  </si>
  <si>
    <t>Cadila Healthcare Ltd</t>
  </si>
  <si>
    <t>INE010B01027</t>
  </si>
  <si>
    <t>Aditya Birla Fashion and Retail Ltd</t>
  </si>
  <si>
    <t>INE647O01011</t>
  </si>
  <si>
    <t>Retailing</t>
  </si>
  <si>
    <t>Tata Motors Ltd</t>
  </si>
  <si>
    <t>INE155A01022</t>
  </si>
  <si>
    <t>Jagran Prakashan Ltd</t>
  </si>
  <si>
    <t>INE199G01027</t>
  </si>
  <si>
    <t>Media</t>
  </si>
  <si>
    <t>Aditya Birla Fashion and Retail Ltd – Partly Paid</t>
  </si>
  <si>
    <t>IN9647O01027</t>
  </si>
  <si>
    <t>6.95% Housing Development Finance Corporation Ltd (27-Apr-2023) **</t>
  </si>
  <si>
    <t>INE001A07SK8</t>
  </si>
  <si>
    <t>Kansai Nerolac Paints Ltd</t>
  </si>
  <si>
    <t>INE531A01024</t>
  </si>
  <si>
    <t>Grasim Industries Ltd</t>
  </si>
  <si>
    <t>INE047A01021</t>
  </si>
  <si>
    <t>Cement &amp; Cement Products</t>
  </si>
  <si>
    <t>Coal India Ltd</t>
  </si>
  <si>
    <t>INE522F01014</t>
  </si>
  <si>
    <t>Minerals/Mining</t>
  </si>
  <si>
    <t>PowerGrid Infrastructure Investment Trust</t>
  </si>
  <si>
    <t>INE0GGX23010</t>
  </si>
  <si>
    <t>National Bank For Agriculture &amp; Rural Development (18-Feb-2022) **</t>
  </si>
  <si>
    <t>INE261F16595</t>
  </si>
  <si>
    <t>Housing Development Finance Corporation Ltd</t>
  </si>
  <si>
    <t>INE001A01036</t>
  </si>
  <si>
    <t>Finance</t>
  </si>
  <si>
    <t>Sun TV Network Ltd</t>
  </si>
  <si>
    <t>INE424H01027</t>
  </si>
  <si>
    <t>Entertainment</t>
  </si>
  <si>
    <t>Maruti Suzuki India Ltd</t>
  </si>
  <si>
    <t>INE585B01010</t>
  </si>
  <si>
    <t>Larsen &amp; Toubro Ltd</t>
  </si>
  <si>
    <t>INE018A01030</t>
  </si>
  <si>
    <t>Construction Project</t>
  </si>
  <si>
    <t>Dabur India Ltd</t>
  </si>
  <si>
    <t>INE016A01026</t>
  </si>
  <si>
    <t>Tata Power Co Ltd</t>
  </si>
  <si>
    <t>INE245A01021</t>
  </si>
  <si>
    <t>Tech Mahindra Ltd</t>
  </si>
  <si>
    <t>INE669C01036</t>
  </si>
  <si>
    <t>Indian Hotels Co Ltd</t>
  </si>
  <si>
    <t>INE053A01029</t>
  </si>
  <si>
    <t>Leisure Services</t>
  </si>
  <si>
    <t>Cholamandalam Financial Holdings Ltd</t>
  </si>
  <si>
    <t>INE149A01033</t>
  </si>
  <si>
    <t>Indian Oil Corporation Ltd</t>
  </si>
  <si>
    <t>INE242A01010</t>
  </si>
  <si>
    <t>Mahindra CIE Automotive Ltd</t>
  </si>
  <si>
    <t>INE536H01010</t>
  </si>
  <si>
    <t>Industrial Products</t>
  </si>
  <si>
    <t>Himatsingka Seide Ltd</t>
  </si>
  <si>
    <t>INE049A01027</t>
  </si>
  <si>
    <t>Textile Products</t>
  </si>
  <si>
    <t>PNB Housing Finance Ltd</t>
  </si>
  <si>
    <t>INE572E01012</t>
  </si>
  <si>
    <t>GAIL (India) Ltd</t>
  </si>
  <si>
    <t>INE129A01019</t>
  </si>
  <si>
    <t>Nestle India Ltd</t>
  </si>
  <si>
    <t>INE239A01016</t>
  </si>
  <si>
    <t>Federal Bank Ltd</t>
  </si>
  <si>
    <t>INE171A01029</t>
  </si>
  <si>
    <t>(b) Units of Real Estate Investment Trusts (REITs)</t>
  </si>
  <si>
    <t>Embassy Office Parks REIT</t>
  </si>
  <si>
    <t>INE041025011</t>
  </si>
  <si>
    <t>c) Portfolio Turnover Ratio during the Half - year 31-May-2021</t>
  </si>
  <si>
    <t>d) Average Maturity as on 31-May-2021</t>
  </si>
  <si>
    <t xml:space="preserve">e) During the month additional instances of fair valuation/deviation from valuation price provided by the valuation agencies </t>
  </si>
  <si>
    <t>NHPC Ltd</t>
  </si>
  <si>
    <t>INE848E01016</t>
  </si>
  <si>
    <t>Titan Co Ltd</t>
  </si>
  <si>
    <t>INE280A01028</t>
  </si>
  <si>
    <t xml:space="preserve">(b) Unlisted </t>
  </si>
  <si>
    <t>INE671B01018</t>
  </si>
  <si>
    <t>Commercial Services</t>
  </si>
  <si>
    <t>(c) Units of Real Estate Investment Trusts (REITs)</t>
  </si>
  <si>
    <t>Brookfield India Real Estate Trust</t>
  </si>
  <si>
    <t>INE0FDU25010</t>
  </si>
  <si>
    <t>Indostar Capital Finance Ltd (1Y SBI MCLR + 225 Bps) (02-Nov-2021) **</t>
  </si>
  <si>
    <t>INE896L07660</t>
  </si>
  <si>
    <t>Tata Motors Ltd DVR</t>
  </si>
  <si>
    <t>IN9155A01020</t>
  </si>
  <si>
    <t>HCL Technologies Ltd</t>
  </si>
  <si>
    <t>INE860A01027</t>
  </si>
  <si>
    <t>Bharat Electronics Ltd</t>
  </si>
  <si>
    <t>INE263A01024</t>
  </si>
  <si>
    <t>Aerospace &amp; Defense</t>
  </si>
  <si>
    <t>Finolex Cables Ltd</t>
  </si>
  <si>
    <t>INE235A01022</t>
  </si>
  <si>
    <t>ITC Ltd</t>
  </si>
  <si>
    <t>INE154A01025</t>
  </si>
  <si>
    <t>Bosch Ltd</t>
  </si>
  <si>
    <t>INE323A01026</t>
  </si>
  <si>
    <t>Sundaram Clayton Ltd</t>
  </si>
  <si>
    <t>INE105A01035</t>
  </si>
  <si>
    <t>Tata Chemicals Ltd</t>
  </si>
  <si>
    <t>INE092A01019</t>
  </si>
  <si>
    <t>Chemicals</t>
  </si>
  <si>
    <t>Century Textile &amp; Industries Ltd</t>
  </si>
  <si>
    <t>INE055A01016</t>
  </si>
  <si>
    <t>Paper</t>
  </si>
  <si>
    <t>Equitas Holdings Ltd</t>
  </si>
  <si>
    <t>INE988K01017</t>
  </si>
  <si>
    <t>United Spirits Ltd</t>
  </si>
  <si>
    <t>INE854D01024</t>
  </si>
  <si>
    <t>ACC Ltd</t>
  </si>
  <si>
    <t>INE012A01025</t>
  </si>
  <si>
    <t>Oil &amp; Natural Gas Corporation Ltd</t>
  </si>
  <si>
    <t>INE213A01029</t>
  </si>
  <si>
    <t>Oil</t>
  </si>
  <si>
    <t>Gulf Oil Lubricants India Ltd</t>
  </si>
  <si>
    <t>INE635Q01029</t>
  </si>
  <si>
    <t>Industry Classification</t>
  </si>
  <si>
    <t>Finolex Industries Ltd</t>
  </si>
  <si>
    <t>INE183A01024</t>
  </si>
  <si>
    <t>Redington (India) Ltd</t>
  </si>
  <si>
    <t>INE891D01026</t>
  </si>
  <si>
    <t>Trading</t>
  </si>
  <si>
    <t>National Aluminium Co Ltd</t>
  </si>
  <si>
    <t>INE139A01034</t>
  </si>
  <si>
    <t>Vardhman Textiles Ltd</t>
  </si>
  <si>
    <t>INE825A01012</t>
  </si>
  <si>
    <t>Textiles - Cotton</t>
  </si>
  <si>
    <t>K.P.R. Mill Ltd</t>
  </si>
  <si>
    <t>INE930H01023</t>
  </si>
  <si>
    <t>Tata Consumer Products Ltd</t>
  </si>
  <si>
    <t>INE192A01025</t>
  </si>
  <si>
    <t>NMDC Ltd</t>
  </si>
  <si>
    <t>INE584A01023</t>
  </si>
  <si>
    <t>J.K. Cement Ltd</t>
  </si>
  <si>
    <t>INE823G01014</t>
  </si>
  <si>
    <t>Cyient Ltd</t>
  </si>
  <si>
    <t>INE136B01020</t>
  </si>
  <si>
    <t>Ashok Leyland Ltd</t>
  </si>
  <si>
    <t>INE208A01029</t>
  </si>
  <si>
    <t>CESC Ltd</t>
  </si>
  <si>
    <t>INE486A01013</t>
  </si>
  <si>
    <t>Dalmia Bharat Ltd</t>
  </si>
  <si>
    <t>INE00R701025</t>
  </si>
  <si>
    <t>Tata Investment Corporation Ltd</t>
  </si>
  <si>
    <t>INE672A01018</t>
  </si>
  <si>
    <t>Foreign Equity Securities</t>
  </si>
  <si>
    <t>Unilever PLC, (ADR)</t>
  </si>
  <si>
    <t>US9047677045</t>
  </si>
  <si>
    <t>Novatek Microelectronics Corp. Ltd</t>
  </si>
  <si>
    <t>TW0003034005</t>
  </si>
  <si>
    <t>Xtep International Holdings Ltd</t>
  </si>
  <si>
    <t>KYG982771092</t>
  </si>
  <si>
    <t>Aramex PJSC</t>
  </si>
  <si>
    <t>AEA002301017</t>
  </si>
  <si>
    <t>Transportation</t>
  </si>
  <si>
    <t>Xinyi Solar Holdings Ltd</t>
  </si>
  <si>
    <t>KYG9829N1025</t>
  </si>
  <si>
    <t>Industrial Capital Goods</t>
  </si>
  <si>
    <t>Travelsky Technology Ltd, H</t>
  </si>
  <si>
    <t>CNE1000004J3</t>
  </si>
  <si>
    <t>Mahle-Metal Leve S A</t>
  </si>
  <si>
    <t>BRLEVEACNOR2</t>
  </si>
  <si>
    <t>Primax Electronics Ltd</t>
  </si>
  <si>
    <t>TW0004915004</t>
  </si>
  <si>
    <t>Hardware</t>
  </si>
  <si>
    <t>Fanhua Inc, (ADR)</t>
  </si>
  <si>
    <t>US30712A1034</t>
  </si>
  <si>
    <t>Info Edge (India) Ltd</t>
  </si>
  <si>
    <t>INE663F01024</t>
  </si>
  <si>
    <t>Larsen &amp; Toubro Infotech Ltd</t>
  </si>
  <si>
    <t>INE214T01019</t>
  </si>
  <si>
    <t>JustDial Ltd</t>
  </si>
  <si>
    <t>INE599M01018</t>
  </si>
  <si>
    <t>Indiamart Intermesh Ltd</t>
  </si>
  <si>
    <t>INE933S01016</t>
  </si>
  <si>
    <t>Xelpmoc Design and Tech Ltd</t>
  </si>
  <si>
    <t>INE01P501012</t>
  </si>
  <si>
    <t>Nvidia Corp</t>
  </si>
  <si>
    <t>US67066G1040</t>
  </si>
  <si>
    <t>Taiwan Semiconductor Manufacturing Co. Ltd</t>
  </si>
  <si>
    <t>TW0002330008</t>
  </si>
  <si>
    <t>Makemytrip Ltd</t>
  </si>
  <si>
    <t>MU0295S00016</t>
  </si>
  <si>
    <t>Samsung Electronics Co. Ltd</t>
  </si>
  <si>
    <t>KR7005930003</t>
  </si>
  <si>
    <t>Salesforce.Com Inc</t>
  </si>
  <si>
    <t>US79466L3024</t>
  </si>
  <si>
    <t xml:space="preserve">Software                                </t>
  </si>
  <si>
    <t>Qualcomm Inc.</t>
  </si>
  <si>
    <t>US7475251036</t>
  </si>
  <si>
    <t>Telecom -  Equipment &amp; Accessories</t>
  </si>
  <si>
    <t>Sunny Optical Technology Group Co. Ltd</t>
  </si>
  <si>
    <t>KYG8586D1097</t>
  </si>
  <si>
    <t>Intel Corp</t>
  </si>
  <si>
    <t>US4581401001</t>
  </si>
  <si>
    <t>Mediatek Inc</t>
  </si>
  <si>
    <t>TW0002454006</t>
  </si>
  <si>
    <t>Uber Technologies Inc</t>
  </si>
  <si>
    <t>US90353T1007</t>
  </si>
  <si>
    <t>Alibaba Group Holding Ltd</t>
  </si>
  <si>
    <t>KYG017191142</t>
  </si>
  <si>
    <t>Alphabet Inc</t>
  </si>
  <si>
    <t>US02079K3059</t>
  </si>
  <si>
    <t>Amazon.com INC</t>
  </si>
  <si>
    <t>US0231351067</t>
  </si>
  <si>
    <t>Wix.Com Ltd</t>
  </si>
  <si>
    <t>IL0011301780</t>
  </si>
  <si>
    <t>Microsoft Corp</t>
  </si>
  <si>
    <t>US5949181045</t>
  </si>
  <si>
    <t>Foreign Mutual Fund Units</t>
  </si>
  <si>
    <t>Franklin Technology Fund, Class I (Acc)</t>
  </si>
  <si>
    <t>LU0626261944</t>
  </si>
  <si>
    <t>Foreign Mutual Fund</t>
  </si>
  <si>
    <t>Deepak Nitrite Ltd</t>
  </si>
  <si>
    <t>INE288B01029</t>
  </si>
  <si>
    <t>CCL Products (India) Ltd</t>
  </si>
  <si>
    <t>INE421D01022</t>
  </si>
  <si>
    <t>Brigade Enterprises Ltd</t>
  </si>
  <si>
    <t>INE791I01019</t>
  </si>
  <si>
    <t>Construction</t>
  </si>
  <si>
    <t>J.B. Chemicals &amp; Pharmaceuticals Ltd</t>
  </si>
  <si>
    <t>INE572A01028</t>
  </si>
  <si>
    <t>Quess Corp Ltd</t>
  </si>
  <si>
    <t>INE615P01015</t>
  </si>
  <si>
    <t>Other Services</t>
  </si>
  <si>
    <t>Jyothy Labs Ltd</t>
  </si>
  <si>
    <t>INE668F01031</t>
  </si>
  <si>
    <t>Nesco Ltd</t>
  </si>
  <si>
    <t>INE317F01035</t>
  </si>
  <si>
    <t>Blue Star Ltd</t>
  </si>
  <si>
    <t>INE472A01039</t>
  </si>
  <si>
    <t>Sobha Ltd</t>
  </si>
  <si>
    <t>INE671H01015</t>
  </si>
  <si>
    <t>KPIT Technologies Ltd</t>
  </si>
  <si>
    <t>INE04I401011</t>
  </si>
  <si>
    <t>Teamlease Services Ltd</t>
  </si>
  <si>
    <t>INE985S01024</t>
  </si>
  <si>
    <t>Eris Lifesciences Ltd</t>
  </si>
  <si>
    <t>INE406M01024</t>
  </si>
  <si>
    <t>Carborundum Universal Ltd</t>
  </si>
  <si>
    <t>INE120A01034</t>
  </si>
  <si>
    <t>Tube Investments of India Ltd</t>
  </si>
  <si>
    <t>INE974X01010</t>
  </si>
  <si>
    <t>KNR Constructions Ltd</t>
  </si>
  <si>
    <t>INE634I01029</t>
  </si>
  <si>
    <t>Karur Vysya Bank Ltd</t>
  </si>
  <si>
    <t>INE036D01028</t>
  </si>
  <si>
    <t>DCB Bank Ltd</t>
  </si>
  <si>
    <t>INE503A01015</t>
  </si>
  <si>
    <t>Metropolis Healthcare Ltd</t>
  </si>
  <si>
    <t>INE112L01020</t>
  </si>
  <si>
    <t>Healthcare Services</t>
  </si>
  <si>
    <t>GHCL Ltd</t>
  </si>
  <si>
    <t>INE539A01019</t>
  </si>
  <si>
    <t>Ahluwalia Contracts (India) Ltd</t>
  </si>
  <si>
    <t>INE758C01029</t>
  </si>
  <si>
    <t>Lemon Tree Hotels Ltd</t>
  </si>
  <si>
    <t>INE970X01018</t>
  </si>
  <si>
    <t>TTK Prestige Ltd</t>
  </si>
  <si>
    <t>INE690A01010</t>
  </si>
  <si>
    <t>Atul Ltd</t>
  </si>
  <si>
    <t>INE100A01010</t>
  </si>
  <si>
    <t>Equitas Small Finance Bank Ltd</t>
  </si>
  <si>
    <t>INE063P01018</t>
  </si>
  <si>
    <t>Cholamandalam Investment and Finance Co Ltd</t>
  </si>
  <si>
    <t>INE121A01024</t>
  </si>
  <si>
    <t>JK Lakshmi Cement Ltd</t>
  </si>
  <si>
    <t>INE786A01032</t>
  </si>
  <si>
    <t>Westlife Development Ltd</t>
  </si>
  <si>
    <t>INE274F01020</t>
  </si>
  <si>
    <t>TV Today Network Ltd</t>
  </si>
  <si>
    <t>INE038F01029</t>
  </si>
  <si>
    <t>Multi Commodity Exchange Of India Ltd</t>
  </si>
  <si>
    <t>INE745G01035</t>
  </si>
  <si>
    <t>Capital Markets</t>
  </si>
  <si>
    <t>Mrs Bectors Food Specialities Ltd</t>
  </si>
  <si>
    <t>INE495P01012</t>
  </si>
  <si>
    <t>V.I.P. Industries Ltd</t>
  </si>
  <si>
    <t>INE054A01027</t>
  </si>
  <si>
    <t>Techno Electric &amp; Engineering Co Ltd</t>
  </si>
  <si>
    <t>INE285K01026</t>
  </si>
  <si>
    <t>Navneet Education Ltd</t>
  </si>
  <si>
    <t>INE060A01024</t>
  </si>
  <si>
    <t>Printing &amp; Publication</t>
  </si>
  <si>
    <t>CARE Ratings Ltd</t>
  </si>
  <si>
    <t>INE752H01013</t>
  </si>
  <si>
    <t>Ashoka Buildcon Ltd</t>
  </si>
  <si>
    <t>INE442H01029</t>
  </si>
  <si>
    <t>M M Forgings Ltd</t>
  </si>
  <si>
    <t>INE227C01017</t>
  </si>
  <si>
    <t>Music Broadcast Ltd</t>
  </si>
  <si>
    <t>INE919I01024</t>
  </si>
  <si>
    <t>Shankara Building Products Ltd</t>
  </si>
  <si>
    <t>INE274V01019</t>
  </si>
  <si>
    <t>Ramkrishna Forgings Ltd</t>
  </si>
  <si>
    <t>INE399G01015</t>
  </si>
  <si>
    <t>Indoco Remedies Ltd</t>
  </si>
  <si>
    <t>INE873D01024</t>
  </si>
  <si>
    <t>HT Media Ltd</t>
  </si>
  <si>
    <t>INE501G01024</t>
  </si>
  <si>
    <t>Ramco Systems Ltd</t>
  </si>
  <si>
    <t>INE246B01019</t>
  </si>
  <si>
    <t>ABB Power Products &amp; Systems India Ltd</t>
  </si>
  <si>
    <t>INE07Y701011</t>
  </si>
  <si>
    <t>Pennar Industries Ltd</t>
  </si>
  <si>
    <t>INE932A01024</t>
  </si>
  <si>
    <t>Ferrous Metals</t>
  </si>
  <si>
    <t>Crompton Greaves Consumer Electricals Ltd</t>
  </si>
  <si>
    <t>INE299U01018</t>
  </si>
  <si>
    <t>The Ramco Cements Ltd</t>
  </si>
  <si>
    <t>INE331A01037</t>
  </si>
  <si>
    <t>Mphasis Ltd</t>
  </si>
  <si>
    <t>INE356A01018</t>
  </si>
  <si>
    <t>Apollo Hospitals Enterprise Ltd</t>
  </si>
  <si>
    <t>INE437A01024</t>
  </si>
  <si>
    <t>Oberoi Realty Ltd</t>
  </si>
  <si>
    <t>INE093I01010</t>
  </si>
  <si>
    <t>Sundaram Finance Ltd</t>
  </si>
  <si>
    <t>INE660A01013</t>
  </si>
  <si>
    <t>Emami Ltd</t>
  </si>
  <si>
    <t>INE548C01032</t>
  </si>
  <si>
    <t>Trent Ltd</t>
  </si>
  <si>
    <t>INE849A01020</t>
  </si>
  <si>
    <t>Sundram Fasteners Ltd</t>
  </si>
  <si>
    <t>INE387A01021</t>
  </si>
  <si>
    <t>IPCA Laboratories Ltd</t>
  </si>
  <si>
    <t>INE571A01020</t>
  </si>
  <si>
    <t>Container Corporation Of India Ltd</t>
  </si>
  <si>
    <t>INE111A01025</t>
  </si>
  <si>
    <t>Coromandel International Ltd</t>
  </si>
  <si>
    <t>INE169A01031</t>
  </si>
  <si>
    <t>Fertilisers</t>
  </si>
  <si>
    <t>Apollo Tyres Ltd</t>
  </si>
  <si>
    <t>INE438A01022</t>
  </si>
  <si>
    <t>RBL Bank Ltd</t>
  </si>
  <si>
    <t>INE976G01028</t>
  </si>
  <si>
    <t>Aarti Industries Ltd</t>
  </si>
  <si>
    <t>INE769A01020</t>
  </si>
  <si>
    <t>PI Industries Ltd</t>
  </si>
  <si>
    <t>INE603J01030</t>
  </si>
  <si>
    <t>Pesticides</t>
  </si>
  <si>
    <t>Kajaria Ceramics Ltd</t>
  </si>
  <si>
    <t>INE217B01036</t>
  </si>
  <si>
    <t>Escorts Ltd</t>
  </si>
  <si>
    <t>INE042A01014</t>
  </si>
  <si>
    <t>AIA Engineering Ltd</t>
  </si>
  <si>
    <t>INE212H01026</t>
  </si>
  <si>
    <t>Phoenix Mills Ltd</t>
  </si>
  <si>
    <t>INE211B01039</t>
  </si>
  <si>
    <t>Bata India Ltd</t>
  </si>
  <si>
    <t>INE176A01028</t>
  </si>
  <si>
    <t>EPL Ltd</t>
  </si>
  <si>
    <t>INE255A01020</t>
  </si>
  <si>
    <t>Persistent Systems Ltd</t>
  </si>
  <si>
    <t>INE262H01013</t>
  </si>
  <si>
    <t>Schaeffler India Ltd</t>
  </si>
  <si>
    <t>INE513A01014</t>
  </si>
  <si>
    <t>* Less than 0.01%</t>
  </si>
  <si>
    <t>Asian Paints Ltd</t>
  </si>
  <si>
    <t>INE021A01026</t>
  </si>
  <si>
    <t>Caplin Point Laboratories Ltd</t>
  </si>
  <si>
    <t>INE475E01026</t>
  </si>
  <si>
    <t>GTPL Hathway Ltd</t>
  </si>
  <si>
    <t>INE869I01013</t>
  </si>
  <si>
    <t>Kalyani Invest Co Ltd</t>
  </si>
  <si>
    <t>INE029L01018</t>
  </si>
  <si>
    <t>INE696201123</t>
  </si>
  <si>
    <t>Cipla Ltd</t>
  </si>
  <si>
    <t>INE059A01026</t>
  </si>
  <si>
    <t>Interglobe Aviation Ltd</t>
  </si>
  <si>
    <t>INE646L01027</t>
  </si>
  <si>
    <t>KEI Industries Ltd</t>
  </si>
  <si>
    <t>INE878B01027</t>
  </si>
  <si>
    <t>Lupin Ltd</t>
  </si>
  <si>
    <t>INE326A01037</t>
  </si>
  <si>
    <t>Orient Cement Ltd</t>
  </si>
  <si>
    <t>INE876N01018</t>
  </si>
  <si>
    <t>Somany Ceramics Ltd</t>
  </si>
  <si>
    <t>INE355A01028</t>
  </si>
  <si>
    <t>ITD Cementation India Ltd</t>
  </si>
  <si>
    <t>INE686A01026</t>
  </si>
  <si>
    <t>Hindustan Aeronautics Ltd</t>
  </si>
  <si>
    <t>INE066F01012</t>
  </si>
  <si>
    <t>Spicejet Ltd</t>
  </si>
  <si>
    <t>INE285B01017</t>
  </si>
  <si>
    <t>Marico Ltd</t>
  </si>
  <si>
    <t>INE196A01026</t>
  </si>
  <si>
    <t>Sun Pharmaceutical Industries Ltd</t>
  </si>
  <si>
    <t>INE044A01036</t>
  </si>
  <si>
    <t>Aditya Birla Capital Ltd</t>
  </si>
  <si>
    <t>INE674K01013</t>
  </si>
  <si>
    <t>SBI Cards and Payment Services Ltd</t>
  </si>
  <si>
    <t>INE018E01016</t>
  </si>
  <si>
    <t>SKF India Ltd</t>
  </si>
  <si>
    <t>INE640A01023</t>
  </si>
  <si>
    <t>ICICI Prudential Life Insurance Co Ltd</t>
  </si>
  <si>
    <t>INE726G01019</t>
  </si>
  <si>
    <t>Insurance</t>
  </si>
  <si>
    <t>Ultratech Cement Ltd</t>
  </si>
  <si>
    <t>INE481G01011</t>
  </si>
  <si>
    <t>Arvind Fashions Ltd</t>
  </si>
  <si>
    <t>INE955V01021</t>
  </si>
  <si>
    <t>IN8955V01012</t>
  </si>
  <si>
    <t>IndusInd Bank Ltd</t>
  </si>
  <si>
    <t>INE095A01012</t>
  </si>
  <si>
    <t>SBI Life Insurance Co Ltd</t>
  </si>
  <si>
    <t>INE123W01016</t>
  </si>
  <si>
    <t>Ambuja Cements Ltd</t>
  </si>
  <si>
    <t>INE079A01024</t>
  </si>
  <si>
    <t>Gujarat Pipavav Port Ltd</t>
  </si>
  <si>
    <t>INE517F01014</t>
  </si>
  <si>
    <t>Puravankara Ltd</t>
  </si>
  <si>
    <t>INE323I01011</t>
  </si>
  <si>
    <t>NRB Bearings Ltd</t>
  </si>
  <si>
    <t>INE349A01021</t>
  </si>
  <si>
    <t>Gateway Distriparks Ltd</t>
  </si>
  <si>
    <t>INE852F01015</t>
  </si>
  <si>
    <t>The New India Assurance Co Ltd</t>
  </si>
  <si>
    <t>INE470Y01017</t>
  </si>
  <si>
    <t>Godrej Properties Ltd</t>
  </si>
  <si>
    <t>INE484J01027</t>
  </si>
  <si>
    <t>Motilal Oswal Financial Services Ltd</t>
  </si>
  <si>
    <t>INE338I01027</t>
  </si>
  <si>
    <t>Tencent Holdings Ltd</t>
  </si>
  <si>
    <t>KYG875721634</t>
  </si>
  <si>
    <t>AIA Group Ltd</t>
  </si>
  <si>
    <t>HK0000069689</t>
  </si>
  <si>
    <t>Naver Corp</t>
  </si>
  <si>
    <t>KR7035420009</t>
  </si>
  <si>
    <t>Ping An Insurance (Group) Co. Of China Ltd, H</t>
  </si>
  <si>
    <t>CNE1000003X6</t>
  </si>
  <si>
    <t>China Merchants Bank Co Ltd</t>
  </si>
  <si>
    <t>CNE1000002M1</t>
  </si>
  <si>
    <t>Kweichow Moutai Co. Ltd, A</t>
  </si>
  <si>
    <t>CNE0000018R8</t>
  </si>
  <si>
    <t>Meituan Dianping</t>
  </si>
  <si>
    <t>KYG596691041</t>
  </si>
  <si>
    <t>LG Chem Ltd</t>
  </si>
  <si>
    <t>KR7051910008</t>
  </si>
  <si>
    <t>JD.Com Inc</t>
  </si>
  <si>
    <t>KYG8208B1014</t>
  </si>
  <si>
    <t>China Mengniu Dairy Co. Ltd</t>
  </si>
  <si>
    <t>KYG210961051</t>
  </si>
  <si>
    <t>Country Garden Services Holdings Co Ltd</t>
  </si>
  <si>
    <t>KYG2453A1085</t>
  </si>
  <si>
    <t>Techtronic Industries Co. Ltd</t>
  </si>
  <si>
    <t>HK0669013440</t>
  </si>
  <si>
    <t>Midea Group Co Ltd</t>
  </si>
  <si>
    <t>CNE100001QQ5</t>
  </si>
  <si>
    <t>Budweiser Brewing Co APAC Ltd</t>
  </si>
  <si>
    <t>KYG1674K1013</t>
  </si>
  <si>
    <t>Sea Ltd (ADR)</t>
  </si>
  <si>
    <t>US81141R1005</t>
  </si>
  <si>
    <t>Bank Central Asia Tbk Pt</t>
  </si>
  <si>
    <t>ID1000109507</t>
  </si>
  <si>
    <t>Yum China Holdings INC</t>
  </si>
  <si>
    <t>US98850P1093</t>
  </si>
  <si>
    <t>Semen Indonesia (Persero) Tbk PT</t>
  </si>
  <si>
    <t>ID1000106800</t>
  </si>
  <si>
    <t>Longi Green Energy Technology Co Ltd</t>
  </si>
  <si>
    <t>CNE100001FR6</t>
  </si>
  <si>
    <t>China Resources Land Ltd</t>
  </si>
  <si>
    <t>KYG2108Y1052</t>
  </si>
  <si>
    <t>Trip.Com Group Ltd, (ADR)</t>
  </si>
  <si>
    <t>US89677Q1076</t>
  </si>
  <si>
    <t>SK Hynix Inc</t>
  </si>
  <si>
    <t>KR7000660001</t>
  </si>
  <si>
    <t>Indocement Tunggal Prakarsa Tbk Pt</t>
  </si>
  <si>
    <t>ID1000061302</t>
  </si>
  <si>
    <t>SM Investments Corp</t>
  </si>
  <si>
    <t>PHY806761029</t>
  </si>
  <si>
    <t>New Oriental Education &amp; Technology Group Inc</t>
  </si>
  <si>
    <t>KYG6470A1168</t>
  </si>
  <si>
    <t>The Siam Cement PCL, Fgn.</t>
  </si>
  <si>
    <t>TH0003010Z12</t>
  </si>
  <si>
    <t>China Resources Cement Holdings Ltd</t>
  </si>
  <si>
    <t>KYG2113L1068</t>
  </si>
  <si>
    <t>ACE Hardware Indonesia Tbk Pt</t>
  </si>
  <si>
    <t>ID1000125503</t>
  </si>
  <si>
    <t>Guangzhou Tinci Materials Technology Co Ltd</t>
  </si>
  <si>
    <t>CNE100001RG4</t>
  </si>
  <si>
    <t>Minor International Pcl, Fgn.</t>
  </si>
  <si>
    <t>TH0128B10Z17</t>
  </si>
  <si>
    <t>Hotels/ Resorts And Other Recreational Activities</t>
  </si>
  <si>
    <t>Beijing Oriental Yuhong Waterproof Technology Co Ltd</t>
  </si>
  <si>
    <t>CNE100000CS3</t>
  </si>
  <si>
    <t>Engineering Services</t>
  </si>
  <si>
    <t>Alibaba Health Information Technology Ltd</t>
  </si>
  <si>
    <t>BMG0171K1018</t>
  </si>
  <si>
    <t>Weichai Power Co Ltd</t>
  </si>
  <si>
    <t>CNE1000004L9</t>
  </si>
  <si>
    <t>Bangkok Dusit Medical Services Pcl</t>
  </si>
  <si>
    <t>TH0264A10Z12</t>
  </si>
  <si>
    <t>Laobaixing Pharmacy Chain Jsc</t>
  </si>
  <si>
    <t>CNE1000023Q8</t>
  </si>
  <si>
    <t>Tal Education Group, (ADR)</t>
  </si>
  <si>
    <t>US8740801043</t>
  </si>
  <si>
    <t>China Resources Mixc Lifestyle Services Ltd</t>
  </si>
  <si>
    <t>KYG2122G1064</t>
  </si>
  <si>
    <t>Minor International PCL- Warrants (31-July-2023)</t>
  </si>
  <si>
    <t>TH0128053707</t>
  </si>
  <si>
    <t>TH0128053509</t>
  </si>
  <si>
    <t>TH0128054200</t>
  </si>
  <si>
    <t>Minor International PCL- Warrants (30-Sep-2021)</t>
  </si>
  <si>
    <t>TH0128051909</t>
  </si>
  <si>
    <t>Reliance Industries Ltd</t>
  </si>
  <si>
    <t>INE002A01018</t>
  </si>
  <si>
    <t>Bajaj Finance Ltd</t>
  </si>
  <si>
    <t>INE296A01024</t>
  </si>
  <si>
    <t>Tata Steel Ltd</t>
  </si>
  <si>
    <t>INE081A01012</t>
  </si>
  <si>
    <t>Wipro Ltd</t>
  </si>
  <si>
    <t>INE075A01022</t>
  </si>
  <si>
    <t>Bajaj Finserv Ltd</t>
  </si>
  <si>
    <t>INE918I01018</t>
  </si>
  <si>
    <t>JSW Steel Ltd</t>
  </si>
  <si>
    <t>INE019A01038</t>
  </si>
  <si>
    <t>Adani Ports and Special Economic Zone Ltd</t>
  </si>
  <si>
    <t>INE742F01042</t>
  </si>
  <si>
    <t>Divi's Laboratories Ltd</t>
  </si>
  <si>
    <t>INE361B01024</t>
  </si>
  <si>
    <t>HDFC Life Insurance Co Ltd</t>
  </si>
  <si>
    <t>INE795G01014</t>
  </si>
  <si>
    <t>UPL Ltd</t>
  </si>
  <si>
    <t>INE628A01036</t>
  </si>
  <si>
    <t>Britannia Industries Ltd</t>
  </si>
  <si>
    <t>INE216A01030</t>
  </si>
  <si>
    <t>Hero MotoCorp Ltd</t>
  </si>
  <si>
    <t>INE158A01026</t>
  </si>
  <si>
    <t>Eicher Motors Ltd</t>
  </si>
  <si>
    <t>INE066A01021</t>
  </si>
  <si>
    <t>Shree Cement Ltd</t>
  </si>
  <si>
    <t>INE070A01015</t>
  </si>
  <si>
    <t>Yes Bank Ltd</t>
  </si>
  <si>
    <t>INE528G01035</t>
  </si>
  <si>
    <t>INE216A08027</t>
  </si>
  <si>
    <t>Prestige Estates Projects Ltd</t>
  </si>
  <si>
    <t>INE811K01011</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</si>
  <si>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</si>
  <si>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</si>
  <si>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</si>
  <si>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</si>
  <si>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</si>
  <si>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</si>
  <si>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</si>
  <si>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</si>
  <si>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INF090I01GK1</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</si>
  <si>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</si>
  <si>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</si>
  <si>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</si>
  <si>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</si>
  <si>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</si>
  <si>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</si>
  <si>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</si>
  <si>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</si>
  <si>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</si>
  <si>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</si>
  <si>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</si>
  <si>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</si>
  <si>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</si>
  <si>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</si>
  <si>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</si>
  <si>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</si>
  <si>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</si>
  <si>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</si>
  <si>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</si>
  <si>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Flexi Cap Fund-Direct Growth Plan (Formerly known as Franklin India Equity Fund)</t>
  </si>
  <si>
    <t>INF090I01FK3</t>
  </si>
  <si>
    <t>h) For product labeling and risk-o-meter refer the link below</t>
  </si>
  <si>
    <t>(b) Units of Infrastructure Investment Trust</t>
  </si>
  <si>
    <t>Numero Uno International Ltd ** ^^</t>
  </si>
  <si>
    <t>Quantum Information Systems ** ^^</t>
  </si>
  <si>
    <t>Quantum Information Services ** ^^</t>
  </si>
  <si>
    <t>^^ Securities are fair valued</t>
  </si>
  <si>
    <t>## Awaiting listing</t>
  </si>
  <si>
    <t xml:space="preserve">d) During the month additional instances of fair valuation/deviation from valuation price provided by the valuation agencies </t>
  </si>
  <si>
    <t>Refer below link for rationale of devation under Valuation policy</t>
  </si>
  <si>
    <t>https://www.franklintempletonindia.com/investor/reports?firstFilter-4</t>
  </si>
  <si>
    <t>e) For product labeling and risk-o-meter refer the link below</t>
  </si>
  <si>
    <t>^ Franklin India Equity Fund is renamed as Franklin India Flexi Cap Fund effective Jan 29, 2021.</t>
  </si>
  <si>
    <t>Franklin India Flexi Cap Fund ^</t>
  </si>
  <si>
    <t>% to Net Assets(Hedged &amp; Unhedged)</t>
  </si>
  <si>
    <t>% to Net Assets Derivative</t>
  </si>
  <si>
    <t>d) Outstanding derivative exposure as % to net assets</t>
  </si>
  <si>
    <t>e) Portfolio Turnover Ratio during the Half - year 31-May-2021</t>
  </si>
  <si>
    <t xml:space="preserve">c) Total outstanding position (as at May 31, 2021) in Derivative Instruments (Gross Notional) </t>
  </si>
  <si>
    <t>f) Average Maturity as on 31-May-2021</t>
  </si>
  <si>
    <t xml:space="preserve">g) During the month additional instances of fair valuation/deviation from valuation price provided by the valuation agencies </t>
  </si>
  <si>
    <t>Rs. 4,496.69 Lacs</t>
  </si>
  <si>
    <t>Globsyn Technologies Ltd ** ^^</t>
  </si>
  <si>
    <t>f) For product labeling and risk-o-meter refer the link below</t>
  </si>
  <si>
    <t>d) For product labeling and risk-o-meter refer the link below</t>
  </si>
  <si>
    <t>Brillio Technologies Pvt Ltd ** ^^</t>
  </si>
  <si>
    <t>Chennai Interactive Business Services Pvt Ltd **  ^^</t>
  </si>
  <si>
    <t>Franklin India Feeder - Templeton European Opportunities Fund</t>
  </si>
  <si>
    <t>Franklin India Short-Term Income Plan (No. of Segregated Portfolios in the Scheme- 3) - (under winding up) Direct-Growth Plan ^^ $$$</t>
  </si>
  <si>
    <t>^^ Securities are fair Valued</t>
  </si>
  <si>
    <t>$$$ This scheme is under winding-up and SBI Funds Management Private Limited has been appointed as the liquidator as per the order of Hon'ble Supreme Court dated February 12, 2021.</t>
  </si>
  <si>
    <t>Franklin India Dynamic Accrual Fund (No. of Segregated Portfolios in the Scheme- 3) - (under winding up) Direct-Growth Plan ^^ $$$</t>
  </si>
  <si>
    <t>5.50% Britannia Industries Ltd (01-Jun-2024) **</t>
  </si>
  <si>
    <t>Franklin India Liquid Fund</t>
  </si>
  <si>
    <t>Rating</t>
  </si>
  <si>
    <t>INE001A07SF8</t>
  </si>
  <si>
    <t>6.77% Housing Development Finance Corporation Ltd (28-Jun-2021) **</t>
  </si>
  <si>
    <t>INE001A07GV0</t>
  </si>
  <si>
    <t>9.90% Housing Development Finance Corporation Ltd (10-Jun-2021) **</t>
  </si>
  <si>
    <t>INE001A07PJ6</t>
  </si>
  <si>
    <t>8.20% Housing Development Finance Corporation Ltd (29-Jul-2021) **</t>
  </si>
  <si>
    <t>INE691I14KB1</t>
  </si>
  <si>
    <t>L&amp;T Finance Ltd (21-Jun-2021) **@</t>
  </si>
  <si>
    <t>INE261F14HZ4</t>
  </si>
  <si>
    <t>National Bank For Agriculture &amp; Rural Development (23-Aug-2021) **@</t>
  </si>
  <si>
    <t>INE002A14HR0</t>
  </si>
  <si>
    <t>Reliance Industries Ltd (29-Jun-2021) **@</t>
  </si>
  <si>
    <t>CARE A1+</t>
  </si>
  <si>
    <t>INE700G14603</t>
  </si>
  <si>
    <t>HDFC Securities Ltd (30-Aug-2021)@</t>
  </si>
  <si>
    <t>INE242A14TW7</t>
  </si>
  <si>
    <t>Indian Oil Corporation Ltd (23-Jun-2021)@</t>
  </si>
  <si>
    <t>INE094A14GZ2</t>
  </si>
  <si>
    <t>Hindustan Petroleum Corporation Ltd (12-Jul-2021) **@</t>
  </si>
  <si>
    <t>INE110L14PE9</t>
  </si>
  <si>
    <t>Reliance Jio Infocomm Ltd (15-Jul-2021) **@</t>
  </si>
  <si>
    <t>INE860H14S98</t>
  </si>
  <si>
    <t>Aditya Birla Finance Ltd (22-Jul-2021) **@</t>
  </si>
  <si>
    <t>INE763G14JW0</t>
  </si>
  <si>
    <t>ICICI Securities Ltd (06-Aug-2021) **@</t>
  </si>
  <si>
    <t>INE094A14HA3</t>
  </si>
  <si>
    <t>Hindustan Petroleum Corporation Ltd (29-Jul-2021) **@</t>
  </si>
  <si>
    <t>INE891K14KP3</t>
  </si>
  <si>
    <t>Axis Finance Ltd (20-Aug-2021) **@</t>
  </si>
  <si>
    <t>INE028E14II4</t>
  </si>
  <si>
    <t>Kotak Securities Ltd (30-Aug-2021)@</t>
  </si>
  <si>
    <t>INE002A14HN9</t>
  </si>
  <si>
    <t>Reliance Industries Ltd (01-Jun-2021) **@</t>
  </si>
  <si>
    <t>INE891K14KI8</t>
  </si>
  <si>
    <t>Axis Finance Ltd (03-Jun-2021) **@</t>
  </si>
  <si>
    <t>Treasury Bill</t>
  </si>
  <si>
    <t>IN002020Z097</t>
  </si>
  <si>
    <t>364 DTB (03-Jun-2021)</t>
  </si>
  <si>
    <t>IN002020Z113</t>
  </si>
  <si>
    <t>364 DTB (17-Jun-2021)</t>
  </si>
  <si>
    <t>IN002020X530</t>
  </si>
  <si>
    <t>91 DTB (24-Jun-2021)</t>
  </si>
  <si>
    <t>IN002021X017</t>
  </si>
  <si>
    <t>91 DTB (08-Jul-2021)</t>
  </si>
  <si>
    <t>IN002021X082</t>
  </si>
  <si>
    <t>91 DTB (26-Aug-2021)</t>
  </si>
  <si>
    <t>IN002020Z121</t>
  </si>
  <si>
    <t>364 DTB (24-Jun-2021)</t>
  </si>
  <si>
    <t>IN0020190099</t>
  </si>
  <si>
    <t>6.17% GOI 2021 (15-Jul-2021)</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</si>
  <si>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</si>
  <si>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</si>
  <si>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</si>
  <si>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</si>
  <si>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</si>
  <si>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</si>
  <si>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</si>
  <si>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</si>
  <si>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</si>
  <si>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</si>
  <si>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</si>
  <si>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</si>
  <si>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</si>
  <si>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</si>
  <si>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</si>
  <si>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c) Average Maturity as on 31-May-2021</t>
  </si>
  <si>
    <t xml:space="preserve">e) For product labeling and risk-o-meter refer the link below </t>
  </si>
  <si>
    <t>Franklin India Overnight Fund</t>
  </si>
  <si>
    <t xml:space="preserve">      Daily IDCW Plan</t>
  </si>
  <si>
    <t xml:space="preserve">      Weekly IDCW Plan</t>
  </si>
  <si>
    <t xml:space="preserve">      Direct Daily IDCW Plan</t>
  </si>
  <si>
    <t xml:space="preserve">      Direct Weekly IDCW Plan</t>
  </si>
  <si>
    <t>Franklin India Savings Fund</t>
  </si>
  <si>
    <t>INE238A164V6</t>
  </si>
  <si>
    <t>Axis Bank Ltd (MIBOR+30 Bps ) (23-Dec-2021) **</t>
  </si>
  <si>
    <t>INE514E16BV6</t>
  </si>
  <si>
    <t>Export-Import Bank Of India (14-Dec-2021) **</t>
  </si>
  <si>
    <t>INE237A164M6</t>
  </si>
  <si>
    <t>Kotak Mahindra Bank Ltd (25-Feb-2022) **</t>
  </si>
  <si>
    <t>INE556F16853</t>
  </si>
  <si>
    <t>Small Industries Development Bank of India (18-Mar-2022) **</t>
  </si>
  <si>
    <t>INE261F16587</t>
  </si>
  <si>
    <t>National Bank For Agriculture &amp; Rural Development (08-Feb-2022)</t>
  </si>
  <si>
    <t>INE261F16603</t>
  </si>
  <si>
    <t>National Bank For Agriculture &amp; Rural Development (24-Feb-2022) **</t>
  </si>
  <si>
    <t>INE115A14CY7</t>
  </si>
  <si>
    <t>LIC Housing Finance Ltd (20-Jul-2021) **@</t>
  </si>
  <si>
    <t>INE002A14HJ7</t>
  </si>
  <si>
    <t>Reliance Industries Ltd (12-Aug-2021) **@</t>
  </si>
  <si>
    <t>INE763G14JQ2</t>
  </si>
  <si>
    <t>ICICI Securities Ltd (11-Aug-2021) **@</t>
  </si>
  <si>
    <t>INE377Y14801</t>
  </si>
  <si>
    <t>Bajaj Housing Finance Ltd (24-Feb-2022) **@</t>
  </si>
  <si>
    <t>INE916D14Y56</t>
  </si>
  <si>
    <t>Kotak Mahindra Prime Ltd (15-Apr-2022) **@</t>
  </si>
  <si>
    <t>INE296A14RI6</t>
  </si>
  <si>
    <t>Bajaj Finance Ltd (16-Feb-2022) **@</t>
  </si>
  <si>
    <t>IN002020Z519</t>
  </si>
  <si>
    <t>364 DTB (24-Mar-2022)</t>
  </si>
  <si>
    <t>IN002020Z527</t>
  </si>
  <si>
    <t>364 DTB (30-Mar-2022)</t>
  </si>
  <si>
    <t>IN0020110030</t>
  </si>
  <si>
    <t>8.79% GOI 2021 (08-Nov-2021)</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</si>
  <si>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</si>
  <si>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</si>
  <si>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</si>
  <si>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</si>
  <si>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</si>
  <si>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</si>
  <si>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</si>
  <si>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</si>
  <si>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Franklin India Floating Rate Fund</t>
  </si>
  <si>
    <t>INE261F08BQ8</t>
  </si>
  <si>
    <t>6.70% National Bank For Agriculture &amp; Rural Development (11-Nov-2022) **</t>
  </si>
  <si>
    <t>INE831R07268</t>
  </si>
  <si>
    <t>Aditya Birla Housing Finance Ltd (364DTB +250 Bps) (17-Feb-2023) **</t>
  </si>
  <si>
    <t>ICRA AAA</t>
  </si>
  <si>
    <t>INE756I07CA5</t>
  </si>
  <si>
    <t>HDB Financial Services Ltd (91DTB + 205 Bps) (12-Jul-2021) **</t>
  </si>
  <si>
    <t>INE861G08035</t>
  </si>
  <si>
    <t>9.95% Food Corporation Of India (07-Mar-2022)</t>
  </si>
  <si>
    <t>CRISIL AAA(CE)</t>
  </si>
  <si>
    <t>INE651J07739</t>
  </si>
  <si>
    <t>JM Financial Credit Solutions Ltd (1Y SBI MCLR + 460 Bps) (23-Jul-2024)</t>
  </si>
  <si>
    <t>ICRA AA</t>
  </si>
  <si>
    <t>IN002020Z493</t>
  </si>
  <si>
    <t>364 DTB (11-Mar-2022)</t>
  </si>
  <si>
    <t>IN0020160084</t>
  </si>
  <si>
    <t>GOI FRB 2024 (07-Nov-2024)</t>
  </si>
  <si>
    <t>IN0020180041</t>
  </si>
  <si>
    <t>GOI FRB 2031 (07-Dec-2031)</t>
  </si>
  <si>
    <t>IN0020020072</t>
  </si>
  <si>
    <t>8.35% GOI 2022 (14-May-2022)</t>
  </si>
  <si>
    <t>IN0020200211</t>
  </si>
  <si>
    <t>4.48% GOI 2023 (02-Nov-2023)</t>
  </si>
  <si>
    <t>IN0020200120</t>
  </si>
  <si>
    <t>GOI FRB 2033 (22-Sep-2033)</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</si>
  <si>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</si>
  <si>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</si>
  <si>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</si>
  <si>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</si>
  <si>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</si>
  <si>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</si>
  <si>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</si>
  <si>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</si>
  <si>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</si>
  <si>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</si>
  <si>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INE163N08065</t>
  </si>
  <si>
    <t>8.60% ONGC Petro Additions Ltd (11-Mar-2022) **</t>
  </si>
  <si>
    <t>CARE AAA(CE)</t>
  </si>
  <si>
    <t>INE163N08073</t>
  </si>
  <si>
    <t>8.85% ONGC Petro Additions Ltd (19-Apr-2022) **</t>
  </si>
  <si>
    <t>INE134E08JC3</t>
  </si>
  <si>
    <t>7.44% Power Finance Corporation Ltd (11-Jun-2027) **</t>
  </si>
  <si>
    <t>INE020B08CM4</t>
  </si>
  <si>
    <t>6.99% REC Ltd (30-Sep-2024) **</t>
  </si>
  <si>
    <t>INE020B08AM8</t>
  </si>
  <si>
    <t>7.09% REC Ltd (17-Oct-2022) **</t>
  </si>
  <si>
    <t>INE261F08BI5</t>
  </si>
  <si>
    <t>7.90% National Bank For Agriculture &amp; Rural Development (18-Apr-2022) **</t>
  </si>
  <si>
    <t>INE053F07CC9</t>
  </si>
  <si>
    <t>6.19% Indian Railway Finance Corporation Ltd (28-Apr-2023) **</t>
  </si>
  <si>
    <t>INE906B07FG1</t>
  </si>
  <si>
    <t>7.60% National Highways Authority Of India (18-Mar-2022) **</t>
  </si>
  <si>
    <t>INE557F08FJ5</t>
  </si>
  <si>
    <t>5.80% National Housing Bank (15-May-2023) **</t>
  </si>
  <si>
    <t>INE242A08460</t>
  </si>
  <si>
    <t>5.05% Indian Oil Corporation Ltd (25-Nov-2022) **</t>
  </si>
  <si>
    <t>INE115A07NM3</t>
  </si>
  <si>
    <t>0.00% LIC Housing Finance Ltd (25-Feb-2022) **</t>
  </si>
  <si>
    <t>INE848E07989</t>
  </si>
  <si>
    <t>7.52% NHPC Ltd (06-Jun-2023) **</t>
  </si>
  <si>
    <t>CARE AAA</t>
  </si>
  <si>
    <t>INE094A08036</t>
  </si>
  <si>
    <t>7.00% Hindustan Petroleum Corporation Ltd (14-Aug-2024) **</t>
  </si>
  <si>
    <t>INE941D08065</t>
  </si>
  <si>
    <t>10.25% Sikka Ports &amp; Terminals Ltd (22-Aug-2021) **</t>
  </si>
  <si>
    <t>INE906B07FE6</t>
  </si>
  <si>
    <t>7.17% National Highways Authority Of India (23-Dec-2021)</t>
  </si>
  <si>
    <t>INE295J08022</t>
  </si>
  <si>
    <t>9.90% Coastal Gujarat Power Ltd (25-Aug-2028) **</t>
  </si>
  <si>
    <t>CARE AA(CE)</t>
  </si>
  <si>
    <t>INE053F07BB3</t>
  </si>
  <si>
    <t>8.25% Indian Railway Finance Corporation Ltd (28-Feb-2024) **</t>
  </si>
  <si>
    <t>INE115A07PA3</t>
  </si>
  <si>
    <t>5.23% LIC Housing Finance Ltd (26-Jul-2023) **</t>
  </si>
  <si>
    <t>INE261F08AL1</t>
  </si>
  <si>
    <t>8.39% National Bank For Agriculture &amp; Rural Development (19-Jul-2021)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</si>
  <si>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</si>
  <si>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</si>
  <si>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</si>
  <si>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</si>
  <si>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</si>
  <si>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</si>
  <si>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</si>
  <si>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</si>
  <si>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 **</t>
  </si>
  <si>
    <t>INE261F08AI7</t>
  </si>
  <si>
    <t>8.60% National Bank For Agriculture &amp; Rural Development (31-Jan-2022)</t>
  </si>
  <si>
    <t>INE134E08JW1</t>
  </si>
  <si>
    <t>8.18% Power Finance Corporation Ltd (19-Mar-2022)</t>
  </si>
  <si>
    <t>INE941D07125</t>
  </si>
  <si>
    <t>10.40% Sikka Ports &amp; Terminals Ltd (18-Jul-2021) **</t>
  </si>
  <si>
    <t>INE134E08JY7</t>
  </si>
  <si>
    <t>9.25% Power Finance Corporation Ltd (25-Sep-2024) **</t>
  </si>
  <si>
    <t>INE115A07NW2</t>
  </si>
  <si>
    <t>0.00% LIC Housing Finance Ltd (04-May-2022) **</t>
  </si>
  <si>
    <t>INE556F08JI1</t>
  </si>
  <si>
    <t>8.81% Small Industries Development Bank Of India (25-Jan-2022)</t>
  </si>
  <si>
    <t>INE134E08IH4</t>
  </si>
  <si>
    <t>7.50% Power Finance Corporation Ltd (16-Aug-2021) **</t>
  </si>
  <si>
    <t>INE756I07CD9</t>
  </si>
  <si>
    <t>0.00% HDB Financial Services Ltd (29-Oct-2021) **</t>
  </si>
  <si>
    <t>INE752E07MZ9</t>
  </si>
  <si>
    <t>8.40% Power Grid Corporation of India Ltd (14-Sep-2021)</t>
  </si>
  <si>
    <t>INE848E07815</t>
  </si>
  <si>
    <t>8.50% NHPC Ltd (14-Jul-2021) **</t>
  </si>
  <si>
    <t>INE860H07GE0</t>
  </si>
  <si>
    <t>0.00% Aditya Birla Finance Ltd (08-Apr-2022) **</t>
  </si>
  <si>
    <t>INE029A07075</t>
  </si>
  <si>
    <t>7.35% Bharat Petroleum Corporation Ltd (10-Mar-2022)</t>
  </si>
  <si>
    <t>INE053F07942</t>
  </si>
  <si>
    <t>6.70% Indian Railway Finance Corporation Ltd (24-Nov-2021) **</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</si>
  <si>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</si>
  <si>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</si>
  <si>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</si>
  <si>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</si>
  <si>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</si>
  <si>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</si>
  <si>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</si>
  <si>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</si>
  <si>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xml:space="preserve">f) For product labeling and risk-o-meter refer the link below </t>
  </si>
  <si>
    <t>Franklin India Banking &amp; PSU Debt Fund</t>
  </si>
  <si>
    <t>INE557F08FG1</t>
  </si>
  <si>
    <t>7.05% National Housing Bank (18-Dec-2024) **</t>
  </si>
  <si>
    <t>INE031A08756</t>
  </si>
  <si>
    <t>6.99% Housing &amp; Urban Development Corporation Ltd (11-Nov-2022) **</t>
  </si>
  <si>
    <t>IND AAA</t>
  </si>
  <si>
    <t>INE020B08997</t>
  </si>
  <si>
    <t>7.24% REC Ltd (21-Oct-2021) **</t>
  </si>
  <si>
    <t>INE514E08FG5</t>
  </si>
  <si>
    <t>7.62% Export-Import Bank of India (01-Sep-2026) **</t>
  </si>
  <si>
    <t>INE556F08JM3</t>
  </si>
  <si>
    <t>7.29% Small Industries Development Bank Of India (01-Aug-2022) **</t>
  </si>
  <si>
    <t>INE733E07JO9</t>
  </si>
  <si>
    <t>9.17% NTPC Ltd (21-Sep-2024) **</t>
  </si>
  <si>
    <t>INE906B07FT4</t>
  </si>
  <si>
    <t>7.27% National Highways Authority Of India (06-Jun-2022) **</t>
  </si>
  <si>
    <t>INE094A08077</t>
  </si>
  <si>
    <t>5.36% Hindustan Petroleum Corporation Ltd (11-Apr-2025) **</t>
  </si>
  <si>
    <t>INE206D08261</t>
  </si>
  <si>
    <t>8.14% Nuclear Power Corporation of India Ltd (25-Mar-2026) **</t>
  </si>
  <si>
    <t>INE020B08906</t>
  </si>
  <si>
    <t>8.27% REC Ltd (06-Feb-2025) **</t>
  </si>
  <si>
    <t>INE976G08064</t>
  </si>
  <si>
    <t>10.20% RBL Bank Ltd (15-Apr-2023) **</t>
  </si>
  <si>
    <t>ICRA AA-</t>
  </si>
  <si>
    <t>INE733E07JX0</t>
  </si>
  <si>
    <t>8.19% NTPC Ltd (15-Dec-2025) **</t>
  </si>
  <si>
    <t>INE514E08EP9</t>
  </si>
  <si>
    <t>8.25% Export-Import Bank of India (28-Sep-2025) **</t>
  </si>
  <si>
    <t>INE752E07MQ8</t>
  </si>
  <si>
    <t>8.40% Power Grid Corporation of India Ltd (27-May-2024) **</t>
  </si>
  <si>
    <t>INE861G08076</t>
  </si>
  <si>
    <t>6.65% Food Corporation Of India (23-Oct-2030) **</t>
  </si>
  <si>
    <t>INE020B08BM6</t>
  </si>
  <si>
    <t>8.35% REC Ltd (11-Mar-2022)</t>
  </si>
  <si>
    <t>INE028A16CG4</t>
  </si>
  <si>
    <t>Bank of Baroda (01-Jun-2021)</t>
  </si>
  <si>
    <t>INE238A161W0</t>
  </si>
  <si>
    <t>Axis Bank Ltd (13-May-2022) **</t>
  </si>
  <si>
    <t>INE261F16538</t>
  </si>
  <si>
    <t>National Bank For Agriculture &amp; Rural Development (10-Jun-2021)</t>
  </si>
  <si>
    <t>INE556F16861</t>
  </si>
  <si>
    <t>Small Industries Development Bank of India (25-Mar-2022)</t>
  </si>
  <si>
    <t>Franklin India Government Securities Fund</t>
  </si>
  <si>
    <t>IN0020210020</t>
  </si>
  <si>
    <t>6.64% GOI 2035 (16-Jun-2035)</t>
  </si>
  <si>
    <t xml:space="preserve">      Quarterly IDCW Option</t>
  </si>
  <si>
    <t xml:space="preserve">      Direct Quarterly IDCW Option</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</si>
  <si>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</si>
  <si>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</si>
  <si>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</si>
  <si>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</si>
  <si>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</si>
  <si>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</si>
  <si>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</si>
  <si>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</si>
  <si>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</si>
  <si>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</si>
  <si>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</si>
  <si>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</si>
  <si>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</si>
  <si>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IDCW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</si>
  <si>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</si>
  <si>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</si>
  <si>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</si>
  <si>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</si>
  <si>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</si>
  <si>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</si>
  <si>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</si>
  <si>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</si>
  <si>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</si>
  <si>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</si>
  <si>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</si>
  <si>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</si>
  <si>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</si>
  <si>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 **</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</si>
  <si>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</si>
  <si>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</si>
  <si>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</si>
  <si>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</si>
  <si>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</si>
  <si>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</si>
  <si>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</si>
  <si>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</si>
  <si>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</si>
  <si>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</si>
  <si>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</si>
  <si>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</si>
  <si>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</si>
  <si>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</si>
  <si>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</si>
  <si>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</si>
  <si>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</si>
  <si>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INE895D08790</t>
  </si>
  <si>
    <t>8.25% Tata Sons Pvt Ltd (23-Mar-2022) **</t>
  </si>
  <si>
    <t>Franklin India Fixed Maturity Plans - Series 4 - Plan E (1098 days)</t>
  </si>
  <si>
    <t>INE481G08057</t>
  </si>
  <si>
    <t>8.36% Ultratech Cement Ltd (07-Jun-2021) **</t>
  </si>
  <si>
    <t>INE027E07709</t>
  </si>
  <si>
    <t>8.9492% L&amp;T Finance Ltd (16-Aug-2021) **</t>
  </si>
  <si>
    <t>INE110L07070</t>
  </si>
  <si>
    <t>8.32% Reliance Industries Ltd (08-Jul-2021) **</t>
  </si>
  <si>
    <t>INE660A07PT8</t>
  </si>
  <si>
    <t>0.00% Sundaram Finance Ltd (31-Aug-2021) **</t>
  </si>
  <si>
    <t>INE556F08JH3</t>
  </si>
  <si>
    <t>8.40% Small Industries Development Bank Of India (10-Aug-2021) **</t>
  </si>
  <si>
    <t>INE261F08AM9</t>
  </si>
  <si>
    <t>8.37% National Bank For Agriculture &amp; Rural Development (03-Aug-2021) **</t>
  </si>
  <si>
    <t>INE860H07FW4</t>
  </si>
  <si>
    <t>0.00% Aditya Birla Finance Ltd (26-Jul-2021) **</t>
  </si>
  <si>
    <t>INE895D08634</t>
  </si>
  <si>
    <t>8.01% Tata Sons Pvt Ltd (02-Sep-2021) **</t>
  </si>
  <si>
    <t>Franklin India Fixed Maturity Plans - Series 4 - Plan D (1098 Days)</t>
  </si>
  <si>
    <t>INE721A07NV9</t>
  </si>
  <si>
    <t>9.10% Shriram Transport Finance Co Ltd (12-Jul-2021) **</t>
  </si>
  <si>
    <t>INE377Y07045</t>
  </si>
  <si>
    <t>8.1352% Bajaj Housing Finance Ltd (04-Jun-2021) **</t>
  </si>
  <si>
    <t>Franklin India Fixed Maturity Plans - Series 4 - Plan C (1098 Days)</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</si>
  <si>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</si>
  <si>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</si>
  <si>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</si>
  <si>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</si>
  <si>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</si>
  <si>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</si>
  <si>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</si>
  <si>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</si>
  <si>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</si>
  <si>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</si>
  <si>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</si>
  <si>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</si>
  <si>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</si>
  <si>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INE660A07PN1</t>
  </si>
  <si>
    <t>0.00% Sundaram Finance Ltd (15-Jun-2021) **</t>
  </si>
  <si>
    <t>Franklin India Fixed Maturity Plans-Series 4 - Plan A (1098 Days)</t>
  </si>
  <si>
    <t>INE891K07390</t>
  </si>
  <si>
    <t>0.00% Axis Finance Ltd (14-Jun-2021) **</t>
  </si>
  <si>
    <t>INE110L07112</t>
  </si>
  <si>
    <t>8.70% Reliance Industries Ltd (15-Jun-2021) **</t>
  </si>
  <si>
    <t>INE476M07BM9</t>
  </si>
  <si>
    <t>8.80% L&amp;T Finance Ltd (23-Jun-2021) **</t>
  </si>
  <si>
    <t>INE556F08JF7</t>
  </si>
  <si>
    <t>8.50% Small Industries Development Bank of India (21-Jun-2021) **</t>
  </si>
  <si>
    <t>INE020B08AW7</t>
  </si>
  <si>
    <t>7.73% REC Ltd (15-Jun-2021) **</t>
  </si>
  <si>
    <t>IN002020X522</t>
  </si>
  <si>
    <t>91 DTB (17-Jun-2021)</t>
  </si>
  <si>
    <t>Franklin India Fixed Maturity Plans - Series 3 - Plan F (1098 days)</t>
  </si>
  <si>
    <t>IN002020X506</t>
  </si>
  <si>
    <t>91 DTB (03-Jun-2021)</t>
  </si>
  <si>
    <t>Franklin India Fixed Maturity Plans - Series 3 - Plan E (1104 Days)</t>
  </si>
  <si>
    <t>Franklin India Pension Plan</t>
  </si>
  <si>
    <t>INE685A01028</t>
  </si>
  <si>
    <t>Torrent Pharmaceuticals Ltd</t>
  </si>
  <si>
    <t>INE110L08037</t>
  </si>
  <si>
    <t>9.25% Reliance Industries Ltd (17-Jun-2024) **</t>
  </si>
  <si>
    <t>INE020B08BS3</t>
  </si>
  <si>
    <t>8.80% REC Ltd (14-May-2029)</t>
  </si>
  <si>
    <t>INE115A14CU5</t>
  </si>
  <si>
    <t>LIC Housing Finance Ltd (14-Dec-2021) **@</t>
  </si>
  <si>
    <t>Franklin India Debt Hybrid Fund (No. of segregated Portfolio in the scheme - 1)</t>
  </si>
  <si>
    <t>Main Portfolio</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</si>
  <si>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</si>
  <si>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Franklin India Dynamic Accrual Fund (No. of segregated Portfolios in the scheme - 3) - (under winding up) $$$</t>
  </si>
  <si>
    <t>INE540P07301</t>
  </si>
  <si>
    <t>10.15% Uttar Pradesh Power Corporation Ltd (20-Jan-2023) **</t>
  </si>
  <si>
    <t>CRISIL A+(CE)</t>
  </si>
  <si>
    <t>INE01E708040</t>
  </si>
  <si>
    <t>10.32% Andhra Pradesh Capital Region Development Authority (16-Aug-2027) **</t>
  </si>
  <si>
    <t>INE657N07605</t>
  </si>
  <si>
    <t>Edelweiss Rural &amp; Corporate Services Ltd (1Y SBI MCLR + 250 Bps) (29-Nov-2021) - Series II **</t>
  </si>
  <si>
    <t>CRISIL AA-</t>
  </si>
  <si>
    <t>INE641O08035</t>
  </si>
  <si>
    <t>9.55% Piramal Capital &amp; Housing Finance Ltd (08-Mar-2027) **</t>
  </si>
  <si>
    <t>CARE AA</t>
  </si>
  <si>
    <t>INE146O08100</t>
  </si>
  <si>
    <t>9.40% Hinduja Leyland Finance Ltd (28-Aug-2024) **</t>
  </si>
  <si>
    <t>INE657N07381</t>
  </si>
  <si>
    <t>8.70% Edelweiss Rural &amp; Corporate Services Ltd (30-Jun-2027) **</t>
  </si>
  <si>
    <t>ICRA A+</t>
  </si>
  <si>
    <t>INE540P07210</t>
  </si>
  <si>
    <t>9.75% Uttar Pradesh Power Corporation Ltd (20-Oct-2022) **</t>
  </si>
  <si>
    <t>INE540P07228</t>
  </si>
  <si>
    <t>9.75% Uttar Pradesh Power Corporation Ltd (20-Oct-2023) **</t>
  </si>
  <si>
    <t>INE616U07036</t>
  </si>
  <si>
    <t>INE146O08159</t>
  </si>
  <si>
    <t>11.60% Hinduja Leyland Finance Ltd (29-Sep-2024) **</t>
  </si>
  <si>
    <t>INE540P07293</t>
  </si>
  <si>
    <t>10.15% Uttar Pradesh Power Corporation Ltd (20-Jan-2022) **</t>
  </si>
  <si>
    <t>INE146O08092</t>
  </si>
  <si>
    <t>11.10% Hinduja Leyland Finance Ltd (08-Apr-2022) **</t>
  </si>
  <si>
    <t>INE516Y07105</t>
  </si>
  <si>
    <t>9.50% Piramal Capital &amp; Housing Finance Ltd (15-Apr-2022) **</t>
  </si>
  <si>
    <t>INE245A08034</t>
  </si>
  <si>
    <t>11.40% Tata Power Co Ltd (02-Jun-2021) ** ~~~</t>
  </si>
  <si>
    <t>INE659X07014</t>
  </si>
  <si>
    <t>9.95% Molagavalli Renewable Pvt Ltd (31-Mar-2023) **</t>
  </si>
  <si>
    <t>CARE A+(CE)</t>
  </si>
  <si>
    <t>INE003S07189</t>
  </si>
  <si>
    <t>9.45% Renew Power Pvt Ltd (31-Jul-2025) **</t>
  </si>
  <si>
    <t>CARE A+</t>
  </si>
  <si>
    <t>INE964Q07012</t>
  </si>
  <si>
    <t>9.60% Renew Wind Energy (Rajasthan One) Pvt Ltd (31-Mar-2023) **</t>
  </si>
  <si>
    <t>INE209W07028</t>
  </si>
  <si>
    <t>9.95% Narmada Wind Energy Pvt Ltd (31-Mar-2023) **</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</si>
  <si>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</si>
  <si>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</si>
  <si>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</si>
  <si>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</si>
  <si>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</si>
  <si>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</si>
  <si>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</si>
  <si>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</si>
  <si>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</si>
  <si>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Mutual Fund</t>
  </si>
  <si>
    <t xml:space="preserve">~~~  Perpetual bond. Call option has been exercised by the issuer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</si>
  <si>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</si>
  <si>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&amp; Future Ideas Co Ltd. on July 31, 2020, by Rivaaz Trade Ventures Pvt. Ltd on August 31, 2020 , by Nufuture Digital(India) Ltd on September 02, 2020, by Future Ideas Co Ltd &amp; Rivaaz Trade Ventures Pvt. Ltd on September 30, 2020 , by Rivaaz Trade Ventures Pvt. Ltd on October 31, 2020 and by Rivaaz Trade Ventures Pvt. Ltd on November7, 2020. However, these issuers were unable to meet their payment obligations. Due to default in payment, the securities of these issuers were valued at zero basis the AMFI standard haircut matrix.This amount onlyreflects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</si>
  <si>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</si>
  <si>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</si>
  <si>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</si>
  <si>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i) For product labeling and risk-o-meter refer the link below </t>
  </si>
  <si>
    <t>Franklin India Dynamic Accrual Fund - Segregated Portfolio 2 - 10.90% Vodafone Idea Ltd (02-Sep-2023) P/C 03 Sep 2021</t>
  </si>
  <si>
    <t>INE669E08318</t>
  </si>
  <si>
    <t>10.90% Vodafone Idea Ltd (02-Sep-2023) $$ ^^ **</t>
  </si>
  <si>
    <t>CARE B+</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</si>
  <si>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</si>
  <si>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</si>
  <si>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 xml:space="preserve">c) For product labeling and risk-o-meter refer the link below </t>
  </si>
  <si>
    <t>Franklin India Dynamic Accrual Fund - Segregated Portfolio 3 - 9.50% Yes Bank Ltd CO 23 Dec 2021</t>
  </si>
  <si>
    <t>INE528G08352</t>
  </si>
  <si>
    <t>9.50% Yes Bank Ltd (23-Dec-2021)  $$ **</t>
  </si>
  <si>
    <t>CARE (withdrawn)/ ICRA D (hyb)</t>
  </si>
  <si>
    <t>Franklin India Low Duration Fund (No. of segregated Portfolio in the scheme -2) - (under winding up) $$$</t>
  </si>
  <si>
    <t>INE265J07316</t>
  </si>
  <si>
    <t>11.50% JM Financial Asset Reconstruction Co Ltd (29-May-2022) **</t>
  </si>
  <si>
    <t>INE657N07597</t>
  </si>
  <si>
    <t>Edelweiss Rural &amp; Corporate Services Ltd (1Y SBI MCLR + 250 Bps) (29-Nov-2021) **</t>
  </si>
  <si>
    <t>INE157D08027</t>
  </si>
  <si>
    <t>11.25% Clix Capital Services Pvt Ltd (27-Jun-2023) **</t>
  </si>
  <si>
    <t>INE721A08DE4</t>
  </si>
  <si>
    <t>10.25% Shriram Transport Finance Co Ltd (27-Dec-2024) **</t>
  </si>
  <si>
    <t>INE721A08DF1</t>
  </si>
  <si>
    <t>9.90% Shriram Transport Finance Co Ltd (21-Jun-2024) **</t>
  </si>
  <si>
    <t>INE146O08084</t>
  </si>
  <si>
    <t>11.30% Hinduja Leyland Finance Ltd (21-Jul-2021) **</t>
  </si>
  <si>
    <t>INE540P07202</t>
  </si>
  <si>
    <t>9.75% Uttar Pradesh Power Corporation Ltd (20-Oct-2021) **</t>
  </si>
  <si>
    <t>INE540P07327</t>
  </si>
  <si>
    <t>10.15% Uttar Pradesh Power Corporation Ltd (20-Jan-2025) **</t>
  </si>
  <si>
    <t>INE540P07319</t>
  </si>
  <si>
    <t>10.15% Uttar Pradesh Power Corporation Ltd (19-Jan-2024) **</t>
  </si>
  <si>
    <t>INE209W07010</t>
  </si>
  <si>
    <t>9.60% Narmada Wind Energy Pvt Ltd (31-Mar-2023)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</si>
  <si>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</si>
  <si>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</si>
  <si>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</si>
  <si>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h) For product labeling and risk-o-meter refer the link below </t>
  </si>
  <si>
    <t>Franklin India Low Duration Fund-Segregated Portfolio 2 - 10.90% Vodafone Idea Ltd (02-Sep-2023) P/C 03 Sep 2021</t>
  </si>
  <si>
    <t>Franklin India Ultra Short Bond Fund - (No. of segregated Portfolio in the scheme -1) - (under winding up) $$$</t>
  </si>
  <si>
    <t>INE371K08128</t>
  </si>
  <si>
    <t>0.00% Tata Realty &amp; Infrastructure Ltd (04-Jun-2021) **</t>
  </si>
  <si>
    <t>INE572E09361</t>
  </si>
  <si>
    <t>8.47% PNB Housing Finance Ltd (01-Jul-2021) **</t>
  </si>
  <si>
    <t>INE157D08019</t>
  </si>
  <si>
    <t>11.25% Clix Capital Services Pvt Ltd (25-May-2023) **</t>
  </si>
  <si>
    <t>INE157D08035</t>
  </si>
  <si>
    <t>13.65% Clix Capital Services Pvt Ltd (06-Sep-2021) **</t>
  </si>
  <si>
    <t>INE157D08043</t>
  </si>
  <si>
    <t>13.65% Clix Capital Services Pvt Ltd (12-Nov-2021) **</t>
  </si>
  <si>
    <t>INE155A08316</t>
  </si>
  <si>
    <t>7.50% Tata Motors Ltd (20-Oct-2021) **</t>
  </si>
  <si>
    <t>INE587B08037</t>
  </si>
  <si>
    <t>13.65% Clix Finance India Pvt Ltd (06-Jan-2022) **</t>
  </si>
  <si>
    <t xml:space="preserve">      Retail Plan Weekly IDCW Option</t>
  </si>
  <si>
    <t xml:space="preserve">      Institutional Plan Growth Option</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</si>
  <si>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</si>
  <si>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</si>
  <si>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</si>
  <si>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</si>
  <si>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</si>
  <si>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</si>
  <si>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Short-Term Income Plan (No. of segregated Portfolios in the scheme - 3) - (under winding up) $$$</t>
  </si>
  <si>
    <t>YTC</t>
  </si>
  <si>
    <t>INE01E708024</t>
  </si>
  <si>
    <t>10.32% Andhra Pradesh Capital Region Development Authority (16-Aug-2025) **</t>
  </si>
  <si>
    <t>INE01E708016</t>
  </si>
  <si>
    <t>10.32% Andhra Pradesh Capital Region Development Authority (16-Aug-2024) **</t>
  </si>
  <si>
    <t>INE572E09403</t>
  </si>
  <si>
    <t>7.91% PNB Housing Finance Ltd (29-Mar-2022) **</t>
  </si>
  <si>
    <t>INE016P07146</t>
  </si>
  <si>
    <t>10.50% Vistaar Financial Services Pvt Ltd (24-Aug-2025) **</t>
  </si>
  <si>
    <t>ICRA A-</t>
  </si>
  <si>
    <t>INE01E708032</t>
  </si>
  <si>
    <t>10.32% Andhra Pradesh Capital Region Development Authority (16-Aug-2026) **</t>
  </si>
  <si>
    <t>INE503A08028</t>
  </si>
  <si>
    <t>9.85% DCB Bank Ltd (18-Nov-2026) **</t>
  </si>
  <si>
    <t>INE608A08025</t>
  </si>
  <si>
    <t>10.90% Punjab &amp; Sind Bank (08-May-2117) ** ~~~</t>
  </si>
  <si>
    <t>CARE A</t>
  </si>
  <si>
    <t>INE00MX08011</t>
  </si>
  <si>
    <t>11.70% Svatantra Microfin Pvt Ltd (30-Nov-2023) **</t>
  </si>
  <si>
    <t>INE971Z07125</t>
  </si>
  <si>
    <t>12.25% Rivaaz Trade Ventures Pvt Ltd (30-Jun-2022) $$ @@@ **</t>
  </si>
  <si>
    <t>INE971Z07117</t>
  </si>
  <si>
    <t>12.25% Rivaaz Trade Ventures Pvt Ltd (30-Jun-2021) $$ @@@ **</t>
  </si>
  <si>
    <t>INE946S07163</t>
  </si>
  <si>
    <t>13.55% Nufuture Digital (India) Ltd (31-Dec-2021) $$ @@@ **</t>
  </si>
  <si>
    <t>INE971Z07174</t>
  </si>
  <si>
    <t>13.00% Rivaaz Trade Ventures Pvt Ltd (30-Dec-2021) $$ @@@ **</t>
  </si>
  <si>
    <t>INE971Z07182</t>
  </si>
  <si>
    <t>13.00% Rivaaz Trade Ventures Pvt Ltd (30-Dec-2022) $$ @@@ **</t>
  </si>
  <si>
    <t>INE080T07110</t>
  </si>
  <si>
    <t>14.15% Future Ideas Co Ltd (31-Jan-2023) $$ @@@ **</t>
  </si>
  <si>
    <t>INE080T07102</t>
  </si>
  <si>
    <t>14.15% Future Ideas Co Ltd (31-Jan-2022) $$ @@@ **</t>
  </si>
  <si>
    <t>~~~ Perpetual bond.</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</si>
  <si>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</si>
  <si>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</si>
  <si>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</si>
  <si>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&amp; Nufuture Digital (India) Ltd on August 31, 2020, by Nufuture Digital (India) Ltd on September 02, 2020, by Rivaaz Trade Ventures Pvt. Ltd &amp; Nufuture Digital (India) Ltd on September 30, 2020, by Nufuture Digital (India) Ltd., Future Ideas Co Ltd. &amp; Rivaaz Trade Ventures Pvt. Ltd on October 31, 2020, by Rivaaz Trade Ventures Pvt. Ltd on November 7, 2020, by Nufuture Digital (India) Ltd. on November 30, 2020 , by Rivaaz Trade Ventures Pvt. Ltd. on December 30, 2020, by Nufuture Digital (India) Ltd. on December 31, 2020 , by Nufuture Digital (India) Ltd. on January 31, 2021 , by Future Ideas Co Ltd. on January 31, 2021 , by Nufuture Digital (India) Ltd. on March 31, 2021 , by Future Ideas Co Ltd. &amp; Nufuture Digital (India) Ltd. on April 30, 2021 and by Nufuture Digital (India) Ltd. on May 31, 2021.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</si>
  <si>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</si>
  <si>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</si>
  <si>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j) For product labeling and risk-o-meter refer the link below </t>
  </si>
  <si>
    <t>Franklin India Short Term Income Plan - Segregated Portfolio 2 - 10.90% Vodafone Idea Ltd (02-Sep-2023) P/C 03 Sep 2021</t>
  </si>
  <si>
    <t>Franklin India Short Term Income Plan - Segregated Portfolio 3 - 9.50% Yes Bank Ltd CO 23 Dec 2021</t>
  </si>
  <si>
    <t>Franklin India Income Opportunities Fund (No. of segregated Portfolio in the scheme - 2) - (under winding up) $$$</t>
  </si>
  <si>
    <t>INE503A08044</t>
  </si>
  <si>
    <t>9.85% DCB Bank Ltd (12-Jan-2028) **</t>
  </si>
  <si>
    <t>INE146O08134</t>
  </si>
  <si>
    <t>10.15% Hinduja Leyland Finance Ltd (27-Mar-2025) **</t>
  </si>
  <si>
    <t>INE01E708057</t>
  </si>
  <si>
    <t>10.32% Andhra Pradesh Capital Region Development Authority (16-Aug-2028) **</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</si>
  <si>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</si>
  <si>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</si>
  <si>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</si>
  <si>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</si>
  <si>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</si>
  <si>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</si>
  <si>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Income Opportunities Fund-Segregated Portfolio 2 - 10.90% Vodafone Idea Ltd (02-Sep-2023) P/C 03 Sep 2021</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</si>
  <si>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</si>
  <si>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</si>
  <si>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</si>
  <si>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</si>
  <si>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&amp; Future Ideas Co Ltd. on July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</si>
  <si>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</si>
  <si>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Franklin India Credit Risk Fund-Segregated Portfolio 2 - 10.90% Vodafone Idea Ltd (02-Sep-2023) P/C 03 Sep 2021</t>
  </si>
  <si>
    <t>Franklin India Credit Risk Fund - Segregated Portfolio 3 - 9.50% Yes Bank Ltd CO 23 Dec 2021</t>
  </si>
  <si>
    <t xml:space="preserve">b) During the month additional instances of fair valuation/deviation from valuation price provided by the valuation agencies </t>
  </si>
  <si>
    <t>Minor International Pcl - Warrants (05-May-2023)</t>
  </si>
  <si>
    <t>Minor International Pcl - Warrants (05-Feb-2024)</t>
  </si>
  <si>
    <t>Arvind Fashion Rights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</si>
</sst>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
    <numFmt numFmtId="166" formatCode="#,##0.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
      <sz val="11"/>
      <color theme="1"/>
      <name val="Calibri"/>
      <family val="2"/>
      <scheme val="minor"/>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12" fillId="0" borderId="0" applyFont="0" applyFill="0" applyBorder="0" applyAlignment="0" applyProtection="0"/>
  </cellStyleXfs>
  <cellXfs count="89">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2" fontId="6" fillId="0" borderId="1" xfId="0" applyNumberFormat="1" applyFont="1" applyBorder="1" applyAlignment="1">
      <alignment horizontal="center" vertical="center" wrapText="1"/>
    </xf>
    <xf numFmtId="0" fontId="6" fillId="3" borderId="0" xfId="0" applyFont="1" applyFill="1"/>
    <xf numFmtId="0" fontId="7" fillId="3" borderId="0" xfId="0" applyFont="1" applyFill="1"/>
    <xf numFmtId="0" fontId="10" fillId="3" borderId="0" xfId="0" applyFont="1" applyFill="1" applyAlignment="1">
      <alignment horizontal="right"/>
    </xf>
    <xf numFmtId="0" fontId="7" fillId="2" borderId="3" xfId="0" applyFont="1" applyFill="1" applyBorder="1" applyAlignment="1">
      <alignment wrapText="1"/>
    </xf>
    <xf numFmtId="0" fontId="7" fillId="2" borderId="4" xfId="0" applyFont="1" applyFill="1" applyBorder="1" applyAlignment="1">
      <alignment wrapText="1"/>
    </xf>
    <xf numFmtId="0" fontId="6" fillId="2" borderId="4" xfId="0" applyFont="1" applyFill="1" applyBorder="1" applyAlignment="1">
      <alignment wrapText="1"/>
    </xf>
    <xf numFmtId="166" fontId="7" fillId="2" borderId="0" xfId="0" applyNumberFormat="1" applyFont="1" applyFill="1"/>
    <xf numFmtId="0" fontId="9" fillId="0" borderId="0" xfId="1" applyFont="1" applyAlignment="1">
      <alignment vertical="center"/>
    </xf>
    <xf numFmtId="0" fontId="7" fillId="3" borderId="4" xfId="0" applyFont="1" applyFill="1" applyBorder="1"/>
    <xf numFmtId="3" fontId="7" fillId="3" borderId="4" xfId="0" applyNumberFormat="1" applyFont="1" applyFill="1" applyBorder="1"/>
    <xf numFmtId="0" fontId="11" fillId="2" borderId="0" xfId="0" applyFont="1" applyFill="1"/>
    <xf numFmtId="0" fontId="6" fillId="2" borderId="0" xfId="0" quotePrefix="1" applyFont="1" applyFill="1" applyAlignment="1">
      <alignment horizontal="justify" vertical="top" wrapText="1"/>
    </xf>
    <xf numFmtId="0" fontId="9" fillId="3" borderId="0" xfId="1" applyFont="1" applyFill="1" applyBorder="1"/>
    <xf numFmtId="0" fontId="6" fillId="3" borderId="0" xfId="0" applyFont="1" applyFill="1" applyBorder="1" applyAlignment="1">
      <alignment horizontal="justify" vertical="top" wrapText="1"/>
    </xf>
    <xf numFmtId="0" fontId="6" fillId="2" borderId="0" xfId="0" applyFont="1" applyFill="1" applyAlignment="1">
      <alignment horizontal="justify" vertical="top"/>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0" borderId="4" xfId="0" applyFont="1" applyFill="1" applyBorder="1"/>
    <xf numFmtId="4" fontId="7" fillId="2" borderId="4" xfId="2" applyNumberFormat="1" applyFont="1" applyFill="1" applyBorder="1"/>
    <xf numFmtId="3" fontId="7" fillId="0" borderId="4" xfId="0" applyNumberFormat="1" applyFont="1" applyFill="1" applyBorder="1"/>
    <xf numFmtId="39" fontId="7" fillId="0" borderId="4" xfId="0" applyNumberFormat="1" applyFont="1" applyFill="1" applyBorder="1"/>
    <xf numFmtId="0" fontId="7" fillId="0" borderId="0" xfId="0" applyFont="1" applyFill="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horizontal="left" vertical="top" wrapText="1"/>
    </xf>
    <xf numFmtId="0" fontId="0" fillId="0" borderId="0" xfId="0" applyAlignment="1">
      <alignment wrapText="1"/>
    </xf>
    <xf numFmtId="0" fontId="6" fillId="2" borderId="0" xfId="0" applyFont="1" applyFill="1" applyAlignment="1">
      <alignment wrapText="1"/>
    </xf>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6" fillId="2" borderId="0" xfId="0" applyFont="1" applyFill="1" applyAlignment="1">
      <alignment horizontal="justify" vertical="top" wrapText="1"/>
    </xf>
    <xf numFmtId="0" fontId="6" fillId="3" borderId="0" xfId="0" applyFont="1" applyFill="1" applyBorder="1" applyAlignment="1">
      <alignment horizontal="justify" vertical="top" wrapText="1"/>
    </xf>
    <xf numFmtId="0" fontId="6" fillId="2" borderId="0" xfId="0" applyFont="1" applyFill="1" applyAlignment="1">
      <alignment horizontal="justify" vertical="top"/>
    </xf>
  </cellXfs>
  <cellStyles count="3">
    <cellStyle name="Hyperlink" xfId="1" builtinId="8"/>
    <cellStyle name="Normal" xfId="0" builtinId="0"/>
    <cellStyle name="Percent" xfId="2" builtinId="5"/>
  </cellStyles>
  <dxfs count="154">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franklintempletonindia.com/downloadsServlet/pdf/product-labels-jg9o5k7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ranklintempletonindia.com/downloadsServlet/pdf/product-labels-jg9o5k7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franklintempletonindia.com/downloadsServlet/pdf/product-labels-jg9o5k7l"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downloadsServlet/pdf/product-labels-jg9o5k7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franklintempletonindia.com/downloadsServlet/pdf/product-labels-jg9o5k7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franklintempletonindia.com/downloadsServlet/pdf/product-labels-jg9o5k7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franklintempletonindia.com/downloadsServlet/pdf/product-labels-jg9o5k7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franklintempletonindia.com/downloadsServlet/pdf/product-labels-jg9o5k7l" TargetMode="Externa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5.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26.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www.franklintempletonindia.com/downloadsServlet/pdf/product-labels-jg9o5k7l" TargetMode="External"/><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downloadsServlet/pdf/product-labels-jg9o5k7l"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product-labels-jg9o5k7l" TargetMode="External"/><Relationship Id="rId9"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29.bin"/><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30.bin"/><Relationship Id="rId3" Type="http://schemas.openxmlformats.org/officeDocument/2006/relationships/hyperlink" Target="https://www.franklintempletonindia.com/downloadsServlet/pdf/product-labels-jg9o5k7l" TargetMode="External"/><Relationship Id="rId7" Type="http://schemas.openxmlformats.org/officeDocument/2006/relationships/hyperlink" Target="https://www.franklintempletonindia.com/downloadsServlet/pdf/product-labels-jg9o5k7l"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product-labels-jg9o5k7l" TargetMode="External"/><Relationship Id="rId4" Type="http://schemas.openxmlformats.org/officeDocument/2006/relationships/hyperlink" Target="https://www.franklintempletonindia.com/investor/reports?firstFilter-4" TargetMode="Externa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https://www.franklintempletonindia.com/downloadsServlet/pdf/product-labels-jg9o5k7l" TargetMode="Externa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hyperlink" Target="https://www.franklintempletonindia.com/downloadsServlet/pdf/product-labels-jg9o5k7l" TargetMode="External"/></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franklintempletonindia.com/downloadsServlet/pdf/product-labels-jg9o5k7l" TargetMode="Externa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franklintempletonindia.com/downloadsServlet/pdf/product-labels-jg9o5k7l"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hyperlink" Target="https://www.franklintempletonindia.com/downloadsServlet/pdf/product-labels-jg9o5k7l" TargetMode="External"/></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hyperlink" Target="https://www.franklintempletonindia.com/downloadsServlet/pdf/product-labels-jg9o5k7l" TargetMode="External"/></Relationships>
</file>

<file path=xl/worksheets/_rels/sheet42.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hyperlink" Target="https://www.franklintempletonindia.com/downloadsServlet/pdf/product-labels-jg9o5k7l" TargetMode="Externa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hyperlink" Target="https://www.franklintempletonindia.com/downloadsServlet/pdf/product-labels-jg9o5k7l"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hyperlink" Target="https://www.franklintempletonindia.com/downloadsServlet/pdf/product-labels-jg9o5k7l"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s://www.franklintempletonindia.com/downloadsServlet/pdf/product-labels-jg9o5k7l"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hyperlink" Target="https://www.franklintempletonindia.com/downloadsServlet/pdf/product-labels-jg9o5k7l" TargetMode="External"/><Relationship Id="rId1" Type="http://schemas.openxmlformats.org/officeDocument/2006/relationships/hyperlink" Target="https://www.franklintempletonindia.com/investor/reports?firstFilter-4" TargetMode="Externa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https://www.franklintempletonindia.com/downloadsServlet/pdf/product-labels-jg9o5k7l" TargetMode="Externa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hyperlink" Target="https://www.franklintempletonindia.com/downloadsServlet/pdf/product-labels-jg9o5k7l" TargetMode="External"/></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hyperlink" Target="https://www.franklintempletonindia.com/downloadsServlet/pdf/product-labels-jg9o5k7l" TargetMode="External"/></Relationships>
</file>

<file path=xl/worksheets/_rels/sheet51.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2.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3.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downloadsServlet/pdf/product-labels-jg9o5k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1"/>
  <sheetViews>
    <sheetView tabSelected="1" workbookViewId="0">
      <selection sqref="A1:G1"/>
    </sheetView>
  </sheetViews>
  <sheetFormatPr defaultColWidth="9.109375" defaultRowHeight="10.199999999999999" x14ac:dyDescent="0.2"/>
  <cols>
    <col min="1" max="1" width="38.6640625" style="9" bestFit="1" customWidth="1"/>
    <col min="2" max="2" width="51"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757</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759</v>
      </c>
      <c r="B7" s="27" t="s">
        <v>760</v>
      </c>
      <c r="C7" s="27" t="s">
        <v>34</v>
      </c>
      <c r="D7" s="31">
        <v>750</v>
      </c>
      <c r="E7" s="29">
        <v>7517.0625</v>
      </c>
      <c r="F7" s="30">
        <v>3.4916968619703699</v>
      </c>
      <c r="G7" s="29">
        <v>3.4698000000000002</v>
      </c>
    </row>
    <row r="8" spans="1:9" x14ac:dyDescent="0.2">
      <c r="A8" s="27" t="s">
        <v>761</v>
      </c>
      <c r="B8" s="27" t="s">
        <v>762</v>
      </c>
      <c r="C8" s="27" t="s">
        <v>34</v>
      </c>
      <c r="D8" s="31">
        <v>100</v>
      </c>
      <c r="E8" s="29">
        <v>1001.5069999999999</v>
      </c>
      <c r="F8" s="30">
        <v>0.46520284341674101</v>
      </c>
      <c r="G8" s="29">
        <v>3.45</v>
      </c>
    </row>
    <row r="9" spans="1:9" x14ac:dyDescent="0.2">
      <c r="A9" s="27" t="s">
        <v>763</v>
      </c>
      <c r="B9" s="27" t="s">
        <v>764</v>
      </c>
      <c r="C9" s="27" t="s">
        <v>34</v>
      </c>
      <c r="D9" s="31">
        <v>5</v>
      </c>
      <c r="E9" s="29">
        <v>503.45949999999999</v>
      </c>
      <c r="F9" s="30">
        <v>0.23385836638702601</v>
      </c>
      <c r="G9" s="29">
        <v>3.5748000000000002</v>
      </c>
    </row>
    <row r="10" spans="1:9" x14ac:dyDescent="0.2">
      <c r="A10" s="26" t="s">
        <v>35</v>
      </c>
      <c r="B10" s="26"/>
      <c r="C10" s="26"/>
      <c r="D10" s="32"/>
      <c r="E10" s="33">
        <f>SUM(E6:E9)</f>
        <v>9022.0290000000005</v>
      </c>
      <c r="F10" s="34">
        <f>SUM(F6:F9)</f>
        <v>4.1907580717741366</v>
      </c>
      <c r="G10" s="33"/>
      <c r="H10" s="18"/>
      <c r="I10" s="18"/>
    </row>
    <row r="11" spans="1:9" x14ac:dyDescent="0.2">
      <c r="A11" s="27"/>
      <c r="B11" s="27"/>
      <c r="C11" s="27"/>
      <c r="D11" s="28"/>
      <c r="E11" s="29"/>
      <c r="F11" s="30"/>
      <c r="G11" s="29"/>
    </row>
    <row r="12" spans="1:9" x14ac:dyDescent="0.2">
      <c r="A12" s="26" t="s">
        <v>52</v>
      </c>
      <c r="B12" s="27"/>
      <c r="C12" s="27"/>
      <c r="D12" s="28"/>
      <c r="E12" s="29"/>
      <c r="F12" s="30"/>
      <c r="G12" s="29"/>
    </row>
    <row r="13" spans="1:9" x14ac:dyDescent="0.2">
      <c r="A13" s="26" t="s">
        <v>56</v>
      </c>
      <c r="B13" s="27"/>
      <c r="C13" s="27"/>
      <c r="D13" s="28"/>
      <c r="E13" s="29"/>
      <c r="F13" s="30"/>
      <c r="G13" s="29"/>
    </row>
    <row r="14" spans="1:9" x14ac:dyDescent="0.2">
      <c r="A14" s="27" t="s">
        <v>765</v>
      </c>
      <c r="B14" s="27" t="s">
        <v>766</v>
      </c>
      <c r="C14" s="27" t="s">
        <v>54</v>
      </c>
      <c r="D14" s="31">
        <v>1900</v>
      </c>
      <c r="E14" s="29">
        <v>9481.2945</v>
      </c>
      <c r="F14" s="30">
        <v>4.4040881997544803</v>
      </c>
      <c r="G14" s="29">
        <v>3.6004999999999998</v>
      </c>
    </row>
    <row r="15" spans="1:9" x14ac:dyDescent="0.2">
      <c r="A15" s="27" t="s">
        <v>767</v>
      </c>
      <c r="B15" s="27" t="s">
        <v>768</v>
      </c>
      <c r="C15" s="27" t="s">
        <v>59</v>
      </c>
      <c r="D15" s="31">
        <v>1800</v>
      </c>
      <c r="E15" s="29">
        <v>8929.134</v>
      </c>
      <c r="F15" s="30">
        <v>4.1476080806715299</v>
      </c>
      <c r="G15" s="29">
        <v>3.4901</v>
      </c>
    </row>
    <row r="16" spans="1:9" x14ac:dyDescent="0.2">
      <c r="A16" s="27" t="s">
        <v>769</v>
      </c>
      <c r="B16" s="27" t="s">
        <v>770</v>
      </c>
      <c r="C16" s="27" t="s">
        <v>771</v>
      </c>
      <c r="D16" s="31">
        <v>1500</v>
      </c>
      <c r="E16" s="29">
        <v>7480.7775000000001</v>
      </c>
      <c r="F16" s="30">
        <v>3.4748423765065799</v>
      </c>
      <c r="G16" s="29">
        <v>3.3496000000000001</v>
      </c>
    </row>
    <row r="17" spans="1:9" x14ac:dyDescent="0.2">
      <c r="A17" s="27" t="s">
        <v>772</v>
      </c>
      <c r="B17" s="27" t="s">
        <v>773</v>
      </c>
      <c r="C17" s="27" t="s">
        <v>54</v>
      </c>
      <c r="D17" s="31">
        <v>1500</v>
      </c>
      <c r="E17" s="29">
        <v>7432.2224999999999</v>
      </c>
      <c r="F17" s="30">
        <v>3.4522884412249502</v>
      </c>
      <c r="G17" s="29">
        <v>3.6985999999999999</v>
      </c>
    </row>
    <row r="18" spans="1:9" x14ac:dyDescent="0.2">
      <c r="A18" s="27" t="s">
        <v>774</v>
      </c>
      <c r="B18" s="27" t="s">
        <v>775</v>
      </c>
      <c r="C18" s="27" t="s">
        <v>59</v>
      </c>
      <c r="D18" s="31">
        <v>1000</v>
      </c>
      <c r="E18" s="29">
        <v>4989.76</v>
      </c>
      <c r="F18" s="30">
        <v>2.3177576791446501</v>
      </c>
      <c r="G18" s="29">
        <v>3.4047999999999998</v>
      </c>
    </row>
    <row r="19" spans="1:9" x14ac:dyDescent="0.2">
      <c r="A19" s="27" t="s">
        <v>776</v>
      </c>
      <c r="B19" s="27" t="s">
        <v>777</v>
      </c>
      <c r="C19" s="27" t="s">
        <v>54</v>
      </c>
      <c r="D19" s="31">
        <v>1000</v>
      </c>
      <c r="E19" s="29">
        <v>4980.5600000000004</v>
      </c>
      <c r="F19" s="30">
        <v>2.3134842530383599</v>
      </c>
      <c r="G19" s="29">
        <v>3.4752000000000001</v>
      </c>
    </row>
    <row r="20" spans="1:9" x14ac:dyDescent="0.2">
      <c r="A20" s="27" t="s">
        <v>778</v>
      </c>
      <c r="B20" s="27" t="s">
        <v>779</v>
      </c>
      <c r="C20" s="27" t="s">
        <v>54</v>
      </c>
      <c r="D20" s="31">
        <v>1000</v>
      </c>
      <c r="E20" s="29">
        <v>4979.1099999999997</v>
      </c>
      <c r="F20" s="30">
        <v>2.3128107239237798</v>
      </c>
      <c r="G20" s="29">
        <v>3.4803999999999999</v>
      </c>
    </row>
    <row r="21" spans="1:9" x14ac:dyDescent="0.2">
      <c r="A21" s="27" t="s">
        <v>780</v>
      </c>
      <c r="B21" s="27" t="s">
        <v>781</v>
      </c>
      <c r="C21" s="27" t="s">
        <v>54</v>
      </c>
      <c r="D21" s="31">
        <v>1000</v>
      </c>
      <c r="E21" s="29">
        <v>4974.63</v>
      </c>
      <c r="F21" s="30">
        <v>2.31072975121115</v>
      </c>
      <c r="G21" s="29">
        <v>3.6499000000000001</v>
      </c>
    </row>
    <row r="22" spans="1:9" x14ac:dyDescent="0.2">
      <c r="A22" s="27" t="s">
        <v>782</v>
      </c>
      <c r="B22" s="27" t="s">
        <v>783</v>
      </c>
      <c r="C22" s="27" t="s">
        <v>54</v>
      </c>
      <c r="D22" s="31">
        <v>1000</v>
      </c>
      <c r="E22" s="29">
        <v>4967.125</v>
      </c>
      <c r="F22" s="30">
        <v>2.3072436574146602</v>
      </c>
      <c r="G22" s="29">
        <v>3.6602000000000001</v>
      </c>
    </row>
    <row r="23" spans="1:9" x14ac:dyDescent="0.2">
      <c r="A23" s="27" t="s">
        <v>784</v>
      </c>
      <c r="B23" s="27" t="s">
        <v>785</v>
      </c>
      <c r="C23" s="27" t="s">
        <v>54</v>
      </c>
      <c r="D23" s="31">
        <v>900</v>
      </c>
      <c r="E23" s="29">
        <v>4475.2905000000001</v>
      </c>
      <c r="F23" s="30">
        <v>2.0787851365151999</v>
      </c>
      <c r="G23" s="29">
        <v>3.4748999999999999</v>
      </c>
    </row>
    <row r="24" spans="1:9" x14ac:dyDescent="0.2">
      <c r="A24" s="27" t="s">
        <v>786</v>
      </c>
      <c r="B24" s="27" t="s">
        <v>787</v>
      </c>
      <c r="C24" s="27" t="s">
        <v>55</v>
      </c>
      <c r="D24" s="31">
        <v>900</v>
      </c>
      <c r="E24" s="29">
        <v>4464.2834999999995</v>
      </c>
      <c r="F24" s="30">
        <v>2.0736723537812898</v>
      </c>
      <c r="G24" s="29">
        <v>3.6501999999999999</v>
      </c>
    </row>
    <row r="25" spans="1:9" x14ac:dyDescent="0.2">
      <c r="A25" s="27" t="s">
        <v>788</v>
      </c>
      <c r="B25" s="27" t="s">
        <v>789</v>
      </c>
      <c r="C25" s="27" t="s">
        <v>54</v>
      </c>
      <c r="D25" s="31">
        <v>800</v>
      </c>
      <c r="E25" s="29">
        <v>3963.8359999999998</v>
      </c>
      <c r="F25" s="30">
        <v>1.8412130699412399</v>
      </c>
      <c r="G25" s="29">
        <v>3.7000999999999999</v>
      </c>
    </row>
    <row r="26" spans="1:9" x14ac:dyDescent="0.2">
      <c r="A26" s="27" t="s">
        <v>790</v>
      </c>
      <c r="B26" s="27" t="s">
        <v>791</v>
      </c>
      <c r="C26" s="27" t="s">
        <v>771</v>
      </c>
      <c r="D26" s="31">
        <v>500</v>
      </c>
      <c r="E26" s="29">
        <v>2500</v>
      </c>
      <c r="F26" s="30">
        <v>1.1612570941010401</v>
      </c>
      <c r="G26" s="29">
        <v>3.35</v>
      </c>
    </row>
    <row r="27" spans="1:9" x14ac:dyDescent="0.2">
      <c r="A27" s="27" t="s">
        <v>792</v>
      </c>
      <c r="B27" s="27" t="s">
        <v>793</v>
      </c>
      <c r="C27" s="27" t="s">
        <v>55</v>
      </c>
      <c r="D27" s="31">
        <v>500</v>
      </c>
      <c r="E27" s="29">
        <v>2499.5174999999999</v>
      </c>
      <c r="F27" s="30">
        <v>1.1610329714818799</v>
      </c>
      <c r="G27" s="29">
        <v>3.5320999999999998</v>
      </c>
    </row>
    <row r="28" spans="1:9" x14ac:dyDescent="0.2">
      <c r="A28" s="26" t="s">
        <v>35</v>
      </c>
      <c r="B28" s="26"/>
      <c r="C28" s="26"/>
      <c r="D28" s="32"/>
      <c r="E28" s="33">
        <f>SUM(E13:E27)</f>
        <v>76117.540999999997</v>
      </c>
      <c r="F28" s="34">
        <f>SUM(F13:F27)</f>
        <v>35.356813788710788</v>
      </c>
      <c r="G28" s="33"/>
      <c r="H28" s="18"/>
      <c r="I28" s="18"/>
    </row>
    <row r="29" spans="1:9" x14ac:dyDescent="0.2">
      <c r="A29" s="27"/>
      <c r="B29" s="27"/>
      <c r="C29" s="27"/>
      <c r="D29" s="28"/>
      <c r="E29" s="29"/>
      <c r="F29" s="30"/>
      <c r="G29" s="29"/>
    </row>
    <row r="30" spans="1:9" x14ac:dyDescent="0.2">
      <c r="A30" s="26" t="s">
        <v>794</v>
      </c>
      <c r="B30" s="27"/>
      <c r="C30" s="27"/>
      <c r="D30" s="28"/>
      <c r="E30" s="29"/>
      <c r="F30" s="30"/>
      <c r="G30" s="29"/>
    </row>
    <row r="31" spans="1:9" x14ac:dyDescent="0.2">
      <c r="A31" s="27" t="s">
        <v>795</v>
      </c>
      <c r="B31" s="27" t="s">
        <v>796</v>
      </c>
      <c r="C31" s="27" t="s">
        <v>65</v>
      </c>
      <c r="D31" s="31">
        <v>20000000</v>
      </c>
      <c r="E31" s="29">
        <v>19996.38</v>
      </c>
      <c r="F31" s="30">
        <v>9.2883752525360794</v>
      </c>
      <c r="G31" s="29">
        <v>3.3037999999999998</v>
      </c>
    </row>
    <row r="32" spans="1:9" x14ac:dyDescent="0.2">
      <c r="A32" s="27" t="s">
        <v>797</v>
      </c>
      <c r="B32" s="27" t="s">
        <v>798</v>
      </c>
      <c r="C32" s="27" t="s">
        <v>65</v>
      </c>
      <c r="D32" s="31">
        <v>20000000</v>
      </c>
      <c r="E32" s="29">
        <v>19971.12</v>
      </c>
      <c r="F32" s="30">
        <v>9.2766419108572808</v>
      </c>
      <c r="G32" s="29">
        <v>3.2989000000000002</v>
      </c>
    </row>
    <row r="33" spans="1:9" x14ac:dyDescent="0.2">
      <c r="A33" s="27" t="s">
        <v>799</v>
      </c>
      <c r="B33" s="27" t="s">
        <v>800</v>
      </c>
      <c r="C33" s="27" t="s">
        <v>65</v>
      </c>
      <c r="D33" s="31">
        <v>12500000</v>
      </c>
      <c r="E33" s="29">
        <v>12474.0625</v>
      </c>
      <c r="F33" s="30">
        <v>5.7942374281539104</v>
      </c>
      <c r="G33" s="29">
        <v>3.2997999999999998</v>
      </c>
    </row>
    <row r="34" spans="1:9" x14ac:dyDescent="0.2">
      <c r="A34" s="27" t="s">
        <v>801</v>
      </c>
      <c r="B34" s="27" t="s">
        <v>802</v>
      </c>
      <c r="C34" s="27" t="s">
        <v>65</v>
      </c>
      <c r="D34" s="31">
        <v>10000000</v>
      </c>
      <c r="E34" s="29">
        <v>9966.4599999999991</v>
      </c>
      <c r="F34" s="30">
        <v>4.6294489512297101</v>
      </c>
      <c r="G34" s="29">
        <v>3.3197999999999999</v>
      </c>
    </row>
    <row r="35" spans="1:9" x14ac:dyDescent="0.2">
      <c r="A35" s="27" t="s">
        <v>803</v>
      </c>
      <c r="B35" s="27" t="s">
        <v>804</v>
      </c>
      <c r="C35" s="27" t="s">
        <v>65</v>
      </c>
      <c r="D35" s="31">
        <v>8777000</v>
      </c>
      <c r="E35" s="29">
        <v>8707.4686060000004</v>
      </c>
      <c r="F35" s="30">
        <v>4.0446438761518504</v>
      </c>
      <c r="G35" s="29">
        <v>3.3891</v>
      </c>
    </row>
    <row r="36" spans="1:9" x14ac:dyDescent="0.2">
      <c r="A36" s="27" t="s">
        <v>805</v>
      </c>
      <c r="B36" s="27" t="s">
        <v>806</v>
      </c>
      <c r="C36" s="27" t="s">
        <v>65</v>
      </c>
      <c r="D36" s="31">
        <v>2500000</v>
      </c>
      <c r="E36" s="29">
        <v>2494.8125</v>
      </c>
      <c r="F36" s="30">
        <v>1.15884748563078</v>
      </c>
      <c r="G36" s="29">
        <v>3.2997999999999998</v>
      </c>
    </row>
    <row r="37" spans="1:9" x14ac:dyDescent="0.2">
      <c r="A37" s="26" t="s">
        <v>35</v>
      </c>
      <c r="B37" s="26"/>
      <c r="C37" s="26"/>
      <c r="D37" s="32"/>
      <c r="E37" s="33">
        <f>SUM(E30:E36)</f>
        <v>73610.303606000001</v>
      </c>
      <c r="F37" s="34">
        <f>SUM(F30:F36)</f>
        <v>34.192194904559614</v>
      </c>
      <c r="G37" s="33"/>
      <c r="H37" s="18"/>
      <c r="I37" s="18"/>
    </row>
    <row r="38" spans="1:9" x14ac:dyDescent="0.2">
      <c r="A38" s="27"/>
      <c r="B38" s="27"/>
      <c r="C38" s="27"/>
      <c r="D38" s="28"/>
      <c r="E38" s="29"/>
      <c r="F38" s="30"/>
      <c r="G38" s="29"/>
    </row>
    <row r="39" spans="1:9" x14ac:dyDescent="0.2">
      <c r="A39" s="26" t="s">
        <v>62</v>
      </c>
      <c r="B39" s="27"/>
      <c r="C39" s="27"/>
      <c r="D39" s="28"/>
      <c r="E39" s="29"/>
      <c r="F39" s="30"/>
      <c r="G39" s="29"/>
    </row>
    <row r="40" spans="1:9" x14ac:dyDescent="0.2">
      <c r="A40" s="27" t="s">
        <v>807</v>
      </c>
      <c r="B40" s="27" t="s">
        <v>808</v>
      </c>
      <c r="C40" s="27" t="s">
        <v>65</v>
      </c>
      <c r="D40" s="31">
        <v>10000000</v>
      </c>
      <c r="E40" s="29">
        <v>10033.870000000001</v>
      </c>
      <c r="F40" s="30">
        <v>4.6607610875150502</v>
      </c>
      <c r="G40" s="29">
        <v>3.3567999999999998</v>
      </c>
    </row>
    <row r="41" spans="1:9" x14ac:dyDescent="0.2">
      <c r="A41" s="26" t="s">
        <v>35</v>
      </c>
      <c r="B41" s="26"/>
      <c r="C41" s="26"/>
      <c r="D41" s="32"/>
      <c r="E41" s="33">
        <f>SUM(E40:E40)</f>
        <v>10033.870000000001</v>
      </c>
      <c r="F41" s="34">
        <f>SUM(F40:F40)</f>
        <v>4.6607610875150502</v>
      </c>
      <c r="G41" s="33"/>
      <c r="H41" s="18"/>
      <c r="I41" s="18"/>
    </row>
    <row r="42" spans="1:9" x14ac:dyDescent="0.2">
      <c r="A42" s="27"/>
      <c r="B42" s="27"/>
      <c r="C42" s="27"/>
      <c r="D42" s="28"/>
      <c r="E42" s="29"/>
      <c r="F42" s="30"/>
      <c r="G42" s="29"/>
    </row>
    <row r="43" spans="1:9" x14ac:dyDescent="0.2">
      <c r="A43" s="26" t="s">
        <v>38</v>
      </c>
      <c r="B43" s="26"/>
      <c r="C43" s="26"/>
      <c r="D43" s="32"/>
      <c r="E43" s="33">
        <f>E10+E28+E37+E41</f>
        <v>168783.74360599997</v>
      </c>
      <c r="F43" s="34">
        <f>F10+F28+F37+F41</f>
        <v>78.400527852559591</v>
      </c>
      <c r="G43" s="33"/>
      <c r="H43" s="18"/>
      <c r="I43" s="18"/>
    </row>
    <row r="44" spans="1:9" x14ac:dyDescent="0.2">
      <c r="A44" s="26"/>
      <c r="B44" s="26"/>
      <c r="C44" s="26"/>
      <c r="D44" s="32"/>
      <c r="E44" s="33"/>
      <c r="F44" s="34"/>
      <c r="G44" s="33"/>
      <c r="H44" s="18"/>
      <c r="I44" s="18"/>
    </row>
    <row r="45" spans="1:9" x14ac:dyDescent="0.2">
      <c r="A45" s="26" t="s">
        <v>40</v>
      </c>
      <c r="B45" s="26"/>
      <c r="C45" s="26"/>
      <c r="D45" s="32"/>
      <c r="E45" s="33">
        <f>E47-(E10+E28+E37+E41)</f>
        <v>46500.19418000002</v>
      </c>
      <c r="F45" s="34">
        <f>F47-(F10+F28+F37+F41)</f>
        <v>21.599472147440409</v>
      </c>
      <c r="G45" s="33"/>
      <c r="H45" s="18"/>
      <c r="I45" s="18"/>
    </row>
    <row r="46" spans="1:9" x14ac:dyDescent="0.2">
      <c r="A46" s="26"/>
      <c r="B46" s="26"/>
      <c r="C46" s="26"/>
      <c r="D46" s="32"/>
      <c r="E46" s="33"/>
      <c r="F46" s="34"/>
      <c r="G46" s="33"/>
      <c r="H46" s="18"/>
      <c r="I46" s="18"/>
    </row>
    <row r="47" spans="1:9" x14ac:dyDescent="0.2">
      <c r="A47" s="35" t="s">
        <v>39</v>
      </c>
      <c r="B47" s="35"/>
      <c r="C47" s="35"/>
      <c r="D47" s="36"/>
      <c r="E47" s="37">
        <v>215283.93778599999</v>
      </c>
      <c r="F47" s="38">
        <v>100</v>
      </c>
      <c r="G47" s="37"/>
      <c r="H47" s="18"/>
      <c r="I47" s="18"/>
    </row>
    <row r="49" spans="1:4" x14ac:dyDescent="0.2">
      <c r="A49" s="18" t="s">
        <v>66</v>
      </c>
    </row>
    <row r="50" spans="1:4" x14ac:dyDescent="0.2">
      <c r="A50" s="18" t="s">
        <v>41</v>
      </c>
    </row>
    <row r="52" spans="1:4" x14ac:dyDescent="0.2">
      <c r="A52" s="18" t="s">
        <v>42</v>
      </c>
    </row>
    <row r="53" spans="1:4" x14ac:dyDescent="0.2">
      <c r="A53" s="18" t="s">
        <v>43</v>
      </c>
    </row>
    <row r="54" spans="1:4" x14ac:dyDescent="0.2">
      <c r="A54" s="18" t="s">
        <v>44</v>
      </c>
      <c r="B54" s="18"/>
      <c r="C54" s="39" t="s">
        <v>46</v>
      </c>
      <c r="D54" s="19" t="s">
        <v>45</v>
      </c>
    </row>
    <row r="55" spans="1:4" x14ac:dyDescent="0.2">
      <c r="A55" s="9" t="s">
        <v>809</v>
      </c>
      <c r="C55" s="40">
        <v>4720.4197000000004</v>
      </c>
      <c r="D55" s="40">
        <v>4777.8909999999996</v>
      </c>
    </row>
    <row r="56" spans="1:4" x14ac:dyDescent="0.2">
      <c r="A56" s="9" t="s">
        <v>810</v>
      </c>
      <c r="C56" s="40">
        <v>1510.5263</v>
      </c>
      <c r="D56" s="40">
        <v>1510.4899</v>
      </c>
    </row>
    <row r="57" spans="1:4" x14ac:dyDescent="0.2">
      <c r="A57" s="9" t="s">
        <v>811</v>
      </c>
      <c r="C57" s="40">
        <v>1244.6608000000001</v>
      </c>
      <c r="D57" s="40">
        <v>1244.3755000000001</v>
      </c>
    </row>
    <row r="58" spans="1:4" x14ac:dyDescent="0.2">
      <c r="A58" s="9" t="s">
        <v>812</v>
      </c>
      <c r="C58" s="40">
        <v>1000</v>
      </c>
      <c r="D58" s="40">
        <v>1000</v>
      </c>
    </row>
    <row r="59" spans="1:4" x14ac:dyDescent="0.2">
      <c r="A59" s="9" t="s">
        <v>813</v>
      </c>
      <c r="C59" s="40">
        <v>1055.0623000000001</v>
      </c>
      <c r="D59" s="40">
        <v>1054.7928999999999</v>
      </c>
    </row>
    <row r="60" spans="1:4" x14ac:dyDescent="0.2">
      <c r="A60" s="9" t="s">
        <v>814</v>
      </c>
      <c r="C60" s="40">
        <v>3044.3362000000002</v>
      </c>
      <c r="D60" s="40">
        <v>3091.9023000000002</v>
      </c>
    </row>
    <row r="61" spans="1:4" x14ac:dyDescent="0.2">
      <c r="A61" s="9" t="s">
        <v>815</v>
      </c>
      <c r="C61" s="40">
        <v>1000</v>
      </c>
      <c r="D61" s="40">
        <v>1000</v>
      </c>
    </row>
    <row r="62" spans="1:4" x14ac:dyDescent="0.2">
      <c r="A62" s="9" t="s">
        <v>816</v>
      </c>
      <c r="C62" s="40">
        <v>1022.3174</v>
      </c>
      <c r="D62" s="40">
        <v>1022.0075000000001</v>
      </c>
    </row>
    <row r="63" spans="1:4" x14ac:dyDescent="0.2">
      <c r="A63" s="9" t="s">
        <v>817</v>
      </c>
      <c r="C63" s="40">
        <v>3059.2617</v>
      </c>
      <c r="D63" s="40">
        <v>3108.2766999999999</v>
      </c>
    </row>
    <row r="64" spans="1:4" x14ac:dyDescent="0.2">
      <c r="A64" s="9" t="s">
        <v>818</v>
      </c>
      <c r="C64" s="40">
        <v>1002.2243</v>
      </c>
      <c r="D64" s="40">
        <v>1002.2204</v>
      </c>
    </row>
    <row r="65" spans="1:4" x14ac:dyDescent="0.2">
      <c r="A65" s="9" t="s">
        <v>819</v>
      </c>
      <c r="C65" s="40">
        <v>1021.7919000000001</v>
      </c>
      <c r="D65" s="40">
        <v>1021.4743</v>
      </c>
    </row>
    <row r="66" spans="1:4" x14ac:dyDescent="0.2">
      <c r="A66" s="9" t="s">
        <v>820</v>
      </c>
      <c r="C66" s="40">
        <v>12.914300000000001</v>
      </c>
      <c r="D66" s="40">
        <v>13.120799999999999</v>
      </c>
    </row>
    <row r="67" spans="1:4" x14ac:dyDescent="0.2">
      <c r="A67" s="9" t="s">
        <v>821</v>
      </c>
      <c r="C67" s="40">
        <v>12.914300000000001</v>
      </c>
      <c r="D67" s="40">
        <v>13.120799999999999</v>
      </c>
    </row>
    <row r="68" spans="1:4" x14ac:dyDescent="0.2">
      <c r="A68" s="9" t="s">
        <v>822</v>
      </c>
      <c r="C68" s="40">
        <v>10</v>
      </c>
      <c r="D68" s="40">
        <v>10</v>
      </c>
    </row>
    <row r="69" spans="1:4" x14ac:dyDescent="0.2">
      <c r="A69" s="9" t="s">
        <v>823</v>
      </c>
      <c r="C69" s="40">
        <v>10</v>
      </c>
      <c r="D69" s="40">
        <v>10</v>
      </c>
    </row>
    <row r="71" spans="1:4" x14ac:dyDescent="0.2">
      <c r="A71" s="18" t="s">
        <v>48</v>
      </c>
    </row>
    <row r="72" spans="1:4" x14ac:dyDescent="0.2">
      <c r="A72" s="77" t="s">
        <v>67</v>
      </c>
      <c r="B72" s="78"/>
      <c r="C72" s="44" t="s">
        <v>68</v>
      </c>
    </row>
    <row r="73" spans="1:4" x14ac:dyDescent="0.2">
      <c r="A73" s="73" t="s">
        <v>810</v>
      </c>
      <c r="B73" s="74"/>
      <c r="C73" s="45">
        <v>18.069209816000001</v>
      </c>
    </row>
    <row r="74" spans="1:4" x14ac:dyDescent="0.2">
      <c r="A74" s="73" t="s">
        <v>811</v>
      </c>
      <c r="B74" s="74"/>
      <c r="C74" s="45">
        <v>14.778731369000001</v>
      </c>
    </row>
    <row r="75" spans="1:4" x14ac:dyDescent="0.2">
      <c r="A75" s="73" t="s">
        <v>812</v>
      </c>
      <c r="B75" s="74"/>
      <c r="C75" s="45">
        <v>13.183950790999999</v>
      </c>
    </row>
    <row r="76" spans="1:4" x14ac:dyDescent="0.2">
      <c r="A76" s="73" t="s">
        <v>813</v>
      </c>
      <c r="B76" s="74"/>
      <c r="C76" s="45">
        <v>13.873544545</v>
      </c>
    </row>
    <row r="77" spans="1:4" x14ac:dyDescent="0.2">
      <c r="A77" s="73" t="s">
        <v>815</v>
      </c>
      <c r="B77" s="74"/>
      <c r="C77" s="45">
        <v>15.279516882999999</v>
      </c>
    </row>
    <row r="78" spans="1:4" x14ac:dyDescent="0.2">
      <c r="A78" s="73" t="s">
        <v>816</v>
      </c>
      <c r="B78" s="74"/>
      <c r="C78" s="45">
        <v>15.540479583</v>
      </c>
    </row>
    <row r="79" spans="1:4" x14ac:dyDescent="0.2">
      <c r="A79" s="73" t="s">
        <v>818</v>
      </c>
      <c r="B79" s="74"/>
      <c r="C79" s="45">
        <v>15.664912706999999</v>
      </c>
    </row>
    <row r="80" spans="1:4" x14ac:dyDescent="0.2">
      <c r="A80" s="73" t="s">
        <v>819</v>
      </c>
      <c r="B80" s="74"/>
      <c r="C80" s="45">
        <v>15.891175247</v>
      </c>
    </row>
    <row r="81" spans="1:7" x14ac:dyDescent="0.2">
      <c r="A81" s="9" t="s">
        <v>69</v>
      </c>
    </row>
    <row r="82" spans="1:7" x14ac:dyDescent="0.2">
      <c r="A82" s="9" t="s">
        <v>47</v>
      </c>
    </row>
    <row r="84" spans="1:7" x14ac:dyDescent="0.2">
      <c r="A84" s="18" t="s">
        <v>824</v>
      </c>
      <c r="D84" s="42">
        <v>8.3674077506849298E-2</v>
      </c>
      <c r="E84" s="13" t="s">
        <v>50</v>
      </c>
    </row>
    <row r="86" spans="1:7" x14ac:dyDescent="0.2">
      <c r="A86" s="18" t="s">
        <v>732</v>
      </c>
      <c r="D86" s="41" t="s">
        <v>49</v>
      </c>
    </row>
    <row r="88" spans="1:7" ht="14.4" x14ac:dyDescent="0.2">
      <c r="A88" s="79" t="s">
        <v>825</v>
      </c>
      <c r="B88" s="80"/>
      <c r="C88" s="80"/>
      <c r="D88" s="80"/>
      <c r="E88" s="80"/>
      <c r="F88" s="80"/>
      <c r="G88" s="80"/>
    </row>
    <row r="89" spans="1:7" x14ac:dyDescent="0.2">
      <c r="A89" s="47" t="s">
        <v>51</v>
      </c>
    </row>
    <row r="91" spans="1:7" x14ac:dyDescent="0.2">
      <c r="A91" s="47"/>
    </row>
  </sheetData>
  <mergeCells count="11">
    <mergeCell ref="A77:B77"/>
    <mergeCell ref="A78:B78"/>
    <mergeCell ref="A79:B79"/>
    <mergeCell ref="A80:B80"/>
    <mergeCell ref="A88:G88"/>
    <mergeCell ref="A76:B76"/>
    <mergeCell ref="A1:G1"/>
    <mergeCell ref="A72:B72"/>
    <mergeCell ref="A73:B73"/>
    <mergeCell ref="A74:B74"/>
    <mergeCell ref="A75:B75"/>
  </mergeCells>
  <conditionalFormatting sqref="F2:F3 F5:F87 F92:F65536">
    <cfRule type="cellIs" dxfId="153" priority="3" stopIfTrue="1" operator="between">
      <formula>0.009</formula>
      <formula>-0.009</formula>
    </cfRule>
  </conditionalFormatting>
  <conditionalFormatting sqref="F90:F91">
    <cfRule type="cellIs" dxfId="152" priority="2" stopIfTrue="1" operator="between">
      <formula>0.009</formula>
      <formula>-0.009</formula>
    </cfRule>
  </conditionalFormatting>
  <conditionalFormatting sqref="F89">
    <cfRule type="cellIs" dxfId="151" priority="1" stopIfTrue="1" operator="between">
      <formula>0.009</formula>
      <formula>-0.009</formula>
    </cfRule>
  </conditionalFormatting>
  <hyperlinks>
    <hyperlink ref="A89" r:id="rId1" xr:uid="{00000000-0004-0000-0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workbookViewId="0">
      <selection sqref="A1:G1"/>
    </sheetView>
  </sheetViews>
  <sheetFormatPr defaultColWidth="9.109375" defaultRowHeight="10.199999999999999" x14ac:dyDescent="0.2"/>
  <cols>
    <col min="1" max="1" width="31.6640625" style="9" bestFit="1" customWidth="1"/>
    <col min="2" max="2" width="20"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826</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6" t="s">
        <v>40</v>
      </c>
      <c r="B5" s="26"/>
      <c r="C5" s="26"/>
      <c r="D5" s="32"/>
      <c r="E5" s="33">
        <v>19571.091390500002</v>
      </c>
      <c r="F5" s="34">
        <v>100</v>
      </c>
      <c r="G5" s="33"/>
      <c r="H5" s="18"/>
      <c r="I5" s="18"/>
    </row>
    <row r="6" spans="1:9" x14ac:dyDescent="0.2">
      <c r="A6" s="26"/>
      <c r="B6" s="26"/>
      <c r="C6" s="26"/>
      <c r="D6" s="32"/>
      <c r="E6" s="33"/>
      <c r="F6" s="34"/>
      <c r="G6" s="33"/>
      <c r="H6" s="18"/>
      <c r="I6" s="18"/>
    </row>
    <row r="7" spans="1:9" x14ac:dyDescent="0.2">
      <c r="A7" s="35" t="s">
        <v>39</v>
      </c>
      <c r="B7" s="35"/>
      <c r="C7" s="35"/>
      <c r="D7" s="36"/>
      <c r="E7" s="37">
        <v>19571.091390500002</v>
      </c>
      <c r="F7" s="38">
        <v>100</v>
      </c>
      <c r="G7" s="37"/>
      <c r="H7" s="18"/>
      <c r="I7" s="18"/>
    </row>
    <row r="10" spans="1:9" x14ac:dyDescent="0.2">
      <c r="A10" s="18" t="s">
        <v>42</v>
      </c>
    </row>
    <row r="11" spans="1:9" x14ac:dyDescent="0.2">
      <c r="A11" s="18" t="s">
        <v>43</v>
      </c>
    </row>
    <row r="12" spans="1:9" x14ac:dyDescent="0.2">
      <c r="A12" s="18" t="s">
        <v>44</v>
      </c>
      <c r="B12" s="18"/>
      <c r="C12" s="39" t="s">
        <v>46</v>
      </c>
      <c r="D12" s="19" t="s">
        <v>45</v>
      </c>
    </row>
    <row r="13" spans="1:9" x14ac:dyDescent="0.2">
      <c r="A13" s="9" t="s">
        <v>70</v>
      </c>
      <c r="C13" s="40">
        <v>1063.7302</v>
      </c>
      <c r="D13" s="40">
        <v>1079.8246999999999</v>
      </c>
    </row>
    <row r="14" spans="1:9" x14ac:dyDescent="0.2">
      <c r="A14" s="9" t="s">
        <v>827</v>
      </c>
      <c r="C14" s="40">
        <v>1000</v>
      </c>
      <c r="D14" s="40">
        <v>1000</v>
      </c>
    </row>
    <row r="15" spans="1:9" x14ac:dyDescent="0.2">
      <c r="A15" s="9" t="s">
        <v>828</v>
      </c>
      <c r="C15" s="40">
        <v>1000.353</v>
      </c>
      <c r="D15" s="40">
        <v>1000.0836</v>
      </c>
    </row>
    <row r="16" spans="1:9" x14ac:dyDescent="0.2">
      <c r="A16" s="9" t="s">
        <v>73</v>
      </c>
      <c r="C16" s="40">
        <v>1064.7180000000001</v>
      </c>
      <c r="D16" s="40">
        <v>1081.1059</v>
      </c>
    </row>
    <row r="17" spans="1:5" x14ac:dyDescent="0.2">
      <c r="A17" s="9" t="s">
        <v>829</v>
      </c>
      <c r="C17" s="40">
        <v>1000</v>
      </c>
      <c r="D17" s="40">
        <v>1000</v>
      </c>
    </row>
    <row r="18" spans="1:5" x14ac:dyDescent="0.2">
      <c r="A18" s="9" t="s">
        <v>830</v>
      </c>
      <c r="C18" s="40">
        <v>1000.3602</v>
      </c>
      <c r="D18" s="40">
        <v>1000.0852</v>
      </c>
    </row>
    <row r="20" spans="1:5" x14ac:dyDescent="0.2">
      <c r="A20" s="18" t="s">
        <v>48</v>
      </c>
    </row>
    <row r="21" spans="1:5" x14ac:dyDescent="0.2">
      <c r="A21" s="77" t="s">
        <v>67</v>
      </c>
      <c r="B21" s="78"/>
      <c r="C21" s="44" t="s">
        <v>68</v>
      </c>
    </row>
    <row r="22" spans="1:5" x14ac:dyDescent="0.2">
      <c r="A22" s="73" t="s">
        <v>827</v>
      </c>
      <c r="B22" s="74"/>
      <c r="C22" s="45">
        <v>14.807109629999999</v>
      </c>
    </row>
    <row r="23" spans="1:5" x14ac:dyDescent="0.2">
      <c r="A23" s="73" t="s">
        <v>828</v>
      </c>
      <c r="B23" s="74"/>
      <c r="C23" s="45">
        <v>14.777847788000001</v>
      </c>
    </row>
    <row r="24" spans="1:5" x14ac:dyDescent="0.2">
      <c r="A24" s="73" t="s">
        <v>829</v>
      </c>
      <c r="B24" s="74"/>
      <c r="C24" s="45">
        <v>15.070871675999999</v>
      </c>
    </row>
    <row r="25" spans="1:5" x14ac:dyDescent="0.2">
      <c r="A25" s="73" t="s">
        <v>830</v>
      </c>
      <c r="B25" s="74"/>
      <c r="C25" s="45">
        <v>15.00771808</v>
      </c>
    </row>
    <row r="26" spans="1:5" x14ac:dyDescent="0.2">
      <c r="A26" s="9" t="s">
        <v>69</v>
      </c>
    </row>
    <row r="27" spans="1:5" x14ac:dyDescent="0.2">
      <c r="A27" s="9" t="s">
        <v>47</v>
      </c>
    </row>
    <row r="29" spans="1:5" x14ac:dyDescent="0.2">
      <c r="A29" s="18" t="s">
        <v>824</v>
      </c>
      <c r="D29" s="55">
        <v>2.7397260273972599E-3</v>
      </c>
      <c r="E29" s="13" t="s">
        <v>50</v>
      </c>
    </row>
    <row r="31" spans="1:5" ht="24.75" customHeight="1" x14ac:dyDescent="0.2">
      <c r="A31" s="81" t="s">
        <v>732</v>
      </c>
      <c r="B31" s="81"/>
      <c r="C31" s="81"/>
      <c r="D31" s="41" t="s">
        <v>49</v>
      </c>
    </row>
    <row r="33" spans="1:7" ht="14.4" x14ac:dyDescent="0.2">
      <c r="A33" s="79" t="s">
        <v>825</v>
      </c>
      <c r="B33" s="80"/>
      <c r="C33" s="80"/>
      <c r="D33" s="80"/>
      <c r="E33" s="80"/>
      <c r="F33" s="80"/>
      <c r="G33" s="80"/>
    </row>
    <row r="34" spans="1:7" x14ac:dyDescent="0.2">
      <c r="A34" s="47" t="s">
        <v>51</v>
      </c>
    </row>
    <row r="36" spans="1:7" x14ac:dyDescent="0.2">
      <c r="A36" s="47"/>
    </row>
  </sheetData>
  <mergeCells count="8">
    <mergeCell ref="A31:C31"/>
    <mergeCell ref="A33:G33"/>
    <mergeCell ref="A1:G1"/>
    <mergeCell ref="A21:B21"/>
    <mergeCell ref="A22:B22"/>
    <mergeCell ref="A23:B23"/>
    <mergeCell ref="A24:B24"/>
    <mergeCell ref="A25:B25"/>
  </mergeCells>
  <conditionalFormatting sqref="F2:F3 F5:F32 F37:F65533">
    <cfRule type="cellIs" dxfId="150" priority="3" stopIfTrue="1" operator="between">
      <formula>0.009</formula>
      <formula>-0.009</formula>
    </cfRule>
  </conditionalFormatting>
  <conditionalFormatting sqref="F35:F36">
    <cfRule type="cellIs" dxfId="149" priority="2" stopIfTrue="1" operator="between">
      <formula>0.009</formula>
      <formula>-0.009</formula>
    </cfRule>
  </conditionalFormatting>
  <conditionalFormatting sqref="F34">
    <cfRule type="cellIs" dxfId="148" priority="1" stopIfTrue="1" operator="between">
      <formula>0.009</formula>
      <formula>-0.009</formula>
    </cfRule>
  </conditionalFormatting>
  <hyperlinks>
    <hyperlink ref="A34" r:id="rId1" xr:uid="{00000000-0004-0000-0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6"/>
  <sheetViews>
    <sheetView workbookViewId="0">
      <selection sqref="A1:G1"/>
    </sheetView>
  </sheetViews>
  <sheetFormatPr defaultColWidth="9.109375" defaultRowHeight="10.199999999999999" x14ac:dyDescent="0.2"/>
  <cols>
    <col min="1" max="1" width="31.6640625" style="9" bestFit="1" customWidth="1"/>
    <col min="2" max="2" width="49"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831</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52</v>
      </c>
      <c r="B5" s="22"/>
      <c r="C5" s="22"/>
      <c r="D5" s="23"/>
      <c r="E5" s="24"/>
      <c r="F5" s="25"/>
      <c r="G5" s="24"/>
    </row>
    <row r="6" spans="1:9" x14ac:dyDescent="0.2">
      <c r="A6" s="26" t="s">
        <v>53</v>
      </c>
      <c r="B6" s="27"/>
      <c r="C6" s="27"/>
      <c r="D6" s="28"/>
      <c r="E6" s="29"/>
      <c r="F6" s="30"/>
      <c r="G6" s="29"/>
    </row>
    <row r="7" spans="1:9" x14ac:dyDescent="0.2">
      <c r="A7" s="27" t="s">
        <v>832</v>
      </c>
      <c r="B7" s="27" t="s">
        <v>833</v>
      </c>
      <c r="C7" s="27" t="s">
        <v>54</v>
      </c>
      <c r="D7" s="31">
        <v>5000</v>
      </c>
      <c r="E7" s="29">
        <v>4998.92</v>
      </c>
      <c r="F7" s="30">
        <v>4.3746143231129802</v>
      </c>
      <c r="G7" s="29">
        <v>3.8250000000000002</v>
      </c>
    </row>
    <row r="8" spans="1:9" x14ac:dyDescent="0.2">
      <c r="A8" s="27" t="s">
        <v>834</v>
      </c>
      <c r="B8" s="27" t="s">
        <v>835</v>
      </c>
      <c r="C8" s="27" t="s">
        <v>54</v>
      </c>
      <c r="D8" s="31">
        <v>5000</v>
      </c>
      <c r="E8" s="29">
        <v>4903.24</v>
      </c>
      <c r="F8" s="30">
        <v>4.2908836175934999</v>
      </c>
      <c r="G8" s="29">
        <v>3.6749000000000001</v>
      </c>
    </row>
    <row r="9" spans="1:9" x14ac:dyDescent="0.2">
      <c r="A9" s="27" t="s">
        <v>836</v>
      </c>
      <c r="B9" s="27" t="s">
        <v>837</v>
      </c>
      <c r="C9" s="27" t="s">
        <v>54</v>
      </c>
      <c r="D9" s="31">
        <v>5000</v>
      </c>
      <c r="E9" s="29">
        <v>4862.92</v>
      </c>
      <c r="F9" s="30">
        <v>4.2555991062374598</v>
      </c>
      <c r="G9" s="29">
        <v>3.8249</v>
      </c>
    </row>
    <row r="10" spans="1:9" x14ac:dyDescent="0.2">
      <c r="A10" s="27" t="s">
        <v>838</v>
      </c>
      <c r="B10" s="27" t="s">
        <v>839</v>
      </c>
      <c r="C10" s="27" t="s">
        <v>771</v>
      </c>
      <c r="D10" s="31">
        <v>5000</v>
      </c>
      <c r="E10" s="29">
        <v>4853.09</v>
      </c>
      <c r="F10" s="30">
        <v>4.2469967563706499</v>
      </c>
      <c r="G10" s="29">
        <v>3.81</v>
      </c>
    </row>
    <row r="11" spans="1:9" x14ac:dyDescent="0.2">
      <c r="A11" s="27" t="s">
        <v>840</v>
      </c>
      <c r="B11" s="27" t="s">
        <v>841</v>
      </c>
      <c r="C11" s="27" t="s">
        <v>54</v>
      </c>
      <c r="D11" s="31">
        <v>2500</v>
      </c>
      <c r="E11" s="29">
        <v>2435.2674999999999</v>
      </c>
      <c r="F11" s="30">
        <v>2.1311315416353001</v>
      </c>
      <c r="G11" s="29">
        <v>3.8500999999999999</v>
      </c>
    </row>
    <row r="12" spans="1:9" x14ac:dyDescent="0.2">
      <c r="A12" s="27" t="s">
        <v>842</v>
      </c>
      <c r="B12" s="27" t="s">
        <v>843</v>
      </c>
      <c r="C12" s="27" t="s">
        <v>55</v>
      </c>
      <c r="D12" s="31">
        <v>2500</v>
      </c>
      <c r="E12" s="29">
        <v>2431.2725</v>
      </c>
      <c r="F12" s="30">
        <v>2.1276354696395798</v>
      </c>
      <c r="G12" s="29">
        <v>3.85</v>
      </c>
    </row>
    <row r="13" spans="1:9" x14ac:dyDescent="0.2">
      <c r="A13" s="26" t="s">
        <v>35</v>
      </c>
      <c r="B13" s="26"/>
      <c r="C13" s="26"/>
      <c r="D13" s="32"/>
      <c r="E13" s="33">
        <f>SUM(E6:E12)</f>
        <v>24484.71</v>
      </c>
      <c r="F13" s="34">
        <f>SUM(F6:F12)</f>
        <v>21.426860814589467</v>
      </c>
      <c r="G13" s="33"/>
      <c r="H13" s="18"/>
      <c r="I13" s="18"/>
    </row>
    <row r="14" spans="1:9" x14ac:dyDescent="0.2">
      <c r="A14" s="27"/>
      <c r="B14" s="27"/>
      <c r="C14" s="27"/>
      <c r="D14" s="28"/>
      <c r="E14" s="29"/>
      <c r="F14" s="30"/>
      <c r="G14" s="29"/>
    </row>
    <row r="15" spans="1:9" x14ac:dyDescent="0.2">
      <c r="A15" s="26" t="s">
        <v>56</v>
      </c>
      <c r="B15" s="27"/>
      <c r="C15" s="27"/>
      <c r="D15" s="28"/>
      <c r="E15" s="29"/>
      <c r="F15" s="30"/>
      <c r="G15" s="29"/>
    </row>
    <row r="16" spans="1:9" x14ac:dyDescent="0.2">
      <c r="A16" s="27" t="s">
        <v>844</v>
      </c>
      <c r="B16" s="27" t="s">
        <v>845</v>
      </c>
      <c r="C16" s="27" t="s">
        <v>54</v>
      </c>
      <c r="D16" s="31">
        <v>1000</v>
      </c>
      <c r="E16" s="29">
        <v>4976.62</v>
      </c>
      <c r="F16" s="30">
        <v>4.3550993279929502</v>
      </c>
      <c r="G16" s="29">
        <v>3.4998999999999998</v>
      </c>
    </row>
    <row r="17" spans="1:9" x14ac:dyDescent="0.2">
      <c r="A17" s="27" t="s">
        <v>846</v>
      </c>
      <c r="B17" s="27" t="s">
        <v>847</v>
      </c>
      <c r="C17" s="27" t="s">
        <v>54</v>
      </c>
      <c r="D17" s="31">
        <v>1000</v>
      </c>
      <c r="E17" s="29">
        <v>4965.7150000000001</v>
      </c>
      <c r="F17" s="30">
        <v>4.3455562328456896</v>
      </c>
      <c r="G17" s="29">
        <v>3.5001000000000002</v>
      </c>
    </row>
    <row r="18" spans="1:9" x14ac:dyDescent="0.2">
      <c r="A18" s="27" t="s">
        <v>848</v>
      </c>
      <c r="B18" s="27" t="s">
        <v>849</v>
      </c>
      <c r="C18" s="27" t="s">
        <v>54</v>
      </c>
      <c r="D18" s="31">
        <v>1000</v>
      </c>
      <c r="E18" s="29">
        <v>4964.6549999999997</v>
      </c>
      <c r="F18" s="30">
        <v>4.3446286142435699</v>
      </c>
      <c r="G18" s="29">
        <v>3.6598999999999999</v>
      </c>
    </row>
    <row r="19" spans="1:9" x14ac:dyDescent="0.2">
      <c r="A19" s="27" t="s">
        <v>58</v>
      </c>
      <c r="B19" s="27" t="s">
        <v>57</v>
      </c>
      <c r="C19" s="27" t="s">
        <v>59</v>
      </c>
      <c r="D19" s="31">
        <v>1000</v>
      </c>
      <c r="E19" s="29">
        <v>4857.2049999999999</v>
      </c>
      <c r="F19" s="30">
        <v>4.2505978417930201</v>
      </c>
      <c r="G19" s="29">
        <v>3.9449999999999998</v>
      </c>
    </row>
    <row r="20" spans="1:9" x14ac:dyDescent="0.2">
      <c r="A20" s="27" t="s">
        <v>850</v>
      </c>
      <c r="B20" s="27" t="s">
        <v>851</v>
      </c>
      <c r="C20" s="27" t="s">
        <v>55</v>
      </c>
      <c r="D20" s="31">
        <v>1000</v>
      </c>
      <c r="E20" s="29">
        <v>4856.6499999999996</v>
      </c>
      <c r="F20" s="30">
        <v>4.2501121546947402</v>
      </c>
      <c r="G20" s="29">
        <v>4.0199999999999996</v>
      </c>
    </row>
    <row r="21" spans="1:9" x14ac:dyDescent="0.2">
      <c r="A21" s="27" t="s">
        <v>852</v>
      </c>
      <c r="B21" s="27" t="s">
        <v>853</v>
      </c>
      <c r="C21" s="27" t="s">
        <v>54</v>
      </c>
      <c r="D21" s="31">
        <v>1000</v>
      </c>
      <c r="E21" s="29">
        <v>4817.4250000000002</v>
      </c>
      <c r="F21" s="30">
        <v>4.2157858908569299</v>
      </c>
      <c r="G21" s="29">
        <v>4.3499999999999996</v>
      </c>
    </row>
    <row r="22" spans="1:9" x14ac:dyDescent="0.2">
      <c r="A22" s="27" t="s">
        <v>61</v>
      </c>
      <c r="B22" s="27" t="s">
        <v>60</v>
      </c>
      <c r="C22" s="27" t="s">
        <v>54</v>
      </c>
      <c r="D22" s="31">
        <v>500</v>
      </c>
      <c r="E22" s="29">
        <v>2465.3225000000002</v>
      </c>
      <c r="F22" s="30">
        <v>2.1574330294528998</v>
      </c>
      <c r="G22" s="29">
        <v>3.9799000000000002</v>
      </c>
    </row>
    <row r="23" spans="1:9" x14ac:dyDescent="0.2">
      <c r="A23" s="27" t="s">
        <v>854</v>
      </c>
      <c r="B23" s="27" t="s">
        <v>855</v>
      </c>
      <c r="C23" s="27" t="s">
        <v>54</v>
      </c>
      <c r="D23" s="31">
        <v>500</v>
      </c>
      <c r="E23" s="29">
        <v>2428.2175000000002</v>
      </c>
      <c r="F23" s="30">
        <v>2.1249620028193301</v>
      </c>
      <c r="G23" s="29">
        <v>4.1500000000000004</v>
      </c>
    </row>
    <row r="24" spans="1:9" x14ac:dyDescent="0.2">
      <c r="A24" s="26" t="s">
        <v>35</v>
      </c>
      <c r="B24" s="26"/>
      <c r="C24" s="26"/>
      <c r="D24" s="32"/>
      <c r="E24" s="33">
        <f>SUM(E15:E23)</f>
        <v>34331.81</v>
      </c>
      <c r="F24" s="34">
        <f>SUM(F15:F23)</f>
        <v>30.044175094699131</v>
      </c>
      <c r="G24" s="33"/>
      <c r="H24" s="18"/>
      <c r="I24" s="18"/>
    </row>
    <row r="25" spans="1:9" x14ac:dyDescent="0.2">
      <c r="A25" s="27"/>
      <c r="B25" s="27"/>
      <c r="C25" s="27"/>
      <c r="D25" s="28"/>
      <c r="E25" s="29"/>
      <c r="F25" s="30"/>
      <c r="G25" s="29"/>
    </row>
    <row r="26" spans="1:9" x14ac:dyDescent="0.2">
      <c r="A26" s="26" t="s">
        <v>794</v>
      </c>
      <c r="B26" s="27"/>
      <c r="C26" s="27"/>
      <c r="D26" s="28"/>
      <c r="E26" s="29"/>
      <c r="F26" s="30"/>
      <c r="G26" s="29"/>
    </row>
    <row r="27" spans="1:9" x14ac:dyDescent="0.2">
      <c r="A27" s="27" t="s">
        <v>856</v>
      </c>
      <c r="B27" s="27" t="s">
        <v>857</v>
      </c>
      <c r="C27" s="27" t="s">
        <v>65</v>
      </c>
      <c r="D27" s="31">
        <v>15000000</v>
      </c>
      <c r="E27" s="29">
        <v>14563.035</v>
      </c>
      <c r="F27" s="30">
        <v>12.7442850653732</v>
      </c>
      <c r="G27" s="29">
        <v>3.7</v>
      </c>
    </row>
    <row r="28" spans="1:9" x14ac:dyDescent="0.2">
      <c r="A28" s="27" t="s">
        <v>801</v>
      </c>
      <c r="B28" s="27" t="s">
        <v>802</v>
      </c>
      <c r="C28" s="27" t="s">
        <v>65</v>
      </c>
      <c r="D28" s="31">
        <v>10000000</v>
      </c>
      <c r="E28" s="29">
        <v>9966.4599999999991</v>
      </c>
      <c r="F28" s="30">
        <v>8.7217676351557092</v>
      </c>
      <c r="G28" s="29">
        <v>3.3197999999999999</v>
      </c>
    </row>
    <row r="29" spans="1:9" x14ac:dyDescent="0.2">
      <c r="A29" s="27" t="s">
        <v>858</v>
      </c>
      <c r="B29" s="27" t="s">
        <v>859</v>
      </c>
      <c r="C29" s="27" t="s">
        <v>65</v>
      </c>
      <c r="D29" s="31">
        <v>10000000</v>
      </c>
      <c r="E29" s="29">
        <v>9703.35</v>
      </c>
      <c r="F29" s="30">
        <v>8.49151694609602</v>
      </c>
      <c r="G29" s="29">
        <v>3.6949999999999998</v>
      </c>
    </row>
    <row r="30" spans="1:9" x14ac:dyDescent="0.2">
      <c r="A30" s="26" t="s">
        <v>35</v>
      </c>
      <c r="B30" s="26"/>
      <c r="C30" s="26"/>
      <c r="D30" s="32"/>
      <c r="E30" s="33">
        <f>SUM(E26:E29)</f>
        <v>34232.845000000001</v>
      </c>
      <c r="F30" s="34">
        <f>SUM(F26:F29)</f>
        <v>29.957569646624929</v>
      </c>
      <c r="G30" s="33"/>
      <c r="H30" s="18"/>
      <c r="I30" s="18"/>
    </row>
    <row r="31" spans="1:9" x14ac:dyDescent="0.2">
      <c r="A31" s="27"/>
      <c r="B31" s="27"/>
      <c r="C31" s="27"/>
      <c r="D31" s="28"/>
      <c r="E31" s="29"/>
      <c r="F31" s="30"/>
      <c r="G31" s="29"/>
    </row>
    <row r="32" spans="1:9" x14ac:dyDescent="0.2">
      <c r="A32" s="26" t="s">
        <v>62</v>
      </c>
      <c r="B32" s="27"/>
      <c r="C32" s="27"/>
      <c r="D32" s="28"/>
      <c r="E32" s="29"/>
      <c r="F32" s="30"/>
      <c r="G32" s="29"/>
    </row>
    <row r="33" spans="1:9" x14ac:dyDescent="0.2">
      <c r="A33" s="27" t="s">
        <v>64</v>
      </c>
      <c r="B33" s="27" t="s">
        <v>63</v>
      </c>
      <c r="C33" s="27" t="s">
        <v>65</v>
      </c>
      <c r="D33" s="31">
        <v>10000000</v>
      </c>
      <c r="E33" s="29">
        <v>10306.16</v>
      </c>
      <c r="F33" s="30">
        <v>9.0190431437778695</v>
      </c>
      <c r="G33" s="29">
        <v>3.7492000000000001</v>
      </c>
    </row>
    <row r="34" spans="1:9" x14ac:dyDescent="0.2">
      <c r="A34" s="27" t="s">
        <v>860</v>
      </c>
      <c r="B34" s="27" t="s">
        <v>861</v>
      </c>
      <c r="C34" s="27" t="s">
        <v>65</v>
      </c>
      <c r="D34" s="31">
        <v>5000000</v>
      </c>
      <c r="E34" s="29">
        <v>5109.1099999999997</v>
      </c>
      <c r="F34" s="30">
        <v>4.4710429021388096</v>
      </c>
      <c r="G34" s="29">
        <v>3.6661999999999999</v>
      </c>
    </row>
    <row r="35" spans="1:9" x14ac:dyDescent="0.2">
      <c r="A35" s="26" t="s">
        <v>35</v>
      </c>
      <c r="B35" s="26"/>
      <c r="C35" s="26"/>
      <c r="D35" s="32"/>
      <c r="E35" s="33">
        <f>SUM(E33:E34)</f>
        <v>15415.27</v>
      </c>
      <c r="F35" s="34">
        <f>SUM(F33:F34)</f>
        <v>13.49008604591668</v>
      </c>
      <c r="G35" s="33"/>
      <c r="H35" s="18"/>
      <c r="I35" s="18"/>
    </row>
    <row r="36" spans="1:9" x14ac:dyDescent="0.2">
      <c r="A36" s="27"/>
      <c r="B36" s="27"/>
      <c r="C36" s="27"/>
      <c r="D36" s="28"/>
      <c r="E36" s="29"/>
      <c r="F36" s="30"/>
      <c r="G36" s="29"/>
    </row>
    <row r="37" spans="1:9" x14ac:dyDescent="0.2">
      <c r="A37" s="26" t="s">
        <v>38</v>
      </c>
      <c r="B37" s="26"/>
      <c r="C37" s="26"/>
      <c r="D37" s="32"/>
      <c r="E37" s="33">
        <f>E13+E24+E30+E35</f>
        <v>108464.63499999999</v>
      </c>
      <c r="F37" s="34">
        <f>F13+F24+F30+F35</f>
        <v>94.918691601830218</v>
      </c>
      <c r="G37" s="33"/>
      <c r="H37" s="18"/>
      <c r="I37" s="18"/>
    </row>
    <row r="38" spans="1:9" x14ac:dyDescent="0.2">
      <c r="A38" s="26"/>
      <c r="B38" s="26"/>
      <c r="C38" s="26"/>
      <c r="D38" s="32"/>
      <c r="E38" s="33"/>
      <c r="F38" s="34"/>
      <c r="G38" s="33"/>
      <c r="H38" s="18"/>
      <c r="I38" s="18"/>
    </row>
    <row r="39" spans="1:9" x14ac:dyDescent="0.2">
      <c r="A39" s="26" t="s">
        <v>40</v>
      </c>
      <c r="B39" s="26"/>
      <c r="C39" s="26"/>
      <c r="D39" s="32"/>
      <c r="E39" s="33">
        <f>E41-(E13+E24+E30+E35)</f>
        <v>5806.4671081000124</v>
      </c>
      <c r="F39" s="34">
        <f>F41-(F13+F24+F30+F35)</f>
        <v>5.0813083981697815</v>
      </c>
      <c r="G39" s="33"/>
      <c r="H39" s="18"/>
      <c r="I39" s="18"/>
    </row>
    <row r="40" spans="1:9" x14ac:dyDescent="0.2">
      <c r="A40" s="26"/>
      <c r="B40" s="26"/>
      <c r="C40" s="26"/>
      <c r="D40" s="32"/>
      <c r="E40" s="33"/>
      <c r="F40" s="34"/>
      <c r="G40" s="33"/>
      <c r="H40" s="18"/>
      <c r="I40" s="18"/>
    </row>
    <row r="41" spans="1:9" x14ac:dyDescent="0.2">
      <c r="A41" s="35" t="s">
        <v>39</v>
      </c>
      <c r="B41" s="35"/>
      <c r="C41" s="35"/>
      <c r="D41" s="36"/>
      <c r="E41" s="37">
        <v>114271.10210810001</v>
      </c>
      <c r="F41" s="38">
        <v>100</v>
      </c>
      <c r="G41" s="37"/>
      <c r="H41" s="18"/>
      <c r="I41" s="18"/>
    </row>
    <row r="43" spans="1:9" x14ac:dyDescent="0.2">
      <c r="A43" s="18" t="s">
        <v>66</v>
      </c>
    </row>
    <row r="44" spans="1:9" x14ac:dyDescent="0.2">
      <c r="A44" s="18" t="s">
        <v>41</v>
      </c>
    </row>
    <row r="46" spans="1:9" x14ac:dyDescent="0.2">
      <c r="A46" s="18" t="s">
        <v>42</v>
      </c>
    </row>
    <row r="47" spans="1:9" x14ac:dyDescent="0.2">
      <c r="A47" s="18" t="s">
        <v>43</v>
      </c>
    </row>
    <row r="48" spans="1:9" x14ac:dyDescent="0.2">
      <c r="A48" s="18" t="s">
        <v>44</v>
      </c>
      <c r="B48" s="18"/>
      <c r="C48" s="39" t="s">
        <v>46</v>
      </c>
      <c r="D48" s="19" t="s">
        <v>45</v>
      </c>
    </row>
    <row r="49" spans="1:4" x14ac:dyDescent="0.2">
      <c r="A49" s="9" t="s">
        <v>862</v>
      </c>
      <c r="C49" s="40">
        <v>38.500900000000001</v>
      </c>
      <c r="D49" s="40">
        <v>39.170999999999999</v>
      </c>
    </row>
    <row r="50" spans="1:4" x14ac:dyDescent="0.2">
      <c r="A50" s="9" t="s">
        <v>863</v>
      </c>
      <c r="C50" s="40">
        <v>10.110799999999999</v>
      </c>
      <c r="D50" s="40">
        <v>10.1088</v>
      </c>
    </row>
    <row r="51" spans="1:4" x14ac:dyDescent="0.2">
      <c r="A51" s="9" t="s">
        <v>864</v>
      </c>
      <c r="C51" s="40">
        <v>10.1661</v>
      </c>
      <c r="D51" s="40">
        <v>10.1311</v>
      </c>
    </row>
    <row r="52" spans="1:4" x14ac:dyDescent="0.2">
      <c r="A52" s="9" t="s">
        <v>865</v>
      </c>
      <c r="C52" s="40">
        <v>10.798400000000001</v>
      </c>
      <c r="D52" s="40">
        <v>10.5412</v>
      </c>
    </row>
    <row r="53" spans="1:4" x14ac:dyDescent="0.2">
      <c r="A53" s="9" t="s">
        <v>866</v>
      </c>
      <c r="C53" s="40">
        <v>39.489899999999999</v>
      </c>
      <c r="D53" s="40">
        <v>40.208599999999997</v>
      </c>
    </row>
    <row r="54" spans="1:4" x14ac:dyDescent="0.2">
      <c r="A54" s="9" t="s">
        <v>867</v>
      </c>
      <c r="C54" s="40">
        <v>10.1205</v>
      </c>
      <c r="D54" s="40">
        <v>10.1187</v>
      </c>
    </row>
    <row r="55" spans="1:4" x14ac:dyDescent="0.2">
      <c r="A55" s="9" t="s">
        <v>868</v>
      </c>
      <c r="C55" s="40">
        <v>10.5032</v>
      </c>
      <c r="D55" s="40">
        <v>10.482200000000001</v>
      </c>
    </row>
    <row r="56" spans="1:4" x14ac:dyDescent="0.2">
      <c r="A56" s="9" t="s">
        <v>869</v>
      </c>
      <c r="C56" s="40">
        <v>11.1844</v>
      </c>
      <c r="D56" s="40">
        <v>10.942399999999999</v>
      </c>
    </row>
    <row r="58" spans="1:4" x14ac:dyDescent="0.2">
      <c r="A58" s="18" t="s">
        <v>48</v>
      </c>
    </row>
    <row r="59" spans="1:4" x14ac:dyDescent="0.2">
      <c r="A59" s="77" t="s">
        <v>67</v>
      </c>
      <c r="B59" s="78"/>
      <c r="C59" s="44" t="s">
        <v>68</v>
      </c>
    </row>
    <row r="60" spans="1:4" x14ac:dyDescent="0.2">
      <c r="A60" s="73" t="s">
        <v>863</v>
      </c>
      <c r="B60" s="74"/>
      <c r="C60" s="45">
        <v>0.1764971518</v>
      </c>
    </row>
    <row r="61" spans="1:4" x14ac:dyDescent="0.2">
      <c r="A61" s="73" t="s">
        <v>864</v>
      </c>
      <c r="B61" s="74"/>
      <c r="C61" s="45">
        <v>0.21</v>
      </c>
    </row>
    <row r="62" spans="1:4" x14ac:dyDescent="0.2">
      <c r="A62" s="73" t="s">
        <v>865</v>
      </c>
      <c r="B62" s="74"/>
      <c r="C62" s="45">
        <v>0.44</v>
      </c>
    </row>
    <row r="63" spans="1:4" x14ac:dyDescent="0.2">
      <c r="A63" s="73" t="s">
        <v>867</v>
      </c>
      <c r="B63" s="74"/>
      <c r="C63" s="45">
        <v>0.1841902554</v>
      </c>
    </row>
    <row r="64" spans="1:4" x14ac:dyDescent="0.2">
      <c r="A64" s="73" t="s">
        <v>868</v>
      </c>
      <c r="B64" s="74"/>
      <c r="C64" s="45">
        <v>0.21</v>
      </c>
    </row>
    <row r="65" spans="1:7" x14ac:dyDescent="0.2">
      <c r="A65" s="73" t="s">
        <v>869</v>
      </c>
      <c r="B65" s="74"/>
      <c r="C65" s="45">
        <v>0.44</v>
      </c>
    </row>
    <row r="66" spans="1:7" x14ac:dyDescent="0.2">
      <c r="A66" s="9" t="s">
        <v>69</v>
      </c>
    </row>
    <row r="67" spans="1:7" x14ac:dyDescent="0.2">
      <c r="A67" s="9" t="s">
        <v>47</v>
      </c>
    </row>
    <row r="69" spans="1:7" x14ac:dyDescent="0.2">
      <c r="A69" s="18" t="s">
        <v>824</v>
      </c>
      <c r="D69" s="42">
        <v>0.55694230145205503</v>
      </c>
      <c r="E69" s="13" t="s">
        <v>50</v>
      </c>
    </row>
    <row r="71" spans="1:7" x14ac:dyDescent="0.2">
      <c r="A71" s="18" t="s">
        <v>732</v>
      </c>
      <c r="D71" s="41" t="s">
        <v>49</v>
      </c>
    </row>
    <row r="73" spans="1:7" ht="14.4" x14ac:dyDescent="0.2">
      <c r="A73" s="79" t="s">
        <v>825</v>
      </c>
      <c r="B73" s="80"/>
      <c r="C73" s="80"/>
      <c r="D73" s="80"/>
      <c r="E73" s="80"/>
      <c r="F73" s="80"/>
      <c r="G73" s="80"/>
    </row>
    <row r="74" spans="1:7" x14ac:dyDescent="0.2">
      <c r="A74" s="47" t="s">
        <v>51</v>
      </c>
    </row>
    <row r="76" spans="1:7" x14ac:dyDescent="0.2">
      <c r="A76" s="47"/>
    </row>
  </sheetData>
  <mergeCells count="9">
    <mergeCell ref="A64:B64"/>
    <mergeCell ref="A65:B65"/>
    <mergeCell ref="A73:G73"/>
    <mergeCell ref="A1:G1"/>
    <mergeCell ref="A59:B59"/>
    <mergeCell ref="A60:B60"/>
    <mergeCell ref="A61:B61"/>
    <mergeCell ref="A62:B62"/>
    <mergeCell ref="A63:B63"/>
  </mergeCells>
  <conditionalFormatting sqref="F2:F3 F5:F72 F77:F65536">
    <cfRule type="cellIs" dxfId="147" priority="3" stopIfTrue="1" operator="between">
      <formula>0.009</formula>
      <formula>-0.009</formula>
    </cfRule>
  </conditionalFormatting>
  <conditionalFormatting sqref="F75:F76">
    <cfRule type="cellIs" dxfId="146" priority="2" stopIfTrue="1" operator="between">
      <formula>0.009</formula>
      <formula>-0.009</formula>
    </cfRule>
  </conditionalFormatting>
  <conditionalFormatting sqref="F74">
    <cfRule type="cellIs" dxfId="145" priority="1" stopIfTrue="1" operator="between">
      <formula>0.009</formula>
      <formula>-0.009</formula>
    </cfRule>
  </conditionalFormatting>
  <hyperlinks>
    <hyperlink ref="A74" r:id="rId1"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64"/>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870</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871</v>
      </c>
      <c r="B7" s="27" t="s">
        <v>872</v>
      </c>
      <c r="C7" s="27" t="s">
        <v>34</v>
      </c>
      <c r="D7" s="31">
        <v>250</v>
      </c>
      <c r="E7" s="29">
        <v>2576.4324999999999</v>
      </c>
      <c r="F7" s="30">
        <v>8.2321381995300893</v>
      </c>
      <c r="G7" s="29">
        <v>4.4450000000000003</v>
      </c>
    </row>
    <row r="8" spans="1:9" x14ac:dyDescent="0.2">
      <c r="A8" s="27" t="s">
        <v>873</v>
      </c>
      <c r="B8" s="27" t="s">
        <v>874</v>
      </c>
      <c r="C8" s="27" t="s">
        <v>875</v>
      </c>
      <c r="D8" s="31">
        <v>250</v>
      </c>
      <c r="E8" s="29">
        <v>2537.4299999999998</v>
      </c>
      <c r="F8" s="30">
        <v>8.1075186063029605</v>
      </c>
      <c r="G8" s="29">
        <v>5.8650000000000002</v>
      </c>
    </row>
    <row r="9" spans="1:9" x14ac:dyDescent="0.2">
      <c r="A9" s="27" t="s">
        <v>876</v>
      </c>
      <c r="B9" s="27" t="s">
        <v>877</v>
      </c>
      <c r="C9" s="27" t="s">
        <v>34</v>
      </c>
      <c r="D9" s="31">
        <v>250</v>
      </c>
      <c r="E9" s="29">
        <v>2504.1374999999998</v>
      </c>
      <c r="F9" s="30">
        <v>8.0011434301600293</v>
      </c>
      <c r="G9" s="29">
        <v>3.6749999999999998</v>
      </c>
    </row>
    <row r="10" spans="1:9" x14ac:dyDescent="0.2">
      <c r="A10" s="27" t="s">
        <v>878</v>
      </c>
      <c r="B10" s="27" t="s">
        <v>879</v>
      </c>
      <c r="C10" s="27" t="s">
        <v>880</v>
      </c>
      <c r="D10" s="31">
        <v>100</v>
      </c>
      <c r="E10" s="29">
        <v>1043.711</v>
      </c>
      <c r="F10" s="30">
        <v>3.33483341495256</v>
      </c>
      <c r="G10" s="29">
        <v>3.9653</v>
      </c>
    </row>
    <row r="11" spans="1:9" x14ac:dyDescent="0.2">
      <c r="A11" s="27" t="s">
        <v>93</v>
      </c>
      <c r="B11" s="27" t="s">
        <v>92</v>
      </c>
      <c r="C11" s="27" t="s">
        <v>33</v>
      </c>
      <c r="D11" s="31">
        <v>100</v>
      </c>
      <c r="E11" s="29">
        <v>1010.208</v>
      </c>
      <c r="F11" s="30">
        <v>3.2277856556579301</v>
      </c>
      <c r="G11" s="29">
        <v>8.7149999999999999</v>
      </c>
    </row>
    <row r="12" spans="1:9" x14ac:dyDescent="0.2">
      <c r="A12" s="27" t="s">
        <v>881</v>
      </c>
      <c r="B12" s="27" t="s">
        <v>882</v>
      </c>
      <c r="C12" s="27" t="s">
        <v>883</v>
      </c>
      <c r="D12" s="31">
        <v>100</v>
      </c>
      <c r="E12" s="29">
        <v>1007.686</v>
      </c>
      <c r="F12" s="30">
        <v>3.2197274385149499</v>
      </c>
      <c r="G12" s="29">
        <v>11.9078</v>
      </c>
    </row>
    <row r="13" spans="1:9" x14ac:dyDescent="0.2">
      <c r="A13" s="26" t="s">
        <v>35</v>
      </c>
      <c r="B13" s="26"/>
      <c r="C13" s="26"/>
      <c r="D13" s="32"/>
      <c r="E13" s="33">
        <f>SUM(E6:E12)</f>
        <v>10679.605</v>
      </c>
      <c r="F13" s="34">
        <f>SUM(F6:F12)</f>
        <v>34.123146745118518</v>
      </c>
      <c r="G13" s="33"/>
      <c r="H13" s="18"/>
      <c r="I13" s="18"/>
    </row>
    <row r="14" spans="1:9" x14ac:dyDescent="0.2">
      <c r="A14" s="27"/>
      <c r="B14" s="27"/>
      <c r="C14" s="27"/>
      <c r="D14" s="28"/>
      <c r="E14" s="29"/>
      <c r="F14" s="30"/>
      <c r="G14" s="29"/>
    </row>
    <row r="15" spans="1:9" x14ac:dyDescent="0.2">
      <c r="A15" s="26" t="s">
        <v>52</v>
      </c>
      <c r="B15" s="27"/>
      <c r="C15" s="27"/>
      <c r="D15" s="28"/>
      <c r="E15" s="29"/>
      <c r="F15" s="30"/>
      <c r="G15" s="29"/>
    </row>
    <row r="16" spans="1:9" x14ac:dyDescent="0.2">
      <c r="A16" s="26" t="s">
        <v>53</v>
      </c>
      <c r="B16" s="27"/>
      <c r="C16" s="27"/>
      <c r="D16" s="28"/>
      <c r="E16" s="29"/>
      <c r="F16" s="30"/>
      <c r="G16" s="29"/>
    </row>
    <row r="17" spans="1:9" x14ac:dyDescent="0.2">
      <c r="A17" s="27" t="s">
        <v>836</v>
      </c>
      <c r="B17" s="27" t="s">
        <v>837</v>
      </c>
      <c r="C17" s="27" t="s">
        <v>54</v>
      </c>
      <c r="D17" s="31">
        <v>1500</v>
      </c>
      <c r="E17" s="29">
        <v>1458.876</v>
      </c>
      <c r="F17" s="30">
        <v>4.6613559051043101</v>
      </c>
      <c r="G17" s="29">
        <v>3.8249</v>
      </c>
    </row>
    <row r="18" spans="1:9" x14ac:dyDescent="0.2">
      <c r="A18" s="27" t="s">
        <v>832</v>
      </c>
      <c r="B18" s="27" t="s">
        <v>833</v>
      </c>
      <c r="C18" s="27" t="s">
        <v>54</v>
      </c>
      <c r="D18" s="31">
        <v>1000</v>
      </c>
      <c r="E18" s="29">
        <v>999.78399999999999</v>
      </c>
      <c r="F18" s="30">
        <v>3.1944792101788</v>
      </c>
      <c r="G18" s="29">
        <v>3.8250000000000002</v>
      </c>
    </row>
    <row r="19" spans="1:9" x14ac:dyDescent="0.2">
      <c r="A19" s="26" t="s">
        <v>35</v>
      </c>
      <c r="B19" s="26"/>
      <c r="C19" s="26"/>
      <c r="D19" s="32"/>
      <c r="E19" s="33">
        <f>SUM(E16:E18)</f>
        <v>2458.66</v>
      </c>
      <c r="F19" s="34">
        <f>SUM(F16:F18)</f>
        <v>7.8558351152831101</v>
      </c>
      <c r="G19" s="33"/>
      <c r="H19" s="18"/>
      <c r="I19" s="18"/>
    </row>
    <row r="20" spans="1:9" x14ac:dyDescent="0.2">
      <c r="A20" s="27"/>
      <c r="B20" s="27"/>
      <c r="C20" s="27"/>
      <c r="D20" s="28"/>
      <c r="E20" s="29"/>
      <c r="F20" s="30"/>
      <c r="G20" s="29"/>
    </row>
    <row r="21" spans="1:9" x14ac:dyDescent="0.2">
      <c r="A21" s="26" t="s">
        <v>794</v>
      </c>
      <c r="B21" s="27"/>
      <c r="C21" s="27"/>
      <c r="D21" s="28"/>
      <c r="E21" s="29"/>
      <c r="F21" s="30"/>
      <c r="G21" s="29"/>
    </row>
    <row r="22" spans="1:9" x14ac:dyDescent="0.2">
      <c r="A22" s="27" t="s">
        <v>884</v>
      </c>
      <c r="B22" s="27" t="s">
        <v>885</v>
      </c>
      <c r="C22" s="27" t="s">
        <v>65</v>
      </c>
      <c r="D22" s="31">
        <v>2500000</v>
      </c>
      <c r="E22" s="29">
        <v>2430.3724999999999</v>
      </c>
      <c r="F22" s="30">
        <v>7.7654517618208301</v>
      </c>
      <c r="G22" s="29">
        <v>3.6949999999999998</v>
      </c>
    </row>
    <row r="23" spans="1:9" x14ac:dyDescent="0.2">
      <c r="A23" s="26" t="s">
        <v>35</v>
      </c>
      <c r="B23" s="26"/>
      <c r="C23" s="26"/>
      <c r="D23" s="32"/>
      <c r="E23" s="33">
        <f>SUM(E21:E22)</f>
        <v>2430.3724999999999</v>
      </c>
      <c r="F23" s="34">
        <f>SUM(F21:F22)</f>
        <v>7.7654517618208301</v>
      </c>
      <c r="G23" s="33"/>
      <c r="H23" s="18"/>
      <c r="I23" s="18"/>
    </row>
    <row r="24" spans="1:9" x14ac:dyDescent="0.2">
      <c r="A24" s="27"/>
      <c r="B24" s="27"/>
      <c r="C24" s="27"/>
      <c r="D24" s="28"/>
      <c r="E24" s="29"/>
      <c r="F24" s="30"/>
      <c r="G24" s="29"/>
    </row>
    <row r="25" spans="1:9" x14ac:dyDescent="0.2">
      <c r="A25" s="26" t="s">
        <v>62</v>
      </c>
      <c r="B25" s="27"/>
      <c r="C25" s="27"/>
      <c r="D25" s="28"/>
      <c r="E25" s="29"/>
      <c r="F25" s="30"/>
      <c r="G25" s="29"/>
    </row>
    <row r="26" spans="1:9" x14ac:dyDescent="0.2">
      <c r="A26" s="27" t="s">
        <v>886</v>
      </c>
      <c r="B26" s="27" t="s">
        <v>887</v>
      </c>
      <c r="C26" s="27" t="s">
        <v>65</v>
      </c>
      <c r="D26" s="31">
        <v>6500000</v>
      </c>
      <c r="E26" s="29">
        <v>6412.5294999999996</v>
      </c>
      <c r="F26" s="30">
        <v>20.4891178218578</v>
      </c>
      <c r="G26" s="29">
        <v>3.9322205027394799</v>
      </c>
    </row>
    <row r="27" spans="1:9" x14ac:dyDescent="0.2">
      <c r="A27" s="27" t="s">
        <v>888</v>
      </c>
      <c r="B27" s="27" t="s">
        <v>889</v>
      </c>
      <c r="C27" s="27" t="s">
        <v>65</v>
      </c>
      <c r="D27" s="31">
        <v>3000000</v>
      </c>
      <c r="E27" s="29">
        <v>3020.1030000000001</v>
      </c>
      <c r="F27" s="30">
        <v>9.6497405900660809</v>
      </c>
      <c r="G27" s="29">
        <v>4.2103941008060604</v>
      </c>
    </row>
    <row r="28" spans="1:9" x14ac:dyDescent="0.2">
      <c r="A28" s="27" t="s">
        <v>890</v>
      </c>
      <c r="B28" s="27" t="s">
        <v>891</v>
      </c>
      <c r="C28" s="27" t="s">
        <v>65</v>
      </c>
      <c r="D28" s="31">
        <v>2000000</v>
      </c>
      <c r="E28" s="29">
        <v>2082.8000000000002</v>
      </c>
      <c r="F28" s="30">
        <v>6.6548987570919396</v>
      </c>
      <c r="G28" s="29">
        <v>3.8784000000000001</v>
      </c>
    </row>
    <row r="29" spans="1:9" x14ac:dyDescent="0.2">
      <c r="A29" s="27" t="s">
        <v>892</v>
      </c>
      <c r="B29" s="27" t="s">
        <v>893</v>
      </c>
      <c r="C29" s="27" t="s">
        <v>65</v>
      </c>
      <c r="D29" s="31">
        <v>1000000</v>
      </c>
      <c r="E29" s="29">
        <v>1000.2</v>
      </c>
      <c r="F29" s="30">
        <v>3.1958084006353702</v>
      </c>
      <c r="G29" s="29">
        <v>4.4696999999999996</v>
      </c>
    </row>
    <row r="30" spans="1:9" x14ac:dyDescent="0.2">
      <c r="A30" s="27" t="s">
        <v>894</v>
      </c>
      <c r="B30" s="27" t="s">
        <v>895</v>
      </c>
      <c r="C30" s="27" t="s">
        <v>65</v>
      </c>
      <c r="D30" s="31">
        <v>1000000</v>
      </c>
      <c r="E30" s="29">
        <v>991.20100000000002</v>
      </c>
      <c r="F30" s="30">
        <v>3.1670550715038801</v>
      </c>
      <c r="G30" s="29">
        <v>4.79476173403269</v>
      </c>
    </row>
    <row r="31" spans="1:9" x14ac:dyDescent="0.2">
      <c r="A31" s="27" t="s">
        <v>896</v>
      </c>
      <c r="B31" s="27" t="s">
        <v>897</v>
      </c>
      <c r="C31" s="27" t="s">
        <v>65</v>
      </c>
      <c r="D31" s="31">
        <v>500000</v>
      </c>
      <c r="E31" s="29">
        <v>520.20000000000005</v>
      </c>
      <c r="F31" s="30">
        <v>1.6621271045896</v>
      </c>
      <c r="G31" s="29">
        <v>4.1205999999999996</v>
      </c>
    </row>
    <row r="32" spans="1:9" x14ac:dyDescent="0.2">
      <c r="A32" s="26" t="s">
        <v>35</v>
      </c>
      <c r="B32" s="26"/>
      <c r="C32" s="26"/>
      <c r="D32" s="32"/>
      <c r="E32" s="33">
        <f>SUM(E26:E31)</f>
        <v>14027.033500000001</v>
      </c>
      <c r="F32" s="34">
        <f>SUM(F26:F31)</f>
        <v>44.818747745744673</v>
      </c>
      <c r="G32" s="33"/>
      <c r="H32" s="18"/>
      <c r="I32" s="18"/>
    </row>
    <row r="33" spans="1:9" x14ac:dyDescent="0.2">
      <c r="A33" s="27"/>
      <c r="B33" s="27"/>
      <c r="C33" s="27"/>
      <c r="D33" s="28"/>
      <c r="E33" s="29"/>
      <c r="F33" s="30"/>
      <c r="G33" s="29"/>
    </row>
    <row r="34" spans="1:9" x14ac:dyDescent="0.2">
      <c r="A34" s="26" t="s">
        <v>38</v>
      </c>
      <c r="B34" s="26"/>
      <c r="C34" s="26"/>
      <c r="D34" s="32"/>
      <c r="E34" s="33">
        <f>E13+E19+E23+E32</f>
        <v>29595.671000000002</v>
      </c>
      <c r="F34" s="34">
        <f>F13+F19+F23+F32</f>
        <v>94.563181367967132</v>
      </c>
      <c r="G34" s="33"/>
      <c r="H34" s="18"/>
      <c r="I34" s="18"/>
    </row>
    <row r="35" spans="1:9" x14ac:dyDescent="0.2">
      <c r="A35" s="26"/>
      <c r="B35" s="26"/>
      <c r="C35" s="26"/>
      <c r="D35" s="32"/>
      <c r="E35" s="33"/>
      <c r="F35" s="34"/>
      <c r="G35" s="33"/>
      <c r="H35" s="18"/>
      <c r="I35" s="18"/>
    </row>
    <row r="36" spans="1:9" x14ac:dyDescent="0.2">
      <c r="A36" s="26" t="s">
        <v>40</v>
      </c>
      <c r="B36" s="26"/>
      <c r="C36" s="26"/>
      <c r="D36" s="32"/>
      <c r="E36" s="33">
        <f>E38-(E13+E19+E23+E32)</f>
        <v>1701.5744731999985</v>
      </c>
      <c r="F36" s="34">
        <f>F38-(F13+F19+F23+F32)</f>
        <v>5.4368186320328675</v>
      </c>
      <c r="G36" s="33"/>
      <c r="H36" s="18"/>
      <c r="I36" s="18"/>
    </row>
    <row r="37" spans="1:9" x14ac:dyDescent="0.2">
      <c r="A37" s="26"/>
      <c r="B37" s="26"/>
      <c r="C37" s="26"/>
      <c r="D37" s="32"/>
      <c r="E37" s="33"/>
      <c r="F37" s="34"/>
      <c r="G37" s="33"/>
      <c r="H37" s="18"/>
      <c r="I37" s="18"/>
    </row>
    <row r="38" spans="1:9" x14ac:dyDescent="0.2">
      <c r="A38" s="35" t="s">
        <v>39</v>
      </c>
      <c r="B38" s="35"/>
      <c r="C38" s="35"/>
      <c r="D38" s="36"/>
      <c r="E38" s="37">
        <v>31297.245473200001</v>
      </c>
      <c r="F38" s="38">
        <v>100</v>
      </c>
      <c r="G38" s="37"/>
      <c r="H38" s="18"/>
      <c r="I38" s="18"/>
    </row>
    <row r="40" spans="1:9" x14ac:dyDescent="0.2">
      <c r="A40" s="18" t="s">
        <v>41</v>
      </c>
    </row>
    <row r="42" spans="1:9" x14ac:dyDescent="0.2">
      <c r="A42" s="18" t="s">
        <v>42</v>
      </c>
    </row>
    <row r="43" spans="1:9" x14ac:dyDescent="0.2">
      <c r="A43" s="18" t="s">
        <v>43</v>
      </c>
    </row>
    <row r="44" spans="1:9" x14ac:dyDescent="0.2">
      <c r="A44" s="18" t="s">
        <v>44</v>
      </c>
      <c r="B44" s="18"/>
      <c r="C44" s="39" t="s">
        <v>46</v>
      </c>
      <c r="D44" s="19" t="s">
        <v>45</v>
      </c>
    </row>
    <row r="45" spans="1:9" x14ac:dyDescent="0.2">
      <c r="A45" s="9" t="s">
        <v>70</v>
      </c>
      <c r="C45" s="40">
        <v>31.026700000000002</v>
      </c>
      <c r="D45" s="40">
        <v>31.6083</v>
      </c>
    </row>
    <row r="46" spans="1:9" x14ac:dyDescent="0.2">
      <c r="A46" s="9" t="s">
        <v>827</v>
      </c>
      <c r="C46" s="40">
        <v>10.1655</v>
      </c>
      <c r="D46" s="40">
        <v>10.1549</v>
      </c>
    </row>
    <row r="47" spans="1:9" x14ac:dyDescent="0.2">
      <c r="A47" s="9" t="s">
        <v>73</v>
      </c>
      <c r="C47" s="40">
        <v>32.798900000000003</v>
      </c>
      <c r="D47" s="40">
        <v>33.519100000000002</v>
      </c>
    </row>
    <row r="48" spans="1:9" x14ac:dyDescent="0.2">
      <c r="A48" s="9" t="s">
        <v>829</v>
      </c>
      <c r="C48" s="40">
        <v>10.0663</v>
      </c>
      <c r="D48" s="40">
        <v>10.0558</v>
      </c>
    </row>
    <row r="50" spans="1:7" x14ac:dyDescent="0.2">
      <c r="A50" s="18" t="s">
        <v>48</v>
      </c>
    </row>
    <row r="51" spans="1:7" x14ac:dyDescent="0.2">
      <c r="A51" s="77" t="s">
        <v>67</v>
      </c>
      <c r="B51" s="78"/>
      <c r="C51" s="44" t="s">
        <v>68</v>
      </c>
    </row>
    <row r="52" spans="1:7" x14ac:dyDescent="0.2">
      <c r="A52" s="73" t="s">
        <v>827</v>
      </c>
      <c r="B52" s="74"/>
      <c r="C52" s="45">
        <v>0.19923359369999999</v>
      </c>
    </row>
    <row r="53" spans="1:7" x14ac:dyDescent="0.2">
      <c r="A53" s="73" t="s">
        <v>829</v>
      </c>
      <c r="B53" s="74"/>
      <c r="C53" s="45">
        <v>0.22653859600000001</v>
      </c>
    </row>
    <row r="54" spans="1:7" x14ac:dyDescent="0.2">
      <c r="A54" s="9" t="s">
        <v>69</v>
      </c>
    </row>
    <row r="55" spans="1:7" x14ac:dyDescent="0.2">
      <c r="A55" s="9" t="s">
        <v>47</v>
      </c>
    </row>
    <row r="57" spans="1:7" x14ac:dyDescent="0.2">
      <c r="A57" s="18" t="s">
        <v>824</v>
      </c>
      <c r="D57" s="42">
        <v>2.8434091004931501</v>
      </c>
      <c r="E57" s="13" t="s">
        <v>50</v>
      </c>
    </row>
    <row r="59" spans="1:7" x14ac:dyDescent="0.2">
      <c r="A59" s="18" t="s">
        <v>732</v>
      </c>
      <c r="D59" s="41" t="s">
        <v>49</v>
      </c>
    </row>
    <row r="61" spans="1:7" ht="14.4" x14ac:dyDescent="0.2">
      <c r="A61" s="79" t="s">
        <v>825</v>
      </c>
      <c r="B61" s="80"/>
      <c r="C61" s="80"/>
      <c r="D61" s="80"/>
      <c r="E61" s="80"/>
      <c r="F61" s="80"/>
      <c r="G61" s="80"/>
    </row>
    <row r="62" spans="1:7" x14ac:dyDescent="0.2">
      <c r="A62" s="47" t="s">
        <v>51</v>
      </c>
    </row>
    <row r="64" spans="1:7" x14ac:dyDescent="0.2">
      <c r="A64" s="47"/>
    </row>
  </sheetData>
  <mergeCells count="5">
    <mergeCell ref="A1:G1"/>
    <mergeCell ref="A51:B51"/>
    <mergeCell ref="A52:B52"/>
    <mergeCell ref="A53:B53"/>
    <mergeCell ref="A61:G61"/>
  </mergeCells>
  <conditionalFormatting sqref="F2:F3 F5:F60 F65:F65536">
    <cfRule type="cellIs" dxfId="144" priority="3" stopIfTrue="1" operator="between">
      <formula>0.009</formula>
      <formula>-0.009</formula>
    </cfRule>
  </conditionalFormatting>
  <conditionalFormatting sqref="F63:F64">
    <cfRule type="cellIs" dxfId="143" priority="2" stopIfTrue="1" operator="between">
      <formula>0.009</formula>
      <formula>-0.009</formula>
    </cfRule>
  </conditionalFormatting>
  <conditionalFormatting sqref="F62">
    <cfRule type="cellIs" dxfId="142" priority="1" stopIfTrue="1" operator="between">
      <formula>0.009</formula>
      <formula>-0.009</formula>
    </cfRule>
  </conditionalFormatting>
  <hyperlinks>
    <hyperlink ref="A62" r:id="rId1" xr:uid="{00000000-0004-0000-0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898</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899</v>
      </c>
      <c r="B7" s="27" t="s">
        <v>900</v>
      </c>
      <c r="C7" s="27" t="s">
        <v>901</v>
      </c>
      <c r="D7" s="31">
        <v>550</v>
      </c>
      <c r="E7" s="29">
        <v>5870.4634999999998</v>
      </c>
      <c r="F7" s="30">
        <v>6.8333139017705902</v>
      </c>
      <c r="G7" s="29">
        <v>4.6276999999999999</v>
      </c>
    </row>
    <row r="8" spans="1:7" x14ac:dyDescent="0.2">
      <c r="A8" s="27" t="s">
        <v>902</v>
      </c>
      <c r="B8" s="27" t="s">
        <v>903</v>
      </c>
      <c r="C8" s="27" t="s">
        <v>34</v>
      </c>
      <c r="D8" s="31">
        <v>500</v>
      </c>
      <c r="E8" s="29">
        <v>5326.0349999999999</v>
      </c>
      <c r="F8" s="30">
        <v>6.1995903742211702</v>
      </c>
      <c r="G8" s="29">
        <v>4.99</v>
      </c>
    </row>
    <row r="9" spans="1:7" x14ac:dyDescent="0.2">
      <c r="A9" s="27" t="s">
        <v>904</v>
      </c>
      <c r="B9" s="27" t="s">
        <v>905</v>
      </c>
      <c r="C9" s="27" t="s">
        <v>34</v>
      </c>
      <c r="D9" s="31">
        <v>500</v>
      </c>
      <c r="E9" s="29">
        <v>5077.6850000000004</v>
      </c>
      <c r="F9" s="30">
        <v>5.9105069811458701</v>
      </c>
      <c r="G9" s="29">
        <v>3.96</v>
      </c>
    </row>
    <row r="10" spans="1:7" x14ac:dyDescent="0.2">
      <c r="A10" s="27" t="s">
        <v>906</v>
      </c>
      <c r="B10" s="27" t="s">
        <v>907</v>
      </c>
      <c r="C10" s="27" t="s">
        <v>908</v>
      </c>
      <c r="D10" s="31">
        <v>430</v>
      </c>
      <c r="E10" s="29">
        <v>4411.1549999999997</v>
      </c>
      <c r="F10" s="30">
        <v>5.1346553443973999</v>
      </c>
      <c r="G10" s="29">
        <v>5.0949999999999998</v>
      </c>
    </row>
    <row r="11" spans="1:7" x14ac:dyDescent="0.2">
      <c r="A11" s="27" t="s">
        <v>909</v>
      </c>
      <c r="B11" s="27" t="s">
        <v>910</v>
      </c>
      <c r="C11" s="27" t="s">
        <v>901</v>
      </c>
      <c r="D11" s="31">
        <v>264</v>
      </c>
      <c r="E11" s="29">
        <v>2715.7046399999999</v>
      </c>
      <c r="F11" s="30">
        <v>3.1611238651964899</v>
      </c>
      <c r="G11" s="29">
        <v>5.41</v>
      </c>
    </row>
    <row r="12" spans="1:7" x14ac:dyDescent="0.2">
      <c r="A12" s="27" t="s">
        <v>911</v>
      </c>
      <c r="B12" s="27" t="s">
        <v>912</v>
      </c>
      <c r="C12" s="27" t="s">
        <v>34</v>
      </c>
      <c r="D12" s="31">
        <v>250</v>
      </c>
      <c r="E12" s="29">
        <v>2622.8024999999998</v>
      </c>
      <c r="F12" s="30">
        <v>3.0529842805169798</v>
      </c>
      <c r="G12" s="29">
        <v>6.43</v>
      </c>
    </row>
    <row r="13" spans="1:7" x14ac:dyDescent="0.2">
      <c r="A13" s="27" t="s">
        <v>913</v>
      </c>
      <c r="B13" s="27" t="s">
        <v>914</v>
      </c>
      <c r="C13" s="27" t="s">
        <v>34</v>
      </c>
      <c r="D13" s="31">
        <v>250</v>
      </c>
      <c r="E13" s="29">
        <v>2614.1574999999998</v>
      </c>
      <c r="F13" s="30">
        <v>3.04292136151905</v>
      </c>
      <c r="G13" s="29">
        <v>5.4550000000000001</v>
      </c>
    </row>
    <row r="14" spans="1:7" x14ac:dyDescent="0.2">
      <c r="A14" s="27" t="s">
        <v>915</v>
      </c>
      <c r="B14" s="27" t="s">
        <v>916</v>
      </c>
      <c r="C14" s="27" t="s">
        <v>34</v>
      </c>
      <c r="D14" s="31">
        <v>250</v>
      </c>
      <c r="E14" s="29">
        <v>2581.7375000000002</v>
      </c>
      <c r="F14" s="30">
        <v>3.0051839602567099</v>
      </c>
      <c r="G14" s="29">
        <v>4.5599999999999996</v>
      </c>
    </row>
    <row r="15" spans="1:7" x14ac:dyDescent="0.2">
      <c r="A15" s="27" t="s">
        <v>917</v>
      </c>
      <c r="B15" s="27" t="s">
        <v>918</v>
      </c>
      <c r="C15" s="27" t="s">
        <v>34</v>
      </c>
      <c r="D15" s="31">
        <v>250</v>
      </c>
      <c r="E15" s="29">
        <v>2578.0450000000001</v>
      </c>
      <c r="F15" s="30">
        <v>3.00088583088715</v>
      </c>
      <c r="G15" s="29">
        <v>4.18</v>
      </c>
    </row>
    <row r="16" spans="1:7" x14ac:dyDescent="0.2">
      <c r="A16" s="27" t="s">
        <v>919</v>
      </c>
      <c r="B16" s="27" t="s">
        <v>920</v>
      </c>
      <c r="C16" s="27" t="s">
        <v>34</v>
      </c>
      <c r="D16" s="31">
        <v>250</v>
      </c>
      <c r="E16" s="29">
        <v>2572.34</v>
      </c>
      <c r="F16" s="30">
        <v>2.9942451191597699</v>
      </c>
      <c r="G16" s="29">
        <v>4.5650000000000004</v>
      </c>
    </row>
    <row r="17" spans="1:7" x14ac:dyDescent="0.2">
      <c r="A17" s="27" t="s">
        <v>921</v>
      </c>
      <c r="B17" s="27" t="s">
        <v>922</v>
      </c>
      <c r="C17" s="27" t="s">
        <v>34</v>
      </c>
      <c r="D17" s="31">
        <v>250</v>
      </c>
      <c r="E17" s="29">
        <v>2569.8425000000002</v>
      </c>
      <c r="F17" s="30">
        <v>2.9913379890039198</v>
      </c>
      <c r="G17" s="29">
        <v>3.915</v>
      </c>
    </row>
    <row r="18" spans="1:7" x14ac:dyDescent="0.2">
      <c r="A18" s="27" t="s">
        <v>923</v>
      </c>
      <c r="B18" s="27" t="s">
        <v>924</v>
      </c>
      <c r="C18" s="27" t="s">
        <v>34</v>
      </c>
      <c r="D18" s="31">
        <v>250</v>
      </c>
      <c r="E18" s="29">
        <v>2559.3325</v>
      </c>
      <c r="F18" s="30">
        <v>2.97910418001974</v>
      </c>
      <c r="G18" s="29">
        <v>4.5</v>
      </c>
    </row>
    <row r="19" spans="1:7" x14ac:dyDescent="0.2">
      <c r="A19" s="27" t="s">
        <v>925</v>
      </c>
      <c r="B19" s="27" t="s">
        <v>926</v>
      </c>
      <c r="C19" s="27" t="s">
        <v>34</v>
      </c>
      <c r="D19" s="31">
        <v>250</v>
      </c>
      <c r="E19" s="29">
        <v>2524.1849999999999</v>
      </c>
      <c r="F19" s="30">
        <v>2.93819192490351</v>
      </c>
      <c r="G19" s="29">
        <v>4.38</v>
      </c>
    </row>
    <row r="20" spans="1:7" x14ac:dyDescent="0.2">
      <c r="A20" s="27" t="s">
        <v>927</v>
      </c>
      <c r="B20" s="27" t="s">
        <v>928</v>
      </c>
      <c r="C20" s="27" t="s">
        <v>34</v>
      </c>
      <c r="D20" s="31">
        <v>166</v>
      </c>
      <c r="E20" s="29">
        <v>2137.6135399999998</v>
      </c>
      <c r="F20" s="30">
        <v>2.48821653000569</v>
      </c>
      <c r="G20" s="29">
        <v>4.1500000000000004</v>
      </c>
    </row>
    <row r="21" spans="1:7" x14ac:dyDescent="0.2">
      <c r="A21" s="27" t="s">
        <v>929</v>
      </c>
      <c r="B21" s="27" t="s">
        <v>930</v>
      </c>
      <c r="C21" s="27" t="s">
        <v>931</v>
      </c>
      <c r="D21" s="31">
        <v>200</v>
      </c>
      <c r="E21" s="29">
        <v>2107.136</v>
      </c>
      <c r="F21" s="30">
        <v>2.45274018341504</v>
      </c>
      <c r="G21" s="29">
        <v>4.6699000000000002</v>
      </c>
    </row>
    <row r="22" spans="1:7" x14ac:dyDescent="0.2">
      <c r="A22" s="27" t="s">
        <v>932</v>
      </c>
      <c r="B22" s="27" t="s">
        <v>933</v>
      </c>
      <c r="C22" s="27" t="s">
        <v>34</v>
      </c>
      <c r="D22" s="31">
        <v>200</v>
      </c>
      <c r="E22" s="29">
        <v>2104.0720000000001</v>
      </c>
      <c r="F22" s="30">
        <v>2.4491736381507598</v>
      </c>
      <c r="G22" s="29">
        <v>5.1849999999999996</v>
      </c>
    </row>
    <row r="23" spans="1:7" x14ac:dyDescent="0.2">
      <c r="A23" s="27" t="s">
        <v>934</v>
      </c>
      <c r="B23" s="27" t="s">
        <v>935</v>
      </c>
      <c r="C23" s="27" t="s">
        <v>34</v>
      </c>
      <c r="D23" s="31">
        <v>187</v>
      </c>
      <c r="E23" s="29">
        <v>1895.4507000000001</v>
      </c>
      <c r="F23" s="30">
        <v>2.2063350906501298</v>
      </c>
      <c r="G23" s="29">
        <v>3.8351000000000002</v>
      </c>
    </row>
    <row r="24" spans="1:7" x14ac:dyDescent="0.2">
      <c r="A24" s="27" t="s">
        <v>936</v>
      </c>
      <c r="B24" s="27" t="s">
        <v>937</v>
      </c>
      <c r="C24" s="27" t="s">
        <v>34</v>
      </c>
      <c r="D24" s="31">
        <v>180</v>
      </c>
      <c r="E24" s="29">
        <v>1832.3838000000001</v>
      </c>
      <c r="F24" s="30">
        <v>2.1329242050341</v>
      </c>
      <c r="G24" s="29">
        <v>3.7799</v>
      </c>
    </row>
    <row r="25" spans="1:7" x14ac:dyDescent="0.2">
      <c r="A25" s="27" t="s">
        <v>938</v>
      </c>
      <c r="B25" s="27" t="s">
        <v>939</v>
      </c>
      <c r="C25" s="27" t="s">
        <v>940</v>
      </c>
      <c r="D25" s="31">
        <v>160</v>
      </c>
      <c r="E25" s="29">
        <v>1809.6079999999999</v>
      </c>
      <c r="F25" s="30">
        <v>2.10641280763525</v>
      </c>
      <c r="G25" s="29">
        <v>7.4779</v>
      </c>
    </row>
    <row r="26" spans="1:7" x14ac:dyDescent="0.2">
      <c r="A26" s="27" t="s">
        <v>941</v>
      </c>
      <c r="B26" s="27" t="s">
        <v>942</v>
      </c>
      <c r="C26" s="27" t="s">
        <v>931</v>
      </c>
      <c r="D26" s="31">
        <v>140</v>
      </c>
      <c r="E26" s="29">
        <v>1515.4775999999999</v>
      </c>
      <c r="F26" s="30">
        <v>1.7640402928835099</v>
      </c>
      <c r="G26" s="29">
        <v>4.96</v>
      </c>
    </row>
    <row r="27" spans="1:7" x14ac:dyDescent="0.2">
      <c r="A27" s="27" t="s">
        <v>943</v>
      </c>
      <c r="B27" s="27" t="s">
        <v>944</v>
      </c>
      <c r="C27" s="27" t="s">
        <v>931</v>
      </c>
      <c r="D27" s="31">
        <v>150</v>
      </c>
      <c r="E27" s="29">
        <v>1505.5619999999999</v>
      </c>
      <c r="F27" s="30">
        <v>1.7524983750563401</v>
      </c>
      <c r="G27" s="29">
        <v>5.0449999999999999</v>
      </c>
    </row>
    <row r="28" spans="1:7" x14ac:dyDescent="0.2">
      <c r="A28" s="27" t="s">
        <v>945</v>
      </c>
      <c r="B28" s="27" t="s">
        <v>946</v>
      </c>
      <c r="C28" s="27" t="s">
        <v>34</v>
      </c>
      <c r="D28" s="31">
        <v>118</v>
      </c>
      <c r="E28" s="29">
        <v>1187.1425400000001</v>
      </c>
      <c r="F28" s="30">
        <v>1.38185300393491</v>
      </c>
      <c r="G28" s="29">
        <v>3.5102000000000002</v>
      </c>
    </row>
    <row r="29" spans="1:7" x14ac:dyDescent="0.2">
      <c r="A29" s="27" t="s">
        <v>947</v>
      </c>
      <c r="B29" s="27" t="s">
        <v>948</v>
      </c>
      <c r="C29" s="27" t="s">
        <v>34</v>
      </c>
      <c r="D29" s="31">
        <v>100</v>
      </c>
      <c r="E29" s="29">
        <v>1086.7470000000001</v>
      </c>
      <c r="F29" s="30">
        <v>1.2649909811733799</v>
      </c>
      <c r="G29" s="29">
        <v>5.7249999999999996</v>
      </c>
    </row>
    <row r="30" spans="1:7" x14ac:dyDescent="0.2">
      <c r="A30" s="27" t="s">
        <v>949</v>
      </c>
      <c r="B30" s="27" t="s">
        <v>950</v>
      </c>
      <c r="C30" s="27" t="s">
        <v>34</v>
      </c>
      <c r="D30" s="31">
        <v>100</v>
      </c>
      <c r="E30" s="29">
        <v>1058.67</v>
      </c>
      <c r="F30" s="30">
        <v>1.2323089017396101</v>
      </c>
      <c r="G30" s="29">
        <v>5.5</v>
      </c>
    </row>
    <row r="31" spans="1:7" x14ac:dyDescent="0.2">
      <c r="A31" s="27" t="s">
        <v>951</v>
      </c>
      <c r="B31" s="27" t="s">
        <v>952</v>
      </c>
      <c r="C31" s="27" t="s">
        <v>953</v>
      </c>
      <c r="D31" s="31">
        <v>100</v>
      </c>
      <c r="E31" s="29">
        <v>1040.152</v>
      </c>
      <c r="F31" s="30">
        <v>1.21075365199945</v>
      </c>
      <c r="G31" s="29">
        <v>9.0327999999999999</v>
      </c>
    </row>
    <row r="32" spans="1:7" x14ac:dyDescent="0.2">
      <c r="A32" s="27" t="s">
        <v>954</v>
      </c>
      <c r="B32" s="27" t="s">
        <v>955</v>
      </c>
      <c r="C32" s="27" t="s">
        <v>34</v>
      </c>
      <c r="D32" s="31">
        <v>100</v>
      </c>
      <c r="E32" s="29">
        <v>1038.43</v>
      </c>
      <c r="F32" s="30">
        <v>1.20874921631242</v>
      </c>
      <c r="G32" s="29">
        <v>4.79</v>
      </c>
    </row>
    <row r="33" spans="1:9" x14ac:dyDescent="0.2">
      <c r="A33" s="27" t="s">
        <v>956</v>
      </c>
      <c r="B33" s="27" t="s">
        <v>957</v>
      </c>
      <c r="C33" s="27" t="s">
        <v>34</v>
      </c>
      <c r="D33" s="31">
        <v>76</v>
      </c>
      <c r="E33" s="29">
        <v>782.72095999999999</v>
      </c>
      <c r="F33" s="30">
        <v>0.91109978235538402</v>
      </c>
      <c r="G33" s="29">
        <v>3.9001000000000001</v>
      </c>
    </row>
    <row r="34" spans="1:9" x14ac:dyDescent="0.2">
      <c r="A34" s="27" t="s">
        <v>958</v>
      </c>
      <c r="B34" s="27" t="s">
        <v>959</v>
      </c>
      <c r="C34" s="27" t="s">
        <v>875</v>
      </c>
      <c r="D34" s="31">
        <v>59</v>
      </c>
      <c r="E34" s="29">
        <v>608.65638999999999</v>
      </c>
      <c r="F34" s="30">
        <v>0.70848582419233197</v>
      </c>
      <c r="G34" s="29">
        <v>4.0199999999999996</v>
      </c>
    </row>
    <row r="35" spans="1:9" x14ac:dyDescent="0.2">
      <c r="A35" s="27" t="s">
        <v>960</v>
      </c>
      <c r="B35" s="27" t="s">
        <v>961</v>
      </c>
      <c r="C35" s="27" t="s">
        <v>931</v>
      </c>
      <c r="D35" s="31">
        <v>53</v>
      </c>
      <c r="E35" s="29">
        <v>534.35659999999996</v>
      </c>
      <c r="F35" s="30">
        <v>0.62199967400919298</v>
      </c>
      <c r="G35" s="29">
        <v>3.6551999999999998</v>
      </c>
    </row>
    <row r="36" spans="1:9" x14ac:dyDescent="0.2">
      <c r="A36" s="27" t="s">
        <v>962</v>
      </c>
      <c r="B36" s="27" t="s">
        <v>963</v>
      </c>
      <c r="C36" s="27" t="s">
        <v>34</v>
      </c>
      <c r="D36" s="31">
        <v>45</v>
      </c>
      <c r="E36" s="29">
        <v>495.5283</v>
      </c>
      <c r="F36" s="30">
        <v>0.57680290851152505</v>
      </c>
      <c r="G36" s="29">
        <v>5.8144999999999998</v>
      </c>
    </row>
    <row r="37" spans="1:9" x14ac:dyDescent="0.2">
      <c r="A37" s="27" t="s">
        <v>964</v>
      </c>
      <c r="B37" s="27" t="s">
        <v>965</v>
      </c>
      <c r="C37" s="27" t="s">
        <v>34</v>
      </c>
      <c r="D37" s="31">
        <v>31</v>
      </c>
      <c r="E37" s="29">
        <v>389.32094000000001</v>
      </c>
      <c r="F37" s="30">
        <v>0.45317583382511401</v>
      </c>
      <c r="G37" s="29">
        <v>4.2949000000000002</v>
      </c>
    </row>
    <row r="38" spans="1:9" x14ac:dyDescent="0.2">
      <c r="A38" s="27" t="s">
        <v>966</v>
      </c>
      <c r="B38" s="27" t="s">
        <v>967</v>
      </c>
      <c r="C38" s="27" t="s">
        <v>931</v>
      </c>
      <c r="D38" s="31">
        <v>34</v>
      </c>
      <c r="E38" s="29">
        <v>350.35708</v>
      </c>
      <c r="F38" s="30">
        <v>0.40782127430785498</v>
      </c>
      <c r="G38" s="29">
        <v>3.9</v>
      </c>
    </row>
    <row r="39" spans="1:9" x14ac:dyDescent="0.2">
      <c r="A39" s="27" t="s">
        <v>968</v>
      </c>
      <c r="B39" s="27" t="s">
        <v>969</v>
      </c>
      <c r="C39" s="27" t="s">
        <v>34</v>
      </c>
      <c r="D39" s="31">
        <v>33</v>
      </c>
      <c r="E39" s="29">
        <v>332.51096999999999</v>
      </c>
      <c r="F39" s="30">
        <v>0.387048115330625</v>
      </c>
      <c r="G39" s="29">
        <v>3.6049000000000002</v>
      </c>
    </row>
    <row r="40" spans="1:9" x14ac:dyDescent="0.2">
      <c r="A40" s="27" t="s">
        <v>970</v>
      </c>
      <c r="B40" s="27" t="s">
        <v>971</v>
      </c>
      <c r="C40" s="27" t="s">
        <v>34</v>
      </c>
      <c r="D40" s="31">
        <v>15</v>
      </c>
      <c r="E40" s="29">
        <v>193.81245000000001</v>
      </c>
      <c r="F40" s="30">
        <v>0.22560080799773599</v>
      </c>
      <c r="G40" s="29">
        <v>4.04</v>
      </c>
    </row>
    <row r="41" spans="1:9" x14ac:dyDescent="0.2">
      <c r="A41" s="27" t="s">
        <v>972</v>
      </c>
      <c r="B41" s="27" t="s">
        <v>973</v>
      </c>
      <c r="C41" s="27" t="s">
        <v>931</v>
      </c>
      <c r="D41" s="31">
        <v>19</v>
      </c>
      <c r="E41" s="29">
        <v>192.56728000000001</v>
      </c>
      <c r="F41" s="30">
        <v>0.224151410097371</v>
      </c>
      <c r="G41" s="29">
        <v>3.4499</v>
      </c>
    </row>
    <row r="42" spans="1:9" x14ac:dyDescent="0.2">
      <c r="A42" s="27" t="s">
        <v>95</v>
      </c>
      <c r="B42" s="27" t="s">
        <v>94</v>
      </c>
      <c r="C42" s="27" t="s">
        <v>34</v>
      </c>
      <c r="D42" s="31">
        <v>13</v>
      </c>
      <c r="E42" s="29">
        <v>144.64151000000001</v>
      </c>
      <c r="F42" s="30">
        <v>0.16836504324677101</v>
      </c>
      <c r="G42" s="29">
        <v>6.94</v>
      </c>
    </row>
    <row r="43" spans="1:9" x14ac:dyDescent="0.2">
      <c r="A43" s="27" t="s">
        <v>974</v>
      </c>
      <c r="B43" s="27" t="s">
        <v>975</v>
      </c>
      <c r="C43" s="27" t="s">
        <v>931</v>
      </c>
      <c r="D43" s="31">
        <v>70</v>
      </c>
      <c r="E43" s="29">
        <v>70.397949999999994</v>
      </c>
      <c r="F43" s="30">
        <v>8.1944345687721507E-2</v>
      </c>
      <c r="G43" s="29">
        <v>3.4001000000000001</v>
      </c>
    </row>
    <row r="44" spans="1:9" x14ac:dyDescent="0.2">
      <c r="A44" s="27" t="s">
        <v>976</v>
      </c>
      <c r="B44" s="27" t="s">
        <v>977</v>
      </c>
      <c r="C44" s="27" t="s">
        <v>875</v>
      </c>
      <c r="D44" s="31">
        <v>3</v>
      </c>
      <c r="E44" s="29">
        <v>39.428310000000003</v>
      </c>
      <c r="F44" s="30">
        <v>4.5895186784879999E-2</v>
      </c>
      <c r="G44" s="29">
        <v>4.79</v>
      </c>
    </row>
    <row r="45" spans="1:9" x14ac:dyDescent="0.2">
      <c r="A45" s="27" t="s">
        <v>978</v>
      </c>
      <c r="B45" s="27" t="s">
        <v>979</v>
      </c>
      <c r="C45" s="27" t="s">
        <v>34</v>
      </c>
      <c r="D45" s="31">
        <v>3</v>
      </c>
      <c r="E45" s="29">
        <v>30.661770000000001</v>
      </c>
      <c r="F45" s="30">
        <v>3.5690793272778597E-2</v>
      </c>
      <c r="G45" s="29">
        <v>4.4499000000000004</v>
      </c>
    </row>
    <row r="46" spans="1:9" x14ac:dyDescent="0.2">
      <c r="A46" s="27" t="s">
        <v>980</v>
      </c>
      <c r="B46" s="27" t="s">
        <v>981</v>
      </c>
      <c r="C46" s="27" t="s">
        <v>34</v>
      </c>
      <c r="D46" s="31">
        <v>2</v>
      </c>
      <c r="E46" s="29">
        <v>20.279319999999998</v>
      </c>
      <c r="F46" s="30">
        <v>2.3605454539399599E-2</v>
      </c>
      <c r="G46" s="29">
        <v>3.6890000000000001</v>
      </c>
    </row>
    <row r="47" spans="1:9" x14ac:dyDescent="0.2">
      <c r="A47" s="26" t="s">
        <v>35</v>
      </c>
      <c r="B47" s="26"/>
      <c r="C47" s="26"/>
      <c r="D47" s="32"/>
      <c r="E47" s="33">
        <f>SUM(E6:E46)</f>
        <v>68527.170650000015</v>
      </c>
      <c r="F47" s="34">
        <f>SUM(F6:F46)</f>
        <v>79.766728445147606</v>
      </c>
      <c r="G47" s="33"/>
      <c r="H47" s="18"/>
      <c r="I47" s="18"/>
    </row>
    <row r="48" spans="1:9" x14ac:dyDescent="0.2">
      <c r="A48" s="27"/>
      <c r="B48" s="27"/>
      <c r="C48" s="27"/>
      <c r="D48" s="28"/>
      <c r="E48" s="29"/>
      <c r="F48" s="30"/>
      <c r="G48" s="29"/>
    </row>
    <row r="49" spans="1:9" x14ac:dyDescent="0.2">
      <c r="A49" s="26" t="s">
        <v>62</v>
      </c>
      <c r="B49" s="27"/>
      <c r="C49" s="27"/>
      <c r="D49" s="28"/>
      <c r="E49" s="29"/>
      <c r="F49" s="30"/>
      <c r="G49" s="29"/>
    </row>
    <row r="50" spans="1:9" x14ac:dyDescent="0.2">
      <c r="A50" s="27" t="s">
        <v>97</v>
      </c>
      <c r="B50" s="27" t="s">
        <v>96</v>
      </c>
      <c r="C50" s="27" t="s">
        <v>65</v>
      </c>
      <c r="D50" s="31">
        <v>4500000</v>
      </c>
      <c r="E50" s="29">
        <v>4660.2044999999998</v>
      </c>
      <c r="F50" s="30">
        <v>5.4245529667195598</v>
      </c>
      <c r="G50" s="29">
        <v>5.0338000000000003</v>
      </c>
    </row>
    <row r="51" spans="1:9" x14ac:dyDescent="0.2">
      <c r="A51" s="27" t="s">
        <v>87</v>
      </c>
      <c r="B51" s="27" t="s">
        <v>86</v>
      </c>
      <c r="C51" s="27" t="s">
        <v>65</v>
      </c>
      <c r="D51" s="31">
        <v>2000000</v>
      </c>
      <c r="E51" s="29">
        <v>2129.4</v>
      </c>
      <c r="F51" s="30">
        <v>2.4786558373849501</v>
      </c>
      <c r="G51" s="29">
        <v>4.6988000000000003</v>
      </c>
    </row>
    <row r="52" spans="1:9" x14ac:dyDescent="0.2">
      <c r="A52" s="27" t="s">
        <v>982</v>
      </c>
      <c r="B52" s="27" t="s">
        <v>983</v>
      </c>
      <c r="C52" s="27" t="s">
        <v>65</v>
      </c>
      <c r="D52" s="31">
        <v>2000000</v>
      </c>
      <c r="E52" s="29">
        <v>2110.3580000000002</v>
      </c>
      <c r="F52" s="30">
        <v>2.4564906432196998</v>
      </c>
      <c r="G52" s="29">
        <v>4.2723000000000004</v>
      </c>
    </row>
    <row r="53" spans="1:9" x14ac:dyDescent="0.2">
      <c r="A53" s="26" t="s">
        <v>35</v>
      </c>
      <c r="B53" s="26"/>
      <c r="C53" s="26"/>
      <c r="D53" s="32"/>
      <c r="E53" s="33">
        <f>SUM(E50:E52)</f>
        <v>8899.9624999999996</v>
      </c>
      <c r="F53" s="34">
        <f>SUM(F50:F52)</f>
        <v>10.359699447324211</v>
      </c>
      <c r="G53" s="33"/>
      <c r="H53" s="18"/>
      <c r="I53" s="18"/>
    </row>
    <row r="54" spans="1:9" x14ac:dyDescent="0.2">
      <c r="A54" s="27"/>
      <c r="B54" s="27"/>
      <c r="C54" s="27"/>
      <c r="D54" s="28"/>
      <c r="E54" s="29"/>
      <c r="F54" s="30"/>
      <c r="G54" s="29"/>
    </row>
    <row r="55" spans="1:9" x14ac:dyDescent="0.2">
      <c r="A55" s="26" t="s">
        <v>38</v>
      </c>
      <c r="B55" s="26"/>
      <c r="C55" s="26"/>
      <c r="D55" s="32"/>
      <c r="E55" s="33">
        <f>E47+E53</f>
        <v>77427.133150000009</v>
      </c>
      <c r="F55" s="34">
        <f>F47+F53</f>
        <v>90.12642789247181</v>
      </c>
      <c r="G55" s="33"/>
      <c r="H55" s="18"/>
      <c r="I55" s="18"/>
    </row>
    <row r="56" spans="1:9" x14ac:dyDescent="0.2">
      <c r="A56" s="26"/>
      <c r="B56" s="26"/>
      <c r="C56" s="26"/>
      <c r="D56" s="32"/>
      <c r="E56" s="33"/>
      <c r="F56" s="34"/>
      <c r="G56" s="33"/>
      <c r="H56" s="18"/>
      <c r="I56" s="18"/>
    </row>
    <row r="57" spans="1:9" x14ac:dyDescent="0.2">
      <c r="A57" s="26" t="s">
        <v>40</v>
      </c>
      <c r="B57" s="26"/>
      <c r="C57" s="26"/>
      <c r="D57" s="32"/>
      <c r="E57" s="33">
        <f>E59-(E47+E53)</f>
        <v>8482.3330970999959</v>
      </c>
      <c r="F57" s="34">
        <f>F59-(F47+F53)</f>
        <v>9.8735721075281901</v>
      </c>
      <c r="G57" s="33"/>
      <c r="H57" s="18"/>
      <c r="I57" s="18"/>
    </row>
    <row r="58" spans="1:9" x14ac:dyDescent="0.2">
      <c r="A58" s="26"/>
      <c r="B58" s="26"/>
      <c r="C58" s="26"/>
      <c r="D58" s="32"/>
      <c r="E58" s="33"/>
      <c r="F58" s="34"/>
      <c r="G58" s="33"/>
      <c r="H58" s="18"/>
      <c r="I58" s="18"/>
    </row>
    <row r="59" spans="1:9" x14ac:dyDescent="0.2">
      <c r="A59" s="35" t="s">
        <v>39</v>
      </c>
      <c r="B59" s="35"/>
      <c r="C59" s="35"/>
      <c r="D59" s="36"/>
      <c r="E59" s="37">
        <v>85909.466247100005</v>
      </c>
      <c r="F59" s="38">
        <v>100</v>
      </c>
      <c r="G59" s="37"/>
      <c r="H59" s="18"/>
      <c r="I59" s="18"/>
    </row>
    <row r="61" spans="1:9" x14ac:dyDescent="0.2">
      <c r="A61" s="18" t="s">
        <v>41</v>
      </c>
    </row>
    <row r="63" spans="1:9" x14ac:dyDescent="0.2">
      <c r="A63" s="18" t="s">
        <v>42</v>
      </c>
    </row>
    <row r="64" spans="1:9" x14ac:dyDescent="0.2">
      <c r="A64" s="18" t="s">
        <v>43</v>
      </c>
    </row>
    <row r="65" spans="1:4" x14ac:dyDescent="0.2">
      <c r="A65" s="18" t="s">
        <v>44</v>
      </c>
      <c r="B65" s="18"/>
      <c r="C65" s="39" t="s">
        <v>46</v>
      </c>
      <c r="D65" s="19" t="s">
        <v>45</v>
      </c>
    </row>
    <row r="66" spans="1:4" x14ac:dyDescent="0.2">
      <c r="A66" s="9" t="s">
        <v>70</v>
      </c>
      <c r="C66" s="40">
        <v>76.535899999999998</v>
      </c>
      <c r="D66" s="40">
        <v>78.021000000000001</v>
      </c>
    </row>
    <row r="67" spans="1:4" x14ac:dyDescent="0.2">
      <c r="A67" s="9" t="s">
        <v>71</v>
      </c>
      <c r="C67" s="40">
        <v>16.3002</v>
      </c>
      <c r="D67" s="40">
        <v>15.983599999999999</v>
      </c>
    </row>
    <row r="68" spans="1:4" x14ac:dyDescent="0.2">
      <c r="A68" s="9" t="s">
        <v>72</v>
      </c>
      <c r="C68" s="40">
        <v>13.650499999999999</v>
      </c>
      <c r="D68" s="40">
        <v>13.3561</v>
      </c>
    </row>
    <row r="69" spans="1:4" x14ac:dyDescent="0.2">
      <c r="A69" s="9" t="s">
        <v>984</v>
      </c>
      <c r="C69" s="40">
        <v>14.1722</v>
      </c>
      <c r="D69" s="40">
        <v>13.888500000000001</v>
      </c>
    </row>
    <row r="70" spans="1:4" x14ac:dyDescent="0.2">
      <c r="A70" s="9" t="s">
        <v>985</v>
      </c>
      <c r="C70" s="40">
        <v>18.401800000000001</v>
      </c>
      <c r="D70" s="40">
        <v>17.483899999999998</v>
      </c>
    </row>
    <row r="71" spans="1:4" x14ac:dyDescent="0.2">
      <c r="A71" s="9" t="s">
        <v>73</v>
      </c>
      <c r="C71" s="40">
        <v>80.834000000000003</v>
      </c>
      <c r="D71" s="40">
        <v>82.635900000000007</v>
      </c>
    </row>
    <row r="72" spans="1:4" x14ac:dyDescent="0.2">
      <c r="A72" s="9" t="s">
        <v>74</v>
      </c>
      <c r="C72" s="40">
        <v>17.614999999999998</v>
      </c>
      <c r="D72" s="40">
        <v>17.373899999999999</v>
      </c>
    </row>
    <row r="73" spans="1:4" x14ac:dyDescent="0.2">
      <c r="A73" s="9" t="s">
        <v>75</v>
      </c>
      <c r="C73" s="40">
        <v>14.784000000000001</v>
      </c>
      <c r="D73" s="40">
        <v>14.5535</v>
      </c>
    </row>
    <row r="74" spans="1:4" x14ac:dyDescent="0.2">
      <c r="A74" s="9" t="s">
        <v>986</v>
      </c>
      <c r="C74" s="40">
        <v>15.6561</v>
      </c>
      <c r="D74" s="40">
        <v>15.447100000000001</v>
      </c>
    </row>
    <row r="75" spans="1:4" x14ac:dyDescent="0.2">
      <c r="A75" s="9" t="s">
        <v>987</v>
      </c>
      <c r="C75" s="40">
        <v>19.904</v>
      </c>
      <c r="D75" s="40">
        <v>19.0718</v>
      </c>
    </row>
    <row r="77" spans="1:4" x14ac:dyDescent="0.2">
      <c r="A77" s="18" t="s">
        <v>48</v>
      </c>
    </row>
    <row r="78" spans="1:4" x14ac:dyDescent="0.2">
      <c r="A78" s="77" t="s">
        <v>67</v>
      </c>
      <c r="B78" s="78"/>
      <c r="C78" s="44" t="s">
        <v>68</v>
      </c>
    </row>
    <row r="79" spans="1:4" x14ac:dyDescent="0.2">
      <c r="A79" s="73" t="s">
        <v>71</v>
      </c>
      <c r="B79" s="74"/>
      <c r="C79" s="45">
        <v>0.625</v>
      </c>
    </row>
    <row r="80" spans="1:4" x14ac:dyDescent="0.2">
      <c r="A80" s="73" t="s">
        <v>72</v>
      </c>
      <c r="B80" s="74"/>
      <c r="C80" s="45">
        <v>0.55000000000000004</v>
      </c>
    </row>
    <row r="81" spans="1:5" x14ac:dyDescent="0.2">
      <c r="A81" s="73" t="s">
        <v>984</v>
      </c>
      <c r="B81" s="74"/>
      <c r="C81" s="45">
        <v>0.55000000000000004</v>
      </c>
    </row>
    <row r="82" spans="1:5" x14ac:dyDescent="0.2">
      <c r="A82" s="73" t="s">
        <v>985</v>
      </c>
      <c r="B82" s="74"/>
      <c r="C82" s="45">
        <v>1.2549999999999999</v>
      </c>
    </row>
    <row r="83" spans="1:5" x14ac:dyDescent="0.2">
      <c r="A83" s="73" t="s">
        <v>74</v>
      </c>
      <c r="B83" s="74"/>
      <c r="C83" s="45">
        <v>0.625</v>
      </c>
    </row>
    <row r="84" spans="1:5" x14ac:dyDescent="0.2">
      <c r="A84" s="73" t="s">
        <v>75</v>
      </c>
      <c r="B84" s="74"/>
      <c r="C84" s="45">
        <v>0.55000000000000004</v>
      </c>
    </row>
    <row r="85" spans="1:5" x14ac:dyDescent="0.2">
      <c r="A85" s="73" t="s">
        <v>986</v>
      </c>
      <c r="B85" s="74"/>
      <c r="C85" s="45">
        <v>0.55000000000000004</v>
      </c>
    </row>
    <row r="86" spans="1:5" x14ac:dyDescent="0.2">
      <c r="A86" s="73" t="s">
        <v>987</v>
      </c>
      <c r="B86" s="74"/>
      <c r="C86" s="45">
        <v>1.2549999999999999</v>
      </c>
    </row>
    <row r="87" spans="1:5" x14ac:dyDescent="0.2">
      <c r="A87" s="9" t="s">
        <v>69</v>
      </c>
    </row>
    <row r="88" spans="1:5" x14ac:dyDescent="0.2">
      <c r="A88" s="9" t="s">
        <v>47</v>
      </c>
    </row>
    <row r="90" spans="1:5" x14ac:dyDescent="0.2">
      <c r="A90" s="18" t="s">
        <v>824</v>
      </c>
      <c r="D90" s="42">
        <v>1.7932596409041099</v>
      </c>
      <c r="E90" s="13" t="s">
        <v>50</v>
      </c>
    </row>
    <row r="92" spans="1:5" x14ac:dyDescent="0.2">
      <c r="A92" s="18" t="s">
        <v>732</v>
      </c>
      <c r="D92" s="41" t="s">
        <v>49</v>
      </c>
    </row>
    <row r="94" spans="1:5" x14ac:dyDescent="0.2">
      <c r="A94" s="18" t="s">
        <v>988</v>
      </c>
    </row>
    <row r="95" spans="1:5" x14ac:dyDescent="0.2">
      <c r="A95" s="56" t="s">
        <v>989</v>
      </c>
    </row>
    <row r="97" spans="1:7" ht="14.4" x14ac:dyDescent="0.2">
      <c r="A97" s="79" t="s">
        <v>990</v>
      </c>
      <c r="B97" s="80"/>
      <c r="C97" s="80"/>
      <c r="D97" s="80"/>
      <c r="E97" s="80"/>
      <c r="F97" s="80"/>
      <c r="G97" s="80"/>
    </row>
    <row r="98" spans="1:7" x14ac:dyDescent="0.2">
      <c r="A98" s="47" t="s">
        <v>51</v>
      </c>
    </row>
    <row r="100" spans="1:7" x14ac:dyDescent="0.2">
      <c r="A100" s="47"/>
    </row>
  </sheetData>
  <mergeCells count="11">
    <mergeCell ref="A83:B83"/>
    <mergeCell ref="A84:B84"/>
    <mergeCell ref="A85:B85"/>
    <mergeCell ref="A86:B86"/>
    <mergeCell ref="A97:G97"/>
    <mergeCell ref="A82:B82"/>
    <mergeCell ref="A1:G1"/>
    <mergeCell ref="A78:B78"/>
    <mergeCell ref="A79:B79"/>
    <mergeCell ref="A80:B80"/>
    <mergeCell ref="A81:B81"/>
  </mergeCells>
  <conditionalFormatting sqref="F2:F3 F5:F96 F101:F65539">
    <cfRule type="cellIs" dxfId="141" priority="3" stopIfTrue="1" operator="between">
      <formula>0.009</formula>
      <formula>-0.009</formula>
    </cfRule>
  </conditionalFormatting>
  <conditionalFormatting sqref="F99:F100">
    <cfRule type="cellIs" dxfId="140" priority="2" stopIfTrue="1" operator="between">
      <formula>0.009</formula>
      <formula>-0.009</formula>
    </cfRule>
  </conditionalFormatting>
  <conditionalFormatting sqref="F98">
    <cfRule type="cellIs" dxfId="139" priority="1" stopIfTrue="1" operator="between">
      <formula>0.009</formula>
      <formula>-0.009</formula>
    </cfRule>
  </conditionalFormatting>
  <hyperlinks>
    <hyperlink ref="A98" r:id="rId1" xr:uid="{00000000-0004-0000-0400-000000000000}"/>
    <hyperlink ref="A95" r:id="rId2" xr:uid="{00000000-0004-0000-04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5"/>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991</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992</v>
      </c>
      <c r="B7" s="27" t="s">
        <v>993</v>
      </c>
      <c r="C7" s="27" t="s">
        <v>34</v>
      </c>
      <c r="D7" s="31">
        <v>750</v>
      </c>
      <c r="E7" s="29">
        <v>7943.34</v>
      </c>
      <c r="F7" s="30">
        <v>7.9570282677481998</v>
      </c>
      <c r="G7" s="29">
        <v>5.17</v>
      </c>
    </row>
    <row r="8" spans="1:7" x14ac:dyDescent="0.2">
      <c r="A8" s="27" t="s">
        <v>994</v>
      </c>
      <c r="B8" s="27" t="s">
        <v>995</v>
      </c>
      <c r="C8" s="27" t="s">
        <v>996</v>
      </c>
      <c r="D8" s="31">
        <v>500</v>
      </c>
      <c r="E8" s="29">
        <v>5175.43</v>
      </c>
      <c r="F8" s="30">
        <v>5.1843484992146998</v>
      </c>
      <c r="G8" s="29">
        <v>4.4062999999999999</v>
      </c>
    </row>
    <row r="9" spans="1:7" x14ac:dyDescent="0.2">
      <c r="A9" s="27" t="s">
        <v>997</v>
      </c>
      <c r="B9" s="27" t="s">
        <v>998</v>
      </c>
      <c r="C9" s="27" t="s">
        <v>34</v>
      </c>
      <c r="D9" s="31">
        <v>500</v>
      </c>
      <c r="E9" s="29">
        <v>5060.84</v>
      </c>
      <c r="F9" s="30">
        <v>5.0695610333374601</v>
      </c>
      <c r="G9" s="29">
        <v>3.9001000000000001</v>
      </c>
    </row>
    <row r="10" spans="1:7" x14ac:dyDescent="0.2">
      <c r="A10" s="27" t="s">
        <v>925</v>
      </c>
      <c r="B10" s="27" t="s">
        <v>926</v>
      </c>
      <c r="C10" s="27" t="s">
        <v>34</v>
      </c>
      <c r="D10" s="31">
        <v>500</v>
      </c>
      <c r="E10" s="29">
        <v>5048.37</v>
      </c>
      <c r="F10" s="30">
        <v>5.0570695445558096</v>
      </c>
      <c r="G10" s="29">
        <v>4.38</v>
      </c>
    </row>
    <row r="11" spans="1:7" x14ac:dyDescent="0.2">
      <c r="A11" s="27" t="s">
        <v>999</v>
      </c>
      <c r="B11" s="27" t="s">
        <v>1000</v>
      </c>
      <c r="C11" s="27" t="s">
        <v>34</v>
      </c>
      <c r="D11" s="31">
        <v>400</v>
      </c>
      <c r="E11" s="29">
        <v>4320.0959999999995</v>
      </c>
      <c r="F11" s="30">
        <v>4.3275405549033401</v>
      </c>
      <c r="G11" s="29">
        <v>5.7999000000000001</v>
      </c>
    </row>
    <row r="12" spans="1:7" x14ac:dyDescent="0.2">
      <c r="A12" s="27" t="s">
        <v>949</v>
      </c>
      <c r="B12" s="27" t="s">
        <v>950</v>
      </c>
      <c r="C12" s="27" t="s">
        <v>34</v>
      </c>
      <c r="D12" s="31">
        <v>400</v>
      </c>
      <c r="E12" s="29">
        <v>4234.68</v>
      </c>
      <c r="F12" s="30">
        <v>4.2419773627803901</v>
      </c>
      <c r="G12" s="29">
        <v>5.5</v>
      </c>
    </row>
    <row r="13" spans="1:7" x14ac:dyDescent="0.2">
      <c r="A13" s="27" t="s">
        <v>941</v>
      </c>
      <c r="B13" s="27" t="s">
        <v>942</v>
      </c>
      <c r="C13" s="27" t="s">
        <v>931</v>
      </c>
      <c r="D13" s="31">
        <v>360</v>
      </c>
      <c r="E13" s="29">
        <v>3896.9423999999999</v>
      </c>
      <c r="F13" s="30">
        <v>3.9036577604114302</v>
      </c>
      <c r="G13" s="29">
        <v>4.96</v>
      </c>
    </row>
    <row r="14" spans="1:7" x14ac:dyDescent="0.2">
      <c r="A14" s="27" t="s">
        <v>929</v>
      </c>
      <c r="B14" s="27" t="s">
        <v>930</v>
      </c>
      <c r="C14" s="27" t="s">
        <v>931</v>
      </c>
      <c r="D14" s="31">
        <v>300</v>
      </c>
      <c r="E14" s="29">
        <v>3160.7040000000002</v>
      </c>
      <c r="F14" s="30">
        <v>3.1661506461998101</v>
      </c>
      <c r="G14" s="29">
        <v>4.6699000000000002</v>
      </c>
    </row>
    <row r="15" spans="1:7" x14ac:dyDescent="0.2">
      <c r="A15" s="27" t="s">
        <v>1001</v>
      </c>
      <c r="B15" s="27" t="s">
        <v>1002</v>
      </c>
      <c r="C15" s="27" t="s">
        <v>931</v>
      </c>
      <c r="D15" s="31">
        <v>300</v>
      </c>
      <c r="E15" s="29">
        <v>3100.0770000000002</v>
      </c>
      <c r="F15" s="30">
        <v>3.1054191714311701</v>
      </c>
      <c r="G15" s="29">
        <v>4.2798999999999996</v>
      </c>
    </row>
    <row r="16" spans="1:7" x14ac:dyDescent="0.2">
      <c r="A16" s="27" t="s">
        <v>906</v>
      </c>
      <c r="B16" s="27" t="s">
        <v>907</v>
      </c>
      <c r="C16" s="27" t="s">
        <v>908</v>
      </c>
      <c r="D16" s="31">
        <v>300</v>
      </c>
      <c r="E16" s="29">
        <v>3077.55</v>
      </c>
      <c r="F16" s="30">
        <v>3.0828533520419001</v>
      </c>
      <c r="G16" s="29">
        <v>5.0949999999999998</v>
      </c>
    </row>
    <row r="17" spans="1:7" x14ac:dyDescent="0.2">
      <c r="A17" s="27" t="s">
        <v>1003</v>
      </c>
      <c r="B17" s="27" t="s">
        <v>1004</v>
      </c>
      <c r="C17" s="27" t="s">
        <v>34</v>
      </c>
      <c r="D17" s="31">
        <v>250</v>
      </c>
      <c r="E17" s="29">
        <v>2805.0324999999998</v>
      </c>
      <c r="F17" s="30">
        <v>2.8098662394474401</v>
      </c>
      <c r="G17" s="29">
        <v>5.0548999999999999</v>
      </c>
    </row>
    <row r="18" spans="1:7" x14ac:dyDescent="0.2">
      <c r="A18" s="27" t="s">
        <v>871</v>
      </c>
      <c r="B18" s="27" t="s">
        <v>872</v>
      </c>
      <c r="C18" s="27" t="s">
        <v>34</v>
      </c>
      <c r="D18" s="31">
        <v>250</v>
      </c>
      <c r="E18" s="29">
        <v>2576.4324999999999</v>
      </c>
      <c r="F18" s="30">
        <v>2.5808723071711901</v>
      </c>
      <c r="G18" s="29">
        <v>4.4450000000000003</v>
      </c>
    </row>
    <row r="19" spans="1:7" x14ac:dyDescent="0.2">
      <c r="A19" s="27" t="s">
        <v>1005</v>
      </c>
      <c r="B19" s="27" t="s">
        <v>1006</v>
      </c>
      <c r="C19" s="27" t="s">
        <v>931</v>
      </c>
      <c r="D19" s="31">
        <v>250</v>
      </c>
      <c r="E19" s="29">
        <v>2574.0949999999998</v>
      </c>
      <c r="F19" s="30">
        <v>2.5785307791016501</v>
      </c>
      <c r="G19" s="29">
        <v>4.22</v>
      </c>
    </row>
    <row r="20" spans="1:7" x14ac:dyDescent="0.2">
      <c r="A20" s="27" t="s">
        <v>1007</v>
      </c>
      <c r="B20" s="27" t="s">
        <v>1008</v>
      </c>
      <c r="C20" s="27" t="s">
        <v>34</v>
      </c>
      <c r="D20" s="31">
        <v>250</v>
      </c>
      <c r="E20" s="29">
        <v>2483.58</v>
      </c>
      <c r="F20" s="30">
        <v>2.4878598001865799</v>
      </c>
      <c r="G20" s="29">
        <v>5.5549999999999997</v>
      </c>
    </row>
    <row r="21" spans="1:7" x14ac:dyDescent="0.2">
      <c r="A21" s="27" t="s">
        <v>954</v>
      </c>
      <c r="B21" s="27" t="s">
        <v>955</v>
      </c>
      <c r="C21" s="27" t="s">
        <v>34</v>
      </c>
      <c r="D21" s="31">
        <v>150</v>
      </c>
      <c r="E21" s="29">
        <v>1557.645</v>
      </c>
      <c r="F21" s="30">
        <v>1.5603291935277399</v>
      </c>
      <c r="G21" s="29">
        <v>4.79</v>
      </c>
    </row>
    <row r="22" spans="1:7" x14ac:dyDescent="0.2">
      <c r="A22" s="27" t="s">
        <v>936</v>
      </c>
      <c r="B22" s="27" t="s">
        <v>937</v>
      </c>
      <c r="C22" s="27" t="s">
        <v>34</v>
      </c>
      <c r="D22" s="31">
        <v>120</v>
      </c>
      <c r="E22" s="29">
        <v>1221.5891999999999</v>
      </c>
      <c r="F22" s="30">
        <v>1.2236942893009599</v>
      </c>
      <c r="G22" s="29">
        <v>3.7799</v>
      </c>
    </row>
    <row r="23" spans="1:7" x14ac:dyDescent="0.2">
      <c r="A23" s="27" t="s">
        <v>962</v>
      </c>
      <c r="B23" s="27" t="s">
        <v>963</v>
      </c>
      <c r="C23" s="27" t="s">
        <v>34</v>
      </c>
      <c r="D23" s="31">
        <v>110</v>
      </c>
      <c r="E23" s="29">
        <v>1211.2914000000001</v>
      </c>
      <c r="F23" s="30">
        <v>1.2133787437375601</v>
      </c>
      <c r="G23" s="29">
        <v>5.8144999999999998</v>
      </c>
    </row>
    <row r="24" spans="1:7" x14ac:dyDescent="0.2">
      <c r="A24" s="27" t="s">
        <v>960</v>
      </c>
      <c r="B24" s="27" t="s">
        <v>961</v>
      </c>
      <c r="C24" s="27" t="s">
        <v>931</v>
      </c>
      <c r="D24" s="31">
        <v>120</v>
      </c>
      <c r="E24" s="29">
        <v>1209.864</v>
      </c>
      <c r="F24" s="30">
        <v>1.2119488839871999</v>
      </c>
      <c r="G24" s="29">
        <v>3.6551999999999998</v>
      </c>
    </row>
    <row r="25" spans="1:7" x14ac:dyDescent="0.2">
      <c r="A25" s="27" t="s">
        <v>1009</v>
      </c>
      <c r="B25" s="27" t="s">
        <v>1010</v>
      </c>
      <c r="C25" s="27" t="s">
        <v>931</v>
      </c>
      <c r="D25" s="31">
        <v>100</v>
      </c>
      <c r="E25" s="29">
        <v>1102.4639999999999</v>
      </c>
      <c r="F25" s="30">
        <v>1.10436380819337</v>
      </c>
      <c r="G25" s="29">
        <v>5.7548000000000004</v>
      </c>
    </row>
    <row r="26" spans="1:7" x14ac:dyDescent="0.2">
      <c r="A26" s="27" t="s">
        <v>1011</v>
      </c>
      <c r="B26" s="27" t="s">
        <v>1012</v>
      </c>
      <c r="C26" s="27" t="s">
        <v>34</v>
      </c>
      <c r="D26" s="31">
        <v>100</v>
      </c>
      <c r="E26" s="29">
        <v>1082.7180000000001</v>
      </c>
      <c r="F26" s="30">
        <v>1.08458378112983</v>
      </c>
      <c r="G26" s="29">
        <v>5.7249999999999996</v>
      </c>
    </row>
    <row r="27" spans="1:7" x14ac:dyDescent="0.2">
      <c r="A27" s="27" t="s">
        <v>1013</v>
      </c>
      <c r="B27" s="27" t="s">
        <v>1014</v>
      </c>
      <c r="C27" s="27" t="s">
        <v>1015</v>
      </c>
      <c r="D27" s="31">
        <v>100</v>
      </c>
      <c r="E27" s="29">
        <v>1016.73</v>
      </c>
      <c r="F27" s="30">
        <v>1.0184820680806299</v>
      </c>
      <c r="G27" s="29">
        <v>9.5395000000000003</v>
      </c>
    </row>
    <row r="28" spans="1:7" x14ac:dyDescent="0.2">
      <c r="A28" s="27" t="s">
        <v>1016</v>
      </c>
      <c r="B28" s="27" t="s">
        <v>1017</v>
      </c>
      <c r="C28" s="27" t="s">
        <v>34</v>
      </c>
      <c r="D28" s="31">
        <v>50</v>
      </c>
      <c r="E28" s="29">
        <v>551.97</v>
      </c>
      <c r="F28" s="30">
        <v>0.55292117584655498</v>
      </c>
      <c r="G28" s="29">
        <v>5.5250000000000004</v>
      </c>
    </row>
    <row r="29" spans="1:7" x14ac:dyDescent="0.2">
      <c r="A29" s="27" t="s">
        <v>1018</v>
      </c>
      <c r="B29" s="27" t="s">
        <v>1019</v>
      </c>
      <c r="C29" s="27" t="s">
        <v>34</v>
      </c>
      <c r="D29" s="31">
        <v>50</v>
      </c>
      <c r="E29" s="29">
        <v>549.64</v>
      </c>
      <c r="F29" s="30">
        <v>0.55058716070130698</v>
      </c>
      <c r="G29" s="29">
        <v>5.59</v>
      </c>
    </row>
    <row r="30" spans="1:7" x14ac:dyDescent="0.2">
      <c r="A30" s="27" t="s">
        <v>1020</v>
      </c>
      <c r="B30" s="27" t="s">
        <v>1021</v>
      </c>
      <c r="C30" s="27" t="s">
        <v>34</v>
      </c>
      <c r="D30" s="31">
        <v>50</v>
      </c>
      <c r="E30" s="29">
        <v>545.00099999999998</v>
      </c>
      <c r="F30" s="30">
        <v>0.54594016659881595</v>
      </c>
      <c r="G30" s="29">
        <v>5.0753000000000004</v>
      </c>
    </row>
    <row r="31" spans="1:7" x14ac:dyDescent="0.2">
      <c r="A31" s="27" t="s">
        <v>947</v>
      </c>
      <c r="B31" s="27" t="s">
        <v>948</v>
      </c>
      <c r="C31" s="27" t="s">
        <v>34</v>
      </c>
      <c r="D31" s="31">
        <v>50</v>
      </c>
      <c r="E31" s="29">
        <v>543.37350000000004</v>
      </c>
      <c r="F31" s="30">
        <v>0.54430986202847598</v>
      </c>
      <c r="G31" s="29">
        <v>5.7249999999999996</v>
      </c>
    </row>
    <row r="32" spans="1:7" x14ac:dyDescent="0.2">
      <c r="A32" s="27" t="s">
        <v>909</v>
      </c>
      <c r="B32" s="27" t="s">
        <v>910</v>
      </c>
      <c r="C32" s="27" t="s">
        <v>901</v>
      </c>
      <c r="D32" s="31">
        <v>50</v>
      </c>
      <c r="E32" s="29">
        <v>514.33799999999997</v>
      </c>
      <c r="F32" s="30">
        <v>0.51522432694270603</v>
      </c>
      <c r="G32" s="29">
        <v>5.41</v>
      </c>
    </row>
    <row r="33" spans="1:9" x14ac:dyDescent="0.2">
      <c r="A33" s="27" t="s">
        <v>1022</v>
      </c>
      <c r="B33" s="27" t="s">
        <v>1023</v>
      </c>
      <c r="C33" s="27" t="s">
        <v>901</v>
      </c>
      <c r="D33" s="31">
        <v>50</v>
      </c>
      <c r="E33" s="29">
        <v>492.30250000000001</v>
      </c>
      <c r="F33" s="30">
        <v>0.49315085452506202</v>
      </c>
      <c r="G33" s="29">
        <v>6.87</v>
      </c>
    </row>
    <row r="34" spans="1:9" x14ac:dyDescent="0.2">
      <c r="A34" s="27" t="s">
        <v>917</v>
      </c>
      <c r="B34" s="27" t="s">
        <v>918</v>
      </c>
      <c r="C34" s="27" t="s">
        <v>34</v>
      </c>
      <c r="D34" s="31">
        <v>32</v>
      </c>
      <c r="E34" s="29">
        <v>329.98975999999999</v>
      </c>
      <c r="F34" s="30">
        <v>0.330558410994298</v>
      </c>
      <c r="G34" s="29">
        <v>4.18</v>
      </c>
    </row>
    <row r="35" spans="1:9" x14ac:dyDescent="0.2">
      <c r="A35" s="27" t="s">
        <v>878</v>
      </c>
      <c r="B35" s="27" t="s">
        <v>879</v>
      </c>
      <c r="C35" s="27" t="s">
        <v>880</v>
      </c>
      <c r="D35" s="31">
        <v>27</v>
      </c>
      <c r="E35" s="29">
        <v>281.80196999999998</v>
      </c>
      <c r="F35" s="30">
        <v>0.282287581948794</v>
      </c>
      <c r="G35" s="29">
        <v>3.9653</v>
      </c>
    </row>
    <row r="36" spans="1:9" x14ac:dyDescent="0.2">
      <c r="A36" s="27" t="s">
        <v>980</v>
      </c>
      <c r="B36" s="27" t="s">
        <v>981</v>
      </c>
      <c r="C36" s="27" t="s">
        <v>34</v>
      </c>
      <c r="D36" s="31">
        <v>23</v>
      </c>
      <c r="E36" s="29">
        <v>233.21217999999999</v>
      </c>
      <c r="F36" s="30">
        <v>0.233614060161491</v>
      </c>
      <c r="G36" s="29">
        <v>3.6890000000000001</v>
      </c>
    </row>
    <row r="37" spans="1:9" x14ac:dyDescent="0.2">
      <c r="A37" s="27" t="s">
        <v>95</v>
      </c>
      <c r="B37" s="27" t="s">
        <v>94</v>
      </c>
      <c r="C37" s="27" t="s">
        <v>34</v>
      </c>
      <c r="D37" s="31">
        <v>18</v>
      </c>
      <c r="E37" s="29">
        <v>200.27286000000001</v>
      </c>
      <c r="F37" s="30">
        <v>0.200617977863566</v>
      </c>
      <c r="G37" s="29">
        <v>6.94</v>
      </c>
    </row>
    <row r="38" spans="1:9" x14ac:dyDescent="0.2">
      <c r="A38" s="27" t="s">
        <v>1024</v>
      </c>
      <c r="B38" s="27" t="s">
        <v>1025</v>
      </c>
      <c r="C38" s="27" t="s">
        <v>931</v>
      </c>
      <c r="D38" s="31">
        <v>5</v>
      </c>
      <c r="E38" s="29">
        <v>51.588349999999998</v>
      </c>
      <c r="F38" s="30">
        <v>5.16772490207505E-2</v>
      </c>
      <c r="G38" s="29">
        <v>4.0500999999999996</v>
      </c>
    </row>
    <row r="39" spans="1:9" x14ac:dyDescent="0.2">
      <c r="A39" s="26" t="s">
        <v>35</v>
      </c>
      <c r="B39" s="26"/>
      <c r="C39" s="26"/>
      <c r="D39" s="32"/>
      <c r="E39" s="33">
        <f>SUM(E6:E38)</f>
        <v>68152.961120000022</v>
      </c>
      <c r="F39" s="34">
        <f>SUM(F6:F38)</f>
        <v>68.27040491312016</v>
      </c>
      <c r="G39" s="33"/>
      <c r="H39" s="18"/>
      <c r="I39" s="18"/>
    </row>
    <row r="40" spans="1:9" x14ac:dyDescent="0.2">
      <c r="A40" s="27"/>
      <c r="B40" s="27"/>
      <c r="C40" s="27"/>
      <c r="D40" s="28"/>
      <c r="E40" s="29"/>
      <c r="F40" s="30"/>
      <c r="G40" s="29"/>
    </row>
    <row r="41" spans="1:9" x14ac:dyDescent="0.2">
      <c r="A41" s="26" t="s">
        <v>52</v>
      </c>
      <c r="B41" s="27"/>
      <c r="C41" s="27"/>
      <c r="D41" s="28"/>
      <c r="E41" s="29"/>
      <c r="F41" s="30"/>
      <c r="G41" s="29"/>
    </row>
    <row r="42" spans="1:9" x14ac:dyDescent="0.2">
      <c r="A42" s="26" t="s">
        <v>53</v>
      </c>
      <c r="B42" s="27"/>
      <c r="C42" s="27"/>
      <c r="D42" s="28"/>
      <c r="E42" s="29"/>
      <c r="F42" s="30"/>
      <c r="G42" s="29"/>
    </row>
    <row r="43" spans="1:9" x14ac:dyDescent="0.2">
      <c r="A43" s="27" t="s">
        <v>1026</v>
      </c>
      <c r="B43" s="27" t="s">
        <v>1027</v>
      </c>
      <c r="C43" s="27" t="s">
        <v>55</v>
      </c>
      <c r="D43" s="31">
        <v>5000</v>
      </c>
      <c r="E43" s="29">
        <v>5000</v>
      </c>
      <c r="F43" s="30">
        <v>5.0086161915190601</v>
      </c>
      <c r="G43" s="29">
        <v>3.3218000000000001</v>
      </c>
    </row>
    <row r="44" spans="1:9" x14ac:dyDescent="0.2">
      <c r="A44" s="27" t="s">
        <v>1028</v>
      </c>
      <c r="B44" s="27" t="s">
        <v>1029</v>
      </c>
      <c r="C44" s="27" t="s">
        <v>54</v>
      </c>
      <c r="D44" s="31">
        <v>5000</v>
      </c>
      <c r="E44" s="29">
        <v>4812.5</v>
      </c>
      <c r="F44" s="30">
        <v>4.8207930843371001</v>
      </c>
      <c r="G44" s="29">
        <v>4.1101000000000001</v>
      </c>
    </row>
    <row r="45" spans="1:9" x14ac:dyDescent="0.2">
      <c r="A45" s="27" t="s">
        <v>1030</v>
      </c>
      <c r="B45" s="27" t="s">
        <v>1031</v>
      </c>
      <c r="C45" s="27" t="s">
        <v>54</v>
      </c>
      <c r="D45" s="31">
        <v>2500</v>
      </c>
      <c r="E45" s="29">
        <v>2497.9375</v>
      </c>
      <c r="F45" s="30">
        <v>2.50224204158053</v>
      </c>
      <c r="G45" s="29">
        <v>3.3485999999999998</v>
      </c>
    </row>
    <row r="46" spans="1:9" x14ac:dyDescent="0.2">
      <c r="A46" s="27" t="s">
        <v>1032</v>
      </c>
      <c r="B46" s="27" t="s">
        <v>1033</v>
      </c>
      <c r="C46" s="27" t="s">
        <v>54</v>
      </c>
      <c r="D46" s="31">
        <v>1000</v>
      </c>
      <c r="E46" s="29">
        <v>969.93</v>
      </c>
      <c r="F46" s="30">
        <v>0.97160142052801601</v>
      </c>
      <c r="G46" s="29">
        <v>3.81</v>
      </c>
    </row>
    <row r="47" spans="1:9" x14ac:dyDescent="0.2">
      <c r="A47" s="26" t="s">
        <v>35</v>
      </c>
      <c r="B47" s="26"/>
      <c r="C47" s="26"/>
      <c r="D47" s="32"/>
      <c r="E47" s="33">
        <f>SUM(E42:E46)</f>
        <v>13280.3675</v>
      </c>
      <c r="F47" s="34">
        <f>SUM(F42:F46)</f>
        <v>13.303252737964707</v>
      </c>
      <c r="G47" s="33"/>
      <c r="H47" s="18"/>
      <c r="I47" s="18"/>
    </row>
    <row r="48" spans="1:9" x14ac:dyDescent="0.2">
      <c r="A48" s="27"/>
      <c r="B48" s="27"/>
      <c r="C48" s="27"/>
      <c r="D48" s="28"/>
      <c r="E48" s="29"/>
      <c r="F48" s="30"/>
      <c r="G48" s="29"/>
    </row>
    <row r="49" spans="1:9" x14ac:dyDescent="0.2">
      <c r="A49" s="26" t="s">
        <v>62</v>
      </c>
      <c r="B49" s="27"/>
      <c r="C49" s="27"/>
      <c r="D49" s="28"/>
      <c r="E49" s="29"/>
      <c r="F49" s="30"/>
      <c r="G49" s="29"/>
    </row>
    <row r="50" spans="1:9" x14ac:dyDescent="0.2">
      <c r="A50" s="27" t="s">
        <v>97</v>
      </c>
      <c r="B50" s="27" t="s">
        <v>96</v>
      </c>
      <c r="C50" s="27" t="s">
        <v>65</v>
      </c>
      <c r="D50" s="31">
        <v>5500000</v>
      </c>
      <c r="E50" s="29">
        <v>5695.8055000000004</v>
      </c>
      <c r="F50" s="30">
        <v>5.7056207302086603</v>
      </c>
      <c r="G50" s="29">
        <v>5.0338000000000003</v>
      </c>
    </row>
    <row r="51" spans="1:9" x14ac:dyDescent="0.2">
      <c r="A51" s="27" t="s">
        <v>87</v>
      </c>
      <c r="B51" s="27" t="s">
        <v>86</v>
      </c>
      <c r="C51" s="27" t="s">
        <v>65</v>
      </c>
      <c r="D51" s="31">
        <v>3000000</v>
      </c>
      <c r="E51" s="29">
        <v>3194.1</v>
      </c>
      <c r="F51" s="30">
        <v>3.1996041954662102</v>
      </c>
      <c r="G51" s="29">
        <v>4.6988000000000003</v>
      </c>
    </row>
    <row r="52" spans="1:9" x14ac:dyDescent="0.2">
      <c r="A52" s="27" t="s">
        <v>982</v>
      </c>
      <c r="B52" s="27" t="s">
        <v>983</v>
      </c>
      <c r="C52" s="27" t="s">
        <v>65</v>
      </c>
      <c r="D52" s="31">
        <v>3000000</v>
      </c>
      <c r="E52" s="29">
        <v>3165.5369999999998</v>
      </c>
      <c r="F52" s="30">
        <v>3.17099197461053</v>
      </c>
      <c r="G52" s="29">
        <v>4.2723000000000004</v>
      </c>
    </row>
    <row r="53" spans="1:9" x14ac:dyDescent="0.2">
      <c r="A53" s="26" t="s">
        <v>35</v>
      </c>
      <c r="B53" s="26"/>
      <c r="C53" s="26"/>
      <c r="D53" s="32"/>
      <c r="E53" s="33">
        <f>SUM(E50:E52)</f>
        <v>12055.442500000001</v>
      </c>
      <c r="F53" s="34">
        <f>SUM(F50:F52)</f>
        <v>12.076216900285401</v>
      </c>
      <c r="G53" s="33"/>
      <c r="H53" s="18"/>
      <c r="I53" s="18"/>
    </row>
    <row r="54" spans="1:9" x14ac:dyDescent="0.2">
      <c r="A54" s="27"/>
      <c r="B54" s="27"/>
      <c r="C54" s="27"/>
      <c r="D54" s="28"/>
      <c r="E54" s="29"/>
      <c r="F54" s="30"/>
      <c r="G54" s="29"/>
    </row>
    <row r="55" spans="1:9" x14ac:dyDescent="0.2">
      <c r="A55" s="26" t="s">
        <v>38</v>
      </c>
      <c r="B55" s="26"/>
      <c r="C55" s="26"/>
      <c r="D55" s="32"/>
      <c r="E55" s="33">
        <f>E39+E47+E53</f>
        <v>93488.771120000019</v>
      </c>
      <c r="F55" s="34">
        <f>F39+F47+F53</f>
        <v>93.649874551370274</v>
      </c>
      <c r="G55" s="33"/>
      <c r="H55" s="18"/>
      <c r="I55" s="18"/>
    </row>
    <row r="56" spans="1:9" x14ac:dyDescent="0.2">
      <c r="A56" s="26"/>
      <c r="B56" s="26"/>
      <c r="C56" s="26"/>
      <c r="D56" s="32"/>
      <c r="E56" s="33"/>
      <c r="F56" s="34"/>
      <c r="G56" s="33"/>
      <c r="H56" s="18"/>
      <c r="I56" s="18"/>
    </row>
    <row r="57" spans="1:9" x14ac:dyDescent="0.2">
      <c r="A57" s="26" t="s">
        <v>40</v>
      </c>
      <c r="B57" s="26"/>
      <c r="C57" s="26"/>
      <c r="D57" s="32"/>
      <c r="E57" s="33">
        <f>E59-(E39+E47+E53)</f>
        <v>6339.2014937999775</v>
      </c>
      <c r="F57" s="34">
        <f>F59-(F39+F47+F53)</f>
        <v>6.3501254486297256</v>
      </c>
      <c r="G57" s="33"/>
      <c r="H57" s="18"/>
      <c r="I57" s="18"/>
    </row>
    <row r="58" spans="1:9" x14ac:dyDescent="0.2">
      <c r="A58" s="26"/>
      <c r="B58" s="26"/>
      <c r="C58" s="26"/>
      <c r="D58" s="32"/>
      <c r="E58" s="33"/>
      <c r="F58" s="34"/>
      <c r="G58" s="33"/>
      <c r="H58" s="18"/>
      <c r="I58" s="18"/>
    </row>
    <row r="59" spans="1:9" x14ac:dyDescent="0.2">
      <c r="A59" s="35" t="s">
        <v>39</v>
      </c>
      <c r="B59" s="35"/>
      <c r="C59" s="35"/>
      <c r="D59" s="36"/>
      <c r="E59" s="37">
        <v>99827.972613799997</v>
      </c>
      <c r="F59" s="38">
        <v>100</v>
      </c>
      <c r="G59" s="37"/>
      <c r="H59" s="18"/>
      <c r="I59" s="18"/>
    </row>
    <row r="61" spans="1:9" x14ac:dyDescent="0.2">
      <c r="A61" s="18" t="s">
        <v>41</v>
      </c>
    </row>
    <row r="63" spans="1:9" x14ac:dyDescent="0.2">
      <c r="A63" s="18" t="s">
        <v>42</v>
      </c>
    </row>
    <row r="64" spans="1:9" x14ac:dyDescent="0.2">
      <c r="A64" s="18" t="s">
        <v>43</v>
      </c>
    </row>
    <row r="65" spans="1:5" x14ac:dyDescent="0.2">
      <c r="A65" s="18" t="s">
        <v>44</v>
      </c>
      <c r="B65" s="18"/>
      <c r="C65" s="39" t="s">
        <v>46</v>
      </c>
      <c r="D65" s="19" t="s">
        <v>45</v>
      </c>
    </row>
    <row r="66" spans="1:5" x14ac:dyDescent="0.2">
      <c r="A66" s="9" t="s">
        <v>70</v>
      </c>
      <c r="C66" s="40">
        <v>17.400700000000001</v>
      </c>
      <c r="D66" s="40">
        <v>17.717600000000001</v>
      </c>
    </row>
    <row r="67" spans="1:5" x14ac:dyDescent="0.2">
      <c r="A67" s="9" t="s">
        <v>76</v>
      </c>
      <c r="C67" s="40">
        <v>10.947100000000001</v>
      </c>
      <c r="D67" s="40">
        <v>10.7394</v>
      </c>
    </row>
    <row r="68" spans="1:5" x14ac:dyDescent="0.2">
      <c r="A68" s="9" t="s">
        <v>73</v>
      </c>
      <c r="C68" s="40">
        <v>17.902200000000001</v>
      </c>
      <c r="D68" s="40">
        <v>18.257300000000001</v>
      </c>
    </row>
    <row r="69" spans="1:5" x14ac:dyDescent="0.2">
      <c r="A69" s="9" t="s">
        <v>77</v>
      </c>
      <c r="C69" s="40">
        <v>11.3407</v>
      </c>
      <c r="D69" s="40">
        <v>11.157999999999999</v>
      </c>
    </row>
    <row r="71" spans="1:5" x14ac:dyDescent="0.2">
      <c r="A71" s="18" t="s">
        <v>48</v>
      </c>
    </row>
    <row r="72" spans="1:5" x14ac:dyDescent="0.2">
      <c r="A72" s="77" t="s">
        <v>67</v>
      </c>
      <c r="B72" s="78"/>
      <c r="C72" s="44" t="s">
        <v>68</v>
      </c>
    </row>
    <row r="73" spans="1:5" x14ac:dyDescent="0.2">
      <c r="A73" s="73" t="s">
        <v>76</v>
      </c>
      <c r="B73" s="74"/>
      <c r="C73" s="45">
        <v>0.4</v>
      </c>
    </row>
    <row r="74" spans="1:5" x14ac:dyDescent="0.2">
      <c r="A74" s="73" t="s">
        <v>77</v>
      </c>
      <c r="B74" s="74"/>
      <c r="C74" s="45">
        <v>0.4</v>
      </c>
    </row>
    <row r="75" spans="1:5" x14ac:dyDescent="0.2">
      <c r="A75" s="9" t="s">
        <v>69</v>
      </c>
    </row>
    <row r="76" spans="1:5" x14ac:dyDescent="0.2">
      <c r="A76" s="9" t="s">
        <v>47</v>
      </c>
    </row>
    <row r="78" spans="1:5" x14ac:dyDescent="0.2">
      <c r="A78" s="18" t="s">
        <v>824</v>
      </c>
      <c r="D78" s="42">
        <v>2.0576077575890399</v>
      </c>
      <c r="E78" s="13" t="s">
        <v>50</v>
      </c>
    </row>
    <row r="80" spans="1:5" x14ac:dyDescent="0.2">
      <c r="A80" s="18" t="s">
        <v>732</v>
      </c>
      <c r="D80" s="41" t="s">
        <v>49</v>
      </c>
    </row>
    <row r="82" spans="1:7" ht="14.4" x14ac:dyDescent="0.2">
      <c r="A82" s="79" t="s">
        <v>825</v>
      </c>
      <c r="B82" s="80"/>
      <c r="C82" s="80"/>
      <c r="D82" s="80"/>
      <c r="E82" s="80"/>
      <c r="F82" s="80"/>
      <c r="G82" s="80"/>
    </row>
    <row r="83" spans="1:7" x14ac:dyDescent="0.2">
      <c r="A83" s="47" t="s">
        <v>51</v>
      </c>
    </row>
    <row r="85" spans="1:7" x14ac:dyDescent="0.2">
      <c r="A85" s="47"/>
    </row>
  </sheetData>
  <mergeCells count="5">
    <mergeCell ref="A1:G1"/>
    <mergeCell ref="A72:B72"/>
    <mergeCell ref="A73:B73"/>
    <mergeCell ref="A74:B74"/>
    <mergeCell ref="A82:G82"/>
  </mergeCells>
  <conditionalFormatting sqref="F2:F3 F5:F81 F86:F65536">
    <cfRule type="cellIs" dxfId="138" priority="3" stopIfTrue="1" operator="between">
      <formula>0.009</formula>
      <formula>-0.009</formula>
    </cfRule>
  </conditionalFormatting>
  <conditionalFormatting sqref="F84:F85">
    <cfRule type="cellIs" dxfId="137" priority="2" stopIfTrue="1" operator="between">
      <formula>0.009</formula>
      <formula>-0.009</formula>
    </cfRule>
  </conditionalFormatting>
  <conditionalFormatting sqref="F83">
    <cfRule type="cellIs" dxfId="136" priority="1" stopIfTrue="1" operator="between">
      <formula>0.009</formula>
      <formula>-0.009</formula>
    </cfRule>
  </conditionalFormatting>
  <hyperlinks>
    <hyperlink ref="A83" r:id="rId1" xr:uid="{00000000-0004-0000-0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9"/>
  <sheetViews>
    <sheetView workbookViewId="0">
      <selection sqref="A1:G1"/>
    </sheetView>
  </sheetViews>
  <sheetFormatPr defaultColWidth="9.109375" defaultRowHeight="10.199999999999999" x14ac:dyDescent="0.2"/>
  <cols>
    <col min="1" max="1" width="31.6640625" style="9" bestFit="1" customWidth="1"/>
    <col min="2" max="2" width="23.441406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1034</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52</v>
      </c>
      <c r="B5" s="22"/>
      <c r="C5" s="22"/>
      <c r="D5" s="23"/>
      <c r="E5" s="24"/>
      <c r="F5" s="25"/>
      <c r="G5" s="24"/>
    </row>
    <row r="6" spans="1:9" x14ac:dyDescent="0.2">
      <c r="A6" s="26" t="s">
        <v>794</v>
      </c>
      <c r="B6" s="27"/>
      <c r="C6" s="27"/>
      <c r="D6" s="28"/>
      <c r="E6" s="29"/>
      <c r="F6" s="30"/>
      <c r="G6" s="29"/>
    </row>
    <row r="7" spans="1:9" x14ac:dyDescent="0.2">
      <c r="A7" s="27" t="s">
        <v>795</v>
      </c>
      <c r="B7" s="27" t="s">
        <v>796</v>
      </c>
      <c r="C7" s="27" t="s">
        <v>65</v>
      </c>
      <c r="D7" s="31">
        <v>2500000</v>
      </c>
      <c r="E7" s="29">
        <v>2499.5475000000001</v>
      </c>
      <c r="F7" s="30">
        <v>11.6581501426187</v>
      </c>
      <c r="G7" s="29">
        <v>3.3037999999999998</v>
      </c>
    </row>
    <row r="8" spans="1:9" x14ac:dyDescent="0.2">
      <c r="A8" s="26" t="s">
        <v>35</v>
      </c>
      <c r="B8" s="26"/>
      <c r="C8" s="26"/>
      <c r="D8" s="32"/>
      <c r="E8" s="33">
        <f>SUM(E6:E7)</f>
        <v>2499.5475000000001</v>
      </c>
      <c r="F8" s="34">
        <f>SUM(F6:F7)</f>
        <v>11.6581501426187</v>
      </c>
      <c r="G8" s="33"/>
      <c r="H8" s="18"/>
      <c r="I8" s="18"/>
    </row>
    <row r="9" spans="1:9" x14ac:dyDescent="0.2">
      <c r="A9" s="27"/>
      <c r="B9" s="27"/>
      <c r="C9" s="27"/>
      <c r="D9" s="28"/>
      <c r="E9" s="29"/>
      <c r="F9" s="30"/>
      <c r="G9" s="29"/>
    </row>
    <row r="10" spans="1:9" x14ac:dyDescent="0.2">
      <c r="A10" s="26" t="s">
        <v>62</v>
      </c>
      <c r="B10" s="27"/>
      <c r="C10" s="27"/>
      <c r="D10" s="28"/>
      <c r="E10" s="29"/>
      <c r="F10" s="30"/>
      <c r="G10" s="29"/>
    </row>
    <row r="11" spans="1:9" x14ac:dyDescent="0.2">
      <c r="A11" s="27" t="s">
        <v>79</v>
      </c>
      <c r="B11" s="27" t="s">
        <v>78</v>
      </c>
      <c r="C11" s="27" t="s">
        <v>65</v>
      </c>
      <c r="D11" s="31">
        <v>5000000</v>
      </c>
      <c r="E11" s="29">
        <v>4941.88</v>
      </c>
      <c r="F11" s="30">
        <v>23.0494435600061</v>
      </c>
      <c r="G11" s="29">
        <v>5.4474</v>
      </c>
    </row>
    <row r="12" spans="1:9" x14ac:dyDescent="0.2">
      <c r="A12" s="27" t="s">
        <v>81</v>
      </c>
      <c r="B12" s="27" t="s">
        <v>80</v>
      </c>
      <c r="C12" s="27" t="s">
        <v>65</v>
      </c>
      <c r="D12" s="31">
        <v>4590000</v>
      </c>
      <c r="E12" s="29">
        <v>4764.5944200000004</v>
      </c>
      <c r="F12" s="30">
        <v>22.222565131105998</v>
      </c>
      <c r="G12" s="29">
        <v>6.0197000000000003</v>
      </c>
    </row>
    <row r="13" spans="1:9" x14ac:dyDescent="0.2">
      <c r="A13" s="27" t="s">
        <v>83</v>
      </c>
      <c r="B13" s="27" t="s">
        <v>82</v>
      </c>
      <c r="C13" s="27" t="s">
        <v>65</v>
      </c>
      <c r="D13" s="31">
        <v>2125000</v>
      </c>
      <c r="E13" s="29">
        <v>2236.560375</v>
      </c>
      <c r="F13" s="30">
        <v>10.431550772602501</v>
      </c>
      <c r="G13" s="29">
        <v>6.1877000000000004</v>
      </c>
    </row>
    <row r="14" spans="1:9" x14ac:dyDescent="0.2">
      <c r="A14" s="27" t="s">
        <v>85</v>
      </c>
      <c r="B14" s="27" t="s">
        <v>84</v>
      </c>
      <c r="C14" s="27" t="s">
        <v>65</v>
      </c>
      <c r="D14" s="31">
        <v>1900000</v>
      </c>
      <c r="E14" s="29">
        <v>2019.4872</v>
      </c>
      <c r="F14" s="30">
        <v>9.4190988523709205</v>
      </c>
      <c r="G14" s="29">
        <v>5.7633999999999999</v>
      </c>
    </row>
    <row r="15" spans="1:9" x14ac:dyDescent="0.2">
      <c r="A15" s="27" t="s">
        <v>1035</v>
      </c>
      <c r="B15" s="27" t="s">
        <v>1036</v>
      </c>
      <c r="C15" s="27" t="s">
        <v>65</v>
      </c>
      <c r="D15" s="31">
        <v>2000000</v>
      </c>
      <c r="E15" s="29">
        <v>1998.5540000000001</v>
      </c>
      <c r="F15" s="30">
        <v>9.3214642250771895</v>
      </c>
      <c r="G15" s="29">
        <v>6.6482000000000001</v>
      </c>
    </row>
    <row r="16" spans="1:9" x14ac:dyDescent="0.2">
      <c r="A16" s="27" t="s">
        <v>87</v>
      </c>
      <c r="B16" s="27" t="s">
        <v>86</v>
      </c>
      <c r="C16" s="27" t="s">
        <v>65</v>
      </c>
      <c r="D16" s="31">
        <v>300000</v>
      </c>
      <c r="E16" s="29">
        <v>319.41000000000003</v>
      </c>
      <c r="F16" s="30">
        <v>1.4897615416605701</v>
      </c>
      <c r="G16" s="29">
        <v>4.6988000000000003</v>
      </c>
    </row>
    <row r="17" spans="1:9" x14ac:dyDescent="0.2">
      <c r="A17" s="27" t="s">
        <v>89</v>
      </c>
      <c r="B17" s="27" t="s">
        <v>88</v>
      </c>
      <c r="C17" s="27" t="s">
        <v>65</v>
      </c>
      <c r="D17" s="31">
        <v>200000</v>
      </c>
      <c r="E17" s="29">
        <v>198.97300000000001</v>
      </c>
      <c r="F17" s="30">
        <v>0.92803081690876699</v>
      </c>
      <c r="G17" s="29">
        <v>5.3624000000000001</v>
      </c>
    </row>
    <row r="18" spans="1:9" x14ac:dyDescent="0.2">
      <c r="A18" s="26" t="s">
        <v>35</v>
      </c>
      <c r="B18" s="26"/>
      <c r="C18" s="26"/>
      <c r="D18" s="32"/>
      <c r="E18" s="33">
        <f>SUM(E11:E17)</f>
        <v>16479.458995000001</v>
      </c>
      <c r="F18" s="34">
        <f>SUM(F11:F17)</f>
        <v>76.861914899732056</v>
      </c>
      <c r="G18" s="33"/>
      <c r="H18" s="18"/>
      <c r="I18" s="18"/>
    </row>
    <row r="19" spans="1:9" x14ac:dyDescent="0.2">
      <c r="A19" s="27"/>
      <c r="B19" s="27"/>
      <c r="C19" s="27"/>
      <c r="D19" s="28"/>
      <c r="E19" s="29"/>
      <c r="F19" s="30"/>
      <c r="G19" s="29"/>
    </row>
    <row r="20" spans="1:9" x14ac:dyDescent="0.2">
      <c r="A20" s="26" t="s">
        <v>38</v>
      </c>
      <c r="B20" s="26"/>
      <c r="C20" s="26"/>
      <c r="D20" s="32"/>
      <c r="E20" s="33">
        <f>E8+E18</f>
        <v>18979.006495000001</v>
      </c>
      <c r="F20" s="34">
        <f>F8+F18</f>
        <v>88.520065042350751</v>
      </c>
      <c r="G20" s="33"/>
      <c r="H20" s="18"/>
      <c r="I20" s="18"/>
    </row>
    <row r="21" spans="1:9" x14ac:dyDescent="0.2">
      <c r="A21" s="26"/>
      <c r="B21" s="26"/>
      <c r="C21" s="26"/>
      <c r="D21" s="32"/>
      <c r="E21" s="33"/>
      <c r="F21" s="34"/>
      <c r="G21" s="33"/>
      <c r="H21" s="18"/>
      <c r="I21" s="18"/>
    </row>
    <row r="22" spans="1:9" x14ac:dyDescent="0.2">
      <c r="A22" s="26" t="s">
        <v>40</v>
      </c>
      <c r="B22" s="26"/>
      <c r="C22" s="26"/>
      <c r="D22" s="32"/>
      <c r="E22" s="33">
        <f>E24-(E8+E18)</f>
        <v>2461.3375511999984</v>
      </c>
      <c r="F22" s="34">
        <f>F24-(F8+F18)</f>
        <v>11.479934957649249</v>
      </c>
      <c r="G22" s="33"/>
      <c r="H22" s="18"/>
      <c r="I22" s="18"/>
    </row>
    <row r="23" spans="1:9" x14ac:dyDescent="0.2">
      <c r="A23" s="26"/>
      <c r="B23" s="26"/>
      <c r="C23" s="26"/>
      <c r="D23" s="32"/>
      <c r="E23" s="33"/>
      <c r="F23" s="34"/>
      <c r="G23" s="33"/>
      <c r="H23" s="18"/>
      <c r="I23" s="18"/>
    </row>
    <row r="24" spans="1:9" x14ac:dyDescent="0.2">
      <c r="A24" s="35" t="s">
        <v>39</v>
      </c>
      <c r="B24" s="35"/>
      <c r="C24" s="35"/>
      <c r="D24" s="36"/>
      <c r="E24" s="37">
        <v>21440.3440462</v>
      </c>
      <c r="F24" s="38">
        <v>100</v>
      </c>
      <c r="G24" s="37"/>
      <c r="H24" s="18"/>
      <c r="I24" s="18"/>
    </row>
    <row r="27" spans="1:9" x14ac:dyDescent="0.2">
      <c r="A27" s="18" t="s">
        <v>42</v>
      </c>
    </row>
    <row r="28" spans="1:9" x14ac:dyDescent="0.2">
      <c r="A28" s="18" t="s">
        <v>43</v>
      </c>
    </row>
    <row r="29" spans="1:9" x14ac:dyDescent="0.2">
      <c r="A29" s="18" t="s">
        <v>44</v>
      </c>
      <c r="B29" s="18"/>
      <c r="C29" s="39" t="s">
        <v>46</v>
      </c>
      <c r="D29" s="19" t="s">
        <v>45</v>
      </c>
    </row>
    <row r="30" spans="1:9" x14ac:dyDescent="0.2">
      <c r="A30" s="9" t="s">
        <v>90</v>
      </c>
      <c r="C30" s="40">
        <v>47.349499999999999</v>
      </c>
      <c r="D30" s="40">
        <v>47.614100000000001</v>
      </c>
    </row>
    <row r="31" spans="1:9" x14ac:dyDescent="0.2">
      <c r="A31" s="9" t="s">
        <v>1037</v>
      </c>
      <c r="C31" s="40">
        <v>10.8879</v>
      </c>
      <c r="D31" s="40">
        <v>10.519399999999999</v>
      </c>
    </row>
    <row r="32" spans="1:9" x14ac:dyDescent="0.2">
      <c r="A32" s="9" t="s">
        <v>91</v>
      </c>
      <c r="C32" s="40">
        <v>50.753399999999999</v>
      </c>
      <c r="D32" s="40">
        <v>51.148099999999999</v>
      </c>
    </row>
    <row r="33" spans="1:7" x14ac:dyDescent="0.2">
      <c r="A33" s="9" t="s">
        <v>1038</v>
      </c>
      <c r="C33" s="40">
        <v>11.979100000000001</v>
      </c>
      <c r="D33" s="40">
        <v>11.642200000000001</v>
      </c>
    </row>
    <row r="35" spans="1:7" x14ac:dyDescent="0.2">
      <c r="A35" s="18" t="s">
        <v>48</v>
      </c>
    </row>
    <row r="36" spans="1:7" x14ac:dyDescent="0.2">
      <c r="A36" s="77" t="s">
        <v>67</v>
      </c>
      <c r="B36" s="78"/>
      <c r="C36" s="44" t="s">
        <v>68</v>
      </c>
    </row>
    <row r="37" spans="1:7" x14ac:dyDescent="0.2">
      <c r="A37" s="73" t="s">
        <v>1037</v>
      </c>
      <c r="B37" s="74"/>
      <c r="C37" s="45">
        <v>0.42499999999999999</v>
      </c>
    </row>
    <row r="38" spans="1:7" x14ac:dyDescent="0.2">
      <c r="A38" s="73" t="s">
        <v>1038</v>
      </c>
      <c r="B38" s="74"/>
      <c r="C38" s="45">
        <v>0.42499999999999999</v>
      </c>
    </row>
    <row r="39" spans="1:7" x14ac:dyDescent="0.2">
      <c r="A39" s="9" t="s">
        <v>69</v>
      </c>
    </row>
    <row r="40" spans="1:7" x14ac:dyDescent="0.2">
      <c r="A40" s="9" t="s">
        <v>47</v>
      </c>
    </row>
    <row r="42" spans="1:7" x14ac:dyDescent="0.2">
      <c r="A42" s="18" t="s">
        <v>824</v>
      </c>
      <c r="D42" s="42">
        <v>4.8843097891232903</v>
      </c>
      <c r="E42" s="13" t="s">
        <v>50</v>
      </c>
    </row>
    <row r="44" spans="1:7" ht="22.5" customHeight="1" x14ac:dyDescent="0.3">
      <c r="A44" s="79" t="s">
        <v>732</v>
      </c>
      <c r="B44" s="82"/>
      <c r="C44" s="82"/>
      <c r="D44" s="41" t="s">
        <v>49</v>
      </c>
    </row>
    <row r="46" spans="1:7" ht="14.4" x14ac:dyDescent="0.2">
      <c r="A46" s="79" t="s">
        <v>825</v>
      </c>
      <c r="B46" s="80"/>
      <c r="C46" s="80"/>
      <c r="D46" s="80"/>
      <c r="E46" s="80"/>
      <c r="F46" s="80"/>
      <c r="G46" s="80"/>
    </row>
    <row r="47" spans="1:7" x14ac:dyDescent="0.2">
      <c r="A47" s="47" t="s">
        <v>51</v>
      </c>
    </row>
    <row r="49" spans="1:1" x14ac:dyDescent="0.2">
      <c r="A49" s="47"/>
    </row>
  </sheetData>
  <mergeCells count="6">
    <mergeCell ref="A46:G46"/>
    <mergeCell ref="A1:G1"/>
    <mergeCell ref="A36:B36"/>
    <mergeCell ref="A37:B37"/>
    <mergeCell ref="A38:B38"/>
    <mergeCell ref="A44:C44"/>
  </mergeCells>
  <conditionalFormatting sqref="F2:F3 F5:F45 F50:F65535">
    <cfRule type="cellIs" dxfId="135" priority="3" stopIfTrue="1" operator="between">
      <formula>0.009</formula>
      <formula>-0.009</formula>
    </cfRule>
  </conditionalFormatting>
  <conditionalFormatting sqref="F48:F49">
    <cfRule type="cellIs" dxfId="134" priority="2" stopIfTrue="1" operator="between">
      <formula>0.009</formula>
      <formula>-0.009</formula>
    </cfRule>
  </conditionalFormatting>
  <conditionalFormatting sqref="F47">
    <cfRule type="cellIs" dxfId="133" priority="1" stopIfTrue="1" operator="between">
      <formula>0.009</formula>
      <formula>-0.009</formula>
    </cfRule>
  </conditionalFormatting>
  <hyperlinks>
    <hyperlink ref="A47" r:id="rId1"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5"/>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1039</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1040</v>
      </c>
      <c r="B7" s="27" t="s">
        <v>1041</v>
      </c>
      <c r="C7" s="27" t="s">
        <v>996</v>
      </c>
      <c r="D7" s="31">
        <v>40</v>
      </c>
      <c r="E7" s="29">
        <v>529.12440000000004</v>
      </c>
      <c r="F7" s="30">
        <v>10.146503152207</v>
      </c>
      <c r="G7" s="29">
        <v>4.7797999999999998</v>
      </c>
    </row>
    <row r="8" spans="1:7" x14ac:dyDescent="0.2">
      <c r="A8" s="27" t="s">
        <v>1042</v>
      </c>
      <c r="B8" s="27" t="s">
        <v>1043</v>
      </c>
      <c r="C8" s="27" t="s">
        <v>34</v>
      </c>
      <c r="D8" s="31">
        <v>40</v>
      </c>
      <c r="E8" s="29">
        <v>525.59680000000003</v>
      </c>
      <c r="F8" s="30">
        <v>10.0788578035523</v>
      </c>
      <c r="G8" s="29">
        <v>4.5</v>
      </c>
    </row>
    <row r="9" spans="1:7" x14ac:dyDescent="0.2">
      <c r="A9" s="27" t="s">
        <v>1024</v>
      </c>
      <c r="B9" s="27" t="s">
        <v>1025</v>
      </c>
      <c r="C9" s="27" t="s">
        <v>931</v>
      </c>
      <c r="D9" s="31">
        <v>42</v>
      </c>
      <c r="E9" s="29">
        <v>433.34213999999997</v>
      </c>
      <c r="F9" s="30">
        <v>8.3097800621066096</v>
      </c>
      <c r="G9" s="29">
        <v>4.0500999999999996</v>
      </c>
    </row>
    <row r="10" spans="1:7" x14ac:dyDescent="0.2">
      <c r="A10" s="27" t="s">
        <v>958</v>
      </c>
      <c r="B10" s="27" t="s">
        <v>959</v>
      </c>
      <c r="C10" s="27" t="s">
        <v>875</v>
      </c>
      <c r="D10" s="31">
        <v>41</v>
      </c>
      <c r="E10" s="29">
        <v>422.96460999999999</v>
      </c>
      <c r="F10" s="30">
        <v>8.1107802789608598</v>
      </c>
      <c r="G10" s="29">
        <v>4.0199999999999996</v>
      </c>
    </row>
    <row r="11" spans="1:7" x14ac:dyDescent="0.2">
      <c r="A11" s="27" t="s">
        <v>934</v>
      </c>
      <c r="B11" s="27" t="s">
        <v>935</v>
      </c>
      <c r="C11" s="27" t="s">
        <v>34</v>
      </c>
      <c r="D11" s="31">
        <v>41</v>
      </c>
      <c r="E11" s="29">
        <v>415.58010000000002</v>
      </c>
      <c r="F11" s="30">
        <v>7.9691747245912197</v>
      </c>
      <c r="G11" s="29">
        <v>3.8351000000000002</v>
      </c>
    </row>
    <row r="12" spans="1:7" x14ac:dyDescent="0.2">
      <c r="A12" s="27" t="s">
        <v>909</v>
      </c>
      <c r="B12" s="27" t="s">
        <v>910</v>
      </c>
      <c r="C12" s="27" t="s">
        <v>901</v>
      </c>
      <c r="D12" s="31">
        <v>40</v>
      </c>
      <c r="E12" s="29">
        <v>411.47039999999998</v>
      </c>
      <c r="F12" s="30">
        <v>7.8903670113112696</v>
      </c>
      <c r="G12" s="29">
        <v>5.41</v>
      </c>
    </row>
    <row r="13" spans="1:7" x14ac:dyDescent="0.2">
      <c r="A13" s="27" t="s">
        <v>878</v>
      </c>
      <c r="B13" s="27" t="s">
        <v>879</v>
      </c>
      <c r="C13" s="27" t="s">
        <v>880</v>
      </c>
      <c r="D13" s="31">
        <v>37</v>
      </c>
      <c r="E13" s="29">
        <v>386.17307</v>
      </c>
      <c r="F13" s="30">
        <v>7.4052647582542903</v>
      </c>
      <c r="G13" s="29">
        <v>3.9653</v>
      </c>
    </row>
    <row r="14" spans="1:7" x14ac:dyDescent="0.2">
      <c r="A14" s="27" t="s">
        <v>964</v>
      </c>
      <c r="B14" s="27" t="s">
        <v>965</v>
      </c>
      <c r="C14" s="27" t="s">
        <v>34</v>
      </c>
      <c r="D14" s="31">
        <v>30</v>
      </c>
      <c r="E14" s="29">
        <v>376.76220000000001</v>
      </c>
      <c r="F14" s="30">
        <v>7.2248016722200603</v>
      </c>
      <c r="G14" s="29">
        <v>4.2949000000000002</v>
      </c>
    </row>
    <row r="15" spans="1:7" x14ac:dyDescent="0.2">
      <c r="A15" s="27" t="s">
        <v>956</v>
      </c>
      <c r="B15" s="27" t="s">
        <v>957</v>
      </c>
      <c r="C15" s="27" t="s">
        <v>34</v>
      </c>
      <c r="D15" s="31">
        <v>30</v>
      </c>
      <c r="E15" s="29">
        <v>308.96879999999999</v>
      </c>
      <c r="F15" s="30">
        <v>5.9247936839306803</v>
      </c>
      <c r="G15" s="29">
        <v>3.9001000000000001</v>
      </c>
    </row>
    <row r="16" spans="1:7" x14ac:dyDescent="0.2">
      <c r="A16" s="27" t="s">
        <v>1044</v>
      </c>
      <c r="B16" s="27" t="s">
        <v>1045</v>
      </c>
      <c r="C16" s="27" t="s">
        <v>996</v>
      </c>
      <c r="D16" s="31">
        <v>21</v>
      </c>
      <c r="E16" s="29">
        <v>271.75785000000002</v>
      </c>
      <c r="F16" s="30">
        <v>5.2112355462382602</v>
      </c>
      <c r="G16" s="29">
        <v>4.5449000000000002</v>
      </c>
    </row>
    <row r="17" spans="1:9" x14ac:dyDescent="0.2">
      <c r="A17" s="27" t="s">
        <v>978</v>
      </c>
      <c r="B17" s="27" t="s">
        <v>979</v>
      </c>
      <c r="C17" s="27" t="s">
        <v>34</v>
      </c>
      <c r="D17" s="31">
        <v>25</v>
      </c>
      <c r="E17" s="29">
        <v>255.51474999999999</v>
      </c>
      <c r="F17" s="30">
        <v>4.8997574413698901</v>
      </c>
      <c r="G17" s="29">
        <v>4.4499000000000004</v>
      </c>
    </row>
    <row r="18" spans="1:9" x14ac:dyDescent="0.2">
      <c r="A18" s="27" t="s">
        <v>1046</v>
      </c>
      <c r="B18" s="27" t="s">
        <v>1047</v>
      </c>
      <c r="C18" s="27" t="s">
        <v>34</v>
      </c>
      <c r="D18" s="31">
        <v>19</v>
      </c>
      <c r="E18" s="29">
        <v>245.97324</v>
      </c>
      <c r="F18" s="30">
        <v>4.7167891993235704</v>
      </c>
      <c r="G18" s="29">
        <v>4.4000000000000004</v>
      </c>
    </row>
    <row r="19" spans="1:9" x14ac:dyDescent="0.2">
      <c r="A19" s="27" t="s">
        <v>1048</v>
      </c>
      <c r="B19" s="27" t="s">
        <v>1049</v>
      </c>
      <c r="C19" s="27" t="s">
        <v>875</v>
      </c>
      <c r="D19" s="31">
        <v>18</v>
      </c>
      <c r="E19" s="29">
        <v>185.94252</v>
      </c>
      <c r="F19" s="30">
        <v>3.5656385630851801</v>
      </c>
      <c r="G19" s="29">
        <v>4.28</v>
      </c>
    </row>
    <row r="20" spans="1:9" x14ac:dyDescent="0.2">
      <c r="A20" s="27" t="s">
        <v>1050</v>
      </c>
      <c r="B20" s="27" t="s">
        <v>1051</v>
      </c>
      <c r="C20" s="27" t="s">
        <v>34</v>
      </c>
      <c r="D20" s="31">
        <v>12</v>
      </c>
      <c r="E20" s="29">
        <v>154.34952000000001</v>
      </c>
      <c r="F20" s="30">
        <v>2.9598103796038</v>
      </c>
      <c r="G20" s="29">
        <v>5.4790999999999999</v>
      </c>
    </row>
    <row r="21" spans="1:9" x14ac:dyDescent="0.2">
      <c r="A21" s="27" t="s">
        <v>917</v>
      </c>
      <c r="B21" s="27" t="s">
        <v>918</v>
      </c>
      <c r="C21" s="27" t="s">
        <v>34</v>
      </c>
      <c r="D21" s="31">
        <v>10</v>
      </c>
      <c r="E21" s="29">
        <v>103.12179999999999</v>
      </c>
      <c r="F21" s="30">
        <v>1.9774662985892499</v>
      </c>
      <c r="G21" s="29">
        <v>4.18</v>
      </c>
    </row>
    <row r="22" spans="1:9" x14ac:dyDescent="0.2">
      <c r="A22" s="27" t="s">
        <v>906</v>
      </c>
      <c r="B22" s="27" t="s">
        <v>907</v>
      </c>
      <c r="C22" s="27" t="s">
        <v>908</v>
      </c>
      <c r="D22" s="31">
        <v>5</v>
      </c>
      <c r="E22" s="29">
        <v>51.292499999999997</v>
      </c>
      <c r="F22" s="30">
        <v>0.98358630396666002</v>
      </c>
      <c r="G22" s="29">
        <v>5.0949999999999998</v>
      </c>
    </row>
    <row r="23" spans="1:9" x14ac:dyDescent="0.2">
      <c r="A23" s="26" t="s">
        <v>35</v>
      </c>
      <c r="B23" s="26"/>
      <c r="C23" s="26"/>
      <c r="D23" s="32"/>
      <c r="E23" s="33">
        <f>SUM(E6:E22)</f>
        <v>5077.9346999999989</v>
      </c>
      <c r="F23" s="34">
        <f>SUM(F6:F22)</f>
        <v>97.374606879310889</v>
      </c>
      <c r="G23" s="33"/>
      <c r="H23" s="18"/>
      <c r="I23" s="18"/>
    </row>
    <row r="24" spans="1:9" x14ac:dyDescent="0.2">
      <c r="A24" s="27"/>
      <c r="B24" s="27"/>
      <c r="C24" s="27"/>
      <c r="D24" s="28"/>
      <c r="E24" s="29"/>
      <c r="F24" s="30"/>
      <c r="G24" s="29"/>
    </row>
    <row r="25" spans="1:9" x14ac:dyDescent="0.2">
      <c r="A25" s="26" t="s">
        <v>38</v>
      </c>
      <c r="B25" s="26"/>
      <c r="C25" s="26"/>
      <c r="D25" s="32"/>
      <c r="E25" s="33">
        <f>E23</f>
        <v>5077.9346999999989</v>
      </c>
      <c r="F25" s="34">
        <f>F23</f>
        <v>97.374606879310889</v>
      </c>
      <c r="G25" s="33"/>
      <c r="H25" s="18"/>
      <c r="I25" s="18"/>
    </row>
    <row r="26" spans="1:9" x14ac:dyDescent="0.2">
      <c r="A26" s="26"/>
      <c r="B26" s="26"/>
      <c r="C26" s="26"/>
      <c r="D26" s="32"/>
      <c r="E26" s="33"/>
      <c r="F26" s="34"/>
      <c r="G26" s="33"/>
      <c r="H26" s="18"/>
      <c r="I26" s="18"/>
    </row>
    <row r="27" spans="1:9" x14ac:dyDescent="0.2">
      <c r="A27" s="26" t="s">
        <v>40</v>
      </c>
      <c r="B27" s="26"/>
      <c r="C27" s="26"/>
      <c r="D27" s="32"/>
      <c r="E27" s="33">
        <f>E29-(E23)</f>
        <v>136.91017870000087</v>
      </c>
      <c r="F27" s="34">
        <f>F29-(F23)</f>
        <v>2.625393120689111</v>
      </c>
      <c r="G27" s="33"/>
      <c r="H27" s="18"/>
      <c r="I27" s="18"/>
    </row>
    <row r="28" spans="1:9" x14ac:dyDescent="0.2">
      <c r="A28" s="26"/>
      <c r="B28" s="26"/>
      <c r="C28" s="26"/>
      <c r="D28" s="32"/>
      <c r="E28" s="33"/>
      <c r="F28" s="34"/>
      <c r="G28" s="33"/>
      <c r="H28" s="18"/>
      <c r="I28" s="18"/>
    </row>
    <row r="29" spans="1:9" x14ac:dyDescent="0.2">
      <c r="A29" s="35" t="s">
        <v>39</v>
      </c>
      <c r="B29" s="35"/>
      <c r="C29" s="35"/>
      <c r="D29" s="36"/>
      <c r="E29" s="37">
        <v>5214.8448786999998</v>
      </c>
      <c r="F29" s="38">
        <v>100</v>
      </c>
      <c r="G29" s="37"/>
      <c r="H29" s="18"/>
      <c r="I29" s="18"/>
    </row>
    <row r="31" spans="1:9" x14ac:dyDescent="0.2">
      <c r="A31" s="18" t="s">
        <v>41</v>
      </c>
    </row>
    <row r="33" spans="1:5" x14ac:dyDescent="0.2">
      <c r="A33" s="18" t="s">
        <v>42</v>
      </c>
    </row>
    <row r="34" spans="1:5" x14ac:dyDescent="0.2">
      <c r="A34" s="18" t="s">
        <v>43</v>
      </c>
    </row>
    <row r="35" spans="1:5" x14ac:dyDescent="0.2">
      <c r="A35" s="18" t="s">
        <v>44</v>
      </c>
      <c r="B35" s="18"/>
      <c r="C35" s="39" t="s">
        <v>46</v>
      </c>
      <c r="D35" s="19" t="s">
        <v>45</v>
      </c>
    </row>
    <row r="36" spans="1:5" x14ac:dyDescent="0.2">
      <c r="A36" s="9" t="s">
        <v>70</v>
      </c>
      <c r="C36" s="40">
        <v>11.909800000000001</v>
      </c>
      <c r="D36" s="40">
        <v>12.1473</v>
      </c>
    </row>
    <row r="37" spans="1:5" x14ac:dyDescent="0.2">
      <c r="A37" s="9" t="s">
        <v>1052</v>
      </c>
      <c r="C37" s="40">
        <v>11.072900000000001</v>
      </c>
      <c r="D37" s="40">
        <v>10.5047</v>
      </c>
    </row>
    <row r="38" spans="1:5" x14ac:dyDescent="0.2">
      <c r="A38" s="9" t="s">
        <v>72</v>
      </c>
      <c r="C38" s="40">
        <v>10.677300000000001</v>
      </c>
      <c r="D38" s="40">
        <v>10.504</v>
      </c>
    </row>
    <row r="39" spans="1:5" x14ac:dyDescent="0.2">
      <c r="A39" s="9" t="s">
        <v>73</v>
      </c>
      <c r="C39" s="40">
        <v>11.950200000000001</v>
      </c>
      <c r="D39" s="40">
        <v>12.200799999999999</v>
      </c>
    </row>
    <row r="41" spans="1:5" x14ac:dyDescent="0.2">
      <c r="A41" s="18" t="s">
        <v>48</v>
      </c>
    </row>
    <row r="42" spans="1:5" x14ac:dyDescent="0.2">
      <c r="A42" s="77" t="s">
        <v>67</v>
      </c>
      <c r="B42" s="78"/>
      <c r="C42" s="44" t="s">
        <v>68</v>
      </c>
    </row>
    <row r="43" spans="1:5" x14ac:dyDescent="0.2">
      <c r="A43" s="73" t="s">
        <v>1052</v>
      </c>
      <c r="B43" s="74"/>
      <c r="C43" s="45">
        <v>0.78</v>
      </c>
    </row>
    <row r="44" spans="1:5" x14ac:dyDescent="0.2">
      <c r="A44" s="73" t="s">
        <v>72</v>
      </c>
      <c r="B44" s="74"/>
      <c r="C44" s="45">
        <v>0.38</v>
      </c>
    </row>
    <row r="45" spans="1:5" x14ac:dyDescent="0.2">
      <c r="A45" s="9" t="s">
        <v>69</v>
      </c>
    </row>
    <row r="46" spans="1:5" x14ac:dyDescent="0.2">
      <c r="A46" s="9" t="s">
        <v>47</v>
      </c>
    </row>
    <row r="48" spans="1:5" x14ac:dyDescent="0.2">
      <c r="A48" s="18" t="s">
        <v>824</v>
      </c>
      <c r="D48" s="42">
        <v>0.75908953791780798</v>
      </c>
      <c r="E48" s="13" t="s">
        <v>50</v>
      </c>
    </row>
    <row r="50" spans="1:7" x14ac:dyDescent="0.2">
      <c r="A50" s="18" t="s">
        <v>732</v>
      </c>
      <c r="D50" s="41" t="s">
        <v>49</v>
      </c>
    </row>
    <row r="52" spans="1:7" ht="14.4" x14ac:dyDescent="0.2">
      <c r="A52" s="79" t="s">
        <v>825</v>
      </c>
      <c r="B52" s="80"/>
      <c r="C52" s="80"/>
      <c r="D52" s="80"/>
      <c r="E52" s="80"/>
      <c r="F52" s="80"/>
      <c r="G52" s="80"/>
    </row>
    <row r="53" spans="1:7" x14ac:dyDescent="0.2">
      <c r="A53" s="47" t="s">
        <v>51</v>
      </c>
    </row>
    <row r="55" spans="1:7" x14ac:dyDescent="0.2">
      <c r="A55" s="47"/>
    </row>
  </sheetData>
  <mergeCells count="5">
    <mergeCell ref="A1:G1"/>
    <mergeCell ref="A42:B42"/>
    <mergeCell ref="A43:B43"/>
    <mergeCell ref="A44:B44"/>
    <mergeCell ref="A52:G52"/>
  </mergeCells>
  <conditionalFormatting sqref="F2:F3 F5:F51 F56:F65536">
    <cfRule type="cellIs" dxfId="132" priority="3" stopIfTrue="1" operator="between">
      <formula>0.009</formula>
      <formula>-0.009</formula>
    </cfRule>
  </conditionalFormatting>
  <conditionalFormatting sqref="F54:F55">
    <cfRule type="cellIs" dxfId="131" priority="2" stopIfTrue="1" operator="between">
      <formula>0.009</formula>
      <formula>-0.009</formula>
    </cfRule>
  </conditionalFormatting>
  <conditionalFormatting sqref="F53">
    <cfRule type="cellIs" dxfId="130" priority="1" stopIfTrue="1" operator="between">
      <formula>0.009</formula>
      <formula>-0.009</formula>
    </cfRule>
  </conditionalFormatting>
  <hyperlinks>
    <hyperlink ref="A53" r:id="rId1"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8"/>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1053</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964</v>
      </c>
      <c r="B7" s="27" t="s">
        <v>965</v>
      </c>
      <c r="C7" s="27" t="s">
        <v>34</v>
      </c>
      <c r="D7" s="31">
        <v>39</v>
      </c>
      <c r="E7" s="29">
        <v>489.79086000000001</v>
      </c>
      <c r="F7" s="30">
        <v>12.019777366685</v>
      </c>
      <c r="G7" s="29">
        <v>4.2949000000000002</v>
      </c>
    </row>
    <row r="8" spans="1:7" x14ac:dyDescent="0.2">
      <c r="A8" s="27" t="s">
        <v>1054</v>
      </c>
      <c r="B8" s="27" t="s">
        <v>1055</v>
      </c>
      <c r="C8" s="27" t="s">
        <v>34</v>
      </c>
      <c r="D8" s="31">
        <v>39</v>
      </c>
      <c r="E8" s="29">
        <v>403.55288999999999</v>
      </c>
      <c r="F8" s="30">
        <v>9.9034430603345793</v>
      </c>
      <c r="G8" s="29">
        <v>4.05</v>
      </c>
    </row>
    <row r="9" spans="1:7" x14ac:dyDescent="0.2">
      <c r="A9" s="27" t="s">
        <v>1056</v>
      </c>
      <c r="B9" s="27" t="s">
        <v>1057</v>
      </c>
      <c r="C9" s="27" t="s">
        <v>34</v>
      </c>
      <c r="D9" s="31">
        <v>39</v>
      </c>
      <c r="E9" s="29">
        <v>399.04604999999998</v>
      </c>
      <c r="F9" s="30">
        <v>9.7928423573584809</v>
      </c>
      <c r="G9" s="29">
        <v>3.87</v>
      </c>
    </row>
    <row r="10" spans="1:7" x14ac:dyDescent="0.2">
      <c r="A10" s="27" t="s">
        <v>934</v>
      </c>
      <c r="B10" s="27" t="s">
        <v>935</v>
      </c>
      <c r="C10" s="27" t="s">
        <v>34</v>
      </c>
      <c r="D10" s="31">
        <v>38</v>
      </c>
      <c r="E10" s="29">
        <v>385.17180000000002</v>
      </c>
      <c r="F10" s="30">
        <v>9.4523594905901493</v>
      </c>
      <c r="G10" s="29">
        <v>3.8351000000000002</v>
      </c>
    </row>
    <row r="11" spans="1:7" x14ac:dyDescent="0.2">
      <c r="A11" s="27" t="s">
        <v>1048</v>
      </c>
      <c r="B11" s="27" t="s">
        <v>1049</v>
      </c>
      <c r="C11" s="27" t="s">
        <v>875</v>
      </c>
      <c r="D11" s="31">
        <v>37</v>
      </c>
      <c r="E11" s="29">
        <v>382.21517999999998</v>
      </c>
      <c r="F11" s="30">
        <v>9.3798021665153595</v>
      </c>
      <c r="G11" s="29">
        <v>4.28</v>
      </c>
    </row>
    <row r="12" spans="1:7" x14ac:dyDescent="0.2">
      <c r="A12" s="27" t="s">
        <v>1044</v>
      </c>
      <c r="B12" s="27" t="s">
        <v>1045</v>
      </c>
      <c r="C12" s="27" t="s">
        <v>996</v>
      </c>
      <c r="D12" s="31">
        <v>29</v>
      </c>
      <c r="E12" s="29">
        <v>375.28465</v>
      </c>
      <c r="F12" s="30">
        <v>9.2097225786007701</v>
      </c>
      <c r="G12" s="29">
        <v>4.5449000000000002</v>
      </c>
    </row>
    <row r="13" spans="1:7" x14ac:dyDescent="0.2">
      <c r="A13" s="27" t="s">
        <v>970</v>
      </c>
      <c r="B13" s="27" t="s">
        <v>971</v>
      </c>
      <c r="C13" s="27" t="s">
        <v>34</v>
      </c>
      <c r="D13" s="31">
        <v>27</v>
      </c>
      <c r="E13" s="29">
        <v>348.86241000000001</v>
      </c>
      <c r="F13" s="30">
        <v>8.5613041039703592</v>
      </c>
      <c r="G13" s="29">
        <v>4.04</v>
      </c>
    </row>
    <row r="14" spans="1:7" x14ac:dyDescent="0.2">
      <c r="A14" s="27" t="s">
        <v>906</v>
      </c>
      <c r="B14" s="27" t="s">
        <v>907</v>
      </c>
      <c r="C14" s="27" t="s">
        <v>908</v>
      </c>
      <c r="D14" s="31">
        <v>34</v>
      </c>
      <c r="E14" s="29">
        <v>348.78899999999999</v>
      </c>
      <c r="F14" s="30">
        <v>8.5595025761580796</v>
      </c>
      <c r="G14" s="29">
        <v>5.0949999999999998</v>
      </c>
    </row>
    <row r="15" spans="1:7" x14ac:dyDescent="0.2">
      <c r="A15" s="27" t="s">
        <v>1050</v>
      </c>
      <c r="B15" s="27" t="s">
        <v>1051</v>
      </c>
      <c r="C15" s="27" t="s">
        <v>34</v>
      </c>
      <c r="D15" s="31">
        <v>24</v>
      </c>
      <c r="E15" s="29">
        <v>308.69904000000002</v>
      </c>
      <c r="F15" s="30">
        <v>7.5756696115345603</v>
      </c>
      <c r="G15" s="29">
        <v>5.4790999999999999</v>
      </c>
    </row>
    <row r="16" spans="1:7" x14ac:dyDescent="0.2">
      <c r="A16" s="27" t="s">
        <v>978</v>
      </c>
      <c r="B16" s="27" t="s">
        <v>979</v>
      </c>
      <c r="C16" s="27" t="s">
        <v>34</v>
      </c>
      <c r="D16" s="31">
        <v>19</v>
      </c>
      <c r="E16" s="29">
        <v>194.19121000000001</v>
      </c>
      <c r="F16" s="30">
        <v>4.7655750676261404</v>
      </c>
      <c r="G16" s="29">
        <v>4.4499000000000004</v>
      </c>
    </row>
    <row r="17" spans="1:9" x14ac:dyDescent="0.2">
      <c r="A17" s="27" t="s">
        <v>956</v>
      </c>
      <c r="B17" s="27" t="s">
        <v>957</v>
      </c>
      <c r="C17" s="27" t="s">
        <v>34</v>
      </c>
      <c r="D17" s="31">
        <v>13</v>
      </c>
      <c r="E17" s="29">
        <v>133.88648000000001</v>
      </c>
      <c r="F17" s="30">
        <v>3.2856588667439</v>
      </c>
      <c r="G17" s="29">
        <v>3.9001000000000001</v>
      </c>
    </row>
    <row r="18" spans="1:9" x14ac:dyDescent="0.2">
      <c r="A18" s="27" t="s">
        <v>917</v>
      </c>
      <c r="B18" s="27" t="s">
        <v>918</v>
      </c>
      <c r="C18" s="27" t="s">
        <v>34</v>
      </c>
      <c r="D18" s="31">
        <v>12</v>
      </c>
      <c r="E18" s="29">
        <v>123.74616</v>
      </c>
      <c r="F18" s="30">
        <v>3.0368090028919199</v>
      </c>
      <c r="G18" s="29">
        <v>4.18</v>
      </c>
    </row>
    <row r="19" spans="1:9" x14ac:dyDescent="0.2">
      <c r="A19" s="27" t="s">
        <v>1042</v>
      </c>
      <c r="B19" s="27" t="s">
        <v>1043</v>
      </c>
      <c r="C19" s="27" t="s">
        <v>34</v>
      </c>
      <c r="D19" s="31">
        <v>4</v>
      </c>
      <c r="E19" s="29">
        <v>52.55968</v>
      </c>
      <c r="F19" s="30">
        <v>1.28984777720067</v>
      </c>
      <c r="G19" s="29">
        <v>4.5</v>
      </c>
    </row>
    <row r="20" spans="1:9" x14ac:dyDescent="0.2">
      <c r="A20" s="27" t="s">
        <v>1058</v>
      </c>
      <c r="B20" s="27" t="s">
        <v>1059</v>
      </c>
      <c r="C20" s="27" t="s">
        <v>996</v>
      </c>
      <c r="D20" s="31">
        <v>1</v>
      </c>
      <c r="E20" s="29">
        <v>12.915699999999999</v>
      </c>
      <c r="F20" s="30">
        <v>0.31695944374072899</v>
      </c>
      <c r="G20" s="29">
        <v>4.8498999999999999</v>
      </c>
    </row>
    <row r="21" spans="1:9" x14ac:dyDescent="0.2">
      <c r="A21" s="27" t="s">
        <v>909</v>
      </c>
      <c r="B21" s="27" t="s">
        <v>910</v>
      </c>
      <c r="C21" s="27" t="s">
        <v>901</v>
      </c>
      <c r="D21" s="31">
        <v>1</v>
      </c>
      <c r="E21" s="29">
        <v>10.286759999999999</v>
      </c>
      <c r="F21" s="30">
        <v>0.25244359403627997</v>
      </c>
      <c r="G21" s="29">
        <v>5.41</v>
      </c>
    </row>
    <row r="22" spans="1:9" x14ac:dyDescent="0.2">
      <c r="A22" s="26" t="s">
        <v>35</v>
      </c>
      <c r="B22" s="26"/>
      <c r="C22" s="26"/>
      <c r="D22" s="32"/>
      <c r="E22" s="33">
        <f>SUM(E6:E21)</f>
        <v>3968.9978700000001</v>
      </c>
      <c r="F22" s="34">
        <f>SUM(F6:F21)</f>
        <v>97.401717063986993</v>
      </c>
      <c r="G22" s="33"/>
      <c r="H22" s="18"/>
      <c r="I22" s="18"/>
    </row>
    <row r="23" spans="1:9" x14ac:dyDescent="0.2">
      <c r="A23" s="27"/>
      <c r="B23" s="27"/>
      <c r="C23" s="27"/>
      <c r="D23" s="28"/>
      <c r="E23" s="29"/>
      <c r="F23" s="30"/>
      <c r="G23" s="29"/>
    </row>
    <row r="24" spans="1:9" x14ac:dyDescent="0.2">
      <c r="A24" s="26" t="s">
        <v>38</v>
      </c>
      <c r="B24" s="26"/>
      <c r="C24" s="26"/>
      <c r="D24" s="32"/>
      <c r="E24" s="33">
        <f>E22</f>
        <v>3968.9978700000001</v>
      </c>
      <c r="F24" s="34">
        <f>F22</f>
        <v>97.401717063986993</v>
      </c>
      <c r="G24" s="33"/>
      <c r="H24" s="18"/>
      <c r="I24" s="18"/>
    </row>
    <row r="25" spans="1:9" x14ac:dyDescent="0.2">
      <c r="A25" s="26"/>
      <c r="B25" s="26"/>
      <c r="C25" s="26"/>
      <c r="D25" s="32"/>
      <c r="E25" s="33"/>
      <c r="F25" s="34"/>
      <c r="G25" s="33"/>
      <c r="H25" s="18"/>
      <c r="I25" s="18"/>
    </row>
    <row r="26" spans="1:9" x14ac:dyDescent="0.2">
      <c r="A26" s="26" t="s">
        <v>40</v>
      </c>
      <c r="B26" s="26"/>
      <c r="C26" s="26"/>
      <c r="D26" s="32"/>
      <c r="E26" s="33">
        <f>E28-(E22)</f>
        <v>105.87677249999979</v>
      </c>
      <c r="F26" s="34">
        <f>F28-(F22)</f>
        <v>2.5982829360130069</v>
      </c>
      <c r="G26" s="33"/>
      <c r="H26" s="18"/>
      <c r="I26" s="18"/>
    </row>
    <row r="27" spans="1:9" x14ac:dyDescent="0.2">
      <c r="A27" s="26"/>
      <c r="B27" s="26"/>
      <c r="C27" s="26"/>
      <c r="D27" s="32"/>
      <c r="E27" s="33"/>
      <c r="F27" s="34"/>
      <c r="G27" s="33"/>
      <c r="H27" s="18"/>
      <c r="I27" s="18"/>
    </row>
    <row r="28" spans="1:9" x14ac:dyDescent="0.2">
      <c r="A28" s="35" t="s">
        <v>39</v>
      </c>
      <c r="B28" s="35"/>
      <c r="C28" s="35"/>
      <c r="D28" s="36"/>
      <c r="E28" s="37">
        <v>4074.8746424999999</v>
      </c>
      <c r="F28" s="38">
        <v>100</v>
      </c>
      <c r="G28" s="37"/>
      <c r="H28" s="18"/>
      <c r="I28" s="18"/>
    </row>
    <row r="30" spans="1:9" x14ac:dyDescent="0.2">
      <c r="A30" s="18" t="s">
        <v>41</v>
      </c>
    </row>
    <row r="32" spans="1:9" x14ac:dyDescent="0.2">
      <c r="A32" s="18" t="s">
        <v>42</v>
      </c>
    </row>
    <row r="33" spans="1:4" x14ac:dyDescent="0.2">
      <c r="A33" s="18" t="s">
        <v>43</v>
      </c>
    </row>
    <row r="34" spans="1:4" x14ac:dyDescent="0.2">
      <c r="A34" s="18" t="s">
        <v>44</v>
      </c>
      <c r="B34" s="18"/>
      <c r="C34" s="39" t="s">
        <v>46</v>
      </c>
      <c r="D34" s="19" t="s">
        <v>45</v>
      </c>
    </row>
    <row r="35" spans="1:4" x14ac:dyDescent="0.2">
      <c r="A35" s="9" t="s">
        <v>70</v>
      </c>
      <c r="C35" s="40">
        <v>12.037000000000001</v>
      </c>
      <c r="D35" s="40">
        <v>12.2807</v>
      </c>
    </row>
    <row r="36" spans="1:4" x14ac:dyDescent="0.2">
      <c r="A36" s="9" t="s">
        <v>1052</v>
      </c>
      <c r="C36" s="40">
        <v>11.1746</v>
      </c>
      <c r="D36" s="40">
        <v>10.554399999999999</v>
      </c>
    </row>
    <row r="37" spans="1:4" x14ac:dyDescent="0.2">
      <c r="A37" s="9" t="s">
        <v>72</v>
      </c>
      <c r="C37" s="40">
        <v>10.5487</v>
      </c>
      <c r="D37" s="40">
        <v>10.3688</v>
      </c>
    </row>
    <row r="38" spans="1:4" x14ac:dyDescent="0.2">
      <c r="A38" s="9" t="s">
        <v>73</v>
      </c>
      <c r="C38" s="40">
        <v>12.08</v>
      </c>
      <c r="D38" s="40">
        <v>12.337199999999999</v>
      </c>
    </row>
    <row r="39" spans="1:4" x14ac:dyDescent="0.2">
      <c r="A39" s="9" t="s">
        <v>77</v>
      </c>
      <c r="C39" s="40">
        <v>11.215199999999999</v>
      </c>
      <c r="D39" s="40">
        <v>10.606</v>
      </c>
    </row>
    <row r="40" spans="1:4" x14ac:dyDescent="0.2">
      <c r="A40" s="9" t="s">
        <v>75</v>
      </c>
      <c r="C40" s="40">
        <v>10.5898</v>
      </c>
      <c r="D40" s="40">
        <v>10.421799999999999</v>
      </c>
    </row>
    <row r="42" spans="1:4" x14ac:dyDescent="0.2">
      <c r="A42" s="18" t="s">
        <v>48</v>
      </c>
    </row>
    <row r="43" spans="1:4" x14ac:dyDescent="0.2">
      <c r="A43" s="77" t="s">
        <v>67</v>
      </c>
      <c r="B43" s="78"/>
      <c r="C43" s="44" t="s">
        <v>68</v>
      </c>
    </row>
    <row r="44" spans="1:4" x14ac:dyDescent="0.2">
      <c r="A44" s="73" t="s">
        <v>1052</v>
      </c>
      <c r="B44" s="74"/>
      <c r="C44" s="45">
        <v>0.83499999999999996</v>
      </c>
    </row>
    <row r="45" spans="1:4" x14ac:dyDescent="0.2">
      <c r="A45" s="73" t="s">
        <v>72</v>
      </c>
      <c r="B45" s="74"/>
      <c r="C45" s="45">
        <v>0.39</v>
      </c>
    </row>
    <row r="46" spans="1:4" x14ac:dyDescent="0.2">
      <c r="A46" s="73" t="s">
        <v>77</v>
      </c>
      <c r="B46" s="74"/>
      <c r="C46" s="45">
        <v>0.83499999999999996</v>
      </c>
    </row>
    <row r="47" spans="1:4" x14ac:dyDescent="0.2">
      <c r="A47" s="73" t="s">
        <v>75</v>
      </c>
      <c r="B47" s="74"/>
      <c r="C47" s="45">
        <v>0.39</v>
      </c>
    </row>
    <row r="48" spans="1:4" x14ac:dyDescent="0.2">
      <c r="A48" s="9" t="s">
        <v>69</v>
      </c>
    </row>
    <row r="49" spans="1:7" x14ac:dyDescent="0.2">
      <c r="A49" s="9" t="s">
        <v>47</v>
      </c>
    </row>
    <row r="51" spans="1:7" x14ac:dyDescent="0.2">
      <c r="A51" s="18" t="s">
        <v>824</v>
      </c>
      <c r="D51" s="42">
        <v>0.69204611580821895</v>
      </c>
      <c r="E51" s="13" t="s">
        <v>50</v>
      </c>
    </row>
    <row r="53" spans="1:7" x14ac:dyDescent="0.2">
      <c r="A53" s="18" t="s">
        <v>732</v>
      </c>
      <c r="D53" s="41" t="s">
        <v>49</v>
      </c>
    </row>
    <row r="55" spans="1:7" ht="14.4" x14ac:dyDescent="0.2">
      <c r="A55" s="79" t="s">
        <v>825</v>
      </c>
      <c r="B55" s="80"/>
      <c r="C55" s="80"/>
      <c r="D55" s="80"/>
      <c r="E55" s="80"/>
      <c r="F55" s="80"/>
      <c r="G55" s="80"/>
    </row>
    <row r="56" spans="1:7" x14ac:dyDescent="0.2">
      <c r="A56" s="47" t="s">
        <v>51</v>
      </c>
    </row>
    <row r="58" spans="1:7" x14ac:dyDescent="0.2">
      <c r="A58" s="47"/>
    </row>
  </sheetData>
  <mergeCells count="7">
    <mergeCell ref="A55:G55"/>
    <mergeCell ref="A1:G1"/>
    <mergeCell ref="A43:B43"/>
    <mergeCell ref="A44:B44"/>
    <mergeCell ref="A45:B45"/>
    <mergeCell ref="A46:B46"/>
    <mergeCell ref="A47:B47"/>
  </mergeCells>
  <conditionalFormatting sqref="F2:F3 F5:F54 F59:F65536">
    <cfRule type="cellIs" dxfId="129" priority="3" stopIfTrue="1" operator="between">
      <formula>0.009</formula>
      <formula>-0.009</formula>
    </cfRule>
  </conditionalFormatting>
  <conditionalFormatting sqref="F57:F58">
    <cfRule type="cellIs" dxfId="128" priority="2" stopIfTrue="1" operator="between">
      <formula>0.009</formula>
      <formula>-0.009</formula>
    </cfRule>
  </conditionalFormatting>
  <conditionalFormatting sqref="F56">
    <cfRule type="cellIs" dxfId="127" priority="1" stopIfTrue="1" operator="between">
      <formula>0.009</formula>
      <formula>-0.009</formula>
    </cfRule>
  </conditionalFormatting>
  <hyperlinks>
    <hyperlink ref="A56" r:id="rId1"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7"/>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1060</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1061</v>
      </c>
      <c r="B7" s="27" t="s">
        <v>1062</v>
      </c>
      <c r="C7" s="27" t="s">
        <v>34</v>
      </c>
      <c r="D7" s="31">
        <v>23</v>
      </c>
      <c r="E7" s="29">
        <v>299.71575999999999</v>
      </c>
      <c r="F7" s="30">
        <v>12.030507363728001</v>
      </c>
      <c r="G7" s="29">
        <v>4.5</v>
      </c>
    </row>
    <row r="8" spans="1:7" x14ac:dyDescent="0.2">
      <c r="A8" s="27" t="s">
        <v>1063</v>
      </c>
      <c r="B8" s="27" t="s">
        <v>1064</v>
      </c>
      <c r="C8" s="27" t="s">
        <v>34</v>
      </c>
      <c r="D8" s="31">
        <v>23</v>
      </c>
      <c r="E8" s="29">
        <v>297.63242000000002</v>
      </c>
      <c r="F8" s="30">
        <v>11.9468826747521</v>
      </c>
      <c r="G8" s="29">
        <v>4.4000000000000004</v>
      </c>
    </row>
    <row r="9" spans="1:7" x14ac:dyDescent="0.2">
      <c r="A9" s="27" t="s">
        <v>1048</v>
      </c>
      <c r="B9" s="27" t="s">
        <v>1049</v>
      </c>
      <c r="C9" s="27" t="s">
        <v>875</v>
      </c>
      <c r="D9" s="31">
        <v>24</v>
      </c>
      <c r="E9" s="29">
        <v>247.92336</v>
      </c>
      <c r="F9" s="30">
        <v>9.9515748124829297</v>
      </c>
      <c r="G9" s="29">
        <v>4.28</v>
      </c>
    </row>
    <row r="10" spans="1:7" x14ac:dyDescent="0.2">
      <c r="A10" s="27" t="s">
        <v>1056</v>
      </c>
      <c r="B10" s="27" t="s">
        <v>1057</v>
      </c>
      <c r="C10" s="27" t="s">
        <v>34</v>
      </c>
      <c r="D10" s="31">
        <v>24</v>
      </c>
      <c r="E10" s="29">
        <v>245.5668</v>
      </c>
      <c r="F10" s="30">
        <v>9.8569831485908903</v>
      </c>
      <c r="G10" s="29">
        <v>3.87</v>
      </c>
    </row>
    <row r="11" spans="1:7" x14ac:dyDescent="0.2">
      <c r="A11" s="27" t="s">
        <v>1054</v>
      </c>
      <c r="B11" s="27" t="s">
        <v>1055</v>
      </c>
      <c r="C11" s="27" t="s">
        <v>34</v>
      </c>
      <c r="D11" s="31">
        <v>23</v>
      </c>
      <c r="E11" s="29">
        <v>237.99272999999999</v>
      </c>
      <c r="F11" s="30">
        <v>9.5529620824034094</v>
      </c>
      <c r="G11" s="29">
        <v>4.05</v>
      </c>
    </row>
    <row r="12" spans="1:7" x14ac:dyDescent="0.2">
      <c r="A12" s="27" t="s">
        <v>934</v>
      </c>
      <c r="B12" s="27" t="s">
        <v>935</v>
      </c>
      <c r="C12" s="27" t="s">
        <v>34</v>
      </c>
      <c r="D12" s="31">
        <v>23</v>
      </c>
      <c r="E12" s="29">
        <v>233.13030000000001</v>
      </c>
      <c r="F12" s="30">
        <v>9.3577854926884996</v>
      </c>
      <c r="G12" s="29">
        <v>3.8351000000000002</v>
      </c>
    </row>
    <row r="13" spans="1:7" x14ac:dyDescent="0.2">
      <c r="A13" s="27" t="s">
        <v>1058</v>
      </c>
      <c r="B13" s="27" t="s">
        <v>1059</v>
      </c>
      <c r="C13" s="27" t="s">
        <v>996</v>
      </c>
      <c r="D13" s="31">
        <v>18</v>
      </c>
      <c r="E13" s="29">
        <v>232.48259999999999</v>
      </c>
      <c r="F13" s="30">
        <v>9.3317869945798702</v>
      </c>
      <c r="G13" s="29">
        <v>4.8498999999999999</v>
      </c>
    </row>
    <row r="14" spans="1:7" x14ac:dyDescent="0.2">
      <c r="A14" s="27" t="s">
        <v>906</v>
      </c>
      <c r="B14" s="27" t="s">
        <v>907</v>
      </c>
      <c r="C14" s="27" t="s">
        <v>908</v>
      </c>
      <c r="D14" s="31">
        <v>21</v>
      </c>
      <c r="E14" s="29">
        <v>215.42850000000001</v>
      </c>
      <c r="F14" s="30">
        <v>8.6472401571638002</v>
      </c>
      <c r="G14" s="29">
        <v>5.0949999999999998</v>
      </c>
    </row>
    <row r="15" spans="1:7" x14ac:dyDescent="0.2">
      <c r="A15" s="27" t="s">
        <v>1050</v>
      </c>
      <c r="B15" s="27" t="s">
        <v>1051</v>
      </c>
      <c r="C15" s="27" t="s">
        <v>34</v>
      </c>
      <c r="D15" s="31">
        <v>14</v>
      </c>
      <c r="E15" s="29">
        <v>180.07444000000001</v>
      </c>
      <c r="F15" s="30">
        <v>7.2281380079552298</v>
      </c>
      <c r="G15" s="29">
        <v>5.4790999999999999</v>
      </c>
    </row>
    <row r="16" spans="1:7" x14ac:dyDescent="0.2">
      <c r="A16" s="27" t="s">
        <v>978</v>
      </c>
      <c r="B16" s="27" t="s">
        <v>979</v>
      </c>
      <c r="C16" s="27" t="s">
        <v>34</v>
      </c>
      <c r="D16" s="31">
        <v>11</v>
      </c>
      <c r="E16" s="29">
        <v>112.42649</v>
      </c>
      <c r="F16" s="30">
        <v>4.51276808341039</v>
      </c>
      <c r="G16" s="29">
        <v>4.4499000000000004</v>
      </c>
    </row>
    <row r="17" spans="1:9" x14ac:dyDescent="0.2">
      <c r="A17" s="27" t="s">
        <v>917</v>
      </c>
      <c r="B17" s="27" t="s">
        <v>918</v>
      </c>
      <c r="C17" s="27" t="s">
        <v>34</v>
      </c>
      <c r="D17" s="31">
        <v>6</v>
      </c>
      <c r="E17" s="29">
        <v>61.873080000000002</v>
      </c>
      <c r="F17" s="30">
        <v>2.4835682466498601</v>
      </c>
      <c r="G17" s="29">
        <v>4.18</v>
      </c>
    </row>
    <row r="18" spans="1:9" x14ac:dyDescent="0.2">
      <c r="A18" s="27" t="s">
        <v>956</v>
      </c>
      <c r="B18" s="27" t="s">
        <v>957</v>
      </c>
      <c r="C18" s="27" t="s">
        <v>34</v>
      </c>
      <c r="D18" s="31">
        <v>3</v>
      </c>
      <c r="E18" s="29">
        <v>30.896879999999999</v>
      </c>
      <c r="F18" s="30">
        <v>1.2401921819400501</v>
      </c>
      <c r="G18" s="29">
        <v>3.9001000000000001</v>
      </c>
    </row>
    <row r="19" spans="1:9" x14ac:dyDescent="0.2">
      <c r="A19" s="27" t="s">
        <v>921</v>
      </c>
      <c r="B19" s="27" t="s">
        <v>922</v>
      </c>
      <c r="C19" s="27" t="s">
        <v>34</v>
      </c>
      <c r="D19" s="31">
        <v>2</v>
      </c>
      <c r="E19" s="29">
        <v>20.55874</v>
      </c>
      <c r="F19" s="30">
        <v>0.82522211364183395</v>
      </c>
      <c r="G19" s="29">
        <v>3.915</v>
      </c>
    </row>
    <row r="20" spans="1:9" x14ac:dyDescent="0.2">
      <c r="A20" s="27" t="s">
        <v>1065</v>
      </c>
      <c r="B20" s="27" t="s">
        <v>1066</v>
      </c>
      <c r="C20" s="27" t="s">
        <v>875</v>
      </c>
      <c r="D20" s="31">
        <v>1</v>
      </c>
      <c r="E20" s="29">
        <v>10.481859999999999</v>
      </c>
      <c r="F20" s="30">
        <v>0.42073894918160298</v>
      </c>
      <c r="G20" s="29">
        <v>4.7748999999999997</v>
      </c>
    </row>
    <row r="21" spans="1:9" x14ac:dyDescent="0.2">
      <c r="A21" s="26" t="s">
        <v>35</v>
      </c>
      <c r="B21" s="26"/>
      <c r="C21" s="26"/>
      <c r="D21" s="32"/>
      <c r="E21" s="33">
        <f>SUM(E6:E20)</f>
        <v>2426.1839599999994</v>
      </c>
      <c r="F21" s="34">
        <f>SUM(F6:F20)</f>
        <v>97.386350309168449</v>
      </c>
      <c r="G21" s="33"/>
      <c r="H21" s="18"/>
      <c r="I21" s="18"/>
    </row>
    <row r="22" spans="1:9" x14ac:dyDescent="0.2">
      <c r="A22" s="27"/>
      <c r="B22" s="27"/>
      <c r="C22" s="27"/>
      <c r="D22" s="28"/>
      <c r="E22" s="29"/>
      <c r="F22" s="30"/>
      <c r="G22" s="29"/>
    </row>
    <row r="23" spans="1:9" x14ac:dyDescent="0.2">
      <c r="A23" s="26" t="s">
        <v>38</v>
      </c>
      <c r="B23" s="26"/>
      <c r="C23" s="26"/>
      <c r="D23" s="32"/>
      <c r="E23" s="33">
        <f>E21</f>
        <v>2426.1839599999994</v>
      </c>
      <c r="F23" s="34">
        <f>F21</f>
        <v>97.386350309168449</v>
      </c>
      <c r="G23" s="33"/>
      <c r="H23" s="18"/>
      <c r="I23" s="18"/>
    </row>
    <row r="24" spans="1:9" x14ac:dyDescent="0.2">
      <c r="A24" s="26"/>
      <c r="B24" s="26"/>
      <c r="C24" s="26"/>
      <c r="D24" s="32"/>
      <c r="E24" s="33"/>
      <c r="F24" s="34"/>
      <c r="G24" s="33"/>
      <c r="H24" s="18"/>
      <c r="I24" s="18"/>
    </row>
    <row r="25" spans="1:9" x14ac:dyDescent="0.2">
      <c r="A25" s="26" t="s">
        <v>40</v>
      </c>
      <c r="B25" s="26"/>
      <c r="C25" s="26"/>
      <c r="D25" s="32"/>
      <c r="E25" s="33">
        <f>E27-(E21)</f>
        <v>65.1137961000004</v>
      </c>
      <c r="F25" s="34">
        <f>F27-(F21)</f>
        <v>2.6136496908315507</v>
      </c>
      <c r="G25" s="33"/>
      <c r="H25" s="18"/>
      <c r="I25" s="18"/>
    </row>
    <row r="26" spans="1:9" x14ac:dyDescent="0.2">
      <c r="A26" s="26"/>
      <c r="B26" s="26"/>
      <c r="C26" s="26"/>
      <c r="D26" s="32"/>
      <c r="E26" s="33"/>
      <c r="F26" s="34"/>
      <c r="G26" s="33"/>
      <c r="H26" s="18"/>
      <c r="I26" s="18"/>
    </row>
    <row r="27" spans="1:9" x14ac:dyDescent="0.2">
      <c r="A27" s="35" t="s">
        <v>39</v>
      </c>
      <c r="B27" s="35"/>
      <c r="C27" s="35"/>
      <c r="D27" s="36"/>
      <c r="E27" s="37">
        <v>2491.2977560999998</v>
      </c>
      <c r="F27" s="38">
        <v>100</v>
      </c>
      <c r="G27" s="37"/>
      <c r="H27" s="18"/>
      <c r="I27" s="18"/>
    </row>
    <row r="29" spans="1:9" x14ac:dyDescent="0.2">
      <c r="A29" s="18" t="s">
        <v>41</v>
      </c>
    </row>
    <row r="31" spans="1:9" x14ac:dyDescent="0.2">
      <c r="A31" s="18" t="s">
        <v>42</v>
      </c>
    </row>
    <row r="32" spans="1:9" x14ac:dyDescent="0.2">
      <c r="A32" s="18" t="s">
        <v>43</v>
      </c>
    </row>
    <row r="33" spans="1:4" x14ac:dyDescent="0.2">
      <c r="A33" s="18" t="s">
        <v>44</v>
      </c>
      <c r="B33" s="18"/>
      <c r="C33" s="39" t="s">
        <v>46</v>
      </c>
      <c r="D33" s="19" t="s">
        <v>45</v>
      </c>
    </row>
    <row r="34" spans="1:4" x14ac:dyDescent="0.2">
      <c r="A34" s="9" t="s">
        <v>70</v>
      </c>
      <c r="C34" s="40">
        <v>12.1058</v>
      </c>
      <c r="D34" s="40">
        <v>12.362299999999999</v>
      </c>
    </row>
    <row r="35" spans="1:4" x14ac:dyDescent="0.2">
      <c r="A35" s="9" t="s">
        <v>1052</v>
      </c>
      <c r="C35" s="40">
        <v>11.293100000000001</v>
      </c>
      <c r="D35" s="40">
        <v>10.636100000000001</v>
      </c>
    </row>
    <row r="36" spans="1:4" x14ac:dyDescent="0.2">
      <c r="A36" s="9" t="s">
        <v>72</v>
      </c>
      <c r="C36" s="40">
        <v>10.6189</v>
      </c>
      <c r="D36" s="40">
        <v>10.459</v>
      </c>
    </row>
    <row r="37" spans="1:4" x14ac:dyDescent="0.2">
      <c r="A37" s="9" t="s">
        <v>73</v>
      </c>
      <c r="C37" s="40">
        <v>12.161799999999999</v>
      </c>
      <c r="D37" s="40">
        <v>12.4352</v>
      </c>
    </row>
    <row r="38" spans="1:4" x14ac:dyDescent="0.2">
      <c r="A38" s="9" t="s">
        <v>77</v>
      </c>
      <c r="C38" s="40">
        <v>11.3475</v>
      </c>
      <c r="D38" s="40">
        <v>10.7056</v>
      </c>
    </row>
    <row r="39" spans="1:4" x14ac:dyDescent="0.2">
      <c r="A39" s="9" t="s">
        <v>75</v>
      </c>
      <c r="C39" s="40">
        <v>10.6716</v>
      </c>
      <c r="D39" s="40">
        <v>10.526400000000001</v>
      </c>
    </row>
    <row r="41" spans="1:4" x14ac:dyDescent="0.2">
      <c r="A41" s="18" t="s">
        <v>48</v>
      </c>
    </row>
    <row r="42" spans="1:4" x14ac:dyDescent="0.2">
      <c r="A42" s="77" t="s">
        <v>67</v>
      </c>
      <c r="B42" s="78"/>
      <c r="C42" s="44" t="s">
        <v>68</v>
      </c>
    </row>
    <row r="43" spans="1:4" x14ac:dyDescent="0.2">
      <c r="A43" s="73" t="s">
        <v>1052</v>
      </c>
      <c r="B43" s="74"/>
      <c r="C43" s="45">
        <v>0.88</v>
      </c>
    </row>
    <row r="44" spans="1:4" x14ac:dyDescent="0.2">
      <c r="A44" s="73" t="s">
        <v>72</v>
      </c>
      <c r="B44" s="74"/>
      <c r="C44" s="45">
        <v>0.38</v>
      </c>
    </row>
    <row r="45" spans="1:4" x14ac:dyDescent="0.2">
      <c r="A45" s="73" t="s">
        <v>77</v>
      </c>
      <c r="B45" s="74"/>
      <c r="C45" s="45">
        <v>0.88</v>
      </c>
    </row>
    <row r="46" spans="1:4" x14ac:dyDescent="0.2">
      <c r="A46" s="73" t="s">
        <v>75</v>
      </c>
      <c r="B46" s="74"/>
      <c r="C46" s="45">
        <v>0.38</v>
      </c>
    </row>
    <row r="47" spans="1:4" x14ac:dyDescent="0.2">
      <c r="A47" s="9" t="s">
        <v>69</v>
      </c>
    </row>
    <row r="48" spans="1:4" x14ac:dyDescent="0.2">
      <c r="A48" s="9" t="s">
        <v>47</v>
      </c>
    </row>
    <row r="50" spans="1:7" x14ac:dyDescent="0.2">
      <c r="A50" s="18" t="s">
        <v>824</v>
      </c>
      <c r="D50" s="42">
        <v>0.736691333178082</v>
      </c>
      <c r="E50" s="13" t="s">
        <v>50</v>
      </c>
    </row>
    <row r="52" spans="1:7" x14ac:dyDescent="0.2">
      <c r="A52" s="18" t="s">
        <v>732</v>
      </c>
      <c r="D52" s="41" t="s">
        <v>49</v>
      </c>
    </row>
    <row r="54" spans="1:7" ht="14.4" x14ac:dyDescent="0.2">
      <c r="A54" s="79" t="s">
        <v>825</v>
      </c>
      <c r="B54" s="80"/>
      <c r="C54" s="80"/>
      <c r="D54" s="80"/>
      <c r="E54" s="80"/>
      <c r="F54" s="80"/>
      <c r="G54" s="80"/>
    </row>
    <row r="55" spans="1:7" x14ac:dyDescent="0.2">
      <c r="A55" s="47" t="s">
        <v>51</v>
      </c>
    </row>
    <row r="57" spans="1:7" x14ac:dyDescent="0.2">
      <c r="A57" s="47"/>
    </row>
  </sheetData>
  <mergeCells count="7">
    <mergeCell ref="A54:G54"/>
    <mergeCell ref="A1:G1"/>
    <mergeCell ref="A42:B42"/>
    <mergeCell ref="A43:B43"/>
    <mergeCell ref="A44:B44"/>
    <mergeCell ref="A45:B45"/>
    <mergeCell ref="A46:B46"/>
  </mergeCells>
  <conditionalFormatting sqref="F2:F3 F5:F53 F58:F65536">
    <cfRule type="cellIs" dxfId="126" priority="3" stopIfTrue="1" operator="between">
      <formula>0.009</formula>
      <formula>-0.009</formula>
    </cfRule>
  </conditionalFormatting>
  <conditionalFormatting sqref="F56:F57">
    <cfRule type="cellIs" dxfId="125" priority="2" stopIfTrue="1" operator="between">
      <formula>0.009</formula>
      <formula>-0.009</formula>
    </cfRule>
  </conditionalFormatting>
  <conditionalFormatting sqref="F55">
    <cfRule type="cellIs" dxfId="124" priority="1" stopIfTrue="1" operator="between">
      <formula>0.009</formula>
      <formula>-0.009</formula>
    </cfRule>
  </conditionalFormatting>
  <hyperlinks>
    <hyperlink ref="A55" r:id="rId1" xr:uid="{00000000-0004-0000-0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1067</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1061</v>
      </c>
      <c r="B7" s="27" t="s">
        <v>1062</v>
      </c>
      <c r="C7" s="27" t="s">
        <v>34</v>
      </c>
      <c r="D7" s="31">
        <v>68</v>
      </c>
      <c r="E7" s="29">
        <v>886.11616000000004</v>
      </c>
      <c r="F7" s="30">
        <v>11.9031155584616</v>
      </c>
      <c r="G7" s="29">
        <v>4.5</v>
      </c>
    </row>
    <row r="8" spans="1:7" x14ac:dyDescent="0.2">
      <c r="A8" s="27" t="s">
        <v>1048</v>
      </c>
      <c r="B8" s="27" t="s">
        <v>1049</v>
      </c>
      <c r="C8" s="27" t="s">
        <v>875</v>
      </c>
      <c r="D8" s="31">
        <v>71</v>
      </c>
      <c r="E8" s="29">
        <v>733.43993999999998</v>
      </c>
      <c r="F8" s="30">
        <v>9.8522301647349906</v>
      </c>
      <c r="G8" s="29">
        <v>4.28</v>
      </c>
    </row>
    <row r="9" spans="1:7" x14ac:dyDescent="0.2">
      <c r="A9" s="27" t="s">
        <v>1056</v>
      </c>
      <c r="B9" s="27" t="s">
        <v>1057</v>
      </c>
      <c r="C9" s="27" t="s">
        <v>34</v>
      </c>
      <c r="D9" s="31">
        <v>71</v>
      </c>
      <c r="E9" s="29">
        <v>726.46844999999996</v>
      </c>
      <c r="F9" s="30">
        <v>9.7585827911393501</v>
      </c>
      <c r="G9" s="29">
        <v>3.87</v>
      </c>
    </row>
    <row r="10" spans="1:7" x14ac:dyDescent="0.2">
      <c r="A10" s="27" t="s">
        <v>1068</v>
      </c>
      <c r="B10" s="27" t="s">
        <v>1069</v>
      </c>
      <c r="C10" s="27" t="s">
        <v>931</v>
      </c>
      <c r="D10" s="31">
        <v>70000</v>
      </c>
      <c r="E10" s="29">
        <v>725.63120000000004</v>
      </c>
      <c r="F10" s="30">
        <v>9.7473360901409993</v>
      </c>
      <c r="G10" s="29">
        <v>4.6798999999999999</v>
      </c>
    </row>
    <row r="11" spans="1:7" x14ac:dyDescent="0.2">
      <c r="A11" s="27" t="s">
        <v>1054</v>
      </c>
      <c r="B11" s="27" t="s">
        <v>1055</v>
      </c>
      <c r="C11" s="27" t="s">
        <v>34</v>
      </c>
      <c r="D11" s="31">
        <v>70</v>
      </c>
      <c r="E11" s="29">
        <v>724.32569999999998</v>
      </c>
      <c r="F11" s="30">
        <v>9.7297994306565698</v>
      </c>
      <c r="G11" s="29">
        <v>4.05</v>
      </c>
    </row>
    <row r="12" spans="1:7" x14ac:dyDescent="0.2">
      <c r="A12" s="27" t="s">
        <v>906</v>
      </c>
      <c r="B12" s="27" t="s">
        <v>907</v>
      </c>
      <c r="C12" s="27" t="s">
        <v>908</v>
      </c>
      <c r="D12" s="31">
        <v>70</v>
      </c>
      <c r="E12" s="29">
        <v>718.09500000000003</v>
      </c>
      <c r="F12" s="30">
        <v>9.6461030198946798</v>
      </c>
      <c r="G12" s="29">
        <v>5.0949999999999998</v>
      </c>
    </row>
    <row r="13" spans="1:7" x14ac:dyDescent="0.2">
      <c r="A13" s="27" t="s">
        <v>934</v>
      </c>
      <c r="B13" s="27" t="s">
        <v>935</v>
      </c>
      <c r="C13" s="27" t="s">
        <v>34</v>
      </c>
      <c r="D13" s="31">
        <v>69</v>
      </c>
      <c r="E13" s="29">
        <v>699.39089999999999</v>
      </c>
      <c r="F13" s="30">
        <v>9.3948525927305706</v>
      </c>
      <c r="G13" s="29">
        <v>3.8351000000000002</v>
      </c>
    </row>
    <row r="14" spans="1:7" x14ac:dyDescent="0.2">
      <c r="A14" s="27" t="s">
        <v>976</v>
      </c>
      <c r="B14" s="27" t="s">
        <v>977</v>
      </c>
      <c r="C14" s="27" t="s">
        <v>875</v>
      </c>
      <c r="D14" s="31">
        <v>47</v>
      </c>
      <c r="E14" s="29">
        <v>617.71019000000001</v>
      </c>
      <c r="F14" s="30">
        <v>8.2976432494011494</v>
      </c>
      <c r="G14" s="29">
        <v>4.79</v>
      </c>
    </row>
    <row r="15" spans="1:7" x14ac:dyDescent="0.2">
      <c r="A15" s="27" t="s">
        <v>978</v>
      </c>
      <c r="B15" s="27" t="s">
        <v>979</v>
      </c>
      <c r="C15" s="27" t="s">
        <v>34</v>
      </c>
      <c r="D15" s="31">
        <v>37</v>
      </c>
      <c r="E15" s="29">
        <v>378.16183000000001</v>
      </c>
      <c r="F15" s="30">
        <v>5.0798125183602396</v>
      </c>
      <c r="G15" s="29">
        <v>4.4499000000000004</v>
      </c>
    </row>
    <row r="16" spans="1:7" x14ac:dyDescent="0.2">
      <c r="A16" s="27" t="s">
        <v>1065</v>
      </c>
      <c r="B16" s="27" t="s">
        <v>1066</v>
      </c>
      <c r="C16" s="27" t="s">
        <v>875</v>
      </c>
      <c r="D16" s="31">
        <v>31</v>
      </c>
      <c r="E16" s="29">
        <v>324.93765999999999</v>
      </c>
      <c r="F16" s="30">
        <v>4.3648572172254498</v>
      </c>
      <c r="G16" s="29">
        <v>4.7748999999999997</v>
      </c>
    </row>
    <row r="17" spans="1:9" x14ac:dyDescent="0.2">
      <c r="A17" s="27" t="s">
        <v>1058</v>
      </c>
      <c r="B17" s="27" t="s">
        <v>1059</v>
      </c>
      <c r="C17" s="27" t="s">
        <v>996</v>
      </c>
      <c r="D17" s="31">
        <v>20</v>
      </c>
      <c r="E17" s="29">
        <v>258.31400000000002</v>
      </c>
      <c r="F17" s="30">
        <v>3.4699078192733199</v>
      </c>
      <c r="G17" s="29">
        <v>4.8498999999999999</v>
      </c>
    </row>
    <row r="18" spans="1:9" x14ac:dyDescent="0.2">
      <c r="A18" s="27" t="s">
        <v>917</v>
      </c>
      <c r="B18" s="27" t="s">
        <v>918</v>
      </c>
      <c r="C18" s="27" t="s">
        <v>34</v>
      </c>
      <c r="D18" s="31">
        <v>22</v>
      </c>
      <c r="E18" s="29">
        <v>226.86796000000001</v>
      </c>
      <c r="F18" s="30">
        <v>3.0474961029854599</v>
      </c>
      <c r="G18" s="29">
        <v>4.18</v>
      </c>
    </row>
    <row r="19" spans="1:9" x14ac:dyDescent="0.2">
      <c r="A19" s="27" t="s">
        <v>878</v>
      </c>
      <c r="B19" s="27" t="s">
        <v>879</v>
      </c>
      <c r="C19" s="27" t="s">
        <v>880</v>
      </c>
      <c r="D19" s="31">
        <v>11</v>
      </c>
      <c r="E19" s="29">
        <v>114.80821</v>
      </c>
      <c r="F19" s="30">
        <v>1.5422079546434699</v>
      </c>
      <c r="G19" s="29">
        <v>3.9653</v>
      </c>
    </row>
    <row r="20" spans="1:9" x14ac:dyDescent="0.2">
      <c r="A20" s="27" t="s">
        <v>1046</v>
      </c>
      <c r="B20" s="27" t="s">
        <v>1047</v>
      </c>
      <c r="C20" s="27" t="s">
        <v>34</v>
      </c>
      <c r="D20" s="31">
        <v>2</v>
      </c>
      <c r="E20" s="29">
        <v>25.891919999999999</v>
      </c>
      <c r="F20" s="30">
        <v>0.34780374143096898</v>
      </c>
      <c r="G20" s="29">
        <v>4.4000000000000004</v>
      </c>
    </row>
    <row r="21" spans="1:9" x14ac:dyDescent="0.2">
      <c r="A21" s="27" t="s">
        <v>956</v>
      </c>
      <c r="B21" s="27" t="s">
        <v>957</v>
      </c>
      <c r="C21" s="27" t="s">
        <v>34</v>
      </c>
      <c r="D21" s="31">
        <v>1</v>
      </c>
      <c r="E21" s="29">
        <v>10.298959999999999</v>
      </c>
      <c r="F21" s="30">
        <v>0.13834496711128</v>
      </c>
      <c r="G21" s="29">
        <v>3.9001000000000001</v>
      </c>
    </row>
    <row r="22" spans="1:9" x14ac:dyDescent="0.2">
      <c r="A22" s="26" t="s">
        <v>35</v>
      </c>
      <c r="B22" s="26"/>
      <c r="C22" s="26"/>
      <c r="D22" s="32"/>
      <c r="E22" s="33">
        <f>SUM(E6:E21)</f>
        <v>7170.4580799999994</v>
      </c>
      <c r="F22" s="34">
        <f>SUM(F6:F21)</f>
        <v>96.320093218190095</v>
      </c>
      <c r="G22" s="33"/>
      <c r="H22" s="18"/>
      <c r="I22" s="18"/>
    </row>
    <row r="23" spans="1:9" x14ac:dyDescent="0.2">
      <c r="A23" s="27"/>
      <c r="B23" s="27"/>
      <c r="C23" s="27"/>
      <c r="D23" s="28"/>
      <c r="E23" s="29"/>
      <c r="F23" s="30"/>
      <c r="G23" s="29"/>
    </row>
    <row r="24" spans="1:9" x14ac:dyDescent="0.2">
      <c r="A24" s="26" t="s">
        <v>38</v>
      </c>
      <c r="B24" s="26"/>
      <c r="C24" s="26"/>
      <c r="D24" s="32"/>
      <c r="E24" s="33">
        <f>E22</f>
        <v>7170.4580799999994</v>
      </c>
      <c r="F24" s="34">
        <f>F22</f>
        <v>96.320093218190095</v>
      </c>
      <c r="G24" s="33"/>
      <c r="H24" s="18"/>
      <c r="I24" s="18"/>
    </row>
    <row r="25" spans="1:9" x14ac:dyDescent="0.2">
      <c r="A25" s="26"/>
      <c r="B25" s="26"/>
      <c r="C25" s="26"/>
      <c r="D25" s="32"/>
      <c r="E25" s="33"/>
      <c r="F25" s="34"/>
      <c r="G25" s="33"/>
      <c r="H25" s="18"/>
      <c r="I25" s="18"/>
    </row>
    <row r="26" spans="1:9" x14ac:dyDescent="0.2">
      <c r="A26" s="26" t="s">
        <v>40</v>
      </c>
      <c r="B26" s="26"/>
      <c r="C26" s="26"/>
      <c r="D26" s="32"/>
      <c r="E26" s="33">
        <f>E28-(E22)</f>
        <v>273.9471738000002</v>
      </c>
      <c r="F26" s="34">
        <f>F28-(F22)</f>
        <v>3.6799067818099047</v>
      </c>
      <c r="G26" s="33"/>
      <c r="H26" s="18"/>
      <c r="I26" s="18"/>
    </row>
    <row r="27" spans="1:9" x14ac:dyDescent="0.2">
      <c r="A27" s="26"/>
      <c r="B27" s="26"/>
      <c r="C27" s="26"/>
      <c r="D27" s="32"/>
      <c r="E27" s="33"/>
      <c r="F27" s="34"/>
      <c r="G27" s="33"/>
      <c r="H27" s="18"/>
      <c r="I27" s="18"/>
    </row>
    <row r="28" spans="1:9" x14ac:dyDescent="0.2">
      <c r="A28" s="35" t="s">
        <v>39</v>
      </c>
      <c r="B28" s="35"/>
      <c r="C28" s="35"/>
      <c r="D28" s="36"/>
      <c r="E28" s="37">
        <v>7444.4052537999996</v>
      </c>
      <c r="F28" s="38">
        <v>100</v>
      </c>
      <c r="G28" s="37"/>
      <c r="H28" s="18"/>
      <c r="I28" s="18"/>
    </row>
    <row r="30" spans="1:9" x14ac:dyDescent="0.2">
      <c r="A30" s="18" t="s">
        <v>41</v>
      </c>
    </row>
    <row r="32" spans="1:9" x14ac:dyDescent="0.2">
      <c r="A32" s="18" t="s">
        <v>42</v>
      </c>
    </row>
    <row r="33" spans="1:4" x14ac:dyDescent="0.2">
      <c r="A33" s="18" t="s">
        <v>43</v>
      </c>
    </row>
    <row r="34" spans="1:4" x14ac:dyDescent="0.2">
      <c r="A34" s="18" t="s">
        <v>44</v>
      </c>
      <c r="B34" s="18"/>
      <c r="C34" s="39" t="s">
        <v>46</v>
      </c>
      <c r="D34" s="19" t="s">
        <v>45</v>
      </c>
    </row>
    <row r="35" spans="1:4" x14ac:dyDescent="0.2">
      <c r="A35" s="9" t="s">
        <v>70</v>
      </c>
      <c r="C35" s="40">
        <v>12.129200000000001</v>
      </c>
      <c r="D35" s="40">
        <v>12.387700000000001</v>
      </c>
    </row>
    <row r="36" spans="1:4" x14ac:dyDescent="0.2">
      <c r="A36" s="9" t="s">
        <v>1052</v>
      </c>
      <c r="C36" s="40">
        <v>11.2849</v>
      </c>
      <c r="D36" s="40">
        <v>10.6394</v>
      </c>
    </row>
    <row r="37" spans="1:4" x14ac:dyDescent="0.2">
      <c r="A37" s="9" t="s">
        <v>72</v>
      </c>
      <c r="C37" s="40">
        <v>10.6197</v>
      </c>
      <c r="D37" s="40">
        <v>10.466200000000001</v>
      </c>
    </row>
    <row r="38" spans="1:4" x14ac:dyDescent="0.2">
      <c r="A38" s="9" t="s">
        <v>73</v>
      </c>
      <c r="C38" s="40">
        <v>12.186400000000001</v>
      </c>
      <c r="D38" s="40">
        <v>12.462</v>
      </c>
    </row>
    <row r="39" spans="1:4" x14ac:dyDescent="0.2">
      <c r="A39" s="9" t="s">
        <v>77</v>
      </c>
      <c r="C39" s="40">
        <v>11.340400000000001</v>
      </c>
      <c r="D39" s="40">
        <v>10.71</v>
      </c>
    </row>
    <row r="41" spans="1:4" x14ac:dyDescent="0.2">
      <c r="A41" s="18" t="s">
        <v>48</v>
      </c>
    </row>
    <row r="42" spans="1:4" x14ac:dyDescent="0.2">
      <c r="A42" s="77" t="s">
        <v>67</v>
      </c>
      <c r="B42" s="78"/>
      <c r="C42" s="44" t="s">
        <v>68</v>
      </c>
    </row>
    <row r="43" spans="1:4" x14ac:dyDescent="0.2">
      <c r="A43" s="73" t="s">
        <v>1052</v>
      </c>
      <c r="B43" s="74"/>
      <c r="C43" s="45">
        <v>0.87</v>
      </c>
    </row>
    <row r="44" spans="1:4" x14ac:dyDescent="0.2">
      <c r="A44" s="73" t="s">
        <v>72</v>
      </c>
      <c r="B44" s="74"/>
      <c r="C44" s="45">
        <v>0.375</v>
      </c>
    </row>
    <row r="45" spans="1:4" x14ac:dyDescent="0.2">
      <c r="A45" s="73" t="s">
        <v>77</v>
      </c>
      <c r="B45" s="74"/>
      <c r="C45" s="45">
        <v>0.87</v>
      </c>
    </row>
    <row r="46" spans="1:4" x14ac:dyDescent="0.2">
      <c r="A46" s="9" t="s">
        <v>69</v>
      </c>
    </row>
    <row r="47" spans="1:4" x14ac:dyDescent="0.2">
      <c r="A47" s="9" t="s">
        <v>47</v>
      </c>
    </row>
    <row r="49" spans="1:7" x14ac:dyDescent="0.2">
      <c r="A49" s="18" t="s">
        <v>824</v>
      </c>
      <c r="D49" s="42">
        <v>0.72938603852054795</v>
      </c>
      <c r="E49" s="13" t="s">
        <v>50</v>
      </c>
    </row>
    <row r="51" spans="1:7" x14ac:dyDescent="0.2">
      <c r="A51" s="18" t="s">
        <v>732</v>
      </c>
      <c r="D51" s="41" t="s">
        <v>49</v>
      </c>
    </row>
    <row r="53" spans="1:7" ht="14.4" x14ac:dyDescent="0.2">
      <c r="A53" s="79" t="s">
        <v>825</v>
      </c>
      <c r="B53" s="80"/>
      <c r="C53" s="80"/>
      <c r="D53" s="80"/>
      <c r="E53" s="80"/>
      <c r="F53" s="80"/>
      <c r="G53" s="80"/>
    </row>
    <row r="54" spans="1:7" x14ac:dyDescent="0.2">
      <c r="A54" s="47" t="s">
        <v>51</v>
      </c>
    </row>
    <row r="56" spans="1:7" x14ac:dyDescent="0.2">
      <c r="A56" s="47"/>
    </row>
  </sheetData>
  <mergeCells count="6">
    <mergeCell ref="A53:G53"/>
    <mergeCell ref="A1:G1"/>
    <mergeCell ref="A42:B42"/>
    <mergeCell ref="A43:B43"/>
    <mergeCell ref="A44:B44"/>
    <mergeCell ref="A45:B45"/>
  </mergeCells>
  <conditionalFormatting sqref="F2:F3 F5:F52 F57:F65536">
    <cfRule type="cellIs" dxfId="123" priority="3" stopIfTrue="1" operator="between">
      <formula>0.009</formula>
      <formula>-0.009</formula>
    </cfRule>
  </conditionalFormatting>
  <conditionalFormatting sqref="F55:F56">
    <cfRule type="cellIs" dxfId="122" priority="2" stopIfTrue="1" operator="between">
      <formula>0.009</formula>
      <formula>-0.009</formula>
    </cfRule>
  </conditionalFormatting>
  <conditionalFormatting sqref="F54">
    <cfRule type="cellIs" dxfId="121" priority="1" stopIfTrue="1" operator="between">
      <formula>0.009</formula>
      <formula>-0.009</formula>
    </cfRule>
  </conditionalFormatting>
  <hyperlinks>
    <hyperlink ref="A54" r:id="rId1"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0"/>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1070</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927</v>
      </c>
      <c r="B7" s="27" t="s">
        <v>928</v>
      </c>
      <c r="C7" s="27" t="s">
        <v>34</v>
      </c>
      <c r="D7" s="31">
        <v>37</v>
      </c>
      <c r="E7" s="29">
        <v>476.45603</v>
      </c>
      <c r="F7" s="30">
        <v>12.0146218999423</v>
      </c>
      <c r="G7" s="29">
        <v>4.1500000000000004</v>
      </c>
    </row>
    <row r="8" spans="1:7" x14ac:dyDescent="0.2">
      <c r="A8" s="27" t="s">
        <v>1024</v>
      </c>
      <c r="B8" s="27" t="s">
        <v>1025</v>
      </c>
      <c r="C8" s="27" t="s">
        <v>931</v>
      </c>
      <c r="D8" s="31">
        <v>37</v>
      </c>
      <c r="E8" s="29">
        <v>381.75378999999998</v>
      </c>
      <c r="F8" s="30">
        <v>9.6265492656688405</v>
      </c>
      <c r="G8" s="29">
        <v>4.0500999999999996</v>
      </c>
    </row>
    <row r="9" spans="1:7" x14ac:dyDescent="0.2">
      <c r="A9" s="27" t="s">
        <v>978</v>
      </c>
      <c r="B9" s="27" t="s">
        <v>979</v>
      </c>
      <c r="C9" s="27" t="s">
        <v>34</v>
      </c>
      <c r="D9" s="31">
        <v>37</v>
      </c>
      <c r="E9" s="29">
        <v>378.16183000000001</v>
      </c>
      <c r="F9" s="30">
        <v>9.5359720905206604</v>
      </c>
      <c r="G9" s="29">
        <v>4.4499000000000004</v>
      </c>
    </row>
    <row r="10" spans="1:7" x14ac:dyDescent="0.2">
      <c r="A10" s="27" t="s">
        <v>1065</v>
      </c>
      <c r="B10" s="27" t="s">
        <v>1066</v>
      </c>
      <c r="C10" s="27" t="s">
        <v>875</v>
      </c>
      <c r="D10" s="31">
        <v>36</v>
      </c>
      <c r="E10" s="29">
        <v>377.34696000000002</v>
      </c>
      <c r="F10" s="30">
        <v>9.5154238041497106</v>
      </c>
      <c r="G10" s="29">
        <v>4.7748999999999997</v>
      </c>
    </row>
    <row r="11" spans="1:7" x14ac:dyDescent="0.2">
      <c r="A11" s="27" t="s">
        <v>934</v>
      </c>
      <c r="B11" s="27" t="s">
        <v>935</v>
      </c>
      <c r="C11" s="27" t="s">
        <v>34</v>
      </c>
      <c r="D11" s="31">
        <v>36</v>
      </c>
      <c r="E11" s="29">
        <v>364.89960000000002</v>
      </c>
      <c r="F11" s="30">
        <v>9.2015431632593696</v>
      </c>
      <c r="G11" s="29">
        <v>3.8351000000000002</v>
      </c>
    </row>
    <row r="12" spans="1:7" x14ac:dyDescent="0.2">
      <c r="A12" s="27" t="s">
        <v>906</v>
      </c>
      <c r="B12" s="27" t="s">
        <v>907</v>
      </c>
      <c r="C12" s="27" t="s">
        <v>908</v>
      </c>
      <c r="D12" s="31">
        <v>33</v>
      </c>
      <c r="E12" s="29">
        <v>338.53050000000002</v>
      </c>
      <c r="F12" s="30">
        <v>8.5366029664865994</v>
      </c>
      <c r="G12" s="29">
        <v>5.0949999999999998</v>
      </c>
    </row>
    <row r="13" spans="1:7" x14ac:dyDescent="0.2">
      <c r="A13" s="27" t="s">
        <v>956</v>
      </c>
      <c r="B13" s="27" t="s">
        <v>957</v>
      </c>
      <c r="C13" s="27" t="s">
        <v>34</v>
      </c>
      <c r="D13" s="31">
        <v>27</v>
      </c>
      <c r="E13" s="29">
        <v>278.07191999999998</v>
      </c>
      <c r="F13" s="30">
        <v>7.0120405020186496</v>
      </c>
      <c r="G13" s="29">
        <v>3.9001000000000001</v>
      </c>
    </row>
    <row r="14" spans="1:7" x14ac:dyDescent="0.2">
      <c r="A14" s="27" t="s">
        <v>1071</v>
      </c>
      <c r="B14" s="27" t="s">
        <v>1072</v>
      </c>
      <c r="C14" s="27" t="s">
        <v>34</v>
      </c>
      <c r="D14" s="31">
        <v>21</v>
      </c>
      <c r="E14" s="29">
        <v>273.96999</v>
      </c>
      <c r="F14" s="30">
        <v>6.90860359513339</v>
      </c>
      <c r="G14" s="29">
        <v>5.4791999999999996</v>
      </c>
    </row>
    <row r="15" spans="1:7" x14ac:dyDescent="0.2">
      <c r="A15" s="27" t="s">
        <v>966</v>
      </c>
      <c r="B15" s="27" t="s">
        <v>967</v>
      </c>
      <c r="C15" s="27" t="s">
        <v>931</v>
      </c>
      <c r="D15" s="31">
        <v>20</v>
      </c>
      <c r="E15" s="29">
        <v>206.0924</v>
      </c>
      <c r="F15" s="30">
        <v>5.1969585996249803</v>
      </c>
      <c r="G15" s="29">
        <v>3.9</v>
      </c>
    </row>
    <row r="16" spans="1:7" x14ac:dyDescent="0.2">
      <c r="A16" s="27" t="s">
        <v>976</v>
      </c>
      <c r="B16" s="27" t="s">
        <v>977</v>
      </c>
      <c r="C16" s="27" t="s">
        <v>875</v>
      </c>
      <c r="D16" s="31">
        <v>12</v>
      </c>
      <c r="E16" s="29">
        <v>157.71324000000001</v>
      </c>
      <c r="F16" s="30">
        <v>3.9769985642008998</v>
      </c>
      <c r="G16" s="29">
        <v>4.79</v>
      </c>
    </row>
    <row r="17" spans="1:9" x14ac:dyDescent="0.2">
      <c r="A17" s="27" t="s">
        <v>970</v>
      </c>
      <c r="B17" s="27" t="s">
        <v>971</v>
      </c>
      <c r="C17" s="27" t="s">
        <v>34</v>
      </c>
      <c r="D17" s="31">
        <v>8</v>
      </c>
      <c r="E17" s="29">
        <v>103.36664</v>
      </c>
      <c r="F17" s="30">
        <v>2.6065597210879199</v>
      </c>
      <c r="G17" s="29">
        <v>4.04</v>
      </c>
    </row>
    <row r="18" spans="1:9" x14ac:dyDescent="0.2">
      <c r="A18" s="27" t="s">
        <v>917</v>
      </c>
      <c r="B18" s="27" t="s">
        <v>918</v>
      </c>
      <c r="C18" s="27" t="s">
        <v>34</v>
      </c>
      <c r="D18" s="31">
        <v>10</v>
      </c>
      <c r="E18" s="29">
        <v>103.12179999999999</v>
      </c>
      <c r="F18" s="30">
        <v>2.6003856780687098</v>
      </c>
      <c r="G18" s="29">
        <v>4.18</v>
      </c>
    </row>
    <row r="19" spans="1:9" x14ac:dyDescent="0.2">
      <c r="A19" s="27" t="s">
        <v>1042</v>
      </c>
      <c r="B19" s="27" t="s">
        <v>1043</v>
      </c>
      <c r="C19" s="27" t="s">
        <v>34</v>
      </c>
      <c r="D19" s="31">
        <v>3</v>
      </c>
      <c r="E19" s="29">
        <v>39.419759999999997</v>
      </c>
      <c r="F19" s="30">
        <v>0.99403403874743901</v>
      </c>
      <c r="G19" s="29">
        <v>4.5</v>
      </c>
    </row>
    <row r="20" spans="1:9" x14ac:dyDescent="0.2">
      <c r="A20" s="27" t="s">
        <v>1058</v>
      </c>
      <c r="B20" s="27" t="s">
        <v>1059</v>
      </c>
      <c r="C20" s="27" t="s">
        <v>996</v>
      </c>
      <c r="D20" s="31">
        <v>3</v>
      </c>
      <c r="E20" s="29">
        <v>38.747100000000003</v>
      </c>
      <c r="F20" s="30">
        <v>0.97707181126295295</v>
      </c>
      <c r="G20" s="29">
        <v>4.8498999999999999</v>
      </c>
    </row>
    <row r="21" spans="1:9" x14ac:dyDescent="0.2">
      <c r="A21" s="27" t="s">
        <v>1073</v>
      </c>
      <c r="B21" s="27" t="s">
        <v>1074</v>
      </c>
      <c r="C21" s="27" t="s">
        <v>875</v>
      </c>
      <c r="D21" s="31">
        <v>3</v>
      </c>
      <c r="E21" s="29">
        <v>31.318650000000002</v>
      </c>
      <c r="F21" s="30">
        <v>0.78975123510689804</v>
      </c>
      <c r="G21" s="29">
        <v>4.6349999999999998</v>
      </c>
    </row>
    <row r="22" spans="1:9" x14ac:dyDescent="0.2">
      <c r="A22" s="27" t="s">
        <v>921</v>
      </c>
      <c r="B22" s="27" t="s">
        <v>922</v>
      </c>
      <c r="C22" s="27" t="s">
        <v>34</v>
      </c>
      <c r="D22" s="31">
        <v>3</v>
      </c>
      <c r="E22" s="29">
        <v>30.83811</v>
      </c>
      <c r="F22" s="30">
        <v>0.777633629190989</v>
      </c>
      <c r="G22" s="29">
        <v>3.915</v>
      </c>
    </row>
    <row r="23" spans="1:9" x14ac:dyDescent="0.2">
      <c r="A23" s="27" t="s">
        <v>1046</v>
      </c>
      <c r="B23" s="27" t="s">
        <v>1047</v>
      </c>
      <c r="C23" s="27" t="s">
        <v>34</v>
      </c>
      <c r="D23" s="31">
        <v>2</v>
      </c>
      <c r="E23" s="29">
        <v>25.891919999999999</v>
      </c>
      <c r="F23" s="30">
        <v>0.65290731877935304</v>
      </c>
      <c r="G23" s="29">
        <v>4.4000000000000004</v>
      </c>
    </row>
    <row r="24" spans="1:9" x14ac:dyDescent="0.2">
      <c r="A24" s="26" t="s">
        <v>35</v>
      </c>
      <c r="B24" s="26"/>
      <c r="C24" s="26"/>
      <c r="D24" s="32"/>
      <c r="E24" s="33">
        <f>SUM(E6:E23)</f>
        <v>3605.7002400000001</v>
      </c>
      <c r="F24" s="34">
        <f>SUM(F6:F23)</f>
        <v>90.923657883249646</v>
      </c>
      <c r="G24" s="33"/>
      <c r="H24" s="18"/>
      <c r="I24" s="18"/>
    </row>
    <row r="25" spans="1:9" x14ac:dyDescent="0.2">
      <c r="A25" s="27"/>
      <c r="B25" s="27"/>
      <c r="C25" s="27"/>
      <c r="D25" s="28"/>
      <c r="E25" s="29"/>
      <c r="F25" s="30"/>
      <c r="G25" s="29"/>
    </row>
    <row r="26" spans="1:9" x14ac:dyDescent="0.2">
      <c r="A26" s="26" t="s">
        <v>38</v>
      </c>
      <c r="B26" s="26"/>
      <c r="C26" s="26"/>
      <c r="D26" s="32"/>
      <c r="E26" s="33">
        <f>E24</f>
        <v>3605.7002400000001</v>
      </c>
      <c r="F26" s="34">
        <f>F24</f>
        <v>90.923657883249646</v>
      </c>
      <c r="G26" s="33"/>
      <c r="H26" s="18"/>
      <c r="I26" s="18"/>
    </row>
    <row r="27" spans="1:9" x14ac:dyDescent="0.2">
      <c r="A27" s="26"/>
      <c r="B27" s="26"/>
      <c r="C27" s="26"/>
      <c r="D27" s="32"/>
      <c r="E27" s="33"/>
      <c r="F27" s="34"/>
      <c r="G27" s="33"/>
      <c r="H27" s="18"/>
      <c r="I27" s="18"/>
    </row>
    <row r="28" spans="1:9" x14ac:dyDescent="0.2">
      <c r="A28" s="26" t="s">
        <v>40</v>
      </c>
      <c r="B28" s="26"/>
      <c r="C28" s="26"/>
      <c r="D28" s="32"/>
      <c r="E28" s="33">
        <f>E30-(E24)</f>
        <v>359.93458370000008</v>
      </c>
      <c r="F28" s="34">
        <f>F30-(F24)</f>
        <v>9.0763421167503537</v>
      </c>
      <c r="G28" s="33"/>
      <c r="H28" s="18"/>
      <c r="I28" s="18"/>
    </row>
    <row r="29" spans="1:9" x14ac:dyDescent="0.2">
      <c r="A29" s="26"/>
      <c r="B29" s="26"/>
      <c r="C29" s="26"/>
      <c r="D29" s="32"/>
      <c r="E29" s="33"/>
      <c r="F29" s="34"/>
      <c r="G29" s="33"/>
      <c r="H29" s="18"/>
      <c r="I29" s="18"/>
    </row>
    <row r="30" spans="1:9" x14ac:dyDescent="0.2">
      <c r="A30" s="35" t="s">
        <v>39</v>
      </c>
      <c r="B30" s="35"/>
      <c r="C30" s="35"/>
      <c r="D30" s="36"/>
      <c r="E30" s="37">
        <v>3965.6348237000002</v>
      </c>
      <c r="F30" s="38">
        <v>100</v>
      </c>
      <c r="G30" s="37"/>
      <c r="H30" s="18"/>
      <c r="I30" s="18"/>
    </row>
    <row r="32" spans="1:9" x14ac:dyDescent="0.2">
      <c r="A32" s="18" t="s">
        <v>41</v>
      </c>
    </row>
    <row r="34" spans="1:4" x14ac:dyDescent="0.2">
      <c r="A34" s="18" t="s">
        <v>42</v>
      </c>
    </row>
    <row r="35" spans="1:4" x14ac:dyDescent="0.2">
      <c r="A35" s="18" t="s">
        <v>43</v>
      </c>
    </row>
    <row r="36" spans="1:4" x14ac:dyDescent="0.2">
      <c r="A36" s="18" t="s">
        <v>44</v>
      </c>
      <c r="B36" s="18"/>
      <c r="C36" s="39" t="s">
        <v>46</v>
      </c>
      <c r="D36" s="19" t="s">
        <v>45</v>
      </c>
    </row>
    <row r="37" spans="1:4" x14ac:dyDescent="0.2">
      <c r="A37" s="9" t="s">
        <v>70</v>
      </c>
      <c r="C37" s="40">
        <v>12.2066</v>
      </c>
      <c r="D37" s="40">
        <v>12.4702</v>
      </c>
    </row>
    <row r="38" spans="1:4" x14ac:dyDescent="0.2">
      <c r="A38" s="9" t="s">
        <v>1052</v>
      </c>
      <c r="C38" s="40">
        <v>11.325699999999999</v>
      </c>
      <c r="D38" s="40">
        <v>10.734299999999999</v>
      </c>
    </row>
    <row r="39" spans="1:4" x14ac:dyDescent="0.2">
      <c r="A39" s="9" t="s">
        <v>72</v>
      </c>
      <c r="C39" s="40">
        <v>10.6915</v>
      </c>
      <c r="D39" s="40">
        <v>10.5212</v>
      </c>
    </row>
    <row r="40" spans="1:4" x14ac:dyDescent="0.2">
      <c r="A40" s="9" t="s">
        <v>73</v>
      </c>
      <c r="C40" s="40">
        <v>12.266</v>
      </c>
      <c r="D40" s="40">
        <v>12.5467</v>
      </c>
    </row>
    <row r="41" spans="1:4" x14ac:dyDescent="0.2">
      <c r="A41" s="9" t="s">
        <v>77</v>
      </c>
      <c r="C41" s="40">
        <v>11.3834</v>
      </c>
      <c r="D41" s="40">
        <v>10.807</v>
      </c>
    </row>
    <row r="42" spans="1:4" x14ac:dyDescent="0.2">
      <c r="A42" s="9" t="s">
        <v>75</v>
      </c>
      <c r="C42" s="40">
        <v>10.7507</v>
      </c>
      <c r="D42" s="40">
        <v>10.596399999999999</v>
      </c>
    </row>
    <row r="44" spans="1:4" x14ac:dyDescent="0.2">
      <c r="A44" s="18" t="s">
        <v>48</v>
      </c>
    </row>
    <row r="45" spans="1:4" x14ac:dyDescent="0.2">
      <c r="A45" s="77" t="s">
        <v>67</v>
      </c>
      <c r="B45" s="78"/>
      <c r="C45" s="44" t="s">
        <v>68</v>
      </c>
    </row>
    <row r="46" spans="1:4" x14ac:dyDescent="0.2">
      <c r="A46" s="73" t="s">
        <v>1052</v>
      </c>
      <c r="B46" s="74"/>
      <c r="C46" s="45">
        <v>0.82</v>
      </c>
    </row>
    <row r="47" spans="1:4" x14ac:dyDescent="0.2">
      <c r="A47" s="73" t="s">
        <v>72</v>
      </c>
      <c r="B47" s="74"/>
      <c r="C47" s="45">
        <v>0.39500000000000002</v>
      </c>
    </row>
    <row r="48" spans="1:4" x14ac:dyDescent="0.2">
      <c r="A48" s="73" t="s">
        <v>77</v>
      </c>
      <c r="B48" s="74"/>
      <c r="C48" s="45">
        <v>0.82</v>
      </c>
    </row>
    <row r="49" spans="1:7" x14ac:dyDescent="0.2">
      <c r="A49" s="73" t="s">
        <v>75</v>
      </c>
      <c r="B49" s="74"/>
      <c r="C49" s="45">
        <v>0.39500000000000002</v>
      </c>
    </row>
    <row r="50" spans="1:7" x14ac:dyDescent="0.2">
      <c r="A50" s="9" t="s">
        <v>69</v>
      </c>
    </row>
    <row r="51" spans="1:7" x14ac:dyDescent="0.2">
      <c r="A51" s="9" t="s">
        <v>47</v>
      </c>
    </row>
    <row r="53" spans="1:7" x14ac:dyDescent="0.2">
      <c r="A53" s="18" t="s">
        <v>824</v>
      </c>
      <c r="D53" s="42">
        <v>0.65112224082191805</v>
      </c>
      <c r="E53" s="13" t="s">
        <v>50</v>
      </c>
    </row>
    <row r="55" spans="1:7" x14ac:dyDescent="0.2">
      <c r="A55" s="18" t="s">
        <v>732</v>
      </c>
      <c r="D55" s="41" t="s">
        <v>49</v>
      </c>
    </row>
    <row r="57" spans="1:7" ht="14.4" x14ac:dyDescent="0.2">
      <c r="A57" s="79" t="s">
        <v>825</v>
      </c>
      <c r="B57" s="80"/>
      <c r="C57" s="80"/>
      <c r="D57" s="80"/>
      <c r="E57" s="80"/>
      <c r="F57" s="80"/>
      <c r="G57" s="80"/>
    </row>
    <row r="58" spans="1:7" x14ac:dyDescent="0.2">
      <c r="A58" s="47" t="s">
        <v>51</v>
      </c>
    </row>
    <row r="60" spans="1:7" x14ac:dyDescent="0.2">
      <c r="A60" s="47"/>
    </row>
  </sheetData>
  <mergeCells count="7">
    <mergeCell ref="A57:G57"/>
    <mergeCell ref="A1:G1"/>
    <mergeCell ref="A45:B45"/>
    <mergeCell ref="A46:B46"/>
    <mergeCell ref="A47:B47"/>
    <mergeCell ref="A48:B48"/>
    <mergeCell ref="A49:B49"/>
  </mergeCells>
  <conditionalFormatting sqref="F2:F3 F5:F56 F61:F65536">
    <cfRule type="cellIs" dxfId="120" priority="3" stopIfTrue="1" operator="between">
      <formula>0.009</formula>
      <formula>-0.009</formula>
    </cfRule>
  </conditionalFormatting>
  <conditionalFormatting sqref="F59:F60">
    <cfRule type="cellIs" dxfId="119" priority="2" stopIfTrue="1" operator="between">
      <formula>0.009</formula>
      <formula>-0.009</formula>
    </cfRule>
  </conditionalFormatting>
  <conditionalFormatting sqref="F58">
    <cfRule type="cellIs" dxfId="118" priority="1" stopIfTrue="1" operator="between">
      <formula>0.009</formula>
      <formula>-0.009</formula>
    </cfRule>
  </conditionalFormatting>
  <hyperlinks>
    <hyperlink ref="A58" r:id="rId1"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5"/>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1075</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927</v>
      </c>
      <c r="B7" s="27" t="s">
        <v>928</v>
      </c>
      <c r="C7" s="27" t="s">
        <v>34</v>
      </c>
      <c r="D7" s="31">
        <v>47</v>
      </c>
      <c r="E7" s="29">
        <v>605.22793000000001</v>
      </c>
      <c r="F7" s="30">
        <v>12.046484116232</v>
      </c>
      <c r="G7" s="29">
        <v>4.1500000000000004</v>
      </c>
    </row>
    <row r="8" spans="1:7" x14ac:dyDescent="0.2">
      <c r="A8" s="27" t="s">
        <v>976</v>
      </c>
      <c r="B8" s="27" t="s">
        <v>977</v>
      </c>
      <c r="C8" s="27" t="s">
        <v>875</v>
      </c>
      <c r="D8" s="31">
        <v>38</v>
      </c>
      <c r="E8" s="29">
        <v>499.42525999999998</v>
      </c>
      <c r="F8" s="30">
        <v>9.9405829830672392</v>
      </c>
      <c r="G8" s="29">
        <v>4.79</v>
      </c>
    </row>
    <row r="9" spans="1:7" x14ac:dyDescent="0.2">
      <c r="A9" s="27" t="s">
        <v>1024</v>
      </c>
      <c r="B9" s="27" t="s">
        <v>1025</v>
      </c>
      <c r="C9" s="27" t="s">
        <v>931</v>
      </c>
      <c r="D9" s="31">
        <v>47</v>
      </c>
      <c r="E9" s="29">
        <v>484.93049000000002</v>
      </c>
      <c r="F9" s="30">
        <v>9.6520784248367004</v>
      </c>
      <c r="G9" s="29">
        <v>4.0500999999999996</v>
      </c>
    </row>
    <row r="10" spans="1:7" x14ac:dyDescent="0.2">
      <c r="A10" s="27" t="s">
        <v>980</v>
      </c>
      <c r="B10" s="27" t="s">
        <v>981</v>
      </c>
      <c r="C10" s="27" t="s">
        <v>34</v>
      </c>
      <c r="D10" s="31">
        <v>47</v>
      </c>
      <c r="E10" s="29">
        <v>476.56402000000003</v>
      </c>
      <c r="F10" s="30">
        <v>9.48555182722259</v>
      </c>
      <c r="G10" s="29">
        <v>3.6890000000000001</v>
      </c>
    </row>
    <row r="11" spans="1:7" x14ac:dyDescent="0.2">
      <c r="A11" s="27" t="s">
        <v>934</v>
      </c>
      <c r="B11" s="27" t="s">
        <v>935</v>
      </c>
      <c r="C11" s="27" t="s">
        <v>34</v>
      </c>
      <c r="D11" s="31">
        <v>46</v>
      </c>
      <c r="E11" s="29">
        <v>466.26060000000001</v>
      </c>
      <c r="F11" s="30">
        <v>9.2804720891264605</v>
      </c>
      <c r="G11" s="29">
        <v>3.8351000000000002</v>
      </c>
    </row>
    <row r="12" spans="1:7" x14ac:dyDescent="0.2">
      <c r="A12" s="27" t="s">
        <v>921</v>
      </c>
      <c r="B12" s="27" t="s">
        <v>922</v>
      </c>
      <c r="C12" s="27" t="s">
        <v>34</v>
      </c>
      <c r="D12" s="31">
        <v>45</v>
      </c>
      <c r="E12" s="29">
        <v>462.57164999999998</v>
      </c>
      <c r="F12" s="30">
        <v>9.2070470613347393</v>
      </c>
      <c r="G12" s="29">
        <v>3.915</v>
      </c>
    </row>
    <row r="13" spans="1:7" x14ac:dyDescent="0.2">
      <c r="A13" s="27" t="s">
        <v>1071</v>
      </c>
      <c r="B13" s="27" t="s">
        <v>1072</v>
      </c>
      <c r="C13" s="27" t="s">
        <v>34</v>
      </c>
      <c r="D13" s="31">
        <v>29</v>
      </c>
      <c r="E13" s="29">
        <v>378.33951000000002</v>
      </c>
      <c r="F13" s="30">
        <v>7.5304867337467103</v>
      </c>
      <c r="G13" s="29">
        <v>5.4791999999999996</v>
      </c>
    </row>
    <row r="14" spans="1:7" x14ac:dyDescent="0.2">
      <c r="A14" s="27" t="s">
        <v>1076</v>
      </c>
      <c r="B14" s="27" t="s">
        <v>1077</v>
      </c>
      <c r="C14" s="27" t="s">
        <v>34</v>
      </c>
      <c r="D14" s="31">
        <v>35</v>
      </c>
      <c r="E14" s="29">
        <v>365.82315</v>
      </c>
      <c r="F14" s="30">
        <v>7.2813605377150097</v>
      </c>
      <c r="G14" s="29">
        <v>4.7031000000000001</v>
      </c>
    </row>
    <row r="15" spans="1:7" x14ac:dyDescent="0.2">
      <c r="A15" s="27" t="s">
        <v>978</v>
      </c>
      <c r="B15" s="27" t="s">
        <v>979</v>
      </c>
      <c r="C15" s="27" t="s">
        <v>34</v>
      </c>
      <c r="D15" s="31">
        <v>32</v>
      </c>
      <c r="E15" s="29">
        <v>327.05887999999999</v>
      </c>
      <c r="F15" s="30">
        <v>6.5097947528505697</v>
      </c>
      <c r="G15" s="29">
        <v>4.4499000000000004</v>
      </c>
    </row>
    <row r="16" spans="1:7" x14ac:dyDescent="0.2">
      <c r="A16" s="27" t="s">
        <v>956</v>
      </c>
      <c r="B16" s="27" t="s">
        <v>957</v>
      </c>
      <c r="C16" s="27" t="s">
        <v>34</v>
      </c>
      <c r="D16" s="31">
        <v>24</v>
      </c>
      <c r="E16" s="29">
        <v>247.17504</v>
      </c>
      <c r="F16" s="30">
        <v>4.9197831853017702</v>
      </c>
      <c r="G16" s="29">
        <v>3.9001000000000001</v>
      </c>
    </row>
    <row r="17" spans="1:9" x14ac:dyDescent="0.2">
      <c r="A17" s="27" t="s">
        <v>878</v>
      </c>
      <c r="B17" s="27" t="s">
        <v>879</v>
      </c>
      <c r="C17" s="27" t="s">
        <v>880</v>
      </c>
      <c r="D17" s="31">
        <v>22</v>
      </c>
      <c r="E17" s="29">
        <v>229.61642000000001</v>
      </c>
      <c r="F17" s="30">
        <v>4.5702956179766003</v>
      </c>
      <c r="G17" s="29">
        <v>3.9653</v>
      </c>
    </row>
    <row r="18" spans="1:9" x14ac:dyDescent="0.2">
      <c r="A18" s="27" t="s">
        <v>917</v>
      </c>
      <c r="B18" s="27" t="s">
        <v>918</v>
      </c>
      <c r="C18" s="27" t="s">
        <v>34</v>
      </c>
      <c r="D18" s="31">
        <v>8</v>
      </c>
      <c r="E18" s="29">
        <v>82.497439999999997</v>
      </c>
      <c r="F18" s="30">
        <v>1.64203278026148</v>
      </c>
      <c r="G18" s="29">
        <v>4.18</v>
      </c>
    </row>
    <row r="19" spans="1:9" x14ac:dyDescent="0.2">
      <c r="A19" s="27" t="s">
        <v>1058</v>
      </c>
      <c r="B19" s="27" t="s">
        <v>1059</v>
      </c>
      <c r="C19" s="27" t="s">
        <v>996</v>
      </c>
      <c r="D19" s="31">
        <v>5</v>
      </c>
      <c r="E19" s="29">
        <v>64.578500000000005</v>
      </c>
      <c r="F19" s="30">
        <v>1.2853733873452999</v>
      </c>
      <c r="G19" s="29">
        <v>4.8498999999999999</v>
      </c>
    </row>
    <row r="20" spans="1:9" x14ac:dyDescent="0.2">
      <c r="A20" s="27" t="s">
        <v>906</v>
      </c>
      <c r="B20" s="27" t="s">
        <v>907</v>
      </c>
      <c r="C20" s="27" t="s">
        <v>908</v>
      </c>
      <c r="D20" s="31">
        <v>6</v>
      </c>
      <c r="E20" s="29">
        <v>61.551000000000002</v>
      </c>
      <c r="F20" s="30">
        <v>1.22511389029616</v>
      </c>
      <c r="G20" s="29">
        <v>5.0949999999999998</v>
      </c>
    </row>
    <row r="21" spans="1:9" x14ac:dyDescent="0.2">
      <c r="A21" s="27" t="s">
        <v>1065</v>
      </c>
      <c r="B21" s="27" t="s">
        <v>1066</v>
      </c>
      <c r="C21" s="27" t="s">
        <v>875</v>
      </c>
      <c r="D21" s="31">
        <v>4</v>
      </c>
      <c r="E21" s="29">
        <v>41.927439999999997</v>
      </c>
      <c r="F21" s="30">
        <v>0.83452566373509596</v>
      </c>
      <c r="G21" s="29">
        <v>4.7748999999999997</v>
      </c>
    </row>
    <row r="22" spans="1:9" x14ac:dyDescent="0.2">
      <c r="A22" s="27" t="s">
        <v>1046</v>
      </c>
      <c r="B22" s="27" t="s">
        <v>1047</v>
      </c>
      <c r="C22" s="27" t="s">
        <v>34</v>
      </c>
      <c r="D22" s="31">
        <v>1</v>
      </c>
      <c r="E22" s="29">
        <v>12.945959999999999</v>
      </c>
      <c r="F22" s="30">
        <v>0.25767697387887301</v>
      </c>
      <c r="G22" s="29">
        <v>4.4000000000000004</v>
      </c>
    </row>
    <row r="23" spans="1:9" x14ac:dyDescent="0.2">
      <c r="A23" s="27" t="s">
        <v>909</v>
      </c>
      <c r="B23" s="27" t="s">
        <v>910</v>
      </c>
      <c r="C23" s="27" t="s">
        <v>901</v>
      </c>
      <c r="D23" s="31">
        <v>1</v>
      </c>
      <c r="E23" s="29">
        <v>10.286759999999999</v>
      </c>
      <c r="F23" s="30">
        <v>0.20474813670197001</v>
      </c>
      <c r="G23" s="29">
        <v>5.41</v>
      </c>
    </row>
    <row r="24" spans="1:9" x14ac:dyDescent="0.2">
      <c r="A24" s="26" t="s">
        <v>35</v>
      </c>
      <c r="B24" s="26"/>
      <c r="C24" s="26"/>
      <c r="D24" s="32"/>
      <c r="E24" s="33">
        <f>SUM(E6:E23)</f>
        <v>4816.7800500000003</v>
      </c>
      <c r="F24" s="34">
        <f>SUM(F6:F23)</f>
        <v>95.873408161629257</v>
      </c>
      <c r="G24" s="33"/>
      <c r="H24" s="18"/>
      <c r="I24" s="18"/>
    </row>
    <row r="25" spans="1:9" x14ac:dyDescent="0.2">
      <c r="A25" s="27"/>
      <c r="B25" s="27"/>
      <c r="C25" s="27"/>
      <c r="D25" s="28"/>
      <c r="E25" s="29"/>
      <c r="F25" s="30"/>
      <c r="G25" s="29"/>
    </row>
    <row r="26" spans="1:9" x14ac:dyDescent="0.2">
      <c r="A26" s="26" t="s">
        <v>38</v>
      </c>
      <c r="B26" s="26"/>
      <c r="C26" s="26"/>
      <c r="D26" s="32"/>
      <c r="E26" s="33">
        <f>E24</f>
        <v>4816.7800500000003</v>
      </c>
      <c r="F26" s="34">
        <f>F24</f>
        <v>95.873408161629257</v>
      </c>
      <c r="G26" s="33"/>
      <c r="H26" s="18"/>
      <c r="I26" s="18"/>
    </row>
    <row r="27" spans="1:9" x14ac:dyDescent="0.2">
      <c r="A27" s="26"/>
      <c r="B27" s="26"/>
      <c r="C27" s="26"/>
      <c r="D27" s="32"/>
      <c r="E27" s="33"/>
      <c r="F27" s="34"/>
      <c r="G27" s="33"/>
      <c r="H27" s="18"/>
      <c r="I27" s="18"/>
    </row>
    <row r="28" spans="1:9" x14ac:dyDescent="0.2">
      <c r="A28" s="26" t="s">
        <v>40</v>
      </c>
      <c r="B28" s="26"/>
      <c r="C28" s="26"/>
      <c r="D28" s="32"/>
      <c r="E28" s="33">
        <f>E30-(E24)</f>
        <v>207.32427920000009</v>
      </c>
      <c r="F28" s="34">
        <f>F30-(F24)</f>
        <v>4.1265918383707429</v>
      </c>
      <c r="G28" s="33"/>
      <c r="H28" s="18"/>
      <c r="I28" s="18"/>
    </row>
    <row r="29" spans="1:9" x14ac:dyDescent="0.2">
      <c r="A29" s="26"/>
      <c r="B29" s="26"/>
      <c r="C29" s="26"/>
      <c r="D29" s="32"/>
      <c r="E29" s="33"/>
      <c r="F29" s="34"/>
      <c r="G29" s="33"/>
      <c r="H29" s="18"/>
      <c r="I29" s="18"/>
    </row>
    <row r="30" spans="1:9" x14ac:dyDescent="0.2">
      <c r="A30" s="35" t="s">
        <v>39</v>
      </c>
      <c r="B30" s="35"/>
      <c r="C30" s="35"/>
      <c r="D30" s="36"/>
      <c r="E30" s="37">
        <v>5024.1043292000004</v>
      </c>
      <c r="F30" s="38">
        <v>100</v>
      </c>
      <c r="G30" s="37"/>
      <c r="H30" s="18"/>
      <c r="I30" s="18"/>
    </row>
    <row r="32" spans="1:9" x14ac:dyDescent="0.2">
      <c r="A32" s="18" t="s">
        <v>41</v>
      </c>
    </row>
    <row r="34" spans="1:5" x14ac:dyDescent="0.2">
      <c r="A34" s="18" t="s">
        <v>42</v>
      </c>
    </row>
    <row r="35" spans="1:5" x14ac:dyDescent="0.2">
      <c r="A35" s="18" t="s">
        <v>43</v>
      </c>
    </row>
    <row r="36" spans="1:5" x14ac:dyDescent="0.2">
      <c r="A36" s="18" t="s">
        <v>44</v>
      </c>
      <c r="B36" s="18"/>
      <c r="C36" s="39" t="s">
        <v>46</v>
      </c>
      <c r="D36" s="19" t="s">
        <v>45</v>
      </c>
    </row>
    <row r="37" spans="1:5" x14ac:dyDescent="0.2">
      <c r="A37" s="9" t="s">
        <v>70</v>
      </c>
      <c r="C37" s="40">
        <v>12.2972</v>
      </c>
      <c r="D37" s="40">
        <v>12.5496</v>
      </c>
    </row>
    <row r="38" spans="1:5" x14ac:dyDescent="0.2">
      <c r="A38" s="9" t="s">
        <v>1052</v>
      </c>
      <c r="C38" s="40">
        <v>10.600899999999999</v>
      </c>
      <c r="D38" s="40">
        <v>10.8179</v>
      </c>
    </row>
    <row r="39" spans="1:5" x14ac:dyDescent="0.2">
      <c r="A39" s="9" t="s">
        <v>72</v>
      </c>
      <c r="C39" s="40">
        <v>10.587899999999999</v>
      </c>
      <c r="D39" s="40">
        <v>10.4023</v>
      </c>
    </row>
    <row r="40" spans="1:5" x14ac:dyDescent="0.2">
      <c r="A40" s="9" t="s">
        <v>73</v>
      </c>
      <c r="C40" s="40">
        <v>12.370699999999999</v>
      </c>
      <c r="D40" s="40">
        <v>12.643800000000001</v>
      </c>
    </row>
    <row r="42" spans="1:5" x14ac:dyDescent="0.2">
      <c r="A42" s="18" t="s">
        <v>48</v>
      </c>
    </row>
    <row r="43" spans="1:5" x14ac:dyDescent="0.2">
      <c r="A43" s="77" t="s">
        <v>67</v>
      </c>
      <c r="B43" s="78"/>
      <c r="C43" s="44" t="s">
        <v>68</v>
      </c>
    </row>
    <row r="44" spans="1:5" x14ac:dyDescent="0.2">
      <c r="A44" s="73" t="s">
        <v>72</v>
      </c>
      <c r="B44" s="74"/>
      <c r="C44" s="45">
        <v>0.4</v>
      </c>
    </row>
    <row r="45" spans="1:5" x14ac:dyDescent="0.2">
      <c r="A45" s="9" t="s">
        <v>69</v>
      </c>
    </row>
    <row r="46" spans="1:5" x14ac:dyDescent="0.2">
      <c r="A46" s="9" t="s">
        <v>47</v>
      </c>
    </row>
    <row r="48" spans="1:5" x14ac:dyDescent="0.2">
      <c r="A48" s="18" t="s">
        <v>824</v>
      </c>
      <c r="D48" s="42">
        <v>0.68443216095890402</v>
      </c>
      <c r="E48" s="13" t="s">
        <v>50</v>
      </c>
    </row>
    <row r="50" spans="1:7" x14ac:dyDescent="0.2">
      <c r="A50" s="18" t="s">
        <v>732</v>
      </c>
      <c r="D50" s="41" t="s">
        <v>49</v>
      </c>
    </row>
    <row r="52" spans="1:7" ht="14.4" x14ac:dyDescent="0.2">
      <c r="A52" s="79" t="s">
        <v>825</v>
      </c>
      <c r="B52" s="80"/>
      <c r="C52" s="80"/>
      <c r="D52" s="80"/>
      <c r="E52" s="80"/>
      <c r="F52" s="80"/>
      <c r="G52" s="80"/>
    </row>
    <row r="53" spans="1:7" x14ac:dyDescent="0.2">
      <c r="A53" s="47" t="s">
        <v>51</v>
      </c>
    </row>
    <row r="55" spans="1:7" x14ac:dyDescent="0.2">
      <c r="A55" s="47"/>
    </row>
  </sheetData>
  <mergeCells count="4">
    <mergeCell ref="A1:G1"/>
    <mergeCell ref="A43:B43"/>
    <mergeCell ref="A44:B44"/>
    <mergeCell ref="A52:G52"/>
  </mergeCells>
  <conditionalFormatting sqref="F2:F3 F5:F51 F56:F65536">
    <cfRule type="cellIs" dxfId="117" priority="3" stopIfTrue="1" operator="between">
      <formula>0.009</formula>
      <formula>-0.009</formula>
    </cfRule>
  </conditionalFormatting>
  <conditionalFormatting sqref="F54:F55">
    <cfRule type="cellIs" dxfId="116" priority="2" stopIfTrue="1" operator="between">
      <formula>0.009</formula>
      <formula>-0.009</formula>
    </cfRule>
  </conditionalFormatting>
  <conditionalFormatting sqref="F53">
    <cfRule type="cellIs" dxfId="115" priority="1" stopIfTrue="1" operator="between">
      <formula>0.009</formula>
      <formula>-0.009</formula>
    </cfRule>
  </conditionalFormatting>
  <hyperlinks>
    <hyperlink ref="A53" r:id="rId1"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1078</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976</v>
      </c>
      <c r="B7" s="27" t="s">
        <v>977</v>
      </c>
      <c r="C7" s="27" t="s">
        <v>875</v>
      </c>
      <c r="D7" s="31">
        <v>26</v>
      </c>
      <c r="E7" s="29">
        <v>341.71202</v>
      </c>
      <c r="F7" s="30">
        <v>12.035892132952799</v>
      </c>
      <c r="G7" s="29">
        <v>4.79</v>
      </c>
    </row>
    <row r="8" spans="1:7" x14ac:dyDescent="0.2">
      <c r="A8" s="27" t="s">
        <v>980</v>
      </c>
      <c r="B8" s="27" t="s">
        <v>981</v>
      </c>
      <c r="C8" s="27" t="s">
        <v>34</v>
      </c>
      <c r="D8" s="31">
        <v>28</v>
      </c>
      <c r="E8" s="29">
        <v>283.91048000000001</v>
      </c>
      <c r="F8" s="30">
        <v>9.9999874534552902</v>
      </c>
      <c r="G8" s="29">
        <v>3.6890000000000001</v>
      </c>
    </row>
    <row r="9" spans="1:7" x14ac:dyDescent="0.2">
      <c r="A9" s="27" t="s">
        <v>1024</v>
      </c>
      <c r="B9" s="27" t="s">
        <v>1025</v>
      </c>
      <c r="C9" s="27" t="s">
        <v>931</v>
      </c>
      <c r="D9" s="31">
        <v>27</v>
      </c>
      <c r="E9" s="29">
        <v>278.57709</v>
      </c>
      <c r="F9" s="30">
        <v>9.8121330527146604</v>
      </c>
      <c r="G9" s="29">
        <v>4.0500999999999996</v>
      </c>
    </row>
    <row r="10" spans="1:7" x14ac:dyDescent="0.2">
      <c r="A10" s="27" t="s">
        <v>1073</v>
      </c>
      <c r="B10" s="27" t="s">
        <v>1074</v>
      </c>
      <c r="C10" s="27" t="s">
        <v>875</v>
      </c>
      <c r="D10" s="31">
        <v>26</v>
      </c>
      <c r="E10" s="29">
        <v>271.42829999999998</v>
      </c>
      <c r="F10" s="30">
        <v>9.5603360415321692</v>
      </c>
      <c r="G10" s="29">
        <v>4.6349999999999998</v>
      </c>
    </row>
    <row r="11" spans="1:7" x14ac:dyDescent="0.2">
      <c r="A11" s="27" t="s">
        <v>966</v>
      </c>
      <c r="B11" s="27" t="s">
        <v>967</v>
      </c>
      <c r="C11" s="27" t="s">
        <v>931</v>
      </c>
      <c r="D11" s="31">
        <v>26</v>
      </c>
      <c r="E11" s="29">
        <v>267.92012</v>
      </c>
      <c r="F11" s="30">
        <v>9.4367697822505008</v>
      </c>
      <c r="G11" s="29">
        <v>3.9</v>
      </c>
    </row>
    <row r="12" spans="1:7" x14ac:dyDescent="0.2">
      <c r="A12" s="27" t="s">
        <v>956</v>
      </c>
      <c r="B12" s="27" t="s">
        <v>957</v>
      </c>
      <c r="C12" s="27" t="s">
        <v>34</v>
      </c>
      <c r="D12" s="31">
        <v>26</v>
      </c>
      <c r="E12" s="29">
        <v>267.77296000000001</v>
      </c>
      <c r="F12" s="30">
        <v>9.4315864647708203</v>
      </c>
      <c r="G12" s="29">
        <v>3.9001000000000001</v>
      </c>
    </row>
    <row r="13" spans="1:7" x14ac:dyDescent="0.2">
      <c r="A13" s="27" t="s">
        <v>934</v>
      </c>
      <c r="B13" s="27" t="s">
        <v>935</v>
      </c>
      <c r="C13" s="27" t="s">
        <v>34</v>
      </c>
      <c r="D13" s="31">
        <v>26</v>
      </c>
      <c r="E13" s="29">
        <v>263.53859999999997</v>
      </c>
      <c r="F13" s="30">
        <v>9.2824424568658799</v>
      </c>
      <c r="G13" s="29">
        <v>3.8351000000000002</v>
      </c>
    </row>
    <row r="14" spans="1:7" x14ac:dyDescent="0.2">
      <c r="A14" s="27" t="s">
        <v>909</v>
      </c>
      <c r="B14" s="27" t="s">
        <v>910</v>
      </c>
      <c r="C14" s="27" t="s">
        <v>901</v>
      </c>
      <c r="D14" s="31">
        <v>24</v>
      </c>
      <c r="E14" s="29">
        <v>246.88224</v>
      </c>
      <c r="F14" s="30">
        <v>8.6957667166105903</v>
      </c>
      <c r="G14" s="29">
        <v>5.41</v>
      </c>
    </row>
    <row r="15" spans="1:7" x14ac:dyDescent="0.2">
      <c r="A15" s="27" t="s">
        <v>978</v>
      </c>
      <c r="B15" s="27" t="s">
        <v>979</v>
      </c>
      <c r="C15" s="27" t="s">
        <v>34</v>
      </c>
      <c r="D15" s="31">
        <v>16</v>
      </c>
      <c r="E15" s="29">
        <v>163.52943999999999</v>
      </c>
      <c r="F15" s="30">
        <v>5.7598872301951296</v>
      </c>
      <c r="G15" s="29">
        <v>4.4499000000000004</v>
      </c>
    </row>
    <row r="16" spans="1:7" x14ac:dyDescent="0.2">
      <c r="A16" s="27" t="s">
        <v>1071</v>
      </c>
      <c r="B16" s="27" t="s">
        <v>1072</v>
      </c>
      <c r="C16" s="27" t="s">
        <v>34</v>
      </c>
      <c r="D16" s="31">
        <v>10</v>
      </c>
      <c r="E16" s="29">
        <v>130.46190000000001</v>
      </c>
      <c r="F16" s="30">
        <v>4.5951715595491196</v>
      </c>
      <c r="G16" s="29">
        <v>5.4791999999999996</v>
      </c>
    </row>
    <row r="17" spans="1:9" x14ac:dyDescent="0.2">
      <c r="A17" s="27" t="s">
        <v>1056</v>
      </c>
      <c r="B17" s="27" t="s">
        <v>1057</v>
      </c>
      <c r="C17" s="27" t="s">
        <v>34</v>
      </c>
      <c r="D17" s="31">
        <v>12</v>
      </c>
      <c r="E17" s="29">
        <v>122.7834</v>
      </c>
      <c r="F17" s="30">
        <v>4.3247169301132597</v>
      </c>
      <c r="G17" s="29">
        <v>3.87</v>
      </c>
    </row>
    <row r="18" spans="1:9" x14ac:dyDescent="0.2">
      <c r="A18" s="27" t="s">
        <v>1046</v>
      </c>
      <c r="B18" s="27" t="s">
        <v>1047</v>
      </c>
      <c r="C18" s="27" t="s">
        <v>34</v>
      </c>
      <c r="D18" s="31">
        <v>2</v>
      </c>
      <c r="E18" s="29">
        <v>25.891919999999999</v>
      </c>
      <c r="F18" s="30">
        <v>0.91197364445957796</v>
      </c>
      <c r="G18" s="29">
        <v>4.4000000000000004</v>
      </c>
    </row>
    <row r="19" spans="1:9" x14ac:dyDescent="0.2">
      <c r="A19" s="27" t="s">
        <v>1065</v>
      </c>
      <c r="B19" s="27" t="s">
        <v>1066</v>
      </c>
      <c r="C19" s="27" t="s">
        <v>875</v>
      </c>
      <c r="D19" s="31">
        <v>2</v>
      </c>
      <c r="E19" s="29">
        <v>20.963719999999999</v>
      </c>
      <c r="F19" s="30">
        <v>0.73839097795104203</v>
      </c>
      <c r="G19" s="29">
        <v>4.7748999999999997</v>
      </c>
    </row>
    <row r="20" spans="1:9" x14ac:dyDescent="0.2">
      <c r="A20" s="26" t="s">
        <v>35</v>
      </c>
      <c r="B20" s="26"/>
      <c r="C20" s="26"/>
      <c r="D20" s="32"/>
      <c r="E20" s="33">
        <f>SUM(E6:E19)</f>
        <v>2685.37219</v>
      </c>
      <c r="F20" s="34">
        <f>SUM(F6:F19)</f>
        <v>94.58505444342083</v>
      </c>
      <c r="G20" s="33"/>
      <c r="H20" s="18"/>
      <c r="I20" s="18"/>
    </row>
    <row r="21" spans="1:9" x14ac:dyDescent="0.2">
      <c r="A21" s="27"/>
      <c r="B21" s="27"/>
      <c r="C21" s="27"/>
      <c r="D21" s="28"/>
      <c r="E21" s="29"/>
      <c r="F21" s="30"/>
      <c r="G21" s="29"/>
    </row>
    <row r="22" spans="1:9" x14ac:dyDescent="0.2">
      <c r="A22" s="26" t="s">
        <v>38</v>
      </c>
      <c r="B22" s="26"/>
      <c r="C22" s="26"/>
      <c r="D22" s="32"/>
      <c r="E22" s="33">
        <f>E20</f>
        <v>2685.37219</v>
      </c>
      <c r="F22" s="34">
        <f>F20</f>
        <v>94.58505444342083</v>
      </c>
      <c r="G22" s="33"/>
      <c r="H22" s="18"/>
      <c r="I22" s="18"/>
    </row>
    <row r="23" spans="1:9" x14ac:dyDescent="0.2">
      <c r="A23" s="26"/>
      <c r="B23" s="26"/>
      <c r="C23" s="26"/>
      <c r="D23" s="32"/>
      <c r="E23" s="33"/>
      <c r="F23" s="34"/>
      <c r="G23" s="33"/>
      <c r="H23" s="18"/>
      <c r="I23" s="18"/>
    </row>
    <row r="24" spans="1:9" x14ac:dyDescent="0.2">
      <c r="A24" s="26" t="s">
        <v>40</v>
      </c>
      <c r="B24" s="26"/>
      <c r="C24" s="26"/>
      <c r="D24" s="32"/>
      <c r="E24" s="33">
        <f>E26-(E20)</f>
        <v>153.73617209999975</v>
      </c>
      <c r="F24" s="34">
        <f>F26-(F20)</f>
        <v>5.4149455565791698</v>
      </c>
      <c r="G24" s="33"/>
      <c r="H24" s="18"/>
      <c r="I24" s="18"/>
    </row>
    <row r="25" spans="1:9" x14ac:dyDescent="0.2">
      <c r="A25" s="26"/>
      <c r="B25" s="26"/>
      <c r="C25" s="26"/>
      <c r="D25" s="32"/>
      <c r="E25" s="33"/>
      <c r="F25" s="34"/>
      <c r="G25" s="33"/>
      <c r="H25" s="18"/>
      <c r="I25" s="18"/>
    </row>
    <row r="26" spans="1:9" x14ac:dyDescent="0.2">
      <c r="A26" s="35" t="s">
        <v>39</v>
      </c>
      <c r="B26" s="35"/>
      <c r="C26" s="35"/>
      <c r="D26" s="36"/>
      <c r="E26" s="37">
        <v>2839.1083620999998</v>
      </c>
      <c r="F26" s="38">
        <v>100</v>
      </c>
      <c r="G26" s="37"/>
      <c r="H26" s="18"/>
      <c r="I26" s="18"/>
    </row>
    <row r="28" spans="1:9" x14ac:dyDescent="0.2">
      <c r="A28" s="18" t="s">
        <v>41</v>
      </c>
    </row>
    <row r="30" spans="1:9" x14ac:dyDescent="0.2">
      <c r="A30" s="18" t="s">
        <v>42</v>
      </c>
    </row>
    <row r="31" spans="1:9" x14ac:dyDescent="0.2">
      <c r="A31" s="18" t="s">
        <v>43</v>
      </c>
    </row>
    <row r="32" spans="1:9" x14ac:dyDescent="0.2">
      <c r="A32" s="18" t="s">
        <v>44</v>
      </c>
      <c r="B32" s="18"/>
      <c r="C32" s="39" t="s">
        <v>46</v>
      </c>
      <c r="D32" s="19" t="s">
        <v>45</v>
      </c>
    </row>
    <row r="33" spans="1:5" x14ac:dyDescent="0.2">
      <c r="A33" s="9" t="s">
        <v>70</v>
      </c>
      <c r="C33" s="40">
        <v>12.4391</v>
      </c>
      <c r="D33" s="40">
        <v>12.7136</v>
      </c>
    </row>
    <row r="34" spans="1:5" x14ac:dyDescent="0.2">
      <c r="A34" s="9" t="s">
        <v>1052</v>
      </c>
      <c r="C34" s="40">
        <v>10.634600000000001</v>
      </c>
      <c r="D34" s="40">
        <v>10.8712</v>
      </c>
    </row>
    <row r="35" spans="1:5" x14ac:dyDescent="0.2">
      <c r="A35" s="9" t="s">
        <v>72</v>
      </c>
      <c r="C35" s="40">
        <v>10.6174</v>
      </c>
      <c r="D35" s="40">
        <v>10.467000000000001</v>
      </c>
    </row>
    <row r="36" spans="1:5" x14ac:dyDescent="0.2">
      <c r="A36" s="9" t="s">
        <v>73</v>
      </c>
      <c r="C36" s="40">
        <v>12.5168</v>
      </c>
      <c r="D36" s="40">
        <v>12.8125</v>
      </c>
    </row>
    <row r="37" spans="1:5" x14ac:dyDescent="0.2">
      <c r="A37" s="9" t="s">
        <v>77</v>
      </c>
      <c r="C37" s="40">
        <v>10.7049</v>
      </c>
      <c r="D37" s="40">
        <v>10.957700000000001</v>
      </c>
    </row>
    <row r="38" spans="1:5" x14ac:dyDescent="0.2">
      <c r="A38" s="9" t="s">
        <v>75</v>
      </c>
      <c r="C38" s="40">
        <v>10.6899</v>
      </c>
      <c r="D38" s="40">
        <v>10.557399999999999</v>
      </c>
    </row>
    <row r="40" spans="1:5" x14ac:dyDescent="0.2">
      <c r="A40" s="18" t="s">
        <v>48</v>
      </c>
    </row>
    <row r="41" spans="1:5" x14ac:dyDescent="0.2">
      <c r="A41" s="77" t="s">
        <v>67</v>
      </c>
      <c r="B41" s="78"/>
      <c r="C41" s="44" t="s">
        <v>68</v>
      </c>
    </row>
    <row r="42" spans="1:5" x14ac:dyDescent="0.2">
      <c r="A42" s="73" t="s">
        <v>72</v>
      </c>
      <c r="B42" s="74"/>
      <c r="C42" s="45">
        <v>0.38</v>
      </c>
    </row>
    <row r="43" spans="1:5" x14ac:dyDescent="0.2">
      <c r="A43" s="73" t="s">
        <v>75</v>
      </c>
      <c r="B43" s="74"/>
      <c r="C43" s="45">
        <v>0.38</v>
      </c>
    </row>
    <row r="44" spans="1:5" x14ac:dyDescent="0.2">
      <c r="A44" s="9" t="s">
        <v>69</v>
      </c>
    </row>
    <row r="45" spans="1:5" x14ac:dyDescent="0.2">
      <c r="A45" s="9" t="s">
        <v>47</v>
      </c>
    </row>
    <row r="47" spans="1:5" x14ac:dyDescent="0.2">
      <c r="A47" s="18" t="s">
        <v>824</v>
      </c>
      <c r="D47" s="42">
        <v>0.64737236780821905</v>
      </c>
      <c r="E47" s="13" t="s">
        <v>50</v>
      </c>
    </row>
    <row r="49" spans="1:7" x14ac:dyDescent="0.2">
      <c r="A49" s="18" t="s">
        <v>732</v>
      </c>
      <c r="D49" s="41" t="s">
        <v>49</v>
      </c>
    </row>
    <row r="51" spans="1:7" ht="14.4" x14ac:dyDescent="0.2">
      <c r="A51" s="79" t="s">
        <v>825</v>
      </c>
      <c r="B51" s="80"/>
      <c r="C51" s="80"/>
      <c r="D51" s="80"/>
      <c r="E51" s="80"/>
      <c r="F51" s="80"/>
      <c r="G51" s="80"/>
    </row>
    <row r="52" spans="1:7" x14ac:dyDescent="0.2">
      <c r="A52" s="47" t="s">
        <v>51</v>
      </c>
    </row>
    <row r="54" spans="1:7" x14ac:dyDescent="0.2">
      <c r="A54" s="47"/>
    </row>
  </sheetData>
  <mergeCells count="5">
    <mergeCell ref="A1:G1"/>
    <mergeCell ref="A41:B41"/>
    <mergeCell ref="A42:B42"/>
    <mergeCell ref="A43:B43"/>
    <mergeCell ref="A51:G51"/>
  </mergeCells>
  <conditionalFormatting sqref="F2:F3 F5:F50 F55:F65536">
    <cfRule type="cellIs" dxfId="114" priority="3" stopIfTrue="1" operator="between">
      <formula>0.009</formula>
      <formula>-0.009</formula>
    </cfRule>
  </conditionalFormatting>
  <conditionalFormatting sqref="F53:F54">
    <cfRule type="cellIs" dxfId="113" priority="2" stopIfTrue="1" operator="between">
      <formula>0.009</formula>
      <formula>-0.009</formula>
    </cfRule>
  </conditionalFormatting>
  <conditionalFormatting sqref="F52">
    <cfRule type="cellIs" dxfId="112" priority="1" stopIfTrue="1" operator="between">
      <formula>0.009</formula>
      <formula>-0.009</formula>
    </cfRule>
  </conditionalFormatting>
  <hyperlinks>
    <hyperlink ref="A52" r:id="rId1"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62"/>
  <sheetViews>
    <sheetView workbookViewId="0">
      <selection sqref="A1:G1"/>
    </sheetView>
  </sheetViews>
  <sheetFormatPr defaultColWidth="9.109375" defaultRowHeight="10.199999999999999" x14ac:dyDescent="0.2"/>
  <cols>
    <col min="1" max="1" width="38.6640625" style="9" bestFit="1" customWidth="1"/>
    <col min="2" max="2" width="52.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1079</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976</v>
      </c>
      <c r="B7" s="27" t="s">
        <v>977</v>
      </c>
      <c r="C7" s="27" t="s">
        <v>875</v>
      </c>
      <c r="D7" s="31">
        <v>50</v>
      </c>
      <c r="E7" s="29">
        <v>657.13850000000002</v>
      </c>
      <c r="F7" s="30">
        <v>12.111074563219701</v>
      </c>
      <c r="G7" s="29">
        <v>4.79</v>
      </c>
    </row>
    <row r="8" spans="1:7" x14ac:dyDescent="0.2">
      <c r="A8" s="27" t="s">
        <v>1024</v>
      </c>
      <c r="B8" s="27" t="s">
        <v>1025</v>
      </c>
      <c r="C8" s="27" t="s">
        <v>931</v>
      </c>
      <c r="D8" s="31">
        <v>50</v>
      </c>
      <c r="E8" s="29">
        <v>515.88350000000003</v>
      </c>
      <c r="F8" s="30">
        <v>9.5077423319965906</v>
      </c>
      <c r="G8" s="29">
        <v>4.0500999999999996</v>
      </c>
    </row>
    <row r="9" spans="1:7" x14ac:dyDescent="0.2">
      <c r="A9" s="27" t="s">
        <v>956</v>
      </c>
      <c r="B9" s="27" t="s">
        <v>957</v>
      </c>
      <c r="C9" s="27" t="s">
        <v>34</v>
      </c>
      <c r="D9" s="31">
        <v>50</v>
      </c>
      <c r="E9" s="29">
        <v>514.94799999999998</v>
      </c>
      <c r="F9" s="30">
        <v>9.4905010499017308</v>
      </c>
      <c r="G9" s="29">
        <v>3.9001000000000001</v>
      </c>
    </row>
    <row r="10" spans="1:7" x14ac:dyDescent="0.2">
      <c r="A10" s="27" t="s">
        <v>1080</v>
      </c>
      <c r="B10" s="27" t="s">
        <v>1081</v>
      </c>
      <c r="C10" s="27" t="s">
        <v>34</v>
      </c>
      <c r="D10" s="31">
        <v>50</v>
      </c>
      <c r="E10" s="29">
        <v>514.66200000000003</v>
      </c>
      <c r="F10" s="30">
        <v>9.4852300646755108</v>
      </c>
      <c r="G10" s="29">
        <v>4.1500000000000004</v>
      </c>
    </row>
    <row r="11" spans="1:7" x14ac:dyDescent="0.2">
      <c r="A11" s="27" t="s">
        <v>1082</v>
      </c>
      <c r="B11" s="27" t="s">
        <v>1083</v>
      </c>
      <c r="C11" s="27" t="s">
        <v>34</v>
      </c>
      <c r="D11" s="31">
        <v>50</v>
      </c>
      <c r="E11" s="29">
        <v>508.96100000000001</v>
      </c>
      <c r="F11" s="30">
        <v>9.3801605304982996</v>
      </c>
      <c r="G11" s="29">
        <v>3.87</v>
      </c>
    </row>
    <row r="12" spans="1:7" x14ac:dyDescent="0.2">
      <c r="A12" s="27" t="s">
        <v>878</v>
      </c>
      <c r="B12" s="27" t="s">
        <v>879</v>
      </c>
      <c r="C12" s="27" t="s">
        <v>880</v>
      </c>
      <c r="D12" s="31">
        <v>48</v>
      </c>
      <c r="E12" s="29">
        <v>500.98128000000003</v>
      </c>
      <c r="F12" s="30">
        <v>9.2330941450808908</v>
      </c>
      <c r="G12" s="29">
        <v>3.9653</v>
      </c>
    </row>
    <row r="13" spans="1:7" x14ac:dyDescent="0.2">
      <c r="A13" s="27" t="s">
        <v>934</v>
      </c>
      <c r="B13" s="27" t="s">
        <v>935</v>
      </c>
      <c r="C13" s="27" t="s">
        <v>34</v>
      </c>
      <c r="D13" s="31">
        <v>49</v>
      </c>
      <c r="E13" s="29">
        <v>496.66890000000001</v>
      </c>
      <c r="F13" s="30">
        <v>9.1536169028786194</v>
      </c>
      <c r="G13" s="29">
        <v>3.8351000000000002</v>
      </c>
    </row>
    <row r="14" spans="1:7" x14ac:dyDescent="0.2">
      <c r="A14" s="27" t="s">
        <v>978</v>
      </c>
      <c r="B14" s="27" t="s">
        <v>979</v>
      </c>
      <c r="C14" s="27" t="s">
        <v>34</v>
      </c>
      <c r="D14" s="31">
        <v>37</v>
      </c>
      <c r="E14" s="29">
        <v>378.16183000000001</v>
      </c>
      <c r="F14" s="30">
        <v>6.9695294372397996</v>
      </c>
      <c r="G14" s="29">
        <v>4.4499000000000004</v>
      </c>
    </row>
    <row r="15" spans="1:7" x14ac:dyDescent="0.2">
      <c r="A15" s="27" t="s">
        <v>966</v>
      </c>
      <c r="B15" s="27" t="s">
        <v>967</v>
      </c>
      <c r="C15" s="27" t="s">
        <v>931</v>
      </c>
      <c r="D15" s="31">
        <v>20</v>
      </c>
      <c r="E15" s="29">
        <v>206.0924</v>
      </c>
      <c r="F15" s="30">
        <v>3.79828669802925</v>
      </c>
      <c r="G15" s="29">
        <v>3.9</v>
      </c>
    </row>
    <row r="16" spans="1:7" x14ac:dyDescent="0.2">
      <c r="A16" s="27" t="s">
        <v>1073</v>
      </c>
      <c r="B16" s="27" t="s">
        <v>1074</v>
      </c>
      <c r="C16" s="27" t="s">
        <v>875</v>
      </c>
      <c r="D16" s="31">
        <v>15</v>
      </c>
      <c r="E16" s="29">
        <v>156.59325000000001</v>
      </c>
      <c r="F16" s="30">
        <v>2.8860164590065902</v>
      </c>
      <c r="G16" s="29">
        <v>4.6349999999999998</v>
      </c>
    </row>
    <row r="17" spans="1:9" x14ac:dyDescent="0.2">
      <c r="A17" s="27" t="s">
        <v>1065</v>
      </c>
      <c r="B17" s="27" t="s">
        <v>1066</v>
      </c>
      <c r="C17" s="27" t="s">
        <v>875</v>
      </c>
      <c r="D17" s="31">
        <v>6</v>
      </c>
      <c r="E17" s="29">
        <v>62.891159999999999</v>
      </c>
      <c r="F17" s="30">
        <v>1.15908522804155</v>
      </c>
      <c r="G17" s="29">
        <v>4.7748999999999997</v>
      </c>
    </row>
    <row r="18" spans="1:9" x14ac:dyDescent="0.2">
      <c r="A18" s="27" t="s">
        <v>1056</v>
      </c>
      <c r="B18" s="27" t="s">
        <v>1057</v>
      </c>
      <c r="C18" s="27" t="s">
        <v>34</v>
      </c>
      <c r="D18" s="31">
        <v>4</v>
      </c>
      <c r="E18" s="29">
        <v>40.927799999999998</v>
      </c>
      <c r="F18" s="30">
        <v>0.75430010189411001</v>
      </c>
      <c r="G18" s="29">
        <v>3.87</v>
      </c>
    </row>
    <row r="19" spans="1:9" x14ac:dyDescent="0.2">
      <c r="A19" s="27" t="s">
        <v>1042</v>
      </c>
      <c r="B19" s="27" t="s">
        <v>1043</v>
      </c>
      <c r="C19" s="27" t="s">
        <v>34</v>
      </c>
      <c r="D19" s="31">
        <v>3</v>
      </c>
      <c r="E19" s="29">
        <v>39.419759999999997</v>
      </c>
      <c r="F19" s="30">
        <v>0.72650689713694305</v>
      </c>
      <c r="G19" s="29">
        <v>4.5</v>
      </c>
    </row>
    <row r="20" spans="1:9" x14ac:dyDescent="0.2">
      <c r="A20" s="27" t="s">
        <v>1046</v>
      </c>
      <c r="B20" s="27" t="s">
        <v>1047</v>
      </c>
      <c r="C20" s="27" t="s">
        <v>34</v>
      </c>
      <c r="D20" s="31">
        <v>3</v>
      </c>
      <c r="E20" s="29">
        <v>38.837879999999998</v>
      </c>
      <c r="F20" s="30">
        <v>0.71578283810395904</v>
      </c>
      <c r="G20" s="29">
        <v>4.4000000000000004</v>
      </c>
    </row>
    <row r="21" spans="1:9" x14ac:dyDescent="0.2">
      <c r="A21" s="27" t="s">
        <v>1058</v>
      </c>
      <c r="B21" s="27" t="s">
        <v>1059</v>
      </c>
      <c r="C21" s="27" t="s">
        <v>996</v>
      </c>
      <c r="D21" s="31">
        <v>3</v>
      </c>
      <c r="E21" s="29">
        <v>38.747100000000003</v>
      </c>
      <c r="F21" s="30">
        <v>0.71410976104509105</v>
      </c>
      <c r="G21" s="29">
        <v>4.8498999999999999</v>
      </c>
    </row>
    <row r="22" spans="1:9" x14ac:dyDescent="0.2">
      <c r="A22" s="27" t="s">
        <v>960</v>
      </c>
      <c r="B22" s="27" t="s">
        <v>961</v>
      </c>
      <c r="C22" s="27" t="s">
        <v>931</v>
      </c>
      <c r="D22" s="31">
        <v>2</v>
      </c>
      <c r="E22" s="29">
        <v>20.164400000000001</v>
      </c>
      <c r="F22" s="30">
        <v>0.37163026047414199</v>
      </c>
      <c r="G22" s="29">
        <v>3.6551999999999998</v>
      </c>
    </row>
    <row r="23" spans="1:9" x14ac:dyDescent="0.2">
      <c r="A23" s="27" t="s">
        <v>906</v>
      </c>
      <c r="B23" s="27" t="s">
        <v>907</v>
      </c>
      <c r="C23" s="27" t="s">
        <v>908</v>
      </c>
      <c r="D23" s="31">
        <v>1</v>
      </c>
      <c r="E23" s="29">
        <v>10.2585</v>
      </c>
      <c r="F23" s="30">
        <v>0.189064342458689</v>
      </c>
      <c r="G23" s="29">
        <v>5.0949999999999998</v>
      </c>
    </row>
    <row r="24" spans="1:9" x14ac:dyDescent="0.2">
      <c r="A24" s="26" t="s">
        <v>35</v>
      </c>
      <c r="B24" s="26"/>
      <c r="C24" s="26"/>
      <c r="D24" s="32"/>
      <c r="E24" s="33">
        <f>SUM(E6:E23)</f>
        <v>4701.3372599999993</v>
      </c>
      <c r="F24" s="34">
        <f>SUM(F6:F23)</f>
        <v>86.645731611681484</v>
      </c>
      <c r="G24" s="33"/>
      <c r="H24" s="18"/>
      <c r="I24" s="18"/>
    </row>
    <row r="25" spans="1:9" x14ac:dyDescent="0.2">
      <c r="A25" s="27"/>
      <c r="B25" s="27"/>
      <c r="C25" s="27"/>
      <c r="D25" s="28"/>
      <c r="E25" s="29"/>
      <c r="F25" s="30"/>
      <c r="G25" s="29"/>
    </row>
    <row r="26" spans="1:9" x14ac:dyDescent="0.2">
      <c r="A26" s="26" t="s">
        <v>36</v>
      </c>
      <c r="B26" s="27"/>
      <c r="C26" s="27"/>
      <c r="D26" s="28"/>
      <c r="E26" s="29"/>
      <c r="F26" s="30"/>
      <c r="G26" s="29"/>
    </row>
    <row r="27" spans="1:9" x14ac:dyDescent="0.2">
      <c r="A27" s="27" t="s">
        <v>1084</v>
      </c>
      <c r="B27" s="27" t="s">
        <v>1085</v>
      </c>
      <c r="C27" s="27" t="s">
        <v>34</v>
      </c>
      <c r="D27" s="31">
        <v>50</v>
      </c>
      <c r="E27" s="29">
        <v>513.78399999999999</v>
      </c>
      <c r="F27" s="30">
        <v>9.4690485086313796</v>
      </c>
      <c r="G27" s="29">
        <v>4.66</v>
      </c>
    </row>
    <row r="28" spans="1:9" x14ac:dyDescent="0.2">
      <c r="A28" s="26" t="s">
        <v>35</v>
      </c>
      <c r="B28" s="26"/>
      <c r="C28" s="26"/>
      <c r="D28" s="32"/>
      <c r="E28" s="33">
        <f>SUM(E26:E27)</f>
        <v>513.78399999999999</v>
      </c>
      <c r="F28" s="34">
        <f>SUM(F26:F27)</f>
        <v>9.4690485086313796</v>
      </c>
      <c r="G28" s="33"/>
      <c r="H28" s="18"/>
      <c r="I28" s="18"/>
    </row>
    <row r="29" spans="1:9" x14ac:dyDescent="0.2">
      <c r="A29" s="27"/>
      <c r="B29" s="27"/>
      <c r="C29" s="27"/>
      <c r="D29" s="28"/>
      <c r="E29" s="29"/>
      <c r="F29" s="30"/>
      <c r="G29" s="29"/>
    </row>
    <row r="30" spans="1:9" x14ac:dyDescent="0.2">
      <c r="A30" s="26" t="s">
        <v>38</v>
      </c>
      <c r="B30" s="26"/>
      <c r="C30" s="26"/>
      <c r="D30" s="32"/>
      <c r="E30" s="33">
        <f>E24+E28</f>
        <v>5215.121259999999</v>
      </c>
      <c r="F30" s="34">
        <f>F24+F28</f>
        <v>96.114780120312858</v>
      </c>
      <c r="G30" s="33"/>
      <c r="H30" s="18"/>
      <c r="I30" s="18"/>
    </row>
    <row r="31" spans="1:9" x14ac:dyDescent="0.2">
      <c r="A31" s="26"/>
      <c r="B31" s="26"/>
      <c r="C31" s="26"/>
      <c r="D31" s="32"/>
      <c r="E31" s="33"/>
      <c r="F31" s="34"/>
      <c r="G31" s="33"/>
      <c r="H31" s="18"/>
      <c r="I31" s="18"/>
    </row>
    <row r="32" spans="1:9" x14ac:dyDescent="0.2">
      <c r="A32" s="26" t="s">
        <v>40</v>
      </c>
      <c r="B32" s="26"/>
      <c r="C32" s="26"/>
      <c r="D32" s="32"/>
      <c r="E32" s="33">
        <f>E34-(E24+E28)</f>
        <v>210.80933410000125</v>
      </c>
      <c r="F32" s="34">
        <f>F34-(F24+F28)</f>
        <v>3.885219879687142</v>
      </c>
      <c r="G32" s="33"/>
      <c r="H32" s="18"/>
      <c r="I32" s="18"/>
    </row>
    <row r="33" spans="1:9" x14ac:dyDescent="0.2">
      <c r="A33" s="26"/>
      <c r="B33" s="26"/>
      <c r="C33" s="26"/>
      <c r="D33" s="32"/>
      <c r="E33" s="33"/>
      <c r="F33" s="34"/>
      <c r="G33" s="33"/>
      <c r="H33" s="18"/>
      <c r="I33" s="18"/>
    </row>
    <row r="34" spans="1:9" x14ac:dyDescent="0.2">
      <c r="A34" s="35" t="s">
        <v>39</v>
      </c>
      <c r="B34" s="35"/>
      <c r="C34" s="35"/>
      <c r="D34" s="36"/>
      <c r="E34" s="37">
        <v>5425.9305941000002</v>
      </c>
      <c r="F34" s="38">
        <v>100</v>
      </c>
      <c r="G34" s="37"/>
      <c r="H34" s="18"/>
      <c r="I34" s="18"/>
    </row>
    <row r="36" spans="1:9" x14ac:dyDescent="0.2">
      <c r="A36" s="18" t="s">
        <v>41</v>
      </c>
    </row>
    <row r="38" spans="1:9" x14ac:dyDescent="0.2">
      <c r="A38" s="18" t="s">
        <v>42</v>
      </c>
    </row>
    <row r="39" spans="1:9" x14ac:dyDescent="0.2">
      <c r="A39" s="18" t="s">
        <v>43</v>
      </c>
    </row>
    <row r="40" spans="1:9" x14ac:dyDescent="0.2">
      <c r="A40" s="18" t="s">
        <v>44</v>
      </c>
      <c r="B40" s="18"/>
      <c r="C40" s="39" t="s">
        <v>46</v>
      </c>
      <c r="D40" s="19" t="s">
        <v>45</v>
      </c>
    </row>
    <row r="41" spans="1:9" x14ac:dyDescent="0.2">
      <c r="A41" s="9" t="s">
        <v>70</v>
      </c>
      <c r="C41" s="40">
        <v>12.43</v>
      </c>
      <c r="D41" s="40">
        <v>12.6982</v>
      </c>
    </row>
    <row r="42" spans="1:9" x14ac:dyDescent="0.2">
      <c r="A42" s="9" t="s">
        <v>1052</v>
      </c>
      <c r="C42" s="40">
        <v>10.688700000000001</v>
      </c>
      <c r="D42" s="40">
        <v>10.9215</v>
      </c>
    </row>
    <row r="43" spans="1:9" x14ac:dyDescent="0.2">
      <c r="A43" s="9" t="s">
        <v>72</v>
      </c>
      <c r="C43" s="40">
        <v>10.667199999999999</v>
      </c>
      <c r="D43" s="40">
        <v>10.494199999999999</v>
      </c>
    </row>
    <row r="44" spans="1:9" x14ac:dyDescent="0.2">
      <c r="A44" s="9" t="s">
        <v>73</v>
      </c>
      <c r="C44" s="40">
        <v>12.561299999999999</v>
      </c>
      <c r="D44" s="40">
        <v>12.8324</v>
      </c>
    </row>
    <row r="45" spans="1:9" x14ac:dyDescent="0.2">
      <c r="A45" s="9" t="s">
        <v>77</v>
      </c>
      <c r="C45" s="40">
        <v>10.704000000000001</v>
      </c>
      <c r="D45" s="40">
        <v>10.934900000000001</v>
      </c>
    </row>
    <row r="46" spans="1:9" x14ac:dyDescent="0.2">
      <c r="A46" s="9" t="s">
        <v>75</v>
      </c>
      <c r="C46" s="40">
        <v>10.694100000000001</v>
      </c>
      <c r="D46" s="40">
        <v>10.521000000000001</v>
      </c>
    </row>
    <row r="48" spans="1:9" x14ac:dyDescent="0.2">
      <c r="A48" s="18" t="s">
        <v>48</v>
      </c>
    </row>
    <row r="49" spans="1:7" x14ac:dyDescent="0.2">
      <c r="A49" s="77" t="s">
        <v>67</v>
      </c>
      <c r="B49" s="78"/>
      <c r="C49" s="44" t="s">
        <v>68</v>
      </c>
    </row>
    <row r="50" spans="1:7" x14ac:dyDescent="0.2">
      <c r="A50" s="73" t="s">
        <v>72</v>
      </c>
      <c r="B50" s="74"/>
      <c r="C50" s="45">
        <v>0.4</v>
      </c>
    </row>
    <row r="51" spans="1:7" x14ac:dyDescent="0.2">
      <c r="A51" s="73" t="s">
        <v>75</v>
      </c>
      <c r="B51" s="74"/>
      <c r="C51" s="45">
        <v>0.4</v>
      </c>
    </row>
    <row r="52" spans="1:7" x14ac:dyDescent="0.2">
      <c r="A52" s="9" t="s">
        <v>69</v>
      </c>
    </row>
    <row r="53" spans="1:7" x14ac:dyDescent="0.2">
      <c r="A53" s="9" t="s">
        <v>47</v>
      </c>
    </row>
    <row r="55" spans="1:7" x14ac:dyDescent="0.2">
      <c r="A55" s="18" t="s">
        <v>824</v>
      </c>
      <c r="D55" s="42">
        <v>0.67511663241095898</v>
      </c>
      <c r="E55" s="13" t="s">
        <v>50</v>
      </c>
    </row>
    <row r="57" spans="1:7" x14ac:dyDescent="0.2">
      <c r="A57" s="18" t="s">
        <v>732</v>
      </c>
      <c r="D57" s="41" t="s">
        <v>49</v>
      </c>
    </row>
    <row r="59" spans="1:7" ht="14.4" x14ac:dyDescent="0.2">
      <c r="A59" s="79" t="s">
        <v>825</v>
      </c>
      <c r="B59" s="80"/>
      <c r="C59" s="80"/>
      <c r="D59" s="80"/>
      <c r="E59" s="80"/>
      <c r="F59" s="80"/>
      <c r="G59" s="80"/>
    </row>
    <row r="60" spans="1:7" x14ac:dyDescent="0.2">
      <c r="A60" s="47" t="s">
        <v>51</v>
      </c>
    </row>
    <row r="62" spans="1:7" x14ac:dyDescent="0.2">
      <c r="A62" s="47"/>
    </row>
  </sheetData>
  <mergeCells count="5">
    <mergeCell ref="A1:G1"/>
    <mergeCell ref="A49:B49"/>
    <mergeCell ref="A50:B50"/>
    <mergeCell ref="A51:B51"/>
    <mergeCell ref="A59:G59"/>
  </mergeCells>
  <conditionalFormatting sqref="F2:F3 F5:F58 F63:F65536">
    <cfRule type="cellIs" dxfId="111" priority="3" stopIfTrue="1" operator="between">
      <formula>0.009</formula>
      <formula>-0.009</formula>
    </cfRule>
  </conditionalFormatting>
  <conditionalFormatting sqref="F61:F62">
    <cfRule type="cellIs" dxfId="110" priority="2" stopIfTrue="1" operator="between">
      <formula>0.009</formula>
      <formula>-0.009</formula>
    </cfRule>
  </conditionalFormatting>
  <conditionalFormatting sqref="F60">
    <cfRule type="cellIs" dxfId="109" priority="1" stopIfTrue="1" operator="between">
      <formula>0.009</formula>
      <formula>-0.009</formula>
    </cfRule>
  </conditionalFormatting>
  <hyperlinks>
    <hyperlink ref="A60" r:id="rId1"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1086</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972</v>
      </c>
      <c r="B7" s="27" t="s">
        <v>973</v>
      </c>
      <c r="C7" s="27" t="s">
        <v>931</v>
      </c>
      <c r="D7" s="31">
        <v>31</v>
      </c>
      <c r="E7" s="29">
        <v>314.18871999999999</v>
      </c>
      <c r="F7" s="30">
        <v>9.5166165144486197</v>
      </c>
      <c r="G7" s="29">
        <v>3.4499</v>
      </c>
    </row>
    <row r="8" spans="1:7" x14ac:dyDescent="0.2">
      <c r="A8" s="27" t="s">
        <v>968</v>
      </c>
      <c r="B8" s="27" t="s">
        <v>969</v>
      </c>
      <c r="C8" s="27" t="s">
        <v>34</v>
      </c>
      <c r="D8" s="31">
        <v>31</v>
      </c>
      <c r="E8" s="29">
        <v>312.35879</v>
      </c>
      <c r="F8" s="30">
        <v>9.4611888655556697</v>
      </c>
      <c r="G8" s="29">
        <v>3.6049000000000002</v>
      </c>
    </row>
    <row r="9" spans="1:7" x14ac:dyDescent="0.2">
      <c r="A9" s="27" t="s">
        <v>1087</v>
      </c>
      <c r="B9" s="27" t="s">
        <v>1088</v>
      </c>
      <c r="C9" s="27" t="s">
        <v>34</v>
      </c>
      <c r="D9" s="31">
        <v>31</v>
      </c>
      <c r="E9" s="29">
        <v>310.24211000000003</v>
      </c>
      <c r="F9" s="30">
        <v>9.3970757050201694</v>
      </c>
      <c r="G9" s="29">
        <v>3.3757999999999999</v>
      </c>
    </row>
    <row r="10" spans="1:7" x14ac:dyDescent="0.2">
      <c r="A10" s="27" t="s">
        <v>934</v>
      </c>
      <c r="B10" s="27" t="s">
        <v>935</v>
      </c>
      <c r="C10" s="27" t="s">
        <v>34</v>
      </c>
      <c r="D10" s="31">
        <v>30</v>
      </c>
      <c r="E10" s="29">
        <v>304.08300000000003</v>
      </c>
      <c r="F10" s="30">
        <v>9.2105193959957603</v>
      </c>
      <c r="G10" s="29">
        <v>3.8351000000000002</v>
      </c>
    </row>
    <row r="11" spans="1:7" x14ac:dyDescent="0.2">
      <c r="A11" s="27" t="s">
        <v>1089</v>
      </c>
      <c r="B11" s="27" t="s">
        <v>1090</v>
      </c>
      <c r="C11" s="27" t="s">
        <v>931</v>
      </c>
      <c r="D11" s="31">
        <v>26</v>
      </c>
      <c r="E11" s="29">
        <v>263.07216</v>
      </c>
      <c r="F11" s="30">
        <v>7.9683219128543801</v>
      </c>
      <c r="G11" s="29">
        <v>4.0951000000000004</v>
      </c>
    </row>
    <row r="12" spans="1:7" x14ac:dyDescent="0.2">
      <c r="A12" s="27" t="s">
        <v>1091</v>
      </c>
      <c r="B12" s="27" t="s">
        <v>1092</v>
      </c>
      <c r="C12" s="27" t="s">
        <v>34</v>
      </c>
      <c r="D12" s="31">
        <v>22</v>
      </c>
      <c r="E12" s="29">
        <v>221.00232</v>
      </c>
      <c r="F12" s="30">
        <v>6.6940478583809702</v>
      </c>
      <c r="G12" s="29">
        <v>3.5449000000000002</v>
      </c>
    </row>
    <row r="13" spans="1:7" x14ac:dyDescent="0.2">
      <c r="A13" s="27" t="s">
        <v>1093</v>
      </c>
      <c r="B13" s="27" t="s">
        <v>1094</v>
      </c>
      <c r="C13" s="27" t="s">
        <v>34</v>
      </c>
      <c r="D13" s="31">
        <v>20</v>
      </c>
      <c r="E13" s="29">
        <v>198.15979999999999</v>
      </c>
      <c r="F13" s="30">
        <v>6.002159546593</v>
      </c>
      <c r="G13" s="29">
        <v>3.7250000000000001</v>
      </c>
    </row>
    <row r="14" spans="1:7" x14ac:dyDescent="0.2">
      <c r="A14" s="27" t="s">
        <v>1095</v>
      </c>
      <c r="B14" s="27" t="s">
        <v>1096</v>
      </c>
      <c r="C14" s="27" t="s">
        <v>931</v>
      </c>
      <c r="D14" s="31">
        <v>19</v>
      </c>
      <c r="E14" s="29">
        <v>191.69746000000001</v>
      </c>
      <c r="F14" s="30">
        <v>5.80641855510871</v>
      </c>
      <c r="G14" s="29">
        <v>3.4748999999999999</v>
      </c>
    </row>
    <row r="15" spans="1:7" x14ac:dyDescent="0.2">
      <c r="A15" s="27" t="s">
        <v>1097</v>
      </c>
      <c r="B15" s="27" t="s">
        <v>1098</v>
      </c>
      <c r="C15" s="27" t="s">
        <v>34</v>
      </c>
      <c r="D15" s="31">
        <v>19</v>
      </c>
      <c r="E15" s="29">
        <v>191.50498999999999</v>
      </c>
      <c r="F15" s="30">
        <v>5.80058873670996</v>
      </c>
      <c r="G15" s="29">
        <v>3.5102000000000002</v>
      </c>
    </row>
    <row r="16" spans="1:7" x14ac:dyDescent="0.2">
      <c r="A16" s="27" t="s">
        <v>1099</v>
      </c>
      <c r="B16" s="27" t="s">
        <v>1100</v>
      </c>
      <c r="C16" s="27" t="s">
        <v>996</v>
      </c>
      <c r="D16" s="31">
        <v>7</v>
      </c>
      <c r="E16" s="29">
        <v>89.50018</v>
      </c>
      <c r="F16" s="30">
        <v>2.7109149272899602</v>
      </c>
      <c r="G16" s="29">
        <v>3.9499</v>
      </c>
    </row>
    <row r="17" spans="1:9" x14ac:dyDescent="0.2">
      <c r="A17" s="26" t="s">
        <v>35</v>
      </c>
      <c r="B17" s="26"/>
      <c r="C17" s="26"/>
      <c r="D17" s="32"/>
      <c r="E17" s="33">
        <f>SUM(E6:E16)</f>
        <v>2395.80953</v>
      </c>
      <c r="F17" s="34">
        <f>SUM(F6:F16)</f>
        <v>72.567852017957193</v>
      </c>
      <c r="G17" s="33"/>
      <c r="H17" s="18"/>
      <c r="I17" s="18"/>
    </row>
    <row r="18" spans="1:9" x14ac:dyDescent="0.2">
      <c r="A18" s="27"/>
      <c r="B18" s="27"/>
      <c r="C18" s="27"/>
      <c r="D18" s="28"/>
      <c r="E18" s="29"/>
      <c r="F18" s="30"/>
      <c r="G18" s="29"/>
    </row>
    <row r="19" spans="1:9" x14ac:dyDescent="0.2">
      <c r="A19" s="26" t="s">
        <v>36</v>
      </c>
      <c r="B19" s="27"/>
      <c r="C19" s="27"/>
      <c r="D19" s="28"/>
      <c r="E19" s="29"/>
      <c r="F19" s="30"/>
      <c r="G19" s="29"/>
    </row>
    <row r="20" spans="1:9" x14ac:dyDescent="0.2">
      <c r="A20" s="27" t="s">
        <v>1101</v>
      </c>
      <c r="B20" s="27" t="s">
        <v>1102</v>
      </c>
      <c r="C20" s="27" t="s">
        <v>34</v>
      </c>
      <c r="D20" s="31">
        <v>3</v>
      </c>
      <c r="E20" s="29">
        <v>30.28116</v>
      </c>
      <c r="F20" s="30">
        <v>0.91720093367025102</v>
      </c>
      <c r="G20" s="29">
        <v>4.22</v>
      </c>
    </row>
    <row r="21" spans="1:9" x14ac:dyDescent="0.2">
      <c r="A21" s="26" t="s">
        <v>35</v>
      </c>
      <c r="B21" s="26"/>
      <c r="C21" s="26"/>
      <c r="D21" s="32"/>
      <c r="E21" s="33">
        <f>SUM(E19:E20)</f>
        <v>30.28116</v>
      </c>
      <c r="F21" s="34">
        <f>SUM(F19:F20)</f>
        <v>0.91720093367025102</v>
      </c>
      <c r="G21" s="33"/>
      <c r="H21" s="18"/>
      <c r="I21" s="18"/>
    </row>
    <row r="22" spans="1:9" x14ac:dyDescent="0.2">
      <c r="A22" s="27"/>
      <c r="B22" s="27"/>
      <c r="C22" s="27"/>
      <c r="D22" s="28"/>
      <c r="E22" s="29"/>
      <c r="F22" s="30"/>
      <c r="G22" s="29"/>
    </row>
    <row r="23" spans="1:9" x14ac:dyDescent="0.2">
      <c r="A23" s="26" t="s">
        <v>38</v>
      </c>
      <c r="B23" s="26"/>
      <c r="C23" s="26"/>
      <c r="D23" s="32"/>
      <c r="E23" s="33">
        <f>E17+E21</f>
        <v>2426.09069</v>
      </c>
      <c r="F23" s="34">
        <f>F17+F21</f>
        <v>73.485052951627438</v>
      </c>
      <c r="G23" s="33"/>
      <c r="H23" s="18"/>
      <c r="I23" s="18"/>
    </row>
    <row r="24" spans="1:9" x14ac:dyDescent="0.2">
      <c r="A24" s="26"/>
      <c r="B24" s="26"/>
      <c r="C24" s="26"/>
      <c r="D24" s="32"/>
      <c r="E24" s="33"/>
      <c r="F24" s="34"/>
      <c r="G24" s="33"/>
      <c r="H24" s="18"/>
      <c r="I24" s="18"/>
    </row>
    <row r="25" spans="1:9" x14ac:dyDescent="0.2">
      <c r="A25" s="26" t="s">
        <v>40</v>
      </c>
      <c r="B25" s="26"/>
      <c r="C25" s="26"/>
      <c r="D25" s="32"/>
      <c r="E25" s="33">
        <f>E27-(E17+E21)</f>
        <v>875.38436180000008</v>
      </c>
      <c r="F25" s="34">
        <f>F27-(F17+F21)</f>
        <v>26.514947048372562</v>
      </c>
      <c r="G25" s="33"/>
      <c r="H25" s="18"/>
      <c r="I25" s="18"/>
    </row>
    <row r="26" spans="1:9" x14ac:dyDescent="0.2">
      <c r="A26" s="26"/>
      <c r="B26" s="26"/>
      <c r="C26" s="26"/>
      <c r="D26" s="32"/>
      <c r="E26" s="33"/>
      <c r="F26" s="34"/>
      <c r="G26" s="33"/>
      <c r="H26" s="18"/>
      <c r="I26" s="18"/>
    </row>
    <row r="27" spans="1:9" x14ac:dyDescent="0.2">
      <c r="A27" s="35" t="s">
        <v>39</v>
      </c>
      <c r="B27" s="35"/>
      <c r="C27" s="35"/>
      <c r="D27" s="36"/>
      <c r="E27" s="37">
        <v>3301.4750518000001</v>
      </c>
      <c r="F27" s="38">
        <v>100</v>
      </c>
      <c r="G27" s="37"/>
      <c r="H27" s="18"/>
      <c r="I27" s="18"/>
    </row>
    <row r="29" spans="1:9" x14ac:dyDescent="0.2">
      <c r="A29" s="18" t="s">
        <v>41</v>
      </c>
    </row>
    <row r="31" spans="1:9" x14ac:dyDescent="0.2">
      <c r="A31" s="18" t="s">
        <v>42</v>
      </c>
    </row>
    <row r="32" spans="1:9" x14ac:dyDescent="0.2">
      <c r="A32" s="18" t="s">
        <v>43</v>
      </c>
    </row>
    <row r="33" spans="1:5" x14ac:dyDescent="0.2">
      <c r="A33" s="18" t="s">
        <v>44</v>
      </c>
      <c r="B33" s="18"/>
      <c r="C33" s="39" t="s">
        <v>46</v>
      </c>
      <c r="D33" s="19" t="s">
        <v>45</v>
      </c>
    </row>
    <row r="34" spans="1:5" x14ac:dyDescent="0.2">
      <c r="A34" s="9" t="s">
        <v>70</v>
      </c>
      <c r="C34" s="40">
        <v>12.287000000000001</v>
      </c>
      <c r="D34" s="40">
        <v>12.5197</v>
      </c>
    </row>
    <row r="35" spans="1:5" x14ac:dyDescent="0.2">
      <c r="A35" s="9" t="s">
        <v>1052</v>
      </c>
      <c r="C35" s="40">
        <v>10.5741</v>
      </c>
      <c r="D35" s="40">
        <v>10.7744</v>
      </c>
    </row>
    <row r="36" spans="1:5" x14ac:dyDescent="0.2">
      <c r="A36" s="9" t="s">
        <v>72</v>
      </c>
      <c r="C36" s="40">
        <v>10.565200000000001</v>
      </c>
      <c r="D36" s="40">
        <v>10.335000000000001</v>
      </c>
    </row>
    <row r="37" spans="1:5" x14ac:dyDescent="0.2">
      <c r="A37" s="9" t="s">
        <v>73</v>
      </c>
      <c r="C37" s="40">
        <v>12.4101</v>
      </c>
      <c r="D37" s="40">
        <v>12.645200000000001</v>
      </c>
    </row>
    <row r="38" spans="1:5" x14ac:dyDescent="0.2">
      <c r="A38" s="9" t="s">
        <v>75</v>
      </c>
      <c r="C38" s="40">
        <v>10.6852</v>
      </c>
      <c r="D38" s="40">
        <v>10.4574</v>
      </c>
    </row>
    <row r="40" spans="1:5" x14ac:dyDescent="0.2">
      <c r="A40" s="18" t="s">
        <v>48</v>
      </c>
    </row>
    <row r="41" spans="1:5" x14ac:dyDescent="0.2">
      <c r="A41" s="77" t="s">
        <v>67</v>
      </c>
      <c r="B41" s="78"/>
      <c r="C41" s="44" t="s">
        <v>68</v>
      </c>
    </row>
    <row r="42" spans="1:5" x14ac:dyDescent="0.2">
      <c r="A42" s="73" t="s">
        <v>72</v>
      </c>
      <c r="B42" s="74"/>
      <c r="C42" s="45">
        <v>0.42499999999999999</v>
      </c>
    </row>
    <row r="43" spans="1:5" x14ac:dyDescent="0.2">
      <c r="A43" s="73" t="s">
        <v>75</v>
      </c>
      <c r="B43" s="74"/>
      <c r="C43" s="45">
        <v>0.42499999999999999</v>
      </c>
    </row>
    <row r="44" spans="1:5" x14ac:dyDescent="0.2">
      <c r="A44" s="9" t="s">
        <v>69</v>
      </c>
    </row>
    <row r="45" spans="1:5" x14ac:dyDescent="0.2">
      <c r="A45" s="9" t="s">
        <v>47</v>
      </c>
    </row>
    <row r="47" spans="1:5" x14ac:dyDescent="0.2">
      <c r="A47" s="18" t="s">
        <v>824</v>
      </c>
      <c r="D47" s="42">
        <v>0.13723782139726001</v>
      </c>
      <c r="E47" s="13" t="s">
        <v>50</v>
      </c>
    </row>
    <row r="49" spans="1:7" x14ac:dyDescent="0.2">
      <c r="A49" s="18" t="s">
        <v>732</v>
      </c>
      <c r="D49" s="41" t="s">
        <v>49</v>
      </c>
    </row>
    <row r="51" spans="1:7" ht="14.4" x14ac:dyDescent="0.2">
      <c r="A51" s="79" t="s">
        <v>825</v>
      </c>
      <c r="B51" s="80"/>
      <c r="C51" s="80"/>
      <c r="D51" s="80"/>
      <c r="E51" s="80"/>
      <c r="F51" s="80"/>
      <c r="G51" s="80"/>
    </row>
    <row r="52" spans="1:7" x14ac:dyDescent="0.2">
      <c r="A52" s="47" t="s">
        <v>51</v>
      </c>
    </row>
    <row r="54" spans="1:7" x14ac:dyDescent="0.2">
      <c r="A54" s="47"/>
    </row>
  </sheetData>
  <mergeCells count="5">
    <mergeCell ref="A1:G1"/>
    <mergeCell ref="A41:B41"/>
    <mergeCell ref="A42:B42"/>
    <mergeCell ref="A43:B43"/>
    <mergeCell ref="A51:G51"/>
  </mergeCells>
  <conditionalFormatting sqref="F2:F3 F5:F50 F55:F65536">
    <cfRule type="cellIs" dxfId="108" priority="3" stopIfTrue="1" operator="between">
      <formula>0.009</formula>
      <formula>-0.009</formula>
    </cfRule>
  </conditionalFormatting>
  <conditionalFormatting sqref="F53:F54">
    <cfRule type="cellIs" dxfId="107" priority="2" stopIfTrue="1" operator="between">
      <formula>0.009</formula>
      <formula>-0.009</formula>
    </cfRule>
  </conditionalFormatting>
  <conditionalFormatting sqref="F52">
    <cfRule type="cellIs" dxfId="106" priority="1" stopIfTrue="1" operator="between">
      <formula>0.009</formula>
      <formula>-0.009</formula>
    </cfRule>
  </conditionalFormatting>
  <hyperlinks>
    <hyperlink ref="A52" r:id="rId1"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51"/>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1103</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968</v>
      </c>
      <c r="B7" s="27" t="s">
        <v>969</v>
      </c>
      <c r="C7" s="27" t="s">
        <v>34</v>
      </c>
      <c r="D7" s="31">
        <v>44</v>
      </c>
      <c r="E7" s="29">
        <v>443.34796</v>
      </c>
      <c r="F7" s="30">
        <v>10.762947750416</v>
      </c>
      <c r="G7" s="29">
        <v>3.6049000000000002</v>
      </c>
    </row>
    <row r="8" spans="1:9" x14ac:dyDescent="0.2">
      <c r="A8" s="27" t="s">
        <v>1095</v>
      </c>
      <c r="B8" s="27" t="s">
        <v>1096</v>
      </c>
      <c r="C8" s="27" t="s">
        <v>931</v>
      </c>
      <c r="D8" s="31">
        <v>41</v>
      </c>
      <c r="E8" s="29">
        <v>413.66293999999999</v>
      </c>
      <c r="F8" s="30">
        <v>10.0422986258998</v>
      </c>
      <c r="G8" s="29">
        <v>3.4748999999999999</v>
      </c>
    </row>
    <row r="9" spans="1:9" x14ac:dyDescent="0.2">
      <c r="A9" s="27" t="s">
        <v>1097</v>
      </c>
      <c r="B9" s="27" t="s">
        <v>1098</v>
      </c>
      <c r="C9" s="27" t="s">
        <v>34</v>
      </c>
      <c r="D9" s="31">
        <v>41</v>
      </c>
      <c r="E9" s="29">
        <v>413.24761000000001</v>
      </c>
      <c r="F9" s="30">
        <v>10.032215856850501</v>
      </c>
      <c r="G9" s="29">
        <v>3.5102000000000002</v>
      </c>
    </row>
    <row r="10" spans="1:9" x14ac:dyDescent="0.2">
      <c r="A10" s="27" t="s">
        <v>934</v>
      </c>
      <c r="B10" s="27" t="s">
        <v>935</v>
      </c>
      <c r="C10" s="27" t="s">
        <v>34</v>
      </c>
      <c r="D10" s="31">
        <v>40</v>
      </c>
      <c r="E10" s="29">
        <v>405.44400000000002</v>
      </c>
      <c r="F10" s="30">
        <v>9.8427713250776705</v>
      </c>
      <c r="G10" s="29">
        <v>3.8351000000000002</v>
      </c>
    </row>
    <row r="11" spans="1:9" x14ac:dyDescent="0.2">
      <c r="A11" s="27" t="s">
        <v>1093</v>
      </c>
      <c r="B11" s="27" t="s">
        <v>1094</v>
      </c>
      <c r="C11" s="27" t="s">
        <v>34</v>
      </c>
      <c r="D11" s="31">
        <v>33</v>
      </c>
      <c r="E11" s="29">
        <v>326.96366999999998</v>
      </c>
      <c r="F11" s="30">
        <v>7.9375416467333597</v>
      </c>
      <c r="G11" s="29">
        <v>3.7250000000000001</v>
      </c>
    </row>
    <row r="12" spans="1:9" x14ac:dyDescent="0.2">
      <c r="A12" s="27" t="s">
        <v>1091</v>
      </c>
      <c r="B12" s="27" t="s">
        <v>1092</v>
      </c>
      <c r="C12" s="27" t="s">
        <v>34</v>
      </c>
      <c r="D12" s="31">
        <v>30</v>
      </c>
      <c r="E12" s="29">
        <v>301.36680000000001</v>
      </c>
      <c r="F12" s="30">
        <v>7.3161385971192496</v>
      </c>
      <c r="G12" s="29">
        <v>3.5449000000000002</v>
      </c>
    </row>
    <row r="13" spans="1:9" x14ac:dyDescent="0.2">
      <c r="A13" s="27" t="s">
        <v>1104</v>
      </c>
      <c r="B13" s="27" t="s">
        <v>1105</v>
      </c>
      <c r="C13" s="27" t="s">
        <v>953</v>
      </c>
      <c r="D13" s="31">
        <v>26000</v>
      </c>
      <c r="E13" s="29">
        <v>260.93158</v>
      </c>
      <c r="F13" s="30">
        <v>6.3345119755902397</v>
      </c>
      <c r="G13" s="29">
        <v>5.4508999999999999</v>
      </c>
    </row>
    <row r="14" spans="1:9" x14ac:dyDescent="0.2">
      <c r="A14" s="27" t="s">
        <v>1106</v>
      </c>
      <c r="B14" s="27" t="s">
        <v>1107</v>
      </c>
      <c r="C14" s="27" t="s">
        <v>34</v>
      </c>
      <c r="D14" s="31">
        <v>26</v>
      </c>
      <c r="E14" s="29">
        <v>260.09152</v>
      </c>
      <c r="F14" s="30">
        <v>6.3141182381583301</v>
      </c>
      <c r="G14" s="29">
        <v>3.5636999999999999</v>
      </c>
    </row>
    <row r="15" spans="1:9" x14ac:dyDescent="0.2">
      <c r="A15" s="27" t="s">
        <v>974</v>
      </c>
      <c r="B15" s="27" t="s">
        <v>975</v>
      </c>
      <c r="C15" s="27" t="s">
        <v>931</v>
      </c>
      <c r="D15" s="31">
        <v>150</v>
      </c>
      <c r="E15" s="29">
        <v>150.85274999999999</v>
      </c>
      <c r="F15" s="30">
        <v>3.6621805280361999</v>
      </c>
      <c r="G15" s="29">
        <v>3.4001000000000001</v>
      </c>
    </row>
    <row r="16" spans="1:9" x14ac:dyDescent="0.2">
      <c r="A16" s="26" t="s">
        <v>35</v>
      </c>
      <c r="B16" s="26"/>
      <c r="C16" s="26"/>
      <c r="D16" s="32"/>
      <c r="E16" s="33">
        <f>SUM(E6:E15)</f>
        <v>2975.9088299999999</v>
      </c>
      <c r="F16" s="34">
        <f>SUM(F6:F15)</f>
        <v>72.244724543881347</v>
      </c>
      <c r="G16" s="33"/>
      <c r="H16" s="18"/>
      <c r="I16" s="18"/>
    </row>
    <row r="17" spans="1:9" x14ac:dyDescent="0.2">
      <c r="A17" s="27"/>
      <c r="B17" s="27"/>
      <c r="C17" s="27"/>
      <c r="D17" s="28"/>
      <c r="E17" s="29"/>
      <c r="F17" s="30"/>
      <c r="G17" s="29"/>
    </row>
    <row r="18" spans="1:9" x14ac:dyDescent="0.2">
      <c r="A18" s="26" t="s">
        <v>36</v>
      </c>
      <c r="B18" s="27"/>
      <c r="C18" s="27"/>
      <c r="D18" s="28"/>
      <c r="E18" s="29"/>
      <c r="F18" s="30"/>
      <c r="G18" s="29"/>
    </row>
    <row r="19" spans="1:9" x14ac:dyDescent="0.2">
      <c r="A19" s="27" t="s">
        <v>1101</v>
      </c>
      <c r="B19" s="27" t="s">
        <v>1102</v>
      </c>
      <c r="C19" s="27" t="s">
        <v>34</v>
      </c>
      <c r="D19" s="31">
        <v>34</v>
      </c>
      <c r="E19" s="29">
        <v>343.18648000000002</v>
      </c>
      <c r="F19" s="30">
        <v>8.3313750961867505</v>
      </c>
      <c r="G19" s="29">
        <v>4.22</v>
      </c>
    </row>
    <row r="20" spans="1:9" x14ac:dyDescent="0.2">
      <c r="A20" s="26" t="s">
        <v>35</v>
      </c>
      <c r="B20" s="26"/>
      <c r="C20" s="26"/>
      <c r="D20" s="32"/>
      <c r="E20" s="33">
        <f>SUM(E18:E19)</f>
        <v>343.18648000000002</v>
      </c>
      <c r="F20" s="34">
        <f>SUM(F18:F19)</f>
        <v>8.3313750961867505</v>
      </c>
      <c r="G20" s="33"/>
      <c r="H20" s="18"/>
      <c r="I20" s="18"/>
    </row>
    <row r="21" spans="1:9" x14ac:dyDescent="0.2">
      <c r="A21" s="27"/>
      <c r="B21" s="27"/>
      <c r="C21" s="27"/>
      <c r="D21" s="28"/>
      <c r="E21" s="29"/>
      <c r="F21" s="30"/>
      <c r="G21" s="29"/>
    </row>
    <row r="22" spans="1:9" x14ac:dyDescent="0.2">
      <c r="A22" s="26" t="s">
        <v>38</v>
      </c>
      <c r="B22" s="26"/>
      <c r="C22" s="26"/>
      <c r="D22" s="32"/>
      <c r="E22" s="33">
        <f>E16+E20</f>
        <v>3319.0953099999997</v>
      </c>
      <c r="F22" s="34">
        <f>F16+F20</f>
        <v>80.576099640068094</v>
      </c>
      <c r="G22" s="33"/>
      <c r="H22" s="18"/>
      <c r="I22" s="18"/>
    </row>
    <row r="23" spans="1:9" x14ac:dyDescent="0.2">
      <c r="A23" s="26"/>
      <c r="B23" s="26"/>
      <c r="C23" s="26"/>
      <c r="D23" s="32"/>
      <c r="E23" s="33"/>
      <c r="F23" s="34"/>
      <c r="G23" s="33"/>
      <c r="H23" s="18"/>
      <c r="I23" s="18"/>
    </row>
    <row r="24" spans="1:9" x14ac:dyDescent="0.2">
      <c r="A24" s="26" t="s">
        <v>40</v>
      </c>
      <c r="B24" s="26"/>
      <c r="C24" s="26"/>
      <c r="D24" s="32"/>
      <c r="E24" s="33">
        <f>E26-(E16+E20)</f>
        <v>800.11041580000074</v>
      </c>
      <c r="F24" s="34">
        <f>F26-(F16+F20)</f>
        <v>19.423900359931906</v>
      </c>
      <c r="G24" s="33"/>
      <c r="H24" s="18"/>
      <c r="I24" s="18"/>
    </row>
    <row r="25" spans="1:9" x14ac:dyDescent="0.2">
      <c r="A25" s="26"/>
      <c r="B25" s="26"/>
      <c r="C25" s="26"/>
      <c r="D25" s="32"/>
      <c r="E25" s="33"/>
      <c r="F25" s="34"/>
      <c r="G25" s="33"/>
      <c r="H25" s="18"/>
      <c r="I25" s="18"/>
    </row>
    <row r="26" spans="1:9" x14ac:dyDescent="0.2">
      <c r="A26" s="35" t="s">
        <v>39</v>
      </c>
      <c r="B26" s="35"/>
      <c r="C26" s="35"/>
      <c r="D26" s="36"/>
      <c r="E26" s="37">
        <v>4119.2057258000004</v>
      </c>
      <c r="F26" s="38">
        <v>100</v>
      </c>
      <c r="G26" s="37"/>
      <c r="H26" s="18"/>
      <c r="I26" s="18"/>
    </row>
    <row r="28" spans="1:9" x14ac:dyDescent="0.2">
      <c r="A28" s="18" t="s">
        <v>41</v>
      </c>
    </row>
    <row r="30" spans="1:9" x14ac:dyDescent="0.2">
      <c r="A30" s="18" t="s">
        <v>42</v>
      </c>
    </row>
    <row r="31" spans="1:9" x14ac:dyDescent="0.2">
      <c r="A31" s="18" t="s">
        <v>43</v>
      </c>
    </row>
    <row r="32" spans="1:9" x14ac:dyDescent="0.2">
      <c r="A32" s="18" t="s">
        <v>44</v>
      </c>
      <c r="B32" s="18"/>
      <c r="C32" s="39" t="s">
        <v>46</v>
      </c>
      <c r="D32" s="19" t="s">
        <v>45</v>
      </c>
    </row>
    <row r="33" spans="1:7" x14ac:dyDescent="0.2">
      <c r="A33" s="9" t="s">
        <v>70</v>
      </c>
      <c r="C33" s="40">
        <v>11.6668</v>
      </c>
      <c r="D33" s="40">
        <v>11.906700000000001</v>
      </c>
    </row>
    <row r="34" spans="1:7" x14ac:dyDescent="0.2">
      <c r="A34" s="9" t="s">
        <v>1052</v>
      </c>
      <c r="C34" s="40">
        <v>10.5296</v>
      </c>
      <c r="D34" s="40">
        <v>10.7461</v>
      </c>
    </row>
    <row r="35" spans="1:7" x14ac:dyDescent="0.2">
      <c r="A35" s="9" t="s">
        <v>72</v>
      </c>
      <c r="C35" s="40">
        <v>10.5097</v>
      </c>
      <c r="D35" s="40">
        <v>10.310499999999999</v>
      </c>
    </row>
    <row r="36" spans="1:7" x14ac:dyDescent="0.2">
      <c r="A36" s="9" t="s">
        <v>73</v>
      </c>
      <c r="C36" s="40">
        <v>11.783300000000001</v>
      </c>
      <c r="D36" s="40">
        <v>12.025600000000001</v>
      </c>
    </row>
    <row r="38" spans="1:7" x14ac:dyDescent="0.2">
      <c r="A38" s="18" t="s">
        <v>48</v>
      </c>
    </row>
    <row r="39" spans="1:7" x14ac:dyDescent="0.2">
      <c r="A39" s="77" t="s">
        <v>67</v>
      </c>
      <c r="B39" s="78"/>
      <c r="C39" s="44" t="s">
        <v>68</v>
      </c>
    </row>
    <row r="40" spans="1:7" x14ac:dyDescent="0.2">
      <c r="A40" s="73" t="s">
        <v>72</v>
      </c>
      <c r="B40" s="74"/>
      <c r="C40" s="45">
        <v>0.41</v>
      </c>
    </row>
    <row r="41" spans="1:7" x14ac:dyDescent="0.2">
      <c r="A41" s="9" t="s">
        <v>69</v>
      </c>
    </row>
    <row r="42" spans="1:7" x14ac:dyDescent="0.2">
      <c r="A42" s="9" t="s">
        <v>47</v>
      </c>
    </row>
    <row r="44" spans="1:7" x14ac:dyDescent="0.2">
      <c r="A44" s="18" t="s">
        <v>824</v>
      </c>
      <c r="D44" s="42">
        <v>0.14368822953424701</v>
      </c>
      <c r="E44" s="13" t="s">
        <v>50</v>
      </c>
    </row>
    <row r="46" spans="1:7" x14ac:dyDescent="0.2">
      <c r="A46" s="18" t="s">
        <v>732</v>
      </c>
      <c r="D46" s="41" t="s">
        <v>49</v>
      </c>
    </row>
    <row r="48" spans="1:7" ht="14.4" x14ac:dyDescent="0.2">
      <c r="A48" s="79" t="s">
        <v>825</v>
      </c>
      <c r="B48" s="80"/>
      <c r="C48" s="80"/>
      <c r="D48" s="80"/>
      <c r="E48" s="80"/>
      <c r="F48" s="80"/>
      <c r="G48" s="80"/>
    </row>
    <row r="49" spans="1:1" x14ac:dyDescent="0.2">
      <c r="A49" s="47" t="s">
        <v>51</v>
      </c>
    </row>
    <row r="51" spans="1:1" x14ac:dyDescent="0.2">
      <c r="A51" s="47"/>
    </row>
  </sheetData>
  <mergeCells count="4">
    <mergeCell ref="A1:G1"/>
    <mergeCell ref="A39:B39"/>
    <mergeCell ref="A40:B40"/>
    <mergeCell ref="A48:G48"/>
  </mergeCells>
  <conditionalFormatting sqref="F2:F3 F5:F47 F52:F65536">
    <cfRule type="cellIs" dxfId="105" priority="3" stopIfTrue="1" operator="between">
      <formula>0.009</formula>
      <formula>-0.009</formula>
    </cfRule>
  </conditionalFormatting>
  <conditionalFormatting sqref="F50:F51">
    <cfRule type="cellIs" dxfId="104" priority="2" stopIfTrue="1" operator="between">
      <formula>0.009</formula>
      <formula>-0.009</formula>
    </cfRule>
  </conditionalFormatting>
  <conditionalFormatting sqref="F49">
    <cfRule type="cellIs" dxfId="103" priority="1" stopIfTrue="1" operator="between">
      <formula>0.009</formula>
      <formula>-0.009</formula>
    </cfRule>
  </conditionalFormatting>
  <hyperlinks>
    <hyperlink ref="A49" r:id="rId1"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7"/>
  <sheetViews>
    <sheetView workbookViewId="0">
      <selection sqref="A1:G1"/>
    </sheetView>
  </sheetViews>
  <sheetFormatPr defaultColWidth="9.109375" defaultRowHeight="10.199999999999999" x14ac:dyDescent="0.2"/>
  <cols>
    <col min="1" max="1" width="38.6640625" style="9" bestFit="1" customWidth="1"/>
    <col min="2" max="2" width="54.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1108</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934</v>
      </c>
      <c r="B7" s="27" t="s">
        <v>935</v>
      </c>
      <c r="C7" s="27" t="s">
        <v>34</v>
      </c>
      <c r="D7" s="31">
        <v>98</v>
      </c>
      <c r="E7" s="29">
        <v>993.33780000000002</v>
      </c>
      <c r="F7" s="30">
        <v>10.230465350139699</v>
      </c>
      <c r="G7" s="29">
        <v>3.8351000000000002</v>
      </c>
    </row>
    <row r="8" spans="1:7" x14ac:dyDescent="0.2">
      <c r="A8" s="27" t="s">
        <v>968</v>
      </c>
      <c r="B8" s="27" t="s">
        <v>969</v>
      </c>
      <c r="C8" s="27" t="s">
        <v>34</v>
      </c>
      <c r="D8" s="31">
        <v>92</v>
      </c>
      <c r="E8" s="29">
        <v>927.00027999999998</v>
      </c>
      <c r="F8" s="30">
        <v>9.5472499326108196</v>
      </c>
      <c r="G8" s="29">
        <v>3.6049000000000002</v>
      </c>
    </row>
    <row r="9" spans="1:7" x14ac:dyDescent="0.2">
      <c r="A9" s="27" t="s">
        <v>1095</v>
      </c>
      <c r="B9" s="27" t="s">
        <v>1096</v>
      </c>
      <c r="C9" s="27" t="s">
        <v>931</v>
      </c>
      <c r="D9" s="31">
        <v>90</v>
      </c>
      <c r="E9" s="29">
        <v>908.04060000000004</v>
      </c>
      <c r="F9" s="30">
        <v>9.3519826737893705</v>
      </c>
      <c r="G9" s="29">
        <v>3.4748999999999999</v>
      </c>
    </row>
    <row r="10" spans="1:7" x14ac:dyDescent="0.2">
      <c r="A10" s="27" t="s">
        <v>1097</v>
      </c>
      <c r="B10" s="27" t="s">
        <v>1098</v>
      </c>
      <c r="C10" s="27" t="s">
        <v>34</v>
      </c>
      <c r="D10" s="31">
        <v>90</v>
      </c>
      <c r="E10" s="29">
        <v>907.12890000000004</v>
      </c>
      <c r="F10" s="30">
        <v>9.3425930026626691</v>
      </c>
      <c r="G10" s="29">
        <v>3.5102000000000002</v>
      </c>
    </row>
    <row r="11" spans="1:7" x14ac:dyDescent="0.2">
      <c r="A11" s="27" t="s">
        <v>1109</v>
      </c>
      <c r="B11" s="27" t="s">
        <v>1110</v>
      </c>
      <c r="C11" s="27" t="s">
        <v>34</v>
      </c>
      <c r="D11" s="31">
        <v>60</v>
      </c>
      <c r="E11" s="29">
        <v>763.38660000000004</v>
      </c>
      <c r="F11" s="30">
        <v>7.8621795728109198</v>
      </c>
      <c r="G11" s="29">
        <v>4.0797999999999996</v>
      </c>
    </row>
    <row r="12" spans="1:7" x14ac:dyDescent="0.2">
      <c r="A12" s="27" t="s">
        <v>1093</v>
      </c>
      <c r="B12" s="27" t="s">
        <v>1094</v>
      </c>
      <c r="C12" s="27" t="s">
        <v>34</v>
      </c>
      <c r="D12" s="31">
        <v>75</v>
      </c>
      <c r="E12" s="29">
        <v>743.09924999999998</v>
      </c>
      <c r="F12" s="30">
        <v>7.6532385346050296</v>
      </c>
      <c r="G12" s="29">
        <v>3.7250000000000001</v>
      </c>
    </row>
    <row r="13" spans="1:7" x14ac:dyDescent="0.2">
      <c r="A13" s="27" t="s">
        <v>1099</v>
      </c>
      <c r="B13" s="27" t="s">
        <v>1100</v>
      </c>
      <c r="C13" s="27" t="s">
        <v>996</v>
      </c>
      <c r="D13" s="31">
        <v>58</v>
      </c>
      <c r="E13" s="29">
        <v>741.57291999999995</v>
      </c>
      <c r="F13" s="30">
        <v>7.6375187400116102</v>
      </c>
      <c r="G13" s="29">
        <v>3.9499</v>
      </c>
    </row>
    <row r="14" spans="1:7" x14ac:dyDescent="0.2">
      <c r="A14" s="27" t="s">
        <v>1091</v>
      </c>
      <c r="B14" s="27" t="s">
        <v>1092</v>
      </c>
      <c r="C14" s="27" t="s">
        <v>34</v>
      </c>
      <c r="D14" s="31">
        <v>71</v>
      </c>
      <c r="E14" s="29">
        <v>713.23476000000005</v>
      </c>
      <c r="F14" s="30">
        <v>7.3456617665160797</v>
      </c>
      <c r="G14" s="29">
        <v>3.5449000000000002</v>
      </c>
    </row>
    <row r="15" spans="1:7" x14ac:dyDescent="0.2">
      <c r="A15" s="27" t="s">
        <v>974</v>
      </c>
      <c r="B15" s="27" t="s">
        <v>975</v>
      </c>
      <c r="C15" s="27" t="s">
        <v>931</v>
      </c>
      <c r="D15" s="31">
        <v>470</v>
      </c>
      <c r="E15" s="29">
        <v>472.67194999999998</v>
      </c>
      <c r="F15" s="30">
        <v>4.8680861701406704</v>
      </c>
      <c r="G15" s="29">
        <v>3.4001000000000001</v>
      </c>
    </row>
    <row r="16" spans="1:7" x14ac:dyDescent="0.2">
      <c r="A16" s="27" t="s">
        <v>1111</v>
      </c>
      <c r="B16" s="27" t="s">
        <v>1112</v>
      </c>
      <c r="C16" s="27" t="s">
        <v>996</v>
      </c>
      <c r="D16" s="31">
        <v>10</v>
      </c>
      <c r="E16" s="29">
        <v>128.1326</v>
      </c>
      <c r="F16" s="30">
        <v>1.3196478826470801</v>
      </c>
      <c r="G16" s="29">
        <v>3.7801</v>
      </c>
    </row>
    <row r="17" spans="1:9" x14ac:dyDescent="0.2">
      <c r="A17" s="27" t="s">
        <v>945</v>
      </c>
      <c r="B17" s="27" t="s">
        <v>946</v>
      </c>
      <c r="C17" s="27" t="s">
        <v>34</v>
      </c>
      <c r="D17" s="31">
        <v>8</v>
      </c>
      <c r="E17" s="29">
        <v>80.48424</v>
      </c>
      <c r="F17" s="30">
        <v>0.82891361685050802</v>
      </c>
      <c r="G17" s="29">
        <v>3.5102000000000002</v>
      </c>
    </row>
    <row r="18" spans="1:9" x14ac:dyDescent="0.2">
      <c r="A18" s="27" t="s">
        <v>1106</v>
      </c>
      <c r="B18" s="27" t="s">
        <v>1107</v>
      </c>
      <c r="C18" s="27" t="s">
        <v>34</v>
      </c>
      <c r="D18" s="31">
        <v>4</v>
      </c>
      <c r="E18" s="29">
        <v>40.01408</v>
      </c>
      <c r="F18" s="30">
        <v>0.41210820624939198</v>
      </c>
      <c r="G18" s="29">
        <v>3.5636999999999999</v>
      </c>
    </row>
    <row r="19" spans="1:9" x14ac:dyDescent="0.2">
      <c r="A19" s="26" t="s">
        <v>35</v>
      </c>
      <c r="B19" s="26"/>
      <c r="C19" s="26"/>
      <c r="D19" s="32"/>
      <c r="E19" s="33">
        <f>SUM(E6:E18)</f>
        <v>7418.1039799999999</v>
      </c>
      <c r="F19" s="34">
        <f>SUM(F6:F18)</f>
        <v>76.399645449033841</v>
      </c>
      <c r="G19" s="33"/>
      <c r="H19" s="18"/>
      <c r="I19" s="18"/>
    </row>
    <row r="20" spans="1:9" x14ac:dyDescent="0.2">
      <c r="A20" s="27"/>
      <c r="B20" s="27"/>
      <c r="C20" s="27"/>
      <c r="D20" s="28"/>
      <c r="E20" s="29"/>
      <c r="F20" s="30"/>
      <c r="G20" s="29"/>
    </row>
    <row r="21" spans="1:9" x14ac:dyDescent="0.2">
      <c r="A21" s="26" t="s">
        <v>52</v>
      </c>
      <c r="B21" s="27"/>
      <c r="C21" s="27"/>
      <c r="D21" s="28"/>
      <c r="E21" s="29"/>
      <c r="F21" s="30"/>
      <c r="G21" s="29"/>
    </row>
    <row r="22" spans="1:9" x14ac:dyDescent="0.2">
      <c r="A22" s="26" t="s">
        <v>794</v>
      </c>
      <c r="B22" s="27"/>
      <c r="C22" s="27"/>
      <c r="D22" s="28"/>
      <c r="E22" s="29"/>
      <c r="F22" s="30"/>
      <c r="G22" s="29"/>
    </row>
    <row r="23" spans="1:9" x14ac:dyDescent="0.2">
      <c r="A23" s="27" t="s">
        <v>803</v>
      </c>
      <c r="B23" s="27" t="s">
        <v>804</v>
      </c>
      <c r="C23" s="27" t="s">
        <v>65</v>
      </c>
      <c r="D23" s="31">
        <v>1900000</v>
      </c>
      <c r="E23" s="29">
        <v>1884.9482</v>
      </c>
      <c r="F23" s="30">
        <v>19.4132320816828</v>
      </c>
      <c r="G23" s="29">
        <v>3.3891</v>
      </c>
    </row>
    <row r="24" spans="1:9" x14ac:dyDescent="0.2">
      <c r="A24" s="26" t="s">
        <v>35</v>
      </c>
      <c r="B24" s="26"/>
      <c r="C24" s="26"/>
      <c r="D24" s="32"/>
      <c r="E24" s="33">
        <f>SUM(E22:E23)</f>
        <v>1884.9482</v>
      </c>
      <c r="F24" s="34">
        <f>SUM(F22:F23)</f>
        <v>19.4132320816828</v>
      </c>
      <c r="G24" s="33"/>
      <c r="H24" s="18"/>
      <c r="I24" s="18"/>
    </row>
    <row r="25" spans="1:9" x14ac:dyDescent="0.2">
      <c r="A25" s="27"/>
      <c r="B25" s="27"/>
      <c r="C25" s="27"/>
      <c r="D25" s="28"/>
      <c r="E25" s="29"/>
      <c r="F25" s="30"/>
      <c r="G25" s="29"/>
    </row>
    <row r="26" spans="1:9" x14ac:dyDescent="0.2">
      <c r="A26" s="26" t="s">
        <v>38</v>
      </c>
      <c r="B26" s="26"/>
      <c r="C26" s="26"/>
      <c r="D26" s="32"/>
      <c r="E26" s="33">
        <f>E19+E24</f>
        <v>9303.0521800000006</v>
      </c>
      <c r="F26" s="34">
        <f>F19+F24</f>
        <v>95.812877530716634</v>
      </c>
      <c r="G26" s="33"/>
      <c r="H26" s="18"/>
      <c r="I26" s="18"/>
    </row>
    <row r="27" spans="1:9" x14ac:dyDescent="0.2">
      <c r="A27" s="26"/>
      <c r="B27" s="26"/>
      <c r="C27" s="26"/>
      <c r="D27" s="32"/>
      <c r="E27" s="33"/>
      <c r="F27" s="34"/>
      <c r="G27" s="33"/>
      <c r="H27" s="18"/>
      <c r="I27" s="18"/>
    </row>
    <row r="28" spans="1:9" x14ac:dyDescent="0.2">
      <c r="A28" s="26" t="s">
        <v>40</v>
      </c>
      <c r="B28" s="26"/>
      <c r="C28" s="26"/>
      <c r="D28" s="32"/>
      <c r="E28" s="33">
        <f>E30-(E19+E24)</f>
        <v>406.55306279999968</v>
      </c>
      <c r="F28" s="34">
        <f>F30-(F19+F24)</f>
        <v>4.1871224692833664</v>
      </c>
      <c r="G28" s="33"/>
      <c r="H28" s="18"/>
      <c r="I28" s="18"/>
    </row>
    <row r="29" spans="1:9" x14ac:dyDescent="0.2">
      <c r="A29" s="26"/>
      <c r="B29" s="26"/>
      <c r="C29" s="26"/>
      <c r="D29" s="32"/>
      <c r="E29" s="33"/>
      <c r="F29" s="34"/>
      <c r="G29" s="33"/>
      <c r="H29" s="18"/>
      <c r="I29" s="18"/>
    </row>
    <row r="30" spans="1:9" x14ac:dyDescent="0.2">
      <c r="A30" s="35" t="s">
        <v>39</v>
      </c>
      <c r="B30" s="35"/>
      <c r="C30" s="35"/>
      <c r="D30" s="36"/>
      <c r="E30" s="37">
        <v>9709.6052428000003</v>
      </c>
      <c r="F30" s="38">
        <v>100</v>
      </c>
      <c r="G30" s="37"/>
      <c r="H30" s="18"/>
      <c r="I30" s="18"/>
    </row>
    <row r="32" spans="1:9" x14ac:dyDescent="0.2">
      <c r="A32" s="18" t="s">
        <v>41</v>
      </c>
    </row>
    <row r="34" spans="1:4" x14ac:dyDescent="0.2">
      <c r="A34" s="18" t="s">
        <v>42</v>
      </c>
    </row>
    <row r="35" spans="1:4" x14ac:dyDescent="0.2">
      <c r="A35" s="18" t="s">
        <v>43</v>
      </c>
    </row>
    <row r="36" spans="1:4" x14ac:dyDescent="0.2">
      <c r="A36" s="18" t="s">
        <v>44</v>
      </c>
      <c r="B36" s="18"/>
      <c r="C36" s="39" t="s">
        <v>46</v>
      </c>
      <c r="D36" s="19" t="s">
        <v>45</v>
      </c>
    </row>
    <row r="37" spans="1:4" x14ac:dyDescent="0.2">
      <c r="A37" s="9" t="s">
        <v>70</v>
      </c>
      <c r="C37" s="40">
        <v>12.2438</v>
      </c>
      <c r="D37" s="40">
        <v>12.4734</v>
      </c>
    </row>
    <row r="38" spans="1:4" x14ac:dyDescent="0.2">
      <c r="A38" s="9" t="s">
        <v>1052</v>
      </c>
      <c r="C38" s="40">
        <v>10.5862</v>
      </c>
      <c r="D38" s="40">
        <v>10.784700000000001</v>
      </c>
    </row>
    <row r="39" spans="1:4" x14ac:dyDescent="0.2">
      <c r="A39" s="9" t="s">
        <v>72</v>
      </c>
      <c r="C39" s="40">
        <v>10.3794</v>
      </c>
      <c r="D39" s="40">
        <v>10.1767</v>
      </c>
    </row>
    <row r="40" spans="1:4" x14ac:dyDescent="0.2">
      <c r="A40" s="9" t="s">
        <v>73</v>
      </c>
      <c r="C40" s="40">
        <v>12.3544</v>
      </c>
      <c r="D40" s="40">
        <v>12.5861</v>
      </c>
    </row>
    <row r="41" spans="1:4" x14ac:dyDescent="0.2">
      <c r="A41" s="9" t="s">
        <v>75</v>
      </c>
      <c r="C41" s="40">
        <v>10.3873</v>
      </c>
      <c r="D41" s="40">
        <v>10.1859</v>
      </c>
    </row>
    <row r="43" spans="1:4" x14ac:dyDescent="0.2">
      <c r="A43" s="18" t="s">
        <v>48</v>
      </c>
    </row>
    <row r="44" spans="1:4" x14ac:dyDescent="0.2">
      <c r="A44" s="77" t="s">
        <v>67</v>
      </c>
      <c r="B44" s="78"/>
      <c r="C44" s="44" t="s">
        <v>68</v>
      </c>
    </row>
    <row r="45" spans="1:4" x14ac:dyDescent="0.2">
      <c r="A45" s="73" t="s">
        <v>72</v>
      </c>
      <c r="B45" s="74"/>
      <c r="C45" s="45">
        <v>0.39500000000000002</v>
      </c>
    </row>
    <row r="46" spans="1:4" x14ac:dyDescent="0.2">
      <c r="A46" s="73" t="s">
        <v>75</v>
      </c>
      <c r="B46" s="74"/>
      <c r="C46" s="45">
        <v>0.39500000000000002</v>
      </c>
    </row>
    <row r="47" spans="1:4" x14ac:dyDescent="0.2">
      <c r="A47" s="9" t="s">
        <v>69</v>
      </c>
    </row>
    <row r="48" spans="1:4" x14ac:dyDescent="0.2">
      <c r="A48" s="9" t="s">
        <v>47</v>
      </c>
    </row>
    <row r="50" spans="1:7" x14ac:dyDescent="0.2">
      <c r="A50" s="18" t="s">
        <v>824</v>
      </c>
      <c r="D50" s="42">
        <v>0.19177399539726001</v>
      </c>
      <c r="E50" s="13" t="s">
        <v>50</v>
      </c>
    </row>
    <row r="52" spans="1:7" x14ac:dyDescent="0.2">
      <c r="A52" s="18" t="s">
        <v>732</v>
      </c>
      <c r="D52" s="41" t="s">
        <v>49</v>
      </c>
    </row>
    <row r="54" spans="1:7" ht="14.4" x14ac:dyDescent="0.2">
      <c r="A54" s="79" t="s">
        <v>825</v>
      </c>
      <c r="B54" s="80"/>
      <c r="C54" s="80"/>
      <c r="D54" s="80"/>
      <c r="E54" s="80"/>
      <c r="F54" s="80"/>
      <c r="G54" s="80"/>
    </row>
    <row r="55" spans="1:7" x14ac:dyDescent="0.2">
      <c r="A55" s="47" t="s">
        <v>51</v>
      </c>
    </row>
    <row r="57" spans="1:7" x14ac:dyDescent="0.2">
      <c r="A57" s="47"/>
    </row>
  </sheetData>
  <mergeCells count="5">
    <mergeCell ref="A1:G1"/>
    <mergeCell ref="A44:B44"/>
    <mergeCell ref="A45:B45"/>
    <mergeCell ref="A46:B46"/>
    <mergeCell ref="A54:G54"/>
  </mergeCells>
  <conditionalFormatting sqref="F2:F3 F5:F53 F58:F65536">
    <cfRule type="cellIs" dxfId="102" priority="3" stopIfTrue="1" operator="between">
      <formula>0.009</formula>
      <formula>-0.009</formula>
    </cfRule>
  </conditionalFormatting>
  <conditionalFormatting sqref="F56:F57">
    <cfRule type="cellIs" dxfId="101" priority="2" stopIfTrue="1" operator="between">
      <formula>0.009</formula>
      <formula>-0.009</formula>
    </cfRule>
  </conditionalFormatting>
  <conditionalFormatting sqref="F55">
    <cfRule type="cellIs" dxfId="100" priority="1" stopIfTrue="1" operator="between">
      <formula>0.009</formula>
      <formula>-0.009</formula>
    </cfRule>
  </conditionalFormatting>
  <hyperlinks>
    <hyperlink ref="A55" r:id="rId1"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0"/>
  <sheetViews>
    <sheetView workbookViewId="0">
      <selection sqref="A1:G1"/>
    </sheetView>
  </sheetViews>
  <sheetFormatPr defaultColWidth="9.109375" defaultRowHeight="10.199999999999999" x14ac:dyDescent="0.2"/>
  <cols>
    <col min="1" max="1" width="38.6640625" style="9" bestFit="1" customWidth="1"/>
    <col min="2" max="2" width="53.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1113</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1111</v>
      </c>
      <c r="B7" s="27" t="s">
        <v>1112</v>
      </c>
      <c r="C7" s="27" t="s">
        <v>996</v>
      </c>
      <c r="D7" s="31">
        <v>103</v>
      </c>
      <c r="E7" s="29">
        <v>1319.7657799999999</v>
      </c>
      <c r="F7" s="30">
        <v>11.133646145430101</v>
      </c>
      <c r="G7" s="29">
        <v>3.7801</v>
      </c>
    </row>
    <row r="8" spans="1:7" x14ac:dyDescent="0.2">
      <c r="A8" s="27" t="s">
        <v>1091</v>
      </c>
      <c r="B8" s="27" t="s">
        <v>1092</v>
      </c>
      <c r="C8" s="27" t="s">
        <v>34</v>
      </c>
      <c r="D8" s="31">
        <v>115</v>
      </c>
      <c r="E8" s="29">
        <v>1155.2393999999999</v>
      </c>
      <c r="F8" s="30">
        <v>9.7456888849315408</v>
      </c>
      <c r="G8" s="29">
        <v>3.5449000000000002</v>
      </c>
    </row>
    <row r="9" spans="1:7" x14ac:dyDescent="0.2">
      <c r="A9" s="27" t="s">
        <v>945</v>
      </c>
      <c r="B9" s="27" t="s">
        <v>946</v>
      </c>
      <c r="C9" s="27" t="s">
        <v>34</v>
      </c>
      <c r="D9" s="31">
        <v>112</v>
      </c>
      <c r="E9" s="29">
        <v>1126.77936</v>
      </c>
      <c r="F9" s="30">
        <v>9.5055977873696804</v>
      </c>
      <c r="G9" s="29">
        <v>3.5102000000000002</v>
      </c>
    </row>
    <row r="10" spans="1:7" x14ac:dyDescent="0.2">
      <c r="A10" s="27" t="s">
        <v>1099</v>
      </c>
      <c r="B10" s="27" t="s">
        <v>1100</v>
      </c>
      <c r="C10" s="27" t="s">
        <v>996</v>
      </c>
      <c r="D10" s="31">
        <v>85</v>
      </c>
      <c r="E10" s="29">
        <v>1086.7879</v>
      </c>
      <c r="F10" s="30">
        <v>9.1682267392439094</v>
      </c>
      <c r="G10" s="29">
        <v>3.9499</v>
      </c>
    </row>
    <row r="11" spans="1:7" x14ac:dyDescent="0.2">
      <c r="A11" s="27" t="s">
        <v>1114</v>
      </c>
      <c r="B11" s="27" t="s">
        <v>1115</v>
      </c>
      <c r="C11" s="27" t="s">
        <v>34</v>
      </c>
      <c r="D11" s="31">
        <v>100</v>
      </c>
      <c r="E11" s="29">
        <v>1006.872</v>
      </c>
      <c r="F11" s="30">
        <v>8.4940500288933993</v>
      </c>
      <c r="G11" s="29">
        <v>3.6248999999999998</v>
      </c>
    </row>
    <row r="12" spans="1:7" x14ac:dyDescent="0.2">
      <c r="A12" s="27" t="s">
        <v>1116</v>
      </c>
      <c r="B12" s="27" t="s">
        <v>1117</v>
      </c>
      <c r="C12" s="27" t="s">
        <v>34</v>
      </c>
      <c r="D12" s="31">
        <v>70</v>
      </c>
      <c r="E12" s="29">
        <v>905.19029999999998</v>
      </c>
      <c r="F12" s="30">
        <v>7.6362553471235897</v>
      </c>
      <c r="G12" s="29">
        <v>3.7749000000000001</v>
      </c>
    </row>
    <row r="13" spans="1:7" x14ac:dyDescent="0.2">
      <c r="A13" s="27" t="s">
        <v>1118</v>
      </c>
      <c r="B13" s="27" t="s">
        <v>1119</v>
      </c>
      <c r="C13" s="27" t="s">
        <v>34</v>
      </c>
      <c r="D13" s="31">
        <v>77</v>
      </c>
      <c r="E13" s="29">
        <v>771.00562000000002</v>
      </c>
      <c r="F13" s="30">
        <v>6.5042630134098198</v>
      </c>
      <c r="G13" s="29">
        <v>3.4152</v>
      </c>
    </row>
    <row r="14" spans="1:7" x14ac:dyDescent="0.2">
      <c r="A14" s="27" t="s">
        <v>960</v>
      </c>
      <c r="B14" s="27" t="s">
        <v>961</v>
      </c>
      <c r="C14" s="27" t="s">
        <v>931</v>
      </c>
      <c r="D14" s="31">
        <v>75</v>
      </c>
      <c r="E14" s="29">
        <v>756.16499999999996</v>
      </c>
      <c r="F14" s="30">
        <v>6.3790663958260598</v>
      </c>
      <c r="G14" s="29">
        <v>3.6551999999999998</v>
      </c>
    </row>
    <row r="15" spans="1:7" x14ac:dyDescent="0.2">
      <c r="A15" s="27" t="s">
        <v>1120</v>
      </c>
      <c r="B15" s="27" t="s">
        <v>1121</v>
      </c>
      <c r="C15" s="27" t="s">
        <v>931</v>
      </c>
      <c r="D15" s="31">
        <v>21</v>
      </c>
      <c r="E15" s="29">
        <v>526.22220000000004</v>
      </c>
      <c r="F15" s="30">
        <v>4.4392511591486796</v>
      </c>
      <c r="G15" s="29">
        <v>3.9352999999999998</v>
      </c>
    </row>
    <row r="16" spans="1:7" x14ac:dyDescent="0.2">
      <c r="A16" s="27" t="s">
        <v>1122</v>
      </c>
      <c r="B16" s="27" t="s">
        <v>1123</v>
      </c>
      <c r="C16" s="27" t="s">
        <v>875</v>
      </c>
      <c r="D16" s="31">
        <v>32</v>
      </c>
      <c r="E16" s="29">
        <v>319.56</v>
      </c>
      <c r="F16" s="30">
        <v>2.6958328637931901</v>
      </c>
      <c r="G16" s="29">
        <v>3.5897999999999999</v>
      </c>
    </row>
    <row r="17" spans="1:9" x14ac:dyDescent="0.2">
      <c r="A17" s="27" t="s">
        <v>974</v>
      </c>
      <c r="B17" s="27" t="s">
        <v>975</v>
      </c>
      <c r="C17" s="27" t="s">
        <v>931</v>
      </c>
      <c r="D17" s="31">
        <v>310</v>
      </c>
      <c r="E17" s="29">
        <v>311.76235000000003</v>
      </c>
      <c r="F17" s="30">
        <v>2.63005128559079</v>
      </c>
      <c r="G17" s="29">
        <v>3.4001000000000001</v>
      </c>
    </row>
    <row r="18" spans="1:9" x14ac:dyDescent="0.2">
      <c r="A18" s="26" t="s">
        <v>35</v>
      </c>
      <c r="B18" s="26"/>
      <c r="C18" s="26"/>
      <c r="D18" s="32"/>
      <c r="E18" s="33">
        <f>SUM(E6:E17)</f>
        <v>9285.3499100000008</v>
      </c>
      <c r="F18" s="34">
        <f>SUM(F6:F17)</f>
        <v>78.331929650760756</v>
      </c>
      <c r="G18" s="33"/>
      <c r="H18" s="18"/>
      <c r="I18" s="18"/>
    </row>
    <row r="19" spans="1:9" x14ac:dyDescent="0.2">
      <c r="A19" s="27"/>
      <c r="B19" s="27"/>
      <c r="C19" s="27"/>
      <c r="D19" s="28"/>
      <c r="E19" s="29"/>
      <c r="F19" s="30"/>
      <c r="G19" s="29"/>
    </row>
    <row r="20" spans="1:9" x14ac:dyDescent="0.2">
      <c r="A20" s="26" t="s">
        <v>38</v>
      </c>
      <c r="B20" s="26"/>
      <c r="C20" s="26"/>
      <c r="D20" s="32"/>
      <c r="E20" s="33">
        <f>E18</f>
        <v>9285.3499100000008</v>
      </c>
      <c r="F20" s="34">
        <f>F18</f>
        <v>78.331929650760756</v>
      </c>
      <c r="G20" s="33"/>
      <c r="H20" s="18"/>
      <c r="I20" s="18"/>
    </row>
    <row r="21" spans="1:9" x14ac:dyDescent="0.2">
      <c r="A21" s="26"/>
      <c r="B21" s="26"/>
      <c r="C21" s="26"/>
      <c r="D21" s="32"/>
      <c r="E21" s="33"/>
      <c r="F21" s="34"/>
      <c r="G21" s="33"/>
      <c r="H21" s="18"/>
      <c r="I21" s="18"/>
    </row>
    <row r="22" spans="1:9" x14ac:dyDescent="0.2">
      <c r="A22" s="26" t="s">
        <v>40</v>
      </c>
      <c r="B22" s="26"/>
      <c r="C22" s="26"/>
      <c r="D22" s="32"/>
      <c r="E22" s="33">
        <f>E24-(E18)</f>
        <v>2568.5006862999999</v>
      </c>
      <c r="F22" s="34">
        <f>F24-(F18)</f>
        <v>21.668070349239244</v>
      </c>
      <c r="G22" s="33"/>
      <c r="H22" s="18"/>
      <c r="I22" s="18"/>
    </row>
    <row r="23" spans="1:9" x14ac:dyDescent="0.2">
      <c r="A23" s="26"/>
      <c r="B23" s="26"/>
      <c r="C23" s="26"/>
      <c r="D23" s="32"/>
      <c r="E23" s="33"/>
      <c r="F23" s="34"/>
      <c r="G23" s="33"/>
      <c r="H23" s="18"/>
      <c r="I23" s="18"/>
    </row>
    <row r="24" spans="1:9" x14ac:dyDescent="0.2">
      <c r="A24" s="35" t="s">
        <v>39</v>
      </c>
      <c r="B24" s="35"/>
      <c r="C24" s="35"/>
      <c r="D24" s="36"/>
      <c r="E24" s="37">
        <v>11853.850596300001</v>
      </c>
      <c r="F24" s="38">
        <v>100</v>
      </c>
      <c r="G24" s="37"/>
      <c r="H24" s="18"/>
      <c r="I24" s="18"/>
    </row>
    <row r="26" spans="1:9" x14ac:dyDescent="0.2">
      <c r="A26" s="18" t="s">
        <v>41</v>
      </c>
    </row>
    <row r="28" spans="1:9" x14ac:dyDescent="0.2">
      <c r="A28" s="18" t="s">
        <v>42</v>
      </c>
    </row>
    <row r="29" spans="1:9" x14ac:dyDescent="0.2">
      <c r="A29" s="18" t="s">
        <v>43</v>
      </c>
    </row>
    <row r="30" spans="1:9" x14ac:dyDescent="0.2">
      <c r="A30" s="18" t="s">
        <v>44</v>
      </c>
      <c r="B30" s="18"/>
      <c r="C30" s="39" t="s">
        <v>46</v>
      </c>
      <c r="D30" s="19" t="s">
        <v>45</v>
      </c>
    </row>
    <row r="31" spans="1:9" x14ac:dyDescent="0.2">
      <c r="A31" s="9" t="s">
        <v>70</v>
      </c>
      <c r="C31" s="40">
        <v>12.2546</v>
      </c>
      <c r="D31" s="40">
        <v>12.5062</v>
      </c>
    </row>
    <row r="32" spans="1:9" x14ac:dyDescent="0.2">
      <c r="A32" s="9" t="s">
        <v>1052</v>
      </c>
      <c r="C32" s="40">
        <v>10.586600000000001</v>
      </c>
      <c r="D32" s="40">
        <v>10.804</v>
      </c>
    </row>
    <row r="33" spans="1:7" x14ac:dyDescent="0.2">
      <c r="A33" s="9" t="s">
        <v>72</v>
      </c>
      <c r="C33" s="40">
        <v>10.3735</v>
      </c>
      <c r="D33" s="40">
        <v>10.212400000000001</v>
      </c>
    </row>
    <row r="34" spans="1:7" x14ac:dyDescent="0.2">
      <c r="A34" s="9" t="s">
        <v>73</v>
      </c>
      <c r="C34" s="40">
        <v>12.377800000000001</v>
      </c>
      <c r="D34" s="40">
        <v>12.6319</v>
      </c>
    </row>
    <row r="35" spans="1:7" x14ac:dyDescent="0.2">
      <c r="A35" s="9" t="s">
        <v>77</v>
      </c>
      <c r="C35" s="40">
        <v>10.712400000000001</v>
      </c>
      <c r="D35" s="40">
        <v>10.9338</v>
      </c>
    </row>
    <row r="37" spans="1:7" x14ac:dyDescent="0.2">
      <c r="A37" s="18" t="s">
        <v>48</v>
      </c>
    </row>
    <row r="38" spans="1:7" x14ac:dyDescent="0.2">
      <c r="A38" s="77" t="s">
        <v>67</v>
      </c>
      <c r="B38" s="78"/>
      <c r="C38" s="44" t="s">
        <v>68</v>
      </c>
    </row>
    <row r="39" spans="1:7" x14ac:dyDescent="0.2">
      <c r="A39" s="73" t="s">
        <v>72</v>
      </c>
      <c r="B39" s="74"/>
      <c r="C39" s="45">
        <v>0.37</v>
      </c>
    </row>
    <row r="40" spans="1:7" x14ac:dyDescent="0.2">
      <c r="A40" s="9" t="s">
        <v>69</v>
      </c>
    </row>
    <row r="41" spans="1:7" x14ac:dyDescent="0.2">
      <c r="A41" s="9" t="s">
        <v>47</v>
      </c>
    </row>
    <row r="43" spans="1:7" x14ac:dyDescent="0.2">
      <c r="A43" s="18" t="s">
        <v>824</v>
      </c>
      <c r="D43" s="42">
        <v>9.1232458684931503E-2</v>
      </c>
      <c r="E43" s="13" t="s">
        <v>50</v>
      </c>
    </row>
    <row r="45" spans="1:7" x14ac:dyDescent="0.2">
      <c r="A45" s="18" t="s">
        <v>732</v>
      </c>
      <c r="D45" s="41" t="s">
        <v>49</v>
      </c>
    </row>
    <row r="47" spans="1:7" ht="14.4" x14ac:dyDescent="0.2">
      <c r="A47" s="79" t="s">
        <v>825</v>
      </c>
      <c r="B47" s="80"/>
      <c r="C47" s="80"/>
      <c r="D47" s="80"/>
      <c r="E47" s="80"/>
      <c r="F47" s="80"/>
      <c r="G47" s="80"/>
    </row>
    <row r="48" spans="1:7" x14ac:dyDescent="0.2">
      <c r="A48" s="47" t="s">
        <v>51</v>
      </c>
    </row>
    <row r="50" spans="1:1" x14ac:dyDescent="0.2">
      <c r="A50" s="47"/>
    </row>
  </sheetData>
  <mergeCells count="4">
    <mergeCell ref="A1:G1"/>
    <mergeCell ref="A38:B38"/>
    <mergeCell ref="A39:B39"/>
    <mergeCell ref="A47:G47"/>
  </mergeCells>
  <conditionalFormatting sqref="F2:F3 F5:F46 F51:F65536">
    <cfRule type="cellIs" dxfId="99" priority="3" stopIfTrue="1" operator="between">
      <formula>0.009</formula>
      <formula>-0.009</formula>
    </cfRule>
  </conditionalFormatting>
  <conditionalFormatting sqref="F49:F50">
    <cfRule type="cellIs" dxfId="98" priority="2" stopIfTrue="1" operator="between">
      <formula>0.009</formula>
      <formula>-0.009</formula>
    </cfRule>
  </conditionalFormatting>
  <conditionalFormatting sqref="F48">
    <cfRule type="cellIs" dxfId="97" priority="1" stopIfTrue="1" operator="between">
      <formula>0.009</formula>
      <formula>-0.009</formula>
    </cfRule>
  </conditionalFormatting>
  <hyperlinks>
    <hyperlink ref="A48"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54"/>
  <sheetViews>
    <sheetView workbookViewId="0">
      <selection sqref="A1:G1"/>
    </sheetView>
  </sheetViews>
  <sheetFormatPr defaultColWidth="9.109375" defaultRowHeight="10.199999999999999" x14ac:dyDescent="0.2"/>
  <cols>
    <col min="1" max="1" width="38.6640625" style="9" bestFit="1" customWidth="1"/>
    <col min="2" max="2" width="48.33203125" style="9" bestFit="1"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1124</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1125</v>
      </c>
      <c r="B7" s="27" t="s">
        <v>1126</v>
      </c>
      <c r="C7" s="27" t="s">
        <v>34</v>
      </c>
      <c r="D7" s="31">
        <v>99</v>
      </c>
      <c r="E7" s="29">
        <v>1273.10634</v>
      </c>
      <c r="F7" s="30">
        <v>10.0892325760025</v>
      </c>
      <c r="G7" s="29">
        <v>3.9704000000000002</v>
      </c>
    </row>
    <row r="8" spans="1:9" x14ac:dyDescent="0.2">
      <c r="A8" s="27" t="s">
        <v>1127</v>
      </c>
      <c r="B8" s="27" t="s">
        <v>1128</v>
      </c>
      <c r="C8" s="27" t="s">
        <v>34</v>
      </c>
      <c r="D8" s="31">
        <v>119</v>
      </c>
      <c r="E8" s="29">
        <v>1192.2740899999999</v>
      </c>
      <c r="F8" s="30">
        <v>9.4486455768900708</v>
      </c>
      <c r="G8" s="29">
        <v>3.4258999999999999</v>
      </c>
    </row>
    <row r="9" spans="1:9" x14ac:dyDescent="0.2">
      <c r="A9" s="27" t="s">
        <v>1087</v>
      </c>
      <c r="B9" s="27" t="s">
        <v>1088</v>
      </c>
      <c r="C9" s="27" t="s">
        <v>34</v>
      </c>
      <c r="D9" s="31">
        <v>119</v>
      </c>
      <c r="E9" s="29">
        <v>1190.92939</v>
      </c>
      <c r="F9" s="30">
        <v>9.43798897215982</v>
      </c>
      <c r="G9" s="29">
        <v>3.3757999999999999</v>
      </c>
    </row>
    <row r="10" spans="1:9" x14ac:dyDescent="0.2">
      <c r="A10" s="27" t="s">
        <v>1129</v>
      </c>
      <c r="B10" s="27" t="s">
        <v>1130</v>
      </c>
      <c r="C10" s="27" t="s">
        <v>931</v>
      </c>
      <c r="D10" s="31">
        <v>100</v>
      </c>
      <c r="E10" s="29">
        <v>1002.737</v>
      </c>
      <c r="F10" s="30">
        <v>7.9465842622093801</v>
      </c>
      <c r="G10" s="29">
        <v>3.9352</v>
      </c>
    </row>
    <row r="11" spans="1:9" x14ac:dyDescent="0.2">
      <c r="A11" s="27" t="s">
        <v>1131</v>
      </c>
      <c r="B11" s="27" t="s">
        <v>1132</v>
      </c>
      <c r="C11" s="27" t="s">
        <v>931</v>
      </c>
      <c r="D11" s="31">
        <v>100</v>
      </c>
      <c r="E11" s="29">
        <v>1002.664</v>
      </c>
      <c r="F11" s="30">
        <v>7.9460057449599502</v>
      </c>
      <c r="G11" s="29">
        <v>3.3601999999999999</v>
      </c>
    </row>
    <row r="12" spans="1:9" x14ac:dyDescent="0.2">
      <c r="A12" s="27" t="s">
        <v>1133</v>
      </c>
      <c r="B12" s="27" t="s">
        <v>1134</v>
      </c>
      <c r="C12" s="27" t="s">
        <v>34</v>
      </c>
      <c r="D12" s="31">
        <v>100</v>
      </c>
      <c r="E12" s="29">
        <v>1001.549</v>
      </c>
      <c r="F12" s="30">
        <v>7.9371694883419499</v>
      </c>
      <c r="G12" s="29">
        <v>3.4312</v>
      </c>
    </row>
    <row r="13" spans="1:9" x14ac:dyDescent="0.2">
      <c r="A13" s="27" t="s">
        <v>1122</v>
      </c>
      <c r="B13" s="27" t="s">
        <v>1123</v>
      </c>
      <c r="C13" s="27" t="s">
        <v>875</v>
      </c>
      <c r="D13" s="31">
        <v>96</v>
      </c>
      <c r="E13" s="29">
        <v>958.68</v>
      </c>
      <c r="F13" s="30">
        <v>7.5974372148378801</v>
      </c>
      <c r="G13" s="29">
        <v>3.5897999999999999</v>
      </c>
    </row>
    <row r="14" spans="1:9" x14ac:dyDescent="0.2">
      <c r="A14" s="27" t="s">
        <v>1118</v>
      </c>
      <c r="B14" s="27" t="s">
        <v>1119</v>
      </c>
      <c r="C14" s="27" t="s">
        <v>34</v>
      </c>
      <c r="D14" s="31">
        <v>23</v>
      </c>
      <c r="E14" s="29">
        <v>230.30037999999999</v>
      </c>
      <c r="F14" s="30">
        <v>1.8251060600026101</v>
      </c>
      <c r="G14" s="29">
        <v>3.4152</v>
      </c>
    </row>
    <row r="15" spans="1:9" x14ac:dyDescent="0.2">
      <c r="A15" s="26" t="s">
        <v>35</v>
      </c>
      <c r="B15" s="26"/>
      <c r="C15" s="26"/>
      <c r="D15" s="32"/>
      <c r="E15" s="33">
        <f>SUM(E6:E14)</f>
        <v>7852.2402000000002</v>
      </c>
      <c r="F15" s="34">
        <f>SUM(F6:F14)</f>
        <v>62.228169895404157</v>
      </c>
      <c r="G15" s="33"/>
      <c r="H15" s="18"/>
      <c r="I15" s="18"/>
    </row>
    <row r="16" spans="1:9" x14ac:dyDescent="0.2">
      <c r="A16" s="27"/>
      <c r="B16" s="27"/>
      <c r="C16" s="27"/>
      <c r="D16" s="28"/>
      <c r="E16" s="29"/>
      <c r="F16" s="30"/>
      <c r="G16" s="29"/>
    </row>
    <row r="17" spans="1:9" x14ac:dyDescent="0.2">
      <c r="A17" s="26" t="s">
        <v>52</v>
      </c>
      <c r="B17" s="27"/>
      <c r="C17" s="27"/>
      <c r="D17" s="28"/>
      <c r="E17" s="29"/>
      <c r="F17" s="30"/>
      <c r="G17" s="29"/>
    </row>
    <row r="18" spans="1:9" x14ac:dyDescent="0.2">
      <c r="A18" s="26" t="s">
        <v>794</v>
      </c>
      <c r="B18" s="27"/>
      <c r="C18" s="27"/>
      <c r="D18" s="28"/>
      <c r="E18" s="29"/>
      <c r="F18" s="30"/>
      <c r="G18" s="29"/>
    </row>
    <row r="19" spans="1:9" x14ac:dyDescent="0.2">
      <c r="A19" s="27" t="s">
        <v>1135</v>
      </c>
      <c r="B19" s="27" t="s">
        <v>1136</v>
      </c>
      <c r="C19" s="27" t="s">
        <v>65</v>
      </c>
      <c r="D19" s="31">
        <v>3500000</v>
      </c>
      <c r="E19" s="29">
        <v>3494.9459999999999</v>
      </c>
      <c r="F19" s="30">
        <v>27.697075983903702</v>
      </c>
      <c r="G19" s="29">
        <v>3.2989000000000002</v>
      </c>
    </row>
    <row r="20" spans="1:9" x14ac:dyDescent="0.2">
      <c r="A20" s="26" t="s">
        <v>35</v>
      </c>
      <c r="B20" s="26"/>
      <c r="C20" s="26"/>
      <c r="D20" s="32"/>
      <c r="E20" s="33">
        <f>SUM(E18:E19)</f>
        <v>3494.9459999999999</v>
      </c>
      <c r="F20" s="34">
        <f>SUM(F18:F19)</f>
        <v>27.697075983903702</v>
      </c>
      <c r="G20" s="33"/>
      <c r="H20" s="18"/>
      <c r="I20" s="18"/>
    </row>
    <row r="21" spans="1:9" x14ac:dyDescent="0.2">
      <c r="A21" s="27"/>
      <c r="B21" s="27"/>
      <c r="C21" s="27"/>
      <c r="D21" s="28"/>
      <c r="E21" s="29"/>
      <c r="F21" s="30"/>
      <c r="G21" s="29"/>
    </row>
    <row r="22" spans="1:9" x14ac:dyDescent="0.2">
      <c r="A22" s="26" t="s">
        <v>38</v>
      </c>
      <c r="B22" s="26"/>
      <c r="C22" s="26"/>
      <c r="D22" s="32"/>
      <c r="E22" s="33">
        <f>E15+E20</f>
        <v>11347.1862</v>
      </c>
      <c r="F22" s="34">
        <f>F15+F20</f>
        <v>89.925245879307852</v>
      </c>
      <c r="G22" s="33"/>
      <c r="H22" s="18"/>
      <c r="I22" s="18"/>
    </row>
    <row r="23" spans="1:9" x14ac:dyDescent="0.2">
      <c r="A23" s="26"/>
      <c r="B23" s="26"/>
      <c r="C23" s="26"/>
      <c r="D23" s="32"/>
      <c r="E23" s="33"/>
      <c r="F23" s="34"/>
      <c r="G23" s="33"/>
      <c r="H23" s="18"/>
      <c r="I23" s="18"/>
    </row>
    <row r="24" spans="1:9" x14ac:dyDescent="0.2">
      <c r="A24" s="26" t="s">
        <v>40</v>
      </c>
      <c r="B24" s="26"/>
      <c r="C24" s="26"/>
      <c r="D24" s="32"/>
      <c r="E24" s="33">
        <f>E26-(E15+E20)</f>
        <v>1271.2793810999992</v>
      </c>
      <c r="F24" s="34">
        <f>F26-(F15+F20)</f>
        <v>10.074754120692148</v>
      </c>
      <c r="G24" s="33"/>
      <c r="H24" s="18"/>
      <c r="I24" s="18"/>
    </row>
    <row r="25" spans="1:9" x14ac:dyDescent="0.2">
      <c r="A25" s="26"/>
      <c r="B25" s="26"/>
      <c r="C25" s="26"/>
      <c r="D25" s="32"/>
      <c r="E25" s="33"/>
      <c r="F25" s="34"/>
      <c r="G25" s="33"/>
      <c r="H25" s="18"/>
      <c r="I25" s="18"/>
    </row>
    <row r="26" spans="1:9" x14ac:dyDescent="0.2">
      <c r="A26" s="35" t="s">
        <v>39</v>
      </c>
      <c r="B26" s="35"/>
      <c r="C26" s="35"/>
      <c r="D26" s="36"/>
      <c r="E26" s="37">
        <v>12618.465581099999</v>
      </c>
      <c r="F26" s="38">
        <v>100</v>
      </c>
      <c r="G26" s="37"/>
      <c r="H26" s="18"/>
      <c r="I26" s="18"/>
    </row>
    <row r="28" spans="1:9" x14ac:dyDescent="0.2">
      <c r="A28" s="18" t="s">
        <v>41</v>
      </c>
    </row>
    <row r="30" spans="1:9" x14ac:dyDescent="0.2">
      <c r="A30" s="18" t="s">
        <v>42</v>
      </c>
    </row>
    <row r="31" spans="1:9" x14ac:dyDescent="0.2">
      <c r="A31" s="18" t="s">
        <v>43</v>
      </c>
    </row>
    <row r="32" spans="1:9" x14ac:dyDescent="0.2">
      <c r="A32" s="18" t="s">
        <v>44</v>
      </c>
      <c r="B32" s="18"/>
      <c r="C32" s="39" t="s">
        <v>46</v>
      </c>
      <c r="D32" s="19" t="s">
        <v>45</v>
      </c>
    </row>
    <row r="33" spans="1:5" x14ac:dyDescent="0.2">
      <c r="A33" s="9" t="s">
        <v>70</v>
      </c>
      <c r="C33" s="40">
        <v>12.2883</v>
      </c>
      <c r="D33" s="40">
        <v>12.514799999999999</v>
      </c>
    </row>
    <row r="34" spans="1:5" x14ac:dyDescent="0.2">
      <c r="A34" s="9" t="s">
        <v>1052</v>
      </c>
      <c r="C34" s="40">
        <v>10.649800000000001</v>
      </c>
      <c r="D34" s="40">
        <v>10.846399999999999</v>
      </c>
    </row>
    <row r="35" spans="1:5" x14ac:dyDescent="0.2">
      <c r="A35" s="9" t="s">
        <v>72</v>
      </c>
      <c r="C35" s="40">
        <v>10.4442</v>
      </c>
      <c r="D35" s="40">
        <v>10.2371</v>
      </c>
    </row>
    <row r="36" spans="1:5" x14ac:dyDescent="0.2">
      <c r="A36" s="9" t="s">
        <v>73</v>
      </c>
      <c r="C36" s="40">
        <v>12.4115</v>
      </c>
      <c r="D36" s="40">
        <v>12.6402</v>
      </c>
    </row>
    <row r="37" spans="1:5" x14ac:dyDescent="0.2">
      <c r="A37" s="9" t="s">
        <v>77</v>
      </c>
      <c r="C37" s="40">
        <v>10.774100000000001</v>
      </c>
      <c r="D37" s="40">
        <v>10.9739</v>
      </c>
    </row>
    <row r="38" spans="1:5" x14ac:dyDescent="0.2">
      <c r="A38" s="9" t="s">
        <v>75</v>
      </c>
      <c r="C38" s="40">
        <v>10.5154</v>
      </c>
      <c r="D38" s="40">
        <v>10.308999999999999</v>
      </c>
    </row>
    <row r="40" spans="1:5" x14ac:dyDescent="0.2">
      <c r="A40" s="18" t="s">
        <v>48</v>
      </c>
    </row>
    <row r="41" spans="1:5" x14ac:dyDescent="0.2">
      <c r="A41" s="77" t="s">
        <v>67</v>
      </c>
      <c r="B41" s="78"/>
      <c r="C41" s="44" t="s">
        <v>68</v>
      </c>
    </row>
    <row r="42" spans="1:5" x14ac:dyDescent="0.2">
      <c r="A42" s="73" t="s">
        <v>72</v>
      </c>
      <c r="B42" s="74"/>
      <c r="C42" s="45">
        <v>0.39500000000000002</v>
      </c>
    </row>
    <row r="43" spans="1:5" x14ac:dyDescent="0.2">
      <c r="A43" s="73" t="s">
        <v>75</v>
      </c>
      <c r="B43" s="74"/>
      <c r="C43" s="45">
        <v>0.39500000000000002</v>
      </c>
    </row>
    <row r="44" spans="1:5" x14ac:dyDescent="0.2">
      <c r="A44" s="9" t="s">
        <v>69</v>
      </c>
    </row>
    <row r="45" spans="1:5" x14ac:dyDescent="0.2">
      <c r="A45" s="9" t="s">
        <v>47</v>
      </c>
    </row>
    <row r="47" spans="1:5" x14ac:dyDescent="0.2">
      <c r="A47" s="18" t="s">
        <v>824</v>
      </c>
      <c r="D47" s="42">
        <v>3.8876103260273999E-2</v>
      </c>
      <c r="E47" s="13" t="s">
        <v>50</v>
      </c>
    </row>
    <row r="49" spans="1:7" x14ac:dyDescent="0.2">
      <c r="A49" s="18" t="s">
        <v>732</v>
      </c>
      <c r="D49" s="41" t="s">
        <v>49</v>
      </c>
    </row>
    <row r="51" spans="1:7" ht="14.4" x14ac:dyDescent="0.2">
      <c r="A51" s="79" t="s">
        <v>825</v>
      </c>
      <c r="B51" s="80"/>
      <c r="C51" s="80"/>
      <c r="D51" s="80"/>
      <c r="E51" s="80"/>
      <c r="F51" s="80"/>
      <c r="G51" s="80"/>
    </row>
    <row r="52" spans="1:7" x14ac:dyDescent="0.2">
      <c r="A52" s="47" t="s">
        <v>51</v>
      </c>
    </row>
    <row r="54" spans="1:7" x14ac:dyDescent="0.2">
      <c r="A54" s="47"/>
    </row>
  </sheetData>
  <mergeCells count="5">
    <mergeCell ref="A1:G1"/>
    <mergeCell ref="A41:B41"/>
    <mergeCell ref="A42:B42"/>
    <mergeCell ref="A43:B43"/>
    <mergeCell ref="A51:G51"/>
  </mergeCells>
  <conditionalFormatting sqref="F2:F3 F5:F50 F55:F65536">
    <cfRule type="cellIs" dxfId="96" priority="3" stopIfTrue="1" operator="between">
      <formula>0.009</formula>
      <formula>-0.009</formula>
    </cfRule>
  </conditionalFormatting>
  <conditionalFormatting sqref="F53:F54">
    <cfRule type="cellIs" dxfId="95" priority="2" stopIfTrue="1" operator="between">
      <formula>0.009</formula>
      <formula>-0.009</formula>
    </cfRule>
  </conditionalFormatting>
  <conditionalFormatting sqref="F52">
    <cfRule type="cellIs" dxfId="94" priority="1" stopIfTrue="1" operator="between">
      <formula>0.009</formula>
      <formula>-0.009</formula>
    </cfRule>
  </conditionalFormatting>
  <hyperlinks>
    <hyperlink ref="A52" r:id="rId1"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42"/>
  <sheetViews>
    <sheetView workbookViewId="0">
      <selection sqref="A1:G1"/>
    </sheetView>
  </sheetViews>
  <sheetFormatPr defaultColWidth="9.109375" defaultRowHeight="10.199999999999999" x14ac:dyDescent="0.2"/>
  <cols>
    <col min="1" max="1" width="38.6640625" style="9" bestFit="1" customWidth="1"/>
    <col min="2" max="2" width="34.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1137</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1" t="s">
        <v>31</v>
      </c>
      <c r="B5" s="22"/>
      <c r="C5" s="22"/>
      <c r="D5" s="23"/>
      <c r="E5" s="24"/>
      <c r="F5" s="25"/>
      <c r="G5" s="24"/>
    </row>
    <row r="6" spans="1:9" x14ac:dyDescent="0.2">
      <c r="A6" s="26" t="s">
        <v>32</v>
      </c>
      <c r="B6" s="27"/>
      <c r="C6" s="27"/>
      <c r="D6" s="28"/>
      <c r="E6" s="29"/>
      <c r="F6" s="30"/>
      <c r="G6" s="29"/>
    </row>
    <row r="7" spans="1:9" x14ac:dyDescent="0.2">
      <c r="A7" s="27" t="s">
        <v>1125</v>
      </c>
      <c r="B7" s="27" t="s">
        <v>1126</v>
      </c>
      <c r="C7" s="27" t="s">
        <v>34</v>
      </c>
      <c r="D7" s="31">
        <v>50</v>
      </c>
      <c r="E7" s="29">
        <v>642.98299999999995</v>
      </c>
      <c r="F7" s="30">
        <v>5.96485508487934</v>
      </c>
      <c r="G7" s="29">
        <v>3.9704000000000002</v>
      </c>
    </row>
    <row r="8" spans="1:9" x14ac:dyDescent="0.2">
      <c r="A8" s="27" t="s">
        <v>1127</v>
      </c>
      <c r="B8" s="27" t="s">
        <v>1128</v>
      </c>
      <c r="C8" s="27" t="s">
        <v>34</v>
      </c>
      <c r="D8" s="31">
        <v>31</v>
      </c>
      <c r="E8" s="29">
        <v>310.59240999999997</v>
      </c>
      <c r="F8" s="30">
        <v>2.8813183491840801</v>
      </c>
      <c r="G8" s="29">
        <v>3.4258999999999999</v>
      </c>
    </row>
    <row r="9" spans="1:9" x14ac:dyDescent="0.2">
      <c r="A9" s="26" t="s">
        <v>35</v>
      </c>
      <c r="B9" s="26"/>
      <c r="C9" s="26"/>
      <c r="D9" s="32"/>
      <c r="E9" s="33">
        <f>SUM(E6:E8)</f>
        <v>953.57540999999992</v>
      </c>
      <c r="F9" s="34">
        <f>SUM(F6:F8)</f>
        <v>8.8461734340634202</v>
      </c>
      <c r="G9" s="33"/>
      <c r="H9" s="18"/>
      <c r="I9" s="18"/>
    </row>
    <row r="10" spans="1:9" x14ac:dyDescent="0.2">
      <c r="A10" s="27"/>
      <c r="B10" s="27"/>
      <c r="C10" s="27"/>
      <c r="D10" s="28"/>
      <c r="E10" s="29"/>
      <c r="F10" s="30"/>
      <c r="G10" s="29"/>
    </row>
    <row r="11" spans="1:9" x14ac:dyDescent="0.2">
      <c r="A11" s="26" t="s">
        <v>52</v>
      </c>
      <c r="B11" s="27"/>
      <c r="C11" s="27"/>
      <c r="D11" s="28"/>
      <c r="E11" s="29"/>
      <c r="F11" s="30"/>
      <c r="G11" s="29"/>
    </row>
    <row r="12" spans="1:9" x14ac:dyDescent="0.2">
      <c r="A12" s="26" t="s">
        <v>794</v>
      </c>
      <c r="B12" s="27"/>
      <c r="C12" s="27"/>
      <c r="D12" s="28"/>
      <c r="E12" s="29"/>
      <c r="F12" s="30"/>
      <c r="G12" s="29"/>
    </row>
    <row r="13" spans="1:9" x14ac:dyDescent="0.2">
      <c r="A13" s="27" t="s">
        <v>1138</v>
      </c>
      <c r="B13" s="27" t="s">
        <v>1139</v>
      </c>
      <c r="C13" s="27" t="s">
        <v>65</v>
      </c>
      <c r="D13" s="31">
        <v>2000000</v>
      </c>
      <c r="E13" s="29">
        <v>1999.6379999999999</v>
      </c>
      <c r="F13" s="30">
        <v>18.550336310941301</v>
      </c>
      <c r="G13" s="29">
        <v>3.3037999999999998</v>
      </c>
    </row>
    <row r="14" spans="1:9" x14ac:dyDescent="0.2">
      <c r="A14" s="26" t="s">
        <v>35</v>
      </c>
      <c r="B14" s="26"/>
      <c r="C14" s="26"/>
      <c r="D14" s="32"/>
      <c r="E14" s="33">
        <f>SUM(E12:E13)</f>
        <v>1999.6379999999999</v>
      </c>
      <c r="F14" s="34">
        <f>SUM(F12:F13)</f>
        <v>18.550336310941301</v>
      </c>
      <c r="G14" s="33"/>
      <c r="H14" s="18"/>
      <c r="I14" s="18"/>
    </row>
    <row r="15" spans="1:9" x14ac:dyDescent="0.2">
      <c r="A15" s="27"/>
      <c r="B15" s="27"/>
      <c r="C15" s="27"/>
      <c r="D15" s="28"/>
      <c r="E15" s="29"/>
      <c r="F15" s="30"/>
      <c r="G15" s="29"/>
    </row>
    <row r="16" spans="1:9" x14ac:dyDescent="0.2">
      <c r="A16" s="26" t="s">
        <v>38</v>
      </c>
      <c r="B16" s="26"/>
      <c r="C16" s="26"/>
      <c r="D16" s="32"/>
      <c r="E16" s="33">
        <f>E9+E14</f>
        <v>2953.2134099999998</v>
      </c>
      <c r="F16" s="34">
        <f>F9+F14</f>
        <v>27.396509745004721</v>
      </c>
      <c r="G16" s="33"/>
      <c r="H16" s="18"/>
      <c r="I16" s="18"/>
    </row>
    <row r="17" spans="1:9" x14ac:dyDescent="0.2">
      <c r="A17" s="26"/>
      <c r="B17" s="26"/>
      <c r="C17" s="26"/>
      <c r="D17" s="32"/>
      <c r="E17" s="33"/>
      <c r="F17" s="34"/>
      <c r="G17" s="33"/>
      <c r="H17" s="18"/>
      <c r="I17" s="18"/>
    </row>
    <row r="18" spans="1:9" x14ac:dyDescent="0.2">
      <c r="A18" s="26" t="s">
        <v>40</v>
      </c>
      <c r="B18" s="26"/>
      <c r="C18" s="26"/>
      <c r="D18" s="32"/>
      <c r="E18" s="33">
        <f>E20-(E9+E14)</f>
        <v>7826.3108340999988</v>
      </c>
      <c r="F18" s="34">
        <f>F20-(F9+F14)</f>
        <v>72.603490254995279</v>
      </c>
      <c r="G18" s="33"/>
      <c r="H18" s="18"/>
      <c r="I18" s="18"/>
    </row>
    <row r="19" spans="1:9" x14ac:dyDescent="0.2">
      <c r="A19" s="26"/>
      <c r="B19" s="26"/>
      <c r="C19" s="26"/>
      <c r="D19" s="32"/>
      <c r="E19" s="33"/>
      <c r="F19" s="34"/>
      <c r="G19" s="33"/>
      <c r="H19" s="18"/>
      <c r="I19" s="18"/>
    </row>
    <row r="20" spans="1:9" x14ac:dyDescent="0.2">
      <c r="A20" s="35" t="s">
        <v>39</v>
      </c>
      <c r="B20" s="35"/>
      <c r="C20" s="35"/>
      <c r="D20" s="36"/>
      <c r="E20" s="37">
        <v>10779.524244099999</v>
      </c>
      <c r="F20" s="38">
        <v>100</v>
      </c>
      <c r="G20" s="37"/>
      <c r="H20" s="18"/>
      <c r="I20" s="18"/>
    </row>
    <row r="22" spans="1:9" x14ac:dyDescent="0.2">
      <c r="A22" s="18" t="s">
        <v>41</v>
      </c>
    </row>
    <row r="24" spans="1:9" x14ac:dyDescent="0.2">
      <c r="A24" s="18" t="s">
        <v>42</v>
      </c>
    </row>
    <row r="25" spans="1:9" x14ac:dyDescent="0.2">
      <c r="A25" s="18" t="s">
        <v>43</v>
      </c>
    </row>
    <row r="26" spans="1:9" x14ac:dyDescent="0.2">
      <c r="A26" s="18" t="s">
        <v>44</v>
      </c>
      <c r="B26" s="18"/>
      <c r="C26" s="39" t="s">
        <v>46</v>
      </c>
      <c r="D26" s="19" t="s">
        <v>45</v>
      </c>
    </row>
    <row r="27" spans="1:9" x14ac:dyDescent="0.2">
      <c r="A27" s="9" t="s">
        <v>70</v>
      </c>
      <c r="C27" s="40">
        <v>12.3584</v>
      </c>
      <c r="D27" s="40">
        <v>12.5846</v>
      </c>
    </row>
    <row r="28" spans="1:9" x14ac:dyDescent="0.2">
      <c r="A28" s="9" t="s">
        <v>1052</v>
      </c>
      <c r="C28" s="40">
        <v>10.618</v>
      </c>
      <c r="D28" s="40">
        <v>10.8124</v>
      </c>
    </row>
    <row r="29" spans="1:9" x14ac:dyDescent="0.2">
      <c r="A29" s="9" t="s">
        <v>73</v>
      </c>
      <c r="C29" s="40">
        <v>12.4514</v>
      </c>
      <c r="D29" s="40">
        <v>12.6793</v>
      </c>
    </row>
    <row r="31" spans="1:9" x14ac:dyDescent="0.2">
      <c r="A31" s="9" t="s">
        <v>47</v>
      </c>
    </row>
    <row r="33" spans="1:7" x14ac:dyDescent="0.2">
      <c r="A33" s="18" t="s">
        <v>48</v>
      </c>
      <c r="D33" s="41" t="s">
        <v>49</v>
      </c>
    </row>
    <row r="35" spans="1:7" x14ac:dyDescent="0.2">
      <c r="A35" s="18" t="s">
        <v>824</v>
      </c>
      <c r="D35" s="55">
        <v>4.9966780273972599E-3</v>
      </c>
      <c r="E35" s="13" t="s">
        <v>50</v>
      </c>
    </row>
    <row r="37" spans="1:7" x14ac:dyDescent="0.2">
      <c r="A37" s="18" t="s">
        <v>732</v>
      </c>
      <c r="D37" s="41" t="s">
        <v>49</v>
      </c>
    </row>
    <row r="39" spans="1:7" ht="14.4" x14ac:dyDescent="0.2">
      <c r="A39" s="79" t="s">
        <v>825</v>
      </c>
      <c r="B39" s="80"/>
      <c r="C39" s="80"/>
      <c r="D39" s="80"/>
      <c r="E39" s="80"/>
      <c r="F39" s="80"/>
      <c r="G39" s="80"/>
    </row>
    <row r="40" spans="1:7" x14ac:dyDescent="0.2">
      <c r="A40" s="47" t="s">
        <v>51</v>
      </c>
    </row>
    <row r="42" spans="1:7" x14ac:dyDescent="0.2">
      <c r="A42" s="47"/>
    </row>
  </sheetData>
  <mergeCells count="2">
    <mergeCell ref="A1:G1"/>
    <mergeCell ref="A39:G39"/>
  </mergeCells>
  <conditionalFormatting sqref="F2:F3 F5:F38 F43:F65536">
    <cfRule type="cellIs" dxfId="93" priority="3" stopIfTrue="1" operator="between">
      <formula>0.009</formula>
      <formula>-0.009</formula>
    </cfRule>
  </conditionalFormatting>
  <conditionalFormatting sqref="F41:F42">
    <cfRule type="cellIs" dxfId="92" priority="2" stopIfTrue="1" operator="between">
      <formula>0.009</formula>
      <formula>-0.009</formula>
    </cfRule>
  </conditionalFormatting>
  <conditionalFormatting sqref="F40">
    <cfRule type="cellIs" dxfId="91" priority="1" stopIfTrue="1" operator="between">
      <formula>0.009</formula>
      <formula>-0.009</formula>
    </cfRule>
  </conditionalFormatting>
  <hyperlinks>
    <hyperlink ref="A40" r:id="rId1"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34"/>
  <sheetViews>
    <sheetView workbookViewId="0">
      <selection sqref="A1:G1"/>
    </sheetView>
  </sheetViews>
  <sheetFormatPr defaultColWidth="9.109375" defaultRowHeight="10.199999999999999" x14ac:dyDescent="0.2"/>
  <cols>
    <col min="1" max="1" width="31.6640625" style="9" bestFit="1" customWidth="1"/>
    <col min="2" max="2" width="29.5546875" style="9" customWidth="1"/>
    <col min="3" max="3" width="24.66406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75" t="s">
        <v>1140</v>
      </c>
      <c r="B1" s="76"/>
      <c r="C1" s="76"/>
      <c r="D1" s="76"/>
      <c r="E1" s="76"/>
      <c r="F1" s="76"/>
      <c r="G1" s="76"/>
    </row>
    <row r="2" spans="1:9" s="1" customFormat="1" ht="11.4" x14ac:dyDescent="0.2">
      <c r="D2" s="6"/>
      <c r="E2" s="7"/>
      <c r="F2" s="12"/>
      <c r="G2" s="13"/>
    </row>
    <row r="3" spans="1:9" s="1" customFormat="1" ht="12" x14ac:dyDescent="0.2">
      <c r="A3" s="11" t="s">
        <v>7</v>
      </c>
      <c r="B3" s="2"/>
      <c r="C3" s="3"/>
      <c r="D3" s="4"/>
      <c r="E3" s="5"/>
      <c r="F3" s="12"/>
      <c r="G3" s="13"/>
    </row>
    <row r="4" spans="1:9" s="1" customFormat="1" ht="17.399999999999999" customHeight="1" x14ac:dyDescent="0.2">
      <c r="A4" s="8" t="s">
        <v>2</v>
      </c>
      <c r="B4" s="8" t="s">
        <v>0</v>
      </c>
      <c r="C4" s="17" t="s">
        <v>758</v>
      </c>
      <c r="D4" s="16" t="s">
        <v>1</v>
      </c>
      <c r="E4" s="15" t="s">
        <v>3</v>
      </c>
      <c r="F4" s="15" t="s">
        <v>4</v>
      </c>
      <c r="G4" s="15" t="s">
        <v>6</v>
      </c>
    </row>
    <row r="5" spans="1:9" x14ac:dyDescent="0.2">
      <c r="A5" s="26" t="s">
        <v>40</v>
      </c>
      <c r="B5" s="26"/>
      <c r="C5" s="26"/>
      <c r="D5" s="32"/>
      <c r="E5" s="33">
        <v>19123.080517099999</v>
      </c>
      <c r="F5" s="34">
        <v>100</v>
      </c>
      <c r="G5" s="33"/>
      <c r="H5" s="18"/>
      <c r="I5" s="18"/>
    </row>
    <row r="6" spans="1:9" x14ac:dyDescent="0.2">
      <c r="A6" s="26"/>
      <c r="B6" s="26"/>
      <c r="C6" s="26"/>
      <c r="D6" s="32"/>
      <c r="E6" s="33"/>
      <c r="F6" s="34"/>
      <c r="G6" s="33"/>
      <c r="H6" s="18"/>
      <c r="I6" s="18"/>
    </row>
    <row r="7" spans="1:9" x14ac:dyDescent="0.2">
      <c r="A7" s="35" t="s">
        <v>39</v>
      </c>
      <c r="B7" s="35"/>
      <c r="C7" s="35"/>
      <c r="D7" s="36"/>
      <c r="E7" s="37">
        <v>19123.080517099999</v>
      </c>
      <c r="F7" s="38">
        <v>100</v>
      </c>
      <c r="G7" s="37"/>
      <c r="H7" s="18"/>
      <c r="I7" s="18"/>
    </row>
    <row r="10" spans="1:9" x14ac:dyDescent="0.2">
      <c r="A10" s="18" t="s">
        <v>42</v>
      </c>
    </row>
    <row r="11" spans="1:9" x14ac:dyDescent="0.2">
      <c r="A11" s="18" t="s">
        <v>43</v>
      </c>
    </row>
    <row r="12" spans="1:9" x14ac:dyDescent="0.2">
      <c r="A12" s="18" t="s">
        <v>44</v>
      </c>
      <c r="B12" s="18"/>
      <c r="C12" s="39" t="s">
        <v>46</v>
      </c>
      <c r="D12" s="19" t="s">
        <v>45</v>
      </c>
    </row>
    <row r="13" spans="1:9" x14ac:dyDescent="0.2">
      <c r="A13" s="9" t="s">
        <v>70</v>
      </c>
      <c r="C13" s="40">
        <v>12.3858</v>
      </c>
      <c r="D13" s="40">
        <v>12.6006</v>
      </c>
    </row>
    <row r="14" spans="1:9" x14ac:dyDescent="0.2">
      <c r="A14" s="9" t="s">
        <v>1052</v>
      </c>
      <c r="C14" s="40">
        <v>10.603</v>
      </c>
      <c r="D14" s="40">
        <v>10.786899999999999</v>
      </c>
    </row>
    <row r="15" spans="1:9" x14ac:dyDescent="0.2">
      <c r="A15" s="9" t="s">
        <v>72</v>
      </c>
      <c r="C15" s="40">
        <v>10.3939</v>
      </c>
      <c r="D15" s="40">
        <v>10.174899999999999</v>
      </c>
    </row>
    <row r="16" spans="1:9" x14ac:dyDescent="0.2">
      <c r="A16" s="9" t="s">
        <v>73</v>
      </c>
      <c r="C16" s="40">
        <v>12.4603</v>
      </c>
      <c r="D16" s="40">
        <v>12.676399999999999</v>
      </c>
    </row>
    <row r="17" spans="1:7" x14ac:dyDescent="0.2">
      <c r="A17" s="9" t="s">
        <v>77</v>
      </c>
      <c r="C17" s="40">
        <v>10.6805</v>
      </c>
      <c r="D17" s="40">
        <v>10.8673</v>
      </c>
    </row>
    <row r="18" spans="1:7" x14ac:dyDescent="0.2">
      <c r="A18" s="9" t="s">
        <v>75</v>
      </c>
      <c r="C18" s="40">
        <v>10.457700000000001</v>
      </c>
      <c r="D18" s="40">
        <v>10.241</v>
      </c>
    </row>
    <row r="20" spans="1:7" x14ac:dyDescent="0.2">
      <c r="A20" s="18" t="s">
        <v>48</v>
      </c>
    </row>
    <row r="21" spans="1:7" x14ac:dyDescent="0.2">
      <c r="A21" s="77" t="s">
        <v>67</v>
      </c>
      <c r="B21" s="78"/>
      <c r="C21" s="44" t="s">
        <v>68</v>
      </c>
    </row>
    <row r="22" spans="1:7" x14ac:dyDescent="0.2">
      <c r="A22" s="73" t="s">
        <v>72</v>
      </c>
      <c r="B22" s="74"/>
      <c r="C22" s="45">
        <v>0.39500000000000002</v>
      </c>
    </row>
    <row r="23" spans="1:7" x14ac:dyDescent="0.2">
      <c r="A23" s="73" t="s">
        <v>75</v>
      </c>
      <c r="B23" s="74"/>
      <c r="C23" s="45">
        <v>0.39500000000000002</v>
      </c>
    </row>
    <row r="24" spans="1:7" x14ac:dyDescent="0.2">
      <c r="A24" s="9" t="s">
        <v>69</v>
      </c>
    </row>
    <row r="25" spans="1:7" x14ac:dyDescent="0.2">
      <c r="A25" s="9" t="s">
        <v>47</v>
      </c>
    </row>
    <row r="27" spans="1:7" x14ac:dyDescent="0.2">
      <c r="A27" s="18" t="s">
        <v>824</v>
      </c>
      <c r="D27" s="55">
        <v>2.7397260273972599E-3</v>
      </c>
      <c r="E27" s="13" t="s">
        <v>50</v>
      </c>
    </row>
    <row r="29" spans="1:7" ht="25.5" customHeight="1" x14ac:dyDescent="0.3">
      <c r="A29" s="83" t="s">
        <v>732</v>
      </c>
      <c r="B29" s="82"/>
      <c r="C29" s="82"/>
      <c r="D29" s="41" t="s">
        <v>49</v>
      </c>
    </row>
    <row r="31" spans="1:7" ht="14.4" x14ac:dyDescent="0.2">
      <c r="A31" s="79" t="s">
        <v>825</v>
      </c>
      <c r="B31" s="80"/>
      <c r="C31" s="80"/>
      <c r="D31" s="80"/>
      <c r="E31" s="80"/>
      <c r="F31" s="80"/>
      <c r="G31" s="80"/>
    </row>
    <row r="32" spans="1:7" x14ac:dyDescent="0.2">
      <c r="A32" s="47" t="s">
        <v>51</v>
      </c>
    </row>
    <row r="34" spans="1:1" x14ac:dyDescent="0.2">
      <c r="A34" s="47"/>
    </row>
  </sheetData>
  <mergeCells count="6">
    <mergeCell ref="A31:G31"/>
    <mergeCell ref="A1:G1"/>
    <mergeCell ref="A21:B21"/>
    <mergeCell ref="A22:B22"/>
    <mergeCell ref="A23:B23"/>
    <mergeCell ref="A29:C29"/>
  </mergeCells>
  <conditionalFormatting sqref="F2:F3 F35:F65533 F5:F30">
    <cfRule type="cellIs" dxfId="90" priority="3" stopIfTrue="1" operator="between">
      <formula>0.009</formula>
      <formula>-0.009</formula>
    </cfRule>
  </conditionalFormatting>
  <conditionalFormatting sqref="F33:F34">
    <cfRule type="cellIs" dxfId="89" priority="2" stopIfTrue="1" operator="between">
      <formula>0.009</formula>
      <formula>-0.009</formula>
    </cfRule>
  </conditionalFormatting>
  <conditionalFormatting sqref="F32">
    <cfRule type="cellIs" dxfId="88" priority="1" stopIfTrue="1" operator="between">
      <formula>0.009</formula>
      <formula>-0.009</formula>
    </cfRule>
  </conditionalFormatting>
  <hyperlinks>
    <hyperlink ref="A32" r:id="rId1"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00"/>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1141</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100</v>
      </c>
      <c r="B7" s="27" t="s">
        <v>99</v>
      </c>
      <c r="C7" s="27" t="s">
        <v>101</v>
      </c>
      <c r="D7" s="31">
        <v>108000</v>
      </c>
      <c r="E7" s="29">
        <v>1637.1179999999999</v>
      </c>
      <c r="F7" s="30">
        <v>3.5738950951631501</v>
      </c>
      <c r="G7" s="29"/>
    </row>
    <row r="8" spans="1:7" x14ac:dyDescent="0.2">
      <c r="A8" s="27" t="s">
        <v>103</v>
      </c>
      <c r="B8" s="27" t="s">
        <v>102</v>
      </c>
      <c r="C8" s="27" t="s">
        <v>101</v>
      </c>
      <c r="D8" s="31">
        <v>206475</v>
      </c>
      <c r="E8" s="29">
        <v>1550.0078249999999</v>
      </c>
      <c r="F8" s="30">
        <v>3.3837300446467502</v>
      </c>
      <c r="G8" s="29"/>
    </row>
    <row r="9" spans="1:7" x14ac:dyDescent="0.2">
      <c r="A9" s="27" t="s">
        <v>105</v>
      </c>
      <c r="B9" s="27" t="s">
        <v>104</v>
      </c>
      <c r="C9" s="27" t="s">
        <v>106</v>
      </c>
      <c r="D9" s="31">
        <v>109904</v>
      </c>
      <c r="E9" s="29">
        <v>1531.787</v>
      </c>
      <c r="F9" s="30">
        <v>3.3439532435259198</v>
      </c>
      <c r="G9" s="29"/>
    </row>
    <row r="10" spans="1:7" x14ac:dyDescent="0.2">
      <c r="A10" s="27" t="s">
        <v>108</v>
      </c>
      <c r="B10" s="27" t="s">
        <v>107</v>
      </c>
      <c r="C10" s="27" t="s">
        <v>101</v>
      </c>
      <c r="D10" s="31">
        <v>146474</v>
      </c>
      <c r="E10" s="29">
        <v>970.75643500000001</v>
      </c>
      <c r="F10" s="30">
        <v>2.1192007305793199</v>
      </c>
      <c r="G10" s="29"/>
    </row>
    <row r="11" spans="1:7" x14ac:dyDescent="0.2">
      <c r="A11" s="27" t="s">
        <v>110</v>
      </c>
      <c r="B11" s="27" t="s">
        <v>109</v>
      </c>
      <c r="C11" s="27" t="s">
        <v>111</v>
      </c>
      <c r="D11" s="31">
        <v>40000</v>
      </c>
      <c r="E11" s="29">
        <v>880.36</v>
      </c>
      <c r="F11" s="30">
        <v>1.9218616409921701</v>
      </c>
      <c r="G11" s="29"/>
    </row>
    <row r="12" spans="1:7" x14ac:dyDescent="0.2">
      <c r="A12" s="27" t="s">
        <v>113</v>
      </c>
      <c r="B12" s="27" t="s">
        <v>112</v>
      </c>
      <c r="C12" s="27" t="s">
        <v>114</v>
      </c>
      <c r="D12" s="31">
        <v>145373</v>
      </c>
      <c r="E12" s="29">
        <v>777.60017700000003</v>
      </c>
      <c r="F12" s="30">
        <v>1.6975327731894101</v>
      </c>
      <c r="G12" s="29"/>
    </row>
    <row r="13" spans="1:7" x14ac:dyDescent="0.2">
      <c r="A13" s="27" t="s">
        <v>116</v>
      </c>
      <c r="B13" s="27" t="s">
        <v>115</v>
      </c>
      <c r="C13" s="27" t="s">
        <v>101</v>
      </c>
      <c r="D13" s="31">
        <v>33853</v>
      </c>
      <c r="E13" s="29">
        <v>611.96068100000002</v>
      </c>
      <c r="F13" s="30">
        <v>1.3359350250004001</v>
      </c>
      <c r="G13" s="29"/>
    </row>
    <row r="14" spans="1:7" x14ac:dyDescent="0.2">
      <c r="A14" s="27" t="s">
        <v>118</v>
      </c>
      <c r="B14" s="27" t="s">
        <v>117</v>
      </c>
      <c r="C14" s="27" t="s">
        <v>119</v>
      </c>
      <c r="D14" s="31">
        <v>60000</v>
      </c>
      <c r="E14" s="29">
        <v>604.38</v>
      </c>
      <c r="F14" s="30">
        <v>1.31938609044351</v>
      </c>
      <c r="G14" s="29"/>
    </row>
    <row r="15" spans="1:7" x14ac:dyDescent="0.2">
      <c r="A15" s="27" t="s">
        <v>121</v>
      </c>
      <c r="B15" s="27" t="s">
        <v>120</v>
      </c>
      <c r="C15" s="27" t="s">
        <v>122</v>
      </c>
      <c r="D15" s="31">
        <v>129936</v>
      </c>
      <c r="E15" s="29">
        <v>512.27268000000004</v>
      </c>
      <c r="F15" s="30">
        <v>1.1183120694037201</v>
      </c>
      <c r="G15" s="29"/>
    </row>
    <row r="16" spans="1:7" x14ac:dyDescent="0.2">
      <c r="A16" s="27" t="s">
        <v>124</v>
      </c>
      <c r="B16" s="27" t="s">
        <v>123</v>
      </c>
      <c r="C16" s="27" t="s">
        <v>125</v>
      </c>
      <c r="D16" s="31">
        <v>190244</v>
      </c>
      <c r="E16" s="29">
        <v>459.34413799999999</v>
      </c>
      <c r="F16" s="30">
        <v>1.0027669122141101</v>
      </c>
      <c r="G16" s="29"/>
    </row>
    <row r="17" spans="1:7" x14ac:dyDescent="0.2">
      <c r="A17" s="27" t="s">
        <v>127</v>
      </c>
      <c r="B17" s="27" t="s">
        <v>126</v>
      </c>
      <c r="C17" s="27" t="s">
        <v>128</v>
      </c>
      <c r="D17" s="31">
        <v>26468</v>
      </c>
      <c r="E17" s="29">
        <v>455.36870599999997</v>
      </c>
      <c r="F17" s="30">
        <v>0.99408838267259203</v>
      </c>
      <c r="G17" s="29"/>
    </row>
    <row r="18" spans="1:7" x14ac:dyDescent="0.2">
      <c r="A18" s="27" t="s">
        <v>130</v>
      </c>
      <c r="B18" s="27" t="s">
        <v>129</v>
      </c>
      <c r="C18" s="27" t="s">
        <v>131</v>
      </c>
      <c r="D18" s="31">
        <v>8293</v>
      </c>
      <c r="E18" s="29">
        <v>440.28780949999998</v>
      </c>
      <c r="F18" s="30">
        <v>0.96116617301390395</v>
      </c>
      <c r="G18" s="29"/>
    </row>
    <row r="19" spans="1:7" x14ac:dyDescent="0.2">
      <c r="A19" s="27" t="s">
        <v>133</v>
      </c>
      <c r="B19" s="27" t="s">
        <v>132</v>
      </c>
      <c r="C19" s="27" t="s">
        <v>134</v>
      </c>
      <c r="D19" s="31">
        <v>156244</v>
      </c>
      <c r="E19" s="29">
        <v>437.01446800000002</v>
      </c>
      <c r="F19" s="30">
        <v>0.95402033555341303</v>
      </c>
      <c r="G19" s="29"/>
    </row>
    <row r="20" spans="1:7" x14ac:dyDescent="0.2">
      <c r="A20" s="27" t="s">
        <v>136</v>
      </c>
      <c r="B20" s="27" t="s">
        <v>135</v>
      </c>
      <c r="C20" s="27" t="s">
        <v>101</v>
      </c>
      <c r="D20" s="31">
        <v>88509</v>
      </c>
      <c r="E20" s="29">
        <v>375.5879415</v>
      </c>
      <c r="F20" s="30">
        <v>0.81992373300475196</v>
      </c>
      <c r="G20" s="29"/>
    </row>
    <row r="21" spans="1:7" x14ac:dyDescent="0.2">
      <c r="A21" s="27" t="s">
        <v>138</v>
      </c>
      <c r="B21" s="27" t="s">
        <v>137</v>
      </c>
      <c r="C21" s="27" t="s">
        <v>106</v>
      </c>
      <c r="D21" s="31">
        <v>11019</v>
      </c>
      <c r="E21" s="29">
        <v>348.10673850000001</v>
      </c>
      <c r="F21" s="30">
        <v>0.75993115054528104</v>
      </c>
      <c r="G21" s="29"/>
    </row>
    <row r="22" spans="1:7" x14ac:dyDescent="0.2">
      <c r="A22" s="27" t="s">
        <v>140</v>
      </c>
      <c r="B22" s="27" t="s">
        <v>139</v>
      </c>
      <c r="C22" s="27" t="s">
        <v>125</v>
      </c>
      <c r="D22" s="31">
        <v>127151</v>
      </c>
      <c r="E22" s="29">
        <v>344.6427855</v>
      </c>
      <c r="F22" s="30">
        <v>0.75236920043748501</v>
      </c>
      <c r="G22" s="29"/>
    </row>
    <row r="23" spans="1:7" x14ac:dyDescent="0.2">
      <c r="A23" s="27" t="s">
        <v>142</v>
      </c>
      <c r="B23" s="27" t="s">
        <v>141</v>
      </c>
      <c r="C23" s="27" t="s">
        <v>128</v>
      </c>
      <c r="D23" s="31">
        <v>12800</v>
      </c>
      <c r="E23" s="29">
        <v>299.52640000000002</v>
      </c>
      <c r="F23" s="30">
        <v>0.65387829822399801</v>
      </c>
      <c r="G23" s="29"/>
    </row>
    <row r="24" spans="1:7" x14ac:dyDescent="0.2">
      <c r="A24" s="27" t="s">
        <v>144</v>
      </c>
      <c r="B24" s="27" t="s">
        <v>143</v>
      </c>
      <c r="C24" s="27" t="s">
        <v>145</v>
      </c>
      <c r="D24" s="31">
        <v>130625</v>
      </c>
      <c r="E24" s="29">
        <v>294.7553125</v>
      </c>
      <c r="F24" s="30">
        <v>0.64346282040575598</v>
      </c>
      <c r="G24" s="29"/>
    </row>
    <row r="25" spans="1:7" x14ac:dyDescent="0.2">
      <c r="A25" s="27" t="s">
        <v>147</v>
      </c>
      <c r="B25" s="27" t="s">
        <v>146</v>
      </c>
      <c r="C25" s="27" t="s">
        <v>145</v>
      </c>
      <c r="D25" s="31">
        <v>217407</v>
      </c>
      <c r="E25" s="29">
        <v>240.234735</v>
      </c>
      <c r="F25" s="30">
        <v>0.52444218504977502</v>
      </c>
      <c r="G25" s="29"/>
    </row>
    <row r="26" spans="1:7" x14ac:dyDescent="0.2">
      <c r="A26" s="27" t="s">
        <v>149</v>
      </c>
      <c r="B26" s="27" t="s">
        <v>148</v>
      </c>
      <c r="C26" s="27" t="s">
        <v>150</v>
      </c>
      <c r="D26" s="31">
        <v>26526</v>
      </c>
      <c r="E26" s="29">
        <v>214.31681699999999</v>
      </c>
      <c r="F26" s="30">
        <v>0.46786231724730798</v>
      </c>
      <c r="G26" s="29"/>
    </row>
    <row r="27" spans="1:7" x14ac:dyDescent="0.2">
      <c r="A27" s="27" t="s">
        <v>152</v>
      </c>
      <c r="B27" s="27" t="s">
        <v>151</v>
      </c>
      <c r="C27" s="27" t="s">
        <v>150</v>
      </c>
      <c r="D27" s="31">
        <v>4923</v>
      </c>
      <c r="E27" s="29">
        <v>206.41154399999999</v>
      </c>
      <c r="F27" s="30">
        <v>0.45060478516921298</v>
      </c>
      <c r="G27" s="29"/>
    </row>
    <row r="28" spans="1:7" x14ac:dyDescent="0.2">
      <c r="A28" s="27" t="s">
        <v>154</v>
      </c>
      <c r="B28" s="27" t="s">
        <v>153</v>
      </c>
      <c r="C28" s="27" t="s">
        <v>134</v>
      </c>
      <c r="D28" s="31">
        <v>43000</v>
      </c>
      <c r="E28" s="29">
        <v>202.96</v>
      </c>
      <c r="F28" s="30">
        <v>0.443069924412481</v>
      </c>
      <c r="G28" s="29"/>
    </row>
    <row r="29" spans="1:7" x14ac:dyDescent="0.2">
      <c r="A29" s="27" t="s">
        <v>1142</v>
      </c>
      <c r="B29" s="27" t="s">
        <v>1143</v>
      </c>
      <c r="C29" s="27" t="s">
        <v>131</v>
      </c>
      <c r="D29" s="31">
        <v>7072</v>
      </c>
      <c r="E29" s="29">
        <v>193.86827199999999</v>
      </c>
      <c r="F29" s="30">
        <v>0.42322231287454798</v>
      </c>
      <c r="G29" s="29"/>
    </row>
    <row r="30" spans="1:7" x14ac:dyDescent="0.2">
      <c r="A30" s="27" t="s">
        <v>156</v>
      </c>
      <c r="B30" s="27" t="s">
        <v>155</v>
      </c>
      <c r="C30" s="27" t="s">
        <v>128</v>
      </c>
      <c r="D30" s="31">
        <v>15000</v>
      </c>
      <c r="E30" s="29">
        <v>188.0025</v>
      </c>
      <c r="F30" s="30">
        <v>0.41041709432576601</v>
      </c>
      <c r="G30" s="29"/>
    </row>
    <row r="31" spans="1:7" x14ac:dyDescent="0.2">
      <c r="A31" s="27" t="s">
        <v>158</v>
      </c>
      <c r="B31" s="27" t="s">
        <v>157</v>
      </c>
      <c r="C31" s="27" t="s">
        <v>101</v>
      </c>
      <c r="D31" s="31">
        <v>87200</v>
      </c>
      <c r="E31" s="29">
        <v>150.28919999999999</v>
      </c>
      <c r="F31" s="30">
        <v>0.32808742847857802</v>
      </c>
      <c r="G31" s="29"/>
    </row>
    <row r="32" spans="1:7" x14ac:dyDescent="0.2">
      <c r="A32" s="27" t="s">
        <v>160</v>
      </c>
      <c r="B32" s="27" t="s">
        <v>159</v>
      </c>
      <c r="C32" s="27" t="s">
        <v>131</v>
      </c>
      <c r="D32" s="31">
        <v>23760</v>
      </c>
      <c r="E32" s="29">
        <v>146.90808000000001</v>
      </c>
      <c r="F32" s="30">
        <v>0.320706306174531</v>
      </c>
      <c r="G32" s="29"/>
    </row>
    <row r="33" spans="1:9" x14ac:dyDescent="0.2">
      <c r="A33" s="27" t="s">
        <v>162</v>
      </c>
      <c r="B33" s="27" t="s">
        <v>161</v>
      </c>
      <c r="C33" s="27" t="s">
        <v>163</v>
      </c>
      <c r="D33" s="31">
        <v>65910</v>
      </c>
      <c r="E33" s="29">
        <v>128.62336500000001</v>
      </c>
      <c r="F33" s="30">
        <v>0.28079003058843599</v>
      </c>
      <c r="G33" s="29"/>
    </row>
    <row r="34" spans="1:9" x14ac:dyDescent="0.2">
      <c r="A34" s="27" t="s">
        <v>165</v>
      </c>
      <c r="B34" s="27" t="s">
        <v>164</v>
      </c>
      <c r="C34" s="27" t="s">
        <v>150</v>
      </c>
      <c r="D34" s="31">
        <v>39940</v>
      </c>
      <c r="E34" s="29">
        <v>127.30875</v>
      </c>
      <c r="F34" s="30">
        <v>0.27792017264262597</v>
      </c>
      <c r="G34" s="29"/>
    </row>
    <row r="35" spans="1:9" x14ac:dyDescent="0.2">
      <c r="A35" s="27" t="s">
        <v>167</v>
      </c>
      <c r="B35" s="27" t="s">
        <v>166</v>
      </c>
      <c r="C35" s="27" t="s">
        <v>168</v>
      </c>
      <c r="D35" s="31">
        <v>153047</v>
      </c>
      <c r="E35" s="29">
        <v>87.466360499999993</v>
      </c>
      <c r="F35" s="30">
        <v>0.190942617931463</v>
      </c>
      <c r="G35" s="29"/>
    </row>
    <row r="36" spans="1:9" s="50" customFormat="1" x14ac:dyDescent="0.2">
      <c r="A36" s="57" t="s">
        <v>170</v>
      </c>
      <c r="B36" s="57" t="s">
        <v>169</v>
      </c>
      <c r="C36" s="57" t="s">
        <v>163</v>
      </c>
      <c r="D36" s="58">
        <v>7703</v>
      </c>
      <c r="E36" s="30">
        <v>12.1977005</v>
      </c>
      <c r="F36" s="30">
        <v>2.6628075672748702E-2</v>
      </c>
      <c r="G36" s="30"/>
    </row>
    <row r="37" spans="1:9" x14ac:dyDescent="0.2">
      <c r="A37" s="26" t="s">
        <v>35</v>
      </c>
      <c r="B37" s="26"/>
      <c r="C37" s="26"/>
      <c r="D37" s="32"/>
      <c r="E37" s="33">
        <f>SUM(E7:E36)</f>
        <v>14429.464421499999</v>
      </c>
      <c r="F37" s="34">
        <f>SUM(F7:F36)</f>
        <v>31.500106969583118</v>
      </c>
      <c r="G37" s="33"/>
      <c r="H37" s="18"/>
      <c r="I37" s="18"/>
    </row>
    <row r="38" spans="1:9" x14ac:dyDescent="0.2">
      <c r="A38" s="27"/>
      <c r="B38" s="27"/>
      <c r="C38" s="27"/>
      <c r="D38" s="28"/>
      <c r="E38" s="29"/>
      <c r="F38" s="30"/>
      <c r="G38" s="29"/>
    </row>
    <row r="39" spans="1:9" x14ac:dyDescent="0.2">
      <c r="A39" s="26" t="s">
        <v>31</v>
      </c>
      <c r="B39" s="27"/>
      <c r="C39" s="27"/>
      <c r="D39" s="28"/>
      <c r="E39" s="29"/>
      <c r="F39" s="30"/>
      <c r="G39" s="29"/>
    </row>
    <row r="40" spans="1:9" x14ac:dyDescent="0.2">
      <c r="A40" s="26" t="s">
        <v>32</v>
      </c>
      <c r="B40" s="27"/>
      <c r="C40" s="27"/>
      <c r="D40" s="28"/>
      <c r="E40" s="29"/>
      <c r="F40" s="30"/>
      <c r="G40" s="29"/>
    </row>
    <row r="41" spans="1:9" x14ac:dyDescent="0.2">
      <c r="A41" s="27" t="s">
        <v>172</v>
      </c>
      <c r="B41" s="27" t="s">
        <v>171</v>
      </c>
      <c r="C41" s="27" t="s">
        <v>34</v>
      </c>
      <c r="D41" s="31">
        <v>200</v>
      </c>
      <c r="E41" s="29">
        <v>2073.2939999999999</v>
      </c>
      <c r="F41" s="30">
        <v>4.5260850210132597</v>
      </c>
      <c r="G41" s="29">
        <v>4.88</v>
      </c>
    </row>
    <row r="42" spans="1:9" x14ac:dyDescent="0.2">
      <c r="A42" s="27" t="s">
        <v>1144</v>
      </c>
      <c r="B42" s="27" t="s">
        <v>1145</v>
      </c>
      <c r="C42" s="27" t="s">
        <v>34</v>
      </c>
      <c r="D42" s="31">
        <v>150</v>
      </c>
      <c r="E42" s="29">
        <v>1663.5705</v>
      </c>
      <c r="F42" s="30">
        <v>3.6316419771868</v>
      </c>
      <c r="G42" s="29">
        <v>5.2750000000000004</v>
      </c>
    </row>
    <row r="43" spans="1:9" x14ac:dyDescent="0.2">
      <c r="A43" s="27" t="s">
        <v>1146</v>
      </c>
      <c r="B43" s="27" t="s">
        <v>1147</v>
      </c>
      <c r="C43" s="27" t="s">
        <v>34</v>
      </c>
      <c r="D43" s="31">
        <v>65</v>
      </c>
      <c r="E43" s="29">
        <v>721.93484999999998</v>
      </c>
      <c r="F43" s="30">
        <v>1.5760131031742</v>
      </c>
      <c r="G43" s="29">
        <v>6.94</v>
      </c>
    </row>
    <row r="44" spans="1:9" x14ac:dyDescent="0.2">
      <c r="A44" s="27" t="s">
        <v>93</v>
      </c>
      <c r="B44" s="27" t="s">
        <v>92</v>
      </c>
      <c r="C44" s="27" t="s">
        <v>33</v>
      </c>
      <c r="D44" s="31">
        <v>50</v>
      </c>
      <c r="E44" s="29">
        <v>505.10399999999998</v>
      </c>
      <c r="F44" s="30">
        <v>1.1026625497656799</v>
      </c>
      <c r="G44" s="29">
        <v>8.7149999999999999</v>
      </c>
    </row>
    <row r="45" spans="1:9" x14ac:dyDescent="0.2">
      <c r="A45" s="27" t="s">
        <v>962</v>
      </c>
      <c r="B45" s="27" t="s">
        <v>963</v>
      </c>
      <c r="C45" s="27" t="s">
        <v>34</v>
      </c>
      <c r="D45" s="31">
        <v>45</v>
      </c>
      <c r="E45" s="29">
        <v>495.5283</v>
      </c>
      <c r="F45" s="30">
        <v>1.0817584076923801</v>
      </c>
      <c r="G45" s="29">
        <v>5.8144999999999998</v>
      </c>
    </row>
    <row r="46" spans="1:9" x14ac:dyDescent="0.2">
      <c r="A46" s="27" t="s">
        <v>95</v>
      </c>
      <c r="B46" s="27" t="s">
        <v>94</v>
      </c>
      <c r="C46" s="27" t="s">
        <v>34</v>
      </c>
      <c r="D46" s="31">
        <v>18</v>
      </c>
      <c r="E46" s="29">
        <v>200.27286000000001</v>
      </c>
      <c r="F46" s="30">
        <v>0.43720378863850701</v>
      </c>
      <c r="G46" s="29">
        <v>6.94</v>
      </c>
    </row>
    <row r="47" spans="1:9" x14ac:dyDescent="0.2">
      <c r="A47" s="26" t="s">
        <v>35</v>
      </c>
      <c r="B47" s="26"/>
      <c r="C47" s="26"/>
      <c r="D47" s="32"/>
      <c r="E47" s="33">
        <f>SUM(E40:E46)</f>
        <v>5659.7045099999996</v>
      </c>
      <c r="F47" s="34">
        <f>SUM(F40:F46)</f>
        <v>12.355364847470828</v>
      </c>
      <c r="G47" s="33"/>
      <c r="H47" s="18"/>
      <c r="I47" s="18"/>
    </row>
    <row r="48" spans="1:9" x14ac:dyDescent="0.2">
      <c r="A48" s="27"/>
      <c r="B48" s="27"/>
      <c r="C48" s="27"/>
      <c r="D48" s="28"/>
      <c r="E48" s="29"/>
      <c r="F48" s="30"/>
      <c r="G48" s="29"/>
    </row>
    <row r="49" spans="1:9" x14ac:dyDescent="0.2">
      <c r="A49" s="26" t="s">
        <v>52</v>
      </c>
      <c r="B49" s="27"/>
      <c r="C49" s="27"/>
      <c r="D49" s="28"/>
      <c r="E49" s="29"/>
      <c r="F49" s="30"/>
      <c r="G49" s="29"/>
    </row>
    <row r="50" spans="1:9" x14ac:dyDescent="0.2">
      <c r="A50" s="26" t="s">
        <v>56</v>
      </c>
      <c r="B50" s="27"/>
      <c r="C50" s="27"/>
      <c r="D50" s="28"/>
      <c r="E50" s="29"/>
      <c r="F50" s="30"/>
      <c r="G50" s="29"/>
    </row>
    <row r="51" spans="1:9" x14ac:dyDescent="0.2">
      <c r="A51" s="27" t="s">
        <v>1148</v>
      </c>
      <c r="B51" s="27" t="s">
        <v>1149</v>
      </c>
      <c r="C51" s="27" t="s">
        <v>54</v>
      </c>
      <c r="D51" s="31">
        <v>400</v>
      </c>
      <c r="E51" s="29">
        <v>1960.1079999999999</v>
      </c>
      <c r="F51" s="30">
        <v>4.2789953852990701</v>
      </c>
      <c r="G51" s="29">
        <v>3.79</v>
      </c>
    </row>
    <row r="52" spans="1:9" x14ac:dyDescent="0.2">
      <c r="A52" s="26" t="s">
        <v>35</v>
      </c>
      <c r="B52" s="26"/>
      <c r="C52" s="26"/>
      <c r="D52" s="32"/>
      <c r="E52" s="33">
        <f>SUM(E50:E51)</f>
        <v>1960.1079999999999</v>
      </c>
      <c r="F52" s="34">
        <f>SUM(F50:F51)</f>
        <v>4.2789953852990701</v>
      </c>
      <c r="G52" s="33"/>
      <c r="H52" s="18"/>
      <c r="I52" s="18"/>
    </row>
    <row r="53" spans="1:9" x14ac:dyDescent="0.2">
      <c r="A53" s="27"/>
      <c r="B53" s="27"/>
      <c r="C53" s="27"/>
      <c r="D53" s="28"/>
      <c r="E53" s="29"/>
      <c r="F53" s="30"/>
      <c r="G53" s="29"/>
    </row>
    <row r="54" spans="1:9" x14ac:dyDescent="0.2">
      <c r="A54" s="26" t="s">
        <v>794</v>
      </c>
      <c r="B54" s="27"/>
      <c r="C54" s="27"/>
      <c r="D54" s="28"/>
      <c r="E54" s="29"/>
      <c r="F54" s="30"/>
      <c r="G54" s="29"/>
    </row>
    <row r="55" spans="1:9" x14ac:dyDescent="0.2">
      <c r="A55" s="27" t="s">
        <v>795</v>
      </c>
      <c r="B55" s="27" t="s">
        <v>796</v>
      </c>
      <c r="C55" s="27" t="s">
        <v>65</v>
      </c>
      <c r="D55" s="31">
        <v>2500000</v>
      </c>
      <c r="E55" s="29">
        <v>2499.5475000000001</v>
      </c>
      <c r="F55" s="30">
        <v>5.4566137263027503</v>
      </c>
      <c r="G55" s="29">
        <v>3.3037999999999998</v>
      </c>
    </row>
    <row r="56" spans="1:9" x14ac:dyDescent="0.2">
      <c r="A56" s="26" t="s">
        <v>35</v>
      </c>
      <c r="B56" s="26"/>
      <c r="C56" s="26"/>
      <c r="D56" s="32"/>
      <c r="E56" s="33">
        <f>SUM(E54:E55)</f>
        <v>2499.5475000000001</v>
      </c>
      <c r="F56" s="34">
        <f>SUM(F54:F55)</f>
        <v>5.4566137263027503</v>
      </c>
      <c r="G56" s="33"/>
      <c r="H56" s="18"/>
      <c r="I56" s="18"/>
    </row>
    <row r="57" spans="1:9" x14ac:dyDescent="0.2">
      <c r="A57" s="27"/>
      <c r="B57" s="27"/>
      <c r="C57" s="27"/>
      <c r="D57" s="28"/>
      <c r="E57" s="29"/>
      <c r="F57" s="30"/>
      <c r="G57" s="29"/>
    </row>
    <row r="58" spans="1:9" x14ac:dyDescent="0.2">
      <c r="A58" s="26" t="s">
        <v>62</v>
      </c>
      <c r="B58" s="27"/>
      <c r="C58" s="27"/>
      <c r="D58" s="28"/>
      <c r="E58" s="29"/>
      <c r="F58" s="30"/>
      <c r="G58" s="29"/>
    </row>
    <row r="59" spans="1:9" x14ac:dyDescent="0.2">
      <c r="A59" s="27" t="s">
        <v>79</v>
      </c>
      <c r="B59" s="27" t="s">
        <v>78</v>
      </c>
      <c r="C59" s="27" t="s">
        <v>65</v>
      </c>
      <c r="D59" s="31">
        <v>5500000</v>
      </c>
      <c r="E59" s="29">
        <v>5436.0680000000002</v>
      </c>
      <c r="F59" s="30">
        <v>11.8671572618304</v>
      </c>
      <c r="G59" s="29">
        <v>5.4474</v>
      </c>
    </row>
    <row r="60" spans="1:9" x14ac:dyDescent="0.2">
      <c r="A60" s="27" t="s">
        <v>81</v>
      </c>
      <c r="B60" s="27" t="s">
        <v>80</v>
      </c>
      <c r="C60" s="27" t="s">
        <v>65</v>
      </c>
      <c r="D60" s="31">
        <v>4815000</v>
      </c>
      <c r="E60" s="29">
        <v>4998.1529700000001</v>
      </c>
      <c r="F60" s="30">
        <v>10.9111709628494</v>
      </c>
      <c r="G60" s="29">
        <v>6.0197000000000003</v>
      </c>
    </row>
    <row r="61" spans="1:9" x14ac:dyDescent="0.2">
      <c r="A61" s="27" t="s">
        <v>85</v>
      </c>
      <c r="B61" s="27" t="s">
        <v>84</v>
      </c>
      <c r="C61" s="27" t="s">
        <v>65</v>
      </c>
      <c r="D61" s="31">
        <v>2600000</v>
      </c>
      <c r="E61" s="29">
        <v>2763.5088000000001</v>
      </c>
      <c r="F61" s="30">
        <v>6.0328519665413198</v>
      </c>
      <c r="G61" s="29">
        <v>5.7633999999999999</v>
      </c>
    </row>
    <row r="62" spans="1:9" x14ac:dyDescent="0.2">
      <c r="A62" s="27" t="s">
        <v>1035</v>
      </c>
      <c r="B62" s="27" t="s">
        <v>1036</v>
      </c>
      <c r="C62" s="27" t="s">
        <v>65</v>
      </c>
      <c r="D62" s="31">
        <v>2000000</v>
      </c>
      <c r="E62" s="29">
        <v>1998.5540000000001</v>
      </c>
      <c r="F62" s="30">
        <v>4.3629245650091697</v>
      </c>
      <c r="G62" s="29">
        <v>6.6482000000000001</v>
      </c>
    </row>
    <row r="63" spans="1:9" x14ac:dyDescent="0.2">
      <c r="A63" s="27" t="s">
        <v>83</v>
      </c>
      <c r="B63" s="27" t="s">
        <v>82</v>
      </c>
      <c r="C63" s="27" t="s">
        <v>65</v>
      </c>
      <c r="D63" s="31">
        <v>1305000</v>
      </c>
      <c r="E63" s="29">
        <v>1373.511195</v>
      </c>
      <c r="F63" s="30">
        <v>2.9984307319094698</v>
      </c>
      <c r="G63" s="29">
        <v>6.1877000000000004</v>
      </c>
    </row>
    <row r="64" spans="1:9" x14ac:dyDescent="0.2">
      <c r="A64" s="27" t="s">
        <v>97</v>
      </c>
      <c r="B64" s="27" t="s">
        <v>96</v>
      </c>
      <c r="C64" s="27" t="s">
        <v>65</v>
      </c>
      <c r="D64" s="31">
        <v>900000</v>
      </c>
      <c r="E64" s="29">
        <v>932.04089999999997</v>
      </c>
      <c r="F64" s="30">
        <v>2.0346831450154799</v>
      </c>
      <c r="G64" s="29">
        <v>5.0338000000000003</v>
      </c>
    </row>
    <row r="65" spans="1:9" x14ac:dyDescent="0.2">
      <c r="A65" s="27" t="s">
        <v>87</v>
      </c>
      <c r="B65" s="27" t="s">
        <v>86</v>
      </c>
      <c r="C65" s="27" t="s">
        <v>65</v>
      </c>
      <c r="D65" s="31">
        <v>400000</v>
      </c>
      <c r="E65" s="29">
        <v>425.88</v>
      </c>
      <c r="F65" s="30">
        <v>0.92971333961759695</v>
      </c>
      <c r="G65" s="29">
        <v>4.6988000000000003</v>
      </c>
    </row>
    <row r="66" spans="1:9" x14ac:dyDescent="0.2">
      <c r="A66" s="27" t="s">
        <v>89</v>
      </c>
      <c r="B66" s="27" t="s">
        <v>88</v>
      </c>
      <c r="C66" s="27" t="s">
        <v>65</v>
      </c>
      <c r="D66" s="31">
        <v>100000</v>
      </c>
      <c r="E66" s="29">
        <v>99.486500000000007</v>
      </c>
      <c r="F66" s="30">
        <v>0.21718307072852899</v>
      </c>
      <c r="G66" s="29">
        <v>5.3624000000000001</v>
      </c>
    </row>
    <row r="67" spans="1:9" x14ac:dyDescent="0.2">
      <c r="A67" s="26" t="s">
        <v>35</v>
      </c>
      <c r="B67" s="26"/>
      <c r="C67" s="26"/>
      <c r="D67" s="32"/>
      <c r="E67" s="33">
        <f>SUM(E59:E66)</f>
        <v>18027.202365000001</v>
      </c>
      <c r="F67" s="34">
        <f>SUM(F59:F66)</f>
        <v>39.354115043501373</v>
      </c>
      <c r="G67" s="33"/>
      <c r="H67" s="18"/>
      <c r="I67" s="18"/>
    </row>
    <row r="68" spans="1:9" x14ac:dyDescent="0.2">
      <c r="A68" s="27"/>
      <c r="B68" s="27"/>
      <c r="C68" s="27"/>
      <c r="D68" s="28"/>
      <c r="E68" s="29"/>
      <c r="F68" s="30"/>
      <c r="G68" s="29"/>
    </row>
    <row r="69" spans="1:9" x14ac:dyDescent="0.2">
      <c r="A69" s="26" t="s">
        <v>38</v>
      </c>
      <c r="B69" s="26"/>
      <c r="C69" s="26"/>
      <c r="D69" s="32"/>
      <c r="E69" s="33">
        <f>E37+E47+E52+E56+E67</f>
        <v>42576.026796499995</v>
      </c>
      <c r="F69" s="34">
        <f>F37+F47+F52+F56+F67</f>
        <v>92.945195972157137</v>
      </c>
      <c r="G69" s="33"/>
      <c r="H69" s="18"/>
      <c r="I69" s="18"/>
    </row>
    <row r="70" spans="1:9" x14ac:dyDescent="0.2">
      <c r="A70" s="26"/>
      <c r="B70" s="26"/>
      <c r="C70" s="26"/>
      <c r="D70" s="32"/>
      <c r="E70" s="33"/>
      <c r="F70" s="34"/>
      <c r="G70" s="33"/>
      <c r="H70" s="18"/>
      <c r="I70" s="18"/>
    </row>
    <row r="71" spans="1:9" x14ac:dyDescent="0.2">
      <c r="A71" s="26" t="s">
        <v>40</v>
      </c>
      <c r="B71" s="26"/>
      <c r="C71" s="26"/>
      <c r="D71" s="32"/>
      <c r="E71" s="33">
        <f>E73-(E37+E47+E52+E56+E67)</f>
        <v>3231.6412074000036</v>
      </c>
      <c r="F71" s="34">
        <f>F73-(F37+F47+F52+F56+F67)</f>
        <v>7.054804027842863</v>
      </c>
      <c r="G71" s="33"/>
      <c r="H71" s="18"/>
      <c r="I71" s="18"/>
    </row>
    <row r="72" spans="1:9" x14ac:dyDescent="0.2">
      <c r="A72" s="26"/>
      <c r="B72" s="26"/>
      <c r="C72" s="26"/>
      <c r="D72" s="32"/>
      <c r="E72" s="33"/>
      <c r="F72" s="34"/>
      <c r="G72" s="33"/>
      <c r="H72" s="18"/>
      <c r="I72" s="18"/>
    </row>
    <row r="73" spans="1:9" x14ac:dyDescent="0.2">
      <c r="A73" s="35" t="s">
        <v>39</v>
      </c>
      <c r="B73" s="35"/>
      <c r="C73" s="35"/>
      <c r="D73" s="36"/>
      <c r="E73" s="37">
        <v>45807.668003899998</v>
      </c>
      <c r="F73" s="38">
        <v>100</v>
      </c>
      <c r="G73" s="37"/>
      <c r="H73" s="18"/>
      <c r="I73" s="18"/>
    </row>
    <row r="75" spans="1:9" x14ac:dyDescent="0.2">
      <c r="A75" s="18" t="s">
        <v>66</v>
      </c>
    </row>
    <row r="76" spans="1:9" x14ac:dyDescent="0.2">
      <c r="A76" s="18" t="s">
        <v>41</v>
      </c>
    </row>
    <row r="78" spans="1:9" x14ac:dyDescent="0.2">
      <c r="A78" s="18" t="s">
        <v>42</v>
      </c>
    </row>
    <row r="79" spans="1:9" x14ac:dyDescent="0.2">
      <c r="A79" s="18" t="s">
        <v>43</v>
      </c>
    </row>
    <row r="80" spans="1:9" x14ac:dyDescent="0.2">
      <c r="A80" s="18" t="s">
        <v>44</v>
      </c>
      <c r="B80" s="18"/>
      <c r="C80" s="39" t="s">
        <v>46</v>
      </c>
      <c r="D80" s="19" t="s">
        <v>45</v>
      </c>
    </row>
    <row r="81" spans="1:5" x14ac:dyDescent="0.2">
      <c r="A81" s="9" t="s">
        <v>70</v>
      </c>
      <c r="C81" s="40">
        <v>143.08099999999999</v>
      </c>
      <c r="D81" s="40">
        <v>153.79480000000001</v>
      </c>
    </row>
    <row r="82" spans="1:5" x14ac:dyDescent="0.2">
      <c r="A82" s="9" t="s">
        <v>76</v>
      </c>
      <c r="C82" s="40">
        <v>17.650200000000002</v>
      </c>
      <c r="D82" s="40">
        <v>17.647500000000001</v>
      </c>
    </row>
    <row r="83" spans="1:5" x14ac:dyDescent="0.2">
      <c r="A83" s="9" t="s">
        <v>73</v>
      </c>
      <c r="C83" s="40">
        <v>151.3048</v>
      </c>
      <c r="D83" s="40">
        <v>163.25550000000001</v>
      </c>
    </row>
    <row r="84" spans="1:5" x14ac:dyDescent="0.2">
      <c r="A84" s="9" t="s">
        <v>77</v>
      </c>
      <c r="C84" s="40">
        <v>18.911100000000001</v>
      </c>
      <c r="D84" s="40">
        <v>19.072700000000001</v>
      </c>
    </row>
    <row r="86" spans="1:5" x14ac:dyDescent="0.2">
      <c r="A86" s="18" t="s">
        <v>48</v>
      </c>
    </row>
    <row r="87" spans="1:5" x14ac:dyDescent="0.2">
      <c r="A87" s="77" t="s">
        <v>67</v>
      </c>
      <c r="B87" s="78"/>
      <c r="C87" s="44" t="s">
        <v>68</v>
      </c>
    </row>
    <row r="88" spans="1:5" x14ac:dyDescent="0.2">
      <c r="A88" s="73" t="s">
        <v>76</v>
      </c>
      <c r="B88" s="74"/>
      <c r="C88" s="45">
        <v>1.25</v>
      </c>
    </row>
    <row r="89" spans="1:5" x14ac:dyDescent="0.2">
      <c r="A89" s="73" t="s">
        <v>77</v>
      </c>
      <c r="B89" s="74"/>
      <c r="C89" s="45">
        <v>1.25</v>
      </c>
    </row>
    <row r="90" spans="1:5" x14ac:dyDescent="0.2">
      <c r="A90" s="9" t="s">
        <v>69</v>
      </c>
    </row>
    <row r="91" spans="1:5" x14ac:dyDescent="0.2">
      <c r="A91" s="9" t="s">
        <v>47</v>
      </c>
    </row>
    <row r="93" spans="1:5" x14ac:dyDescent="0.2">
      <c r="A93" s="18" t="s">
        <v>824</v>
      </c>
      <c r="D93" s="42">
        <v>3.8496829330399698</v>
      </c>
      <c r="E93" s="13" t="s">
        <v>50</v>
      </c>
    </row>
    <row r="95" spans="1:5" x14ac:dyDescent="0.2">
      <c r="A95" s="18" t="s">
        <v>732</v>
      </c>
      <c r="D95" s="41" t="s">
        <v>49</v>
      </c>
    </row>
    <row r="97" spans="1:7" ht="14.4" x14ac:dyDescent="0.2">
      <c r="A97" s="79" t="s">
        <v>825</v>
      </c>
      <c r="B97" s="80"/>
      <c r="C97" s="80"/>
      <c r="D97" s="80"/>
      <c r="E97" s="80"/>
      <c r="F97" s="80"/>
      <c r="G97" s="80"/>
    </row>
    <row r="98" spans="1:7" x14ac:dyDescent="0.2">
      <c r="A98" s="47" t="s">
        <v>51</v>
      </c>
    </row>
    <row r="100" spans="1:7" x14ac:dyDescent="0.2">
      <c r="A100" s="47"/>
    </row>
  </sheetData>
  <mergeCells count="5">
    <mergeCell ref="A1:G1"/>
    <mergeCell ref="A87:B87"/>
    <mergeCell ref="A88:B88"/>
    <mergeCell ref="A89:B89"/>
    <mergeCell ref="A97:G97"/>
  </mergeCells>
  <conditionalFormatting sqref="F2:F3 F5:F96 F101:F65536">
    <cfRule type="cellIs" dxfId="87" priority="3" stopIfTrue="1" operator="between">
      <formula>0.009</formula>
      <formula>-0.009</formula>
    </cfRule>
  </conditionalFormatting>
  <conditionalFormatting sqref="F99:F100">
    <cfRule type="cellIs" dxfId="86" priority="2" stopIfTrue="1" operator="between">
      <formula>0.009</formula>
      <formula>-0.009</formula>
    </cfRule>
  </conditionalFormatting>
  <conditionalFormatting sqref="F98">
    <cfRule type="cellIs" dxfId="85" priority="1" stopIfTrue="1" operator="between">
      <formula>0.009</formula>
      <formula>-0.009</formula>
    </cfRule>
  </conditionalFormatting>
  <hyperlinks>
    <hyperlink ref="A98" r:id="rId1"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1150</v>
      </c>
      <c r="B1" s="76"/>
      <c r="C1" s="76"/>
      <c r="D1" s="76"/>
      <c r="E1" s="76"/>
      <c r="F1" s="76"/>
      <c r="G1" s="76"/>
    </row>
    <row r="2" spans="1:7" s="1" customFormat="1" ht="12" x14ac:dyDescent="0.25">
      <c r="A2" s="59" t="s">
        <v>1151</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103</v>
      </c>
      <c r="B7" s="27" t="s">
        <v>102</v>
      </c>
      <c r="C7" s="27" t="s">
        <v>101</v>
      </c>
      <c r="D7" s="31">
        <v>70488</v>
      </c>
      <c r="E7" s="29">
        <v>529.15341599999999</v>
      </c>
      <c r="F7" s="30">
        <v>2.6415704613072601</v>
      </c>
      <c r="G7" s="29"/>
    </row>
    <row r="8" spans="1:7" x14ac:dyDescent="0.2">
      <c r="A8" s="27" t="s">
        <v>105</v>
      </c>
      <c r="B8" s="27" t="s">
        <v>104</v>
      </c>
      <c r="C8" s="27" t="s">
        <v>106</v>
      </c>
      <c r="D8" s="31">
        <v>34838</v>
      </c>
      <c r="E8" s="29">
        <v>485.55462499999999</v>
      </c>
      <c r="F8" s="30">
        <v>2.4239222803224298</v>
      </c>
      <c r="G8" s="29"/>
    </row>
    <row r="9" spans="1:7" x14ac:dyDescent="0.2">
      <c r="A9" s="27" t="s">
        <v>108</v>
      </c>
      <c r="B9" s="27" t="s">
        <v>107</v>
      </c>
      <c r="C9" s="27" t="s">
        <v>101</v>
      </c>
      <c r="D9" s="31">
        <v>45874</v>
      </c>
      <c r="E9" s="29">
        <v>304.02993500000002</v>
      </c>
      <c r="F9" s="30">
        <v>1.5177384693462199</v>
      </c>
      <c r="G9" s="29"/>
    </row>
    <row r="10" spans="1:7" x14ac:dyDescent="0.2">
      <c r="A10" s="27" t="s">
        <v>100</v>
      </c>
      <c r="B10" s="27" t="s">
        <v>99</v>
      </c>
      <c r="C10" s="27" t="s">
        <v>101</v>
      </c>
      <c r="D10" s="31">
        <v>18986</v>
      </c>
      <c r="E10" s="29">
        <v>287.79928100000001</v>
      </c>
      <c r="F10" s="30">
        <v>1.4367139216863101</v>
      </c>
      <c r="G10" s="29"/>
    </row>
    <row r="11" spans="1:7" x14ac:dyDescent="0.2">
      <c r="A11" s="27" t="s">
        <v>118</v>
      </c>
      <c r="B11" s="27" t="s">
        <v>117</v>
      </c>
      <c r="C11" s="27" t="s">
        <v>119</v>
      </c>
      <c r="D11" s="31">
        <v>24500</v>
      </c>
      <c r="E11" s="29">
        <v>246.7885</v>
      </c>
      <c r="F11" s="30">
        <v>1.2319852656688199</v>
      </c>
      <c r="G11" s="29"/>
    </row>
    <row r="12" spans="1:7" x14ac:dyDescent="0.2">
      <c r="A12" s="27" t="s">
        <v>144</v>
      </c>
      <c r="B12" s="27" t="s">
        <v>143</v>
      </c>
      <c r="C12" s="27" t="s">
        <v>145</v>
      </c>
      <c r="D12" s="31">
        <v>103926</v>
      </c>
      <c r="E12" s="29">
        <v>234.509019</v>
      </c>
      <c r="F12" s="30">
        <v>1.17068524698051</v>
      </c>
      <c r="G12" s="29"/>
    </row>
    <row r="13" spans="1:7" x14ac:dyDescent="0.2">
      <c r="A13" s="27" t="s">
        <v>130</v>
      </c>
      <c r="B13" s="27" t="s">
        <v>129</v>
      </c>
      <c r="C13" s="27" t="s">
        <v>131</v>
      </c>
      <c r="D13" s="31">
        <v>4300</v>
      </c>
      <c r="E13" s="29">
        <v>228.29345000000001</v>
      </c>
      <c r="F13" s="30">
        <v>1.1396566965182799</v>
      </c>
      <c r="G13" s="29"/>
    </row>
    <row r="14" spans="1:7" x14ac:dyDescent="0.2">
      <c r="A14" s="27" t="s">
        <v>113</v>
      </c>
      <c r="B14" s="27" t="s">
        <v>112</v>
      </c>
      <c r="C14" s="27" t="s">
        <v>114</v>
      </c>
      <c r="D14" s="31">
        <v>36903</v>
      </c>
      <c r="E14" s="29">
        <v>197.394147</v>
      </c>
      <c r="F14" s="30">
        <v>0.98540523822327997</v>
      </c>
      <c r="G14" s="29"/>
    </row>
    <row r="15" spans="1:7" x14ac:dyDescent="0.2">
      <c r="A15" s="27" t="s">
        <v>174</v>
      </c>
      <c r="B15" s="27" t="s">
        <v>173</v>
      </c>
      <c r="C15" s="27" t="s">
        <v>128</v>
      </c>
      <c r="D15" s="31">
        <v>33697</v>
      </c>
      <c r="E15" s="29">
        <v>192.69629449999999</v>
      </c>
      <c r="F15" s="30">
        <v>0.96195323352984696</v>
      </c>
      <c r="G15" s="29"/>
    </row>
    <row r="16" spans="1:7" x14ac:dyDescent="0.2">
      <c r="A16" s="27" t="s">
        <v>140</v>
      </c>
      <c r="B16" s="27" t="s">
        <v>139</v>
      </c>
      <c r="C16" s="27" t="s">
        <v>125</v>
      </c>
      <c r="D16" s="31">
        <v>64163</v>
      </c>
      <c r="E16" s="29">
        <v>173.91381150000001</v>
      </c>
      <c r="F16" s="30">
        <v>0.86818977895771199</v>
      </c>
      <c r="G16" s="29"/>
    </row>
    <row r="17" spans="1:9" x14ac:dyDescent="0.2">
      <c r="A17" s="27" t="s">
        <v>110</v>
      </c>
      <c r="B17" s="27" t="s">
        <v>109</v>
      </c>
      <c r="C17" s="27" t="s">
        <v>111</v>
      </c>
      <c r="D17" s="31">
        <v>7500</v>
      </c>
      <c r="E17" s="29">
        <v>165.0675</v>
      </c>
      <c r="F17" s="30">
        <v>0.82402837993175804</v>
      </c>
      <c r="G17" s="29"/>
    </row>
    <row r="18" spans="1:9" x14ac:dyDescent="0.2">
      <c r="A18" s="27" t="s">
        <v>127</v>
      </c>
      <c r="B18" s="27" t="s">
        <v>126</v>
      </c>
      <c r="C18" s="27" t="s">
        <v>128</v>
      </c>
      <c r="D18" s="31">
        <v>9526</v>
      </c>
      <c r="E18" s="29">
        <v>163.89006699999999</v>
      </c>
      <c r="F18" s="30">
        <v>0.81815055293693395</v>
      </c>
      <c r="G18" s="29"/>
    </row>
    <row r="19" spans="1:9" x14ac:dyDescent="0.2">
      <c r="A19" s="27" t="s">
        <v>121</v>
      </c>
      <c r="B19" s="27" t="s">
        <v>120</v>
      </c>
      <c r="C19" s="27" t="s">
        <v>122</v>
      </c>
      <c r="D19" s="31">
        <v>41457</v>
      </c>
      <c r="E19" s="29">
        <v>163.4442225</v>
      </c>
      <c r="F19" s="30">
        <v>0.81592486634789296</v>
      </c>
      <c r="G19" s="29"/>
    </row>
    <row r="20" spans="1:9" x14ac:dyDescent="0.2">
      <c r="A20" s="27" t="s">
        <v>154</v>
      </c>
      <c r="B20" s="27" t="s">
        <v>153</v>
      </c>
      <c r="C20" s="27" t="s">
        <v>134</v>
      </c>
      <c r="D20" s="31">
        <v>30000</v>
      </c>
      <c r="E20" s="29">
        <v>141.6</v>
      </c>
      <c r="F20" s="30">
        <v>0.70687699637019397</v>
      </c>
      <c r="G20" s="29"/>
    </row>
    <row r="21" spans="1:9" x14ac:dyDescent="0.2">
      <c r="A21" s="27" t="s">
        <v>136</v>
      </c>
      <c r="B21" s="27" t="s">
        <v>135</v>
      </c>
      <c r="C21" s="27" t="s">
        <v>101</v>
      </c>
      <c r="D21" s="31">
        <v>29755</v>
      </c>
      <c r="E21" s="29">
        <v>126.2653425</v>
      </c>
      <c r="F21" s="30">
        <v>0.63032532522636897</v>
      </c>
      <c r="G21" s="29"/>
    </row>
    <row r="22" spans="1:9" x14ac:dyDescent="0.2">
      <c r="A22" s="27" t="s">
        <v>156</v>
      </c>
      <c r="B22" s="27" t="s">
        <v>155</v>
      </c>
      <c r="C22" s="27" t="s">
        <v>128</v>
      </c>
      <c r="D22" s="31">
        <v>10000</v>
      </c>
      <c r="E22" s="29">
        <v>125.33499999999999</v>
      </c>
      <c r="F22" s="30">
        <v>0.62568099110210595</v>
      </c>
      <c r="G22" s="29"/>
    </row>
    <row r="23" spans="1:9" x14ac:dyDescent="0.2">
      <c r="A23" s="27" t="s">
        <v>116</v>
      </c>
      <c r="B23" s="27" t="s">
        <v>115</v>
      </c>
      <c r="C23" s="27" t="s">
        <v>101</v>
      </c>
      <c r="D23" s="31">
        <v>5409</v>
      </c>
      <c r="E23" s="29">
        <v>97.778492999999997</v>
      </c>
      <c r="F23" s="30">
        <v>0.48811700170511302</v>
      </c>
      <c r="G23" s="29"/>
    </row>
    <row r="24" spans="1:9" x14ac:dyDescent="0.2">
      <c r="A24" s="27" t="s">
        <v>149</v>
      </c>
      <c r="B24" s="27" t="s">
        <v>148</v>
      </c>
      <c r="C24" s="27" t="s">
        <v>150</v>
      </c>
      <c r="D24" s="31">
        <v>8641</v>
      </c>
      <c r="E24" s="29">
        <v>69.814959500000001</v>
      </c>
      <c r="F24" s="30">
        <v>0.348521107860641</v>
      </c>
      <c r="G24" s="29"/>
    </row>
    <row r="25" spans="1:9" x14ac:dyDescent="0.2">
      <c r="A25" s="27" t="s">
        <v>162</v>
      </c>
      <c r="B25" s="27" t="s">
        <v>161</v>
      </c>
      <c r="C25" s="27" t="s">
        <v>163</v>
      </c>
      <c r="D25" s="31">
        <v>35367</v>
      </c>
      <c r="E25" s="29">
        <v>69.018700499999994</v>
      </c>
      <c r="F25" s="30">
        <v>0.34454612784473199</v>
      </c>
      <c r="G25" s="29"/>
    </row>
    <row r="26" spans="1:9" x14ac:dyDescent="0.2">
      <c r="A26" s="27" t="s">
        <v>165</v>
      </c>
      <c r="B26" s="27" t="s">
        <v>164</v>
      </c>
      <c r="C26" s="27" t="s">
        <v>150</v>
      </c>
      <c r="D26" s="31">
        <v>20000</v>
      </c>
      <c r="E26" s="29">
        <v>63.75</v>
      </c>
      <c r="F26" s="30">
        <v>0.31824441044208901</v>
      </c>
      <c r="G26" s="29"/>
    </row>
    <row r="27" spans="1:9" x14ac:dyDescent="0.2">
      <c r="A27" s="27" t="s">
        <v>167</v>
      </c>
      <c r="B27" s="27" t="s">
        <v>166</v>
      </c>
      <c r="C27" s="27" t="s">
        <v>168</v>
      </c>
      <c r="D27" s="31">
        <v>97694</v>
      </c>
      <c r="E27" s="29">
        <v>55.832121000000001</v>
      </c>
      <c r="F27" s="30">
        <v>0.27871781068825702</v>
      </c>
      <c r="G27" s="29"/>
    </row>
    <row r="28" spans="1:9" x14ac:dyDescent="0.2">
      <c r="A28" s="27" t="s">
        <v>176</v>
      </c>
      <c r="B28" s="27" t="s">
        <v>175</v>
      </c>
      <c r="C28" s="27" t="s">
        <v>177</v>
      </c>
      <c r="D28" s="31">
        <v>3254</v>
      </c>
      <c r="E28" s="29">
        <v>47.872847999999998</v>
      </c>
      <c r="F28" s="30">
        <v>0.23898456922264699</v>
      </c>
      <c r="G28" s="29"/>
    </row>
    <row r="29" spans="1:9" x14ac:dyDescent="0.2">
      <c r="A29" s="27" t="s">
        <v>160</v>
      </c>
      <c r="B29" s="27" t="s">
        <v>159</v>
      </c>
      <c r="C29" s="27" t="s">
        <v>131</v>
      </c>
      <c r="D29" s="31">
        <v>7700</v>
      </c>
      <c r="E29" s="29">
        <v>47.609099999999998</v>
      </c>
      <c r="F29" s="30">
        <v>0.23766792095966199</v>
      </c>
      <c r="G29" s="29"/>
    </row>
    <row r="30" spans="1:9" s="50" customFormat="1" x14ac:dyDescent="0.2">
      <c r="A30" s="57" t="s">
        <v>170</v>
      </c>
      <c r="B30" s="57" t="s">
        <v>169</v>
      </c>
      <c r="C30" s="57" t="s">
        <v>163</v>
      </c>
      <c r="D30" s="58">
        <v>4133</v>
      </c>
      <c r="E30" s="30">
        <v>6.5446055000000003</v>
      </c>
      <c r="F30" s="30">
        <v>3.2671123434094999E-2</v>
      </c>
      <c r="G30" s="30"/>
    </row>
    <row r="31" spans="1:9" x14ac:dyDescent="0.2">
      <c r="A31" s="27" t="s">
        <v>179</v>
      </c>
      <c r="B31" s="27" t="s">
        <v>178</v>
      </c>
      <c r="C31" s="27" t="s">
        <v>180</v>
      </c>
      <c r="D31" s="31">
        <v>581</v>
      </c>
      <c r="E31" s="29">
        <v>0.85813700000000004</v>
      </c>
      <c r="F31" s="30">
        <v>4.2838792728398904E-3</v>
      </c>
      <c r="G31" s="29"/>
    </row>
    <row r="32" spans="1:9" x14ac:dyDescent="0.2">
      <c r="A32" s="26" t="s">
        <v>35</v>
      </c>
      <c r="B32" s="26"/>
      <c r="C32" s="26"/>
      <c r="D32" s="32"/>
      <c r="E32" s="33">
        <f>SUM(E7:E31)</f>
        <v>4224.8135754999994</v>
      </c>
      <c r="F32" s="34">
        <f>SUM(F7:F31)</f>
        <v>21.090561655885999</v>
      </c>
      <c r="G32" s="33"/>
      <c r="H32" s="18"/>
      <c r="I32" s="18"/>
    </row>
    <row r="33" spans="1:9" x14ac:dyDescent="0.2">
      <c r="A33" s="27"/>
      <c r="B33" s="27"/>
      <c r="C33" s="27"/>
      <c r="D33" s="28"/>
      <c r="E33" s="29"/>
      <c r="F33" s="30"/>
      <c r="G33" s="29"/>
    </row>
    <row r="34" spans="1:9" x14ac:dyDescent="0.2">
      <c r="A34" s="26" t="s">
        <v>726</v>
      </c>
      <c r="B34" s="27"/>
      <c r="C34" s="27"/>
      <c r="D34" s="28"/>
      <c r="E34" s="29"/>
      <c r="F34" s="30"/>
      <c r="G34" s="29"/>
    </row>
    <row r="35" spans="1:9" x14ac:dyDescent="0.2">
      <c r="A35" s="27" t="s">
        <v>182</v>
      </c>
      <c r="B35" s="27" t="s">
        <v>181</v>
      </c>
      <c r="C35" s="27" t="s">
        <v>145</v>
      </c>
      <c r="D35" s="31">
        <v>80300</v>
      </c>
      <c r="E35" s="29">
        <v>89.895849999999996</v>
      </c>
      <c r="F35" s="30">
        <v>0.448766302501027</v>
      </c>
      <c r="G35" s="29"/>
    </row>
    <row r="36" spans="1:9" x14ac:dyDescent="0.2">
      <c r="A36" s="26" t="s">
        <v>35</v>
      </c>
      <c r="B36" s="26"/>
      <c r="C36" s="26"/>
      <c r="D36" s="32"/>
      <c r="E36" s="33">
        <f>SUM(E34:E35)</f>
        <v>89.895849999999996</v>
      </c>
      <c r="F36" s="34">
        <f>SUM(F34:F35)</f>
        <v>0.448766302501027</v>
      </c>
      <c r="G36" s="33"/>
      <c r="H36" s="18"/>
      <c r="I36" s="18"/>
    </row>
    <row r="37" spans="1:9" x14ac:dyDescent="0.2">
      <c r="A37" s="27"/>
      <c r="B37" s="27"/>
      <c r="C37" s="27"/>
      <c r="D37" s="28"/>
      <c r="E37" s="29"/>
      <c r="F37" s="30"/>
      <c r="G37" s="29"/>
    </row>
    <row r="38" spans="1:9" x14ac:dyDescent="0.2">
      <c r="A38" s="26" t="s">
        <v>31</v>
      </c>
      <c r="B38" s="27"/>
      <c r="C38" s="27"/>
      <c r="D38" s="28"/>
      <c r="E38" s="29"/>
      <c r="F38" s="30"/>
      <c r="G38" s="29"/>
    </row>
    <row r="39" spans="1:9" x14ac:dyDescent="0.2">
      <c r="A39" s="26" t="s">
        <v>32</v>
      </c>
      <c r="B39" s="27"/>
      <c r="C39" s="27"/>
      <c r="D39" s="28"/>
      <c r="E39" s="29"/>
      <c r="F39" s="30"/>
      <c r="G39" s="29"/>
    </row>
    <row r="40" spans="1:9" x14ac:dyDescent="0.2">
      <c r="A40" s="27" t="s">
        <v>172</v>
      </c>
      <c r="B40" s="27" t="s">
        <v>171</v>
      </c>
      <c r="C40" s="27" t="s">
        <v>34</v>
      </c>
      <c r="D40" s="31">
        <v>200</v>
      </c>
      <c r="E40" s="29">
        <v>2073.2939999999999</v>
      </c>
      <c r="F40" s="30">
        <v>10.3500270855392</v>
      </c>
      <c r="G40" s="29">
        <v>4.88</v>
      </c>
    </row>
    <row r="41" spans="1:9" x14ac:dyDescent="0.2">
      <c r="A41" s="27" t="s">
        <v>962</v>
      </c>
      <c r="B41" s="27" t="s">
        <v>963</v>
      </c>
      <c r="C41" s="27" t="s">
        <v>34</v>
      </c>
      <c r="D41" s="31">
        <v>50</v>
      </c>
      <c r="E41" s="29">
        <v>550.58699999999999</v>
      </c>
      <c r="F41" s="30">
        <v>2.74856839548359</v>
      </c>
      <c r="G41" s="29">
        <v>5.8144999999999998</v>
      </c>
    </row>
    <row r="42" spans="1:9" x14ac:dyDescent="0.2">
      <c r="A42" s="27" t="s">
        <v>1146</v>
      </c>
      <c r="B42" s="27" t="s">
        <v>1147</v>
      </c>
      <c r="C42" s="27" t="s">
        <v>34</v>
      </c>
      <c r="D42" s="31">
        <v>35</v>
      </c>
      <c r="E42" s="29">
        <v>388.73415</v>
      </c>
      <c r="F42" s="30">
        <v>1.9405877707522601</v>
      </c>
      <c r="G42" s="29">
        <v>6.94</v>
      </c>
    </row>
    <row r="43" spans="1:9" x14ac:dyDescent="0.2">
      <c r="A43" s="27" t="s">
        <v>95</v>
      </c>
      <c r="B43" s="27" t="s">
        <v>94</v>
      </c>
      <c r="C43" s="27" t="s">
        <v>34</v>
      </c>
      <c r="D43" s="31">
        <v>18</v>
      </c>
      <c r="E43" s="29">
        <v>200.27286000000001</v>
      </c>
      <c r="F43" s="30">
        <v>0.99977597267844898</v>
      </c>
      <c r="G43" s="29">
        <v>6.94</v>
      </c>
    </row>
    <row r="44" spans="1:9" x14ac:dyDescent="0.2">
      <c r="A44" s="26" t="s">
        <v>35</v>
      </c>
      <c r="B44" s="26"/>
      <c r="C44" s="26"/>
      <c r="D44" s="32"/>
      <c r="E44" s="33">
        <f>SUM(E39:E43)</f>
        <v>3212.8880099999997</v>
      </c>
      <c r="F44" s="34">
        <f>SUM(F39:F43)</f>
        <v>16.0389592244535</v>
      </c>
      <c r="G44" s="33"/>
      <c r="H44" s="18"/>
      <c r="I44" s="18"/>
    </row>
    <row r="45" spans="1:9" x14ac:dyDescent="0.2">
      <c r="A45" s="27"/>
      <c r="B45" s="27"/>
      <c r="C45" s="27"/>
      <c r="D45" s="28"/>
      <c r="E45" s="29"/>
      <c r="F45" s="30"/>
      <c r="G45" s="29"/>
    </row>
    <row r="46" spans="1:9" x14ac:dyDescent="0.2">
      <c r="A46" s="26" t="s">
        <v>52</v>
      </c>
      <c r="B46" s="27"/>
      <c r="C46" s="27"/>
      <c r="D46" s="28"/>
      <c r="E46" s="29"/>
      <c r="F46" s="30"/>
      <c r="G46" s="29"/>
    </row>
    <row r="47" spans="1:9" x14ac:dyDescent="0.2">
      <c r="A47" s="26" t="s">
        <v>53</v>
      </c>
      <c r="B47" s="27"/>
      <c r="C47" s="27"/>
      <c r="D47" s="28"/>
      <c r="E47" s="29"/>
      <c r="F47" s="30"/>
      <c r="G47" s="29"/>
    </row>
    <row r="48" spans="1:9" x14ac:dyDescent="0.2">
      <c r="A48" s="27" t="s">
        <v>184</v>
      </c>
      <c r="B48" s="27" t="s">
        <v>183</v>
      </c>
      <c r="C48" s="27" t="s">
        <v>55</v>
      </c>
      <c r="D48" s="31">
        <v>500</v>
      </c>
      <c r="E48" s="29">
        <v>486.55399999999997</v>
      </c>
      <c r="F48" s="30">
        <v>2.4289112294625901</v>
      </c>
      <c r="G48" s="29">
        <v>3.85</v>
      </c>
    </row>
    <row r="49" spans="1:9" x14ac:dyDescent="0.2">
      <c r="A49" s="26" t="s">
        <v>35</v>
      </c>
      <c r="B49" s="26"/>
      <c r="C49" s="26"/>
      <c r="D49" s="32"/>
      <c r="E49" s="33">
        <f>SUM(E47:E48)</f>
        <v>486.55399999999997</v>
      </c>
      <c r="F49" s="34">
        <f>SUM(F47:F48)</f>
        <v>2.4289112294625901</v>
      </c>
      <c r="G49" s="33"/>
      <c r="H49" s="18"/>
      <c r="I49" s="18"/>
    </row>
    <row r="50" spans="1:9" x14ac:dyDescent="0.2">
      <c r="A50" s="27"/>
      <c r="B50" s="27"/>
      <c r="C50" s="27"/>
      <c r="D50" s="28"/>
      <c r="E50" s="29"/>
      <c r="F50" s="30"/>
      <c r="G50" s="29"/>
    </row>
    <row r="51" spans="1:9" x14ac:dyDescent="0.2">
      <c r="A51" s="26" t="s">
        <v>56</v>
      </c>
      <c r="B51" s="27"/>
      <c r="C51" s="27"/>
      <c r="D51" s="28"/>
      <c r="E51" s="29"/>
      <c r="F51" s="30"/>
      <c r="G51" s="29"/>
    </row>
    <row r="52" spans="1:9" x14ac:dyDescent="0.2">
      <c r="A52" s="27" t="s">
        <v>1148</v>
      </c>
      <c r="B52" s="27" t="s">
        <v>1149</v>
      </c>
      <c r="C52" s="27" t="s">
        <v>54</v>
      </c>
      <c r="D52" s="31">
        <v>100</v>
      </c>
      <c r="E52" s="29">
        <v>490.02699999999999</v>
      </c>
      <c r="F52" s="30">
        <v>2.4462486857365602</v>
      </c>
      <c r="G52" s="29">
        <v>3.79</v>
      </c>
    </row>
    <row r="53" spans="1:9" x14ac:dyDescent="0.2">
      <c r="A53" s="26" t="s">
        <v>35</v>
      </c>
      <c r="B53" s="26"/>
      <c r="C53" s="26"/>
      <c r="D53" s="32"/>
      <c r="E53" s="33">
        <f>SUM(E51:E52)</f>
        <v>490.02699999999999</v>
      </c>
      <c r="F53" s="34">
        <f>SUM(F51:F52)</f>
        <v>2.4462486857365602</v>
      </c>
      <c r="G53" s="33"/>
      <c r="H53" s="18"/>
      <c r="I53" s="18"/>
    </row>
    <row r="54" spans="1:9" x14ac:dyDescent="0.2">
      <c r="A54" s="27"/>
      <c r="B54" s="27"/>
      <c r="C54" s="27"/>
      <c r="D54" s="28"/>
      <c r="E54" s="29"/>
      <c r="F54" s="30"/>
      <c r="G54" s="29"/>
    </row>
    <row r="55" spans="1:9" x14ac:dyDescent="0.2">
      <c r="A55" s="26" t="s">
        <v>62</v>
      </c>
      <c r="B55" s="27"/>
      <c r="C55" s="27"/>
      <c r="D55" s="28"/>
      <c r="E55" s="29"/>
      <c r="F55" s="30"/>
      <c r="G55" s="29"/>
    </row>
    <row r="56" spans="1:9" x14ac:dyDescent="0.2">
      <c r="A56" s="27" t="s">
        <v>79</v>
      </c>
      <c r="B56" s="27" t="s">
        <v>78</v>
      </c>
      <c r="C56" s="27" t="s">
        <v>65</v>
      </c>
      <c r="D56" s="31">
        <v>3500000</v>
      </c>
      <c r="E56" s="29">
        <v>3459.3159999999998</v>
      </c>
      <c r="F56" s="30">
        <v>17.269144799260999</v>
      </c>
      <c r="G56" s="29">
        <v>5.4474</v>
      </c>
    </row>
    <row r="57" spans="1:9" x14ac:dyDescent="0.2">
      <c r="A57" s="27" t="s">
        <v>83</v>
      </c>
      <c r="B57" s="27" t="s">
        <v>82</v>
      </c>
      <c r="C57" s="27" t="s">
        <v>65</v>
      </c>
      <c r="D57" s="31">
        <v>2100000</v>
      </c>
      <c r="E57" s="29">
        <v>2210.2478999999998</v>
      </c>
      <c r="F57" s="30">
        <v>11.033710429276301</v>
      </c>
      <c r="G57" s="29">
        <v>6.1877000000000004</v>
      </c>
    </row>
    <row r="58" spans="1:9" x14ac:dyDescent="0.2">
      <c r="A58" s="27" t="s">
        <v>81</v>
      </c>
      <c r="B58" s="27" t="s">
        <v>80</v>
      </c>
      <c r="C58" s="27" t="s">
        <v>65</v>
      </c>
      <c r="D58" s="31">
        <v>1695000</v>
      </c>
      <c r="E58" s="29">
        <v>1759.47441</v>
      </c>
      <c r="F58" s="30">
        <v>8.7834179811512598</v>
      </c>
      <c r="G58" s="29">
        <v>6.0197000000000003</v>
      </c>
    </row>
    <row r="59" spans="1:9" x14ac:dyDescent="0.2">
      <c r="A59" s="27" t="s">
        <v>97</v>
      </c>
      <c r="B59" s="27" t="s">
        <v>96</v>
      </c>
      <c r="C59" s="27" t="s">
        <v>65</v>
      </c>
      <c r="D59" s="31">
        <v>800000</v>
      </c>
      <c r="E59" s="29">
        <v>828.48080000000004</v>
      </c>
      <c r="F59" s="30">
        <v>4.1358334707229902</v>
      </c>
      <c r="G59" s="29">
        <v>5.0338000000000003</v>
      </c>
    </row>
    <row r="60" spans="1:9" x14ac:dyDescent="0.2">
      <c r="A60" s="27" t="s">
        <v>89</v>
      </c>
      <c r="B60" s="27" t="s">
        <v>88</v>
      </c>
      <c r="C60" s="27" t="s">
        <v>65</v>
      </c>
      <c r="D60" s="31">
        <v>600000</v>
      </c>
      <c r="E60" s="29">
        <v>596.91899999999998</v>
      </c>
      <c r="F60" s="30">
        <v>2.9798609448891198</v>
      </c>
      <c r="G60" s="29">
        <v>5.3624000000000001</v>
      </c>
    </row>
    <row r="61" spans="1:9" x14ac:dyDescent="0.2">
      <c r="A61" s="27" t="s">
        <v>87</v>
      </c>
      <c r="B61" s="27" t="s">
        <v>86</v>
      </c>
      <c r="C61" s="27" t="s">
        <v>65</v>
      </c>
      <c r="D61" s="31">
        <v>200000</v>
      </c>
      <c r="E61" s="29">
        <v>212.94</v>
      </c>
      <c r="F61" s="30">
        <v>1.06301121191433</v>
      </c>
      <c r="G61" s="29">
        <v>4.6988000000000003</v>
      </c>
    </row>
    <row r="62" spans="1:9" x14ac:dyDescent="0.2">
      <c r="A62" s="26" t="s">
        <v>35</v>
      </c>
      <c r="B62" s="26"/>
      <c r="C62" s="26"/>
      <c r="D62" s="32"/>
      <c r="E62" s="33">
        <f>SUM(E56:E61)</f>
        <v>9067.3781099999997</v>
      </c>
      <c r="F62" s="34">
        <f>SUM(F56:F61)</f>
        <v>45.264978837214997</v>
      </c>
      <c r="G62" s="33"/>
      <c r="H62" s="18"/>
      <c r="I62" s="18"/>
    </row>
    <row r="63" spans="1:9" x14ac:dyDescent="0.2">
      <c r="A63" s="27"/>
      <c r="B63" s="27"/>
      <c r="C63" s="27"/>
      <c r="D63" s="28"/>
      <c r="E63" s="29"/>
      <c r="F63" s="30"/>
      <c r="G63" s="29"/>
    </row>
    <row r="64" spans="1:9" x14ac:dyDescent="0.2">
      <c r="A64" s="26" t="s">
        <v>38</v>
      </c>
      <c r="B64" s="26"/>
      <c r="C64" s="26"/>
      <c r="D64" s="32"/>
      <c r="E64" s="33">
        <f>E32+E36+E44+E49+E53+E62</f>
        <v>17571.556545499996</v>
      </c>
      <c r="F64" s="34">
        <f>F32+F36+F44+F49+F53+F62</f>
        <v>87.718425935254686</v>
      </c>
      <c r="G64" s="33"/>
      <c r="H64" s="18"/>
      <c r="I64" s="18"/>
    </row>
    <row r="65" spans="1:9" x14ac:dyDescent="0.2">
      <c r="A65" s="26"/>
      <c r="B65" s="26"/>
      <c r="C65" s="26"/>
      <c r="D65" s="32"/>
      <c r="E65" s="33"/>
      <c r="F65" s="34"/>
      <c r="G65" s="33"/>
      <c r="H65" s="18"/>
      <c r="I65" s="18"/>
    </row>
    <row r="66" spans="1:9" x14ac:dyDescent="0.2">
      <c r="A66" s="26" t="s">
        <v>40</v>
      </c>
      <c r="B66" s="26"/>
      <c r="C66" s="26"/>
      <c r="D66" s="32"/>
      <c r="E66" s="33">
        <f>E68-(E32+E36+E44+E49+E53+E62)</f>
        <v>2460.2171191000052</v>
      </c>
      <c r="F66" s="34">
        <f>F68-(F32+F36+F44+F49+F53+F62)</f>
        <v>12.281574064745314</v>
      </c>
      <c r="G66" s="33"/>
      <c r="H66" s="18"/>
      <c r="I66" s="18"/>
    </row>
    <row r="67" spans="1:9" x14ac:dyDescent="0.2">
      <c r="A67" s="26"/>
      <c r="B67" s="26"/>
      <c r="C67" s="26"/>
      <c r="D67" s="32"/>
      <c r="E67" s="33"/>
      <c r="F67" s="34"/>
      <c r="G67" s="33"/>
      <c r="H67" s="18"/>
      <c r="I67" s="18"/>
    </row>
    <row r="68" spans="1:9" x14ac:dyDescent="0.2">
      <c r="A68" s="35" t="s">
        <v>39</v>
      </c>
      <c r="B68" s="35"/>
      <c r="C68" s="35"/>
      <c r="D68" s="36"/>
      <c r="E68" s="37">
        <v>20031.773664600001</v>
      </c>
      <c r="F68" s="38">
        <v>100</v>
      </c>
      <c r="G68" s="37"/>
      <c r="H68" s="18"/>
      <c r="I68" s="18"/>
    </row>
    <row r="70" spans="1:9" x14ac:dyDescent="0.2">
      <c r="A70" s="18" t="s">
        <v>66</v>
      </c>
    </row>
    <row r="71" spans="1:9" x14ac:dyDescent="0.2">
      <c r="A71" s="18" t="s">
        <v>41</v>
      </c>
    </row>
    <row r="73" spans="1:9" x14ac:dyDescent="0.2">
      <c r="A73" s="18" t="s">
        <v>42</v>
      </c>
    </row>
    <row r="74" spans="1:9" x14ac:dyDescent="0.2">
      <c r="A74" s="18" t="s">
        <v>43</v>
      </c>
    </row>
    <row r="75" spans="1:9" x14ac:dyDescent="0.2">
      <c r="A75" s="18" t="s">
        <v>44</v>
      </c>
      <c r="B75" s="18"/>
      <c r="C75" s="39" t="s">
        <v>46</v>
      </c>
      <c r="D75" s="19" t="s">
        <v>45</v>
      </c>
    </row>
    <row r="76" spans="1:9" x14ac:dyDescent="0.2">
      <c r="A76" s="9" t="s">
        <v>70</v>
      </c>
      <c r="C76" s="40">
        <v>62.081299999999999</v>
      </c>
      <c r="D76" s="40">
        <v>65.636200000000002</v>
      </c>
    </row>
    <row r="77" spans="1:9" x14ac:dyDescent="0.2">
      <c r="A77" s="9" t="s">
        <v>71</v>
      </c>
      <c r="C77" s="40">
        <v>13.073499999999999</v>
      </c>
      <c r="D77" s="40">
        <v>13.2979</v>
      </c>
    </row>
    <row r="78" spans="1:9" x14ac:dyDescent="0.2">
      <c r="A78" s="9" t="s">
        <v>72</v>
      </c>
      <c r="C78" s="40">
        <v>12.567500000000001</v>
      </c>
      <c r="D78" s="40">
        <v>12.7455</v>
      </c>
    </row>
    <row r="79" spans="1:9" x14ac:dyDescent="0.2">
      <c r="A79" s="9" t="s">
        <v>73</v>
      </c>
      <c r="C79" s="40">
        <v>65.888900000000007</v>
      </c>
      <c r="D79" s="40">
        <v>69.913600000000002</v>
      </c>
    </row>
    <row r="80" spans="1:9" x14ac:dyDescent="0.2">
      <c r="A80" s="9" t="s">
        <v>74</v>
      </c>
      <c r="C80" s="40">
        <v>14.1275</v>
      </c>
      <c r="D80" s="40">
        <v>14.457700000000001</v>
      </c>
    </row>
    <row r="81" spans="1:7" x14ac:dyDescent="0.2">
      <c r="A81" s="9" t="s">
        <v>75</v>
      </c>
      <c r="C81" s="40">
        <v>13.5845</v>
      </c>
      <c r="D81" s="40">
        <v>13.8653</v>
      </c>
    </row>
    <row r="83" spans="1:7" x14ac:dyDescent="0.2">
      <c r="A83" s="18" t="s">
        <v>48</v>
      </c>
    </row>
    <row r="84" spans="1:7" x14ac:dyDescent="0.2">
      <c r="A84" s="77" t="s">
        <v>67</v>
      </c>
      <c r="B84" s="78"/>
      <c r="C84" s="44" t="s">
        <v>68</v>
      </c>
    </row>
    <row r="85" spans="1:7" x14ac:dyDescent="0.2">
      <c r="A85" s="73" t="s">
        <v>71</v>
      </c>
      <c r="B85" s="74"/>
      <c r="C85" s="45">
        <v>0.51</v>
      </c>
    </row>
    <row r="86" spans="1:7" x14ac:dyDescent="0.2">
      <c r="A86" s="73" t="s">
        <v>72</v>
      </c>
      <c r="B86" s="74"/>
      <c r="C86" s="45">
        <v>0.52</v>
      </c>
    </row>
    <row r="87" spans="1:7" x14ac:dyDescent="0.2">
      <c r="A87" s="73" t="s">
        <v>74</v>
      </c>
      <c r="B87" s="74"/>
      <c r="C87" s="45">
        <v>0.51</v>
      </c>
    </row>
    <row r="88" spans="1:7" x14ac:dyDescent="0.2">
      <c r="A88" s="73" t="s">
        <v>75</v>
      </c>
      <c r="B88" s="74"/>
      <c r="C88" s="45">
        <v>0.52</v>
      </c>
    </row>
    <row r="89" spans="1:7" x14ac:dyDescent="0.2">
      <c r="A89" s="9" t="s">
        <v>69</v>
      </c>
    </row>
    <row r="90" spans="1:7" x14ac:dyDescent="0.2">
      <c r="A90" s="9" t="s">
        <v>47</v>
      </c>
    </row>
    <row r="92" spans="1:7" x14ac:dyDescent="0.2">
      <c r="A92" s="18" t="s">
        <v>824</v>
      </c>
      <c r="D92" s="42">
        <v>3.6825639894360802</v>
      </c>
      <c r="E92" s="13" t="s">
        <v>50</v>
      </c>
    </row>
    <row r="94" spans="1:7" x14ac:dyDescent="0.2">
      <c r="A94" s="18" t="s">
        <v>732</v>
      </c>
      <c r="D94" s="41" t="s">
        <v>49</v>
      </c>
    </row>
    <row r="96" spans="1:7" ht="29.25" customHeight="1" x14ac:dyDescent="0.2">
      <c r="A96" s="81" t="s">
        <v>1152</v>
      </c>
      <c r="B96" s="81"/>
      <c r="C96" s="81"/>
      <c r="D96" s="81"/>
      <c r="E96" s="81"/>
      <c r="F96" s="81"/>
      <c r="G96" s="81"/>
    </row>
    <row r="98" spans="1:7" ht="14.4" x14ac:dyDescent="0.2">
      <c r="A98" s="79" t="s">
        <v>990</v>
      </c>
      <c r="B98" s="80"/>
      <c r="C98" s="80"/>
      <c r="D98" s="80"/>
      <c r="E98" s="80"/>
      <c r="F98" s="80"/>
      <c r="G98" s="80"/>
    </row>
    <row r="99" spans="1:7" x14ac:dyDescent="0.2">
      <c r="A99" s="47" t="s">
        <v>51</v>
      </c>
    </row>
    <row r="101" spans="1:7" x14ac:dyDescent="0.2">
      <c r="A101" s="47"/>
    </row>
  </sheetData>
  <mergeCells count="8">
    <mergeCell ref="A96:G96"/>
    <mergeCell ref="A98:G98"/>
    <mergeCell ref="A1:G1"/>
    <mergeCell ref="A84:B84"/>
    <mergeCell ref="A85:B85"/>
    <mergeCell ref="A86:B86"/>
    <mergeCell ref="A87:B87"/>
    <mergeCell ref="A88:B88"/>
  </mergeCells>
  <conditionalFormatting sqref="F2:F3 F5:F95 F102:F65529 F97">
    <cfRule type="cellIs" dxfId="84" priority="3" stopIfTrue="1" operator="between">
      <formula>0.009</formula>
      <formula>-0.009</formula>
    </cfRule>
  </conditionalFormatting>
  <conditionalFormatting sqref="F100:F101">
    <cfRule type="cellIs" dxfId="83" priority="2" stopIfTrue="1" operator="between">
      <formula>0.009</formula>
      <formula>-0.009</formula>
    </cfRule>
  </conditionalFormatting>
  <conditionalFormatting sqref="F99">
    <cfRule type="cellIs" dxfId="82" priority="1" stopIfTrue="1" operator="between">
      <formula>0.009</formula>
      <formula>-0.009</formula>
    </cfRule>
  </conditionalFormatting>
  <hyperlinks>
    <hyperlink ref="A99" r:id="rId1"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46"/>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1153</v>
      </c>
      <c r="B1" s="76"/>
      <c r="C1" s="76"/>
      <c r="D1" s="76"/>
      <c r="E1" s="76"/>
      <c r="F1" s="76"/>
      <c r="G1" s="76"/>
    </row>
    <row r="2" spans="1:7" s="1" customFormat="1" ht="12" x14ac:dyDescent="0.25">
      <c r="A2" s="59" t="s">
        <v>1151</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951</v>
      </c>
      <c r="B7" s="27" t="s">
        <v>952</v>
      </c>
      <c r="C7" s="27" t="s">
        <v>953</v>
      </c>
      <c r="D7" s="31">
        <v>2720</v>
      </c>
      <c r="E7" s="29">
        <v>28292.134399999999</v>
      </c>
      <c r="F7" s="30">
        <v>22.541677825962601</v>
      </c>
      <c r="G7" s="29">
        <v>9.0327999999999999</v>
      </c>
    </row>
    <row r="8" spans="1:7" x14ac:dyDescent="0.2">
      <c r="A8" s="27" t="s">
        <v>1154</v>
      </c>
      <c r="B8" s="27" t="s">
        <v>1155</v>
      </c>
      <c r="C8" s="27" t="s">
        <v>1156</v>
      </c>
      <c r="D8" s="31">
        <v>1112</v>
      </c>
      <c r="E8" s="29">
        <v>11398.68944</v>
      </c>
      <c r="F8" s="30">
        <v>9.0818734762790392</v>
      </c>
      <c r="G8" s="29">
        <v>8.2750000000000004</v>
      </c>
    </row>
    <row r="9" spans="1:7" x14ac:dyDescent="0.2">
      <c r="A9" s="27" t="s">
        <v>1157</v>
      </c>
      <c r="B9" s="27" t="s">
        <v>1158</v>
      </c>
      <c r="C9" s="27" t="s">
        <v>1156</v>
      </c>
      <c r="D9" s="31">
        <v>4810</v>
      </c>
      <c r="E9" s="29">
        <v>10464.010700000001</v>
      </c>
      <c r="F9" s="30">
        <v>8.3371708416182706</v>
      </c>
      <c r="G9" s="29">
        <v>8.6684999999999999</v>
      </c>
    </row>
    <row r="10" spans="1:7" x14ac:dyDescent="0.2">
      <c r="A10" s="27" t="s">
        <v>1159</v>
      </c>
      <c r="B10" s="27" t="s">
        <v>1160</v>
      </c>
      <c r="C10" s="27" t="s">
        <v>1161</v>
      </c>
      <c r="D10" s="31">
        <v>1000</v>
      </c>
      <c r="E10" s="29">
        <v>9630.3799999999992</v>
      </c>
      <c r="F10" s="30">
        <v>7.6729779461811596</v>
      </c>
      <c r="G10" s="29">
        <v>18.7758</v>
      </c>
    </row>
    <row r="11" spans="1:7" x14ac:dyDescent="0.2">
      <c r="A11" s="27" t="s">
        <v>1162</v>
      </c>
      <c r="B11" s="27" t="s">
        <v>1163</v>
      </c>
      <c r="C11" s="27" t="s">
        <v>1164</v>
      </c>
      <c r="D11" s="31">
        <v>952</v>
      </c>
      <c r="E11" s="29">
        <v>9200.9467199999999</v>
      </c>
      <c r="F11" s="30">
        <v>7.3308281985288097</v>
      </c>
      <c r="G11" s="29">
        <v>10.3301</v>
      </c>
    </row>
    <row r="12" spans="1:7" x14ac:dyDescent="0.2">
      <c r="A12" s="27" t="s">
        <v>1165</v>
      </c>
      <c r="B12" s="27" t="s">
        <v>1166</v>
      </c>
      <c r="C12" s="27" t="s">
        <v>33</v>
      </c>
      <c r="D12" s="31">
        <v>450</v>
      </c>
      <c r="E12" s="29">
        <v>4531.5630000000001</v>
      </c>
      <c r="F12" s="30">
        <v>3.6105099654147099</v>
      </c>
      <c r="G12" s="29">
        <v>9.1123999999999992</v>
      </c>
    </row>
    <row r="13" spans="1:7" x14ac:dyDescent="0.2">
      <c r="A13" s="27" t="s">
        <v>1167</v>
      </c>
      <c r="B13" s="27" t="s">
        <v>1168</v>
      </c>
      <c r="C13" s="27" t="s">
        <v>1169</v>
      </c>
      <c r="D13" s="31">
        <v>450</v>
      </c>
      <c r="E13" s="29">
        <v>4017.1185</v>
      </c>
      <c r="F13" s="30">
        <v>3.2006277693815202</v>
      </c>
      <c r="G13" s="29">
        <v>20.718399999999999</v>
      </c>
    </row>
    <row r="14" spans="1:7" x14ac:dyDescent="0.2">
      <c r="A14" s="27" t="s">
        <v>1170</v>
      </c>
      <c r="B14" s="27" t="s">
        <v>1171</v>
      </c>
      <c r="C14" s="27" t="s">
        <v>1156</v>
      </c>
      <c r="D14" s="31">
        <v>300</v>
      </c>
      <c r="E14" s="29">
        <v>3052.32</v>
      </c>
      <c r="F14" s="30">
        <v>2.43192730138247</v>
      </c>
      <c r="G14" s="29">
        <v>8.1649999999999991</v>
      </c>
    </row>
    <row r="15" spans="1:7" x14ac:dyDescent="0.2">
      <c r="A15" s="27" t="s">
        <v>1172</v>
      </c>
      <c r="B15" s="27" t="s">
        <v>1173</v>
      </c>
      <c r="C15" s="27" t="s">
        <v>1156</v>
      </c>
      <c r="D15" s="31">
        <v>268</v>
      </c>
      <c r="E15" s="29">
        <v>2752.0518000000002</v>
      </c>
      <c r="F15" s="30">
        <v>2.19268946481324</v>
      </c>
      <c r="G15" s="29">
        <v>8.5399999999999991</v>
      </c>
    </row>
    <row r="16" spans="1:7" x14ac:dyDescent="0.2">
      <c r="A16" s="27" t="s">
        <v>1174</v>
      </c>
      <c r="B16" s="27" t="s">
        <v>1168</v>
      </c>
      <c r="C16" s="27" t="s">
        <v>1169</v>
      </c>
      <c r="D16" s="31">
        <v>250</v>
      </c>
      <c r="E16" s="29">
        <v>2230.7474999999999</v>
      </c>
      <c r="F16" s="30">
        <v>1.77734174258947</v>
      </c>
      <c r="G16" s="29">
        <v>20.767700000000001</v>
      </c>
    </row>
    <row r="17" spans="1:9" x14ac:dyDescent="0.2">
      <c r="A17" s="27" t="s">
        <v>1175</v>
      </c>
      <c r="B17" s="27" t="s">
        <v>1176</v>
      </c>
      <c r="C17" s="27" t="s">
        <v>33</v>
      </c>
      <c r="D17" s="31">
        <v>200</v>
      </c>
      <c r="E17" s="29">
        <v>2133.6239999999998</v>
      </c>
      <c r="F17" s="30">
        <v>1.69995886947793</v>
      </c>
      <c r="G17" s="29">
        <v>9.1882000000000001</v>
      </c>
    </row>
    <row r="18" spans="1:9" x14ac:dyDescent="0.2">
      <c r="A18" s="27" t="s">
        <v>1177</v>
      </c>
      <c r="B18" s="27" t="s">
        <v>1178</v>
      </c>
      <c r="C18" s="27" t="s">
        <v>1156</v>
      </c>
      <c r="D18" s="31">
        <v>160</v>
      </c>
      <c r="E18" s="29">
        <v>1212.4115999999999</v>
      </c>
      <c r="F18" s="30">
        <v>0.96598550301174202</v>
      </c>
      <c r="G18" s="29">
        <v>7.5900999999999996</v>
      </c>
    </row>
    <row r="19" spans="1:9" x14ac:dyDescent="0.2">
      <c r="A19" s="27" t="s">
        <v>1179</v>
      </c>
      <c r="B19" s="27" t="s">
        <v>1180</v>
      </c>
      <c r="C19" s="27" t="s">
        <v>33</v>
      </c>
      <c r="D19" s="31">
        <v>99</v>
      </c>
      <c r="E19" s="29">
        <v>1014.8588999999999</v>
      </c>
      <c r="F19" s="30">
        <v>0.80858594969104802</v>
      </c>
      <c r="G19" s="29">
        <v>7.9874999999999998</v>
      </c>
    </row>
    <row r="20" spans="1:9" x14ac:dyDescent="0.2">
      <c r="A20" s="27" t="s">
        <v>1181</v>
      </c>
      <c r="B20" s="27" t="s">
        <v>1182</v>
      </c>
      <c r="C20" s="27" t="s">
        <v>1164</v>
      </c>
      <c r="D20" s="31">
        <v>119</v>
      </c>
      <c r="E20" s="29">
        <v>963.11364800000001</v>
      </c>
      <c r="F20" s="30">
        <v>0.76735806694752295</v>
      </c>
      <c r="G20" s="29">
        <v>8.4148999999999994</v>
      </c>
    </row>
    <row r="21" spans="1:9" x14ac:dyDescent="0.2">
      <c r="A21" s="27" t="s">
        <v>1183</v>
      </c>
      <c r="B21" s="27" t="s">
        <v>1184</v>
      </c>
      <c r="C21" s="27" t="s">
        <v>1164</v>
      </c>
      <c r="D21" s="31">
        <v>20</v>
      </c>
      <c r="E21" s="29">
        <v>200.0368</v>
      </c>
      <c r="F21" s="30">
        <v>0.159378752948965</v>
      </c>
      <c r="G21" s="29">
        <v>4.6500000000000004</v>
      </c>
    </row>
    <row r="22" spans="1:9" x14ac:dyDescent="0.2">
      <c r="A22" s="26" t="s">
        <v>35</v>
      </c>
      <c r="B22" s="26"/>
      <c r="C22" s="26"/>
      <c r="D22" s="32"/>
      <c r="E22" s="33">
        <f>SUM(E6:E21)</f>
        <v>91094.007008</v>
      </c>
      <c r="F22" s="34">
        <f>SUM(F6:F21)</f>
        <v>72.578891674228487</v>
      </c>
      <c r="G22" s="33"/>
      <c r="H22" s="18"/>
      <c r="I22" s="18"/>
    </row>
    <row r="23" spans="1:9" x14ac:dyDescent="0.2">
      <c r="A23" s="27"/>
      <c r="B23" s="27"/>
      <c r="C23" s="27"/>
      <c r="D23" s="28"/>
      <c r="E23" s="29"/>
      <c r="F23" s="30"/>
      <c r="G23" s="29"/>
    </row>
    <row r="24" spans="1:9" x14ac:dyDescent="0.2">
      <c r="A24" s="26" t="s">
        <v>36</v>
      </c>
      <c r="B24" s="27"/>
      <c r="C24" s="27"/>
      <c r="D24" s="28"/>
      <c r="E24" s="29"/>
      <c r="F24" s="30"/>
      <c r="G24" s="29"/>
    </row>
    <row r="25" spans="1:9" x14ac:dyDescent="0.2">
      <c r="A25" s="27" t="s">
        <v>1185</v>
      </c>
      <c r="B25" s="27" t="s">
        <v>1186</v>
      </c>
      <c r="C25" s="27" t="s">
        <v>1187</v>
      </c>
      <c r="D25" s="31">
        <v>440</v>
      </c>
      <c r="E25" s="29">
        <v>3957.7577839999999</v>
      </c>
      <c r="F25" s="30">
        <v>3.1533322872990301</v>
      </c>
      <c r="G25" s="29">
        <v>11</v>
      </c>
    </row>
    <row r="26" spans="1:9" x14ac:dyDescent="0.2">
      <c r="A26" s="27" t="s">
        <v>1188</v>
      </c>
      <c r="B26" s="27" t="s">
        <v>1189</v>
      </c>
      <c r="C26" s="27" t="s">
        <v>1190</v>
      </c>
      <c r="D26" s="31">
        <v>400</v>
      </c>
      <c r="E26" s="29">
        <v>3915.944</v>
      </c>
      <c r="F26" s="30">
        <v>3.1200172735115799</v>
      </c>
      <c r="G26" s="29">
        <v>11.475</v>
      </c>
    </row>
    <row r="27" spans="1:9" x14ac:dyDescent="0.2">
      <c r="A27" s="27" t="s">
        <v>1191</v>
      </c>
      <c r="B27" s="27" t="s">
        <v>1192</v>
      </c>
      <c r="C27" s="27" t="s">
        <v>1187</v>
      </c>
      <c r="D27" s="31">
        <v>450</v>
      </c>
      <c r="E27" s="29">
        <v>3833.998396</v>
      </c>
      <c r="F27" s="30">
        <v>3.0547273459823998</v>
      </c>
      <c r="G27" s="29">
        <v>10.997999999999999</v>
      </c>
    </row>
    <row r="28" spans="1:9" x14ac:dyDescent="0.2">
      <c r="A28" s="27" t="s">
        <v>1193</v>
      </c>
      <c r="B28" s="27" t="s">
        <v>1194</v>
      </c>
      <c r="C28" s="27" t="s">
        <v>1187</v>
      </c>
      <c r="D28" s="31">
        <v>50</v>
      </c>
      <c r="E28" s="29">
        <v>440.09944999999999</v>
      </c>
      <c r="F28" s="30">
        <v>0.350647988342772</v>
      </c>
      <c r="G28" s="29">
        <v>11</v>
      </c>
    </row>
    <row r="29" spans="1:9" x14ac:dyDescent="0.2">
      <c r="A29" s="27" t="s">
        <v>1195</v>
      </c>
      <c r="B29" s="27" t="s">
        <v>1196</v>
      </c>
      <c r="C29" s="27" t="s">
        <v>1197</v>
      </c>
      <c r="D29" s="31">
        <v>600</v>
      </c>
      <c r="E29" s="29">
        <v>0</v>
      </c>
      <c r="F29" s="29">
        <v>0</v>
      </c>
      <c r="G29" s="29">
        <v>0</v>
      </c>
    </row>
    <row r="30" spans="1:9" x14ac:dyDescent="0.2">
      <c r="A30" s="27" t="s">
        <v>1198</v>
      </c>
      <c r="B30" s="27" t="s">
        <v>1199</v>
      </c>
      <c r="C30" s="27" t="s">
        <v>1197</v>
      </c>
      <c r="D30" s="31">
        <v>250</v>
      </c>
      <c r="E30" s="29">
        <v>0</v>
      </c>
      <c r="F30" s="29">
        <v>0</v>
      </c>
      <c r="G30" s="29">
        <v>0</v>
      </c>
    </row>
    <row r="31" spans="1:9" x14ac:dyDescent="0.2">
      <c r="A31" s="27" t="s">
        <v>1200</v>
      </c>
      <c r="B31" s="27" t="s">
        <v>1201</v>
      </c>
      <c r="C31" s="27" t="s">
        <v>1197</v>
      </c>
      <c r="D31" s="31">
        <v>250</v>
      </c>
      <c r="E31" s="29">
        <v>0</v>
      </c>
      <c r="F31" s="29">
        <v>0</v>
      </c>
      <c r="G31" s="29">
        <v>0</v>
      </c>
    </row>
    <row r="32" spans="1:9" x14ac:dyDescent="0.2">
      <c r="A32" s="26" t="s">
        <v>35</v>
      </c>
      <c r="B32" s="26"/>
      <c r="C32" s="26"/>
      <c r="D32" s="32"/>
      <c r="E32" s="33">
        <f>SUM(E24:E31)</f>
        <v>12147.79963</v>
      </c>
      <c r="F32" s="34">
        <f>SUM(F24:F31)</f>
        <v>9.6787248951357814</v>
      </c>
      <c r="G32" s="33"/>
      <c r="H32" s="18"/>
      <c r="I32" s="18"/>
    </row>
    <row r="33" spans="1:9" x14ac:dyDescent="0.2">
      <c r="A33" s="27"/>
      <c r="B33" s="27"/>
      <c r="C33" s="27"/>
      <c r="D33" s="28"/>
      <c r="E33" s="29"/>
      <c r="F33" s="30"/>
      <c r="G33" s="29"/>
    </row>
    <row r="34" spans="1:9" x14ac:dyDescent="0.2">
      <c r="A34" s="26" t="s">
        <v>37</v>
      </c>
      <c r="B34" s="27"/>
      <c r="C34" s="27"/>
      <c r="D34" s="28"/>
      <c r="E34" s="29"/>
      <c r="F34" s="30"/>
      <c r="G34" s="29"/>
    </row>
    <row r="35" spans="1:9" x14ac:dyDescent="0.2">
      <c r="A35" s="27" t="s">
        <v>1202</v>
      </c>
      <c r="B35" s="27" t="s">
        <v>1203</v>
      </c>
      <c r="C35" s="27" t="s">
        <v>1204</v>
      </c>
      <c r="D35" s="31">
        <v>609712.89500000002</v>
      </c>
      <c r="E35" s="29">
        <v>20544.3138</v>
      </c>
      <c r="F35" s="30">
        <v>16.368623741412598</v>
      </c>
      <c r="G35" s="29">
        <v>3.1816</v>
      </c>
    </row>
    <row r="36" spans="1:9" x14ac:dyDescent="0.2">
      <c r="A36" s="26" t="s">
        <v>35</v>
      </c>
      <c r="B36" s="26"/>
      <c r="C36" s="26"/>
      <c r="D36" s="32"/>
      <c r="E36" s="33">
        <f>SUM(E35:E35)</f>
        <v>20544.3138</v>
      </c>
      <c r="F36" s="34">
        <f>SUM(F35:F35)</f>
        <v>16.368623741412598</v>
      </c>
      <c r="G36" s="33"/>
      <c r="H36" s="18"/>
      <c r="I36" s="18"/>
    </row>
    <row r="37" spans="1:9" x14ac:dyDescent="0.2">
      <c r="A37" s="27"/>
      <c r="B37" s="27"/>
      <c r="C37" s="27"/>
      <c r="D37" s="28"/>
      <c r="E37" s="29"/>
      <c r="F37" s="30"/>
      <c r="G37" s="29"/>
    </row>
    <row r="38" spans="1:9" x14ac:dyDescent="0.2">
      <c r="A38" s="26" t="s">
        <v>38</v>
      </c>
      <c r="B38" s="26"/>
      <c r="C38" s="26"/>
      <c r="D38" s="32"/>
      <c r="E38" s="33">
        <f>E22+E32+E36</f>
        <v>123786.120438</v>
      </c>
      <c r="F38" s="34">
        <f>F22+F32+F36</f>
        <v>98.626240310776865</v>
      </c>
      <c r="G38" s="33"/>
      <c r="H38" s="18"/>
      <c r="I38" s="18"/>
    </row>
    <row r="39" spans="1:9" x14ac:dyDescent="0.2">
      <c r="A39" s="26"/>
      <c r="B39" s="26"/>
      <c r="C39" s="26"/>
      <c r="D39" s="32"/>
      <c r="E39" s="33"/>
      <c r="F39" s="34"/>
      <c r="G39" s="33"/>
      <c r="H39" s="18"/>
      <c r="I39" s="18"/>
    </row>
    <row r="40" spans="1:9" x14ac:dyDescent="0.2">
      <c r="A40" s="26" t="s">
        <v>40</v>
      </c>
      <c r="B40" s="26"/>
      <c r="C40" s="26"/>
      <c r="D40" s="32"/>
      <c r="E40" s="33">
        <f>E42-(E22+E32+E36)</f>
        <v>1724.2103299000009</v>
      </c>
      <c r="F40" s="34">
        <f>F42-(F22+F32+F36)</f>
        <v>1.3737596892231352</v>
      </c>
      <c r="G40" s="33"/>
      <c r="H40" s="18"/>
      <c r="I40" s="18"/>
    </row>
    <row r="41" spans="1:9" x14ac:dyDescent="0.2">
      <c r="A41" s="26"/>
      <c r="B41" s="26"/>
      <c r="C41" s="26"/>
      <c r="D41" s="32"/>
      <c r="E41" s="33"/>
      <c r="F41" s="34"/>
      <c r="G41" s="33"/>
      <c r="H41" s="18"/>
      <c r="I41" s="18"/>
    </row>
    <row r="42" spans="1:9" x14ac:dyDescent="0.2">
      <c r="A42" s="35" t="s">
        <v>39</v>
      </c>
      <c r="B42" s="35"/>
      <c r="C42" s="35"/>
      <c r="D42" s="36"/>
      <c r="E42" s="37">
        <v>125510.3307679</v>
      </c>
      <c r="F42" s="38">
        <v>100</v>
      </c>
      <c r="G42" s="37"/>
      <c r="H42" s="18"/>
      <c r="I42" s="18"/>
    </row>
    <row r="44" spans="1:9" x14ac:dyDescent="0.2">
      <c r="A44" s="18" t="s">
        <v>41</v>
      </c>
    </row>
    <row r="45" spans="1:9" x14ac:dyDescent="0.2">
      <c r="A45" s="9" t="s">
        <v>1205</v>
      </c>
    </row>
    <row r="47" spans="1:9" x14ac:dyDescent="0.2">
      <c r="A47" s="18" t="s">
        <v>42</v>
      </c>
    </row>
    <row r="48" spans="1:9" x14ac:dyDescent="0.2">
      <c r="A48" s="18" t="s">
        <v>43</v>
      </c>
    </row>
    <row r="49" spans="1:5" x14ac:dyDescent="0.2">
      <c r="A49" s="18" t="s">
        <v>44</v>
      </c>
      <c r="B49" s="18"/>
      <c r="C49" s="39" t="s">
        <v>46</v>
      </c>
      <c r="D49" s="19" t="s">
        <v>45</v>
      </c>
    </row>
    <row r="50" spans="1:5" x14ac:dyDescent="0.2">
      <c r="A50" s="9" t="s">
        <v>70</v>
      </c>
      <c r="C50" s="40">
        <v>67.135800000000003</v>
      </c>
      <c r="D50" s="40">
        <v>72.396199999999993</v>
      </c>
    </row>
    <row r="51" spans="1:5" x14ac:dyDescent="0.2">
      <c r="A51" s="9" t="s">
        <v>76</v>
      </c>
      <c r="C51" s="40">
        <v>11.0968</v>
      </c>
      <c r="D51" s="40">
        <v>11.9663</v>
      </c>
    </row>
    <row r="52" spans="1:5" x14ac:dyDescent="0.2">
      <c r="A52" s="9" t="s">
        <v>73</v>
      </c>
      <c r="C52" s="40">
        <v>71.601900000000001</v>
      </c>
      <c r="D52" s="40">
        <v>77.389899999999997</v>
      </c>
    </row>
    <row r="53" spans="1:5" x14ac:dyDescent="0.2">
      <c r="A53" s="9" t="s">
        <v>77</v>
      </c>
      <c r="C53" s="40">
        <v>12.068300000000001</v>
      </c>
      <c r="D53" s="40">
        <v>13.043799999999999</v>
      </c>
    </row>
    <row r="55" spans="1:5" x14ac:dyDescent="0.2">
      <c r="A55" s="9" t="s">
        <v>47</v>
      </c>
    </row>
    <row r="57" spans="1:5" x14ac:dyDescent="0.2">
      <c r="A57" s="18" t="s">
        <v>48</v>
      </c>
      <c r="D57" s="41" t="s">
        <v>49</v>
      </c>
    </row>
    <row r="59" spans="1:5" x14ac:dyDescent="0.2">
      <c r="A59" s="18" t="s">
        <v>824</v>
      </c>
      <c r="D59" s="42">
        <v>2.5266273873150702</v>
      </c>
      <c r="E59" s="13" t="s">
        <v>50</v>
      </c>
    </row>
    <row r="61" spans="1:5" x14ac:dyDescent="0.2">
      <c r="A61" s="18" t="s">
        <v>732</v>
      </c>
      <c r="D61" s="41" t="s">
        <v>49</v>
      </c>
    </row>
    <row r="62" spans="1:5" x14ac:dyDescent="0.2">
      <c r="A62" s="9" t="s">
        <v>733</v>
      </c>
    </row>
    <row r="63" spans="1:5" x14ac:dyDescent="0.2">
      <c r="A63" s="47" t="s">
        <v>734</v>
      </c>
    </row>
    <row r="65" spans="1:7" ht="27" customHeight="1" x14ac:dyDescent="0.2">
      <c r="A65" s="84" t="s">
        <v>1206</v>
      </c>
      <c r="B65" s="84"/>
      <c r="C65" s="84"/>
      <c r="D65" s="84"/>
      <c r="E65" s="84"/>
      <c r="F65" s="84"/>
      <c r="G65" s="84"/>
    </row>
    <row r="67" spans="1:7" ht="49.5" customHeight="1" x14ac:dyDescent="0.2">
      <c r="A67" s="85" t="s">
        <v>1207</v>
      </c>
      <c r="B67" s="85"/>
      <c r="C67" s="85"/>
      <c r="D67" s="85"/>
      <c r="E67" s="85"/>
      <c r="F67" s="85"/>
      <c r="G67" s="85"/>
    </row>
    <row r="69" spans="1:7" ht="38.25" customHeight="1" x14ac:dyDescent="0.2">
      <c r="A69" s="85" t="s">
        <v>1208</v>
      </c>
      <c r="B69" s="85"/>
      <c r="C69" s="85"/>
      <c r="D69" s="85"/>
      <c r="E69" s="85"/>
      <c r="F69" s="85"/>
      <c r="G69" s="85"/>
    </row>
    <row r="70" spans="1:7" x14ac:dyDescent="0.2">
      <c r="A70" s="47" t="s">
        <v>1209</v>
      </c>
      <c r="B70" s="60"/>
      <c r="C70" s="60"/>
      <c r="D70" s="60"/>
      <c r="E70" s="60"/>
      <c r="F70" s="60"/>
      <c r="G70" s="60"/>
    </row>
    <row r="72" spans="1:7" ht="26.25" customHeight="1" x14ac:dyDescent="0.2">
      <c r="A72" s="86" t="s">
        <v>1210</v>
      </c>
      <c r="B72" s="86"/>
      <c r="C72" s="86"/>
      <c r="D72" s="86"/>
      <c r="E72" s="86"/>
      <c r="F72" s="86"/>
      <c r="G72" s="86"/>
    </row>
    <row r="74" spans="1:7" ht="14.4" x14ac:dyDescent="0.2">
      <c r="A74" s="79" t="s">
        <v>1211</v>
      </c>
      <c r="B74" s="80"/>
      <c r="C74" s="80"/>
      <c r="D74" s="80"/>
      <c r="E74" s="80"/>
      <c r="F74" s="80"/>
      <c r="G74" s="80"/>
    </row>
    <row r="75" spans="1:7" x14ac:dyDescent="0.2">
      <c r="A75" s="47" t="s">
        <v>51</v>
      </c>
    </row>
    <row r="77" spans="1:7" x14ac:dyDescent="0.2">
      <c r="A77" s="18" t="s">
        <v>754</v>
      </c>
    </row>
    <row r="79" spans="1:7" s="1" customFormat="1" ht="13.8" x14ac:dyDescent="0.2">
      <c r="A79" s="75" t="s">
        <v>1212</v>
      </c>
      <c r="B79" s="76"/>
      <c r="C79" s="76"/>
      <c r="D79" s="76"/>
      <c r="E79" s="76"/>
      <c r="F79" s="76"/>
      <c r="G79" s="76"/>
    </row>
    <row r="80" spans="1:7" x14ac:dyDescent="0.2">
      <c r="A80" s="18" t="s">
        <v>7</v>
      </c>
    </row>
    <row r="81" spans="1:9" s="1" customFormat="1" ht="17.399999999999999" customHeight="1" x14ac:dyDescent="0.2">
      <c r="A81" s="8" t="s">
        <v>2</v>
      </c>
      <c r="B81" s="8" t="s">
        <v>0</v>
      </c>
      <c r="C81" s="17" t="s">
        <v>758</v>
      </c>
      <c r="D81" s="16" t="s">
        <v>1</v>
      </c>
      <c r="E81" s="15" t="s">
        <v>3</v>
      </c>
      <c r="F81" s="15" t="s">
        <v>4</v>
      </c>
      <c r="G81" s="15" t="s">
        <v>6</v>
      </c>
    </row>
    <row r="82" spans="1:9" x14ac:dyDescent="0.2">
      <c r="A82" s="21" t="s">
        <v>31</v>
      </c>
      <c r="B82" s="22"/>
      <c r="C82" s="22"/>
      <c r="D82" s="23"/>
      <c r="E82" s="24"/>
      <c r="F82" s="25"/>
      <c r="G82" s="24"/>
    </row>
    <row r="83" spans="1:9" x14ac:dyDescent="0.2">
      <c r="A83" s="26" t="s">
        <v>32</v>
      </c>
      <c r="B83" s="27"/>
      <c r="C83" s="27"/>
      <c r="D83" s="28"/>
      <c r="E83" s="29"/>
      <c r="F83" s="30"/>
      <c r="G83" s="29"/>
    </row>
    <row r="84" spans="1:9" x14ac:dyDescent="0.2">
      <c r="A84" s="27" t="s">
        <v>1213</v>
      </c>
      <c r="B84" s="27" t="s">
        <v>1214</v>
      </c>
      <c r="C84" s="27" t="s">
        <v>1215</v>
      </c>
      <c r="D84" s="31">
        <v>940</v>
      </c>
      <c r="E84" s="29">
        <v>0</v>
      </c>
      <c r="F84" s="30">
        <v>100</v>
      </c>
      <c r="G84" s="29">
        <v>0</v>
      </c>
    </row>
    <row r="85" spans="1:9" x14ac:dyDescent="0.2">
      <c r="A85" s="26" t="s">
        <v>35</v>
      </c>
      <c r="B85" s="26"/>
      <c r="C85" s="26"/>
      <c r="D85" s="32"/>
      <c r="E85" s="33">
        <f>SUM(E83:E84)</f>
        <v>0</v>
      </c>
      <c r="F85" s="34">
        <f>SUM(F83:F84)</f>
        <v>100</v>
      </c>
      <c r="G85" s="33"/>
      <c r="H85" s="18"/>
      <c r="I85" s="18"/>
    </row>
    <row r="86" spans="1:9" x14ac:dyDescent="0.2">
      <c r="A86" s="27"/>
      <c r="B86" s="27"/>
      <c r="C86" s="27"/>
      <c r="D86" s="28"/>
      <c r="E86" s="29"/>
      <c r="F86" s="30"/>
      <c r="G86" s="29"/>
    </row>
    <row r="87" spans="1:9" x14ac:dyDescent="0.2">
      <c r="A87" s="26" t="s">
        <v>38</v>
      </c>
      <c r="B87" s="26"/>
      <c r="C87" s="26"/>
      <c r="D87" s="32"/>
      <c r="E87" s="33">
        <f>E85</f>
        <v>0</v>
      </c>
      <c r="F87" s="34">
        <f>F85</f>
        <v>100</v>
      </c>
      <c r="G87" s="33"/>
      <c r="H87" s="18"/>
      <c r="I87" s="18"/>
    </row>
    <row r="88" spans="1:9" x14ac:dyDescent="0.2">
      <c r="A88" s="26"/>
      <c r="B88" s="26"/>
      <c r="C88" s="26"/>
      <c r="D88" s="32"/>
      <c r="E88" s="33"/>
      <c r="F88" s="34"/>
      <c r="G88" s="33"/>
      <c r="H88" s="18"/>
      <c r="I88" s="18"/>
    </row>
    <row r="89" spans="1:9" x14ac:dyDescent="0.2">
      <c r="A89" s="26" t="s">
        <v>40</v>
      </c>
      <c r="B89" s="26"/>
      <c r="C89" s="26"/>
      <c r="D89" s="32"/>
      <c r="E89" s="33">
        <f>E91-(E85)</f>
        <v>3.9999999999999998E-7</v>
      </c>
      <c r="F89" s="34">
        <v>0</v>
      </c>
      <c r="G89" s="33"/>
      <c r="H89" s="18"/>
      <c r="I89" s="18"/>
    </row>
    <row r="90" spans="1:9" x14ac:dyDescent="0.2">
      <c r="A90" s="26"/>
      <c r="B90" s="26"/>
      <c r="C90" s="26"/>
      <c r="D90" s="32"/>
      <c r="E90" s="33"/>
      <c r="F90" s="34"/>
      <c r="G90" s="33"/>
      <c r="H90" s="18"/>
      <c r="I90" s="18"/>
    </row>
    <row r="91" spans="1:9" x14ac:dyDescent="0.2">
      <c r="A91" s="35" t="s">
        <v>39</v>
      </c>
      <c r="B91" s="35"/>
      <c r="C91" s="35"/>
      <c r="D91" s="36"/>
      <c r="E91" s="37">
        <v>3.9999999999999998E-7</v>
      </c>
      <c r="F91" s="38">
        <v>100</v>
      </c>
      <c r="G91" s="37"/>
      <c r="H91" s="18"/>
      <c r="I91" s="18"/>
    </row>
    <row r="93" spans="1:9" x14ac:dyDescent="0.2">
      <c r="A93" s="18" t="s">
        <v>41</v>
      </c>
    </row>
    <row r="94" spans="1:9" x14ac:dyDescent="0.2">
      <c r="A94" s="18" t="s">
        <v>1216</v>
      </c>
    </row>
    <row r="95" spans="1:9" s="13" customFormat="1" x14ac:dyDescent="0.2">
      <c r="A95" s="18" t="s">
        <v>1217</v>
      </c>
      <c r="B95" s="9"/>
      <c r="C95" s="9"/>
      <c r="D95" s="10"/>
      <c r="F95" s="14"/>
      <c r="H95" s="9"/>
      <c r="I95" s="9"/>
    </row>
    <row r="97" spans="1:9" s="13" customFormat="1" x14ac:dyDescent="0.2">
      <c r="A97" s="18" t="s">
        <v>42</v>
      </c>
      <c r="B97" s="9"/>
      <c r="C97" s="9"/>
      <c r="D97" s="10"/>
      <c r="F97" s="14"/>
      <c r="H97" s="9"/>
      <c r="I97" s="9"/>
    </row>
    <row r="98" spans="1:9" s="13" customFormat="1" x14ac:dyDescent="0.2">
      <c r="A98" s="18" t="s">
        <v>43</v>
      </c>
      <c r="B98" s="9"/>
      <c r="C98" s="9"/>
      <c r="D98" s="10"/>
      <c r="F98" s="14"/>
      <c r="H98" s="9"/>
      <c r="I98" s="9"/>
    </row>
    <row r="99" spans="1:9" s="13" customFormat="1" x14ac:dyDescent="0.2">
      <c r="A99" s="18" t="s">
        <v>44</v>
      </c>
      <c r="B99" s="18"/>
      <c r="C99" s="39" t="s">
        <v>46</v>
      </c>
      <c r="D99" s="19" t="s">
        <v>45</v>
      </c>
      <c r="F99" s="14"/>
      <c r="H99" s="9"/>
      <c r="I99" s="9"/>
    </row>
    <row r="100" spans="1:9" s="13" customFormat="1" x14ac:dyDescent="0.2">
      <c r="A100" s="9" t="s">
        <v>70</v>
      </c>
      <c r="B100" s="9"/>
      <c r="C100" s="40">
        <v>0</v>
      </c>
      <c r="D100" s="40">
        <v>0</v>
      </c>
      <c r="F100" s="14"/>
      <c r="H100" s="9"/>
      <c r="I100" s="9"/>
    </row>
    <row r="101" spans="1:9" s="13" customFormat="1" x14ac:dyDescent="0.2">
      <c r="A101" s="9" t="s">
        <v>76</v>
      </c>
      <c r="B101" s="9"/>
      <c r="C101" s="40">
        <v>0</v>
      </c>
      <c r="D101" s="40">
        <v>0</v>
      </c>
      <c r="F101" s="14"/>
      <c r="H101" s="9"/>
      <c r="I101" s="9"/>
    </row>
    <row r="102" spans="1:9" s="13" customFormat="1" x14ac:dyDescent="0.2">
      <c r="A102" s="9" t="s">
        <v>73</v>
      </c>
      <c r="B102" s="9"/>
      <c r="C102" s="40">
        <v>0</v>
      </c>
      <c r="D102" s="40">
        <v>0</v>
      </c>
      <c r="F102" s="14"/>
      <c r="H102" s="9"/>
      <c r="I102" s="9"/>
    </row>
    <row r="103" spans="1:9" s="13" customFormat="1" x14ac:dyDescent="0.2">
      <c r="A103" s="9" t="s">
        <v>77</v>
      </c>
      <c r="B103" s="9"/>
      <c r="C103" s="40">
        <v>0</v>
      </c>
      <c r="D103" s="40">
        <v>0</v>
      </c>
      <c r="F103" s="14"/>
      <c r="H103" s="9"/>
      <c r="I103" s="9"/>
    </row>
    <row r="105" spans="1:9" s="13" customFormat="1" x14ac:dyDescent="0.2">
      <c r="A105" s="9" t="s">
        <v>47</v>
      </c>
      <c r="B105" s="9"/>
      <c r="C105" s="9"/>
      <c r="D105" s="10"/>
      <c r="F105" s="14"/>
      <c r="H105" s="9"/>
      <c r="I105" s="9"/>
    </row>
    <row r="107" spans="1:9" s="13" customFormat="1" x14ac:dyDescent="0.2">
      <c r="A107" s="18" t="s">
        <v>1338</v>
      </c>
      <c r="B107" s="9"/>
      <c r="C107" s="9"/>
      <c r="D107" s="41" t="s">
        <v>49</v>
      </c>
      <c r="F107" s="14"/>
      <c r="H107" s="9"/>
      <c r="I107" s="9"/>
    </row>
    <row r="108" spans="1:9" s="13" customFormat="1" x14ac:dyDescent="0.2">
      <c r="A108" s="9" t="s">
        <v>733</v>
      </c>
      <c r="B108" s="9"/>
      <c r="C108" s="9"/>
      <c r="D108" s="10"/>
      <c r="F108" s="14"/>
      <c r="H108" s="9"/>
      <c r="I108" s="9"/>
    </row>
    <row r="109" spans="1:9" s="13" customFormat="1" x14ac:dyDescent="0.2">
      <c r="A109" s="47" t="s">
        <v>734</v>
      </c>
      <c r="B109" s="9"/>
      <c r="C109" s="9"/>
      <c r="D109" s="10"/>
      <c r="F109" s="14"/>
      <c r="H109" s="9"/>
      <c r="I109" s="9"/>
    </row>
    <row r="111" spans="1:9" ht="14.4" x14ac:dyDescent="0.2">
      <c r="A111" s="79" t="s">
        <v>1218</v>
      </c>
      <c r="B111" s="80"/>
      <c r="C111" s="80"/>
      <c r="D111" s="80"/>
      <c r="E111" s="80"/>
      <c r="F111" s="80"/>
      <c r="G111" s="80"/>
    </row>
    <row r="112" spans="1:9" x14ac:dyDescent="0.2">
      <c r="A112" s="47" t="s">
        <v>51</v>
      </c>
    </row>
    <row r="114" spans="1:9" s="1" customFormat="1" ht="13.8" x14ac:dyDescent="0.2">
      <c r="A114" s="75" t="s">
        <v>1219</v>
      </c>
      <c r="B114" s="76"/>
      <c r="C114" s="76"/>
      <c r="D114" s="76"/>
      <c r="E114" s="76"/>
      <c r="F114" s="76"/>
      <c r="G114" s="76"/>
    </row>
    <row r="115" spans="1:9" x14ac:dyDescent="0.2">
      <c r="A115" s="18" t="s">
        <v>7</v>
      </c>
    </row>
    <row r="116" spans="1:9" s="1" customFormat="1" ht="17.399999999999999" customHeight="1" x14ac:dyDescent="0.2">
      <c r="A116" s="8" t="s">
        <v>2</v>
      </c>
      <c r="B116" s="8" t="s">
        <v>0</v>
      </c>
      <c r="C116" s="17" t="s">
        <v>758</v>
      </c>
      <c r="D116" s="16" t="s">
        <v>1</v>
      </c>
      <c r="E116" s="15" t="s">
        <v>3</v>
      </c>
      <c r="F116" s="15" t="s">
        <v>4</v>
      </c>
      <c r="G116" s="15" t="s">
        <v>6</v>
      </c>
    </row>
    <row r="117" spans="1:9" x14ac:dyDescent="0.2">
      <c r="A117" s="21" t="s">
        <v>31</v>
      </c>
      <c r="B117" s="22"/>
      <c r="C117" s="22"/>
      <c r="D117" s="23"/>
      <c r="E117" s="24"/>
      <c r="F117" s="25"/>
      <c r="G117" s="24"/>
    </row>
    <row r="118" spans="1:9" x14ac:dyDescent="0.2">
      <c r="A118" s="26" t="s">
        <v>32</v>
      </c>
      <c r="B118" s="27"/>
      <c r="C118" s="27"/>
      <c r="D118" s="28"/>
      <c r="E118" s="29"/>
      <c r="F118" s="30"/>
      <c r="G118" s="29"/>
    </row>
    <row r="119" spans="1:9" ht="20.399999999999999" x14ac:dyDescent="0.2">
      <c r="A119" s="27" t="s">
        <v>1220</v>
      </c>
      <c r="B119" s="27" t="s">
        <v>1221</v>
      </c>
      <c r="C119" s="53" t="s">
        <v>1222</v>
      </c>
      <c r="D119" s="31">
        <v>682</v>
      </c>
      <c r="E119" s="29">
        <v>0</v>
      </c>
      <c r="F119" s="30">
        <v>100</v>
      </c>
      <c r="G119" s="29">
        <v>0</v>
      </c>
    </row>
    <row r="120" spans="1:9" x14ac:dyDescent="0.2">
      <c r="A120" s="26" t="s">
        <v>35</v>
      </c>
      <c r="B120" s="26"/>
      <c r="C120" s="26"/>
      <c r="D120" s="32"/>
      <c r="E120" s="33">
        <f>SUM(E118:E119)</f>
        <v>0</v>
      </c>
      <c r="F120" s="34">
        <f>SUM(F118:F119)</f>
        <v>100</v>
      </c>
      <c r="G120" s="33"/>
      <c r="H120" s="18"/>
      <c r="I120" s="18"/>
    </row>
    <row r="121" spans="1:9" x14ac:dyDescent="0.2">
      <c r="A121" s="27"/>
      <c r="B121" s="27"/>
      <c r="C121" s="27"/>
      <c r="D121" s="28"/>
      <c r="E121" s="29"/>
      <c r="F121" s="30"/>
      <c r="G121" s="29"/>
    </row>
    <row r="122" spans="1:9" x14ac:dyDescent="0.2">
      <c r="A122" s="26" t="s">
        <v>38</v>
      </c>
      <c r="B122" s="26"/>
      <c r="C122" s="26"/>
      <c r="D122" s="32"/>
      <c r="E122" s="33">
        <f>E120</f>
        <v>0</v>
      </c>
      <c r="F122" s="34">
        <f>F120</f>
        <v>100</v>
      </c>
      <c r="G122" s="33"/>
      <c r="H122" s="18"/>
      <c r="I122" s="18"/>
    </row>
    <row r="123" spans="1:9" x14ac:dyDescent="0.2">
      <c r="A123" s="26"/>
      <c r="B123" s="26"/>
      <c r="C123" s="26"/>
      <c r="D123" s="32"/>
      <c r="E123" s="33"/>
      <c r="F123" s="34"/>
      <c r="G123" s="33"/>
      <c r="H123" s="18"/>
      <c r="I123" s="18"/>
    </row>
    <row r="124" spans="1:9" x14ac:dyDescent="0.2">
      <c r="A124" s="26" t="s">
        <v>40</v>
      </c>
      <c r="B124" s="26"/>
      <c r="C124" s="26"/>
      <c r="D124" s="32"/>
      <c r="E124" s="33">
        <f>E126-(E120)</f>
        <v>3.9999999999999998E-7</v>
      </c>
      <c r="F124" s="34">
        <v>0</v>
      </c>
      <c r="G124" s="33"/>
      <c r="H124" s="18"/>
      <c r="I124" s="18"/>
    </row>
    <row r="125" spans="1:9" x14ac:dyDescent="0.2">
      <c r="A125" s="26"/>
      <c r="B125" s="26"/>
      <c r="C125" s="26"/>
      <c r="D125" s="32"/>
      <c r="E125" s="33"/>
      <c r="F125" s="34"/>
      <c r="G125" s="33"/>
      <c r="H125" s="18"/>
      <c r="I125" s="18"/>
    </row>
    <row r="126" spans="1:9" x14ac:dyDescent="0.2">
      <c r="A126" s="35" t="s">
        <v>39</v>
      </c>
      <c r="B126" s="35"/>
      <c r="C126" s="35"/>
      <c r="D126" s="36"/>
      <c r="E126" s="37">
        <v>3.9999999999999998E-7</v>
      </c>
      <c r="F126" s="38">
        <v>100</v>
      </c>
      <c r="G126" s="37"/>
      <c r="H126" s="18"/>
      <c r="I126" s="18"/>
    </row>
    <row r="128" spans="1:9" x14ac:dyDescent="0.2">
      <c r="A128" s="18" t="s">
        <v>41</v>
      </c>
    </row>
    <row r="129" spans="1:4" x14ac:dyDescent="0.2">
      <c r="A129" s="49" t="s">
        <v>1216</v>
      </c>
    </row>
    <row r="131" spans="1:4" x14ac:dyDescent="0.2">
      <c r="A131" s="18" t="s">
        <v>42</v>
      </c>
    </row>
    <row r="132" spans="1:4" x14ac:dyDescent="0.2">
      <c r="A132" s="18" t="s">
        <v>43</v>
      </c>
    </row>
    <row r="133" spans="1:4" x14ac:dyDescent="0.2">
      <c r="A133" s="18" t="s">
        <v>44</v>
      </c>
      <c r="B133" s="18"/>
      <c r="C133" s="39" t="s">
        <v>46</v>
      </c>
      <c r="D133" s="19" t="s">
        <v>45</v>
      </c>
    </row>
    <row r="134" spans="1:4" x14ac:dyDescent="0.2">
      <c r="A134" s="9" t="s">
        <v>70</v>
      </c>
      <c r="C134" s="40">
        <v>0</v>
      </c>
      <c r="D134" s="40">
        <v>0</v>
      </c>
    </row>
    <row r="135" spans="1:4" x14ac:dyDescent="0.2">
      <c r="A135" s="9" t="s">
        <v>76</v>
      </c>
      <c r="C135" s="40">
        <v>0</v>
      </c>
      <c r="D135" s="40">
        <v>0</v>
      </c>
    </row>
    <row r="136" spans="1:4" x14ac:dyDescent="0.2">
      <c r="A136" s="9" t="s">
        <v>73</v>
      </c>
      <c r="C136" s="40">
        <v>0</v>
      </c>
      <c r="D136" s="40">
        <v>0</v>
      </c>
    </row>
    <row r="137" spans="1:4" x14ac:dyDescent="0.2">
      <c r="A137" s="9" t="s">
        <v>77</v>
      </c>
      <c r="C137" s="40">
        <v>0</v>
      </c>
      <c r="D137" s="40">
        <v>0</v>
      </c>
    </row>
    <row r="139" spans="1:4" x14ac:dyDescent="0.2">
      <c r="A139" s="9" t="s">
        <v>47</v>
      </c>
    </row>
    <row r="141" spans="1:4" x14ac:dyDescent="0.2">
      <c r="A141" s="18" t="s">
        <v>1338</v>
      </c>
      <c r="D141" s="41" t="s">
        <v>49</v>
      </c>
    </row>
    <row r="142" spans="1:4" x14ac:dyDescent="0.2">
      <c r="A142" s="9" t="s">
        <v>733</v>
      </c>
    </row>
    <row r="143" spans="1:4" x14ac:dyDescent="0.2">
      <c r="A143" s="47" t="s">
        <v>734</v>
      </c>
    </row>
    <row r="145" spans="1:7" ht="14.4" x14ac:dyDescent="0.2">
      <c r="A145" s="79" t="s">
        <v>1218</v>
      </c>
      <c r="B145" s="80"/>
      <c r="C145" s="80"/>
      <c r="D145" s="80"/>
      <c r="E145" s="80"/>
      <c r="F145" s="80"/>
      <c r="G145" s="80"/>
    </row>
    <row r="146" spans="1:7" x14ac:dyDescent="0.2">
      <c r="A146" s="47" t="s">
        <v>51</v>
      </c>
    </row>
  </sheetData>
  <mergeCells count="10">
    <mergeCell ref="A79:G79"/>
    <mergeCell ref="A111:G111"/>
    <mergeCell ref="A114:G114"/>
    <mergeCell ref="A145:G145"/>
    <mergeCell ref="A1:G1"/>
    <mergeCell ref="A65:G65"/>
    <mergeCell ref="A67:G67"/>
    <mergeCell ref="A69:G69"/>
    <mergeCell ref="A72:G72"/>
    <mergeCell ref="A74:G74"/>
  </mergeCells>
  <conditionalFormatting sqref="F2:F3 F5:F28 F82:F83 F117:F118 F32:F64 F73 F76:F78 F80 F92:F110 F113 F147:F65545 F115 F127:F140">
    <cfRule type="cellIs" dxfId="81" priority="15" stopIfTrue="1" operator="between">
      <formula>0.009</formula>
      <formula>-0.009</formula>
    </cfRule>
  </conditionalFormatting>
  <conditionalFormatting sqref="F66 F68 F71">
    <cfRule type="cellIs" dxfId="80" priority="14" stopIfTrue="1" operator="between">
      <formula>0.009</formula>
      <formula>-0.009</formula>
    </cfRule>
  </conditionalFormatting>
  <conditionalFormatting sqref="F75">
    <cfRule type="cellIs" dxfId="79" priority="12" stopIfTrue="1" operator="between">
      <formula>0.009</formula>
      <formula>-0.009</formula>
    </cfRule>
  </conditionalFormatting>
  <conditionalFormatting sqref="F87:F88 F90:F91">
    <cfRule type="cellIs" dxfId="78" priority="9" stopIfTrue="1" operator="between">
      <formula>0.009</formula>
      <formula>-0.009</formula>
    </cfRule>
  </conditionalFormatting>
  <conditionalFormatting sqref="F85:F86">
    <cfRule type="cellIs" dxfId="77" priority="11" stopIfTrue="1" operator="between">
      <formula>0.009</formula>
      <formula>-0.009</formula>
    </cfRule>
  </conditionalFormatting>
  <conditionalFormatting sqref="F84">
    <cfRule type="cellIs" dxfId="76" priority="10" stopIfTrue="1" operator="between">
      <formula>0.009</formula>
      <formula>-0.009</formula>
    </cfRule>
  </conditionalFormatting>
  <conditionalFormatting sqref="F112">
    <cfRule type="cellIs" dxfId="75" priority="7" stopIfTrue="1" operator="between">
      <formula>0.009</formula>
      <formula>-0.009</formula>
    </cfRule>
  </conditionalFormatting>
  <conditionalFormatting sqref="F141:F144">
    <cfRule type="cellIs" dxfId="74" priority="6" stopIfTrue="1" operator="between">
      <formula>0.009</formula>
      <formula>-0.009</formula>
    </cfRule>
  </conditionalFormatting>
  <conditionalFormatting sqref="F146">
    <cfRule type="cellIs" dxfId="73" priority="4" stopIfTrue="1" operator="between">
      <formula>0.009</formula>
      <formula>-0.009</formula>
    </cfRule>
  </conditionalFormatting>
  <conditionalFormatting sqref="F120:F121">
    <cfRule type="cellIs" dxfId="72" priority="3" stopIfTrue="1" operator="between">
      <formula>0.009</formula>
      <formula>-0.009</formula>
    </cfRule>
  </conditionalFormatting>
  <conditionalFormatting sqref="F119">
    <cfRule type="cellIs" dxfId="71" priority="2" stopIfTrue="1" operator="between">
      <formula>0.009</formula>
      <formula>-0.009</formula>
    </cfRule>
  </conditionalFormatting>
  <conditionalFormatting sqref="F122:F123 F125:F126">
    <cfRule type="cellIs" dxfId="70" priority="1" stopIfTrue="1" operator="between">
      <formula>0.009</formula>
      <formula>-0.009</formula>
    </cfRule>
  </conditionalFormatting>
  <hyperlinks>
    <hyperlink ref="A63" r:id="rId1" xr:uid="{00000000-0004-0000-1800-000000000000}"/>
    <hyperlink ref="A70" r:id="rId2" xr:uid="{00000000-0004-0000-1800-000001000000}"/>
    <hyperlink ref="A75" r:id="rId3" xr:uid="{00000000-0004-0000-1800-000002000000}"/>
    <hyperlink ref="A109" r:id="rId4" xr:uid="{00000000-0004-0000-1800-000003000000}"/>
    <hyperlink ref="A112" r:id="rId5" xr:uid="{00000000-0004-0000-1800-000004000000}"/>
    <hyperlink ref="A143" r:id="rId6" xr:uid="{00000000-0004-0000-1800-000005000000}"/>
    <hyperlink ref="A146" r:id="rId7" xr:uid="{00000000-0004-0000-18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07"/>
  <sheetViews>
    <sheetView workbookViewId="0">
      <selection sqref="A1:G1"/>
    </sheetView>
  </sheetViews>
  <sheetFormatPr defaultColWidth="9.109375" defaultRowHeight="10.199999999999999" x14ac:dyDescent="0.2"/>
  <cols>
    <col min="1" max="1" width="38.6640625" style="9" bestFit="1" customWidth="1"/>
    <col min="2" max="2" width="62"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1223</v>
      </c>
      <c r="B1" s="76"/>
      <c r="C1" s="76"/>
      <c r="D1" s="76"/>
      <c r="E1" s="76"/>
      <c r="F1" s="76"/>
      <c r="G1" s="76"/>
    </row>
    <row r="2" spans="1:7" s="1" customFormat="1" ht="12" x14ac:dyDescent="0.25">
      <c r="A2" s="59" t="s">
        <v>1151</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1224</v>
      </c>
      <c r="B7" s="27" t="s">
        <v>1225</v>
      </c>
      <c r="C7" s="27" t="s">
        <v>1015</v>
      </c>
      <c r="D7" s="31">
        <v>1283</v>
      </c>
      <c r="E7" s="29">
        <v>13034.138129999999</v>
      </c>
      <c r="F7" s="30">
        <v>22.782609532280699</v>
      </c>
      <c r="G7" s="29">
        <v>9.7299000000000007</v>
      </c>
    </row>
    <row r="8" spans="1:7" x14ac:dyDescent="0.2">
      <c r="A8" s="27" t="s">
        <v>1226</v>
      </c>
      <c r="B8" s="27" t="s">
        <v>1227</v>
      </c>
      <c r="C8" s="27" t="s">
        <v>1169</v>
      </c>
      <c r="D8" s="31">
        <v>2000</v>
      </c>
      <c r="E8" s="29">
        <v>9631.3799999999992</v>
      </c>
      <c r="F8" s="30">
        <v>16.834866073113901</v>
      </c>
      <c r="G8" s="29">
        <v>18.750299999999999</v>
      </c>
    </row>
    <row r="9" spans="1:7" x14ac:dyDescent="0.2">
      <c r="A9" s="27" t="s">
        <v>1228</v>
      </c>
      <c r="B9" s="27" t="s">
        <v>1229</v>
      </c>
      <c r="C9" s="27" t="s">
        <v>1190</v>
      </c>
      <c r="D9" s="31">
        <v>650</v>
      </c>
      <c r="E9" s="29">
        <v>6186.1149999999998</v>
      </c>
      <c r="F9" s="30">
        <v>10.812824074834699</v>
      </c>
      <c r="G9" s="29">
        <v>14.875</v>
      </c>
    </row>
    <row r="10" spans="1:7" x14ac:dyDescent="0.2">
      <c r="A10" s="27" t="s">
        <v>1230</v>
      </c>
      <c r="B10" s="27" t="s">
        <v>1231</v>
      </c>
      <c r="C10" s="27" t="s">
        <v>953</v>
      </c>
      <c r="D10" s="31">
        <v>317</v>
      </c>
      <c r="E10" s="29">
        <v>3317.7600400000001</v>
      </c>
      <c r="F10" s="30">
        <v>5.7991737358643398</v>
      </c>
      <c r="G10" s="29">
        <v>9.0830000000000002</v>
      </c>
    </row>
    <row r="11" spans="1:7" x14ac:dyDescent="0.2">
      <c r="A11" s="27" t="s">
        <v>881</v>
      </c>
      <c r="B11" s="27" t="s">
        <v>882</v>
      </c>
      <c r="C11" s="27" t="s">
        <v>883</v>
      </c>
      <c r="D11" s="31">
        <v>314</v>
      </c>
      <c r="E11" s="29">
        <v>3164.1340399999999</v>
      </c>
      <c r="F11" s="30">
        <v>5.5306480276742196</v>
      </c>
      <c r="G11" s="29">
        <v>11.9078</v>
      </c>
    </row>
    <row r="12" spans="1:7" x14ac:dyDescent="0.2">
      <c r="A12" s="27" t="s">
        <v>1232</v>
      </c>
      <c r="B12" s="27" t="s">
        <v>1233</v>
      </c>
      <c r="C12" s="27" t="s">
        <v>953</v>
      </c>
      <c r="D12" s="31">
        <v>250</v>
      </c>
      <c r="E12" s="29">
        <v>2580.9324999999999</v>
      </c>
      <c r="F12" s="30">
        <v>4.51125933991257</v>
      </c>
      <c r="G12" s="29">
        <v>8.6433999999999997</v>
      </c>
    </row>
    <row r="13" spans="1:7" x14ac:dyDescent="0.2">
      <c r="A13" s="27" t="s">
        <v>1234</v>
      </c>
      <c r="B13" s="27" t="s">
        <v>1235</v>
      </c>
      <c r="C13" s="27" t="s">
        <v>1015</v>
      </c>
      <c r="D13" s="31">
        <v>250</v>
      </c>
      <c r="E13" s="29">
        <v>2515.165</v>
      </c>
      <c r="F13" s="30">
        <v>4.3963031182222698</v>
      </c>
      <c r="G13" s="29">
        <v>6.5640999999999998</v>
      </c>
    </row>
    <row r="14" spans="1:7" x14ac:dyDescent="0.2">
      <c r="A14" s="27" t="s">
        <v>1174</v>
      </c>
      <c r="B14" s="27" t="s">
        <v>1168</v>
      </c>
      <c r="C14" s="27" t="s">
        <v>1169</v>
      </c>
      <c r="D14" s="31">
        <v>200</v>
      </c>
      <c r="E14" s="29">
        <v>1784.598</v>
      </c>
      <c r="F14" s="30">
        <v>3.1193316351703499</v>
      </c>
      <c r="G14" s="29">
        <v>20.767700000000001</v>
      </c>
    </row>
    <row r="15" spans="1:7" x14ac:dyDescent="0.2">
      <c r="A15" s="27" t="s">
        <v>1236</v>
      </c>
      <c r="B15" s="27" t="s">
        <v>1237</v>
      </c>
      <c r="C15" s="27" t="s">
        <v>1156</v>
      </c>
      <c r="D15" s="31">
        <v>300</v>
      </c>
      <c r="E15" s="29">
        <v>1509.57</v>
      </c>
      <c r="F15" s="30">
        <v>2.6386051404877202</v>
      </c>
      <c r="G15" s="29">
        <v>7.4249999999999998</v>
      </c>
    </row>
    <row r="16" spans="1:7" x14ac:dyDescent="0.2">
      <c r="A16" s="27" t="s">
        <v>1177</v>
      </c>
      <c r="B16" s="27" t="s">
        <v>1178</v>
      </c>
      <c r="C16" s="27" t="s">
        <v>1156</v>
      </c>
      <c r="D16" s="31">
        <v>176</v>
      </c>
      <c r="E16" s="29">
        <v>1333.6527599999999</v>
      </c>
      <c r="F16" s="30">
        <v>2.3311161643127698</v>
      </c>
      <c r="G16" s="29">
        <v>7.5900999999999996</v>
      </c>
    </row>
    <row r="17" spans="1:9" x14ac:dyDescent="0.2">
      <c r="A17" s="27" t="s">
        <v>1238</v>
      </c>
      <c r="B17" s="27" t="s">
        <v>1239</v>
      </c>
      <c r="C17" s="27" t="s">
        <v>1156</v>
      </c>
      <c r="D17" s="31">
        <v>62</v>
      </c>
      <c r="E17" s="29">
        <v>640.24609999999996</v>
      </c>
      <c r="F17" s="30">
        <v>1.1190979223469</v>
      </c>
      <c r="G17" s="29">
        <v>9.2850000000000001</v>
      </c>
    </row>
    <row r="18" spans="1:9" x14ac:dyDescent="0.2">
      <c r="A18" s="27" t="s">
        <v>1240</v>
      </c>
      <c r="B18" s="27" t="s">
        <v>1241</v>
      </c>
      <c r="C18" s="27" t="s">
        <v>1156</v>
      </c>
      <c r="D18" s="31">
        <v>62</v>
      </c>
      <c r="E18" s="29">
        <v>640.21510000000001</v>
      </c>
      <c r="F18" s="30">
        <v>1.1190437368772901</v>
      </c>
      <c r="G18" s="29">
        <v>8.8199000000000005</v>
      </c>
    </row>
    <row r="19" spans="1:9" x14ac:dyDescent="0.2">
      <c r="A19" s="27" t="s">
        <v>1154</v>
      </c>
      <c r="B19" s="27" t="s">
        <v>1155</v>
      </c>
      <c r="C19" s="27" t="s">
        <v>1156</v>
      </c>
      <c r="D19" s="31">
        <v>55</v>
      </c>
      <c r="E19" s="29">
        <v>563.78409999999997</v>
      </c>
      <c r="F19" s="30">
        <v>0.98544858760126497</v>
      </c>
      <c r="G19" s="29">
        <v>8.2750000000000004</v>
      </c>
    </row>
    <row r="20" spans="1:9" x14ac:dyDescent="0.2">
      <c r="A20" s="26" t="s">
        <v>35</v>
      </c>
      <c r="B20" s="26"/>
      <c r="C20" s="26"/>
      <c r="D20" s="32"/>
      <c r="E20" s="33">
        <f>SUM(E6:E19)</f>
        <v>46901.690769999987</v>
      </c>
      <c r="F20" s="34">
        <f>SUM(F6:F19)</f>
        <v>81.980327088698999</v>
      </c>
      <c r="G20" s="33"/>
      <c r="H20" s="18"/>
      <c r="I20" s="18"/>
    </row>
    <row r="21" spans="1:9" x14ac:dyDescent="0.2">
      <c r="A21" s="27"/>
      <c r="B21" s="27"/>
      <c r="C21" s="27"/>
      <c r="D21" s="28"/>
      <c r="E21" s="29"/>
      <c r="F21" s="30"/>
      <c r="G21" s="29"/>
    </row>
    <row r="22" spans="1:9" x14ac:dyDescent="0.2">
      <c r="A22" s="26" t="s">
        <v>36</v>
      </c>
      <c r="B22" s="27"/>
      <c r="C22" s="27"/>
      <c r="D22" s="28"/>
      <c r="E22" s="29"/>
      <c r="F22" s="30"/>
      <c r="G22" s="29"/>
    </row>
    <row r="23" spans="1:9" x14ac:dyDescent="0.2">
      <c r="A23" s="27" t="s">
        <v>1191</v>
      </c>
      <c r="B23" s="27" t="s">
        <v>1192</v>
      </c>
      <c r="C23" s="27" t="s">
        <v>1187</v>
      </c>
      <c r="D23" s="31">
        <v>180</v>
      </c>
      <c r="E23" s="29">
        <v>1533.599359</v>
      </c>
      <c r="F23" s="30">
        <v>2.6806064986095799</v>
      </c>
      <c r="G23" s="29">
        <v>10.997999999999999</v>
      </c>
    </row>
    <row r="24" spans="1:9" x14ac:dyDescent="0.2">
      <c r="A24" s="27" t="s">
        <v>1193</v>
      </c>
      <c r="B24" s="27" t="s">
        <v>1194</v>
      </c>
      <c r="C24" s="27" t="s">
        <v>1187</v>
      </c>
      <c r="D24" s="31">
        <v>120</v>
      </c>
      <c r="E24" s="29">
        <v>1056.2386799999999</v>
      </c>
      <c r="F24" s="30">
        <v>1.84621899655528</v>
      </c>
      <c r="G24" s="29">
        <v>11</v>
      </c>
    </row>
    <row r="25" spans="1:9" x14ac:dyDescent="0.2">
      <c r="A25" s="27" t="s">
        <v>1242</v>
      </c>
      <c r="B25" s="27" t="s">
        <v>1243</v>
      </c>
      <c r="C25" s="27" t="s">
        <v>1187</v>
      </c>
      <c r="D25" s="31">
        <v>40</v>
      </c>
      <c r="E25" s="29">
        <v>332.3088874</v>
      </c>
      <c r="F25" s="30">
        <v>0.58084881027272295</v>
      </c>
      <c r="G25" s="29">
        <v>10.9999</v>
      </c>
    </row>
    <row r="26" spans="1:9" x14ac:dyDescent="0.2">
      <c r="A26" s="26" t="s">
        <v>35</v>
      </c>
      <c r="B26" s="26"/>
      <c r="C26" s="26"/>
      <c r="D26" s="32"/>
      <c r="E26" s="33">
        <f>SUM(E22:E25)</f>
        <v>2922.1469264000002</v>
      </c>
      <c r="F26" s="34">
        <f>SUM(F22:F25)</f>
        <v>5.1076743054375831</v>
      </c>
      <c r="G26" s="33"/>
      <c r="H26" s="18"/>
      <c r="I26" s="18"/>
    </row>
    <row r="27" spans="1:9" x14ac:dyDescent="0.2">
      <c r="A27" s="27"/>
      <c r="B27" s="27"/>
      <c r="C27" s="27"/>
      <c r="D27" s="28"/>
      <c r="E27" s="29"/>
      <c r="F27" s="30"/>
      <c r="G27" s="29"/>
    </row>
    <row r="28" spans="1:9" x14ac:dyDescent="0.2">
      <c r="A28" s="26" t="s">
        <v>37</v>
      </c>
      <c r="B28" s="27"/>
      <c r="C28" s="27"/>
      <c r="D28" s="28"/>
      <c r="E28" s="29"/>
      <c r="F28" s="30"/>
      <c r="G28" s="29"/>
    </row>
    <row r="29" spans="1:9" x14ac:dyDescent="0.2">
      <c r="A29" s="27" t="s">
        <v>1202</v>
      </c>
      <c r="B29" s="27" t="s">
        <v>1203</v>
      </c>
      <c r="C29" s="27" t="s">
        <v>1204</v>
      </c>
      <c r="D29" s="31">
        <v>196927.25700000001</v>
      </c>
      <c r="E29" s="29">
        <v>6635.4761339999995</v>
      </c>
      <c r="F29" s="30">
        <v>11.598270657707801</v>
      </c>
      <c r="G29" s="29">
        <v>3.1816</v>
      </c>
    </row>
    <row r="30" spans="1:9" x14ac:dyDescent="0.2">
      <c r="A30" s="26" t="s">
        <v>35</v>
      </c>
      <c r="B30" s="26"/>
      <c r="C30" s="26"/>
      <c r="D30" s="32"/>
      <c r="E30" s="33">
        <f>SUM(E29:E29)</f>
        <v>6635.4761339999995</v>
      </c>
      <c r="F30" s="34">
        <f>SUM(F29:F29)</f>
        <v>11.598270657707801</v>
      </c>
      <c r="G30" s="33"/>
      <c r="H30" s="18"/>
      <c r="I30" s="18"/>
    </row>
    <row r="31" spans="1:9" x14ac:dyDescent="0.2">
      <c r="A31" s="27"/>
      <c r="B31" s="27"/>
      <c r="C31" s="27"/>
      <c r="D31" s="28"/>
      <c r="E31" s="29"/>
      <c r="F31" s="30"/>
      <c r="G31" s="29"/>
    </row>
    <row r="32" spans="1:9" x14ac:dyDescent="0.2">
      <c r="A32" s="26" t="s">
        <v>38</v>
      </c>
      <c r="B32" s="26"/>
      <c r="C32" s="26"/>
      <c r="D32" s="32"/>
      <c r="E32" s="33">
        <f>E20+E26+E30</f>
        <v>56459.31383039998</v>
      </c>
      <c r="F32" s="34">
        <f>F20+F26+F30</f>
        <v>98.686272051844384</v>
      </c>
      <c r="G32" s="33"/>
      <c r="H32" s="18"/>
      <c r="I32" s="18"/>
    </row>
    <row r="33" spans="1:9" x14ac:dyDescent="0.2">
      <c r="A33" s="26"/>
      <c r="B33" s="26"/>
      <c r="C33" s="26"/>
      <c r="D33" s="32"/>
      <c r="E33" s="33"/>
      <c r="F33" s="34"/>
      <c r="G33" s="33"/>
      <c r="H33" s="18"/>
      <c r="I33" s="18"/>
    </row>
    <row r="34" spans="1:9" x14ac:dyDescent="0.2">
      <c r="A34" s="26" t="s">
        <v>40</v>
      </c>
      <c r="B34" s="26"/>
      <c r="C34" s="26"/>
      <c r="D34" s="32"/>
      <c r="E34" s="33">
        <f>E36-(E20+E26+E30)</f>
        <v>751.59570800002257</v>
      </c>
      <c r="F34" s="34">
        <f>F36-(F20+F26+F30)</f>
        <v>1.3137279481556163</v>
      </c>
      <c r="G34" s="33"/>
      <c r="H34" s="18"/>
      <c r="I34" s="18"/>
    </row>
    <row r="35" spans="1:9" x14ac:dyDescent="0.2">
      <c r="A35" s="26"/>
      <c r="B35" s="26"/>
      <c r="C35" s="26"/>
      <c r="D35" s="32"/>
      <c r="E35" s="33"/>
      <c r="F35" s="34"/>
      <c r="G35" s="33"/>
      <c r="H35" s="18"/>
      <c r="I35" s="18"/>
    </row>
    <row r="36" spans="1:9" x14ac:dyDescent="0.2">
      <c r="A36" s="35" t="s">
        <v>39</v>
      </c>
      <c r="B36" s="35"/>
      <c r="C36" s="35"/>
      <c r="D36" s="36"/>
      <c r="E36" s="37">
        <v>57210.909538400003</v>
      </c>
      <c r="F36" s="38">
        <v>100</v>
      </c>
      <c r="G36" s="37"/>
      <c r="H36" s="18"/>
      <c r="I36" s="18"/>
    </row>
    <row r="38" spans="1:9" x14ac:dyDescent="0.2">
      <c r="A38" s="18" t="s">
        <v>41</v>
      </c>
    </row>
    <row r="40" spans="1:9" x14ac:dyDescent="0.2">
      <c r="A40" s="18" t="s">
        <v>42</v>
      </c>
    </row>
    <row r="41" spans="1:9" x14ac:dyDescent="0.2">
      <c r="A41" s="18" t="s">
        <v>43</v>
      </c>
    </row>
    <row r="42" spans="1:9" x14ac:dyDescent="0.2">
      <c r="A42" s="18" t="s">
        <v>44</v>
      </c>
      <c r="B42" s="18"/>
      <c r="C42" s="39" t="s">
        <v>46</v>
      </c>
      <c r="D42" s="19" t="s">
        <v>45</v>
      </c>
    </row>
    <row r="43" spans="1:9" x14ac:dyDescent="0.2">
      <c r="A43" s="9" t="s">
        <v>70</v>
      </c>
      <c r="C43" s="40">
        <v>22.228300000000001</v>
      </c>
      <c r="D43" s="40">
        <v>23.516300000000001</v>
      </c>
    </row>
    <row r="44" spans="1:9" x14ac:dyDescent="0.2">
      <c r="A44" s="9" t="s">
        <v>71</v>
      </c>
      <c r="C44" s="40">
        <v>10.249499999999999</v>
      </c>
      <c r="D44" s="40">
        <v>10.843400000000001</v>
      </c>
    </row>
    <row r="45" spans="1:9" x14ac:dyDescent="0.2">
      <c r="A45" s="9" t="s">
        <v>72</v>
      </c>
      <c r="C45" s="40">
        <v>10.0664</v>
      </c>
      <c r="D45" s="40">
        <v>10.649800000000001</v>
      </c>
    </row>
    <row r="46" spans="1:9" x14ac:dyDescent="0.2">
      <c r="A46" s="9" t="s">
        <v>73</v>
      </c>
      <c r="C46" s="40">
        <v>22.805499999999999</v>
      </c>
      <c r="D46" s="40">
        <v>24.1523</v>
      </c>
    </row>
    <row r="47" spans="1:9" x14ac:dyDescent="0.2">
      <c r="A47" s="9" t="s">
        <v>74</v>
      </c>
      <c r="C47" s="40">
        <v>10.598800000000001</v>
      </c>
      <c r="D47" s="40">
        <v>11.2247</v>
      </c>
    </row>
    <row r="48" spans="1:9" x14ac:dyDescent="0.2">
      <c r="A48" s="9" t="s">
        <v>75</v>
      </c>
      <c r="C48" s="40">
        <v>10.4153</v>
      </c>
      <c r="D48" s="40">
        <v>11.0304</v>
      </c>
    </row>
    <row r="50" spans="1:7" x14ac:dyDescent="0.2">
      <c r="A50" s="9" t="s">
        <v>47</v>
      </c>
    </row>
    <row r="52" spans="1:7" x14ac:dyDescent="0.2">
      <c r="A52" s="18" t="s">
        <v>48</v>
      </c>
      <c r="D52" s="41" t="s">
        <v>49</v>
      </c>
    </row>
    <row r="54" spans="1:7" x14ac:dyDescent="0.2">
      <c r="A54" s="18" t="s">
        <v>824</v>
      </c>
      <c r="D54" s="42">
        <v>1.43009926865753</v>
      </c>
      <c r="E54" s="13" t="s">
        <v>50</v>
      </c>
    </row>
    <row r="56" spans="1:7" x14ac:dyDescent="0.2">
      <c r="A56" s="18" t="s">
        <v>732</v>
      </c>
      <c r="D56" s="41" t="s">
        <v>49</v>
      </c>
    </row>
    <row r="57" spans="1:7" x14ac:dyDescent="0.2">
      <c r="A57" s="9" t="s">
        <v>733</v>
      </c>
    </row>
    <row r="58" spans="1:7" x14ac:dyDescent="0.2">
      <c r="A58" s="47" t="s">
        <v>734</v>
      </c>
    </row>
    <row r="60" spans="1:7" ht="26.25" customHeight="1" x14ac:dyDescent="0.2">
      <c r="A60" s="84" t="s">
        <v>1244</v>
      </c>
      <c r="B60" s="84"/>
      <c r="C60" s="84"/>
      <c r="D60" s="84"/>
      <c r="E60" s="84"/>
      <c r="F60" s="84"/>
      <c r="G60" s="84"/>
    </row>
    <row r="62" spans="1:7" ht="36.75" customHeight="1" x14ac:dyDescent="0.2">
      <c r="A62" s="87" t="s">
        <v>1245</v>
      </c>
      <c r="B62" s="87"/>
      <c r="C62" s="87"/>
      <c r="D62" s="87"/>
      <c r="E62" s="87"/>
      <c r="F62" s="87"/>
      <c r="G62" s="87"/>
    </row>
    <row r="63" spans="1:7" x14ac:dyDescent="0.2">
      <c r="A63" s="61" t="s">
        <v>1209</v>
      </c>
      <c r="B63" s="62"/>
      <c r="C63" s="62"/>
      <c r="D63" s="62"/>
      <c r="E63" s="62"/>
      <c r="F63" s="62"/>
      <c r="G63" s="62"/>
    </row>
    <row r="65" spans="1:9" ht="24" customHeight="1" x14ac:dyDescent="0.2">
      <c r="A65" s="86" t="s">
        <v>1246</v>
      </c>
      <c r="B65" s="86"/>
      <c r="C65" s="86"/>
      <c r="D65" s="86"/>
      <c r="E65" s="86"/>
      <c r="F65" s="86"/>
      <c r="G65" s="86"/>
    </row>
    <row r="67" spans="1:9" ht="14.4" x14ac:dyDescent="0.2">
      <c r="A67" s="79" t="s">
        <v>1247</v>
      </c>
      <c r="B67" s="80"/>
      <c r="C67" s="80"/>
      <c r="D67" s="80"/>
      <c r="E67" s="80"/>
      <c r="F67" s="80"/>
      <c r="G67" s="80"/>
    </row>
    <row r="68" spans="1:9" x14ac:dyDescent="0.2">
      <c r="A68" s="47" t="s">
        <v>51</v>
      </c>
    </row>
    <row r="70" spans="1:9" x14ac:dyDescent="0.2">
      <c r="A70" s="18" t="s">
        <v>754</v>
      </c>
    </row>
    <row r="72" spans="1:9" s="1" customFormat="1" ht="13.8" x14ac:dyDescent="0.2">
      <c r="A72" s="75" t="s">
        <v>1248</v>
      </c>
      <c r="B72" s="76"/>
      <c r="C72" s="76"/>
      <c r="D72" s="76"/>
      <c r="E72" s="76"/>
      <c r="F72" s="76"/>
      <c r="G72" s="76"/>
    </row>
    <row r="73" spans="1:9" x14ac:dyDescent="0.2">
      <c r="A73" s="18" t="s">
        <v>7</v>
      </c>
    </row>
    <row r="74" spans="1:9" s="1" customFormat="1" ht="17.399999999999999" customHeight="1" x14ac:dyDescent="0.2">
      <c r="A74" s="8" t="s">
        <v>2</v>
      </c>
      <c r="B74" s="8" t="s">
        <v>0</v>
      </c>
      <c r="C74" s="17" t="s">
        <v>758</v>
      </c>
      <c r="D74" s="16" t="s">
        <v>1</v>
      </c>
      <c r="E74" s="15" t="s">
        <v>3</v>
      </c>
      <c r="F74" s="15" t="s">
        <v>4</v>
      </c>
      <c r="G74" s="15" t="s">
        <v>6</v>
      </c>
    </row>
    <row r="75" spans="1:9" x14ac:dyDescent="0.2">
      <c r="A75" s="21" t="s">
        <v>31</v>
      </c>
      <c r="B75" s="22"/>
      <c r="C75" s="22"/>
      <c r="D75" s="23"/>
      <c r="E75" s="24"/>
      <c r="F75" s="25"/>
      <c r="G75" s="24"/>
    </row>
    <row r="76" spans="1:9" x14ac:dyDescent="0.2">
      <c r="A76" s="26" t="s">
        <v>32</v>
      </c>
      <c r="B76" s="27"/>
      <c r="C76" s="27"/>
      <c r="D76" s="28"/>
      <c r="E76" s="29"/>
      <c r="F76" s="30"/>
      <c r="G76" s="29"/>
    </row>
    <row r="77" spans="1:9" x14ac:dyDescent="0.2">
      <c r="A77" s="27" t="s">
        <v>1213</v>
      </c>
      <c r="B77" s="27" t="s">
        <v>1214</v>
      </c>
      <c r="C77" s="27" t="s">
        <v>1215</v>
      </c>
      <c r="D77" s="31">
        <v>1510</v>
      </c>
      <c r="E77" s="29">
        <v>0</v>
      </c>
      <c r="F77" s="30">
        <v>100</v>
      </c>
      <c r="G77" s="29">
        <v>0</v>
      </c>
    </row>
    <row r="78" spans="1:9" x14ac:dyDescent="0.2">
      <c r="A78" s="26" t="s">
        <v>35</v>
      </c>
      <c r="B78" s="26"/>
      <c r="C78" s="26"/>
      <c r="D78" s="32"/>
      <c r="E78" s="33">
        <f>SUM(E76:E77)</f>
        <v>0</v>
      </c>
      <c r="F78" s="34">
        <f>SUM(F76:F77)</f>
        <v>100</v>
      </c>
      <c r="G78" s="33"/>
      <c r="H78" s="18"/>
      <c r="I78" s="18"/>
    </row>
    <row r="79" spans="1:9" x14ac:dyDescent="0.2">
      <c r="A79" s="27"/>
      <c r="B79" s="27"/>
      <c r="C79" s="27"/>
      <c r="D79" s="28"/>
      <c r="E79" s="29"/>
      <c r="F79" s="30"/>
      <c r="G79" s="29"/>
    </row>
    <row r="80" spans="1:9" x14ac:dyDescent="0.2">
      <c r="A80" s="26" t="s">
        <v>38</v>
      </c>
      <c r="B80" s="26"/>
      <c r="C80" s="26"/>
      <c r="D80" s="32"/>
      <c r="E80" s="33">
        <f>E78</f>
        <v>0</v>
      </c>
      <c r="F80" s="34">
        <f>F78</f>
        <v>100</v>
      </c>
      <c r="G80" s="33"/>
      <c r="H80" s="18"/>
      <c r="I80" s="18"/>
    </row>
    <row r="81" spans="1:9" x14ac:dyDescent="0.2">
      <c r="A81" s="26"/>
      <c r="B81" s="26"/>
      <c r="C81" s="26"/>
      <c r="D81" s="32"/>
      <c r="E81" s="33"/>
      <c r="F81" s="34"/>
      <c r="G81" s="33"/>
      <c r="H81" s="18"/>
      <c r="I81" s="18"/>
    </row>
    <row r="82" spans="1:9" x14ac:dyDescent="0.2">
      <c r="A82" s="26" t="s">
        <v>40</v>
      </c>
      <c r="B82" s="26"/>
      <c r="C82" s="26"/>
      <c r="D82" s="32"/>
      <c r="E82" s="33">
        <f>E84-(E78)</f>
        <v>5.9999999999999997E-7</v>
      </c>
      <c r="F82" s="34">
        <v>0</v>
      </c>
      <c r="G82" s="33"/>
      <c r="H82" s="18"/>
      <c r="I82" s="18"/>
    </row>
    <row r="83" spans="1:9" x14ac:dyDescent="0.2">
      <c r="A83" s="26"/>
      <c r="B83" s="26"/>
      <c r="C83" s="26"/>
      <c r="D83" s="32"/>
      <c r="E83" s="33"/>
      <c r="F83" s="34"/>
      <c r="G83" s="33"/>
      <c r="H83" s="18"/>
      <c r="I83" s="18"/>
    </row>
    <row r="84" spans="1:9" x14ac:dyDescent="0.2">
      <c r="A84" s="35" t="s">
        <v>39</v>
      </c>
      <c r="B84" s="35"/>
      <c r="C84" s="35"/>
      <c r="D84" s="36"/>
      <c r="E84" s="37">
        <v>5.9999999999999997E-7</v>
      </c>
      <c r="F84" s="38">
        <v>100</v>
      </c>
      <c r="G84" s="37"/>
      <c r="H84" s="18"/>
      <c r="I84" s="18"/>
    </row>
    <row r="86" spans="1:9" x14ac:dyDescent="0.2">
      <c r="A86" s="18" t="s">
        <v>41</v>
      </c>
    </row>
    <row r="87" spans="1:9" x14ac:dyDescent="0.2">
      <c r="A87" s="49" t="s">
        <v>1216</v>
      </c>
    </row>
    <row r="88" spans="1:9" x14ac:dyDescent="0.2">
      <c r="A88" s="18" t="s">
        <v>1217</v>
      </c>
    </row>
    <row r="90" spans="1:9" x14ac:dyDescent="0.2">
      <c r="A90" s="18" t="s">
        <v>42</v>
      </c>
    </row>
    <row r="91" spans="1:9" x14ac:dyDescent="0.2">
      <c r="A91" s="18" t="s">
        <v>43</v>
      </c>
    </row>
    <row r="92" spans="1:9" x14ac:dyDescent="0.2">
      <c r="A92" s="18" t="s">
        <v>44</v>
      </c>
      <c r="B92" s="18"/>
      <c r="C92" s="39" t="s">
        <v>46</v>
      </c>
      <c r="D92" s="19" t="s">
        <v>45</v>
      </c>
    </row>
    <row r="93" spans="1:9" x14ac:dyDescent="0.2">
      <c r="A93" s="9" t="s">
        <v>70</v>
      </c>
      <c r="C93" s="40">
        <v>0</v>
      </c>
      <c r="D93" s="40">
        <v>0</v>
      </c>
    </row>
    <row r="94" spans="1:9" x14ac:dyDescent="0.2">
      <c r="A94" s="9" t="s">
        <v>71</v>
      </c>
      <c r="C94" s="40">
        <v>0</v>
      </c>
      <c r="D94" s="40">
        <v>0</v>
      </c>
    </row>
    <row r="95" spans="1:9" x14ac:dyDescent="0.2">
      <c r="A95" s="9" t="s">
        <v>72</v>
      </c>
      <c r="C95" s="40">
        <v>0</v>
      </c>
      <c r="D95" s="40">
        <v>0</v>
      </c>
    </row>
    <row r="96" spans="1:9" x14ac:dyDescent="0.2">
      <c r="A96" s="9" t="s">
        <v>73</v>
      </c>
      <c r="C96" s="40">
        <v>0</v>
      </c>
      <c r="D96" s="40">
        <v>0</v>
      </c>
    </row>
    <row r="97" spans="1:7" x14ac:dyDescent="0.2">
      <c r="A97" s="9" t="s">
        <v>74</v>
      </c>
      <c r="C97" s="40">
        <v>0</v>
      </c>
      <c r="D97" s="40">
        <v>0</v>
      </c>
    </row>
    <row r="98" spans="1:7" x14ac:dyDescent="0.2">
      <c r="A98" s="9" t="s">
        <v>75</v>
      </c>
      <c r="C98" s="40">
        <v>0</v>
      </c>
      <c r="D98" s="40">
        <v>0</v>
      </c>
    </row>
    <row r="100" spans="1:7" x14ac:dyDescent="0.2">
      <c r="A100" s="9" t="s">
        <v>47</v>
      </c>
    </row>
    <row r="102" spans="1:7" x14ac:dyDescent="0.2">
      <c r="A102" s="18" t="s">
        <v>1338</v>
      </c>
      <c r="D102" s="41" t="s">
        <v>49</v>
      </c>
    </row>
    <row r="103" spans="1:7" x14ac:dyDescent="0.2">
      <c r="A103" s="9" t="s">
        <v>733</v>
      </c>
    </row>
    <row r="104" spans="1:7" x14ac:dyDescent="0.2">
      <c r="A104" s="47" t="s">
        <v>734</v>
      </c>
    </row>
    <row r="106" spans="1:7" ht="14.4" x14ac:dyDescent="0.2">
      <c r="A106" s="79" t="s">
        <v>1218</v>
      </c>
      <c r="B106" s="80"/>
      <c r="C106" s="80"/>
      <c r="D106" s="80"/>
      <c r="E106" s="80"/>
      <c r="F106" s="80"/>
      <c r="G106" s="80"/>
    </row>
    <row r="107" spans="1:7" x14ac:dyDescent="0.2">
      <c r="A107" s="47" t="s">
        <v>51</v>
      </c>
    </row>
  </sheetData>
  <mergeCells count="7">
    <mergeCell ref="A106:G106"/>
    <mergeCell ref="A1:G1"/>
    <mergeCell ref="A60:G60"/>
    <mergeCell ref="A62:G62"/>
    <mergeCell ref="A65:G65"/>
    <mergeCell ref="A67:G67"/>
    <mergeCell ref="A72:G72"/>
  </mergeCells>
  <conditionalFormatting sqref="F2:F3 F5:F55 F75:F76 F66 F69:F71 F73 F85:F105 F108:F65542">
    <cfRule type="cellIs" dxfId="69" priority="10" stopIfTrue="1" operator="between">
      <formula>0.009</formula>
      <formula>-0.009</formula>
    </cfRule>
  </conditionalFormatting>
  <conditionalFormatting sqref="F56:F59">
    <cfRule type="cellIs" dxfId="68" priority="9" stopIfTrue="1" operator="between">
      <formula>0.009</formula>
      <formula>-0.009</formula>
    </cfRule>
  </conditionalFormatting>
  <conditionalFormatting sqref="F61 F64">
    <cfRule type="cellIs" dxfId="67" priority="8" stopIfTrue="1" operator="between">
      <formula>0.009</formula>
      <formula>-0.009</formula>
    </cfRule>
  </conditionalFormatting>
  <conditionalFormatting sqref="F68">
    <cfRule type="cellIs" dxfId="66" priority="6" stopIfTrue="1" operator="between">
      <formula>0.009</formula>
      <formula>-0.009</formula>
    </cfRule>
  </conditionalFormatting>
  <conditionalFormatting sqref="F78:F79">
    <cfRule type="cellIs" dxfId="65" priority="5" stopIfTrue="1" operator="between">
      <formula>0.009</formula>
      <formula>-0.009</formula>
    </cfRule>
  </conditionalFormatting>
  <conditionalFormatting sqref="F77">
    <cfRule type="cellIs" dxfId="64" priority="4" stopIfTrue="1" operator="between">
      <formula>0.009</formula>
      <formula>-0.009</formula>
    </cfRule>
  </conditionalFormatting>
  <conditionalFormatting sqref="F80:F81 F83:F84">
    <cfRule type="cellIs" dxfId="63" priority="3" stopIfTrue="1" operator="between">
      <formula>0.009</formula>
      <formula>-0.009</formula>
    </cfRule>
  </conditionalFormatting>
  <conditionalFormatting sqref="F107">
    <cfRule type="cellIs" dxfId="62" priority="1" stopIfTrue="1" operator="between">
      <formula>0.009</formula>
      <formula>-0.009</formula>
    </cfRule>
  </conditionalFormatting>
  <hyperlinks>
    <hyperlink ref="A58" r:id="rId1" xr:uid="{00000000-0004-0000-1900-000000000000}"/>
    <hyperlink ref="A63" r:id="rId2" xr:uid="{00000000-0004-0000-1900-000001000000}"/>
    <hyperlink ref="A68" r:id="rId3" xr:uid="{00000000-0004-0000-1900-000002000000}"/>
    <hyperlink ref="A104" r:id="rId4" xr:uid="{00000000-0004-0000-1900-000003000000}"/>
    <hyperlink ref="A107" r:id="rId5" xr:uid="{00000000-0004-0000-19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70"/>
  <sheetViews>
    <sheetView workbookViewId="0">
      <selection sqref="A1:G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5" customHeight="1" x14ac:dyDescent="0.2">
      <c r="A1" s="75" t="s">
        <v>1249</v>
      </c>
      <c r="B1" s="76"/>
      <c r="C1" s="76"/>
      <c r="D1" s="76"/>
      <c r="E1" s="76"/>
      <c r="F1" s="76"/>
      <c r="G1" s="76"/>
    </row>
    <row r="2" spans="1:7" s="1" customFormat="1" ht="12" x14ac:dyDescent="0.25">
      <c r="A2" s="59" t="s">
        <v>1151</v>
      </c>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758</v>
      </c>
      <c r="D4" s="16" t="s">
        <v>1</v>
      </c>
      <c r="E4" s="15" t="s">
        <v>3</v>
      </c>
      <c r="F4" s="15" t="s">
        <v>4</v>
      </c>
      <c r="G4" s="15" t="s">
        <v>6</v>
      </c>
    </row>
    <row r="5" spans="1:7" x14ac:dyDescent="0.2">
      <c r="A5" s="21" t="s">
        <v>31</v>
      </c>
      <c r="B5" s="22"/>
      <c r="C5" s="22"/>
      <c r="D5" s="23"/>
      <c r="E5" s="24"/>
      <c r="F5" s="25"/>
      <c r="G5" s="24"/>
    </row>
    <row r="6" spans="1:7" x14ac:dyDescent="0.2">
      <c r="A6" s="26" t="s">
        <v>32</v>
      </c>
      <c r="B6" s="27"/>
      <c r="C6" s="27"/>
      <c r="D6" s="28"/>
      <c r="E6" s="29"/>
      <c r="F6" s="30"/>
      <c r="G6" s="29"/>
    </row>
    <row r="7" spans="1:7" x14ac:dyDescent="0.2">
      <c r="A7" s="27" t="s">
        <v>1226</v>
      </c>
      <c r="B7" s="27" t="s">
        <v>1227</v>
      </c>
      <c r="C7" s="27" t="s">
        <v>1169</v>
      </c>
      <c r="D7" s="31">
        <v>7500</v>
      </c>
      <c r="E7" s="29">
        <v>36117.675000000003</v>
      </c>
      <c r="F7" s="30">
        <v>12.030782236274501</v>
      </c>
      <c r="G7" s="29">
        <v>18.750299999999999</v>
      </c>
    </row>
    <row r="8" spans="1:7" x14ac:dyDescent="0.2">
      <c r="A8" s="27" t="s">
        <v>1159</v>
      </c>
      <c r="B8" s="27" t="s">
        <v>1160</v>
      </c>
      <c r="C8" s="27" t="s">
        <v>1161</v>
      </c>
      <c r="D8" s="31">
        <v>3650</v>
      </c>
      <c r="E8" s="29">
        <v>35150.887000000002</v>
      </c>
      <c r="F8" s="30">
        <v>11.7087455631873</v>
      </c>
      <c r="G8" s="29">
        <v>18.7758</v>
      </c>
    </row>
    <row r="9" spans="1:7" x14ac:dyDescent="0.2">
      <c r="A9" s="27" t="s">
        <v>881</v>
      </c>
      <c r="B9" s="27" t="s">
        <v>882</v>
      </c>
      <c r="C9" s="27" t="s">
        <v>883</v>
      </c>
      <c r="D9" s="31">
        <v>3386</v>
      </c>
      <c r="E9" s="29">
        <v>34120.247960000001</v>
      </c>
      <c r="F9" s="30">
        <v>11.365440135735399</v>
      </c>
      <c r="G9" s="29">
        <v>11.9078</v>
      </c>
    </row>
    <row r="10" spans="1:7" x14ac:dyDescent="0.2">
      <c r="A10" s="27" t="s">
        <v>1250</v>
      </c>
      <c r="B10" s="27" t="s">
        <v>1251</v>
      </c>
      <c r="C10" s="27" t="s">
        <v>883</v>
      </c>
      <c r="D10" s="31">
        <v>2000</v>
      </c>
      <c r="E10" s="29">
        <v>23966.52</v>
      </c>
      <c r="F10" s="30">
        <v>7.9832376552841904</v>
      </c>
      <c r="G10" s="29">
        <v>4.0765000000000002</v>
      </c>
    </row>
    <row r="11" spans="1:7" x14ac:dyDescent="0.2">
      <c r="A11" s="27" t="s">
        <v>1228</v>
      </c>
      <c r="B11" s="27" t="s">
        <v>1229</v>
      </c>
      <c r="C11" s="27" t="s">
        <v>1190</v>
      </c>
      <c r="D11" s="31">
        <v>2350</v>
      </c>
      <c r="E11" s="29">
        <v>22365.185000000001</v>
      </c>
      <c r="F11" s="30">
        <v>7.4498336454102301</v>
      </c>
      <c r="G11" s="29">
        <v>14.875</v>
      </c>
    </row>
    <row r="12" spans="1:7" x14ac:dyDescent="0.2">
      <c r="A12" s="27" t="s">
        <v>1252</v>
      </c>
      <c r="B12" s="27" t="s">
        <v>1253</v>
      </c>
      <c r="C12" s="27" t="s">
        <v>1164</v>
      </c>
      <c r="D12" s="31">
        <v>1910</v>
      </c>
      <c r="E12" s="29">
        <v>19134.0553</v>
      </c>
      <c r="F12" s="30">
        <v>6.3735457116531702</v>
      </c>
      <c r="G12" s="29">
        <v>6.2009999999999996</v>
      </c>
    </row>
    <row r="13" spans="1:7" x14ac:dyDescent="0.2">
      <c r="A13" s="27" t="s">
        <v>1254</v>
      </c>
      <c r="B13" s="27" t="s">
        <v>1255</v>
      </c>
      <c r="C13" s="27" t="s">
        <v>1190</v>
      </c>
      <c r="D13" s="31">
        <v>2000</v>
      </c>
      <c r="E13" s="29">
        <v>19070.86</v>
      </c>
      <c r="F13" s="30">
        <v>6.3524953840045599</v>
      </c>
      <c r="G13" s="29">
        <v>14.875</v>
      </c>
    </row>
    <row r="14" spans="1:7" x14ac:dyDescent="0.2">
      <c r="A14" s="27" t="s">
        <v>1256</v>
      </c>
      <c r="B14" s="27" t="s">
        <v>1257</v>
      </c>
      <c r="C14" s="27" t="s">
        <v>1190</v>
      </c>
      <c r="D14" s="31">
        <v>1000</v>
      </c>
      <c r="E14" s="29">
        <v>10012.17</v>
      </c>
      <c r="F14" s="30">
        <v>3.3350495839657399</v>
      </c>
      <c r="G14" s="29">
        <v>14.0101</v>
      </c>
    </row>
    <row r="15" spans="1:7" x14ac:dyDescent="0.2">
      <c r="A15" s="27" t="s">
        <v>1258</v>
      </c>
      <c r="B15" s="27" t="s">
        <v>1259</v>
      </c>
      <c r="C15" s="27" t="s">
        <v>1190</v>
      </c>
      <c r="D15" s="31">
        <v>900</v>
      </c>
      <c r="E15" s="29">
        <v>9013.7790000000005</v>
      </c>
      <c r="F15" s="30">
        <v>3.0024859649715498</v>
      </c>
      <c r="G15" s="29">
        <v>14.14</v>
      </c>
    </row>
    <row r="16" spans="1:7" x14ac:dyDescent="0.2">
      <c r="A16" s="27" t="s">
        <v>1177</v>
      </c>
      <c r="B16" s="27" t="s">
        <v>1178</v>
      </c>
      <c r="C16" s="27" t="s">
        <v>1156</v>
      </c>
      <c r="D16" s="31">
        <v>938</v>
      </c>
      <c r="E16" s="29">
        <v>7107.7630049999998</v>
      </c>
      <c r="F16" s="30">
        <v>2.36759284478314</v>
      </c>
      <c r="G16" s="29">
        <v>7.5900999999999996</v>
      </c>
    </row>
    <row r="17" spans="1:9" x14ac:dyDescent="0.2">
      <c r="A17" s="27" t="s">
        <v>1183</v>
      </c>
      <c r="B17" s="27" t="s">
        <v>1184</v>
      </c>
      <c r="C17" s="27" t="s">
        <v>1164</v>
      </c>
      <c r="D17" s="31">
        <v>670</v>
      </c>
      <c r="E17" s="29">
        <v>6701.2327999999998</v>
      </c>
      <c r="F17" s="30">
        <v>2.2321778057801298</v>
      </c>
      <c r="G17" s="29">
        <v>4.6500000000000004</v>
      </c>
    </row>
    <row r="18" spans="1:9" x14ac:dyDescent="0.2">
      <c r="A18" s="27" t="s">
        <v>1234</v>
      </c>
      <c r="B18" s="27" t="s">
        <v>1235</v>
      </c>
      <c r="C18" s="27" t="s">
        <v>1015</v>
      </c>
      <c r="D18" s="31">
        <v>280</v>
      </c>
      <c r="E18" s="29">
        <v>2816.9848000000002</v>
      </c>
      <c r="F18" s="30">
        <v>0.93833644307655895</v>
      </c>
      <c r="G18" s="29">
        <v>6.5640999999999998</v>
      </c>
    </row>
    <row r="19" spans="1:9" x14ac:dyDescent="0.2">
      <c r="A19" s="27" t="s">
        <v>1154</v>
      </c>
      <c r="B19" s="27" t="s">
        <v>1155</v>
      </c>
      <c r="C19" s="27" t="s">
        <v>1156</v>
      </c>
      <c r="D19" s="31">
        <v>61</v>
      </c>
      <c r="E19" s="29">
        <v>625.28782000000001</v>
      </c>
      <c r="F19" s="30">
        <v>0.20828310785272799</v>
      </c>
      <c r="G19" s="29">
        <v>8.2750000000000004</v>
      </c>
    </row>
    <row r="20" spans="1:9" x14ac:dyDescent="0.2">
      <c r="A20" s="27" t="s">
        <v>1174</v>
      </c>
      <c r="B20" s="27" t="s">
        <v>1168</v>
      </c>
      <c r="C20" s="27" t="s">
        <v>1169</v>
      </c>
      <c r="D20" s="31">
        <v>70</v>
      </c>
      <c r="E20" s="29">
        <v>624.60929999999996</v>
      </c>
      <c r="F20" s="30">
        <v>0.208057093128276</v>
      </c>
      <c r="G20" s="29">
        <v>20.767700000000001</v>
      </c>
    </row>
    <row r="21" spans="1:9" x14ac:dyDescent="0.2">
      <c r="A21" s="27" t="s">
        <v>1260</v>
      </c>
      <c r="B21" s="27" t="s">
        <v>1261</v>
      </c>
      <c r="C21" s="27" t="s">
        <v>33</v>
      </c>
      <c r="D21" s="31">
        <v>34</v>
      </c>
      <c r="E21" s="29">
        <v>344.22041999999999</v>
      </c>
      <c r="F21" s="30">
        <v>0.114659676025628</v>
      </c>
      <c r="G21" s="29">
        <v>4.05</v>
      </c>
    </row>
    <row r="22" spans="1:9" x14ac:dyDescent="0.2">
      <c r="A22" s="27" t="s">
        <v>934</v>
      </c>
      <c r="B22" s="27" t="s">
        <v>935</v>
      </c>
      <c r="C22" s="27" t="s">
        <v>34</v>
      </c>
      <c r="D22" s="31">
        <v>22</v>
      </c>
      <c r="E22" s="29">
        <v>222.99420000000001</v>
      </c>
      <c r="F22" s="30">
        <v>7.4279273517806194E-2</v>
      </c>
      <c r="G22" s="29">
        <v>3.8351000000000002</v>
      </c>
    </row>
    <row r="23" spans="1:9" x14ac:dyDescent="0.2">
      <c r="A23" s="26" t="s">
        <v>35</v>
      </c>
      <c r="B23" s="26"/>
      <c r="C23" s="26"/>
      <c r="D23" s="32"/>
      <c r="E23" s="33">
        <f>SUM(E6:E22)</f>
        <v>227394.47160500006</v>
      </c>
      <c r="F23" s="34">
        <f>SUM(F6:F22)</f>
        <v>75.74500212465091</v>
      </c>
      <c r="G23" s="33"/>
      <c r="H23" s="18"/>
      <c r="I23" s="18"/>
    </row>
    <row r="24" spans="1:9" x14ac:dyDescent="0.2">
      <c r="A24" s="27"/>
      <c r="B24" s="27"/>
      <c r="C24" s="27"/>
      <c r="D24" s="28"/>
      <c r="E24" s="29"/>
      <c r="F24" s="30"/>
      <c r="G24" s="29"/>
    </row>
    <row r="25" spans="1:9" x14ac:dyDescent="0.2">
      <c r="A25" s="26" t="s">
        <v>36</v>
      </c>
      <c r="B25" s="27"/>
      <c r="C25" s="27"/>
      <c r="D25" s="28"/>
      <c r="E25" s="29"/>
      <c r="F25" s="30"/>
      <c r="G25" s="29"/>
    </row>
    <row r="26" spans="1:9" x14ac:dyDescent="0.2">
      <c r="A26" s="27" t="s">
        <v>1262</v>
      </c>
      <c r="B26" s="27" t="s">
        <v>1263</v>
      </c>
      <c r="C26" s="27" t="s">
        <v>1190</v>
      </c>
      <c r="D26" s="31">
        <v>1000</v>
      </c>
      <c r="E26" s="29">
        <v>10014.61</v>
      </c>
      <c r="F26" s="30">
        <v>3.3358623469316999</v>
      </c>
      <c r="G26" s="29">
        <v>14.249700000000001</v>
      </c>
    </row>
    <row r="27" spans="1:9" x14ac:dyDescent="0.2">
      <c r="A27" s="26" t="s">
        <v>35</v>
      </c>
      <c r="B27" s="26"/>
      <c r="C27" s="26"/>
      <c r="D27" s="32"/>
      <c r="E27" s="33">
        <f>SUM(E25:E26)</f>
        <v>10014.61</v>
      </c>
      <c r="F27" s="34">
        <f>SUM(F25:F26)</f>
        <v>3.3358623469316999</v>
      </c>
      <c r="G27" s="33"/>
      <c r="H27" s="18"/>
      <c r="I27" s="18"/>
    </row>
    <row r="28" spans="1:9" x14ac:dyDescent="0.2">
      <c r="A28" s="27"/>
      <c r="B28" s="27"/>
      <c r="C28" s="27"/>
      <c r="D28" s="28"/>
      <c r="E28" s="29"/>
      <c r="F28" s="30"/>
      <c r="G28" s="29"/>
    </row>
    <row r="29" spans="1:9" x14ac:dyDescent="0.2">
      <c r="A29" s="26" t="s">
        <v>37</v>
      </c>
      <c r="B29" s="27"/>
      <c r="C29" s="27"/>
      <c r="D29" s="28"/>
      <c r="E29" s="29"/>
      <c r="F29" s="30"/>
      <c r="G29" s="29"/>
    </row>
    <row r="30" spans="1:9" x14ac:dyDescent="0.2">
      <c r="A30" s="27" t="s">
        <v>1202</v>
      </c>
      <c r="B30" s="27" t="s">
        <v>1203</v>
      </c>
      <c r="C30" s="27" t="s">
        <v>1204</v>
      </c>
      <c r="D30" s="31">
        <v>1830490.1869999999</v>
      </c>
      <c r="E30" s="29">
        <v>61678.480340000002</v>
      </c>
      <c r="F30" s="30">
        <v>20.545075662674201</v>
      </c>
      <c r="G30" s="29">
        <v>3.1816</v>
      </c>
    </row>
    <row r="31" spans="1:9" x14ac:dyDescent="0.2">
      <c r="A31" s="26" t="s">
        <v>35</v>
      </c>
      <c r="B31" s="26"/>
      <c r="C31" s="26"/>
      <c r="D31" s="32"/>
      <c r="E31" s="33">
        <f>SUM(E30:E30)</f>
        <v>61678.480340000002</v>
      </c>
      <c r="F31" s="34">
        <f>SUM(F30:F30)</f>
        <v>20.545075662674201</v>
      </c>
      <c r="G31" s="33"/>
      <c r="H31" s="18"/>
      <c r="I31" s="18"/>
    </row>
    <row r="32" spans="1:9" x14ac:dyDescent="0.2">
      <c r="A32" s="27"/>
      <c r="B32" s="27"/>
      <c r="C32" s="27"/>
      <c r="D32" s="28"/>
      <c r="E32" s="29"/>
      <c r="F32" s="30"/>
      <c r="G32" s="29"/>
    </row>
    <row r="33" spans="1:9" x14ac:dyDescent="0.2">
      <c r="A33" s="26" t="s">
        <v>38</v>
      </c>
      <c r="B33" s="26"/>
      <c r="C33" s="26"/>
      <c r="D33" s="32"/>
      <c r="E33" s="33">
        <f>E23+E27+E31</f>
        <v>299087.56194500008</v>
      </c>
      <c r="F33" s="34">
        <f>F23+F27+F31</f>
        <v>99.625940134256808</v>
      </c>
      <c r="G33" s="33"/>
      <c r="H33" s="18"/>
      <c r="I33" s="18"/>
    </row>
    <row r="34" spans="1:9" x14ac:dyDescent="0.2">
      <c r="A34" s="26"/>
      <c r="B34" s="26"/>
      <c r="C34" s="26"/>
      <c r="D34" s="32"/>
      <c r="E34" s="33"/>
      <c r="F34" s="34"/>
      <c r="G34" s="33"/>
      <c r="H34" s="18"/>
      <c r="I34" s="18"/>
    </row>
    <row r="35" spans="1:9" x14ac:dyDescent="0.2">
      <c r="A35" s="26" t="s">
        <v>40</v>
      </c>
      <c r="B35" s="26"/>
      <c r="C35" s="26"/>
      <c r="D35" s="32"/>
      <c r="E35" s="33">
        <f>E37-(E23+E27+E31)</f>
        <v>1122.967101899907</v>
      </c>
      <c r="F35" s="34">
        <f>F37-(F23+F27+F31)</f>
        <v>0.37405986574319172</v>
      </c>
      <c r="G35" s="33"/>
      <c r="H35" s="18"/>
      <c r="I35" s="18"/>
    </row>
    <row r="36" spans="1:9" x14ac:dyDescent="0.2">
      <c r="A36" s="26"/>
      <c r="B36" s="26"/>
      <c r="C36" s="26"/>
      <c r="D36" s="32"/>
      <c r="E36" s="33"/>
      <c r="F36" s="34"/>
      <c r="G36" s="33"/>
      <c r="H36" s="18"/>
      <c r="I36" s="18"/>
    </row>
    <row r="37" spans="1:9" x14ac:dyDescent="0.2">
      <c r="A37" s="35" t="s">
        <v>39</v>
      </c>
      <c r="B37" s="35"/>
      <c r="C37" s="35"/>
      <c r="D37" s="36"/>
      <c r="E37" s="37">
        <v>300210.52904689999</v>
      </c>
      <c r="F37" s="38">
        <v>100</v>
      </c>
      <c r="G37" s="37"/>
      <c r="H37" s="18"/>
      <c r="I37" s="18"/>
    </row>
    <row r="39" spans="1:9" x14ac:dyDescent="0.2">
      <c r="A39" s="18" t="s">
        <v>41</v>
      </c>
    </row>
    <row r="40" spans="1:9" x14ac:dyDescent="0.2">
      <c r="A40" s="9" t="s">
        <v>1205</v>
      </c>
    </row>
    <row r="42" spans="1:9" x14ac:dyDescent="0.2">
      <c r="A42" s="18" t="s">
        <v>42</v>
      </c>
    </row>
    <row r="43" spans="1:9" x14ac:dyDescent="0.2">
      <c r="A43" s="18" t="s">
        <v>43</v>
      </c>
    </row>
    <row r="44" spans="1:9" x14ac:dyDescent="0.2">
      <c r="A44" s="18" t="s">
        <v>44</v>
      </c>
      <c r="B44" s="18"/>
      <c r="C44" s="39" t="s">
        <v>46</v>
      </c>
      <c r="D44" s="19" t="s">
        <v>45</v>
      </c>
    </row>
    <row r="45" spans="1:9" x14ac:dyDescent="0.2">
      <c r="A45" s="9" t="s">
        <v>862</v>
      </c>
      <c r="C45" s="40">
        <v>27.410599999999999</v>
      </c>
      <c r="D45" s="40">
        <v>28.249300000000002</v>
      </c>
    </row>
    <row r="46" spans="1:9" x14ac:dyDescent="0.2">
      <c r="A46" s="9" t="s">
        <v>863</v>
      </c>
      <c r="C46" s="40">
        <v>10.334300000000001</v>
      </c>
      <c r="D46" s="40">
        <v>10.650399999999999</v>
      </c>
    </row>
    <row r="47" spans="1:9" x14ac:dyDescent="0.2">
      <c r="A47" s="9" t="s">
        <v>1264</v>
      </c>
      <c r="C47" s="40">
        <v>10.419700000000001</v>
      </c>
      <c r="D47" s="40">
        <v>10.7385</v>
      </c>
    </row>
    <row r="48" spans="1:9" x14ac:dyDescent="0.2">
      <c r="A48" s="9" t="s">
        <v>1265</v>
      </c>
      <c r="C48" s="40">
        <v>28.110199999999999</v>
      </c>
      <c r="D48" s="40">
        <v>28.978100000000001</v>
      </c>
    </row>
    <row r="49" spans="1:5" x14ac:dyDescent="0.2">
      <c r="A49" s="9" t="s">
        <v>1266</v>
      </c>
      <c r="C49" s="40">
        <v>10.2948</v>
      </c>
      <c r="D49" s="40">
        <v>10.612500000000001</v>
      </c>
    </row>
    <row r="50" spans="1:5" x14ac:dyDescent="0.2">
      <c r="A50" s="9" t="s">
        <v>814</v>
      </c>
      <c r="C50" s="40">
        <v>29.051600000000001</v>
      </c>
      <c r="D50" s="40">
        <v>29.954000000000001</v>
      </c>
    </row>
    <row r="51" spans="1:5" x14ac:dyDescent="0.2">
      <c r="A51" s="9" t="s">
        <v>1267</v>
      </c>
      <c r="C51" s="40">
        <v>10.383699999999999</v>
      </c>
      <c r="D51" s="40">
        <v>10.706300000000001</v>
      </c>
    </row>
    <row r="52" spans="1:5" x14ac:dyDescent="0.2">
      <c r="A52" s="9" t="s">
        <v>816</v>
      </c>
      <c r="C52" s="40">
        <v>10.410600000000001</v>
      </c>
      <c r="D52" s="40">
        <v>10.734</v>
      </c>
    </row>
    <row r="53" spans="1:5" x14ac:dyDescent="0.2">
      <c r="A53" s="9" t="s">
        <v>1268</v>
      </c>
      <c r="C53" s="40">
        <v>29.225200000000001</v>
      </c>
      <c r="D53" s="40">
        <v>30.139900000000001</v>
      </c>
    </row>
    <row r="54" spans="1:5" x14ac:dyDescent="0.2">
      <c r="A54" s="9" t="s">
        <v>1269</v>
      </c>
      <c r="C54" s="40">
        <v>10.3729</v>
      </c>
      <c r="D54" s="40">
        <v>10.6975</v>
      </c>
    </row>
    <row r="55" spans="1:5" x14ac:dyDescent="0.2">
      <c r="A55" s="9" t="s">
        <v>1270</v>
      </c>
      <c r="C55" s="40">
        <v>10.411199999999999</v>
      </c>
      <c r="D55" s="40">
        <v>10.737</v>
      </c>
    </row>
    <row r="57" spans="1:5" x14ac:dyDescent="0.2">
      <c r="A57" s="9" t="s">
        <v>47</v>
      </c>
    </row>
    <row r="59" spans="1:5" x14ac:dyDescent="0.2">
      <c r="A59" s="18" t="s">
        <v>48</v>
      </c>
      <c r="D59" s="41" t="s">
        <v>49</v>
      </c>
    </row>
    <row r="61" spans="1:5" x14ac:dyDescent="0.2">
      <c r="A61" s="18" t="s">
        <v>824</v>
      </c>
      <c r="D61" s="42">
        <v>0.83270394454794505</v>
      </c>
      <c r="E61" s="13" t="s">
        <v>50</v>
      </c>
    </row>
    <row r="63" spans="1:5" x14ac:dyDescent="0.2">
      <c r="A63" s="18" t="s">
        <v>732</v>
      </c>
      <c r="D63" s="41" t="s">
        <v>49</v>
      </c>
    </row>
    <row r="65" spans="1:7" ht="26.25" customHeight="1" x14ac:dyDescent="0.2">
      <c r="A65" s="88" t="s">
        <v>1271</v>
      </c>
      <c r="B65" s="88"/>
      <c r="C65" s="88"/>
      <c r="D65" s="88"/>
      <c r="E65" s="88"/>
      <c r="F65" s="88"/>
      <c r="G65" s="88"/>
    </row>
    <row r="66" spans="1:7" x14ac:dyDescent="0.2">
      <c r="A66" s="63"/>
      <c r="B66" s="63"/>
      <c r="C66" s="63"/>
      <c r="D66" s="63"/>
      <c r="E66" s="63"/>
      <c r="F66" s="63"/>
      <c r="G66" s="63"/>
    </row>
    <row r="67" spans="1:7" ht="15" customHeight="1" x14ac:dyDescent="0.2">
      <c r="A67" s="79" t="s">
        <v>990</v>
      </c>
      <c r="B67" s="80"/>
      <c r="C67" s="80"/>
      <c r="D67" s="80"/>
      <c r="E67" s="80"/>
      <c r="F67" s="80"/>
      <c r="G67" s="80"/>
    </row>
    <row r="68" spans="1:7" x14ac:dyDescent="0.2">
      <c r="A68" s="47" t="s">
        <v>51</v>
      </c>
    </row>
    <row r="70" spans="1:7" x14ac:dyDescent="0.2">
      <c r="A70" s="18" t="s">
        <v>754</v>
      </c>
    </row>
  </sheetData>
  <mergeCells count="3">
    <mergeCell ref="A1:G1"/>
    <mergeCell ref="A65:G65"/>
    <mergeCell ref="A67:G67"/>
  </mergeCells>
  <conditionalFormatting sqref="F2:F3 F5:F64 F71:F65521">
    <cfRule type="cellIs" dxfId="61" priority="4" stopIfTrue="1" operator="between">
      <formula>0.009</formula>
      <formula>-0.009</formula>
    </cfRule>
  </conditionalFormatting>
  <conditionalFormatting sqref="F69:F70">
    <cfRule type="cellIs" dxfId="60" priority="3" stopIfTrue="1" operator="between">
      <formula>0.009</formula>
      <formula>-0.009</formula>
    </cfRule>
  </conditionalFormatting>
  <conditionalFormatting sqref="F68">
    <cfRule type="cellIs" dxfId="59" priority="1" stopIfTrue="1" operator="between">
      <formula>0.009</formula>
      <formula>-0.009</formula>
    </cfRule>
  </conditionalFormatting>
  <hyperlinks>
    <hyperlink ref="A68" r:id="rId1"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84"/>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5" t="s">
        <v>1272</v>
      </c>
      <c r="B1" s="76"/>
      <c r="C1" s="76"/>
      <c r="D1" s="76"/>
      <c r="E1" s="76"/>
      <c r="F1" s="76"/>
      <c r="G1" s="76"/>
      <c r="H1" s="76"/>
    </row>
    <row r="2" spans="1:8" s="1" customFormat="1" ht="12" x14ac:dyDescent="0.25">
      <c r="A2" s="59" t="s">
        <v>1151</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758</v>
      </c>
      <c r="D4" s="16" t="s">
        <v>1</v>
      </c>
      <c r="E4" s="15" t="s">
        <v>3</v>
      </c>
      <c r="F4" s="15" t="s">
        <v>4</v>
      </c>
      <c r="G4" s="15" t="s">
        <v>6</v>
      </c>
      <c r="H4" s="15" t="s">
        <v>1273</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951</v>
      </c>
      <c r="B7" s="27" t="s">
        <v>952</v>
      </c>
      <c r="C7" s="27" t="s">
        <v>953</v>
      </c>
      <c r="D7" s="31">
        <v>7118</v>
      </c>
      <c r="E7" s="29">
        <v>74038.019360000006</v>
      </c>
      <c r="F7" s="30">
        <v>17.222378491505498</v>
      </c>
      <c r="G7" s="29">
        <v>9.0327999999999999</v>
      </c>
      <c r="H7" s="30"/>
    </row>
    <row r="8" spans="1:8" x14ac:dyDescent="0.2">
      <c r="A8" s="27" t="s">
        <v>1174</v>
      </c>
      <c r="B8" s="27" t="s">
        <v>1168</v>
      </c>
      <c r="C8" s="27" t="s">
        <v>1169</v>
      </c>
      <c r="D8" s="31">
        <v>3100</v>
      </c>
      <c r="E8" s="29">
        <v>27661.269</v>
      </c>
      <c r="F8" s="30">
        <v>6.4344352859704701</v>
      </c>
      <c r="G8" s="29">
        <v>20.767700000000001</v>
      </c>
      <c r="H8" s="30"/>
    </row>
    <row r="9" spans="1:8" x14ac:dyDescent="0.2">
      <c r="A9" s="27" t="s">
        <v>1274</v>
      </c>
      <c r="B9" s="27" t="s">
        <v>1275</v>
      </c>
      <c r="C9" s="27" t="s">
        <v>1156</v>
      </c>
      <c r="D9" s="31">
        <v>11135</v>
      </c>
      <c r="E9" s="29">
        <v>24137.317230000001</v>
      </c>
      <c r="F9" s="30">
        <v>5.6147100732571298</v>
      </c>
      <c r="G9" s="29">
        <v>7.9934000000000003</v>
      </c>
      <c r="H9" s="30"/>
    </row>
    <row r="10" spans="1:8" x14ac:dyDescent="0.2">
      <c r="A10" s="27" t="s">
        <v>1276</v>
      </c>
      <c r="B10" s="27" t="s">
        <v>1277</v>
      </c>
      <c r="C10" s="27" t="s">
        <v>1156</v>
      </c>
      <c r="D10" s="31">
        <v>10675</v>
      </c>
      <c r="E10" s="29">
        <v>22932.675500000001</v>
      </c>
      <c r="F10" s="30">
        <v>5.3344919366826797</v>
      </c>
      <c r="G10" s="29">
        <v>7.5993000000000004</v>
      </c>
      <c r="H10" s="30"/>
    </row>
    <row r="11" spans="1:8" x14ac:dyDescent="0.2">
      <c r="A11" s="27" t="s">
        <v>1159</v>
      </c>
      <c r="B11" s="27" t="s">
        <v>1160</v>
      </c>
      <c r="C11" s="27" t="s">
        <v>1161</v>
      </c>
      <c r="D11" s="31">
        <v>2020</v>
      </c>
      <c r="E11" s="29">
        <v>19453.367600000001</v>
      </c>
      <c r="F11" s="30">
        <v>4.5251515726337299</v>
      </c>
      <c r="G11" s="29">
        <v>18.7758</v>
      </c>
      <c r="H11" s="30"/>
    </row>
    <row r="12" spans="1:8" x14ac:dyDescent="0.2">
      <c r="A12" s="27" t="s">
        <v>1232</v>
      </c>
      <c r="B12" s="27" t="s">
        <v>1233</v>
      </c>
      <c r="C12" s="27" t="s">
        <v>953</v>
      </c>
      <c r="D12" s="31">
        <v>1299</v>
      </c>
      <c r="E12" s="29">
        <v>13410.52527</v>
      </c>
      <c r="F12" s="30">
        <v>3.1194937947599799</v>
      </c>
      <c r="G12" s="29">
        <v>8.6433999999999997</v>
      </c>
      <c r="H12" s="30"/>
    </row>
    <row r="13" spans="1:8" x14ac:dyDescent="0.2">
      <c r="A13" s="27" t="s">
        <v>1177</v>
      </c>
      <c r="B13" s="27" t="s">
        <v>1178</v>
      </c>
      <c r="C13" s="27" t="s">
        <v>1156</v>
      </c>
      <c r="D13" s="31">
        <v>1349</v>
      </c>
      <c r="E13" s="29">
        <v>10222.1453</v>
      </c>
      <c r="F13" s="30">
        <v>2.3778277278832398</v>
      </c>
      <c r="G13" s="29">
        <v>7.5900999999999996</v>
      </c>
      <c r="H13" s="30"/>
    </row>
    <row r="14" spans="1:8" x14ac:dyDescent="0.2">
      <c r="A14" s="27" t="s">
        <v>1154</v>
      </c>
      <c r="B14" s="27" t="s">
        <v>1155</v>
      </c>
      <c r="C14" s="27" t="s">
        <v>1156</v>
      </c>
      <c r="D14" s="31">
        <v>879</v>
      </c>
      <c r="E14" s="29">
        <v>9010.2949800000006</v>
      </c>
      <c r="F14" s="30">
        <v>2.09593276274905</v>
      </c>
      <c r="G14" s="29">
        <v>8.2750000000000004</v>
      </c>
      <c r="H14" s="30"/>
    </row>
    <row r="15" spans="1:8" x14ac:dyDescent="0.2">
      <c r="A15" s="27" t="s">
        <v>1167</v>
      </c>
      <c r="B15" s="27" t="s">
        <v>1168</v>
      </c>
      <c r="C15" s="27" t="s">
        <v>1169</v>
      </c>
      <c r="D15" s="31">
        <v>1000</v>
      </c>
      <c r="E15" s="29">
        <v>8926.93</v>
      </c>
      <c r="F15" s="30">
        <v>2.0765407902069999</v>
      </c>
      <c r="G15" s="29">
        <v>20.718399999999999</v>
      </c>
      <c r="H15" s="30"/>
    </row>
    <row r="16" spans="1:8" x14ac:dyDescent="0.2">
      <c r="A16" s="27" t="s">
        <v>1240</v>
      </c>
      <c r="B16" s="27" t="s">
        <v>1241</v>
      </c>
      <c r="C16" s="27" t="s">
        <v>1156</v>
      </c>
      <c r="D16" s="31">
        <v>822</v>
      </c>
      <c r="E16" s="29">
        <v>8488.0131000000001</v>
      </c>
      <c r="F16" s="30">
        <v>1.9744419895710399</v>
      </c>
      <c r="G16" s="29">
        <v>8.8199000000000005</v>
      </c>
      <c r="H16" s="30"/>
    </row>
    <row r="17" spans="1:8" x14ac:dyDescent="0.2">
      <c r="A17" s="27" t="s">
        <v>1238</v>
      </c>
      <c r="B17" s="27" t="s">
        <v>1239</v>
      </c>
      <c r="C17" s="27" t="s">
        <v>1156</v>
      </c>
      <c r="D17" s="31">
        <v>812</v>
      </c>
      <c r="E17" s="29">
        <v>8385.1586000000007</v>
      </c>
      <c r="F17" s="30">
        <v>1.9505164558538099</v>
      </c>
      <c r="G17" s="29">
        <v>9.2850000000000001</v>
      </c>
      <c r="H17" s="30"/>
    </row>
    <row r="18" spans="1:8" x14ac:dyDescent="0.2">
      <c r="A18" s="27" t="s">
        <v>1278</v>
      </c>
      <c r="B18" s="27" t="s">
        <v>1279</v>
      </c>
      <c r="C18" s="27" t="s">
        <v>1164</v>
      </c>
      <c r="D18" s="31">
        <v>750</v>
      </c>
      <c r="E18" s="29">
        <v>7523.9849999999997</v>
      </c>
      <c r="F18" s="30">
        <v>1.7501942725444899</v>
      </c>
      <c r="G18" s="29">
        <v>7.6231</v>
      </c>
      <c r="H18" s="30"/>
    </row>
    <row r="19" spans="1:8" x14ac:dyDescent="0.2">
      <c r="A19" s="27" t="s">
        <v>1280</v>
      </c>
      <c r="B19" s="27" t="s">
        <v>1281</v>
      </c>
      <c r="C19" s="27" t="s">
        <v>1282</v>
      </c>
      <c r="D19" s="31">
        <v>690</v>
      </c>
      <c r="E19" s="29">
        <v>6810.3344999999999</v>
      </c>
      <c r="F19" s="30">
        <v>1.58418822419398</v>
      </c>
      <c r="G19" s="29">
        <v>11.7501</v>
      </c>
      <c r="H19" s="30"/>
    </row>
    <row r="20" spans="1:8" x14ac:dyDescent="0.2">
      <c r="A20" s="27" t="s">
        <v>1175</v>
      </c>
      <c r="B20" s="27" t="s">
        <v>1176</v>
      </c>
      <c r="C20" s="27" t="s">
        <v>33</v>
      </c>
      <c r="D20" s="31">
        <v>550</v>
      </c>
      <c r="E20" s="29">
        <v>5867.4660000000003</v>
      </c>
      <c r="F20" s="30">
        <v>1.36486255455713</v>
      </c>
      <c r="G20" s="29">
        <v>9.1882000000000001</v>
      </c>
      <c r="H20" s="30"/>
    </row>
    <row r="21" spans="1:8" x14ac:dyDescent="0.2">
      <c r="A21" s="27" t="s">
        <v>1181</v>
      </c>
      <c r="B21" s="27" t="s">
        <v>1182</v>
      </c>
      <c r="C21" s="27" t="s">
        <v>1164</v>
      </c>
      <c r="D21" s="31">
        <v>612</v>
      </c>
      <c r="E21" s="29">
        <v>4953.1559040000002</v>
      </c>
      <c r="F21" s="30">
        <v>1.1521800075625801</v>
      </c>
      <c r="G21" s="29">
        <v>8.4148999999999994</v>
      </c>
      <c r="H21" s="30"/>
    </row>
    <row r="22" spans="1:8" x14ac:dyDescent="0.2">
      <c r="A22" s="27" t="s">
        <v>1283</v>
      </c>
      <c r="B22" s="27" t="s">
        <v>1284</v>
      </c>
      <c r="C22" s="27" t="s">
        <v>1156</v>
      </c>
      <c r="D22" s="31">
        <v>2125</v>
      </c>
      <c r="E22" s="29">
        <v>4633.6559999999999</v>
      </c>
      <c r="F22" s="30">
        <v>1.0778594311580101</v>
      </c>
      <c r="G22" s="29">
        <v>8.2899999999999991</v>
      </c>
      <c r="H22" s="30"/>
    </row>
    <row r="23" spans="1:8" x14ac:dyDescent="0.2">
      <c r="A23" s="27" t="s">
        <v>1252</v>
      </c>
      <c r="B23" s="27" t="s">
        <v>1253</v>
      </c>
      <c r="C23" s="27" t="s">
        <v>1164</v>
      </c>
      <c r="D23" s="31">
        <v>250</v>
      </c>
      <c r="E23" s="29">
        <v>2504.4575</v>
      </c>
      <c r="F23" s="30">
        <v>0.58257521410942503</v>
      </c>
      <c r="G23" s="29">
        <v>6.2009999999999996</v>
      </c>
      <c r="H23" s="30"/>
    </row>
    <row r="24" spans="1:8" x14ac:dyDescent="0.2">
      <c r="A24" s="27" t="s">
        <v>1224</v>
      </c>
      <c r="B24" s="27" t="s">
        <v>1225</v>
      </c>
      <c r="C24" s="27" t="s">
        <v>1015</v>
      </c>
      <c r="D24" s="31">
        <v>197</v>
      </c>
      <c r="E24" s="29">
        <v>2001.34467</v>
      </c>
      <c r="F24" s="30">
        <v>0.465543455870985</v>
      </c>
      <c r="G24" s="29">
        <v>9.7299000000000007</v>
      </c>
      <c r="H24" s="30"/>
    </row>
    <row r="25" spans="1:8" x14ac:dyDescent="0.2">
      <c r="A25" s="27" t="s">
        <v>1236</v>
      </c>
      <c r="B25" s="27" t="s">
        <v>1237</v>
      </c>
      <c r="C25" s="27" t="s">
        <v>1156</v>
      </c>
      <c r="D25" s="31">
        <v>350</v>
      </c>
      <c r="E25" s="29">
        <v>1761.165</v>
      </c>
      <c r="F25" s="30">
        <v>0.409673982072774</v>
      </c>
      <c r="G25" s="29">
        <v>7.4249999999999998</v>
      </c>
      <c r="H25" s="30"/>
    </row>
    <row r="26" spans="1:8" x14ac:dyDescent="0.2">
      <c r="A26" s="27" t="s">
        <v>1179</v>
      </c>
      <c r="B26" s="27" t="s">
        <v>1180</v>
      </c>
      <c r="C26" s="27" t="s">
        <v>33</v>
      </c>
      <c r="D26" s="31">
        <v>149</v>
      </c>
      <c r="E26" s="29">
        <v>1527.4139</v>
      </c>
      <c r="F26" s="30">
        <v>0.35529989222265201</v>
      </c>
      <c r="G26" s="29">
        <v>7.9874999999999998</v>
      </c>
      <c r="H26" s="30"/>
    </row>
    <row r="27" spans="1:8" x14ac:dyDescent="0.2">
      <c r="A27" s="27" t="s">
        <v>1285</v>
      </c>
      <c r="B27" s="27" t="s">
        <v>1286</v>
      </c>
      <c r="C27" s="27" t="s">
        <v>1169</v>
      </c>
      <c r="D27" s="31">
        <v>1400</v>
      </c>
      <c r="E27" s="29">
        <v>1426.6</v>
      </c>
      <c r="F27" s="30">
        <v>0.33184903335293398</v>
      </c>
      <c r="G27" s="29">
        <v>9.6161999999999992</v>
      </c>
      <c r="H27" s="30">
        <v>5.6531905150499995</v>
      </c>
    </row>
    <row r="28" spans="1:8" x14ac:dyDescent="0.2">
      <c r="A28" s="27" t="s">
        <v>1287</v>
      </c>
      <c r="B28" s="27" t="s">
        <v>1288</v>
      </c>
      <c r="C28" s="27" t="s">
        <v>1289</v>
      </c>
      <c r="D28" s="31">
        <v>108</v>
      </c>
      <c r="E28" s="29">
        <v>1075.8484800000001</v>
      </c>
      <c r="F28" s="30">
        <v>0.25025885190118002</v>
      </c>
      <c r="G28" s="29">
        <v>10.9613</v>
      </c>
      <c r="H28" s="30">
        <v>11.275203501</v>
      </c>
    </row>
    <row r="29" spans="1:8" x14ac:dyDescent="0.2">
      <c r="A29" s="27" t="s">
        <v>1258</v>
      </c>
      <c r="B29" s="27" t="s">
        <v>1259</v>
      </c>
      <c r="C29" s="27" t="s">
        <v>1190</v>
      </c>
      <c r="D29" s="31">
        <v>100</v>
      </c>
      <c r="E29" s="29">
        <v>1001.5309999999999</v>
      </c>
      <c r="F29" s="30">
        <v>0.232971466579978</v>
      </c>
      <c r="G29" s="29">
        <v>14.14</v>
      </c>
      <c r="H29" s="30"/>
    </row>
    <row r="30" spans="1:8" x14ac:dyDescent="0.2">
      <c r="A30" s="27" t="s">
        <v>1234</v>
      </c>
      <c r="B30" s="27" t="s">
        <v>1235</v>
      </c>
      <c r="C30" s="27" t="s">
        <v>1015</v>
      </c>
      <c r="D30" s="31">
        <v>50</v>
      </c>
      <c r="E30" s="29">
        <v>503.03300000000002</v>
      </c>
      <c r="F30" s="30">
        <v>0.117013188556446</v>
      </c>
      <c r="G30" s="29">
        <v>6.5640999999999998</v>
      </c>
      <c r="H30" s="30"/>
    </row>
    <row r="31" spans="1:8" x14ac:dyDescent="0.2">
      <c r="A31" s="27" t="s">
        <v>945</v>
      </c>
      <c r="B31" s="27" t="s">
        <v>946</v>
      </c>
      <c r="C31" s="27" t="s">
        <v>34</v>
      </c>
      <c r="D31" s="31">
        <v>12</v>
      </c>
      <c r="E31" s="29">
        <v>120.72636</v>
      </c>
      <c r="F31" s="30">
        <v>2.80828023736284E-2</v>
      </c>
      <c r="G31" s="29">
        <v>3.5102000000000002</v>
      </c>
      <c r="H31" s="30"/>
    </row>
    <row r="32" spans="1:8" x14ac:dyDescent="0.2">
      <c r="A32" s="27" t="s">
        <v>1091</v>
      </c>
      <c r="B32" s="27" t="s">
        <v>1092</v>
      </c>
      <c r="C32" s="27" t="s">
        <v>34</v>
      </c>
      <c r="D32" s="31">
        <v>12</v>
      </c>
      <c r="E32" s="29">
        <v>120.54671999999999</v>
      </c>
      <c r="F32" s="30">
        <v>2.80410153552971E-2</v>
      </c>
      <c r="G32" s="29">
        <v>3.5449000000000002</v>
      </c>
      <c r="H32" s="30"/>
    </row>
    <row r="33" spans="1:9" x14ac:dyDescent="0.2">
      <c r="A33" s="26" t="s">
        <v>35</v>
      </c>
      <c r="B33" s="26"/>
      <c r="C33" s="26"/>
      <c r="D33" s="32"/>
      <c r="E33" s="33">
        <f>SUM(E6:E32)</f>
        <v>268496.9799739999</v>
      </c>
      <c r="F33" s="34">
        <f>SUM(F6:F32)</f>
        <v>62.456514273485126</v>
      </c>
      <c r="G33" s="33"/>
      <c r="H33" s="30"/>
      <c r="I33" s="18"/>
    </row>
    <row r="34" spans="1:9" x14ac:dyDescent="0.2">
      <c r="A34" s="27"/>
      <c r="B34" s="27"/>
      <c r="C34" s="27"/>
      <c r="D34" s="28"/>
      <c r="E34" s="29"/>
      <c r="F34" s="30"/>
      <c r="G34" s="29"/>
      <c r="H34" s="30"/>
    </row>
    <row r="35" spans="1:9" x14ac:dyDescent="0.2">
      <c r="A35" s="26" t="s">
        <v>36</v>
      </c>
      <c r="B35" s="27"/>
      <c r="C35" s="27"/>
      <c r="D35" s="28"/>
      <c r="E35" s="29"/>
      <c r="F35" s="30"/>
      <c r="G35" s="29"/>
      <c r="H35" s="30"/>
    </row>
    <row r="36" spans="1:9" x14ac:dyDescent="0.2">
      <c r="A36" s="27" t="s">
        <v>1188</v>
      </c>
      <c r="B36" s="27" t="s">
        <v>1189</v>
      </c>
      <c r="C36" s="27" t="s">
        <v>1190</v>
      </c>
      <c r="D36" s="31">
        <v>2560</v>
      </c>
      <c r="E36" s="29">
        <v>25062.0416</v>
      </c>
      <c r="F36" s="30">
        <v>5.8298151400610001</v>
      </c>
      <c r="G36" s="29">
        <v>11.475</v>
      </c>
      <c r="H36" s="30"/>
    </row>
    <row r="37" spans="1:9" x14ac:dyDescent="0.2">
      <c r="A37" s="27" t="s">
        <v>1242</v>
      </c>
      <c r="B37" s="27" t="s">
        <v>1243</v>
      </c>
      <c r="C37" s="27" t="s">
        <v>1187</v>
      </c>
      <c r="D37" s="31">
        <v>1660</v>
      </c>
      <c r="E37" s="29">
        <v>13790.81883</v>
      </c>
      <c r="F37" s="30">
        <v>3.2079559076692399</v>
      </c>
      <c r="G37" s="29">
        <v>10.9999</v>
      </c>
      <c r="H37" s="30"/>
    </row>
    <row r="38" spans="1:9" x14ac:dyDescent="0.2">
      <c r="A38" s="27" t="s">
        <v>1191</v>
      </c>
      <c r="B38" s="27" t="s">
        <v>1192</v>
      </c>
      <c r="C38" s="27" t="s">
        <v>1187</v>
      </c>
      <c r="D38" s="31">
        <v>1280</v>
      </c>
      <c r="E38" s="29">
        <v>10905.595439999999</v>
      </c>
      <c r="F38" s="30">
        <v>2.5368087094505598</v>
      </c>
      <c r="G38" s="29">
        <v>10.997999999999999</v>
      </c>
      <c r="H38" s="30"/>
    </row>
    <row r="39" spans="1:9" x14ac:dyDescent="0.2">
      <c r="A39" s="27" t="s">
        <v>1185</v>
      </c>
      <c r="B39" s="27" t="s">
        <v>1186</v>
      </c>
      <c r="C39" s="27" t="s">
        <v>1187</v>
      </c>
      <c r="D39" s="31">
        <v>385</v>
      </c>
      <c r="E39" s="29">
        <v>3463.0380610000002</v>
      </c>
      <c r="F39" s="30">
        <v>0.80555575004014301</v>
      </c>
      <c r="G39" s="29">
        <v>11</v>
      </c>
      <c r="H39" s="34"/>
    </row>
    <row r="40" spans="1:9" x14ac:dyDescent="0.2">
      <c r="A40" s="27" t="s">
        <v>1290</v>
      </c>
      <c r="B40" s="27" t="s">
        <v>1291</v>
      </c>
      <c r="C40" s="27" t="s">
        <v>1282</v>
      </c>
      <c r="D40" s="31">
        <v>300</v>
      </c>
      <c r="E40" s="29">
        <v>2968.7069999999999</v>
      </c>
      <c r="F40" s="30">
        <v>0.690566765917628</v>
      </c>
      <c r="G40" s="29">
        <v>12.264799999999999</v>
      </c>
      <c r="H40" s="30"/>
    </row>
    <row r="41" spans="1:9" x14ac:dyDescent="0.2">
      <c r="A41" s="27" t="s">
        <v>1193</v>
      </c>
      <c r="B41" s="27" t="s">
        <v>1194</v>
      </c>
      <c r="C41" s="27" t="s">
        <v>1187</v>
      </c>
      <c r="D41" s="31">
        <v>150</v>
      </c>
      <c r="E41" s="29">
        <v>1320.29835</v>
      </c>
      <c r="F41" s="30">
        <v>0.30712163969225698</v>
      </c>
      <c r="G41" s="29">
        <v>11</v>
      </c>
      <c r="H41" s="30"/>
    </row>
    <row r="42" spans="1:9" x14ac:dyDescent="0.2">
      <c r="A42" s="27" t="s">
        <v>1101</v>
      </c>
      <c r="B42" s="27" t="s">
        <v>1102</v>
      </c>
      <c r="C42" s="27" t="s">
        <v>34</v>
      </c>
      <c r="D42" s="31">
        <v>13</v>
      </c>
      <c r="E42" s="29">
        <v>131.21835999999999</v>
      </c>
      <c r="F42" s="30">
        <v>3.0523402442280401E-2</v>
      </c>
      <c r="G42" s="29">
        <v>4.22</v>
      </c>
      <c r="H42" s="30"/>
    </row>
    <row r="43" spans="1:9" x14ac:dyDescent="0.2">
      <c r="A43" s="27" t="s">
        <v>1200</v>
      </c>
      <c r="B43" s="27" t="s">
        <v>1201</v>
      </c>
      <c r="C43" s="27" t="s">
        <v>1197</v>
      </c>
      <c r="D43" s="31">
        <v>1000</v>
      </c>
      <c r="E43" s="29">
        <v>0</v>
      </c>
      <c r="F43" s="29">
        <v>0</v>
      </c>
      <c r="G43" s="29">
        <v>0</v>
      </c>
      <c r="H43" s="30"/>
    </row>
    <row r="44" spans="1:9" x14ac:dyDescent="0.2">
      <c r="A44" s="27" t="s">
        <v>1292</v>
      </c>
      <c r="B44" s="27" t="s">
        <v>1293</v>
      </c>
      <c r="C44" s="27" t="s">
        <v>1197</v>
      </c>
      <c r="D44" s="31">
        <v>800</v>
      </c>
      <c r="E44" s="29">
        <v>0</v>
      </c>
      <c r="F44" s="29">
        <v>0</v>
      </c>
      <c r="G44" s="29">
        <v>0</v>
      </c>
      <c r="H44" s="30"/>
    </row>
    <row r="45" spans="1:9" x14ac:dyDescent="0.2">
      <c r="A45" s="27" t="s">
        <v>1294</v>
      </c>
      <c r="B45" s="27" t="s">
        <v>1295</v>
      </c>
      <c r="C45" s="27" t="s">
        <v>1197</v>
      </c>
      <c r="D45" s="31">
        <v>600</v>
      </c>
      <c r="E45" s="29">
        <v>0</v>
      </c>
      <c r="F45" s="29">
        <v>0</v>
      </c>
      <c r="G45" s="29">
        <v>0</v>
      </c>
      <c r="H45" s="30"/>
    </row>
    <row r="46" spans="1:9" x14ac:dyDescent="0.2">
      <c r="A46" s="27" t="s">
        <v>1296</v>
      </c>
      <c r="B46" s="27" t="s">
        <v>1297</v>
      </c>
      <c r="C46" s="27" t="s">
        <v>1197</v>
      </c>
      <c r="D46" s="31">
        <v>500</v>
      </c>
      <c r="E46" s="29">
        <v>0</v>
      </c>
      <c r="F46" s="29">
        <v>0</v>
      </c>
      <c r="G46" s="29">
        <v>0</v>
      </c>
      <c r="H46" s="30"/>
    </row>
    <row r="47" spans="1:9" x14ac:dyDescent="0.2">
      <c r="A47" s="27" t="s">
        <v>1298</v>
      </c>
      <c r="B47" s="27" t="s">
        <v>1299</v>
      </c>
      <c r="C47" s="27" t="s">
        <v>1197</v>
      </c>
      <c r="D47" s="31">
        <v>375</v>
      </c>
      <c r="E47" s="29">
        <v>0</v>
      </c>
      <c r="F47" s="29">
        <v>0</v>
      </c>
      <c r="G47" s="29">
        <v>0</v>
      </c>
      <c r="H47" s="30"/>
    </row>
    <row r="48" spans="1:9" x14ac:dyDescent="0.2">
      <c r="A48" s="27" t="s">
        <v>1300</v>
      </c>
      <c r="B48" s="27" t="s">
        <v>1301</v>
      </c>
      <c r="C48" s="27" t="s">
        <v>1197</v>
      </c>
      <c r="D48" s="31">
        <v>350</v>
      </c>
      <c r="E48" s="29">
        <v>0</v>
      </c>
      <c r="F48" s="29">
        <v>0</v>
      </c>
      <c r="G48" s="29">
        <v>0</v>
      </c>
      <c r="H48" s="30"/>
    </row>
    <row r="49" spans="1:9" x14ac:dyDescent="0.2">
      <c r="A49" s="27" t="s">
        <v>1302</v>
      </c>
      <c r="B49" s="27" t="s">
        <v>1303</v>
      </c>
      <c r="C49" s="27" t="s">
        <v>1197</v>
      </c>
      <c r="D49" s="31">
        <v>300</v>
      </c>
      <c r="E49" s="29">
        <v>0</v>
      </c>
      <c r="F49" s="29">
        <v>0</v>
      </c>
      <c r="G49" s="29">
        <v>0</v>
      </c>
      <c r="H49" s="30"/>
    </row>
    <row r="50" spans="1:9" x14ac:dyDescent="0.2">
      <c r="A50" s="27" t="s">
        <v>1304</v>
      </c>
      <c r="B50" s="27" t="s">
        <v>1305</v>
      </c>
      <c r="C50" s="27" t="s">
        <v>1197</v>
      </c>
      <c r="D50" s="31">
        <v>200</v>
      </c>
      <c r="E50" s="29">
        <v>0</v>
      </c>
      <c r="F50" s="29">
        <v>0</v>
      </c>
      <c r="G50" s="29">
        <v>0</v>
      </c>
      <c r="H50" s="30"/>
    </row>
    <row r="51" spans="1:9" x14ac:dyDescent="0.2">
      <c r="A51" s="26" t="s">
        <v>35</v>
      </c>
      <c r="B51" s="26"/>
      <c r="C51" s="26"/>
      <c r="D51" s="32"/>
      <c r="E51" s="33">
        <f>SUM(E35:E50)</f>
        <v>57641.717640999996</v>
      </c>
      <c r="F51" s="34">
        <f>SUM(F35:F50)</f>
        <v>13.40834731527311</v>
      </c>
      <c r="G51" s="33"/>
      <c r="H51" s="30"/>
      <c r="I51" s="18"/>
    </row>
    <row r="52" spans="1:9" x14ac:dyDescent="0.2">
      <c r="A52" s="27"/>
      <c r="B52" s="27"/>
      <c r="C52" s="27"/>
      <c r="D52" s="28"/>
      <c r="E52" s="29"/>
      <c r="F52" s="30"/>
      <c r="G52" s="29"/>
      <c r="H52" s="29"/>
    </row>
    <row r="53" spans="1:9" x14ac:dyDescent="0.2">
      <c r="A53" s="26" t="s">
        <v>37</v>
      </c>
      <c r="B53" s="27"/>
      <c r="C53" s="27"/>
      <c r="D53" s="28"/>
      <c r="E53" s="29"/>
      <c r="F53" s="30"/>
      <c r="G53" s="29"/>
      <c r="H53" s="29"/>
    </row>
    <row r="54" spans="1:9" x14ac:dyDescent="0.2">
      <c r="A54" s="27" t="s">
        <v>1202</v>
      </c>
      <c r="B54" s="27" t="s">
        <v>1203</v>
      </c>
      <c r="C54" s="27" t="s">
        <v>1204</v>
      </c>
      <c r="D54" s="31">
        <v>2850198.085</v>
      </c>
      <c r="E54" s="29">
        <v>96037.601190000001</v>
      </c>
      <c r="F54" s="30">
        <v>22.339818533881999</v>
      </c>
      <c r="G54" s="29">
        <v>3.1816</v>
      </c>
      <c r="H54" s="29"/>
    </row>
    <row r="55" spans="1:9" x14ac:dyDescent="0.2">
      <c r="A55" s="26" t="s">
        <v>35</v>
      </c>
      <c r="B55" s="26"/>
      <c r="C55" s="26"/>
      <c r="D55" s="32"/>
      <c r="E55" s="33">
        <f>SUM(E54:E54)</f>
        <v>96037.601190000001</v>
      </c>
      <c r="F55" s="34">
        <f>SUM(F54:F54)</f>
        <v>22.339818533881999</v>
      </c>
      <c r="G55" s="33"/>
      <c r="H55" s="29"/>
      <c r="I55" s="18"/>
    </row>
    <row r="56" spans="1:9" x14ac:dyDescent="0.2">
      <c r="A56" s="27"/>
      <c r="B56" s="27"/>
      <c r="C56" s="27"/>
      <c r="D56" s="28"/>
      <c r="E56" s="29"/>
      <c r="F56" s="30"/>
      <c r="G56" s="29"/>
      <c r="H56" s="29"/>
    </row>
    <row r="57" spans="1:9" x14ac:dyDescent="0.2">
      <c r="A57" s="26" t="s">
        <v>38</v>
      </c>
      <c r="B57" s="26"/>
      <c r="C57" s="26"/>
      <c r="D57" s="32"/>
      <c r="E57" s="33">
        <f>E33+E51+E55</f>
        <v>422176.29880499991</v>
      </c>
      <c r="F57" s="34">
        <f>F33+F51+F55</f>
        <v>98.204680122640227</v>
      </c>
      <c r="G57" s="33"/>
      <c r="H57" s="29"/>
      <c r="I57" s="18"/>
    </row>
    <row r="58" spans="1:9" x14ac:dyDescent="0.2">
      <c r="A58" s="26"/>
      <c r="B58" s="26"/>
      <c r="C58" s="26"/>
      <c r="D58" s="32"/>
      <c r="E58" s="33"/>
      <c r="F58" s="34"/>
      <c r="G58" s="33"/>
      <c r="H58" s="29"/>
      <c r="I58" s="18"/>
    </row>
    <row r="59" spans="1:9" x14ac:dyDescent="0.2">
      <c r="A59" s="26" t="s">
        <v>40</v>
      </c>
      <c r="B59" s="26"/>
      <c r="C59" s="26"/>
      <c r="D59" s="32"/>
      <c r="E59" s="33">
        <f>E61-(E33+E51+E55)</f>
        <v>7717.9773922000895</v>
      </c>
      <c r="F59" s="34">
        <f>F61-(F33+F51+F55)</f>
        <v>1.7953198773597734</v>
      </c>
      <c r="G59" s="33"/>
      <c r="H59" s="29"/>
      <c r="I59" s="18"/>
    </row>
    <row r="60" spans="1:9" x14ac:dyDescent="0.2">
      <c r="A60" s="26"/>
      <c r="B60" s="26"/>
      <c r="C60" s="26"/>
      <c r="D60" s="32"/>
      <c r="E60" s="33"/>
      <c r="F60" s="34"/>
      <c r="G60" s="33"/>
      <c r="H60" s="34"/>
      <c r="I60" s="18"/>
    </row>
    <row r="61" spans="1:9" x14ac:dyDescent="0.2">
      <c r="A61" s="35" t="s">
        <v>39</v>
      </c>
      <c r="B61" s="35"/>
      <c r="C61" s="35"/>
      <c r="D61" s="36"/>
      <c r="E61" s="37">
        <v>429894.2761972</v>
      </c>
      <c r="F61" s="38">
        <v>100</v>
      </c>
      <c r="G61" s="37"/>
      <c r="H61" s="37"/>
      <c r="I61" s="18"/>
    </row>
    <row r="62" spans="1:9" x14ac:dyDescent="0.2">
      <c r="H62" s="14"/>
    </row>
    <row r="63" spans="1:9" x14ac:dyDescent="0.2">
      <c r="A63" s="18" t="s">
        <v>41</v>
      </c>
      <c r="H63" s="14"/>
    </row>
    <row r="64" spans="1:9" x14ac:dyDescent="0.2">
      <c r="A64" s="18" t="s">
        <v>1216</v>
      </c>
      <c r="H64" s="14"/>
    </row>
    <row r="65" spans="1:8" x14ac:dyDescent="0.2">
      <c r="A65" s="18" t="s">
        <v>1306</v>
      </c>
      <c r="H65" s="14"/>
    </row>
    <row r="66" spans="1:8" x14ac:dyDescent="0.2">
      <c r="H66" s="14"/>
    </row>
    <row r="67" spans="1:8" x14ac:dyDescent="0.2">
      <c r="A67" s="18" t="s">
        <v>42</v>
      </c>
      <c r="H67" s="14"/>
    </row>
    <row r="68" spans="1:8" x14ac:dyDescent="0.2">
      <c r="A68" s="18" t="s">
        <v>43</v>
      </c>
      <c r="H68" s="14"/>
    </row>
    <row r="69" spans="1:8" x14ac:dyDescent="0.2">
      <c r="A69" s="18" t="s">
        <v>44</v>
      </c>
      <c r="B69" s="18"/>
      <c r="C69" s="39" t="s">
        <v>46</v>
      </c>
      <c r="D69" s="19" t="s">
        <v>45</v>
      </c>
      <c r="H69" s="14"/>
    </row>
    <row r="70" spans="1:8" x14ac:dyDescent="0.2">
      <c r="A70" s="9" t="s">
        <v>862</v>
      </c>
      <c r="C70" s="40">
        <v>3770.1226000000001</v>
      </c>
      <c r="D70" s="40">
        <v>4096.7997999999998</v>
      </c>
      <c r="H70" s="14"/>
    </row>
    <row r="71" spans="1:8" x14ac:dyDescent="0.2">
      <c r="A71" s="9" t="s">
        <v>1264</v>
      </c>
      <c r="C71" s="40">
        <v>952.87810000000002</v>
      </c>
      <c r="D71" s="40">
        <v>1035.4429</v>
      </c>
      <c r="H71" s="14"/>
    </row>
    <row r="72" spans="1:8" x14ac:dyDescent="0.2">
      <c r="A72" s="9" t="s">
        <v>864</v>
      </c>
      <c r="C72" s="40">
        <v>1052.0243</v>
      </c>
      <c r="D72" s="40">
        <v>1143.1801</v>
      </c>
      <c r="H72" s="14"/>
    </row>
    <row r="73" spans="1:8" x14ac:dyDescent="0.2">
      <c r="A73" s="9" t="s">
        <v>865</v>
      </c>
      <c r="C73" s="40">
        <v>1094.4304</v>
      </c>
      <c r="D73" s="40">
        <v>1189.2605000000001</v>
      </c>
    </row>
    <row r="74" spans="1:8" x14ac:dyDescent="0.2">
      <c r="A74" s="9" t="s">
        <v>1265</v>
      </c>
      <c r="C74" s="40">
        <v>3123.4020999999998</v>
      </c>
      <c r="D74" s="40">
        <v>3394.2132000000001</v>
      </c>
    </row>
    <row r="75" spans="1:8" x14ac:dyDescent="0.2">
      <c r="A75" s="9" t="s">
        <v>866</v>
      </c>
      <c r="C75" s="40">
        <v>4007.0025999999998</v>
      </c>
      <c r="D75" s="40">
        <v>4361.6823000000004</v>
      </c>
    </row>
    <row r="76" spans="1:8" x14ac:dyDescent="0.2">
      <c r="A76" s="9" t="s">
        <v>1307</v>
      </c>
      <c r="C76" s="40">
        <v>961.56780000000003</v>
      </c>
      <c r="D76" s="40">
        <v>1046.6802</v>
      </c>
    </row>
    <row r="77" spans="1:8" x14ac:dyDescent="0.2">
      <c r="A77" s="9" t="s">
        <v>868</v>
      </c>
      <c r="C77" s="40">
        <v>1136.3212000000001</v>
      </c>
      <c r="D77" s="40">
        <v>1236.902</v>
      </c>
    </row>
    <row r="78" spans="1:8" x14ac:dyDescent="0.2">
      <c r="A78" s="9" t="s">
        <v>869</v>
      </c>
      <c r="C78" s="40">
        <v>1183.7302</v>
      </c>
      <c r="D78" s="40">
        <v>1288.5074</v>
      </c>
    </row>
    <row r="80" spans="1:8" x14ac:dyDescent="0.2">
      <c r="A80" s="9" t="s">
        <v>47</v>
      </c>
    </row>
    <row r="82" spans="1:7" x14ac:dyDescent="0.2">
      <c r="A82" s="18" t="s">
        <v>48</v>
      </c>
      <c r="D82" s="41" t="s">
        <v>49</v>
      </c>
    </row>
    <row r="84" spans="1:7" x14ac:dyDescent="0.2">
      <c r="A84" s="18" t="s">
        <v>824</v>
      </c>
      <c r="D84" s="42">
        <v>2.4543720768493156</v>
      </c>
      <c r="E84" s="13" t="s">
        <v>50</v>
      </c>
    </row>
    <row r="86" spans="1:7" x14ac:dyDescent="0.2">
      <c r="A86" s="18" t="s">
        <v>732</v>
      </c>
      <c r="D86" s="41" t="s">
        <v>49</v>
      </c>
    </row>
    <row r="87" spans="1:7" x14ac:dyDescent="0.2">
      <c r="A87" s="9" t="s">
        <v>733</v>
      </c>
    </row>
    <row r="88" spans="1:7" x14ac:dyDescent="0.2">
      <c r="A88" s="47" t="s">
        <v>734</v>
      </c>
    </row>
    <row r="90" spans="1:7" ht="26.25" customHeight="1" x14ac:dyDescent="0.2">
      <c r="A90" s="84" t="s">
        <v>1308</v>
      </c>
      <c r="B90" s="84"/>
      <c r="C90" s="84"/>
      <c r="D90" s="84"/>
      <c r="E90" s="84"/>
      <c r="F90" s="84"/>
      <c r="G90" s="84"/>
    </row>
    <row r="92" spans="1:7" x14ac:dyDescent="0.2">
      <c r="A92" s="18" t="s">
        <v>1309</v>
      </c>
    </row>
    <row r="93" spans="1:7" x14ac:dyDescent="0.2">
      <c r="A93" s="56" t="s">
        <v>989</v>
      </c>
    </row>
    <row r="95" spans="1:7" ht="71.25" customHeight="1" x14ac:dyDescent="0.2">
      <c r="A95" s="85" t="s">
        <v>1310</v>
      </c>
      <c r="B95" s="85"/>
      <c r="C95" s="85"/>
      <c r="D95" s="85"/>
      <c r="E95" s="85"/>
      <c r="F95" s="85"/>
      <c r="G95" s="85"/>
    </row>
    <row r="97" spans="1:7" ht="34.5" customHeight="1" x14ac:dyDescent="0.2">
      <c r="A97" s="85" t="s">
        <v>1311</v>
      </c>
      <c r="B97" s="85"/>
      <c r="C97" s="85"/>
      <c r="D97" s="85"/>
      <c r="E97" s="85"/>
      <c r="F97" s="85"/>
      <c r="G97" s="85"/>
    </row>
    <row r="98" spans="1:7" x14ac:dyDescent="0.2">
      <c r="A98" s="56" t="s">
        <v>1209</v>
      </c>
      <c r="B98" s="60"/>
      <c r="C98" s="60"/>
      <c r="D98" s="60"/>
      <c r="E98" s="60"/>
      <c r="F98" s="60"/>
      <c r="G98" s="60"/>
    </row>
    <row r="100" spans="1:7" ht="26.25" customHeight="1" x14ac:dyDescent="0.2">
      <c r="A100" s="86" t="s">
        <v>1312</v>
      </c>
      <c r="B100" s="86"/>
      <c r="C100" s="86"/>
      <c r="D100" s="86"/>
      <c r="E100" s="86"/>
      <c r="F100" s="86"/>
      <c r="G100" s="86"/>
    </row>
    <row r="102" spans="1:7" ht="14.4" x14ac:dyDescent="0.2">
      <c r="A102" s="79" t="s">
        <v>1313</v>
      </c>
      <c r="B102" s="80"/>
      <c r="C102" s="80"/>
      <c r="D102" s="80"/>
      <c r="E102" s="80"/>
      <c r="F102" s="80"/>
      <c r="G102" s="80"/>
    </row>
    <row r="103" spans="1:7" x14ac:dyDescent="0.2">
      <c r="A103" s="47" t="s">
        <v>51</v>
      </c>
    </row>
    <row r="105" spans="1:7" x14ac:dyDescent="0.2">
      <c r="A105" s="18" t="s">
        <v>754</v>
      </c>
    </row>
    <row r="107" spans="1:7" s="1" customFormat="1" ht="13.8" x14ac:dyDescent="0.2">
      <c r="A107" s="75" t="s">
        <v>1314</v>
      </c>
      <c r="B107" s="76"/>
      <c r="C107" s="76"/>
      <c r="D107" s="76"/>
      <c r="E107" s="76"/>
      <c r="F107" s="76"/>
      <c r="G107" s="76"/>
    </row>
    <row r="108" spans="1:7" x14ac:dyDescent="0.2">
      <c r="A108" s="18" t="s">
        <v>7</v>
      </c>
    </row>
    <row r="109" spans="1:7" s="1" customFormat="1" ht="17.399999999999999" customHeight="1" x14ac:dyDescent="0.2">
      <c r="A109" s="8" t="s">
        <v>2</v>
      </c>
      <c r="B109" s="8" t="s">
        <v>0</v>
      </c>
      <c r="C109" s="17" t="s">
        <v>758</v>
      </c>
      <c r="D109" s="16" t="s">
        <v>1</v>
      </c>
      <c r="E109" s="15" t="s">
        <v>3</v>
      </c>
      <c r="F109" s="15" t="s">
        <v>4</v>
      </c>
      <c r="G109" s="15" t="s">
        <v>6</v>
      </c>
    </row>
    <row r="110" spans="1:7" x14ac:dyDescent="0.2">
      <c r="A110" s="21" t="s">
        <v>31</v>
      </c>
      <c r="B110" s="22"/>
      <c r="C110" s="22"/>
      <c r="D110" s="23"/>
      <c r="E110" s="24"/>
      <c r="F110" s="25"/>
      <c r="G110" s="24"/>
    </row>
    <row r="111" spans="1:7" x14ac:dyDescent="0.2">
      <c r="A111" s="26" t="s">
        <v>32</v>
      </c>
      <c r="B111" s="27"/>
      <c r="C111" s="27"/>
      <c r="D111" s="28"/>
      <c r="E111" s="29"/>
      <c r="F111" s="30"/>
      <c r="G111" s="29"/>
    </row>
    <row r="112" spans="1:7" x14ac:dyDescent="0.2">
      <c r="A112" s="27" t="s">
        <v>1213</v>
      </c>
      <c r="B112" s="27" t="s">
        <v>1214</v>
      </c>
      <c r="C112" s="27" t="s">
        <v>1215</v>
      </c>
      <c r="D112" s="31">
        <v>5230</v>
      </c>
      <c r="E112" s="29">
        <v>0</v>
      </c>
      <c r="F112" s="30">
        <v>100</v>
      </c>
      <c r="G112" s="29">
        <v>0</v>
      </c>
    </row>
    <row r="113" spans="1:9" x14ac:dyDescent="0.2">
      <c r="A113" s="26" t="s">
        <v>35</v>
      </c>
      <c r="B113" s="26"/>
      <c r="C113" s="26"/>
      <c r="D113" s="32"/>
      <c r="E113" s="33">
        <f>SUM(E111:E112)</f>
        <v>0</v>
      </c>
      <c r="F113" s="34">
        <f>SUM(F111:F112)</f>
        <v>100</v>
      </c>
      <c r="G113" s="33"/>
      <c r="H113" s="18"/>
      <c r="I113" s="18"/>
    </row>
    <row r="114" spans="1:9" x14ac:dyDescent="0.2">
      <c r="A114" s="27"/>
      <c r="B114" s="27"/>
      <c r="C114" s="27"/>
      <c r="D114" s="28"/>
      <c r="E114" s="29"/>
      <c r="F114" s="30"/>
      <c r="G114" s="29"/>
    </row>
    <row r="115" spans="1:9" x14ac:dyDescent="0.2">
      <c r="A115" s="26" t="s">
        <v>38</v>
      </c>
      <c r="B115" s="26"/>
      <c r="C115" s="26"/>
      <c r="D115" s="32"/>
      <c r="E115" s="33">
        <f>E113</f>
        <v>0</v>
      </c>
      <c r="F115" s="34">
        <f>F113</f>
        <v>100</v>
      </c>
      <c r="G115" s="33"/>
      <c r="H115" s="18"/>
      <c r="I115" s="18"/>
    </row>
    <row r="116" spans="1:9" x14ac:dyDescent="0.2">
      <c r="A116" s="26"/>
      <c r="B116" s="26"/>
      <c r="C116" s="26"/>
      <c r="D116" s="32"/>
      <c r="E116" s="33"/>
      <c r="F116" s="34"/>
      <c r="G116" s="33"/>
      <c r="H116" s="18"/>
      <c r="I116" s="18"/>
    </row>
    <row r="117" spans="1:9" x14ac:dyDescent="0.2">
      <c r="A117" s="26" t="s">
        <v>40</v>
      </c>
      <c r="B117" s="26"/>
      <c r="C117" s="26"/>
      <c r="D117" s="32"/>
      <c r="E117" s="33">
        <f>E119-(E113)</f>
        <v>8.9999999999999996E-7</v>
      </c>
      <c r="F117" s="34">
        <v>0</v>
      </c>
      <c r="G117" s="33"/>
      <c r="H117" s="18"/>
      <c r="I117" s="18"/>
    </row>
    <row r="118" spans="1:9" x14ac:dyDescent="0.2">
      <c r="A118" s="26"/>
      <c r="B118" s="26"/>
      <c r="C118" s="26"/>
      <c r="D118" s="32"/>
      <c r="E118" s="33"/>
      <c r="F118" s="34"/>
      <c r="G118" s="33"/>
      <c r="H118" s="18"/>
      <c r="I118" s="18"/>
    </row>
    <row r="119" spans="1:9" x14ac:dyDescent="0.2">
      <c r="A119" s="35" t="s">
        <v>39</v>
      </c>
      <c r="B119" s="35"/>
      <c r="C119" s="35"/>
      <c r="D119" s="36"/>
      <c r="E119" s="37">
        <v>8.9999999999999996E-7</v>
      </c>
      <c r="F119" s="38">
        <v>100</v>
      </c>
      <c r="G119" s="37"/>
      <c r="H119" s="18"/>
      <c r="I119" s="18"/>
    </row>
    <row r="121" spans="1:9" x14ac:dyDescent="0.2">
      <c r="A121" s="18" t="s">
        <v>41</v>
      </c>
    </row>
    <row r="122" spans="1:9" x14ac:dyDescent="0.2">
      <c r="A122" s="49" t="s">
        <v>1216</v>
      </c>
    </row>
    <row r="123" spans="1:9" x14ac:dyDescent="0.2">
      <c r="A123" s="18" t="s">
        <v>1217</v>
      </c>
    </row>
    <row r="125" spans="1:9" x14ac:dyDescent="0.2">
      <c r="A125" s="18" t="s">
        <v>42</v>
      </c>
    </row>
    <row r="126" spans="1:9" x14ac:dyDescent="0.2">
      <c r="A126" s="18" t="s">
        <v>43</v>
      </c>
    </row>
    <row r="127" spans="1:9" s="13" customFormat="1" x14ac:dyDescent="0.2">
      <c r="A127" s="18" t="s">
        <v>44</v>
      </c>
      <c r="B127" s="18"/>
      <c r="C127" s="39" t="s">
        <v>46</v>
      </c>
      <c r="D127" s="19" t="s">
        <v>45</v>
      </c>
      <c r="F127" s="14"/>
      <c r="H127" s="9"/>
      <c r="I127" s="9"/>
    </row>
    <row r="128" spans="1:9" s="13" customFormat="1" x14ac:dyDescent="0.2">
      <c r="A128" s="9" t="s">
        <v>862</v>
      </c>
      <c r="B128" s="9"/>
      <c r="C128" s="40">
        <v>0</v>
      </c>
      <c r="D128" s="40">
        <v>0</v>
      </c>
      <c r="F128" s="14"/>
      <c r="H128" s="9"/>
      <c r="I128" s="9"/>
    </row>
    <row r="129" spans="1:9" s="13" customFormat="1" x14ac:dyDescent="0.2">
      <c r="A129" s="9" t="s">
        <v>1264</v>
      </c>
      <c r="B129" s="9"/>
      <c r="C129" s="40">
        <v>0</v>
      </c>
      <c r="D129" s="40">
        <v>0</v>
      </c>
      <c r="F129" s="14"/>
      <c r="H129" s="9"/>
      <c r="I129" s="9"/>
    </row>
    <row r="130" spans="1:9" s="13" customFormat="1" x14ac:dyDescent="0.2">
      <c r="A130" s="9" t="s">
        <v>864</v>
      </c>
      <c r="B130" s="9"/>
      <c r="C130" s="40">
        <v>0</v>
      </c>
      <c r="D130" s="40">
        <v>0</v>
      </c>
      <c r="F130" s="14"/>
      <c r="H130" s="9"/>
      <c r="I130" s="9"/>
    </row>
    <row r="131" spans="1:9" s="13" customFormat="1" x14ac:dyDescent="0.2">
      <c r="A131" s="9" t="s">
        <v>865</v>
      </c>
      <c r="B131" s="9"/>
      <c r="C131" s="40">
        <v>0</v>
      </c>
      <c r="D131" s="40">
        <v>0</v>
      </c>
      <c r="F131" s="14"/>
      <c r="H131" s="9"/>
      <c r="I131" s="9"/>
    </row>
    <row r="132" spans="1:9" s="13" customFormat="1" x14ac:dyDescent="0.2">
      <c r="A132" s="9" t="s">
        <v>1265</v>
      </c>
      <c r="B132" s="9"/>
      <c r="C132" s="40">
        <v>0</v>
      </c>
      <c r="D132" s="40">
        <v>0</v>
      </c>
      <c r="F132" s="14"/>
      <c r="H132" s="9"/>
      <c r="I132" s="9"/>
    </row>
    <row r="133" spans="1:9" s="13" customFormat="1" x14ac:dyDescent="0.2">
      <c r="A133" s="9" t="s">
        <v>866</v>
      </c>
      <c r="B133" s="9"/>
      <c r="C133" s="40">
        <v>0</v>
      </c>
      <c r="D133" s="40">
        <v>0</v>
      </c>
      <c r="F133" s="14"/>
      <c r="H133" s="9"/>
      <c r="I133" s="9"/>
    </row>
    <row r="134" spans="1:9" s="13" customFormat="1" x14ac:dyDescent="0.2">
      <c r="A134" s="9" t="s">
        <v>1307</v>
      </c>
      <c r="B134" s="9"/>
      <c r="C134" s="40">
        <v>0</v>
      </c>
      <c r="D134" s="40">
        <v>0</v>
      </c>
      <c r="F134" s="14"/>
      <c r="H134" s="9"/>
      <c r="I134" s="9"/>
    </row>
    <row r="135" spans="1:9" s="13" customFormat="1" x14ac:dyDescent="0.2">
      <c r="A135" s="9" t="s">
        <v>868</v>
      </c>
      <c r="B135" s="9"/>
      <c r="C135" s="40">
        <v>0</v>
      </c>
      <c r="D135" s="40">
        <v>0</v>
      </c>
      <c r="F135" s="14"/>
      <c r="H135" s="9"/>
      <c r="I135" s="9"/>
    </row>
    <row r="136" spans="1:9" s="13" customFormat="1" x14ac:dyDescent="0.2">
      <c r="A136" s="9" t="s">
        <v>869</v>
      </c>
      <c r="B136" s="9"/>
      <c r="C136" s="40">
        <v>0</v>
      </c>
      <c r="D136" s="40">
        <v>0</v>
      </c>
      <c r="F136" s="14"/>
      <c r="H136" s="9"/>
      <c r="I136" s="9"/>
    </row>
    <row r="138" spans="1:9" s="13" customFormat="1" x14ac:dyDescent="0.2">
      <c r="A138" s="9" t="s">
        <v>47</v>
      </c>
      <c r="B138" s="9"/>
      <c r="C138" s="9"/>
      <c r="D138" s="10"/>
      <c r="F138" s="14"/>
      <c r="H138" s="9"/>
      <c r="I138" s="9"/>
    </row>
    <row r="140" spans="1:9" s="13" customFormat="1" x14ac:dyDescent="0.2">
      <c r="A140" s="18" t="s">
        <v>1338</v>
      </c>
      <c r="B140" s="9"/>
      <c r="C140" s="9"/>
      <c r="D140" s="41" t="s">
        <v>49</v>
      </c>
      <c r="F140" s="14"/>
      <c r="H140" s="9"/>
      <c r="I140" s="9"/>
    </row>
    <row r="141" spans="1:9" s="13" customFormat="1" x14ac:dyDescent="0.2">
      <c r="A141" s="9" t="s">
        <v>733</v>
      </c>
      <c r="B141" s="9"/>
      <c r="C141" s="9"/>
      <c r="D141" s="10"/>
      <c r="F141" s="14"/>
      <c r="H141" s="9"/>
      <c r="I141" s="9"/>
    </row>
    <row r="142" spans="1:9" s="13" customFormat="1" x14ac:dyDescent="0.2">
      <c r="A142" s="47" t="s">
        <v>734</v>
      </c>
      <c r="B142" s="9"/>
      <c r="C142" s="9"/>
      <c r="D142" s="10"/>
      <c r="F142" s="14"/>
      <c r="H142" s="9"/>
      <c r="I142" s="9"/>
    </row>
    <row r="144" spans="1:9" ht="14.4" x14ac:dyDescent="0.2">
      <c r="A144" s="79" t="s">
        <v>1218</v>
      </c>
      <c r="B144" s="80"/>
      <c r="C144" s="80"/>
      <c r="D144" s="80"/>
      <c r="E144" s="80"/>
      <c r="F144" s="80"/>
      <c r="G144" s="80"/>
    </row>
    <row r="145" spans="1:9" x14ac:dyDescent="0.2">
      <c r="A145" s="47" t="s">
        <v>51</v>
      </c>
    </row>
    <row r="147" spans="1:9" s="1" customFormat="1" ht="13.8" x14ac:dyDescent="0.2">
      <c r="A147" s="75" t="s">
        <v>1315</v>
      </c>
      <c r="B147" s="76"/>
      <c r="C147" s="76"/>
      <c r="D147" s="76"/>
      <c r="E147" s="76"/>
      <c r="F147" s="76"/>
      <c r="G147" s="76"/>
    </row>
    <row r="148" spans="1:9" x14ac:dyDescent="0.2">
      <c r="A148" s="18" t="s">
        <v>7</v>
      </c>
    </row>
    <row r="149" spans="1:9" s="1" customFormat="1" ht="17.399999999999999" customHeight="1" x14ac:dyDescent="0.2">
      <c r="A149" s="8" t="s">
        <v>2</v>
      </c>
      <c r="B149" s="8" t="s">
        <v>0</v>
      </c>
      <c r="C149" s="17" t="s">
        <v>758</v>
      </c>
      <c r="D149" s="16" t="s">
        <v>1</v>
      </c>
      <c r="E149" s="15" t="s">
        <v>3</v>
      </c>
      <c r="F149" s="15" t="s">
        <v>4</v>
      </c>
      <c r="G149" s="15" t="s">
        <v>6</v>
      </c>
    </row>
    <row r="150" spans="1:9" x14ac:dyDescent="0.2">
      <c r="A150" s="21" t="s">
        <v>31</v>
      </c>
      <c r="B150" s="22"/>
      <c r="C150" s="22"/>
      <c r="D150" s="23"/>
      <c r="E150" s="24"/>
      <c r="F150" s="25"/>
      <c r="G150" s="24"/>
    </row>
    <row r="151" spans="1:9" x14ac:dyDescent="0.2">
      <c r="A151" s="26" t="s">
        <v>32</v>
      </c>
      <c r="B151" s="27"/>
      <c r="C151" s="27"/>
      <c r="D151" s="28"/>
      <c r="E151" s="29"/>
      <c r="F151" s="30"/>
      <c r="G151" s="29"/>
    </row>
    <row r="152" spans="1:9" ht="20.399999999999999" x14ac:dyDescent="0.2">
      <c r="A152" s="27" t="s">
        <v>1220</v>
      </c>
      <c r="B152" s="27" t="s">
        <v>1221</v>
      </c>
      <c r="C152" s="53" t="s">
        <v>1222</v>
      </c>
      <c r="D152" s="31">
        <v>3523</v>
      </c>
      <c r="E152" s="29">
        <v>0</v>
      </c>
      <c r="F152" s="30">
        <v>100</v>
      </c>
      <c r="G152" s="29">
        <v>0</v>
      </c>
    </row>
    <row r="153" spans="1:9" x14ac:dyDescent="0.2">
      <c r="A153" s="26" t="s">
        <v>35</v>
      </c>
      <c r="B153" s="26"/>
      <c r="C153" s="26"/>
      <c r="D153" s="32"/>
      <c r="E153" s="33">
        <f>SUM(E151:E152)</f>
        <v>0</v>
      </c>
      <c r="F153" s="34">
        <f>SUM(F151:F152)</f>
        <v>100</v>
      </c>
      <c r="G153" s="33"/>
      <c r="H153" s="18"/>
      <c r="I153" s="18"/>
    </row>
    <row r="154" spans="1:9" x14ac:dyDescent="0.2">
      <c r="A154" s="27"/>
      <c r="B154" s="27"/>
      <c r="C154" s="27"/>
      <c r="D154" s="28"/>
      <c r="E154" s="29"/>
      <c r="F154" s="30"/>
      <c r="G154" s="29"/>
    </row>
    <row r="155" spans="1:9" x14ac:dyDescent="0.2">
      <c r="A155" s="26" t="s">
        <v>38</v>
      </c>
      <c r="B155" s="26"/>
      <c r="C155" s="26"/>
      <c r="D155" s="32"/>
      <c r="E155" s="33">
        <f>E153</f>
        <v>0</v>
      </c>
      <c r="F155" s="34">
        <f>F153</f>
        <v>100</v>
      </c>
      <c r="G155" s="33"/>
      <c r="H155" s="18"/>
      <c r="I155" s="18"/>
    </row>
    <row r="156" spans="1:9" x14ac:dyDescent="0.2">
      <c r="A156" s="26"/>
      <c r="B156" s="26"/>
      <c r="C156" s="26"/>
      <c r="D156" s="32"/>
      <c r="E156" s="33"/>
      <c r="F156" s="34"/>
      <c r="G156" s="33"/>
      <c r="H156" s="18"/>
      <c r="I156" s="18"/>
    </row>
    <row r="157" spans="1:9" x14ac:dyDescent="0.2">
      <c r="A157" s="26" t="s">
        <v>40</v>
      </c>
      <c r="B157" s="26"/>
      <c r="C157" s="26"/>
      <c r="D157" s="32"/>
      <c r="E157" s="33">
        <f>E159-(E153)</f>
        <v>8.9999999999999996E-7</v>
      </c>
      <c r="F157" s="34">
        <v>0</v>
      </c>
      <c r="G157" s="33"/>
      <c r="H157" s="18"/>
      <c r="I157" s="18"/>
    </row>
    <row r="158" spans="1:9" x14ac:dyDescent="0.2">
      <c r="A158" s="26"/>
      <c r="B158" s="26"/>
      <c r="C158" s="26"/>
      <c r="D158" s="32"/>
      <c r="E158" s="33"/>
      <c r="F158" s="34"/>
      <c r="G158" s="33"/>
      <c r="H158" s="18"/>
      <c r="I158" s="18"/>
    </row>
    <row r="159" spans="1:9" x14ac:dyDescent="0.2">
      <c r="A159" s="35" t="s">
        <v>39</v>
      </c>
      <c r="B159" s="35"/>
      <c r="C159" s="35"/>
      <c r="D159" s="36"/>
      <c r="E159" s="37">
        <v>8.9999999999999996E-7</v>
      </c>
      <c r="F159" s="38">
        <v>100</v>
      </c>
      <c r="G159" s="37"/>
      <c r="H159" s="18"/>
      <c r="I159" s="18"/>
    </row>
    <row r="161" spans="1:4" x14ac:dyDescent="0.2">
      <c r="A161" s="18" t="s">
        <v>41</v>
      </c>
    </row>
    <row r="162" spans="1:4" x14ac:dyDescent="0.2">
      <c r="A162" s="18" t="s">
        <v>1216</v>
      </c>
    </row>
    <row r="164" spans="1:4" x14ac:dyDescent="0.2">
      <c r="A164" s="18" t="s">
        <v>42</v>
      </c>
    </row>
    <row r="165" spans="1:4" x14ac:dyDescent="0.2">
      <c r="A165" s="18" t="s">
        <v>43</v>
      </c>
    </row>
    <row r="166" spans="1:4" x14ac:dyDescent="0.2">
      <c r="A166" s="18" t="s">
        <v>44</v>
      </c>
      <c r="B166" s="18"/>
      <c r="C166" s="39" t="s">
        <v>46</v>
      </c>
      <c r="D166" s="19" t="s">
        <v>45</v>
      </c>
    </row>
    <row r="167" spans="1:4" x14ac:dyDescent="0.2">
      <c r="A167" s="9" t="s">
        <v>862</v>
      </c>
      <c r="C167" s="40">
        <v>0</v>
      </c>
      <c r="D167" s="40">
        <v>0</v>
      </c>
    </row>
    <row r="168" spans="1:4" x14ac:dyDescent="0.2">
      <c r="A168" s="9" t="s">
        <v>1264</v>
      </c>
      <c r="C168" s="40">
        <v>0</v>
      </c>
      <c r="D168" s="40">
        <v>0</v>
      </c>
    </row>
    <row r="169" spans="1:4" x14ac:dyDescent="0.2">
      <c r="A169" s="9" t="s">
        <v>864</v>
      </c>
      <c r="C169" s="40">
        <v>0</v>
      </c>
      <c r="D169" s="40">
        <v>0</v>
      </c>
    </row>
    <row r="170" spans="1:4" x14ac:dyDescent="0.2">
      <c r="A170" s="9" t="s">
        <v>865</v>
      </c>
      <c r="C170" s="40">
        <v>0</v>
      </c>
      <c r="D170" s="40">
        <v>0</v>
      </c>
    </row>
    <row r="171" spans="1:4" x14ac:dyDescent="0.2">
      <c r="A171" s="9" t="s">
        <v>1265</v>
      </c>
      <c r="C171" s="40">
        <v>0</v>
      </c>
      <c r="D171" s="40">
        <v>0</v>
      </c>
    </row>
    <row r="172" spans="1:4" x14ac:dyDescent="0.2">
      <c r="A172" s="9" t="s">
        <v>866</v>
      </c>
      <c r="C172" s="40">
        <v>0</v>
      </c>
      <c r="D172" s="40">
        <v>0</v>
      </c>
    </row>
    <row r="173" spans="1:4" x14ac:dyDescent="0.2">
      <c r="A173" s="9" t="s">
        <v>1307</v>
      </c>
      <c r="C173" s="40">
        <v>0</v>
      </c>
      <c r="D173" s="40">
        <v>0</v>
      </c>
    </row>
    <row r="174" spans="1:4" x14ac:dyDescent="0.2">
      <c r="A174" s="9" t="s">
        <v>868</v>
      </c>
      <c r="C174" s="40">
        <v>0</v>
      </c>
      <c r="D174" s="40">
        <v>0</v>
      </c>
    </row>
    <row r="175" spans="1:4" x14ac:dyDescent="0.2">
      <c r="A175" s="9" t="s">
        <v>869</v>
      </c>
      <c r="C175" s="40">
        <v>0</v>
      </c>
      <c r="D175" s="40">
        <v>0</v>
      </c>
    </row>
    <row r="177" spans="1:7" x14ac:dyDescent="0.2">
      <c r="A177" s="9" t="s">
        <v>47</v>
      </c>
    </row>
    <row r="179" spans="1:7" x14ac:dyDescent="0.2">
      <c r="A179" s="18" t="s">
        <v>1338</v>
      </c>
      <c r="D179" s="41" t="s">
        <v>49</v>
      </c>
    </row>
    <row r="180" spans="1:7" x14ac:dyDescent="0.2">
      <c r="A180" s="9" t="s">
        <v>733</v>
      </c>
    </row>
    <row r="181" spans="1:7" x14ac:dyDescent="0.2">
      <c r="A181" s="47" t="s">
        <v>734</v>
      </c>
    </row>
    <row r="183" spans="1:7" ht="14.4" x14ac:dyDescent="0.2">
      <c r="A183" s="79" t="s">
        <v>1218</v>
      </c>
      <c r="B183" s="80"/>
      <c r="C183" s="80"/>
      <c r="D183" s="80"/>
      <c r="E183" s="80"/>
      <c r="F183" s="80"/>
      <c r="G183" s="80"/>
    </row>
    <row r="184" spans="1:7" x14ac:dyDescent="0.2">
      <c r="A184" s="47" t="s">
        <v>51</v>
      </c>
    </row>
  </sheetData>
  <mergeCells count="10">
    <mergeCell ref="A107:G107"/>
    <mergeCell ref="A144:G144"/>
    <mergeCell ref="A147:G147"/>
    <mergeCell ref="A183:G183"/>
    <mergeCell ref="A1:H1"/>
    <mergeCell ref="A90:G90"/>
    <mergeCell ref="A95:G95"/>
    <mergeCell ref="A97:G97"/>
    <mergeCell ref="A100:G100"/>
    <mergeCell ref="A102:G102"/>
  </mergeCells>
  <conditionalFormatting sqref="F2:F3 F5:F42 F110:F111 F150:F151 F51:F85 F101 F104:F106 F108 F120:F143 F146 F148 F160:F178 F185:F65549">
    <cfRule type="cellIs" dxfId="58" priority="15" stopIfTrue="1" operator="between">
      <formula>0.009</formula>
      <formula>-0.009</formula>
    </cfRule>
  </conditionalFormatting>
  <conditionalFormatting sqref="H5:H51 H60">
    <cfRule type="cellIs" dxfId="57" priority="14" stopIfTrue="1" operator="between">
      <formula>0.009</formula>
      <formula>-0.009</formula>
    </cfRule>
  </conditionalFormatting>
  <conditionalFormatting sqref="H62:H72">
    <cfRule type="cellIs" dxfId="56" priority="13" stopIfTrue="1" operator="between">
      <formula>0.009</formula>
      <formula>-0.009</formula>
    </cfRule>
  </conditionalFormatting>
  <conditionalFormatting sqref="F86:F89 F91:F94 F96 F99">
    <cfRule type="cellIs" dxfId="55" priority="12" stopIfTrue="1" operator="between">
      <formula>0.009</formula>
      <formula>-0.009</formula>
    </cfRule>
  </conditionalFormatting>
  <conditionalFormatting sqref="F103">
    <cfRule type="cellIs" dxfId="54" priority="10" stopIfTrue="1" operator="between">
      <formula>0.009</formula>
      <formula>-0.009</formula>
    </cfRule>
  </conditionalFormatting>
  <conditionalFormatting sqref="F114:F116 F118:F119">
    <cfRule type="cellIs" dxfId="53" priority="9" stopIfTrue="1" operator="between">
      <formula>0.009</formula>
      <formula>-0.009</formula>
    </cfRule>
  </conditionalFormatting>
  <conditionalFormatting sqref="F112:F113">
    <cfRule type="cellIs" dxfId="52" priority="8" stopIfTrue="1" operator="between">
      <formula>0.009</formula>
      <formula>-0.009</formula>
    </cfRule>
  </conditionalFormatting>
  <conditionalFormatting sqref="F145">
    <cfRule type="cellIs" dxfId="51" priority="6" stopIfTrue="1" operator="between">
      <formula>0.009</formula>
      <formula>-0.009</formula>
    </cfRule>
  </conditionalFormatting>
  <conditionalFormatting sqref="F154:F156 F158:F159">
    <cfRule type="cellIs" dxfId="50" priority="5" stopIfTrue="1" operator="between">
      <formula>0.009</formula>
      <formula>-0.009</formula>
    </cfRule>
  </conditionalFormatting>
  <conditionalFormatting sqref="F152:F153">
    <cfRule type="cellIs" dxfId="49" priority="4" stopIfTrue="1" operator="between">
      <formula>0.009</formula>
      <formula>-0.009</formula>
    </cfRule>
  </conditionalFormatting>
  <conditionalFormatting sqref="F179:F182">
    <cfRule type="cellIs" dxfId="48" priority="3" stopIfTrue="1" operator="between">
      <formula>0.009</formula>
      <formula>-0.009</formula>
    </cfRule>
  </conditionalFormatting>
  <conditionalFormatting sqref="F184">
    <cfRule type="cellIs" dxfId="47" priority="1" stopIfTrue="1" operator="between">
      <formula>0.009</formula>
      <formula>-0.009</formula>
    </cfRule>
  </conditionalFormatting>
  <hyperlinks>
    <hyperlink ref="A88" r:id="rId1" xr:uid="{00000000-0004-0000-1B00-000000000000}"/>
    <hyperlink ref="A93" r:id="rId2" xr:uid="{00000000-0004-0000-1B00-000001000000}"/>
    <hyperlink ref="A98" r:id="rId3" xr:uid="{00000000-0004-0000-1B00-000002000000}"/>
    <hyperlink ref="A103" r:id="rId4" xr:uid="{00000000-0004-0000-1B00-000003000000}"/>
    <hyperlink ref="A142" r:id="rId5" xr:uid="{00000000-0004-0000-1B00-000004000000}"/>
    <hyperlink ref="A145" r:id="rId6" xr:uid="{00000000-0004-0000-1B00-000005000000}"/>
    <hyperlink ref="A181" r:id="rId7" xr:uid="{00000000-0004-0000-1B00-000006000000}"/>
    <hyperlink ref="A184" r:id="rId8" xr:uid="{00000000-0004-0000-1B00-000007000000}"/>
  </hyperlinks>
  <pageMargins left="0.7" right="0.7" top="0.75" bottom="0.75" header="0.3" footer="0.3"/>
  <pageSetup paperSize="9" orientation="portrait" r:id="rId9"/>
  <headerFooter>
    <oddFooter>&amp;C&amp;1#&amp;"Calibri"&amp;10&amp;K000000PUBLIC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110"/>
  <sheetViews>
    <sheetView workbookViewId="0">
      <selection activeCell="A6" sqref="A6"/>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5" t="s">
        <v>1316</v>
      </c>
      <c r="B1" s="76"/>
      <c r="C1" s="76"/>
      <c r="D1" s="76"/>
      <c r="E1" s="76"/>
      <c r="F1" s="76"/>
      <c r="G1" s="76"/>
      <c r="H1" s="76"/>
    </row>
    <row r="2" spans="1:8" s="1" customFormat="1" ht="12" x14ac:dyDescent="0.25">
      <c r="A2" s="59" t="s">
        <v>1151</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758</v>
      </c>
      <c r="D4" s="16" t="s">
        <v>1</v>
      </c>
      <c r="E4" s="15" t="s">
        <v>3</v>
      </c>
      <c r="F4" s="15" t="s">
        <v>4</v>
      </c>
      <c r="G4" s="15" t="s">
        <v>6</v>
      </c>
      <c r="H4" s="15" t="s">
        <v>1273</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1162</v>
      </c>
      <c r="B7" s="27" t="s">
        <v>1163</v>
      </c>
      <c r="C7" s="27" t="s">
        <v>1164</v>
      </c>
      <c r="D7" s="31">
        <v>2687</v>
      </c>
      <c r="E7" s="29">
        <v>25969.47882</v>
      </c>
      <c r="F7" s="30">
        <v>18.706710735950299</v>
      </c>
      <c r="G7" s="29">
        <v>10.3301</v>
      </c>
      <c r="H7" s="30"/>
    </row>
    <row r="8" spans="1:8" x14ac:dyDescent="0.2">
      <c r="A8" s="27" t="s">
        <v>1232</v>
      </c>
      <c r="B8" s="27" t="s">
        <v>1233</v>
      </c>
      <c r="C8" s="27" t="s">
        <v>953</v>
      </c>
      <c r="D8" s="31">
        <v>1549</v>
      </c>
      <c r="E8" s="29">
        <v>15991.457770000001</v>
      </c>
      <c r="F8" s="30">
        <v>11.5191982412512</v>
      </c>
      <c r="G8" s="29">
        <v>8.6433999999999997</v>
      </c>
      <c r="H8" s="30"/>
    </row>
    <row r="9" spans="1:8" x14ac:dyDescent="0.2">
      <c r="A9" s="27" t="s">
        <v>1317</v>
      </c>
      <c r="B9" s="27" t="s">
        <v>1318</v>
      </c>
      <c r="C9" s="27" t="s">
        <v>1161</v>
      </c>
      <c r="D9" s="31">
        <v>12100</v>
      </c>
      <c r="E9" s="29">
        <v>12147.952300000001</v>
      </c>
      <c r="F9" s="30">
        <v>8.7505887694292195</v>
      </c>
      <c r="G9" s="29">
        <v>10.001200000000001</v>
      </c>
      <c r="H9" s="30">
        <v>9.7944524835000006</v>
      </c>
    </row>
    <row r="10" spans="1:8" x14ac:dyDescent="0.2">
      <c r="A10" s="27" t="s">
        <v>1319</v>
      </c>
      <c r="B10" s="27" t="s">
        <v>1320</v>
      </c>
      <c r="C10" s="27" t="s">
        <v>33</v>
      </c>
      <c r="D10" s="31">
        <v>1000</v>
      </c>
      <c r="E10" s="29">
        <v>10297.59</v>
      </c>
      <c r="F10" s="30">
        <v>7.4177090246054496</v>
      </c>
      <c r="G10" s="29">
        <v>9.1773000000000007</v>
      </c>
      <c r="H10" s="30"/>
    </row>
    <row r="11" spans="1:8" x14ac:dyDescent="0.2">
      <c r="A11" s="27" t="s">
        <v>1159</v>
      </c>
      <c r="B11" s="27" t="s">
        <v>1160</v>
      </c>
      <c r="C11" s="27" t="s">
        <v>1161</v>
      </c>
      <c r="D11" s="31">
        <v>780</v>
      </c>
      <c r="E11" s="29">
        <v>7511.6963999999998</v>
      </c>
      <c r="F11" s="30">
        <v>5.41093383756552</v>
      </c>
      <c r="G11" s="29">
        <v>18.7758</v>
      </c>
      <c r="H11" s="30"/>
    </row>
    <row r="12" spans="1:8" x14ac:dyDescent="0.2">
      <c r="A12" s="27" t="s">
        <v>1321</v>
      </c>
      <c r="B12" s="27" t="s">
        <v>1322</v>
      </c>
      <c r="C12" s="27" t="s">
        <v>1156</v>
      </c>
      <c r="D12" s="31">
        <v>3053</v>
      </c>
      <c r="E12" s="29">
        <v>6657.3656940000001</v>
      </c>
      <c r="F12" s="30">
        <v>4.7955299821106303</v>
      </c>
      <c r="G12" s="29">
        <v>8.8377999999999997</v>
      </c>
      <c r="H12" s="30"/>
    </row>
    <row r="13" spans="1:8" x14ac:dyDescent="0.2">
      <c r="A13" s="27" t="s">
        <v>951</v>
      </c>
      <c r="B13" s="27" t="s">
        <v>952</v>
      </c>
      <c r="C13" s="27" t="s">
        <v>953</v>
      </c>
      <c r="D13" s="31">
        <v>609</v>
      </c>
      <c r="E13" s="29">
        <v>6334.5256799999997</v>
      </c>
      <c r="F13" s="30">
        <v>4.5629771920547402</v>
      </c>
      <c r="G13" s="29">
        <v>9.0327999999999999</v>
      </c>
      <c r="H13" s="30"/>
    </row>
    <row r="14" spans="1:8" x14ac:dyDescent="0.2">
      <c r="A14" s="27" t="s">
        <v>1154</v>
      </c>
      <c r="B14" s="27" t="s">
        <v>1155</v>
      </c>
      <c r="C14" s="27" t="s">
        <v>1156</v>
      </c>
      <c r="D14" s="31">
        <v>501</v>
      </c>
      <c r="E14" s="29">
        <v>5135.5606200000002</v>
      </c>
      <c r="F14" s="30">
        <v>3.6993213322129099</v>
      </c>
      <c r="G14" s="29">
        <v>8.2750000000000004</v>
      </c>
      <c r="H14" s="30"/>
    </row>
    <row r="15" spans="1:8" x14ac:dyDescent="0.2">
      <c r="A15" s="27" t="s">
        <v>1179</v>
      </c>
      <c r="B15" s="27" t="s">
        <v>1180</v>
      </c>
      <c r="C15" s="27" t="s">
        <v>33</v>
      </c>
      <c r="D15" s="31">
        <v>198</v>
      </c>
      <c r="E15" s="29">
        <v>2029.7177999999999</v>
      </c>
      <c r="F15" s="30">
        <v>1.4620756936780701</v>
      </c>
      <c r="G15" s="29">
        <v>7.9874999999999998</v>
      </c>
      <c r="H15" s="30"/>
    </row>
    <row r="16" spans="1:8" x14ac:dyDescent="0.2">
      <c r="A16" s="27" t="s">
        <v>1177</v>
      </c>
      <c r="B16" s="27" t="s">
        <v>1178</v>
      </c>
      <c r="C16" s="27" t="s">
        <v>1156</v>
      </c>
      <c r="D16" s="31">
        <v>240</v>
      </c>
      <c r="E16" s="29">
        <v>1818.6174000000001</v>
      </c>
      <c r="F16" s="30">
        <v>1.3100127991388799</v>
      </c>
      <c r="G16" s="29">
        <v>7.5900999999999996</v>
      </c>
      <c r="H16" s="30"/>
    </row>
    <row r="17" spans="1:9" x14ac:dyDescent="0.2">
      <c r="A17" s="27" t="s">
        <v>1170</v>
      </c>
      <c r="B17" s="27" t="s">
        <v>1171</v>
      </c>
      <c r="C17" s="27" t="s">
        <v>1156</v>
      </c>
      <c r="D17" s="31">
        <v>150</v>
      </c>
      <c r="E17" s="29">
        <v>1526.16</v>
      </c>
      <c r="F17" s="30">
        <v>1.09934565320545</v>
      </c>
      <c r="G17" s="29">
        <v>8.1649999999999991</v>
      </c>
      <c r="H17" s="30"/>
    </row>
    <row r="18" spans="1:9" x14ac:dyDescent="0.2">
      <c r="A18" s="27" t="s">
        <v>1323</v>
      </c>
      <c r="B18" s="27" t="s">
        <v>1324</v>
      </c>
      <c r="C18" s="27" t="s">
        <v>33</v>
      </c>
      <c r="D18" s="31">
        <v>150</v>
      </c>
      <c r="E18" s="29">
        <v>1499.5245</v>
      </c>
      <c r="F18" s="30">
        <v>1.08015918445646</v>
      </c>
      <c r="G18" s="29">
        <v>9.1882000000000001</v>
      </c>
      <c r="H18" s="30"/>
    </row>
    <row r="19" spans="1:9" x14ac:dyDescent="0.2">
      <c r="A19" s="27" t="s">
        <v>1183</v>
      </c>
      <c r="B19" s="27" t="s">
        <v>1184</v>
      </c>
      <c r="C19" s="27" t="s">
        <v>1164</v>
      </c>
      <c r="D19" s="31">
        <v>30</v>
      </c>
      <c r="E19" s="29">
        <v>300.05520000000001</v>
      </c>
      <c r="F19" s="30">
        <v>0.21614010316198201</v>
      </c>
      <c r="G19" s="29">
        <v>4.6500000000000004</v>
      </c>
      <c r="H19" s="30"/>
    </row>
    <row r="20" spans="1:9" x14ac:dyDescent="0.2">
      <c r="A20" s="27" t="s">
        <v>1181</v>
      </c>
      <c r="B20" s="27" t="s">
        <v>1182</v>
      </c>
      <c r="C20" s="27" t="s">
        <v>1164</v>
      </c>
      <c r="D20" s="31">
        <v>28</v>
      </c>
      <c r="E20" s="29">
        <v>226.61497600000001</v>
      </c>
      <c r="F20" s="30">
        <v>0.16323857840387401</v>
      </c>
      <c r="G20" s="29">
        <v>8.4148999999999994</v>
      </c>
      <c r="H20" s="30"/>
    </row>
    <row r="21" spans="1:9" x14ac:dyDescent="0.2">
      <c r="A21" s="26" t="s">
        <v>35</v>
      </c>
      <c r="B21" s="26"/>
      <c r="C21" s="26"/>
      <c r="D21" s="32"/>
      <c r="E21" s="33">
        <f>SUM(E6:E20)</f>
        <v>97446.317160000006</v>
      </c>
      <c r="F21" s="34">
        <f>SUM(F6:F20)</f>
        <v>70.193941127224676</v>
      </c>
      <c r="G21" s="33"/>
      <c r="H21" s="30"/>
      <c r="I21" s="18"/>
    </row>
    <row r="22" spans="1:9" x14ac:dyDescent="0.2">
      <c r="A22" s="27"/>
      <c r="B22" s="27"/>
      <c r="C22" s="27"/>
      <c r="D22" s="28"/>
      <c r="E22" s="29"/>
      <c r="F22" s="30"/>
      <c r="G22" s="29"/>
      <c r="H22" s="30"/>
    </row>
    <row r="23" spans="1:9" x14ac:dyDescent="0.2">
      <c r="A23" s="26" t="s">
        <v>36</v>
      </c>
      <c r="B23" s="27"/>
      <c r="C23" s="27"/>
      <c r="D23" s="28"/>
      <c r="E23" s="29"/>
      <c r="F23" s="30"/>
      <c r="G23" s="29"/>
      <c r="H23" s="30"/>
    </row>
    <row r="24" spans="1:9" x14ac:dyDescent="0.2">
      <c r="A24" s="27" t="s">
        <v>1191</v>
      </c>
      <c r="B24" s="27" t="s">
        <v>1192</v>
      </c>
      <c r="C24" s="27" t="s">
        <v>1187</v>
      </c>
      <c r="D24" s="31">
        <v>770</v>
      </c>
      <c r="E24" s="29">
        <v>6560.3972560000002</v>
      </c>
      <c r="F24" s="30">
        <v>4.7256802738143699</v>
      </c>
      <c r="G24" s="29">
        <v>10.997999999999999</v>
      </c>
      <c r="H24" s="34"/>
    </row>
    <row r="25" spans="1:9" x14ac:dyDescent="0.2">
      <c r="A25" s="27" t="s">
        <v>1290</v>
      </c>
      <c r="B25" s="27" t="s">
        <v>1291</v>
      </c>
      <c r="C25" s="27" t="s">
        <v>1282</v>
      </c>
      <c r="D25" s="31">
        <v>300</v>
      </c>
      <c r="E25" s="29">
        <v>2968.7069999999999</v>
      </c>
      <c r="F25" s="30">
        <v>2.1384619804545899</v>
      </c>
      <c r="G25" s="29">
        <v>12.264799999999999</v>
      </c>
      <c r="H25" s="30"/>
    </row>
    <row r="26" spans="1:9" x14ac:dyDescent="0.2">
      <c r="A26" s="27" t="s">
        <v>1193</v>
      </c>
      <c r="B26" s="27" t="s">
        <v>1194</v>
      </c>
      <c r="C26" s="27" t="s">
        <v>1187</v>
      </c>
      <c r="D26" s="31">
        <v>250</v>
      </c>
      <c r="E26" s="29">
        <v>2200.4972499999999</v>
      </c>
      <c r="F26" s="30">
        <v>1.5850940181095301</v>
      </c>
      <c r="G26" s="29">
        <v>11</v>
      </c>
      <c r="H26" s="30"/>
    </row>
    <row r="27" spans="1:9" x14ac:dyDescent="0.2">
      <c r="A27" s="27" t="s">
        <v>1185</v>
      </c>
      <c r="B27" s="27" t="s">
        <v>1186</v>
      </c>
      <c r="C27" s="27" t="s">
        <v>1187</v>
      </c>
      <c r="D27" s="31">
        <v>110</v>
      </c>
      <c r="E27" s="29">
        <v>989.43944610000005</v>
      </c>
      <c r="F27" s="30">
        <v>0.71272733801176702</v>
      </c>
      <c r="G27" s="29">
        <v>11</v>
      </c>
      <c r="H27" s="30"/>
    </row>
    <row r="28" spans="1:9" x14ac:dyDescent="0.2">
      <c r="A28" s="27" t="s">
        <v>1188</v>
      </c>
      <c r="B28" s="27" t="s">
        <v>1189</v>
      </c>
      <c r="C28" s="27" t="s">
        <v>1190</v>
      </c>
      <c r="D28" s="31">
        <v>50</v>
      </c>
      <c r="E28" s="29">
        <v>489.49299999999999</v>
      </c>
      <c r="F28" s="30">
        <v>0.35259868023306401</v>
      </c>
      <c r="G28" s="29">
        <v>11.475</v>
      </c>
      <c r="H28" s="30"/>
    </row>
    <row r="29" spans="1:9" x14ac:dyDescent="0.2">
      <c r="A29" s="27" t="s">
        <v>1195</v>
      </c>
      <c r="B29" s="27" t="s">
        <v>1196</v>
      </c>
      <c r="C29" s="27" t="s">
        <v>1197</v>
      </c>
      <c r="D29" s="31">
        <v>1400</v>
      </c>
      <c r="E29" s="29">
        <v>1.4E-5</v>
      </c>
      <c r="F29" s="29">
        <v>0</v>
      </c>
      <c r="G29" s="29">
        <v>0</v>
      </c>
      <c r="H29" s="30"/>
    </row>
    <row r="30" spans="1:9" x14ac:dyDescent="0.2">
      <c r="A30" s="27" t="s">
        <v>1198</v>
      </c>
      <c r="B30" s="27" t="s">
        <v>1199</v>
      </c>
      <c r="C30" s="27" t="s">
        <v>1197</v>
      </c>
      <c r="D30" s="31">
        <v>688</v>
      </c>
      <c r="E30" s="29">
        <v>6.8800000000000002E-6</v>
      </c>
      <c r="F30" s="29">
        <v>0</v>
      </c>
      <c r="G30" s="29">
        <v>0</v>
      </c>
      <c r="H30" s="30"/>
    </row>
    <row r="31" spans="1:9" x14ac:dyDescent="0.2">
      <c r="A31" s="27" t="s">
        <v>1325</v>
      </c>
      <c r="B31" s="27" t="s">
        <v>1326</v>
      </c>
      <c r="C31" s="27" t="s">
        <v>1197</v>
      </c>
      <c r="D31" s="31">
        <v>400</v>
      </c>
      <c r="E31" s="29">
        <v>3.9999999999999998E-6</v>
      </c>
      <c r="F31" s="29">
        <v>0</v>
      </c>
      <c r="G31" s="29">
        <v>0</v>
      </c>
      <c r="H31" s="30"/>
    </row>
    <row r="32" spans="1:9" x14ac:dyDescent="0.2">
      <c r="A32" s="26" t="s">
        <v>35</v>
      </c>
      <c r="B32" s="26"/>
      <c r="C32" s="26"/>
      <c r="D32" s="32"/>
      <c r="E32" s="33">
        <f>SUM(E23:E31)</f>
        <v>13208.533976979999</v>
      </c>
      <c r="F32" s="34">
        <f>SUM(F23:F31)</f>
        <v>9.5145622906233207</v>
      </c>
      <c r="G32" s="33"/>
      <c r="H32" s="30"/>
      <c r="I32" s="18"/>
    </row>
    <row r="33" spans="1:9" x14ac:dyDescent="0.2">
      <c r="A33" s="27"/>
      <c r="B33" s="27"/>
      <c r="C33" s="27"/>
      <c r="D33" s="28"/>
      <c r="E33" s="29"/>
      <c r="F33" s="30"/>
      <c r="G33" s="29"/>
      <c r="H33" s="30"/>
    </row>
    <row r="34" spans="1:9" x14ac:dyDescent="0.2">
      <c r="A34" s="26" t="s">
        <v>37</v>
      </c>
      <c r="B34" s="27"/>
      <c r="C34" s="27"/>
      <c r="D34" s="28"/>
      <c r="E34" s="29"/>
      <c r="F34" s="30"/>
      <c r="G34" s="29"/>
      <c r="H34" s="29"/>
    </row>
    <row r="35" spans="1:9" x14ac:dyDescent="0.2">
      <c r="A35" s="27" t="s">
        <v>1202</v>
      </c>
      <c r="B35" s="27" t="s">
        <v>1203</v>
      </c>
      <c r="C35" s="27" t="s">
        <v>1204</v>
      </c>
      <c r="D35" s="31">
        <v>754980.93200000003</v>
      </c>
      <c r="E35" s="29">
        <v>25439.12931</v>
      </c>
      <c r="F35" s="30">
        <v>18.3246817032813</v>
      </c>
      <c r="G35" s="29">
        <v>3.1816</v>
      </c>
      <c r="H35" s="29"/>
    </row>
    <row r="36" spans="1:9" x14ac:dyDescent="0.2">
      <c r="A36" s="26" t="s">
        <v>35</v>
      </c>
      <c r="B36" s="26"/>
      <c r="C36" s="26"/>
      <c r="D36" s="32"/>
      <c r="E36" s="33">
        <f>SUM(E35:E35)</f>
        <v>25439.12931</v>
      </c>
      <c r="F36" s="34">
        <f>SUM(F35:F35)</f>
        <v>18.3246817032813</v>
      </c>
      <c r="G36" s="33"/>
      <c r="H36" s="29"/>
      <c r="I36" s="18"/>
    </row>
    <row r="37" spans="1:9" x14ac:dyDescent="0.2">
      <c r="A37" s="27"/>
      <c r="B37" s="27"/>
      <c r="C37" s="27"/>
      <c r="D37" s="28"/>
      <c r="E37" s="29"/>
      <c r="F37" s="30"/>
      <c r="G37" s="29"/>
      <c r="H37" s="34"/>
    </row>
    <row r="38" spans="1:9" x14ac:dyDescent="0.2">
      <c r="A38" s="26" t="s">
        <v>38</v>
      </c>
      <c r="B38" s="26"/>
      <c r="C38" s="26"/>
      <c r="D38" s="32"/>
      <c r="E38" s="33">
        <f>E21+E32+E36</f>
        <v>136093.98044698001</v>
      </c>
      <c r="F38" s="34">
        <f>F21+F32+F36</f>
        <v>98.033185121129293</v>
      </c>
      <c r="G38" s="33"/>
      <c r="H38" s="30"/>
      <c r="I38" s="18"/>
    </row>
    <row r="39" spans="1:9" x14ac:dyDescent="0.2">
      <c r="A39" s="26"/>
      <c r="B39" s="26"/>
      <c r="C39" s="26"/>
      <c r="D39" s="32"/>
      <c r="E39" s="33"/>
      <c r="F39" s="34"/>
      <c r="G39" s="33"/>
      <c r="H39" s="30"/>
      <c r="I39" s="18"/>
    </row>
    <row r="40" spans="1:9" x14ac:dyDescent="0.2">
      <c r="A40" s="26" t="s">
        <v>40</v>
      </c>
      <c r="B40" s="26"/>
      <c r="C40" s="26"/>
      <c r="D40" s="32"/>
      <c r="E40" s="33">
        <f>E42-(E21+E32+E36)</f>
        <v>2730.4189173199993</v>
      </c>
      <c r="F40" s="34">
        <f>F42-(F21+F32+F36)</f>
        <v>1.9668148788707072</v>
      </c>
      <c r="G40" s="33"/>
      <c r="H40" s="30"/>
      <c r="I40" s="18"/>
    </row>
    <row r="41" spans="1:9" x14ac:dyDescent="0.2">
      <c r="A41" s="26"/>
      <c r="B41" s="26"/>
      <c r="C41" s="26"/>
      <c r="D41" s="32"/>
      <c r="E41" s="33"/>
      <c r="F41" s="34"/>
      <c r="G41" s="33"/>
      <c r="H41" s="34"/>
      <c r="I41" s="18"/>
    </row>
    <row r="42" spans="1:9" x14ac:dyDescent="0.2">
      <c r="A42" s="35" t="s">
        <v>39</v>
      </c>
      <c r="B42" s="35"/>
      <c r="C42" s="35"/>
      <c r="D42" s="36"/>
      <c r="E42" s="37">
        <v>138824.39936430001</v>
      </c>
      <c r="F42" s="38">
        <v>100</v>
      </c>
      <c r="G42" s="37"/>
      <c r="H42" s="37"/>
      <c r="I42" s="18"/>
    </row>
    <row r="43" spans="1:9" x14ac:dyDescent="0.2">
      <c r="H43" s="13"/>
    </row>
    <row r="44" spans="1:9" x14ac:dyDescent="0.2">
      <c r="A44" s="18" t="s">
        <v>41</v>
      </c>
      <c r="H44" s="13"/>
    </row>
    <row r="45" spans="1:9" x14ac:dyDescent="0.2">
      <c r="A45" s="9" t="s">
        <v>1205</v>
      </c>
      <c r="H45" s="13"/>
    </row>
    <row r="46" spans="1:9" x14ac:dyDescent="0.2">
      <c r="H46" s="13"/>
    </row>
    <row r="47" spans="1:9" x14ac:dyDescent="0.2">
      <c r="A47" s="18" t="s">
        <v>42</v>
      </c>
      <c r="H47" s="13"/>
    </row>
    <row r="48" spans="1:9" x14ac:dyDescent="0.2">
      <c r="A48" s="18" t="s">
        <v>43</v>
      </c>
      <c r="H48" s="13"/>
    </row>
    <row r="49" spans="1:5" x14ac:dyDescent="0.2">
      <c r="A49" s="18" t="s">
        <v>44</v>
      </c>
      <c r="B49" s="18"/>
      <c r="C49" s="39" t="s">
        <v>46</v>
      </c>
      <c r="D49" s="19" t="s">
        <v>45</v>
      </c>
    </row>
    <row r="50" spans="1:5" x14ac:dyDescent="0.2">
      <c r="A50" s="9" t="s">
        <v>70</v>
      </c>
      <c r="C50" s="40">
        <v>21.5001</v>
      </c>
      <c r="D50" s="40">
        <v>23.593</v>
      </c>
    </row>
    <row r="51" spans="1:5" x14ac:dyDescent="0.2">
      <c r="A51" s="9" t="s">
        <v>76</v>
      </c>
      <c r="C51" s="40">
        <v>9.9674999999999994</v>
      </c>
      <c r="D51" s="40">
        <v>10.937799999999999</v>
      </c>
    </row>
    <row r="52" spans="1:5" x14ac:dyDescent="0.2">
      <c r="A52" s="9" t="s">
        <v>73</v>
      </c>
      <c r="C52" s="40">
        <v>22.869199999999999</v>
      </c>
      <c r="D52" s="40">
        <v>25.146899999999999</v>
      </c>
    </row>
    <row r="53" spans="1:5" x14ac:dyDescent="0.2">
      <c r="A53" s="9" t="s">
        <v>77</v>
      </c>
      <c r="C53" s="40">
        <v>10.7399</v>
      </c>
      <c r="D53" s="40">
        <v>11.8096</v>
      </c>
    </row>
    <row r="55" spans="1:5" x14ac:dyDescent="0.2">
      <c r="A55" s="9" t="s">
        <v>47</v>
      </c>
    </row>
    <row r="57" spans="1:5" x14ac:dyDescent="0.2">
      <c r="A57" s="18" t="s">
        <v>48</v>
      </c>
      <c r="D57" s="41" t="s">
        <v>49</v>
      </c>
    </row>
    <row r="59" spans="1:5" x14ac:dyDescent="0.2">
      <c r="A59" s="18" t="s">
        <v>824</v>
      </c>
      <c r="D59" s="42">
        <v>3.0869241164109602</v>
      </c>
      <c r="E59" s="13" t="s">
        <v>50</v>
      </c>
    </row>
    <row r="61" spans="1:5" x14ac:dyDescent="0.2">
      <c r="A61" s="18" t="s">
        <v>732</v>
      </c>
      <c r="D61" s="41" t="s">
        <v>49</v>
      </c>
    </row>
    <row r="62" spans="1:5" x14ac:dyDescent="0.2">
      <c r="A62" s="9" t="s">
        <v>733</v>
      </c>
    </row>
    <row r="63" spans="1:5" x14ac:dyDescent="0.2">
      <c r="A63" s="47" t="s">
        <v>734</v>
      </c>
    </row>
    <row r="65" spans="1:7" ht="36.75" customHeight="1" x14ac:dyDescent="0.2">
      <c r="A65" s="85" t="s">
        <v>1327</v>
      </c>
      <c r="B65" s="85"/>
      <c r="C65" s="85"/>
      <c r="D65" s="85"/>
      <c r="E65" s="85"/>
      <c r="F65" s="85"/>
      <c r="G65" s="85"/>
    </row>
    <row r="67" spans="1:7" ht="36" customHeight="1" x14ac:dyDescent="0.2">
      <c r="A67" s="85" t="s">
        <v>1328</v>
      </c>
      <c r="B67" s="85"/>
      <c r="C67" s="85"/>
      <c r="D67" s="85"/>
      <c r="E67" s="85"/>
      <c r="F67" s="85"/>
      <c r="G67" s="85"/>
    </row>
    <row r="68" spans="1:7" x14ac:dyDescent="0.2">
      <c r="A68" s="56" t="s">
        <v>1209</v>
      </c>
      <c r="B68" s="60"/>
      <c r="C68" s="60"/>
      <c r="D68" s="60"/>
      <c r="E68" s="60"/>
      <c r="F68" s="60"/>
      <c r="G68" s="60"/>
    </row>
    <row r="70" spans="1:7" ht="23.25" customHeight="1" x14ac:dyDescent="0.2">
      <c r="A70" s="86" t="s">
        <v>1246</v>
      </c>
      <c r="B70" s="86"/>
      <c r="C70" s="86"/>
      <c r="D70" s="86"/>
      <c r="E70" s="86"/>
      <c r="F70" s="86"/>
      <c r="G70" s="86"/>
    </row>
    <row r="72" spans="1:7" ht="14.4" x14ac:dyDescent="0.2">
      <c r="A72" s="79" t="s">
        <v>1247</v>
      </c>
      <c r="B72" s="80"/>
      <c r="C72" s="80"/>
      <c r="D72" s="80"/>
      <c r="E72" s="80"/>
      <c r="F72" s="80"/>
      <c r="G72" s="80"/>
    </row>
    <row r="73" spans="1:7" x14ac:dyDescent="0.2">
      <c r="A73" s="47" t="s">
        <v>51</v>
      </c>
    </row>
    <row r="75" spans="1:7" x14ac:dyDescent="0.2">
      <c r="A75" s="18" t="s">
        <v>754</v>
      </c>
    </row>
    <row r="77" spans="1:7" s="1" customFormat="1" ht="13.8" x14ac:dyDescent="0.2">
      <c r="A77" s="75" t="s">
        <v>1329</v>
      </c>
      <c r="B77" s="76"/>
      <c r="C77" s="76"/>
      <c r="D77" s="76"/>
      <c r="E77" s="76"/>
      <c r="F77" s="76"/>
      <c r="G77" s="76"/>
    </row>
    <row r="78" spans="1:7" x14ac:dyDescent="0.2">
      <c r="A78" s="18" t="s">
        <v>7</v>
      </c>
    </row>
    <row r="79" spans="1:7" s="1" customFormat="1" ht="17.399999999999999" customHeight="1" x14ac:dyDescent="0.2">
      <c r="A79" s="8" t="s">
        <v>2</v>
      </c>
      <c r="B79" s="8" t="s">
        <v>0</v>
      </c>
      <c r="C79" s="17" t="s">
        <v>758</v>
      </c>
      <c r="D79" s="16" t="s">
        <v>1</v>
      </c>
      <c r="E79" s="15" t="s">
        <v>3</v>
      </c>
      <c r="F79" s="15" t="s">
        <v>4</v>
      </c>
      <c r="G79" s="15" t="s">
        <v>6</v>
      </c>
    </row>
    <row r="80" spans="1:7" x14ac:dyDescent="0.2">
      <c r="A80" s="21" t="s">
        <v>31</v>
      </c>
      <c r="B80" s="22"/>
      <c r="C80" s="22"/>
      <c r="D80" s="23"/>
      <c r="E80" s="24"/>
      <c r="F80" s="25"/>
      <c r="G80" s="24"/>
    </row>
    <row r="81" spans="1:9" x14ac:dyDescent="0.2">
      <c r="A81" s="26" t="s">
        <v>32</v>
      </c>
      <c r="B81" s="27"/>
      <c r="C81" s="27"/>
      <c r="D81" s="28"/>
      <c r="E81" s="29"/>
      <c r="F81" s="30"/>
      <c r="G81" s="29"/>
    </row>
    <row r="82" spans="1:9" x14ac:dyDescent="0.2">
      <c r="A82" s="27" t="s">
        <v>1213</v>
      </c>
      <c r="B82" s="27" t="s">
        <v>1214</v>
      </c>
      <c r="C82" s="27" t="s">
        <v>1215</v>
      </c>
      <c r="D82" s="31">
        <v>1450</v>
      </c>
      <c r="E82" s="29">
        <v>0</v>
      </c>
      <c r="F82" s="30">
        <v>100</v>
      </c>
      <c r="G82" s="29">
        <v>0</v>
      </c>
    </row>
    <row r="83" spans="1:9" x14ac:dyDescent="0.2">
      <c r="A83" s="26" t="s">
        <v>35</v>
      </c>
      <c r="B83" s="26"/>
      <c r="C83" s="26"/>
      <c r="D83" s="32"/>
      <c r="E83" s="33">
        <v>0</v>
      </c>
      <c r="F83" s="34">
        <v>100</v>
      </c>
      <c r="G83" s="33"/>
      <c r="H83" s="18"/>
      <c r="I83" s="18"/>
    </row>
    <row r="84" spans="1:9" x14ac:dyDescent="0.2">
      <c r="A84" s="27"/>
      <c r="B84" s="27"/>
      <c r="C84" s="27"/>
      <c r="D84" s="28"/>
      <c r="E84" s="29"/>
      <c r="F84" s="30"/>
      <c r="G84" s="29"/>
    </row>
    <row r="85" spans="1:9" x14ac:dyDescent="0.2">
      <c r="A85" s="26" t="s">
        <v>38</v>
      </c>
      <c r="B85" s="26"/>
      <c r="C85" s="26"/>
      <c r="D85" s="32"/>
      <c r="E85" s="33">
        <v>0</v>
      </c>
      <c r="F85" s="34">
        <v>100</v>
      </c>
      <c r="G85" s="33"/>
      <c r="H85" s="18"/>
      <c r="I85" s="18"/>
    </row>
    <row r="86" spans="1:9" x14ac:dyDescent="0.2">
      <c r="A86" s="26"/>
      <c r="B86" s="26"/>
      <c r="C86" s="26"/>
      <c r="D86" s="32"/>
      <c r="E86" s="33"/>
      <c r="F86" s="34"/>
      <c r="G86" s="33"/>
      <c r="H86" s="18"/>
      <c r="I86" s="18"/>
    </row>
    <row r="87" spans="1:9" x14ac:dyDescent="0.2">
      <c r="A87" s="26" t="s">
        <v>40</v>
      </c>
      <c r="B87" s="26"/>
      <c r="C87" s="26"/>
      <c r="D87" s="32"/>
      <c r="E87" s="33">
        <v>3.9999999999999998E-7</v>
      </c>
      <c r="F87" s="34">
        <v>0</v>
      </c>
      <c r="G87" s="33"/>
      <c r="H87" s="18"/>
      <c r="I87" s="18"/>
    </row>
    <row r="88" spans="1:9" x14ac:dyDescent="0.2">
      <c r="A88" s="26"/>
      <c r="B88" s="26"/>
      <c r="C88" s="26"/>
      <c r="D88" s="32"/>
      <c r="E88" s="33"/>
      <c r="F88" s="34"/>
      <c r="G88" s="33"/>
      <c r="H88" s="18"/>
      <c r="I88" s="18"/>
    </row>
    <row r="89" spans="1:9" x14ac:dyDescent="0.2">
      <c r="A89" s="35" t="s">
        <v>39</v>
      </c>
      <c r="B89" s="35"/>
      <c r="C89" s="35"/>
      <c r="D89" s="36"/>
      <c r="E89" s="37">
        <v>3.9999999999999998E-7</v>
      </c>
      <c r="F89" s="38">
        <v>100</v>
      </c>
      <c r="G89" s="37"/>
      <c r="H89" s="18"/>
      <c r="I89" s="18"/>
    </row>
    <row r="91" spans="1:9" x14ac:dyDescent="0.2">
      <c r="A91" s="18" t="s">
        <v>41</v>
      </c>
    </row>
    <row r="92" spans="1:9" x14ac:dyDescent="0.2">
      <c r="A92" s="49" t="s">
        <v>1216</v>
      </c>
    </row>
    <row r="93" spans="1:9" x14ac:dyDescent="0.2">
      <c r="A93" s="18" t="s">
        <v>1217</v>
      </c>
    </row>
    <row r="95" spans="1:9" x14ac:dyDescent="0.2">
      <c r="A95" s="18" t="s">
        <v>42</v>
      </c>
    </row>
    <row r="96" spans="1:9" x14ac:dyDescent="0.2">
      <c r="A96" s="18" t="s">
        <v>43</v>
      </c>
    </row>
    <row r="97" spans="1:7" x14ac:dyDescent="0.2">
      <c r="A97" s="18" t="s">
        <v>44</v>
      </c>
      <c r="B97" s="18"/>
      <c r="C97" s="39" t="s">
        <v>46</v>
      </c>
      <c r="D97" s="19" t="s">
        <v>45</v>
      </c>
    </row>
    <row r="98" spans="1:7" x14ac:dyDescent="0.2">
      <c r="A98" s="9" t="s">
        <v>70</v>
      </c>
      <c r="C98" s="40">
        <v>0</v>
      </c>
      <c r="D98" s="40">
        <v>0</v>
      </c>
    </row>
    <row r="99" spans="1:7" x14ac:dyDescent="0.2">
      <c r="A99" s="9" t="s">
        <v>76</v>
      </c>
      <c r="C99" s="40">
        <v>0</v>
      </c>
      <c r="D99" s="40">
        <v>0</v>
      </c>
    </row>
    <row r="100" spans="1:7" x14ac:dyDescent="0.2">
      <c r="A100" s="9" t="s">
        <v>73</v>
      </c>
      <c r="C100" s="40">
        <v>0</v>
      </c>
      <c r="D100" s="40">
        <v>0</v>
      </c>
    </row>
    <row r="101" spans="1:7" x14ac:dyDescent="0.2">
      <c r="A101" s="9" t="s">
        <v>77</v>
      </c>
      <c r="C101" s="40">
        <v>0</v>
      </c>
      <c r="D101" s="40">
        <v>0</v>
      </c>
    </row>
    <row r="103" spans="1:7" x14ac:dyDescent="0.2">
      <c r="A103" s="9" t="s">
        <v>47</v>
      </c>
    </row>
    <row r="105" spans="1:7" x14ac:dyDescent="0.2">
      <c r="A105" s="18" t="s">
        <v>1338</v>
      </c>
      <c r="D105" s="41" t="s">
        <v>49</v>
      </c>
    </row>
    <row r="106" spans="1:7" x14ac:dyDescent="0.2">
      <c r="A106" s="9" t="s">
        <v>733</v>
      </c>
    </row>
    <row r="107" spans="1:7" x14ac:dyDescent="0.2">
      <c r="A107" s="47" t="s">
        <v>734</v>
      </c>
    </row>
    <row r="109" spans="1:7" ht="14.4" x14ac:dyDescent="0.2">
      <c r="A109" s="79" t="s">
        <v>1218</v>
      </c>
      <c r="B109" s="80"/>
      <c r="C109" s="80"/>
      <c r="D109" s="80"/>
      <c r="E109" s="80"/>
      <c r="F109" s="80"/>
      <c r="G109" s="80"/>
    </row>
    <row r="110" spans="1:7" x14ac:dyDescent="0.2">
      <c r="A110" s="47" t="s">
        <v>51</v>
      </c>
    </row>
  </sheetData>
  <mergeCells count="7">
    <mergeCell ref="A109:G109"/>
    <mergeCell ref="A1:H1"/>
    <mergeCell ref="A65:G65"/>
    <mergeCell ref="A67:G67"/>
    <mergeCell ref="A70:G70"/>
    <mergeCell ref="A72:G72"/>
    <mergeCell ref="A77:G77"/>
  </mergeCells>
  <conditionalFormatting sqref="F2:F3 F5:F28 F80:F81 F71 F74:F76 F78 F90:F104 F111:F65543 F32:F60">
    <cfRule type="cellIs" dxfId="46" priority="9" stopIfTrue="1" operator="between">
      <formula>0.009</formula>
      <formula>-0.009</formula>
    </cfRule>
  </conditionalFormatting>
  <conditionalFormatting sqref="H5:H33 H37:H41">
    <cfRule type="cellIs" dxfId="45" priority="8" stopIfTrue="1" operator="between">
      <formula>0.009</formula>
      <formula>-0.009</formula>
    </cfRule>
  </conditionalFormatting>
  <conditionalFormatting sqref="F61:F64 F66 F69">
    <cfRule type="cellIs" dxfId="44" priority="7" stopIfTrue="1" operator="between">
      <formula>0.009</formula>
      <formula>-0.009</formula>
    </cfRule>
  </conditionalFormatting>
  <conditionalFormatting sqref="F73">
    <cfRule type="cellIs" dxfId="43" priority="5" stopIfTrue="1" operator="between">
      <formula>0.009</formula>
      <formula>-0.009</formula>
    </cfRule>
  </conditionalFormatting>
  <conditionalFormatting sqref="F82:F89">
    <cfRule type="cellIs" dxfId="42" priority="4" stopIfTrue="1" operator="between">
      <formula>0.009</formula>
      <formula>-0.009</formula>
    </cfRule>
  </conditionalFormatting>
  <conditionalFormatting sqref="F105:F108">
    <cfRule type="cellIs" dxfId="41" priority="3" stopIfTrue="1" operator="between">
      <formula>0.009</formula>
      <formula>-0.009</formula>
    </cfRule>
  </conditionalFormatting>
  <conditionalFormatting sqref="F110">
    <cfRule type="cellIs" dxfId="40" priority="1" stopIfTrue="1" operator="between">
      <formula>0.009</formula>
      <formula>-0.009</formula>
    </cfRule>
  </conditionalFormatting>
  <hyperlinks>
    <hyperlink ref="A63" r:id="rId1" xr:uid="{00000000-0004-0000-1C00-000000000000}"/>
    <hyperlink ref="A68" r:id="rId2" xr:uid="{00000000-0004-0000-1C00-000001000000}"/>
    <hyperlink ref="A73" r:id="rId3" xr:uid="{00000000-0004-0000-1C00-000002000000}"/>
    <hyperlink ref="A107" r:id="rId4" xr:uid="{00000000-0004-0000-1C00-000003000000}"/>
    <hyperlink ref="A110" r:id="rId5" xr:uid="{00000000-0004-0000-1C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53"/>
  <sheetViews>
    <sheetView workbookViewId="0">
      <selection sqref="A1:H1"/>
    </sheetView>
  </sheetViews>
  <sheetFormatPr defaultColWidth="9.109375" defaultRowHeight="10.199999999999999" x14ac:dyDescent="0.2"/>
  <cols>
    <col min="1" max="1" width="38.6640625" style="9" bestFit="1" customWidth="1"/>
    <col min="2" max="2" width="69.109375" style="9" bestFit="1" customWidth="1"/>
    <col min="3" max="3" width="15.3320312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8" s="1" customFormat="1" ht="15" customHeight="1" x14ac:dyDescent="0.2">
      <c r="A1" s="75" t="s">
        <v>1330</v>
      </c>
      <c r="B1" s="76"/>
      <c r="C1" s="76"/>
      <c r="D1" s="76"/>
      <c r="E1" s="76"/>
      <c r="F1" s="76"/>
      <c r="G1" s="76"/>
      <c r="H1" s="76"/>
    </row>
    <row r="2" spans="1:8" s="1" customFormat="1" ht="12" x14ac:dyDescent="0.25">
      <c r="A2" s="59" t="s">
        <v>1151</v>
      </c>
      <c r="D2" s="6"/>
      <c r="E2" s="7"/>
      <c r="F2" s="12"/>
      <c r="G2" s="13"/>
    </row>
    <row r="3" spans="1:8" s="1" customFormat="1" ht="12" x14ac:dyDescent="0.2">
      <c r="A3" s="11" t="s">
        <v>7</v>
      </c>
      <c r="B3" s="2"/>
      <c r="C3" s="3"/>
      <c r="D3" s="4"/>
      <c r="E3" s="5"/>
      <c r="F3" s="12"/>
      <c r="G3" s="13"/>
    </row>
    <row r="4" spans="1:8" s="1" customFormat="1" ht="17.399999999999999" customHeight="1" x14ac:dyDescent="0.2">
      <c r="A4" s="8" t="s">
        <v>2</v>
      </c>
      <c r="B4" s="8" t="s">
        <v>0</v>
      </c>
      <c r="C4" s="17" t="s">
        <v>758</v>
      </c>
      <c r="D4" s="16" t="s">
        <v>1</v>
      </c>
      <c r="E4" s="15" t="s">
        <v>3</v>
      </c>
      <c r="F4" s="15" t="s">
        <v>4</v>
      </c>
      <c r="G4" s="15" t="s">
        <v>6</v>
      </c>
      <c r="H4" s="15" t="s">
        <v>1273</v>
      </c>
    </row>
    <row r="5" spans="1:8" x14ac:dyDescent="0.2">
      <c r="A5" s="21" t="s">
        <v>31</v>
      </c>
      <c r="B5" s="22"/>
      <c r="C5" s="22"/>
      <c r="D5" s="23"/>
      <c r="E5" s="24"/>
      <c r="F5" s="25"/>
      <c r="G5" s="24"/>
      <c r="H5" s="25"/>
    </row>
    <row r="6" spans="1:8" x14ac:dyDescent="0.2">
      <c r="A6" s="26" t="s">
        <v>32</v>
      </c>
      <c r="B6" s="27"/>
      <c r="C6" s="27"/>
      <c r="D6" s="28"/>
      <c r="E6" s="29"/>
      <c r="F6" s="30"/>
      <c r="G6" s="29"/>
      <c r="H6" s="30"/>
    </row>
    <row r="7" spans="1:8" x14ac:dyDescent="0.2">
      <c r="A7" s="27" t="s">
        <v>951</v>
      </c>
      <c r="B7" s="27" t="s">
        <v>952</v>
      </c>
      <c r="C7" s="27" t="s">
        <v>953</v>
      </c>
      <c r="D7" s="31">
        <v>3889</v>
      </c>
      <c r="E7" s="29">
        <v>40451.511279999999</v>
      </c>
      <c r="F7" s="30">
        <v>19.403367580386199</v>
      </c>
      <c r="G7" s="29">
        <v>9.0327999999999999</v>
      </c>
      <c r="H7" s="30"/>
    </row>
    <row r="8" spans="1:8" x14ac:dyDescent="0.2">
      <c r="A8" s="27" t="s">
        <v>1283</v>
      </c>
      <c r="B8" s="27" t="s">
        <v>1284</v>
      </c>
      <c r="C8" s="27" t="s">
        <v>1156</v>
      </c>
      <c r="D8" s="31">
        <v>10140</v>
      </c>
      <c r="E8" s="29">
        <v>22110.71616</v>
      </c>
      <c r="F8" s="30">
        <v>10.6058423911144</v>
      </c>
      <c r="G8" s="29">
        <v>8.2899999999999991</v>
      </c>
      <c r="H8" s="30"/>
    </row>
    <row r="9" spans="1:8" x14ac:dyDescent="0.2">
      <c r="A9" s="27" t="s">
        <v>1157</v>
      </c>
      <c r="B9" s="27" t="s">
        <v>1158</v>
      </c>
      <c r="C9" s="27" t="s">
        <v>1156</v>
      </c>
      <c r="D9" s="31">
        <v>5580</v>
      </c>
      <c r="E9" s="29">
        <v>12139.122600000001</v>
      </c>
      <c r="F9" s="30">
        <v>5.8227702861531698</v>
      </c>
      <c r="G9" s="29">
        <v>8.6684999999999999</v>
      </c>
      <c r="H9" s="30"/>
    </row>
    <row r="10" spans="1:8" x14ac:dyDescent="0.2">
      <c r="A10" s="27" t="s">
        <v>1232</v>
      </c>
      <c r="B10" s="27" t="s">
        <v>1233</v>
      </c>
      <c r="C10" s="27" t="s">
        <v>953</v>
      </c>
      <c r="D10" s="31">
        <v>999</v>
      </c>
      <c r="E10" s="29">
        <v>10313.406269999999</v>
      </c>
      <c r="F10" s="30">
        <v>4.9470293329092696</v>
      </c>
      <c r="G10" s="29">
        <v>8.6433999999999997</v>
      </c>
      <c r="H10" s="30"/>
    </row>
    <row r="11" spans="1:8" x14ac:dyDescent="0.2">
      <c r="A11" s="27" t="s">
        <v>1323</v>
      </c>
      <c r="B11" s="27" t="s">
        <v>1324</v>
      </c>
      <c r="C11" s="27" t="s">
        <v>33</v>
      </c>
      <c r="D11" s="31">
        <v>850</v>
      </c>
      <c r="E11" s="29">
        <v>8497.3055000000004</v>
      </c>
      <c r="F11" s="30">
        <v>4.0759006732303602</v>
      </c>
      <c r="G11" s="29">
        <v>9.1882000000000001</v>
      </c>
      <c r="H11" s="30"/>
    </row>
    <row r="12" spans="1:8" x14ac:dyDescent="0.2">
      <c r="A12" s="27" t="s">
        <v>1154</v>
      </c>
      <c r="B12" s="27" t="s">
        <v>1155</v>
      </c>
      <c r="C12" s="27" t="s">
        <v>1156</v>
      </c>
      <c r="D12" s="31">
        <v>606</v>
      </c>
      <c r="E12" s="29">
        <v>6211.87572</v>
      </c>
      <c r="F12" s="30">
        <v>2.97964906983412</v>
      </c>
      <c r="G12" s="29">
        <v>8.2750000000000004</v>
      </c>
      <c r="H12" s="30"/>
    </row>
    <row r="13" spans="1:8" x14ac:dyDescent="0.2">
      <c r="A13" s="27" t="s">
        <v>1170</v>
      </c>
      <c r="B13" s="27" t="s">
        <v>1171</v>
      </c>
      <c r="C13" s="27" t="s">
        <v>1156</v>
      </c>
      <c r="D13" s="31">
        <v>550</v>
      </c>
      <c r="E13" s="29">
        <v>5595.92</v>
      </c>
      <c r="F13" s="30">
        <v>2.6841937241568199</v>
      </c>
      <c r="G13" s="29">
        <v>8.1649999999999991</v>
      </c>
      <c r="H13" s="30"/>
    </row>
    <row r="14" spans="1:8" x14ac:dyDescent="0.2">
      <c r="A14" s="27" t="s">
        <v>1165</v>
      </c>
      <c r="B14" s="27" t="s">
        <v>1166</v>
      </c>
      <c r="C14" s="27" t="s">
        <v>33</v>
      </c>
      <c r="D14" s="31">
        <v>550</v>
      </c>
      <c r="E14" s="29">
        <v>5538.5770000000002</v>
      </c>
      <c r="F14" s="30">
        <v>2.6566880198714999</v>
      </c>
      <c r="G14" s="29">
        <v>9.1123999999999992</v>
      </c>
      <c r="H14" s="30"/>
    </row>
    <row r="15" spans="1:8" x14ac:dyDescent="0.2">
      <c r="A15" s="27" t="s">
        <v>1159</v>
      </c>
      <c r="B15" s="27" t="s">
        <v>1160</v>
      </c>
      <c r="C15" s="27" t="s">
        <v>1161</v>
      </c>
      <c r="D15" s="31">
        <v>550</v>
      </c>
      <c r="E15" s="29">
        <v>5296.7089999999998</v>
      </c>
      <c r="F15" s="30">
        <v>2.5406712491395398</v>
      </c>
      <c r="G15" s="29">
        <v>18.7758</v>
      </c>
      <c r="H15" s="30"/>
    </row>
    <row r="16" spans="1:8" x14ac:dyDescent="0.2">
      <c r="A16" s="27" t="s">
        <v>1167</v>
      </c>
      <c r="B16" s="27" t="s">
        <v>1168</v>
      </c>
      <c r="C16" s="27" t="s">
        <v>1169</v>
      </c>
      <c r="D16" s="31">
        <v>550</v>
      </c>
      <c r="E16" s="29">
        <v>4909.8114999999998</v>
      </c>
      <c r="F16" s="30">
        <v>2.3550882098194701</v>
      </c>
      <c r="G16" s="29">
        <v>20.718399999999999</v>
      </c>
      <c r="H16" s="30"/>
    </row>
    <row r="17" spans="1:9" x14ac:dyDescent="0.2">
      <c r="A17" s="27" t="s">
        <v>1174</v>
      </c>
      <c r="B17" s="27" t="s">
        <v>1168</v>
      </c>
      <c r="C17" s="27" t="s">
        <v>1169</v>
      </c>
      <c r="D17" s="31">
        <v>380</v>
      </c>
      <c r="E17" s="29">
        <v>3390.7361999999998</v>
      </c>
      <c r="F17" s="30">
        <v>1.6264336924600999</v>
      </c>
      <c r="G17" s="29">
        <v>20.767700000000001</v>
      </c>
      <c r="H17" s="30"/>
    </row>
    <row r="18" spans="1:9" x14ac:dyDescent="0.2">
      <c r="A18" s="27" t="s">
        <v>1234</v>
      </c>
      <c r="B18" s="27" t="s">
        <v>1235</v>
      </c>
      <c r="C18" s="27" t="s">
        <v>1015</v>
      </c>
      <c r="D18" s="31">
        <v>270</v>
      </c>
      <c r="E18" s="29">
        <v>2716.3782000000001</v>
      </c>
      <c r="F18" s="30">
        <v>1.30296453789125</v>
      </c>
      <c r="G18" s="29">
        <v>6.5640999999999998</v>
      </c>
      <c r="H18" s="30"/>
    </row>
    <row r="19" spans="1:9" x14ac:dyDescent="0.2">
      <c r="A19" s="27" t="s">
        <v>1175</v>
      </c>
      <c r="B19" s="27" t="s">
        <v>1176</v>
      </c>
      <c r="C19" s="27" t="s">
        <v>33</v>
      </c>
      <c r="D19" s="31">
        <v>250</v>
      </c>
      <c r="E19" s="29">
        <v>2667.03</v>
      </c>
      <c r="F19" s="30">
        <v>1.2792936975757301</v>
      </c>
      <c r="G19" s="29">
        <v>9.1882000000000001</v>
      </c>
      <c r="H19" s="30"/>
    </row>
    <row r="20" spans="1:9" x14ac:dyDescent="0.2">
      <c r="A20" s="27" t="s">
        <v>1177</v>
      </c>
      <c r="B20" s="27" t="s">
        <v>1178</v>
      </c>
      <c r="C20" s="27" t="s">
        <v>1156</v>
      </c>
      <c r="D20" s="31">
        <v>351</v>
      </c>
      <c r="E20" s="29">
        <v>2659.7279480000002</v>
      </c>
      <c r="F20" s="30">
        <v>1.2757911238877799</v>
      </c>
      <c r="G20" s="29">
        <v>7.5900999999999996</v>
      </c>
      <c r="H20" s="30"/>
    </row>
    <row r="21" spans="1:9" x14ac:dyDescent="0.2">
      <c r="A21" s="27" t="s">
        <v>1181</v>
      </c>
      <c r="B21" s="27" t="s">
        <v>1182</v>
      </c>
      <c r="C21" s="27" t="s">
        <v>1164</v>
      </c>
      <c r="D21" s="31">
        <v>278</v>
      </c>
      <c r="E21" s="29">
        <v>2249.9629759999998</v>
      </c>
      <c r="F21" s="30">
        <v>1.07923924926811</v>
      </c>
      <c r="G21" s="29">
        <v>8.4148999999999994</v>
      </c>
      <c r="H21" s="30"/>
    </row>
    <row r="22" spans="1:9" x14ac:dyDescent="0.2">
      <c r="A22" s="27" t="s">
        <v>1240</v>
      </c>
      <c r="B22" s="27" t="s">
        <v>1241</v>
      </c>
      <c r="C22" s="27" t="s">
        <v>1156</v>
      </c>
      <c r="D22" s="31">
        <v>176</v>
      </c>
      <c r="E22" s="29">
        <v>1817.3848</v>
      </c>
      <c r="F22" s="30">
        <v>0.87174457006855</v>
      </c>
      <c r="G22" s="29">
        <v>8.8199000000000005</v>
      </c>
      <c r="H22" s="30"/>
    </row>
    <row r="23" spans="1:9" x14ac:dyDescent="0.2">
      <c r="A23" s="27" t="s">
        <v>1238</v>
      </c>
      <c r="B23" s="27" t="s">
        <v>1239</v>
      </c>
      <c r="C23" s="27" t="s">
        <v>1156</v>
      </c>
      <c r="D23" s="31">
        <v>172</v>
      </c>
      <c r="E23" s="29">
        <v>1776.1666</v>
      </c>
      <c r="F23" s="30">
        <v>0.851973445077299</v>
      </c>
      <c r="G23" s="29">
        <v>9.2850000000000001</v>
      </c>
      <c r="H23" s="30"/>
    </row>
    <row r="24" spans="1:9" x14ac:dyDescent="0.2">
      <c r="A24" s="27" t="s">
        <v>1236</v>
      </c>
      <c r="B24" s="27" t="s">
        <v>1237</v>
      </c>
      <c r="C24" s="27" t="s">
        <v>1156</v>
      </c>
      <c r="D24" s="31">
        <v>350</v>
      </c>
      <c r="E24" s="29">
        <v>1761.165</v>
      </c>
      <c r="F24" s="30">
        <v>0.84477763088190105</v>
      </c>
      <c r="G24" s="29">
        <v>7.4249999999999998</v>
      </c>
      <c r="H24" s="30"/>
    </row>
    <row r="25" spans="1:9" x14ac:dyDescent="0.2">
      <c r="A25" s="27" t="s">
        <v>1179</v>
      </c>
      <c r="B25" s="27" t="s">
        <v>1180</v>
      </c>
      <c r="C25" s="27" t="s">
        <v>33</v>
      </c>
      <c r="D25" s="31">
        <v>149</v>
      </c>
      <c r="E25" s="29">
        <v>1527.4139</v>
      </c>
      <c r="F25" s="30">
        <v>0.73265429180007802</v>
      </c>
      <c r="G25" s="29">
        <v>7.9874999999999998</v>
      </c>
      <c r="H25" s="30"/>
    </row>
    <row r="26" spans="1:9" x14ac:dyDescent="0.2">
      <c r="A26" s="27" t="s">
        <v>1162</v>
      </c>
      <c r="B26" s="27" t="s">
        <v>1163</v>
      </c>
      <c r="C26" s="27" t="s">
        <v>1164</v>
      </c>
      <c r="D26" s="31">
        <v>85</v>
      </c>
      <c r="E26" s="29">
        <v>821.51310000000001</v>
      </c>
      <c r="F26" s="30">
        <v>0.39405500924470199</v>
      </c>
      <c r="G26" s="29">
        <v>10.3301</v>
      </c>
      <c r="H26" s="30"/>
    </row>
    <row r="27" spans="1:9" x14ac:dyDescent="0.2">
      <c r="A27" s="27" t="s">
        <v>1089</v>
      </c>
      <c r="B27" s="27" t="s">
        <v>1090</v>
      </c>
      <c r="C27" s="27" t="s">
        <v>931</v>
      </c>
      <c r="D27" s="31">
        <v>74</v>
      </c>
      <c r="E27" s="29">
        <v>748.74383999999998</v>
      </c>
      <c r="F27" s="30">
        <v>0.35914979419453502</v>
      </c>
      <c r="G27" s="29">
        <v>4.0951000000000004</v>
      </c>
      <c r="H27" s="30"/>
    </row>
    <row r="28" spans="1:9" x14ac:dyDescent="0.2">
      <c r="A28" s="27" t="s">
        <v>1317</v>
      </c>
      <c r="B28" s="27" t="s">
        <v>1318</v>
      </c>
      <c r="C28" s="27" t="s">
        <v>1161</v>
      </c>
      <c r="D28" s="31">
        <v>400</v>
      </c>
      <c r="E28" s="29">
        <v>401.58519999999999</v>
      </c>
      <c r="F28" s="30">
        <v>0.19262828517102901</v>
      </c>
      <c r="G28" s="29">
        <v>10.001200000000001</v>
      </c>
      <c r="H28" s="30">
        <v>9.7944524835000006</v>
      </c>
    </row>
    <row r="29" spans="1:9" x14ac:dyDescent="0.2">
      <c r="A29" s="27" t="s">
        <v>1183</v>
      </c>
      <c r="B29" s="27" t="s">
        <v>1184</v>
      </c>
      <c r="C29" s="27" t="s">
        <v>1164</v>
      </c>
      <c r="D29" s="31">
        <v>40</v>
      </c>
      <c r="E29" s="29">
        <v>400.0736</v>
      </c>
      <c r="F29" s="30">
        <v>0.191903216329187</v>
      </c>
      <c r="G29" s="29">
        <v>4.6500000000000004</v>
      </c>
      <c r="H29" s="30"/>
    </row>
    <row r="30" spans="1:9" x14ac:dyDescent="0.2">
      <c r="A30" s="26" t="s">
        <v>35</v>
      </c>
      <c r="B30" s="26"/>
      <c r="C30" s="26"/>
      <c r="D30" s="32"/>
      <c r="E30" s="33">
        <f>SUM(E6:E29)</f>
        <v>144002.83639400007</v>
      </c>
      <c r="F30" s="34">
        <f>SUM(F6:F29)</f>
        <v>69.073809080465082</v>
      </c>
      <c r="G30" s="33"/>
      <c r="H30" s="30"/>
      <c r="I30" s="18"/>
    </row>
    <row r="31" spans="1:9" x14ac:dyDescent="0.2">
      <c r="A31" s="27"/>
      <c r="B31" s="27"/>
      <c r="C31" s="27"/>
      <c r="D31" s="28"/>
      <c r="E31" s="29"/>
      <c r="F31" s="30"/>
      <c r="G31" s="29"/>
      <c r="H31" s="30"/>
    </row>
    <row r="32" spans="1:9" x14ac:dyDescent="0.2">
      <c r="A32" s="26" t="s">
        <v>36</v>
      </c>
      <c r="B32" s="27"/>
      <c r="C32" s="27"/>
      <c r="D32" s="28"/>
      <c r="E32" s="29"/>
      <c r="F32" s="30"/>
      <c r="G32" s="29"/>
      <c r="H32" s="30"/>
    </row>
    <row r="33" spans="1:9" x14ac:dyDescent="0.2">
      <c r="A33" s="27" t="s">
        <v>1185</v>
      </c>
      <c r="B33" s="27" t="s">
        <v>1186</v>
      </c>
      <c r="C33" s="27" t="s">
        <v>1187</v>
      </c>
      <c r="D33" s="31">
        <v>580</v>
      </c>
      <c r="E33" s="29">
        <v>5217.0443519999999</v>
      </c>
      <c r="F33" s="30">
        <v>2.5024585248334801</v>
      </c>
      <c r="G33" s="29">
        <v>11</v>
      </c>
      <c r="H33" s="30"/>
    </row>
    <row r="34" spans="1:9" x14ac:dyDescent="0.2">
      <c r="A34" s="27" t="s">
        <v>1188</v>
      </c>
      <c r="B34" s="27" t="s">
        <v>1189</v>
      </c>
      <c r="C34" s="27" t="s">
        <v>1190</v>
      </c>
      <c r="D34" s="31">
        <v>200</v>
      </c>
      <c r="E34" s="29">
        <v>1957.972</v>
      </c>
      <c r="F34" s="30">
        <v>0.93918000158593795</v>
      </c>
      <c r="G34" s="29">
        <v>11.475</v>
      </c>
      <c r="H34" s="30"/>
    </row>
    <row r="35" spans="1:9" x14ac:dyDescent="0.2">
      <c r="A35" s="27" t="s">
        <v>1193</v>
      </c>
      <c r="B35" s="27" t="s">
        <v>1194</v>
      </c>
      <c r="C35" s="27" t="s">
        <v>1187</v>
      </c>
      <c r="D35" s="31">
        <v>130</v>
      </c>
      <c r="E35" s="29">
        <v>1144.25857</v>
      </c>
      <c r="F35" s="30">
        <v>0.548866258346556</v>
      </c>
      <c r="G35" s="29">
        <v>11</v>
      </c>
      <c r="H35" s="30"/>
    </row>
    <row r="36" spans="1:9" x14ac:dyDescent="0.2">
      <c r="A36" s="27" t="s">
        <v>1331</v>
      </c>
      <c r="B36" s="27" t="s">
        <v>1332</v>
      </c>
      <c r="C36" s="27" t="s">
        <v>1197</v>
      </c>
      <c r="D36" s="31">
        <v>750</v>
      </c>
      <c r="E36" s="29">
        <v>0</v>
      </c>
      <c r="F36" s="29">
        <v>0</v>
      </c>
      <c r="G36" s="29">
        <v>0</v>
      </c>
      <c r="H36" s="30"/>
    </row>
    <row r="37" spans="1:9" x14ac:dyDescent="0.2">
      <c r="A37" s="27" t="s">
        <v>1300</v>
      </c>
      <c r="B37" s="27" t="s">
        <v>1301</v>
      </c>
      <c r="C37" s="27" t="s">
        <v>1197</v>
      </c>
      <c r="D37" s="31">
        <v>150</v>
      </c>
      <c r="E37" s="29">
        <v>0</v>
      </c>
      <c r="F37" s="29">
        <v>0</v>
      </c>
      <c r="G37" s="29">
        <v>0</v>
      </c>
      <c r="H37" s="34"/>
    </row>
    <row r="38" spans="1:9" x14ac:dyDescent="0.2">
      <c r="A38" s="26" t="s">
        <v>35</v>
      </c>
      <c r="B38" s="26"/>
      <c r="C38" s="26"/>
      <c r="D38" s="32"/>
      <c r="E38" s="33">
        <f>SUM(E32:E37)</f>
        <v>8319.2749220000005</v>
      </c>
      <c r="F38" s="34">
        <f>SUM(F32:F37)</f>
        <v>3.990504784765974</v>
      </c>
      <c r="G38" s="33"/>
      <c r="H38" s="30"/>
      <c r="I38" s="18"/>
    </row>
    <row r="39" spans="1:9" x14ac:dyDescent="0.2">
      <c r="A39" s="27"/>
      <c r="B39" s="27"/>
      <c r="C39" s="27"/>
      <c r="D39" s="28"/>
      <c r="E39" s="29"/>
      <c r="F39" s="30"/>
      <c r="G39" s="29"/>
      <c r="H39" s="30"/>
    </row>
    <row r="40" spans="1:9" x14ac:dyDescent="0.2">
      <c r="A40" s="26" t="s">
        <v>37</v>
      </c>
      <c r="B40" s="27"/>
      <c r="C40" s="27"/>
      <c r="D40" s="28"/>
      <c r="E40" s="29"/>
      <c r="F40" s="30"/>
      <c r="G40" s="29"/>
      <c r="H40" s="30"/>
    </row>
    <row r="41" spans="1:9" x14ac:dyDescent="0.2">
      <c r="A41" s="27" t="s">
        <v>1202</v>
      </c>
      <c r="B41" s="27" t="s">
        <v>1203</v>
      </c>
      <c r="C41" s="27" t="s">
        <v>1204</v>
      </c>
      <c r="D41" s="31">
        <v>1572168.936</v>
      </c>
      <c r="E41" s="29">
        <v>52974.329769999997</v>
      </c>
      <c r="F41" s="30">
        <v>25.4101851902901</v>
      </c>
      <c r="G41" s="29">
        <v>3.1816</v>
      </c>
      <c r="H41" s="30"/>
    </row>
    <row r="42" spans="1:9" x14ac:dyDescent="0.2">
      <c r="A42" s="26" t="s">
        <v>35</v>
      </c>
      <c r="B42" s="26"/>
      <c r="C42" s="26"/>
      <c r="D42" s="32"/>
      <c r="E42" s="33">
        <f>SUM(E41:E41)</f>
        <v>52974.329769999997</v>
      </c>
      <c r="F42" s="34">
        <f>SUM(F41:F41)</f>
        <v>25.4101851902901</v>
      </c>
      <c r="G42" s="33"/>
      <c r="H42" s="30"/>
      <c r="I42" s="18"/>
    </row>
    <row r="43" spans="1:9" x14ac:dyDescent="0.2">
      <c r="A43" s="27"/>
      <c r="B43" s="27"/>
      <c r="C43" s="27"/>
      <c r="D43" s="28"/>
      <c r="E43" s="29"/>
      <c r="F43" s="30"/>
      <c r="G43" s="29"/>
      <c r="H43" s="30"/>
    </row>
    <row r="44" spans="1:9" x14ac:dyDescent="0.2">
      <c r="A44" s="26" t="s">
        <v>38</v>
      </c>
      <c r="B44" s="26"/>
      <c r="C44" s="26"/>
      <c r="D44" s="32"/>
      <c r="E44" s="33">
        <f>E30+E38+E42</f>
        <v>205296.44108600006</v>
      </c>
      <c r="F44" s="34">
        <f>F30+F38+F42</f>
        <v>98.474499055521164</v>
      </c>
      <c r="G44" s="33"/>
      <c r="H44" s="30"/>
      <c r="I44" s="18"/>
    </row>
    <row r="45" spans="1:9" x14ac:dyDescent="0.2">
      <c r="A45" s="26"/>
      <c r="B45" s="26"/>
      <c r="C45" s="26"/>
      <c r="D45" s="32"/>
      <c r="E45" s="33"/>
      <c r="F45" s="34"/>
      <c r="G45" s="33"/>
      <c r="H45" s="30"/>
      <c r="I45" s="18"/>
    </row>
    <row r="46" spans="1:9" x14ac:dyDescent="0.2">
      <c r="A46" s="26" t="s">
        <v>40</v>
      </c>
      <c r="B46" s="26"/>
      <c r="C46" s="26"/>
      <c r="D46" s="32"/>
      <c r="E46" s="33">
        <f>E48-(E30+E38+E42)</f>
        <v>3180.3148812999425</v>
      </c>
      <c r="F46" s="34">
        <f>F48-(F30+F38+F42)</f>
        <v>1.5255009444788357</v>
      </c>
      <c r="G46" s="33"/>
      <c r="H46" s="29"/>
      <c r="I46" s="18"/>
    </row>
    <row r="47" spans="1:9" x14ac:dyDescent="0.2">
      <c r="A47" s="26"/>
      <c r="B47" s="26"/>
      <c r="C47" s="26"/>
      <c r="D47" s="32"/>
      <c r="E47" s="33"/>
      <c r="F47" s="34"/>
      <c r="G47" s="33"/>
      <c r="H47" s="29"/>
      <c r="I47" s="18"/>
    </row>
    <row r="48" spans="1:9" x14ac:dyDescent="0.2">
      <c r="A48" s="35" t="s">
        <v>39</v>
      </c>
      <c r="B48" s="35"/>
      <c r="C48" s="35"/>
      <c r="D48" s="36"/>
      <c r="E48" s="37">
        <v>208476.75596730001</v>
      </c>
      <c r="F48" s="38">
        <v>100</v>
      </c>
      <c r="G48" s="37"/>
      <c r="H48" s="37"/>
      <c r="I48" s="18"/>
    </row>
    <row r="49" spans="1:8" x14ac:dyDescent="0.2">
      <c r="H49" s="13"/>
    </row>
    <row r="50" spans="1:8" x14ac:dyDescent="0.2">
      <c r="A50" s="18" t="s">
        <v>41</v>
      </c>
      <c r="H50" s="13"/>
    </row>
    <row r="51" spans="1:8" x14ac:dyDescent="0.2">
      <c r="A51" s="49" t="s">
        <v>1216</v>
      </c>
      <c r="H51" s="13"/>
    </row>
    <row r="52" spans="1:8" x14ac:dyDescent="0.2">
      <c r="A52" s="9" t="s">
        <v>1205</v>
      </c>
      <c r="H52" s="13"/>
    </row>
    <row r="53" spans="1:8" x14ac:dyDescent="0.2">
      <c r="H53" s="13"/>
    </row>
    <row r="54" spans="1:8" x14ac:dyDescent="0.2">
      <c r="A54" s="18" t="s">
        <v>42</v>
      </c>
      <c r="H54" s="13"/>
    </row>
    <row r="55" spans="1:8" x14ac:dyDescent="0.2">
      <c r="A55" s="18" t="s">
        <v>43</v>
      </c>
      <c r="H55" s="13"/>
    </row>
    <row r="56" spans="1:8" x14ac:dyDescent="0.2">
      <c r="A56" s="18" t="s">
        <v>44</v>
      </c>
      <c r="B56" s="18"/>
      <c r="C56" s="39" t="s">
        <v>46</v>
      </c>
      <c r="D56" s="19" t="s">
        <v>45</v>
      </c>
      <c r="H56" s="13"/>
    </row>
    <row r="57" spans="1:8" x14ac:dyDescent="0.2">
      <c r="A57" s="9" t="s">
        <v>70</v>
      </c>
      <c r="C57" s="40">
        <v>19.518899999999999</v>
      </c>
      <c r="D57" s="40">
        <v>21.305299999999999</v>
      </c>
      <c r="H57" s="13"/>
    </row>
    <row r="58" spans="1:8" x14ac:dyDescent="0.2">
      <c r="A58" s="9" t="s">
        <v>76</v>
      </c>
      <c r="C58" s="40">
        <v>10.467000000000001</v>
      </c>
      <c r="D58" s="40">
        <v>11.425000000000001</v>
      </c>
      <c r="H58" s="13"/>
    </row>
    <row r="59" spans="1:8" x14ac:dyDescent="0.2">
      <c r="A59" s="9" t="s">
        <v>73</v>
      </c>
      <c r="C59" s="40">
        <v>20.755400000000002</v>
      </c>
      <c r="D59" s="40">
        <v>22.694600000000001</v>
      </c>
      <c r="H59" s="13"/>
    </row>
    <row r="60" spans="1:8" x14ac:dyDescent="0.2">
      <c r="A60" s="9" t="s">
        <v>77</v>
      </c>
      <c r="C60" s="40">
        <v>11.374599999999999</v>
      </c>
      <c r="D60" s="40">
        <v>12.4374</v>
      </c>
      <c r="H60" s="13"/>
    </row>
    <row r="62" spans="1:8" x14ac:dyDescent="0.2">
      <c r="A62" s="9" t="s">
        <v>47</v>
      </c>
    </row>
    <row r="64" spans="1:8" x14ac:dyDescent="0.2">
      <c r="A64" s="18" t="s">
        <v>48</v>
      </c>
      <c r="D64" s="41" t="s">
        <v>49</v>
      </c>
    </row>
    <row r="66" spans="1:7" x14ac:dyDescent="0.2">
      <c r="A66" s="18" t="s">
        <v>824</v>
      </c>
      <c r="D66" s="42">
        <v>2.3534443482191798</v>
      </c>
      <c r="E66" s="13" t="s">
        <v>50</v>
      </c>
    </row>
    <row r="68" spans="1:7" x14ac:dyDescent="0.2">
      <c r="A68" s="18" t="s">
        <v>732</v>
      </c>
      <c r="D68" s="41" t="s">
        <v>49</v>
      </c>
    </row>
    <row r="69" spans="1:7" x14ac:dyDescent="0.2">
      <c r="A69" s="9" t="s">
        <v>733</v>
      </c>
    </row>
    <row r="70" spans="1:7" x14ac:dyDescent="0.2">
      <c r="A70" s="47" t="s">
        <v>734</v>
      </c>
    </row>
    <row r="72" spans="1:7" ht="26.25" customHeight="1" x14ac:dyDescent="0.2">
      <c r="A72" s="84" t="s">
        <v>1333</v>
      </c>
      <c r="B72" s="84"/>
      <c r="C72" s="84"/>
      <c r="D72" s="84"/>
      <c r="E72" s="84"/>
      <c r="F72" s="84"/>
      <c r="G72" s="84"/>
    </row>
    <row r="74" spans="1:7" ht="36.75" customHeight="1" x14ac:dyDescent="0.2">
      <c r="A74" s="85" t="s">
        <v>1334</v>
      </c>
      <c r="B74" s="85"/>
      <c r="C74" s="85"/>
      <c r="D74" s="85"/>
      <c r="E74" s="85"/>
      <c r="F74" s="85"/>
      <c r="G74" s="85"/>
    </row>
    <row r="76" spans="1:7" ht="39" customHeight="1" x14ac:dyDescent="0.2">
      <c r="A76" s="85" t="s">
        <v>1335</v>
      </c>
      <c r="B76" s="85"/>
      <c r="C76" s="85"/>
      <c r="D76" s="85"/>
      <c r="E76" s="85"/>
      <c r="F76" s="85"/>
      <c r="G76" s="85"/>
    </row>
    <row r="77" spans="1:7" x14ac:dyDescent="0.2">
      <c r="A77" s="56" t="s">
        <v>1209</v>
      </c>
    </row>
    <row r="78" spans="1:7" x14ac:dyDescent="0.2">
      <c r="A78" s="56"/>
    </row>
    <row r="79" spans="1:7" ht="27" customHeight="1" x14ac:dyDescent="0.2">
      <c r="A79" s="86" t="s">
        <v>1210</v>
      </c>
      <c r="B79" s="86"/>
      <c r="C79" s="86"/>
      <c r="D79" s="86"/>
      <c r="E79" s="86"/>
      <c r="F79" s="86"/>
      <c r="G79" s="86"/>
    </row>
    <row r="81" spans="1:9" ht="14.4" x14ac:dyDescent="0.2">
      <c r="A81" s="79" t="s">
        <v>1211</v>
      </c>
      <c r="B81" s="80"/>
      <c r="C81" s="80"/>
      <c r="D81" s="80"/>
      <c r="E81" s="80"/>
      <c r="F81" s="80"/>
      <c r="G81" s="80"/>
    </row>
    <row r="82" spans="1:9" x14ac:dyDescent="0.2">
      <c r="A82" s="47" t="s">
        <v>51</v>
      </c>
    </row>
    <row r="84" spans="1:9" x14ac:dyDescent="0.2">
      <c r="A84" s="18" t="s">
        <v>754</v>
      </c>
    </row>
    <row r="86" spans="1:9" s="1" customFormat="1" ht="13.8" x14ac:dyDescent="0.2">
      <c r="A86" s="75" t="s">
        <v>1336</v>
      </c>
      <c r="B86" s="76"/>
      <c r="C86" s="76"/>
      <c r="D86" s="76"/>
      <c r="E86" s="76"/>
      <c r="F86" s="76"/>
      <c r="G86" s="76"/>
    </row>
    <row r="87" spans="1:9" x14ac:dyDescent="0.2">
      <c r="A87" s="18" t="s">
        <v>7</v>
      </c>
    </row>
    <row r="88" spans="1:9" s="1" customFormat="1" ht="17.399999999999999" customHeight="1" x14ac:dyDescent="0.2">
      <c r="A88" s="8" t="s">
        <v>2</v>
      </c>
      <c r="B88" s="8" t="s">
        <v>0</v>
      </c>
      <c r="C88" s="17" t="s">
        <v>758</v>
      </c>
      <c r="D88" s="16" t="s">
        <v>1</v>
      </c>
      <c r="E88" s="15" t="s">
        <v>3</v>
      </c>
      <c r="F88" s="15" t="s">
        <v>4</v>
      </c>
      <c r="G88" s="15" t="s">
        <v>6</v>
      </c>
    </row>
    <row r="89" spans="1:9" x14ac:dyDescent="0.2">
      <c r="A89" s="21" t="s">
        <v>31</v>
      </c>
      <c r="B89" s="22"/>
      <c r="C89" s="22"/>
      <c r="D89" s="23"/>
      <c r="E89" s="24"/>
      <c r="F89" s="25"/>
      <c r="G89" s="24"/>
    </row>
    <row r="90" spans="1:9" x14ac:dyDescent="0.2">
      <c r="A90" s="26" t="s">
        <v>32</v>
      </c>
      <c r="B90" s="27"/>
      <c r="C90" s="27"/>
      <c r="D90" s="28"/>
      <c r="E90" s="29"/>
      <c r="F90" s="30"/>
      <c r="G90" s="29"/>
    </row>
    <row r="91" spans="1:9" x14ac:dyDescent="0.2">
      <c r="A91" s="27" t="s">
        <v>1213</v>
      </c>
      <c r="B91" s="27" t="s">
        <v>1214</v>
      </c>
      <c r="C91" s="27" t="s">
        <v>1215</v>
      </c>
      <c r="D91" s="31">
        <v>3370</v>
      </c>
      <c r="E91" s="29">
        <v>0</v>
      </c>
      <c r="F91" s="64">
        <v>100</v>
      </c>
      <c r="G91" s="29">
        <v>0</v>
      </c>
    </row>
    <row r="92" spans="1:9" x14ac:dyDescent="0.2">
      <c r="A92" s="26" t="s">
        <v>35</v>
      </c>
      <c r="B92" s="26"/>
      <c r="C92" s="26"/>
      <c r="D92" s="32"/>
      <c r="E92" s="33">
        <f>SUM(E90:E91)</f>
        <v>0</v>
      </c>
      <c r="F92" s="65">
        <f>SUM(F90:F91)</f>
        <v>100</v>
      </c>
      <c r="G92" s="33"/>
      <c r="H92" s="18"/>
      <c r="I92" s="18"/>
    </row>
    <row r="93" spans="1:9" x14ac:dyDescent="0.2">
      <c r="A93" s="27"/>
      <c r="B93" s="27"/>
      <c r="C93" s="27"/>
      <c r="D93" s="28"/>
      <c r="E93" s="29"/>
      <c r="F93" s="66"/>
      <c r="G93" s="29"/>
    </row>
    <row r="94" spans="1:9" x14ac:dyDescent="0.2">
      <c r="A94" s="26" t="s">
        <v>38</v>
      </c>
      <c r="B94" s="26"/>
      <c r="C94" s="26"/>
      <c r="D94" s="32"/>
      <c r="E94" s="33">
        <f>E92</f>
        <v>0</v>
      </c>
      <c r="F94" s="65">
        <f>F92</f>
        <v>100</v>
      </c>
      <c r="G94" s="33"/>
      <c r="H94" s="18"/>
      <c r="I94" s="18"/>
    </row>
    <row r="95" spans="1:9" x14ac:dyDescent="0.2">
      <c r="A95" s="26"/>
      <c r="B95" s="26"/>
      <c r="C95" s="26"/>
      <c r="D95" s="32"/>
      <c r="E95" s="33"/>
      <c r="F95" s="65"/>
      <c r="G95" s="33"/>
      <c r="H95" s="18"/>
      <c r="I95" s="18"/>
    </row>
    <row r="96" spans="1:9" x14ac:dyDescent="0.2">
      <c r="A96" s="26" t="s">
        <v>40</v>
      </c>
      <c r="B96" s="26"/>
      <c r="C96" s="26"/>
      <c r="D96" s="32"/>
      <c r="E96" s="33">
        <f>E98-(E92)</f>
        <v>3.9999999999999998E-7</v>
      </c>
      <c r="F96" s="34">
        <v>0</v>
      </c>
      <c r="G96" s="33"/>
      <c r="H96" s="18"/>
      <c r="I96" s="18"/>
    </row>
    <row r="97" spans="1:9" x14ac:dyDescent="0.2">
      <c r="A97" s="26"/>
      <c r="B97" s="26"/>
      <c r="C97" s="26"/>
      <c r="D97" s="32"/>
      <c r="E97" s="33"/>
      <c r="F97" s="65"/>
      <c r="G97" s="33"/>
      <c r="H97" s="18"/>
      <c r="I97" s="18"/>
    </row>
    <row r="98" spans="1:9" x14ac:dyDescent="0.2">
      <c r="A98" s="35" t="s">
        <v>39</v>
      </c>
      <c r="B98" s="35"/>
      <c r="C98" s="35"/>
      <c r="D98" s="36"/>
      <c r="E98" s="37">
        <v>3.9999999999999998E-7</v>
      </c>
      <c r="F98" s="67">
        <v>100</v>
      </c>
      <c r="G98" s="37"/>
      <c r="H98" s="18"/>
      <c r="I98" s="18"/>
    </row>
    <row r="100" spans="1:9" x14ac:dyDescent="0.2">
      <c r="A100" s="18" t="s">
        <v>41</v>
      </c>
    </row>
    <row r="101" spans="1:9" x14ac:dyDescent="0.2">
      <c r="A101" s="49" t="s">
        <v>1216</v>
      </c>
    </row>
    <row r="102" spans="1:9" x14ac:dyDescent="0.2">
      <c r="A102" s="18" t="s">
        <v>1217</v>
      </c>
    </row>
    <row r="104" spans="1:9" x14ac:dyDescent="0.2">
      <c r="A104" s="18" t="s">
        <v>42</v>
      </c>
    </row>
    <row r="105" spans="1:9" x14ac:dyDescent="0.2">
      <c r="A105" s="18" t="s">
        <v>43</v>
      </c>
    </row>
    <row r="106" spans="1:9" x14ac:dyDescent="0.2">
      <c r="A106" s="18" t="s">
        <v>44</v>
      </c>
      <c r="B106" s="18"/>
      <c r="C106" s="39" t="s">
        <v>46</v>
      </c>
      <c r="D106" s="19" t="s">
        <v>45</v>
      </c>
    </row>
    <row r="107" spans="1:9" x14ac:dyDescent="0.2">
      <c r="A107" s="9" t="s">
        <v>70</v>
      </c>
      <c r="C107" s="40">
        <v>0</v>
      </c>
      <c r="D107" s="40">
        <v>0</v>
      </c>
    </row>
    <row r="108" spans="1:9" x14ac:dyDescent="0.2">
      <c r="A108" s="9" t="s">
        <v>76</v>
      </c>
      <c r="C108" s="40">
        <v>0</v>
      </c>
      <c r="D108" s="40">
        <v>0</v>
      </c>
    </row>
    <row r="109" spans="1:9" x14ac:dyDescent="0.2">
      <c r="A109" s="9" t="s">
        <v>73</v>
      </c>
      <c r="C109" s="40">
        <v>0</v>
      </c>
      <c r="D109" s="40">
        <v>0</v>
      </c>
    </row>
    <row r="110" spans="1:9" x14ac:dyDescent="0.2">
      <c r="A110" s="9" t="s">
        <v>77</v>
      </c>
      <c r="C110" s="40">
        <v>0</v>
      </c>
      <c r="D110" s="40">
        <v>0</v>
      </c>
    </row>
    <row r="112" spans="1:9" x14ac:dyDescent="0.2">
      <c r="A112" s="9" t="s">
        <v>47</v>
      </c>
    </row>
    <row r="114" spans="1:9" x14ac:dyDescent="0.2">
      <c r="A114" s="18" t="s">
        <v>1338</v>
      </c>
      <c r="D114" s="41" t="s">
        <v>49</v>
      </c>
    </row>
    <row r="115" spans="1:9" x14ac:dyDescent="0.2">
      <c r="A115" s="9" t="s">
        <v>733</v>
      </c>
    </row>
    <row r="116" spans="1:9" x14ac:dyDescent="0.2">
      <c r="A116" s="47" t="s">
        <v>734</v>
      </c>
    </row>
    <row r="118" spans="1:9" ht="15" customHeight="1" x14ac:dyDescent="0.2">
      <c r="A118" s="79" t="s">
        <v>1218</v>
      </c>
      <c r="B118" s="80"/>
      <c r="C118" s="80"/>
      <c r="D118" s="80"/>
      <c r="E118" s="80"/>
      <c r="F118" s="80"/>
      <c r="G118" s="80"/>
    </row>
    <row r="119" spans="1:9" x14ac:dyDescent="0.2">
      <c r="A119" s="47" t="s">
        <v>51</v>
      </c>
    </row>
    <row r="121" spans="1:9" s="1" customFormat="1" ht="15" customHeight="1" x14ac:dyDescent="0.2">
      <c r="A121" s="75" t="s">
        <v>1337</v>
      </c>
      <c r="B121" s="76"/>
      <c r="C121" s="76"/>
      <c r="D121" s="76"/>
      <c r="E121" s="76"/>
      <c r="F121" s="76"/>
      <c r="G121" s="76"/>
    </row>
    <row r="122" spans="1:9" x14ac:dyDescent="0.2">
      <c r="A122" s="18" t="s">
        <v>7</v>
      </c>
    </row>
    <row r="123" spans="1:9" s="1" customFormat="1" ht="17.399999999999999" customHeight="1" x14ac:dyDescent="0.2">
      <c r="A123" s="8" t="s">
        <v>2</v>
      </c>
      <c r="B123" s="8" t="s">
        <v>0</v>
      </c>
      <c r="C123" s="17" t="s">
        <v>758</v>
      </c>
      <c r="D123" s="16" t="s">
        <v>1</v>
      </c>
      <c r="E123" s="15" t="s">
        <v>3</v>
      </c>
      <c r="F123" s="15" t="s">
        <v>4</v>
      </c>
      <c r="G123" s="15" t="s">
        <v>6</v>
      </c>
    </row>
    <row r="124" spans="1:9" x14ac:dyDescent="0.2">
      <c r="A124" s="21" t="s">
        <v>31</v>
      </c>
      <c r="B124" s="22"/>
      <c r="C124" s="22"/>
      <c r="D124" s="23"/>
      <c r="E124" s="24"/>
      <c r="F124" s="25"/>
      <c r="G124" s="24"/>
    </row>
    <row r="125" spans="1:9" x14ac:dyDescent="0.2">
      <c r="A125" s="26" t="s">
        <v>32</v>
      </c>
      <c r="B125" s="27"/>
      <c r="C125" s="27"/>
      <c r="D125" s="28"/>
      <c r="E125" s="29"/>
      <c r="F125" s="30"/>
      <c r="G125" s="29"/>
    </row>
    <row r="126" spans="1:9" ht="20.399999999999999" x14ac:dyDescent="0.2">
      <c r="A126" s="27" t="s">
        <v>1220</v>
      </c>
      <c r="B126" s="27" t="s">
        <v>1221</v>
      </c>
      <c r="C126" s="53" t="s">
        <v>1222</v>
      </c>
      <c r="D126" s="31">
        <v>1695</v>
      </c>
      <c r="E126" s="29">
        <v>0</v>
      </c>
      <c r="F126" s="64">
        <v>100</v>
      </c>
      <c r="G126" s="29">
        <v>0</v>
      </c>
    </row>
    <row r="127" spans="1:9" x14ac:dyDescent="0.2">
      <c r="A127" s="26" t="s">
        <v>35</v>
      </c>
      <c r="B127" s="26"/>
      <c r="C127" s="26"/>
      <c r="D127" s="32"/>
      <c r="E127" s="33">
        <f>SUM(E125:E126)</f>
        <v>0</v>
      </c>
      <c r="F127" s="65">
        <f>SUM(F125:F126)</f>
        <v>100</v>
      </c>
      <c r="G127" s="33"/>
      <c r="H127" s="18"/>
      <c r="I127" s="18"/>
    </row>
    <row r="128" spans="1:9" x14ac:dyDescent="0.2">
      <c r="A128" s="27"/>
      <c r="B128" s="27"/>
      <c r="C128" s="27"/>
      <c r="D128" s="28"/>
      <c r="E128" s="29"/>
      <c r="F128" s="66"/>
      <c r="G128" s="29"/>
    </row>
    <row r="129" spans="1:9" x14ac:dyDescent="0.2">
      <c r="A129" s="26" t="s">
        <v>38</v>
      </c>
      <c r="B129" s="26"/>
      <c r="C129" s="26"/>
      <c r="D129" s="32"/>
      <c r="E129" s="33">
        <f>E127</f>
        <v>0</v>
      </c>
      <c r="F129" s="65">
        <f>F127</f>
        <v>100</v>
      </c>
      <c r="G129" s="33"/>
      <c r="H129" s="18"/>
      <c r="I129" s="18"/>
    </row>
    <row r="130" spans="1:9" x14ac:dyDescent="0.2">
      <c r="A130" s="26"/>
      <c r="B130" s="26"/>
      <c r="C130" s="26"/>
      <c r="D130" s="32"/>
      <c r="E130" s="33"/>
      <c r="F130" s="65"/>
      <c r="G130" s="33"/>
      <c r="H130" s="18"/>
      <c r="I130" s="18"/>
    </row>
    <row r="131" spans="1:9" x14ac:dyDescent="0.2">
      <c r="A131" s="26" t="s">
        <v>40</v>
      </c>
      <c r="B131" s="26"/>
      <c r="C131" s="26"/>
      <c r="D131" s="32"/>
      <c r="E131" s="33">
        <f>E133-(E127)</f>
        <v>3.9999999999999998E-7</v>
      </c>
      <c r="F131" s="34">
        <v>0</v>
      </c>
      <c r="G131" s="33"/>
      <c r="H131" s="18"/>
      <c r="I131" s="18"/>
    </row>
    <row r="132" spans="1:9" x14ac:dyDescent="0.2">
      <c r="A132" s="26"/>
      <c r="B132" s="26"/>
      <c r="C132" s="26"/>
      <c r="D132" s="32"/>
      <c r="E132" s="33"/>
      <c r="F132" s="65"/>
      <c r="G132" s="33"/>
      <c r="H132" s="18"/>
      <c r="I132" s="18"/>
    </row>
    <row r="133" spans="1:9" x14ac:dyDescent="0.2">
      <c r="A133" s="35" t="s">
        <v>39</v>
      </c>
      <c r="B133" s="35"/>
      <c r="C133" s="35"/>
      <c r="D133" s="36"/>
      <c r="E133" s="37">
        <v>3.9999999999999998E-7</v>
      </c>
      <c r="F133" s="67">
        <v>100</v>
      </c>
      <c r="G133" s="37"/>
      <c r="H133" s="18"/>
      <c r="I133" s="18"/>
    </row>
    <row r="135" spans="1:9" x14ac:dyDescent="0.2">
      <c r="A135" s="18" t="s">
        <v>41</v>
      </c>
    </row>
    <row r="136" spans="1:9" x14ac:dyDescent="0.2">
      <c r="A136" s="18" t="s">
        <v>1216</v>
      </c>
    </row>
    <row r="138" spans="1:9" x14ac:dyDescent="0.2">
      <c r="A138" s="18" t="s">
        <v>42</v>
      </c>
    </row>
    <row r="139" spans="1:9" x14ac:dyDescent="0.2">
      <c r="A139" s="18" t="s">
        <v>43</v>
      </c>
    </row>
    <row r="140" spans="1:9" x14ac:dyDescent="0.2">
      <c r="A140" s="18" t="s">
        <v>44</v>
      </c>
      <c r="B140" s="18"/>
      <c r="C140" s="39" t="s">
        <v>46</v>
      </c>
      <c r="D140" s="19" t="s">
        <v>45</v>
      </c>
    </row>
    <row r="141" spans="1:9" x14ac:dyDescent="0.2">
      <c r="A141" s="9" t="s">
        <v>70</v>
      </c>
      <c r="C141" s="40">
        <v>0</v>
      </c>
      <c r="D141" s="40">
        <v>0</v>
      </c>
    </row>
    <row r="142" spans="1:9" x14ac:dyDescent="0.2">
      <c r="A142" s="9" t="s">
        <v>76</v>
      </c>
      <c r="C142" s="40">
        <v>0</v>
      </c>
      <c r="D142" s="40">
        <v>0</v>
      </c>
    </row>
    <row r="143" spans="1:9" x14ac:dyDescent="0.2">
      <c r="A143" s="9" t="s">
        <v>73</v>
      </c>
      <c r="C143" s="40">
        <v>0</v>
      </c>
      <c r="D143" s="40">
        <v>0</v>
      </c>
    </row>
    <row r="144" spans="1:9" x14ac:dyDescent="0.2">
      <c r="A144" s="9" t="s">
        <v>77</v>
      </c>
      <c r="C144" s="40">
        <v>0</v>
      </c>
      <c r="D144" s="40">
        <v>0</v>
      </c>
    </row>
    <row r="146" spans="1:7" x14ac:dyDescent="0.2">
      <c r="A146" s="9" t="s">
        <v>47</v>
      </c>
    </row>
    <row r="148" spans="1:7" x14ac:dyDescent="0.2">
      <c r="A148" s="18" t="s">
        <v>1338</v>
      </c>
      <c r="D148" s="41" t="s">
        <v>49</v>
      </c>
    </row>
    <row r="149" spans="1:7" x14ac:dyDescent="0.2">
      <c r="A149" s="9" t="s">
        <v>733</v>
      </c>
    </row>
    <row r="150" spans="1:7" x14ac:dyDescent="0.2">
      <c r="A150" s="47" t="s">
        <v>734</v>
      </c>
    </row>
    <row r="152" spans="1:7" ht="14.4" x14ac:dyDescent="0.2">
      <c r="A152" s="79" t="s">
        <v>1218</v>
      </c>
      <c r="B152" s="80"/>
      <c r="C152" s="80"/>
      <c r="D152" s="80"/>
      <c r="E152" s="80"/>
      <c r="F152" s="80"/>
      <c r="G152" s="80"/>
    </row>
    <row r="153" spans="1:7" x14ac:dyDescent="0.2">
      <c r="A153" s="47" t="s">
        <v>51</v>
      </c>
    </row>
  </sheetData>
  <mergeCells count="10">
    <mergeCell ref="A86:G86"/>
    <mergeCell ref="A118:G118"/>
    <mergeCell ref="A121:G121"/>
    <mergeCell ref="A152:G152"/>
    <mergeCell ref="A1:H1"/>
    <mergeCell ref="A72:G72"/>
    <mergeCell ref="A74:G74"/>
    <mergeCell ref="A76:G76"/>
    <mergeCell ref="A79:G79"/>
    <mergeCell ref="A81:G81"/>
  </mergeCells>
  <conditionalFormatting sqref="F2:F3 F5:F35 F89:F90 F124:F125 F38:F67 F80 F83:F85 F87 F99:F113 F120 F122 F154:F65546 F134:F147">
    <cfRule type="cellIs" dxfId="39" priority="13" stopIfTrue="1" operator="between">
      <formula>0.009</formula>
      <formula>-0.009</formula>
    </cfRule>
  </conditionalFormatting>
  <conditionalFormatting sqref="H5:H45">
    <cfRule type="cellIs" dxfId="38" priority="12" stopIfTrue="1" operator="between">
      <formula>0.009</formula>
      <formula>-0.009</formula>
    </cfRule>
  </conditionalFormatting>
  <conditionalFormatting sqref="F68:F71 F73 F75 F77:F78">
    <cfRule type="cellIs" dxfId="37" priority="11" stopIfTrue="1" operator="between">
      <formula>0.009</formula>
      <formula>-0.009</formula>
    </cfRule>
  </conditionalFormatting>
  <conditionalFormatting sqref="F82">
    <cfRule type="cellIs" dxfId="36" priority="9" stopIfTrue="1" operator="between">
      <formula>0.009</formula>
      <formula>-0.009</formula>
    </cfRule>
  </conditionalFormatting>
  <conditionalFormatting sqref="F92:F95 F97:F98">
    <cfRule type="cellIs" dxfId="35" priority="8" stopIfTrue="1" operator="between">
      <formula>0.009</formula>
      <formula>-0.009</formula>
    </cfRule>
  </conditionalFormatting>
  <conditionalFormatting sqref="F119">
    <cfRule type="cellIs" dxfId="34" priority="5" stopIfTrue="1" operator="between">
      <formula>0.009</formula>
      <formula>-0.009</formula>
    </cfRule>
  </conditionalFormatting>
  <conditionalFormatting sqref="F114:F117">
    <cfRule type="cellIs" dxfId="33" priority="7" stopIfTrue="1" operator="between">
      <formula>0.009</formula>
      <formula>-0.009</formula>
    </cfRule>
  </conditionalFormatting>
  <conditionalFormatting sqref="F153">
    <cfRule type="cellIs" dxfId="32" priority="2" stopIfTrue="1" operator="between">
      <formula>0.009</formula>
      <formula>-0.009</formula>
    </cfRule>
  </conditionalFormatting>
  <conditionalFormatting sqref="F148:F151">
    <cfRule type="cellIs" dxfId="31" priority="4" stopIfTrue="1" operator="between">
      <formula>0.009</formula>
      <formula>-0.009</formula>
    </cfRule>
  </conditionalFormatting>
  <conditionalFormatting sqref="F127:F130 F132:F133">
    <cfRule type="cellIs" dxfId="30" priority="1" stopIfTrue="1" operator="between">
      <formula>0.009</formula>
      <formula>-0.009</formula>
    </cfRule>
  </conditionalFormatting>
  <hyperlinks>
    <hyperlink ref="A70" r:id="rId1" xr:uid="{00000000-0004-0000-1D00-000000000000}"/>
    <hyperlink ref="A77" r:id="rId2" xr:uid="{00000000-0004-0000-1D00-000001000000}"/>
    <hyperlink ref="A82" r:id="rId3" xr:uid="{00000000-0004-0000-1D00-000002000000}"/>
    <hyperlink ref="A116" r:id="rId4" xr:uid="{00000000-0004-0000-1D00-000003000000}"/>
    <hyperlink ref="A119" r:id="rId5" xr:uid="{00000000-0004-0000-1D00-000004000000}"/>
    <hyperlink ref="A150" r:id="rId6" xr:uid="{00000000-0004-0000-1D00-000005000000}"/>
    <hyperlink ref="A153" r:id="rId7" xr:uid="{00000000-0004-0000-1D00-000006000000}"/>
  </hyperlinks>
  <pageMargins left="0.7" right="0.7" top="0.75" bottom="0.75" header="0.3" footer="0.3"/>
  <pageSetup paperSize="9" orientation="portrait" r:id="rId8"/>
  <headerFooter>
    <oddFooter>&amp;C&amp;1#&amp;"Calibri"&amp;10&amp;K000000PUBLIC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91"/>
  <sheetViews>
    <sheetView workbookViewId="0">
      <selection sqref="A1:H1"/>
    </sheetView>
  </sheetViews>
  <sheetFormatPr defaultColWidth="9.109375" defaultRowHeight="10.199999999999999" x14ac:dyDescent="0.2"/>
  <cols>
    <col min="1" max="1" width="40.5546875" style="9" bestFit="1" customWidth="1"/>
    <col min="2" max="2" width="33.44140625" style="9" bestFit="1" customWidth="1"/>
    <col min="3" max="3" width="25.109375" style="9" bestFit="1" customWidth="1"/>
    <col min="4" max="4" width="15.5546875" style="10" bestFit="1" customWidth="1"/>
    <col min="5" max="5" width="23" style="13" bestFit="1" customWidth="1"/>
    <col min="6" max="6" width="13.5546875" style="14" bestFit="1" customWidth="1"/>
    <col min="7" max="7" width="13.5546875" style="14" customWidth="1"/>
    <col min="8" max="8" width="14.33203125" style="13" customWidth="1"/>
    <col min="9" max="16384" width="9.109375" style="9"/>
  </cols>
  <sheetData>
    <row r="1" spans="1:8" s="1" customFormat="1" ht="13.8" x14ac:dyDescent="0.2">
      <c r="A1" s="75" t="s">
        <v>8</v>
      </c>
      <c r="B1" s="76"/>
      <c r="C1" s="76"/>
      <c r="D1" s="76"/>
      <c r="E1" s="76"/>
      <c r="F1" s="76"/>
      <c r="G1" s="76"/>
      <c r="H1" s="76"/>
    </row>
    <row r="2" spans="1:8" s="1" customFormat="1" ht="11.4" x14ac:dyDescent="0.2">
      <c r="D2" s="6"/>
      <c r="E2" s="7"/>
      <c r="F2" s="12"/>
      <c r="G2" s="12"/>
      <c r="H2" s="13"/>
    </row>
    <row r="3" spans="1:8" s="1" customFormat="1" ht="12" x14ac:dyDescent="0.2">
      <c r="A3" s="11" t="s">
        <v>7</v>
      </c>
      <c r="B3" s="2"/>
      <c r="C3" s="3"/>
      <c r="D3" s="4"/>
      <c r="E3" s="5"/>
      <c r="F3" s="12"/>
      <c r="G3" s="12"/>
      <c r="H3" s="13"/>
    </row>
    <row r="4" spans="1:8" s="1" customFormat="1" ht="42.75" customHeight="1" x14ac:dyDescent="0.2">
      <c r="A4" s="8" t="s">
        <v>2</v>
      </c>
      <c r="B4" s="8" t="s">
        <v>0</v>
      </c>
      <c r="C4" s="17" t="s">
        <v>5</v>
      </c>
      <c r="D4" s="16" t="s">
        <v>1</v>
      </c>
      <c r="E4" s="15" t="s">
        <v>3</v>
      </c>
      <c r="F4" s="48" t="s">
        <v>738</v>
      </c>
      <c r="G4" s="48" t="s">
        <v>739</v>
      </c>
      <c r="H4" s="15" t="s">
        <v>6</v>
      </c>
    </row>
    <row r="5" spans="1:8" x14ac:dyDescent="0.2">
      <c r="A5" s="21" t="s">
        <v>98</v>
      </c>
      <c r="B5" s="22"/>
      <c r="C5" s="22"/>
      <c r="D5" s="23"/>
      <c r="E5" s="24"/>
      <c r="F5" s="25"/>
      <c r="G5" s="25"/>
      <c r="H5" s="24"/>
    </row>
    <row r="6" spans="1:8" x14ac:dyDescent="0.2">
      <c r="A6" s="26" t="s">
        <v>32</v>
      </c>
      <c r="B6" s="27"/>
      <c r="C6" s="27"/>
      <c r="D6" s="28"/>
      <c r="E6" s="29"/>
      <c r="F6" s="30"/>
      <c r="G6" s="30"/>
      <c r="H6" s="29"/>
    </row>
    <row r="7" spans="1:8" x14ac:dyDescent="0.2">
      <c r="A7" s="27" t="s">
        <v>186</v>
      </c>
      <c r="B7" s="27" t="s">
        <v>185</v>
      </c>
      <c r="C7" s="27" t="s">
        <v>187</v>
      </c>
      <c r="D7" s="31">
        <v>46100</v>
      </c>
      <c r="E7" s="29">
        <v>1176.86385</v>
      </c>
      <c r="F7" s="30">
        <v>9.7130975181116295</v>
      </c>
      <c r="G7" s="30">
        <v>-9.1214999999999993</v>
      </c>
      <c r="H7" s="29"/>
    </row>
    <row r="8" spans="1:8" x14ac:dyDescent="0.2">
      <c r="A8" s="27" t="s">
        <v>103</v>
      </c>
      <c r="B8" s="27" t="s">
        <v>102</v>
      </c>
      <c r="C8" s="27" t="s">
        <v>101</v>
      </c>
      <c r="D8" s="31">
        <v>136500</v>
      </c>
      <c r="E8" s="29">
        <v>1024.7055</v>
      </c>
      <c r="F8" s="30">
        <v>8.4572777461431397</v>
      </c>
      <c r="G8" s="30">
        <v>-5.2201000000000004</v>
      </c>
      <c r="H8" s="29"/>
    </row>
    <row r="9" spans="1:8" x14ac:dyDescent="0.2">
      <c r="A9" s="27" t="s">
        <v>133</v>
      </c>
      <c r="B9" s="27" t="s">
        <v>132</v>
      </c>
      <c r="C9" s="27" t="s">
        <v>134</v>
      </c>
      <c r="D9" s="31">
        <v>329400</v>
      </c>
      <c r="E9" s="29">
        <v>921.33180000000004</v>
      </c>
      <c r="F9" s="30">
        <v>7.6040959367876901</v>
      </c>
      <c r="G9" s="30">
        <v>-7.6407999999999996</v>
      </c>
      <c r="H9" s="29"/>
    </row>
    <row r="10" spans="1:8" x14ac:dyDescent="0.2">
      <c r="A10" s="27" t="s">
        <v>189</v>
      </c>
      <c r="B10" s="27" t="s">
        <v>188</v>
      </c>
      <c r="C10" s="27" t="s">
        <v>190</v>
      </c>
      <c r="D10" s="31">
        <v>123000</v>
      </c>
      <c r="E10" s="29">
        <v>666.22950000000003</v>
      </c>
      <c r="F10" s="30">
        <v>5.4986412429464604</v>
      </c>
      <c r="G10" s="30">
        <v>-5.5403000000000002</v>
      </c>
      <c r="H10" s="29"/>
    </row>
    <row r="11" spans="1:8" x14ac:dyDescent="0.2">
      <c r="A11" s="27" t="s">
        <v>108</v>
      </c>
      <c r="B11" s="27" t="s">
        <v>107</v>
      </c>
      <c r="C11" s="27" t="s">
        <v>101</v>
      </c>
      <c r="D11" s="31">
        <v>84061</v>
      </c>
      <c r="E11" s="29">
        <v>557.11427749999996</v>
      </c>
      <c r="F11" s="30">
        <v>4.59807250098625</v>
      </c>
      <c r="G11" s="30">
        <v>-3.0146000000000002</v>
      </c>
      <c r="H11" s="29"/>
    </row>
    <row r="12" spans="1:8" x14ac:dyDescent="0.2">
      <c r="A12" s="27" t="s">
        <v>105</v>
      </c>
      <c r="B12" s="27" t="s">
        <v>104</v>
      </c>
      <c r="C12" s="27" t="s">
        <v>106</v>
      </c>
      <c r="D12" s="31">
        <v>26745</v>
      </c>
      <c r="E12" s="29">
        <v>372.75843750000001</v>
      </c>
      <c r="F12" s="30">
        <v>3.0765148017218999</v>
      </c>
      <c r="G12" s="30"/>
      <c r="H12" s="29"/>
    </row>
    <row r="13" spans="1:8" x14ac:dyDescent="0.2">
      <c r="A13" s="27" t="s">
        <v>192</v>
      </c>
      <c r="B13" s="27" t="s">
        <v>191</v>
      </c>
      <c r="C13" s="27" t="s">
        <v>150</v>
      </c>
      <c r="D13" s="31">
        <v>4600</v>
      </c>
      <c r="E13" s="29">
        <v>325.96980000000002</v>
      </c>
      <c r="F13" s="30">
        <v>2.6903506768088299</v>
      </c>
      <c r="G13" s="30">
        <v>-2.6953999999999998</v>
      </c>
      <c r="H13" s="29"/>
    </row>
    <row r="14" spans="1:8" x14ac:dyDescent="0.2">
      <c r="A14" s="27" t="s">
        <v>194</v>
      </c>
      <c r="B14" s="27" t="s">
        <v>193</v>
      </c>
      <c r="C14" s="27" t="s">
        <v>195</v>
      </c>
      <c r="D14" s="31">
        <v>16100</v>
      </c>
      <c r="E14" s="29">
        <v>236.2997</v>
      </c>
      <c r="F14" s="30">
        <v>1.9502698035975199</v>
      </c>
      <c r="G14" s="30">
        <v>-1.9583999999999999</v>
      </c>
      <c r="H14" s="29"/>
    </row>
    <row r="15" spans="1:8" x14ac:dyDescent="0.2">
      <c r="A15" s="27" t="s">
        <v>136</v>
      </c>
      <c r="B15" s="27" t="s">
        <v>135</v>
      </c>
      <c r="C15" s="27" t="s">
        <v>101</v>
      </c>
      <c r="D15" s="31">
        <v>55462</v>
      </c>
      <c r="E15" s="29">
        <v>235.35299699999999</v>
      </c>
      <c r="F15" s="30">
        <v>1.9424563096579399</v>
      </c>
      <c r="G15" s="30"/>
      <c r="H15" s="29"/>
    </row>
    <row r="16" spans="1:8" x14ac:dyDescent="0.2">
      <c r="A16" s="27" t="s">
        <v>156</v>
      </c>
      <c r="B16" s="27" t="s">
        <v>155</v>
      </c>
      <c r="C16" s="27" t="s">
        <v>128</v>
      </c>
      <c r="D16" s="31">
        <v>18456</v>
      </c>
      <c r="E16" s="29">
        <v>231.318276</v>
      </c>
      <c r="F16" s="30">
        <v>1.90915624820107</v>
      </c>
      <c r="G16" s="30"/>
      <c r="H16" s="29"/>
    </row>
    <row r="17" spans="1:8" x14ac:dyDescent="0.2">
      <c r="A17" s="27" t="s">
        <v>197</v>
      </c>
      <c r="B17" s="27" t="s">
        <v>196</v>
      </c>
      <c r="C17" s="27" t="s">
        <v>128</v>
      </c>
      <c r="D17" s="31">
        <v>41250</v>
      </c>
      <c r="E17" s="29">
        <v>222.93562499999999</v>
      </c>
      <c r="F17" s="30">
        <v>1.83997109426563</v>
      </c>
      <c r="G17" s="30">
        <v>-1.8492999999999999</v>
      </c>
      <c r="H17" s="29"/>
    </row>
    <row r="18" spans="1:8" x14ac:dyDescent="0.2">
      <c r="A18" s="27" t="s">
        <v>199</v>
      </c>
      <c r="B18" s="27" t="s">
        <v>198</v>
      </c>
      <c r="C18" s="27" t="s">
        <v>145</v>
      </c>
      <c r="D18" s="31">
        <v>207938</v>
      </c>
      <c r="E18" s="29">
        <v>221.35000099999999</v>
      </c>
      <c r="F18" s="30">
        <v>1.8268843463473801</v>
      </c>
      <c r="G18" s="30"/>
      <c r="H18" s="29"/>
    </row>
    <row r="19" spans="1:8" x14ac:dyDescent="0.2">
      <c r="A19" s="27" t="s">
        <v>100</v>
      </c>
      <c r="B19" s="27" t="s">
        <v>99</v>
      </c>
      <c r="C19" s="27" t="s">
        <v>101</v>
      </c>
      <c r="D19" s="31">
        <v>13878</v>
      </c>
      <c r="E19" s="29">
        <v>210.369663</v>
      </c>
      <c r="F19" s="30">
        <v>1.7362595100285201</v>
      </c>
      <c r="G19" s="30"/>
      <c r="H19" s="29"/>
    </row>
    <row r="20" spans="1:8" x14ac:dyDescent="0.2">
      <c r="A20" s="27" t="s">
        <v>201</v>
      </c>
      <c r="B20" s="27" t="s">
        <v>200</v>
      </c>
      <c r="C20" s="27" t="s">
        <v>106</v>
      </c>
      <c r="D20" s="31">
        <v>17733</v>
      </c>
      <c r="E20" s="29">
        <v>181.1691945</v>
      </c>
      <c r="F20" s="30">
        <v>1.4952571221014499</v>
      </c>
      <c r="G20" s="30"/>
      <c r="H20" s="29"/>
    </row>
    <row r="21" spans="1:8" x14ac:dyDescent="0.2">
      <c r="A21" s="27" t="s">
        <v>203</v>
      </c>
      <c r="B21" s="27" t="s">
        <v>202</v>
      </c>
      <c r="C21" s="27" t="s">
        <v>204</v>
      </c>
      <c r="D21" s="31">
        <v>122059</v>
      </c>
      <c r="E21" s="29">
        <v>170.028187</v>
      </c>
      <c r="F21" s="30">
        <v>1.40330622030638</v>
      </c>
      <c r="G21" s="30"/>
      <c r="H21" s="29"/>
    </row>
    <row r="22" spans="1:8" x14ac:dyDescent="0.2">
      <c r="A22" s="27" t="s">
        <v>147</v>
      </c>
      <c r="B22" s="27" t="s">
        <v>146</v>
      </c>
      <c r="C22" s="27" t="s">
        <v>145</v>
      </c>
      <c r="D22" s="31">
        <v>150349</v>
      </c>
      <c r="E22" s="29">
        <v>166.13564500000001</v>
      </c>
      <c r="F22" s="30">
        <v>1.3711796153135101</v>
      </c>
      <c r="G22" s="30"/>
      <c r="H22" s="29"/>
    </row>
    <row r="23" spans="1:8" x14ac:dyDescent="0.2">
      <c r="A23" s="27" t="s">
        <v>144</v>
      </c>
      <c r="B23" s="27" t="s">
        <v>143</v>
      </c>
      <c r="C23" s="27" t="s">
        <v>145</v>
      </c>
      <c r="D23" s="31">
        <v>70523</v>
      </c>
      <c r="E23" s="29">
        <v>159.13514950000001</v>
      </c>
      <c r="F23" s="30">
        <v>1.31340190766568</v>
      </c>
      <c r="G23" s="30"/>
      <c r="H23" s="29"/>
    </row>
    <row r="24" spans="1:8" x14ac:dyDescent="0.2">
      <c r="A24" s="27" t="s">
        <v>206</v>
      </c>
      <c r="B24" s="27" t="s">
        <v>205</v>
      </c>
      <c r="C24" s="27" t="s">
        <v>187</v>
      </c>
      <c r="D24" s="31">
        <v>23811</v>
      </c>
      <c r="E24" s="29">
        <v>152.64041549999999</v>
      </c>
      <c r="F24" s="30">
        <v>1.2597984388394401</v>
      </c>
      <c r="G24" s="30"/>
      <c r="H24" s="29"/>
    </row>
    <row r="25" spans="1:8" x14ac:dyDescent="0.2">
      <c r="A25" s="27" t="s">
        <v>113</v>
      </c>
      <c r="B25" s="27" t="s">
        <v>112</v>
      </c>
      <c r="C25" s="27" t="s">
        <v>114</v>
      </c>
      <c r="D25" s="31">
        <v>27951</v>
      </c>
      <c r="E25" s="29">
        <v>149.50989899999999</v>
      </c>
      <c r="F25" s="30">
        <v>1.2339611153065999</v>
      </c>
      <c r="G25" s="30"/>
      <c r="H25" s="29"/>
    </row>
    <row r="26" spans="1:8" x14ac:dyDescent="0.2">
      <c r="A26" s="27" t="s">
        <v>127</v>
      </c>
      <c r="B26" s="27" t="s">
        <v>126</v>
      </c>
      <c r="C26" s="27" t="s">
        <v>128</v>
      </c>
      <c r="D26" s="31">
        <v>7787</v>
      </c>
      <c r="E26" s="29">
        <v>133.9714415</v>
      </c>
      <c r="F26" s="30">
        <v>1.1057164139517801</v>
      </c>
      <c r="G26" s="30"/>
      <c r="H26" s="29"/>
    </row>
    <row r="27" spans="1:8" x14ac:dyDescent="0.2">
      <c r="A27" s="27" t="s">
        <v>208</v>
      </c>
      <c r="B27" s="27" t="s">
        <v>207</v>
      </c>
      <c r="C27" s="27" t="s">
        <v>134</v>
      </c>
      <c r="D27" s="31">
        <v>121901</v>
      </c>
      <c r="E27" s="29">
        <v>133.17684249999999</v>
      </c>
      <c r="F27" s="30">
        <v>1.09915829121329</v>
      </c>
      <c r="G27" s="30"/>
      <c r="H27" s="29"/>
    </row>
    <row r="28" spans="1:8" x14ac:dyDescent="0.2">
      <c r="A28" s="27" t="s">
        <v>210</v>
      </c>
      <c r="B28" s="27" t="s">
        <v>209</v>
      </c>
      <c r="C28" s="27" t="s">
        <v>211</v>
      </c>
      <c r="D28" s="31">
        <v>64953</v>
      </c>
      <c r="E28" s="29">
        <v>130.71791250000001</v>
      </c>
      <c r="F28" s="30">
        <v>1.07886382224799</v>
      </c>
      <c r="G28" s="30"/>
      <c r="H28" s="29"/>
    </row>
    <row r="29" spans="1:8" x14ac:dyDescent="0.2">
      <c r="A29" s="27" t="s">
        <v>130</v>
      </c>
      <c r="B29" s="27" t="s">
        <v>129</v>
      </c>
      <c r="C29" s="27" t="s">
        <v>131</v>
      </c>
      <c r="D29" s="31">
        <v>2392</v>
      </c>
      <c r="E29" s="29">
        <v>126.994868</v>
      </c>
      <c r="F29" s="30">
        <v>1.0481361435171199</v>
      </c>
      <c r="G29" s="30"/>
      <c r="H29" s="29"/>
    </row>
    <row r="30" spans="1:8" x14ac:dyDescent="0.2">
      <c r="A30" s="27" t="s">
        <v>213</v>
      </c>
      <c r="B30" s="27" t="s">
        <v>212</v>
      </c>
      <c r="C30" s="27" t="s">
        <v>214</v>
      </c>
      <c r="D30" s="31">
        <v>76471</v>
      </c>
      <c r="E30" s="29">
        <v>125.41244</v>
      </c>
      <c r="F30" s="30">
        <v>1.03507577338222</v>
      </c>
      <c r="G30" s="30"/>
      <c r="H30" s="29"/>
    </row>
    <row r="31" spans="1:8" x14ac:dyDescent="0.2">
      <c r="A31" s="27" t="s">
        <v>140</v>
      </c>
      <c r="B31" s="27" t="s">
        <v>139</v>
      </c>
      <c r="C31" s="27" t="s">
        <v>125</v>
      </c>
      <c r="D31" s="31">
        <v>42933</v>
      </c>
      <c r="E31" s="29">
        <v>116.3698965</v>
      </c>
      <c r="F31" s="30">
        <v>0.96044427983496805</v>
      </c>
      <c r="G31" s="30"/>
      <c r="H31" s="29"/>
    </row>
    <row r="32" spans="1:8" x14ac:dyDescent="0.2">
      <c r="A32" s="27" t="s">
        <v>216</v>
      </c>
      <c r="B32" s="27" t="s">
        <v>215</v>
      </c>
      <c r="C32" s="27" t="s">
        <v>187</v>
      </c>
      <c r="D32" s="31">
        <v>21957</v>
      </c>
      <c r="E32" s="29">
        <v>115.41697050000001</v>
      </c>
      <c r="F32" s="30">
        <v>0.95257942514889304</v>
      </c>
      <c r="G32" s="30"/>
      <c r="H32" s="29"/>
    </row>
    <row r="33" spans="1:10" x14ac:dyDescent="0.2">
      <c r="A33" s="27" t="s">
        <v>124</v>
      </c>
      <c r="B33" s="27" t="s">
        <v>123</v>
      </c>
      <c r="C33" s="27" t="s">
        <v>125</v>
      </c>
      <c r="D33" s="31">
        <v>43156</v>
      </c>
      <c r="E33" s="29">
        <v>104.20016200000001</v>
      </c>
      <c r="F33" s="30">
        <v>0.86000290935015999</v>
      </c>
      <c r="G33" s="30"/>
      <c r="H33" s="29"/>
    </row>
    <row r="34" spans="1:10" x14ac:dyDescent="0.2">
      <c r="A34" s="27" t="s">
        <v>116</v>
      </c>
      <c r="B34" s="27" t="s">
        <v>115</v>
      </c>
      <c r="C34" s="27" t="s">
        <v>101</v>
      </c>
      <c r="D34" s="31">
        <v>5528</v>
      </c>
      <c r="E34" s="29">
        <v>99.929655999999994</v>
      </c>
      <c r="F34" s="30">
        <v>0.82475682610129397</v>
      </c>
      <c r="G34" s="30"/>
      <c r="H34" s="29"/>
    </row>
    <row r="35" spans="1:10" x14ac:dyDescent="0.2">
      <c r="A35" s="27" t="s">
        <v>218</v>
      </c>
      <c r="B35" s="27" t="s">
        <v>217</v>
      </c>
      <c r="C35" s="27" t="s">
        <v>125</v>
      </c>
      <c r="D35" s="31">
        <v>47372</v>
      </c>
      <c r="E35" s="29">
        <v>75.771513999999996</v>
      </c>
      <c r="F35" s="30">
        <v>0.62537064468159198</v>
      </c>
      <c r="G35" s="30"/>
      <c r="H35" s="29"/>
    </row>
    <row r="36" spans="1:10" x14ac:dyDescent="0.2">
      <c r="A36" s="27" t="s">
        <v>220</v>
      </c>
      <c r="B36" s="27" t="s">
        <v>219</v>
      </c>
      <c r="C36" s="27" t="s">
        <v>128</v>
      </c>
      <c r="D36" s="31">
        <v>402</v>
      </c>
      <c r="E36" s="29">
        <v>71.136111</v>
      </c>
      <c r="F36" s="30">
        <v>0.58711293001498299</v>
      </c>
      <c r="G36" s="30"/>
      <c r="H36" s="29"/>
    </row>
    <row r="37" spans="1:10" x14ac:dyDescent="0.2">
      <c r="A37" s="27" t="s">
        <v>222</v>
      </c>
      <c r="B37" s="27" t="s">
        <v>221</v>
      </c>
      <c r="C37" s="27" t="s">
        <v>101</v>
      </c>
      <c r="D37" s="31">
        <v>10000</v>
      </c>
      <c r="E37" s="29">
        <v>8.7249999999999996</v>
      </c>
      <c r="F37" s="30">
        <v>7.2010688275898696E-2</v>
      </c>
      <c r="G37" s="30">
        <v>-7.2400000000000006E-2</v>
      </c>
      <c r="H37" s="29"/>
    </row>
    <row r="38" spans="1:10" x14ac:dyDescent="0.2">
      <c r="A38" s="26" t="s">
        <v>35</v>
      </c>
      <c r="B38" s="26"/>
      <c r="C38" s="26"/>
      <c r="D38" s="32"/>
      <c r="E38" s="33">
        <f>SUM(E7:E37)</f>
        <v>8623.0407319999995</v>
      </c>
      <c r="F38" s="34">
        <f>SUM(F7:F37)</f>
        <v>71.169180302857214</v>
      </c>
      <c r="G38" s="34">
        <f>SUM(G7:G37)</f>
        <v>-37.1128</v>
      </c>
      <c r="H38" s="33"/>
      <c r="I38" s="18"/>
      <c r="J38" s="18"/>
    </row>
    <row r="39" spans="1:10" x14ac:dyDescent="0.2">
      <c r="A39" s="27"/>
      <c r="B39" s="27"/>
      <c r="C39" s="27"/>
      <c r="D39" s="28"/>
      <c r="E39" s="29"/>
      <c r="F39" s="30"/>
      <c r="G39" s="30"/>
      <c r="H39" s="29"/>
    </row>
    <row r="40" spans="1:10" x14ac:dyDescent="0.2">
      <c r="A40" s="26" t="s">
        <v>223</v>
      </c>
      <c r="B40" s="27"/>
      <c r="C40" s="27"/>
      <c r="D40" s="28"/>
      <c r="E40" s="29"/>
      <c r="F40" s="30"/>
      <c r="G40" s="30"/>
      <c r="H40" s="29"/>
    </row>
    <row r="41" spans="1:10" x14ac:dyDescent="0.2">
      <c r="A41" s="27" t="s">
        <v>225</v>
      </c>
      <c r="B41" s="27" t="s">
        <v>224</v>
      </c>
      <c r="C41" s="27" t="s">
        <v>376</v>
      </c>
      <c r="D41" s="31">
        <v>44600</v>
      </c>
      <c r="E41" s="29">
        <v>145.04365999999999</v>
      </c>
      <c r="F41" s="30">
        <v>1.1970995744017701</v>
      </c>
      <c r="G41" s="30"/>
      <c r="H41" s="29"/>
    </row>
    <row r="42" spans="1:10" x14ac:dyDescent="0.2">
      <c r="A42" s="26" t="s">
        <v>35</v>
      </c>
      <c r="B42" s="26"/>
      <c r="C42" s="26"/>
      <c r="D42" s="32"/>
      <c r="E42" s="33">
        <f>SUM(E40:E41)</f>
        <v>145.04365999999999</v>
      </c>
      <c r="F42" s="34">
        <f>SUM(F40:F41)</f>
        <v>1.1970995744017701</v>
      </c>
      <c r="G42" s="34"/>
      <c r="H42" s="33"/>
      <c r="I42" s="18"/>
      <c r="J42" s="18"/>
    </row>
    <row r="43" spans="1:10" x14ac:dyDescent="0.2">
      <c r="A43" s="27"/>
      <c r="B43" s="27"/>
      <c r="C43" s="27"/>
      <c r="D43" s="28"/>
      <c r="E43" s="29"/>
      <c r="F43" s="30"/>
      <c r="G43" s="30"/>
      <c r="H43" s="29"/>
    </row>
    <row r="44" spans="1:10" x14ac:dyDescent="0.2">
      <c r="A44" s="26" t="s">
        <v>726</v>
      </c>
      <c r="B44" s="27"/>
      <c r="C44" s="27"/>
      <c r="D44" s="28"/>
      <c r="E44" s="29"/>
      <c r="F44" s="30"/>
      <c r="G44" s="30"/>
      <c r="H44" s="29"/>
    </row>
    <row r="45" spans="1:10" x14ac:dyDescent="0.2">
      <c r="A45" s="27" t="s">
        <v>182</v>
      </c>
      <c r="B45" s="27" t="s">
        <v>181</v>
      </c>
      <c r="C45" s="27" t="s">
        <v>145</v>
      </c>
      <c r="D45" s="31">
        <v>49500</v>
      </c>
      <c r="E45" s="29">
        <v>55.41525</v>
      </c>
      <c r="F45" s="30">
        <v>0.457362784353123</v>
      </c>
      <c r="G45" s="30"/>
      <c r="H45" s="29"/>
    </row>
    <row r="46" spans="1:10" x14ac:dyDescent="0.2">
      <c r="A46" s="26" t="s">
        <v>35</v>
      </c>
      <c r="B46" s="26"/>
      <c r="C46" s="26"/>
      <c r="D46" s="32"/>
      <c r="E46" s="33">
        <f>SUM(E44:E45)</f>
        <v>55.41525</v>
      </c>
      <c r="F46" s="34">
        <f>SUM(F44:F45)</f>
        <v>0.457362784353123</v>
      </c>
      <c r="G46" s="34"/>
      <c r="H46" s="33"/>
      <c r="I46" s="18"/>
      <c r="J46" s="18"/>
    </row>
    <row r="47" spans="1:10" x14ac:dyDescent="0.2">
      <c r="A47" s="27"/>
      <c r="B47" s="27"/>
      <c r="C47" s="27"/>
      <c r="D47" s="28"/>
      <c r="E47" s="29"/>
      <c r="F47" s="30"/>
      <c r="G47" s="30"/>
      <c r="H47" s="29"/>
    </row>
    <row r="48" spans="1:10" x14ac:dyDescent="0.2">
      <c r="A48" s="26" t="s">
        <v>62</v>
      </c>
      <c r="B48" s="27"/>
      <c r="C48" s="27"/>
      <c r="D48" s="28"/>
      <c r="E48" s="29"/>
      <c r="F48" s="30"/>
      <c r="G48" s="30"/>
      <c r="H48" s="29"/>
    </row>
    <row r="49" spans="1:10" x14ac:dyDescent="0.2">
      <c r="A49" s="27" t="s">
        <v>79</v>
      </c>
      <c r="B49" s="27" t="s">
        <v>78</v>
      </c>
      <c r="C49" s="27" t="s">
        <v>65</v>
      </c>
      <c r="D49" s="31">
        <v>500000</v>
      </c>
      <c r="E49" s="29">
        <v>494.18799999999999</v>
      </c>
      <c r="F49" s="30">
        <v>4.0787183974429597</v>
      </c>
      <c r="G49" s="30"/>
      <c r="H49" s="29">
        <v>5.4474</v>
      </c>
    </row>
    <row r="50" spans="1:10" x14ac:dyDescent="0.2">
      <c r="A50" s="26" t="s">
        <v>35</v>
      </c>
      <c r="B50" s="26"/>
      <c r="C50" s="26"/>
      <c r="D50" s="32"/>
      <c r="E50" s="33">
        <f>SUM(E49:E49)</f>
        <v>494.18799999999999</v>
      </c>
      <c r="F50" s="34">
        <f>SUM(F49:F49)</f>
        <v>4.0787183974429597</v>
      </c>
      <c r="G50" s="34"/>
      <c r="H50" s="33"/>
      <c r="I50" s="18"/>
      <c r="J50" s="18"/>
    </row>
    <row r="51" spans="1:10" x14ac:dyDescent="0.2">
      <c r="A51" s="27"/>
      <c r="B51" s="27"/>
      <c r="C51" s="27"/>
      <c r="D51" s="28"/>
      <c r="E51" s="29"/>
      <c r="F51" s="30"/>
      <c r="G51" s="30"/>
      <c r="H51" s="29"/>
    </row>
    <row r="52" spans="1:10" x14ac:dyDescent="0.2">
      <c r="A52" s="26" t="s">
        <v>38</v>
      </c>
      <c r="B52" s="26"/>
      <c r="C52" s="26"/>
      <c r="D52" s="32"/>
      <c r="E52" s="33">
        <f>E38+E42+E46+E50</f>
        <v>9317.687641999999</v>
      </c>
      <c r="F52" s="34">
        <f>F38+F42+F46+F50</f>
        <v>76.902361059055067</v>
      </c>
      <c r="G52" s="34"/>
      <c r="H52" s="33"/>
      <c r="I52" s="18"/>
      <c r="J52" s="18"/>
    </row>
    <row r="53" spans="1:10" x14ac:dyDescent="0.2">
      <c r="A53" s="26"/>
      <c r="B53" s="26"/>
      <c r="C53" s="26"/>
      <c r="D53" s="32"/>
      <c r="E53" s="33"/>
      <c r="F53" s="34"/>
      <c r="G53" s="34"/>
      <c r="H53" s="33"/>
      <c r="I53" s="18"/>
      <c r="J53" s="18"/>
    </row>
    <row r="54" spans="1:10" x14ac:dyDescent="0.2">
      <c r="A54" s="26" t="s">
        <v>40</v>
      </c>
      <c r="B54" s="26"/>
      <c r="C54" s="26"/>
      <c r="D54" s="32"/>
      <c r="E54" s="33">
        <f>E56-(E38+E42+E46+E50)</f>
        <v>2798.5692761000009</v>
      </c>
      <c r="F54" s="34">
        <f>F56-(F38+F42+F46+F50)</f>
        <v>23.097638940944933</v>
      </c>
      <c r="G54" s="34"/>
      <c r="H54" s="33"/>
      <c r="I54" s="18"/>
      <c r="J54" s="18"/>
    </row>
    <row r="55" spans="1:10" x14ac:dyDescent="0.2">
      <c r="A55" s="26"/>
      <c r="B55" s="26"/>
      <c r="C55" s="26"/>
      <c r="D55" s="32"/>
      <c r="E55" s="33"/>
      <c r="F55" s="34"/>
      <c r="G55" s="34"/>
      <c r="H55" s="33"/>
      <c r="I55" s="18"/>
      <c r="J55" s="18"/>
    </row>
    <row r="56" spans="1:10" x14ac:dyDescent="0.2">
      <c r="A56" s="35" t="s">
        <v>39</v>
      </c>
      <c r="B56" s="35"/>
      <c r="C56" s="35"/>
      <c r="D56" s="36"/>
      <c r="E56" s="37">
        <v>12116.2569181</v>
      </c>
      <c r="F56" s="38">
        <v>100</v>
      </c>
      <c r="G56" s="38"/>
      <c r="H56" s="37"/>
      <c r="I56" s="18"/>
      <c r="J56" s="18"/>
    </row>
    <row r="59" spans="1:10" x14ac:dyDescent="0.2">
      <c r="A59" s="18" t="s">
        <v>42</v>
      </c>
    </row>
    <row r="60" spans="1:10" x14ac:dyDescent="0.2">
      <c r="A60" s="18" t="s">
        <v>43</v>
      </c>
    </row>
    <row r="61" spans="1:10" x14ac:dyDescent="0.2">
      <c r="A61" s="18" t="s">
        <v>44</v>
      </c>
      <c r="B61" s="18"/>
      <c r="C61" s="39" t="s">
        <v>46</v>
      </c>
      <c r="D61" s="19" t="s">
        <v>45</v>
      </c>
    </row>
    <row r="62" spans="1:10" x14ac:dyDescent="0.2">
      <c r="A62" s="9" t="s">
        <v>70</v>
      </c>
      <c r="C62" s="40">
        <v>10.9495</v>
      </c>
      <c r="D62" s="40">
        <v>11.9435</v>
      </c>
    </row>
    <row r="63" spans="1:10" x14ac:dyDescent="0.2">
      <c r="A63" s="9" t="s">
        <v>76</v>
      </c>
      <c r="C63" s="40">
        <v>10.9495</v>
      </c>
      <c r="D63" s="40">
        <v>11.9435</v>
      </c>
    </row>
    <row r="64" spans="1:10" x14ac:dyDescent="0.2">
      <c r="A64" s="9" t="s">
        <v>71</v>
      </c>
      <c r="C64" s="40">
        <v>10.8835</v>
      </c>
      <c r="D64" s="40">
        <v>11.5846</v>
      </c>
    </row>
    <row r="65" spans="1:4" x14ac:dyDescent="0.2">
      <c r="A65" s="9" t="s">
        <v>72</v>
      </c>
      <c r="C65" s="40">
        <v>10.9495</v>
      </c>
      <c r="D65" s="40">
        <v>11.4956</v>
      </c>
    </row>
    <row r="66" spans="1:4" x14ac:dyDescent="0.2">
      <c r="A66" s="9" t="s">
        <v>73</v>
      </c>
      <c r="C66" s="40">
        <v>11.383800000000001</v>
      </c>
      <c r="D66" s="40">
        <v>12.503399999999999</v>
      </c>
    </row>
    <row r="67" spans="1:4" x14ac:dyDescent="0.2">
      <c r="A67" s="9" t="s">
        <v>77</v>
      </c>
      <c r="C67" s="40">
        <v>11.383800000000001</v>
      </c>
      <c r="D67" s="40">
        <v>12.503399999999999</v>
      </c>
    </row>
    <row r="68" spans="1:4" x14ac:dyDescent="0.2">
      <c r="A68" s="9" t="s">
        <v>74</v>
      </c>
      <c r="C68" s="40">
        <v>11.316000000000001</v>
      </c>
      <c r="D68" s="40">
        <v>12.139799999999999</v>
      </c>
    </row>
    <row r="69" spans="1:4" x14ac:dyDescent="0.2">
      <c r="A69" s="9" t="s">
        <v>75</v>
      </c>
      <c r="C69" s="40">
        <v>11.383800000000001</v>
      </c>
      <c r="D69" s="40">
        <v>12.053699999999999</v>
      </c>
    </row>
    <row r="71" spans="1:4" x14ac:dyDescent="0.2">
      <c r="A71" s="18" t="s">
        <v>48</v>
      </c>
    </row>
    <row r="72" spans="1:4" x14ac:dyDescent="0.2">
      <c r="A72" s="77" t="s">
        <v>67</v>
      </c>
      <c r="B72" s="78"/>
      <c r="C72" s="44" t="s">
        <v>68</v>
      </c>
    </row>
    <row r="73" spans="1:4" x14ac:dyDescent="0.2">
      <c r="A73" s="73" t="s">
        <v>71</v>
      </c>
      <c r="B73" s="74"/>
      <c r="C73" s="45">
        <v>0.28000000000000003</v>
      </c>
    </row>
    <row r="74" spans="1:4" x14ac:dyDescent="0.2">
      <c r="A74" s="73" t="s">
        <v>72</v>
      </c>
      <c r="B74" s="74"/>
      <c r="C74" s="45">
        <v>0.44</v>
      </c>
    </row>
    <row r="75" spans="1:4" x14ac:dyDescent="0.2">
      <c r="A75" s="73" t="s">
        <v>74</v>
      </c>
      <c r="B75" s="74"/>
      <c r="C75" s="45">
        <v>0.28000000000000003</v>
      </c>
    </row>
    <row r="76" spans="1:4" x14ac:dyDescent="0.2">
      <c r="A76" s="73" t="s">
        <v>75</v>
      </c>
      <c r="B76" s="74"/>
      <c r="C76" s="45">
        <v>0.44</v>
      </c>
    </row>
    <row r="77" spans="1:4" x14ac:dyDescent="0.2">
      <c r="A77" s="9" t="s">
        <v>69</v>
      </c>
    </row>
    <row r="78" spans="1:4" x14ac:dyDescent="0.2">
      <c r="A78" s="9" t="s">
        <v>47</v>
      </c>
    </row>
    <row r="80" spans="1:4" x14ac:dyDescent="0.2">
      <c r="A80" s="49" t="s">
        <v>742</v>
      </c>
      <c r="B80" s="50"/>
      <c r="C80" s="50"/>
      <c r="D80" s="51" t="s">
        <v>745</v>
      </c>
    </row>
    <row r="82" spans="1:5" x14ac:dyDescent="0.2">
      <c r="A82" s="18" t="s">
        <v>740</v>
      </c>
      <c r="D82" s="42">
        <f>-G38</f>
        <v>37.1128</v>
      </c>
    </row>
    <row r="84" spans="1:5" x14ac:dyDescent="0.2">
      <c r="A84" s="18" t="s">
        <v>741</v>
      </c>
      <c r="D84" s="46">
        <v>2.2524000000000002</v>
      </c>
    </row>
    <row r="86" spans="1:5" x14ac:dyDescent="0.2">
      <c r="A86" s="18" t="s">
        <v>743</v>
      </c>
      <c r="D86" s="42">
        <v>1.49295656530036</v>
      </c>
      <c r="E86" s="13" t="s">
        <v>50</v>
      </c>
    </row>
    <row r="88" spans="1:5" x14ac:dyDescent="0.2">
      <c r="A88" s="18" t="s">
        <v>744</v>
      </c>
      <c r="D88" s="41" t="s">
        <v>49</v>
      </c>
    </row>
    <row r="90" spans="1:5" x14ac:dyDescent="0.2">
      <c r="A90" s="18" t="s">
        <v>725</v>
      </c>
    </row>
    <row r="91" spans="1:5" x14ac:dyDescent="0.2">
      <c r="A91" s="47" t="s">
        <v>51</v>
      </c>
    </row>
  </sheetData>
  <mergeCells count="6">
    <mergeCell ref="A76:B76"/>
    <mergeCell ref="A1:H1"/>
    <mergeCell ref="A72:B72"/>
    <mergeCell ref="A73:B73"/>
    <mergeCell ref="A74:B74"/>
    <mergeCell ref="A75:B75"/>
  </mergeCells>
  <conditionalFormatting sqref="F2:G3 F5:G65540">
    <cfRule type="cellIs" dxfId="29" priority="1" stopIfTrue="1" operator="between">
      <formula>0.009</formula>
      <formula>-0.009</formula>
    </cfRule>
  </conditionalFormatting>
  <hyperlinks>
    <hyperlink ref="A91" r:id="rId1"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121"/>
  <sheetViews>
    <sheetView workbookViewId="0">
      <selection sqref="A1:G1"/>
    </sheetView>
  </sheetViews>
  <sheetFormatPr defaultColWidth="9.109375" defaultRowHeight="10.199999999999999" x14ac:dyDescent="0.2"/>
  <cols>
    <col min="1" max="1" width="40.44140625" style="9" bestFit="1" customWidth="1"/>
    <col min="2" max="2" width="51.88671875" style="9" bestFit="1" customWidth="1"/>
    <col min="3" max="3" width="25.109375" style="9" bestFit="1" customWidth="1"/>
    <col min="4" max="4" width="15.5546875" style="10" bestFit="1" customWidth="1"/>
    <col min="5" max="5" width="23" style="13" bestFit="1" customWidth="1"/>
    <col min="6" max="6" width="13.5546875" style="14" bestFit="1" customWidth="1"/>
    <col min="7" max="7" width="14.33203125" style="13" customWidth="1"/>
    <col min="8" max="16384" width="9.109375" style="9"/>
  </cols>
  <sheetData>
    <row r="1" spans="1:7" s="1" customFormat="1" ht="13.8" x14ac:dyDescent="0.2">
      <c r="A1" s="75" t="s">
        <v>9</v>
      </c>
      <c r="B1" s="76"/>
      <c r="C1" s="76"/>
      <c r="D1" s="76"/>
      <c r="E1" s="76"/>
      <c r="F1" s="76"/>
      <c r="G1" s="76"/>
    </row>
    <row r="2" spans="1:7" s="1" customFormat="1" ht="11.4" x14ac:dyDescent="0.2">
      <c r="D2" s="6"/>
      <c r="E2" s="7"/>
      <c r="F2" s="12"/>
      <c r="G2" s="13"/>
    </row>
    <row r="3" spans="1:7" s="1" customFormat="1" ht="12" x14ac:dyDescent="0.2">
      <c r="A3" s="11" t="s">
        <v>7</v>
      </c>
      <c r="B3" s="2"/>
      <c r="C3" s="3"/>
      <c r="D3" s="4"/>
      <c r="E3" s="5"/>
      <c r="F3" s="12"/>
      <c r="G3" s="13"/>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4"/>
    </row>
    <row r="6" spans="1:7" x14ac:dyDescent="0.2">
      <c r="A6" s="26" t="s">
        <v>32</v>
      </c>
      <c r="B6" s="27"/>
      <c r="C6" s="27"/>
      <c r="D6" s="28"/>
      <c r="E6" s="29"/>
      <c r="F6" s="30"/>
      <c r="G6" s="29"/>
    </row>
    <row r="7" spans="1:7" x14ac:dyDescent="0.2">
      <c r="A7" s="27" t="s">
        <v>105</v>
      </c>
      <c r="B7" s="27" t="s">
        <v>104</v>
      </c>
      <c r="C7" s="27" t="s">
        <v>106</v>
      </c>
      <c r="D7" s="31">
        <v>697784</v>
      </c>
      <c r="E7" s="29">
        <v>9725.3644999999997</v>
      </c>
      <c r="F7" s="30">
        <v>6.9812893939196696</v>
      </c>
      <c r="G7" s="29"/>
    </row>
    <row r="8" spans="1:7" x14ac:dyDescent="0.2">
      <c r="A8" s="27" t="s">
        <v>103</v>
      </c>
      <c r="B8" s="27" t="s">
        <v>102</v>
      </c>
      <c r="C8" s="27" t="s">
        <v>101</v>
      </c>
      <c r="D8" s="31">
        <v>1267935</v>
      </c>
      <c r="E8" s="29">
        <v>9518.3880449999997</v>
      </c>
      <c r="F8" s="30">
        <v>6.8327126973770698</v>
      </c>
      <c r="G8" s="29"/>
    </row>
    <row r="9" spans="1:7" x14ac:dyDescent="0.2">
      <c r="A9" s="27" t="s">
        <v>108</v>
      </c>
      <c r="B9" s="27" t="s">
        <v>107</v>
      </c>
      <c r="C9" s="27" t="s">
        <v>101</v>
      </c>
      <c r="D9" s="31">
        <v>1131302</v>
      </c>
      <c r="E9" s="29">
        <v>7497.7040049999996</v>
      </c>
      <c r="F9" s="30">
        <v>5.3821778555297897</v>
      </c>
      <c r="G9" s="29"/>
    </row>
    <row r="10" spans="1:7" x14ac:dyDescent="0.2">
      <c r="A10" s="27" t="s">
        <v>100</v>
      </c>
      <c r="B10" s="27" t="s">
        <v>99</v>
      </c>
      <c r="C10" s="27" t="s">
        <v>101</v>
      </c>
      <c r="D10" s="31">
        <v>483868</v>
      </c>
      <c r="E10" s="29">
        <v>7334.7130779999998</v>
      </c>
      <c r="F10" s="30">
        <v>5.2651758830103796</v>
      </c>
      <c r="G10" s="29"/>
    </row>
    <row r="11" spans="1:7" x14ac:dyDescent="0.2">
      <c r="A11" s="27" t="s">
        <v>113</v>
      </c>
      <c r="B11" s="27" t="s">
        <v>112</v>
      </c>
      <c r="C11" s="27" t="s">
        <v>114</v>
      </c>
      <c r="D11" s="31">
        <v>1046271</v>
      </c>
      <c r="E11" s="29">
        <v>5596.5035790000002</v>
      </c>
      <c r="F11" s="30">
        <v>4.0174135456934401</v>
      </c>
      <c r="G11" s="29"/>
    </row>
    <row r="12" spans="1:7" x14ac:dyDescent="0.2">
      <c r="A12" s="27" t="s">
        <v>144</v>
      </c>
      <c r="B12" s="27" t="s">
        <v>143</v>
      </c>
      <c r="C12" s="27" t="s">
        <v>145</v>
      </c>
      <c r="D12" s="31">
        <v>1808769</v>
      </c>
      <c r="E12" s="29">
        <v>4081.4872489999998</v>
      </c>
      <c r="F12" s="30">
        <v>2.92986896715923</v>
      </c>
      <c r="G12" s="29"/>
    </row>
    <row r="13" spans="1:7" x14ac:dyDescent="0.2">
      <c r="A13" s="27" t="s">
        <v>130</v>
      </c>
      <c r="B13" s="27" t="s">
        <v>129</v>
      </c>
      <c r="C13" s="27" t="s">
        <v>131</v>
      </c>
      <c r="D13" s="31">
        <v>71688</v>
      </c>
      <c r="E13" s="29">
        <v>3806.0234519999999</v>
      </c>
      <c r="F13" s="30">
        <v>2.7321290794249502</v>
      </c>
      <c r="G13" s="29"/>
    </row>
    <row r="14" spans="1:7" x14ac:dyDescent="0.2">
      <c r="A14" s="27" t="s">
        <v>121</v>
      </c>
      <c r="B14" s="27" t="s">
        <v>120</v>
      </c>
      <c r="C14" s="27" t="s">
        <v>122</v>
      </c>
      <c r="D14" s="31">
        <v>794188</v>
      </c>
      <c r="E14" s="29">
        <v>3131.08619</v>
      </c>
      <c r="F14" s="30">
        <v>2.2476297736393702</v>
      </c>
      <c r="G14" s="29"/>
    </row>
    <row r="15" spans="1:7" x14ac:dyDescent="0.2">
      <c r="A15" s="27" t="s">
        <v>194</v>
      </c>
      <c r="B15" s="27" t="s">
        <v>193</v>
      </c>
      <c r="C15" s="27" t="s">
        <v>195</v>
      </c>
      <c r="D15" s="31">
        <v>205227</v>
      </c>
      <c r="E15" s="29">
        <v>3012.1166790000002</v>
      </c>
      <c r="F15" s="30">
        <v>2.1622282871095702</v>
      </c>
      <c r="G15" s="29"/>
    </row>
    <row r="16" spans="1:7" x14ac:dyDescent="0.2">
      <c r="A16" s="27" t="s">
        <v>138</v>
      </c>
      <c r="B16" s="27" t="s">
        <v>137</v>
      </c>
      <c r="C16" s="27" t="s">
        <v>106</v>
      </c>
      <c r="D16" s="31">
        <v>92416</v>
      </c>
      <c r="E16" s="29">
        <v>2919.5600639999998</v>
      </c>
      <c r="F16" s="30">
        <v>2.0957871254814799</v>
      </c>
      <c r="G16" s="29"/>
    </row>
    <row r="17" spans="1:7" x14ac:dyDescent="0.2">
      <c r="A17" s="27" t="s">
        <v>140</v>
      </c>
      <c r="B17" s="27" t="s">
        <v>139</v>
      </c>
      <c r="C17" s="27" t="s">
        <v>125</v>
      </c>
      <c r="D17" s="31">
        <v>1058988</v>
      </c>
      <c r="E17" s="29">
        <v>2870.386974</v>
      </c>
      <c r="F17" s="30">
        <v>2.06048854395446</v>
      </c>
      <c r="G17" s="29"/>
    </row>
    <row r="18" spans="1:7" x14ac:dyDescent="0.2">
      <c r="A18" s="27" t="s">
        <v>208</v>
      </c>
      <c r="B18" s="27" t="s">
        <v>207</v>
      </c>
      <c r="C18" s="27" t="s">
        <v>134</v>
      </c>
      <c r="D18" s="31">
        <v>2568360</v>
      </c>
      <c r="E18" s="29">
        <v>2805.9333000000001</v>
      </c>
      <c r="F18" s="30">
        <v>2.0142208949943199</v>
      </c>
      <c r="G18" s="29"/>
    </row>
    <row r="19" spans="1:7" x14ac:dyDescent="0.2">
      <c r="A19" s="27" t="s">
        <v>147</v>
      </c>
      <c r="B19" s="27" t="s">
        <v>146</v>
      </c>
      <c r="C19" s="27" t="s">
        <v>145</v>
      </c>
      <c r="D19" s="31">
        <v>2468370</v>
      </c>
      <c r="E19" s="29">
        <v>2727.5488500000001</v>
      </c>
      <c r="F19" s="30">
        <v>1.9579531294588299</v>
      </c>
      <c r="G19" s="29"/>
    </row>
    <row r="20" spans="1:7" x14ac:dyDescent="0.2">
      <c r="A20" s="27" t="s">
        <v>124</v>
      </c>
      <c r="B20" s="27" t="s">
        <v>123</v>
      </c>
      <c r="C20" s="27" t="s">
        <v>125</v>
      </c>
      <c r="D20" s="31">
        <v>1103354</v>
      </c>
      <c r="E20" s="29">
        <v>2664.048233</v>
      </c>
      <c r="F20" s="30">
        <v>1.9123696262421099</v>
      </c>
      <c r="G20" s="29"/>
    </row>
    <row r="21" spans="1:7" x14ac:dyDescent="0.2">
      <c r="A21" s="27" t="s">
        <v>136</v>
      </c>
      <c r="B21" s="27" t="s">
        <v>135</v>
      </c>
      <c r="C21" s="27" t="s">
        <v>101</v>
      </c>
      <c r="D21" s="31">
        <v>615662</v>
      </c>
      <c r="E21" s="29">
        <v>2612.5616970000001</v>
      </c>
      <c r="F21" s="30">
        <v>1.8754103526121699</v>
      </c>
      <c r="G21" s="29"/>
    </row>
    <row r="22" spans="1:7" x14ac:dyDescent="0.2">
      <c r="A22" s="27" t="s">
        <v>201</v>
      </c>
      <c r="B22" s="27" t="s">
        <v>200</v>
      </c>
      <c r="C22" s="27" t="s">
        <v>106</v>
      </c>
      <c r="D22" s="31">
        <v>243717</v>
      </c>
      <c r="E22" s="29">
        <v>2489.9347309999998</v>
      </c>
      <c r="F22" s="30">
        <v>1.78738338589598</v>
      </c>
      <c r="G22" s="29"/>
    </row>
    <row r="23" spans="1:7" x14ac:dyDescent="0.2">
      <c r="A23" s="27" t="s">
        <v>142</v>
      </c>
      <c r="B23" s="27" t="s">
        <v>141</v>
      </c>
      <c r="C23" s="27" t="s">
        <v>128</v>
      </c>
      <c r="D23" s="31">
        <v>95579</v>
      </c>
      <c r="E23" s="29">
        <v>2236.5963900000002</v>
      </c>
      <c r="F23" s="30">
        <v>1.6055261122589299</v>
      </c>
      <c r="G23" s="29"/>
    </row>
    <row r="24" spans="1:7" x14ac:dyDescent="0.2">
      <c r="A24" s="27" t="s">
        <v>206</v>
      </c>
      <c r="B24" s="27" t="s">
        <v>205</v>
      </c>
      <c r="C24" s="27" t="s">
        <v>187</v>
      </c>
      <c r="D24" s="31">
        <v>345421</v>
      </c>
      <c r="E24" s="29">
        <v>2214.3213209999999</v>
      </c>
      <c r="F24" s="30">
        <v>1.58953609944671</v>
      </c>
      <c r="G24" s="29"/>
    </row>
    <row r="25" spans="1:7" x14ac:dyDescent="0.2">
      <c r="A25" s="27" t="s">
        <v>203</v>
      </c>
      <c r="B25" s="27" t="s">
        <v>202</v>
      </c>
      <c r="C25" s="27" t="s">
        <v>204</v>
      </c>
      <c r="D25" s="31">
        <v>1583382</v>
      </c>
      <c r="E25" s="29">
        <v>2205.6511260000002</v>
      </c>
      <c r="F25" s="30">
        <v>1.58331225658748</v>
      </c>
      <c r="G25" s="29"/>
    </row>
    <row r="26" spans="1:7" x14ac:dyDescent="0.2">
      <c r="A26" s="27" t="s">
        <v>110</v>
      </c>
      <c r="B26" s="27" t="s">
        <v>109</v>
      </c>
      <c r="C26" s="27" t="s">
        <v>111</v>
      </c>
      <c r="D26" s="31">
        <v>99000</v>
      </c>
      <c r="E26" s="29">
        <v>2178.8910000000001</v>
      </c>
      <c r="F26" s="30">
        <v>1.5641026748978899</v>
      </c>
      <c r="G26" s="29"/>
    </row>
    <row r="27" spans="1:7" x14ac:dyDescent="0.2">
      <c r="A27" s="27" t="s">
        <v>118</v>
      </c>
      <c r="B27" s="27" t="s">
        <v>117</v>
      </c>
      <c r="C27" s="27" t="s">
        <v>119</v>
      </c>
      <c r="D27" s="31">
        <v>204626</v>
      </c>
      <c r="E27" s="29">
        <v>2061.1976979999999</v>
      </c>
      <c r="F27" s="30">
        <v>1.4796173066643401</v>
      </c>
      <c r="G27" s="29"/>
    </row>
    <row r="28" spans="1:7" x14ac:dyDescent="0.2">
      <c r="A28" s="27" t="s">
        <v>216</v>
      </c>
      <c r="B28" s="27" t="s">
        <v>215</v>
      </c>
      <c r="C28" s="27" t="s">
        <v>187</v>
      </c>
      <c r="D28" s="31">
        <v>336933</v>
      </c>
      <c r="E28" s="29">
        <v>1771.088315</v>
      </c>
      <c r="F28" s="30">
        <v>1.2713641806643401</v>
      </c>
      <c r="G28" s="29"/>
    </row>
    <row r="29" spans="1:7" x14ac:dyDescent="0.2">
      <c r="A29" s="27" t="s">
        <v>230</v>
      </c>
      <c r="B29" s="27" t="s">
        <v>229</v>
      </c>
      <c r="C29" s="27" t="s">
        <v>145</v>
      </c>
      <c r="D29" s="31">
        <v>6797235</v>
      </c>
      <c r="E29" s="29">
        <v>1767.2810999999999</v>
      </c>
      <c r="F29" s="30">
        <v>1.2686311962399599</v>
      </c>
      <c r="G29" s="29"/>
    </row>
    <row r="30" spans="1:7" x14ac:dyDescent="0.2">
      <c r="A30" s="27" t="s">
        <v>158</v>
      </c>
      <c r="B30" s="27" t="s">
        <v>157</v>
      </c>
      <c r="C30" s="27" t="s">
        <v>101</v>
      </c>
      <c r="D30" s="31">
        <v>999697</v>
      </c>
      <c r="E30" s="29">
        <v>1722.9777799999999</v>
      </c>
      <c r="F30" s="30">
        <v>1.2368283473049499</v>
      </c>
      <c r="G30" s="29"/>
    </row>
    <row r="31" spans="1:7" x14ac:dyDescent="0.2">
      <c r="A31" s="27" t="s">
        <v>156</v>
      </c>
      <c r="B31" s="27" t="s">
        <v>155</v>
      </c>
      <c r="C31" s="27" t="s">
        <v>128</v>
      </c>
      <c r="D31" s="31">
        <v>128251</v>
      </c>
      <c r="E31" s="29">
        <v>1607.4339090000001</v>
      </c>
      <c r="F31" s="30">
        <v>1.1538859340776899</v>
      </c>
      <c r="G31" s="29"/>
    </row>
    <row r="32" spans="1:7" x14ac:dyDescent="0.2">
      <c r="A32" s="27" t="s">
        <v>213</v>
      </c>
      <c r="B32" s="27" t="s">
        <v>212</v>
      </c>
      <c r="C32" s="27" t="s">
        <v>214</v>
      </c>
      <c r="D32" s="31">
        <v>921918</v>
      </c>
      <c r="E32" s="29">
        <v>1511.94552</v>
      </c>
      <c r="F32" s="30">
        <v>1.08534021762993</v>
      </c>
      <c r="G32" s="29"/>
    </row>
    <row r="33" spans="1:9" x14ac:dyDescent="0.2">
      <c r="A33" s="27" t="s">
        <v>162</v>
      </c>
      <c r="B33" s="27" t="s">
        <v>161</v>
      </c>
      <c r="C33" s="27" t="s">
        <v>163</v>
      </c>
      <c r="D33" s="31">
        <v>649104</v>
      </c>
      <c r="E33" s="29">
        <v>1266.7264560000001</v>
      </c>
      <c r="F33" s="30">
        <v>0.90931131396363096</v>
      </c>
      <c r="G33" s="29"/>
    </row>
    <row r="34" spans="1:9" x14ac:dyDescent="0.2">
      <c r="A34" s="27" t="s">
        <v>165</v>
      </c>
      <c r="B34" s="27" t="s">
        <v>164</v>
      </c>
      <c r="C34" s="27" t="s">
        <v>150</v>
      </c>
      <c r="D34" s="31">
        <v>381483</v>
      </c>
      <c r="E34" s="29">
        <v>1215.977063</v>
      </c>
      <c r="F34" s="30">
        <v>0.87288119362225303</v>
      </c>
      <c r="G34" s="29"/>
    </row>
    <row r="35" spans="1:9" x14ac:dyDescent="0.2">
      <c r="A35" s="27" t="s">
        <v>149</v>
      </c>
      <c r="B35" s="27" t="s">
        <v>148</v>
      </c>
      <c r="C35" s="27" t="s">
        <v>150</v>
      </c>
      <c r="D35" s="31">
        <v>146320</v>
      </c>
      <c r="E35" s="29">
        <v>1182.19244</v>
      </c>
      <c r="F35" s="30">
        <v>0.84862912263535295</v>
      </c>
      <c r="G35" s="29"/>
    </row>
    <row r="36" spans="1:9" x14ac:dyDescent="0.2">
      <c r="A36" s="27" t="s">
        <v>232</v>
      </c>
      <c r="B36" s="27" t="s">
        <v>231</v>
      </c>
      <c r="C36" s="27" t="s">
        <v>119</v>
      </c>
      <c r="D36" s="31">
        <v>72561</v>
      </c>
      <c r="E36" s="29">
        <v>1158.2549630000001</v>
      </c>
      <c r="F36" s="30">
        <v>0.83144576109684298</v>
      </c>
      <c r="G36" s="29"/>
    </row>
    <row r="37" spans="1:9" x14ac:dyDescent="0.2">
      <c r="A37" s="27" t="s">
        <v>160</v>
      </c>
      <c r="B37" s="27" t="s">
        <v>159</v>
      </c>
      <c r="C37" s="27" t="s">
        <v>131</v>
      </c>
      <c r="D37" s="31">
        <v>164030</v>
      </c>
      <c r="E37" s="29">
        <v>1014.19749</v>
      </c>
      <c r="F37" s="30">
        <v>0.728035044884636</v>
      </c>
      <c r="G37" s="29"/>
    </row>
    <row r="38" spans="1:9" x14ac:dyDescent="0.2">
      <c r="A38" s="27" t="s">
        <v>133</v>
      </c>
      <c r="B38" s="27" t="s">
        <v>132</v>
      </c>
      <c r="C38" s="27" t="s">
        <v>134</v>
      </c>
      <c r="D38" s="31">
        <v>362218</v>
      </c>
      <c r="E38" s="29">
        <v>1013.123746</v>
      </c>
      <c r="F38" s="30">
        <v>0.72726426476642203</v>
      </c>
      <c r="G38" s="29"/>
    </row>
    <row r="39" spans="1:9" x14ac:dyDescent="0.2">
      <c r="A39" s="27" t="s">
        <v>210</v>
      </c>
      <c r="B39" s="27" t="s">
        <v>209</v>
      </c>
      <c r="C39" s="27" t="s">
        <v>211</v>
      </c>
      <c r="D39" s="31">
        <v>377910</v>
      </c>
      <c r="E39" s="29">
        <v>760.54387499999996</v>
      </c>
      <c r="F39" s="30">
        <v>0.54595145386561805</v>
      </c>
      <c r="G39" s="29"/>
    </row>
    <row r="40" spans="1:9" x14ac:dyDescent="0.2">
      <c r="A40" s="27" t="s">
        <v>167</v>
      </c>
      <c r="B40" s="27" t="s">
        <v>166</v>
      </c>
      <c r="C40" s="27" t="s">
        <v>168</v>
      </c>
      <c r="D40" s="31">
        <v>1265151</v>
      </c>
      <c r="E40" s="29">
        <v>723.03379649999999</v>
      </c>
      <c r="F40" s="30">
        <v>0.51902508897747901</v>
      </c>
      <c r="G40" s="29"/>
    </row>
    <row r="41" spans="1:9" x14ac:dyDescent="0.2">
      <c r="A41" s="27" t="s">
        <v>170</v>
      </c>
      <c r="B41" s="27" t="s">
        <v>169</v>
      </c>
      <c r="C41" s="27" t="s">
        <v>163</v>
      </c>
      <c r="D41" s="31">
        <v>75869</v>
      </c>
      <c r="E41" s="29">
        <v>120.13856149999999</v>
      </c>
      <c r="F41" s="30">
        <v>8.6240681796627305E-2</v>
      </c>
      <c r="G41" s="29"/>
    </row>
    <row r="42" spans="1:9" x14ac:dyDescent="0.2">
      <c r="A42" s="26" t="s">
        <v>35</v>
      </c>
      <c r="B42" s="26"/>
      <c r="C42" s="26"/>
      <c r="D42" s="32"/>
      <c r="E42" s="33">
        <f>SUM(E7:E41)</f>
        <v>100524.93317600001</v>
      </c>
      <c r="F42" s="34">
        <f>SUM(F7:F41)</f>
        <v>72.16116679288389</v>
      </c>
      <c r="G42" s="33"/>
      <c r="H42" s="18"/>
      <c r="I42" s="18"/>
    </row>
    <row r="43" spans="1:9" x14ac:dyDescent="0.2">
      <c r="A43" s="27"/>
      <c r="B43" s="27"/>
      <c r="C43" s="27"/>
      <c r="D43" s="28"/>
      <c r="E43" s="29"/>
      <c r="F43" s="30"/>
      <c r="G43" s="29"/>
    </row>
    <row r="44" spans="1:9" x14ac:dyDescent="0.2">
      <c r="A44" s="26" t="s">
        <v>233</v>
      </c>
      <c r="B44" s="27"/>
      <c r="C44" s="27"/>
      <c r="D44" s="28"/>
      <c r="E44" s="29"/>
      <c r="F44" s="30"/>
      <c r="G44" s="29"/>
    </row>
    <row r="45" spans="1:9" x14ac:dyDescent="0.2">
      <c r="A45" s="27" t="s">
        <v>234</v>
      </c>
      <c r="B45" s="27" t="s">
        <v>746</v>
      </c>
      <c r="C45" s="27" t="s">
        <v>235</v>
      </c>
      <c r="D45" s="31">
        <v>270000</v>
      </c>
      <c r="E45" s="29">
        <v>2.7E-2</v>
      </c>
      <c r="F45" s="30">
        <v>1.93817736739668E-5</v>
      </c>
      <c r="G45" s="29"/>
    </row>
    <row r="46" spans="1:9" x14ac:dyDescent="0.2">
      <c r="A46" s="27"/>
      <c r="B46" s="27" t="s">
        <v>727</v>
      </c>
      <c r="C46" s="27" t="s">
        <v>187</v>
      </c>
      <c r="D46" s="31">
        <v>27500</v>
      </c>
      <c r="E46" s="29">
        <v>2.7499999999999998E-3</v>
      </c>
      <c r="F46" s="30">
        <v>1.9740695408669898E-6</v>
      </c>
      <c r="G46" s="29"/>
    </row>
    <row r="47" spans="1:9" x14ac:dyDescent="0.2">
      <c r="A47" s="26" t="s">
        <v>35</v>
      </c>
      <c r="B47" s="26"/>
      <c r="C47" s="26"/>
      <c r="D47" s="32"/>
      <c r="E47" s="33">
        <f>SUM(E44:E46)</f>
        <v>2.9749999999999999E-2</v>
      </c>
      <c r="F47" s="34">
        <f>SUM(F44:F46)</f>
        <v>2.135584321483379E-5</v>
      </c>
      <c r="G47" s="33"/>
      <c r="H47" s="18"/>
      <c r="I47" s="18"/>
    </row>
    <row r="48" spans="1:9" x14ac:dyDescent="0.2">
      <c r="A48" s="27"/>
      <c r="B48" s="27"/>
      <c r="C48" s="27"/>
      <c r="D48" s="28"/>
      <c r="E48" s="29"/>
      <c r="F48" s="30"/>
      <c r="G48" s="29"/>
    </row>
    <row r="49" spans="1:9" x14ac:dyDescent="0.2">
      <c r="A49" s="26" t="s">
        <v>236</v>
      </c>
      <c r="B49" s="27"/>
      <c r="C49" s="27"/>
      <c r="D49" s="28"/>
      <c r="E49" s="29"/>
      <c r="F49" s="30"/>
      <c r="G49" s="29"/>
    </row>
    <row r="50" spans="1:9" x14ac:dyDescent="0.2">
      <c r="A50" s="27" t="s">
        <v>225</v>
      </c>
      <c r="B50" s="27" t="s">
        <v>224</v>
      </c>
      <c r="C50" s="27" t="s">
        <v>376</v>
      </c>
      <c r="D50" s="31">
        <v>644200</v>
      </c>
      <c r="E50" s="29">
        <v>2095.0028200000002</v>
      </c>
      <c r="F50" s="30">
        <v>1.5038840927245201</v>
      </c>
      <c r="G50" s="29"/>
    </row>
    <row r="51" spans="1:9" x14ac:dyDescent="0.2">
      <c r="A51" s="27" t="s">
        <v>238</v>
      </c>
      <c r="B51" s="27" t="s">
        <v>237</v>
      </c>
      <c r="C51" s="27" t="s">
        <v>376</v>
      </c>
      <c r="D51" s="31">
        <v>151400</v>
      </c>
      <c r="E51" s="29">
        <v>380.39249999999998</v>
      </c>
      <c r="F51" s="30">
        <v>0.27306227193608901</v>
      </c>
      <c r="G51" s="29"/>
    </row>
    <row r="52" spans="1:9" x14ac:dyDescent="0.2">
      <c r="A52" s="26" t="s">
        <v>35</v>
      </c>
      <c r="B52" s="26"/>
      <c r="C52" s="26"/>
      <c r="D52" s="32"/>
      <c r="E52" s="33">
        <f>SUM(E49:E51)</f>
        <v>2475.3953200000001</v>
      </c>
      <c r="F52" s="34">
        <f>SUM(F49:F51)</f>
        <v>1.776946364660609</v>
      </c>
      <c r="G52" s="33"/>
      <c r="H52" s="18"/>
      <c r="I52" s="18"/>
    </row>
    <row r="53" spans="1:9" x14ac:dyDescent="0.2">
      <c r="A53" s="27"/>
      <c r="B53" s="27"/>
      <c r="C53" s="27"/>
      <c r="D53" s="28"/>
      <c r="E53" s="29"/>
      <c r="F53" s="30"/>
      <c r="G53" s="29"/>
    </row>
    <row r="54" spans="1:9" x14ac:dyDescent="0.2">
      <c r="A54" s="26" t="s">
        <v>726</v>
      </c>
      <c r="B54" s="27"/>
      <c r="C54" s="27"/>
      <c r="D54" s="28"/>
      <c r="E54" s="29"/>
      <c r="F54" s="30"/>
      <c r="G54" s="29"/>
    </row>
    <row r="55" spans="1:9" x14ac:dyDescent="0.2">
      <c r="A55" s="27" t="s">
        <v>182</v>
      </c>
      <c r="B55" s="27" t="s">
        <v>181</v>
      </c>
      <c r="C55" s="27" t="s">
        <v>145</v>
      </c>
      <c r="D55" s="31">
        <v>569800</v>
      </c>
      <c r="E55" s="29">
        <v>637.89110000000005</v>
      </c>
      <c r="F55" s="30">
        <v>0.457905960327322</v>
      </c>
      <c r="G55" s="29"/>
    </row>
    <row r="56" spans="1:9" x14ac:dyDescent="0.2">
      <c r="A56" s="26" t="s">
        <v>35</v>
      </c>
      <c r="B56" s="26"/>
      <c r="C56" s="26"/>
      <c r="D56" s="32"/>
      <c r="E56" s="33">
        <f>SUM(E54:E55)</f>
        <v>637.89110000000005</v>
      </c>
      <c r="F56" s="34">
        <f>SUM(F54:F55)</f>
        <v>0.457905960327322</v>
      </c>
      <c r="G56" s="33"/>
      <c r="H56" s="18"/>
      <c r="I56" s="18"/>
    </row>
    <row r="57" spans="1:9" x14ac:dyDescent="0.2">
      <c r="A57" s="27"/>
      <c r="B57" s="27"/>
      <c r="C57" s="27"/>
      <c r="D57" s="28"/>
      <c r="E57" s="29"/>
      <c r="F57" s="30"/>
      <c r="G57" s="29"/>
    </row>
    <row r="58" spans="1:9" x14ac:dyDescent="0.2">
      <c r="A58" s="26" t="s">
        <v>31</v>
      </c>
      <c r="B58" s="27"/>
      <c r="C58" s="27"/>
      <c r="D58" s="28"/>
      <c r="E58" s="29"/>
      <c r="F58" s="30"/>
      <c r="G58" s="29"/>
    </row>
    <row r="59" spans="1:9" x14ac:dyDescent="0.2">
      <c r="A59" s="26" t="s">
        <v>32</v>
      </c>
      <c r="B59" s="27"/>
      <c r="C59" s="27"/>
      <c r="D59" s="28"/>
      <c r="E59" s="29"/>
      <c r="F59" s="30"/>
      <c r="G59" s="29"/>
    </row>
    <row r="60" spans="1:9" x14ac:dyDescent="0.2">
      <c r="A60" s="27" t="s">
        <v>93</v>
      </c>
      <c r="B60" s="27" t="s">
        <v>92</v>
      </c>
      <c r="C60" s="27" t="s">
        <v>33</v>
      </c>
      <c r="D60" s="31">
        <v>450</v>
      </c>
      <c r="E60" s="29">
        <v>4545.9359999999997</v>
      </c>
      <c r="F60" s="30">
        <v>3.2632704699384401</v>
      </c>
      <c r="G60" s="29">
        <v>8.7149999999999999</v>
      </c>
    </row>
    <row r="61" spans="1:9" x14ac:dyDescent="0.2">
      <c r="A61" s="27" t="s">
        <v>240</v>
      </c>
      <c r="B61" s="27" t="s">
        <v>239</v>
      </c>
      <c r="C61" s="27" t="s">
        <v>33</v>
      </c>
      <c r="D61" s="31">
        <v>83</v>
      </c>
      <c r="E61" s="29">
        <v>835.40495999999996</v>
      </c>
      <c r="F61" s="30">
        <v>0.59968999484552798</v>
      </c>
      <c r="G61" s="29">
        <v>7.9522000000000004</v>
      </c>
    </row>
    <row r="62" spans="1:9" x14ac:dyDescent="0.2">
      <c r="A62" s="27" t="s">
        <v>172</v>
      </c>
      <c r="B62" s="27" t="s">
        <v>171</v>
      </c>
      <c r="C62" s="27" t="s">
        <v>34</v>
      </c>
      <c r="D62" s="31">
        <v>50</v>
      </c>
      <c r="E62" s="29">
        <v>518.32349999999997</v>
      </c>
      <c r="F62" s="30">
        <v>0.37207513951475202</v>
      </c>
      <c r="G62" s="29">
        <v>4.88</v>
      </c>
    </row>
    <row r="63" spans="1:9" x14ac:dyDescent="0.2">
      <c r="A63" s="27" t="s">
        <v>95</v>
      </c>
      <c r="B63" s="27" t="s">
        <v>94</v>
      </c>
      <c r="C63" s="27" t="s">
        <v>34</v>
      </c>
      <c r="D63" s="31">
        <v>18</v>
      </c>
      <c r="E63" s="29">
        <v>200.27286000000001</v>
      </c>
      <c r="F63" s="30">
        <v>0.14376456465029699</v>
      </c>
      <c r="G63" s="29">
        <v>6.94</v>
      </c>
    </row>
    <row r="64" spans="1:9" x14ac:dyDescent="0.2">
      <c r="A64" s="26" t="s">
        <v>35</v>
      </c>
      <c r="B64" s="26"/>
      <c r="C64" s="26"/>
      <c r="D64" s="32"/>
      <c r="E64" s="33">
        <f>SUM(E59:E63)</f>
        <v>6099.93732</v>
      </c>
      <c r="F64" s="34">
        <f>SUM(F59:F63)</f>
        <v>4.3788001689490175</v>
      </c>
      <c r="G64" s="33"/>
      <c r="H64" s="18"/>
      <c r="I64" s="18"/>
    </row>
    <row r="65" spans="1:9" x14ac:dyDescent="0.2">
      <c r="A65" s="27"/>
      <c r="B65" s="27"/>
      <c r="C65" s="27"/>
      <c r="D65" s="28"/>
      <c r="E65" s="29"/>
      <c r="F65" s="30"/>
      <c r="G65" s="29"/>
    </row>
    <row r="66" spans="1:9" x14ac:dyDescent="0.2">
      <c r="A66" s="26" t="s">
        <v>52</v>
      </c>
      <c r="B66" s="27"/>
      <c r="C66" s="27"/>
      <c r="D66" s="28"/>
      <c r="E66" s="29"/>
      <c r="F66" s="30"/>
      <c r="G66" s="29"/>
    </row>
    <row r="67" spans="1:9" x14ac:dyDescent="0.2">
      <c r="A67" s="26" t="s">
        <v>53</v>
      </c>
      <c r="B67" s="27"/>
      <c r="C67" s="27"/>
      <c r="D67" s="28"/>
      <c r="E67" s="29"/>
      <c r="F67" s="30"/>
      <c r="G67" s="29"/>
    </row>
    <row r="68" spans="1:9" x14ac:dyDescent="0.2">
      <c r="A68" s="27" t="s">
        <v>184</v>
      </c>
      <c r="B68" s="27" t="s">
        <v>183</v>
      </c>
      <c r="C68" s="27" t="s">
        <v>55</v>
      </c>
      <c r="D68" s="31">
        <v>2500</v>
      </c>
      <c r="E68" s="29">
        <v>2432.77</v>
      </c>
      <c r="F68" s="30">
        <v>1.74634805706726</v>
      </c>
      <c r="G68" s="29">
        <v>3.85</v>
      </c>
    </row>
    <row r="69" spans="1:9" x14ac:dyDescent="0.2">
      <c r="A69" s="26" t="s">
        <v>35</v>
      </c>
      <c r="B69" s="26"/>
      <c r="C69" s="26"/>
      <c r="D69" s="32"/>
      <c r="E69" s="33">
        <f>SUM(E67:E68)</f>
        <v>2432.77</v>
      </c>
      <c r="F69" s="34">
        <f>SUM(F67:F68)</f>
        <v>1.74634805706726</v>
      </c>
      <c r="G69" s="33"/>
      <c r="H69" s="18"/>
      <c r="I69" s="18"/>
    </row>
    <row r="70" spans="1:9" x14ac:dyDescent="0.2">
      <c r="A70" s="27"/>
      <c r="B70" s="27"/>
      <c r="C70" s="27"/>
      <c r="D70" s="28"/>
      <c r="E70" s="29"/>
      <c r="F70" s="30"/>
      <c r="G70" s="29"/>
    </row>
    <row r="71" spans="1:9" x14ac:dyDescent="0.2">
      <c r="A71" s="26" t="s">
        <v>56</v>
      </c>
      <c r="B71" s="27"/>
      <c r="C71" s="27"/>
      <c r="D71" s="28"/>
      <c r="E71" s="29"/>
      <c r="F71" s="30"/>
      <c r="G71" s="29"/>
    </row>
    <row r="72" spans="1:9" x14ac:dyDescent="0.2">
      <c r="A72" s="27" t="s">
        <v>58</v>
      </c>
      <c r="B72" s="27" t="s">
        <v>57</v>
      </c>
      <c r="C72" s="27" t="s">
        <v>59</v>
      </c>
      <c r="D72" s="31">
        <v>1000</v>
      </c>
      <c r="E72" s="29">
        <v>4857.2049999999999</v>
      </c>
      <c r="F72" s="30">
        <v>3.48671288881703</v>
      </c>
      <c r="G72" s="29">
        <v>3.9449999999999998</v>
      </c>
    </row>
    <row r="73" spans="1:9" x14ac:dyDescent="0.2">
      <c r="A73" s="27" t="s">
        <v>61</v>
      </c>
      <c r="B73" s="27" t="s">
        <v>60</v>
      </c>
      <c r="C73" s="27" t="s">
        <v>54</v>
      </c>
      <c r="D73" s="31">
        <v>500</v>
      </c>
      <c r="E73" s="29">
        <v>2465.3225000000002</v>
      </c>
      <c r="F73" s="30">
        <v>1.76971565660511</v>
      </c>
      <c r="G73" s="29">
        <v>3.9799000000000002</v>
      </c>
    </row>
    <row r="74" spans="1:9" x14ac:dyDescent="0.2">
      <c r="A74" s="26" t="s">
        <v>35</v>
      </c>
      <c r="B74" s="26"/>
      <c r="C74" s="26"/>
      <c r="D74" s="32"/>
      <c r="E74" s="33">
        <f>SUM(E71:E73)</f>
        <v>7322.5275000000001</v>
      </c>
      <c r="F74" s="34">
        <f>SUM(F71:F73)</f>
        <v>5.25642854542214</v>
      </c>
      <c r="G74" s="33"/>
      <c r="H74" s="18"/>
      <c r="I74" s="18"/>
    </row>
    <row r="75" spans="1:9" x14ac:dyDescent="0.2">
      <c r="A75" s="27"/>
      <c r="B75" s="27"/>
      <c r="C75" s="27"/>
      <c r="D75" s="28"/>
      <c r="E75" s="29"/>
      <c r="F75" s="30"/>
      <c r="G75" s="29"/>
    </row>
    <row r="76" spans="1:9" x14ac:dyDescent="0.2">
      <c r="A76" s="26" t="s">
        <v>62</v>
      </c>
      <c r="B76" s="27"/>
      <c r="C76" s="27"/>
      <c r="D76" s="28"/>
      <c r="E76" s="29"/>
      <c r="F76" s="30"/>
      <c r="G76" s="29"/>
    </row>
    <row r="77" spans="1:9" x14ac:dyDescent="0.2">
      <c r="A77" s="27" t="s">
        <v>79</v>
      </c>
      <c r="B77" s="27" t="s">
        <v>78</v>
      </c>
      <c r="C77" s="27" t="s">
        <v>65</v>
      </c>
      <c r="D77" s="31">
        <v>11000000</v>
      </c>
      <c r="E77" s="29">
        <v>10872.136</v>
      </c>
      <c r="F77" s="30">
        <v>7.8044918260957896</v>
      </c>
      <c r="G77" s="29">
        <v>5.4474</v>
      </c>
    </row>
    <row r="78" spans="1:9" x14ac:dyDescent="0.2">
      <c r="A78" s="27" t="s">
        <v>85</v>
      </c>
      <c r="B78" s="27" t="s">
        <v>84</v>
      </c>
      <c r="C78" s="27" t="s">
        <v>65</v>
      </c>
      <c r="D78" s="31">
        <v>2000000</v>
      </c>
      <c r="E78" s="29">
        <v>2125.7759999999998</v>
      </c>
      <c r="F78" s="30">
        <v>1.5259744190203799</v>
      </c>
      <c r="G78" s="29">
        <v>5.7633999999999999</v>
      </c>
    </row>
    <row r="79" spans="1:9" x14ac:dyDescent="0.2">
      <c r="A79" s="27" t="s">
        <v>64</v>
      </c>
      <c r="B79" s="27" t="s">
        <v>63</v>
      </c>
      <c r="C79" s="27" t="s">
        <v>65</v>
      </c>
      <c r="D79" s="31">
        <v>2000000</v>
      </c>
      <c r="E79" s="29">
        <v>2061.232</v>
      </c>
      <c r="F79" s="30">
        <v>1.47964193013103</v>
      </c>
      <c r="G79" s="29">
        <v>3.7492000000000001</v>
      </c>
    </row>
    <row r="80" spans="1:9" x14ac:dyDescent="0.2">
      <c r="A80" s="27" t="s">
        <v>83</v>
      </c>
      <c r="B80" s="27" t="s">
        <v>82</v>
      </c>
      <c r="C80" s="27" t="s">
        <v>65</v>
      </c>
      <c r="D80" s="31">
        <v>970000</v>
      </c>
      <c r="E80" s="29">
        <v>1020.92403</v>
      </c>
      <c r="F80" s="30">
        <v>0.73286364769533596</v>
      </c>
      <c r="G80" s="29">
        <v>6.1877000000000004</v>
      </c>
    </row>
    <row r="81" spans="1:9" x14ac:dyDescent="0.2">
      <c r="A81" s="27" t="s">
        <v>81</v>
      </c>
      <c r="B81" s="27" t="s">
        <v>80</v>
      </c>
      <c r="C81" s="27" t="s">
        <v>65</v>
      </c>
      <c r="D81" s="31">
        <v>900000</v>
      </c>
      <c r="E81" s="29">
        <v>934.23419999999999</v>
      </c>
      <c r="F81" s="30">
        <v>0.670633919365904</v>
      </c>
      <c r="G81" s="29">
        <v>6.0197000000000003</v>
      </c>
    </row>
    <row r="82" spans="1:9" x14ac:dyDescent="0.2">
      <c r="A82" s="27" t="s">
        <v>97</v>
      </c>
      <c r="B82" s="27" t="s">
        <v>96</v>
      </c>
      <c r="C82" s="27" t="s">
        <v>65</v>
      </c>
      <c r="D82" s="31">
        <v>300000</v>
      </c>
      <c r="E82" s="29">
        <v>310.68029999999999</v>
      </c>
      <c r="F82" s="30">
        <v>0.22301982442815199</v>
      </c>
      <c r="G82" s="29">
        <v>5.0338000000000003</v>
      </c>
    </row>
    <row r="83" spans="1:9" x14ac:dyDescent="0.2">
      <c r="A83" s="27" t="s">
        <v>87</v>
      </c>
      <c r="B83" s="27" t="s">
        <v>86</v>
      </c>
      <c r="C83" s="27" t="s">
        <v>65</v>
      </c>
      <c r="D83" s="31">
        <v>100000</v>
      </c>
      <c r="E83" s="29">
        <v>106.47</v>
      </c>
      <c r="F83" s="30">
        <v>7.6428794187675606E-2</v>
      </c>
      <c r="G83" s="29">
        <v>4.6988000000000003</v>
      </c>
    </row>
    <row r="84" spans="1:9" x14ac:dyDescent="0.2">
      <c r="A84" s="27" t="s">
        <v>89</v>
      </c>
      <c r="B84" s="27" t="s">
        <v>88</v>
      </c>
      <c r="C84" s="27" t="s">
        <v>65</v>
      </c>
      <c r="D84" s="31">
        <v>100000</v>
      </c>
      <c r="E84" s="29">
        <v>99.486500000000007</v>
      </c>
      <c r="F84" s="30">
        <v>7.1415734319077606E-2</v>
      </c>
      <c r="G84" s="29">
        <v>5.3624000000000001</v>
      </c>
    </row>
    <row r="85" spans="1:9" x14ac:dyDescent="0.2">
      <c r="A85" s="26" t="s">
        <v>35</v>
      </c>
      <c r="B85" s="26"/>
      <c r="C85" s="26"/>
      <c r="D85" s="32"/>
      <c r="E85" s="33">
        <f>SUM(E77:E84)</f>
        <v>17530.939030000001</v>
      </c>
      <c r="F85" s="34">
        <f>SUM(F77:F84)</f>
        <v>12.584470095243347</v>
      </c>
      <c r="G85" s="33"/>
      <c r="H85" s="18"/>
      <c r="I85" s="18"/>
    </row>
    <row r="86" spans="1:9" x14ac:dyDescent="0.2">
      <c r="A86" s="27"/>
      <c r="B86" s="27"/>
      <c r="C86" s="27"/>
      <c r="D86" s="28"/>
      <c r="E86" s="29"/>
      <c r="F86" s="30"/>
      <c r="G86" s="29"/>
    </row>
    <row r="87" spans="1:9" x14ac:dyDescent="0.2">
      <c r="A87" s="26" t="s">
        <v>38</v>
      </c>
      <c r="B87" s="26"/>
      <c r="C87" s="26"/>
      <c r="D87" s="32"/>
      <c r="E87" s="33">
        <f>E42+E47+E52+E56+E64+E69+E74+E85</f>
        <v>137024.42319599999</v>
      </c>
      <c r="F87" s="34">
        <f>F42+F47+F52+F56+F64+F69+F74+F85</f>
        <v>98.362087340396798</v>
      </c>
      <c r="G87" s="33"/>
      <c r="H87" s="18"/>
      <c r="I87" s="18"/>
    </row>
    <row r="88" spans="1:9" x14ac:dyDescent="0.2">
      <c r="A88" s="26"/>
      <c r="B88" s="26"/>
      <c r="C88" s="26"/>
      <c r="D88" s="32"/>
      <c r="E88" s="33"/>
      <c r="F88" s="34"/>
      <c r="G88" s="33"/>
      <c r="H88" s="18"/>
      <c r="I88" s="18"/>
    </row>
    <row r="89" spans="1:9" x14ac:dyDescent="0.2">
      <c r="A89" s="26" t="s">
        <v>40</v>
      </c>
      <c r="B89" s="26"/>
      <c r="C89" s="26"/>
      <c r="D89" s="32"/>
      <c r="E89" s="33">
        <f>E91-(E42+E47+E52+E56+E64+E69+E74+E85)</f>
        <v>2281.7128377000045</v>
      </c>
      <c r="F89" s="34">
        <f>F91-(F42+F47+F52+F56+F64+F69+F74+F85)</f>
        <v>1.6379126596032023</v>
      </c>
      <c r="G89" s="33"/>
      <c r="H89" s="18"/>
      <c r="I89" s="18"/>
    </row>
    <row r="90" spans="1:9" x14ac:dyDescent="0.2">
      <c r="A90" s="26"/>
      <c r="B90" s="26"/>
      <c r="C90" s="26"/>
      <c r="D90" s="32"/>
      <c r="E90" s="33"/>
      <c r="F90" s="34"/>
      <c r="G90" s="33"/>
      <c r="H90" s="18"/>
      <c r="I90" s="18"/>
    </row>
    <row r="91" spans="1:9" x14ac:dyDescent="0.2">
      <c r="A91" s="35" t="s">
        <v>39</v>
      </c>
      <c r="B91" s="35"/>
      <c r="C91" s="35"/>
      <c r="D91" s="36"/>
      <c r="E91" s="37">
        <v>139306.13603369999</v>
      </c>
      <c r="F91" s="38">
        <v>100</v>
      </c>
      <c r="G91" s="37"/>
      <c r="H91" s="18"/>
      <c r="I91" s="18"/>
    </row>
    <row r="92" spans="1:9" x14ac:dyDescent="0.2">
      <c r="F92" s="20" t="s">
        <v>514</v>
      </c>
    </row>
    <row r="93" spans="1:9" x14ac:dyDescent="0.2">
      <c r="A93" s="18" t="s">
        <v>66</v>
      </c>
    </row>
    <row r="94" spans="1:9" x14ac:dyDescent="0.2">
      <c r="A94" s="18" t="s">
        <v>41</v>
      </c>
    </row>
    <row r="95" spans="1:9" x14ac:dyDescent="0.2">
      <c r="A95" s="18" t="s">
        <v>730</v>
      </c>
    </row>
    <row r="97" spans="1:4" x14ac:dyDescent="0.2">
      <c r="A97" s="18" t="s">
        <v>42</v>
      </c>
    </row>
    <row r="98" spans="1:4" x14ac:dyDescent="0.2">
      <c r="A98" s="18" t="s">
        <v>43</v>
      </c>
    </row>
    <row r="99" spans="1:4" x14ac:dyDescent="0.2">
      <c r="A99" s="18" t="s">
        <v>44</v>
      </c>
      <c r="B99" s="18"/>
      <c r="C99" s="39" t="s">
        <v>46</v>
      </c>
      <c r="D99" s="19" t="s">
        <v>45</v>
      </c>
    </row>
    <row r="100" spans="1:4" x14ac:dyDescent="0.2">
      <c r="A100" s="9" t="s">
        <v>70</v>
      </c>
      <c r="C100" s="40">
        <v>135.33009999999999</v>
      </c>
      <c r="D100" s="40">
        <v>161.09899999999999</v>
      </c>
    </row>
    <row r="101" spans="1:4" x14ac:dyDescent="0.2">
      <c r="A101" s="9" t="s">
        <v>76</v>
      </c>
      <c r="C101" s="40">
        <v>21.549199999999999</v>
      </c>
      <c r="D101" s="40">
        <v>23.9025</v>
      </c>
    </row>
    <row r="102" spans="1:4" x14ac:dyDescent="0.2">
      <c r="A102" s="9" t="s">
        <v>73</v>
      </c>
      <c r="C102" s="40">
        <v>147.38220000000001</v>
      </c>
      <c r="D102" s="40">
        <v>176.33430000000001</v>
      </c>
    </row>
    <row r="103" spans="1:4" x14ac:dyDescent="0.2">
      <c r="A103" s="9" t="s">
        <v>77</v>
      </c>
      <c r="C103" s="40">
        <v>24.1493</v>
      </c>
      <c r="D103" s="40">
        <v>27.141999999999999</v>
      </c>
    </row>
    <row r="105" spans="1:4" x14ac:dyDescent="0.2">
      <c r="A105" s="18" t="s">
        <v>48</v>
      </c>
    </row>
    <row r="106" spans="1:4" x14ac:dyDescent="0.2">
      <c r="A106" s="77" t="s">
        <v>67</v>
      </c>
      <c r="B106" s="78"/>
      <c r="C106" s="44" t="s">
        <v>68</v>
      </c>
    </row>
    <row r="107" spans="1:4" x14ac:dyDescent="0.2">
      <c r="A107" s="73" t="s">
        <v>76</v>
      </c>
      <c r="B107" s="74"/>
      <c r="C107" s="45">
        <v>1.75</v>
      </c>
    </row>
    <row r="108" spans="1:4" x14ac:dyDescent="0.2">
      <c r="A108" s="73" t="s">
        <v>77</v>
      </c>
      <c r="B108" s="74"/>
      <c r="C108" s="45">
        <v>1.75</v>
      </c>
    </row>
    <row r="109" spans="1:4" x14ac:dyDescent="0.2">
      <c r="A109" s="9" t="s">
        <v>69</v>
      </c>
    </row>
    <row r="110" spans="1:4" x14ac:dyDescent="0.2">
      <c r="A110" s="9" t="s">
        <v>47</v>
      </c>
    </row>
    <row r="112" spans="1:4" x14ac:dyDescent="0.2">
      <c r="A112" s="18" t="s">
        <v>226</v>
      </c>
      <c r="D112" s="46">
        <v>0.52139999999999997</v>
      </c>
    </row>
    <row r="114" spans="1:5" x14ac:dyDescent="0.2">
      <c r="A114" s="18" t="s">
        <v>227</v>
      </c>
      <c r="D114" s="42">
        <v>2.4589265598694601</v>
      </c>
      <c r="E114" s="13" t="s">
        <v>50</v>
      </c>
    </row>
    <row r="116" spans="1:5" x14ac:dyDescent="0.2">
      <c r="A116" s="18" t="s">
        <v>228</v>
      </c>
      <c r="D116" s="41" t="s">
        <v>49</v>
      </c>
    </row>
    <row r="117" spans="1:5" x14ac:dyDescent="0.2">
      <c r="A117" s="9" t="s">
        <v>733</v>
      </c>
    </row>
    <row r="118" spans="1:5" x14ac:dyDescent="0.2">
      <c r="A118" s="47" t="s">
        <v>734</v>
      </c>
    </row>
    <row r="120" spans="1:5" x14ac:dyDescent="0.2">
      <c r="A120" s="18" t="s">
        <v>747</v>
      </c>
    </row>
    <row r="121" spans="1:5" x14ac:dyDescent="0.2">
      <c r="A121" s="47" t="s">
        <v>51</v>
      </c>
    </row>
  </sheetData>
  <mergeCells count="4">
    <mergeCell ref="A1:G1"/>
    <mergeCell ref="A106:B106"/>
    <mergeCell ref="A107:B107"/>
    <mergeCell ref="A108:B108"/>
  </mergeCells>
  <conditionalFormatting sqref="F2:F3 F5:F91 F93:F65538">
    <cfRule type="cellIs" dxfId="28" priority="2" stopIfTrue="1" operator="between">
      <formula>0.009</formula>
      <formula>-0.009</formula>
    </cfRule>
  </conditionalFormatting>
  <conditionalFormatting sqref="F92">
    <cfRule type="cellIs" dxfId="27" priority="1" stopIfTrue="1" operator="between">
      <formula>0.009</formula>
      <formula>-0.009</formula>
    </cfRule>
  </conditionalFormatting>
  <hyperlinks>
    <hyperlink ref="A121" r:id="rId1" xr:uid="{00000000-0004-0000-1F00-000000000000}"/>
    <hyperlink ref="A118" r:id="rId2" xr:uid="{00000000-0004-0000-1F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2"/>
  <sheetViews>
    <sheetView workbookViewId="0">
      <selection sqref="A1:F1"/>
    </sheetView>
  </sheetViews>
  <sheetFormatPr defaultColWidth="9.109375" defaultRowHeight="10.199999999999999" x14ac:dyDescent="0.2"/>
  <cols>
    <col min="1" max="1" width="40.5546875" style="9" bestFit="1" customWidth="1"/>
    <col min="2" max="2" width="25.886718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10</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101</v>
      </c>
      <c r="D7" s="31">
        <v>750000</v>
      </c>
      <c r="E7" s="29">
        <v>4970.625</v>
      </c>
      <c r="F7" s="30">
        <v>9.1940103314517305</v>
      </c>
    </row>
    <row r="8" spans="1:6" x14ac:dyDescent="0.2">
      <c r="A8" s="27" t="s">
        <v>136</v>
      </c>
      <c r="B8" s="27" t="s">
        <v>135</v>
      </c>
      <c r="C8" s="27" t="s">
        <v>101</v>
      </c>
      <c r="D8" s="31">
        <v>1100000</v>
      </c>
      <c r="E8" s="29">
        <v>4667.8500000000004</v>
      </c>
      <c r="F8" s="30">
        <v>8.6339768390628802</v>
      </c>
    </row>
    <row r="9" spans="1:6" x14ac:dyDescent="0.2">
      <c r="A9" s="27" t="s">
        <v>242</v>
      </c>
      <c r="B9" s="27" t="s">
        <v>241</v>
      </c>
      <c r="C9" s="27" t="s">
        <v>150</v>
      </c>
      <c r="D9" s="31">
        <v>2300000</v>
      </c>
      <c r="E9" s="29">
        <v>3468.4</v>
      </c>
      <c r="F9" s="30">
        <v>6.4153915118535698</v>
      </c>
    </row>
    <row r="10" spans="1:6" x14ac:dyDescent="0.2">
      <c r="A10" s="27" t="s">
        <v>103</v>
      </c>
      <c r="B10" s="27" t="s">
        <v>102</v>
      </c>
      <c r="C10" s="27" t="s">
        <v>101</v>
      </c>
      <c r="D10" s="31">
        <v>385000</v>
      </c>
      <c r="E10" s="29">
        <v>2890.1950000000002</v>
      </c>
      <c r="F10" s="30">
        <v>5.3459037223508403</v>
      </c>
    </row>
    <row r="11" spans="1:6" x14ac:dyDescent="0.2">
      <c r="A11" s="27" t="s">
        <v>176</v>
      </c>
      <c r="B11" s="27" t="s">
        <v>175</v>
      </c>
      <c r="C11" s="27" t="s">
        <v>177</v>
      </c>
      <c r="D11" s="31">
        <v>190000</v>
      </c>
      <c r="E11" s="29">
        <v>2795.28</v>
      </c>
      <c r="F11" s="30">
        <v>5.1703424014687096</v>
      </c>
    </row>
    <row r="12" spans="1:6" x14ac:dyDescent="0.2">
      <c r="A12" s="27" t="s">
        <v>105</v>
      </c>
      <c r="B12" s="27" t="s">
        <v>104</v>
      </c>
      <c r="C12" s="27" t="s">
        <v>106</v>
      </c>
      <c r="D12" s="31">
        <v>180000</v>
      </c>
      <c r="E12" s="29">
        <v>2508.75</v>
      </c>
      <c r="F12" s="30">
        <v>4.6403567798877399</v>
      </c>
    </row>
    <row r="13" spans="1:6" x14ac:dyDescent="0.2">
      <c r="A13" s="27" t="s">
        <v>113</v>
      </c>
      <c r="B13" s="27" t="s">
        <v>112</v>
      </c>
      <c r="C13" s="27" t="s">
        <v>114</v>
      </c>
      <c r="D13" s="31">
        <v>450000</v>
      </c>
      <c r="E13" s="29">
        <v>2407.0500000000002</v>
      </c>
      <c r="F13" s="30">
        <v>4.4522454557165103</v>
      </c>
    </row>
    <row r="14" spans="1:6" x14ac:dyDescent="0.2">
      <c r="A14" s="27" t="s">
        <v>147</v>
      </c>
      <c r="B14" s="27" t="s">
        <v>146</v>
      </c>
      <c r="C14" s="27" t="s">
        <v>145</v>
      </c>
      <c r="D14" s="31">
        <v>1900000</v>
      </c>
      <c r="E14" s="29">
        <v>2099.5</v>
      </c>
      <c r="F14" s="30">
        <v>3.8833797944690902</v>
      </c>
    </row>
    <row r="15" spans="1:6" x14ac:dyDescent="0.2">
      <c r="A15" s="27" t="s">
        <v>244</v>
      </c>
      <c r="B15" s="27" t="s">
        <v>243</v>
      </c>
      <c r="C15" s="27" t="s">
        <v>106</v>
      </c>
      <c r="D15" s="31">
        <v>200000</v>
      </c>
      <c r="E15" s="29">
        <v>1890.4</v>
      </c>
      <c r="F15" s="30">
        <v>3.4966140335624498</v>
      </c>
    </row>
    <row r="16" spans="1:6" x14ac:dyDescent="0.2">
      <c r="A16" s="27" t="s">
        <v>100</v>
      </c>
      <c r="B16" s="27" t="s">
        <v>99</v>
      </c>
      <c r="C16" s="27" t="s">
        <v>101</v>
      </c>
      <c r="D16" s="31">
        <v>110000</v>
      </c>
      <c r="E16" s="29">
        <v>1667.4349999999999</v>
      </c>
      <c r="F16" s="30">
        <v>3.0842026137606902</v>
      </c>
    </row>
    <row r="17" spans="1:6" x14ac:dyDescent="0.2">
      <c r="A17" s="27" t="s">
        <v>246</v>
      </c>
      <c r="B17" s="27" t="s">
        <v>245</v>
      </c>
      <c r="C17" s="27" t="s">
        <v>247</v>
      </c>
      <c r="D17" s="31">
        <v>1100000</v>
      </c>
      <c r="E17" s="29">
        <v>1599.4</v>
      </c>
      <c r="F17" s="30">
        <v>2.95836039212853</v>
      </c>
    </row>
    <row r="18" spans="1:6" x14ac:dyDescent="0.2">
      <c r="A18" s="27" t="s">
        <v>140</v>
      </c>
      <c r="B18" s="27" t="s">
        <v>139</v>
      </c>
      <c r="C18" s="27" t="s">
        <v>125</v>
      </c>
      <c r="D18" s="31">
        <v>550000</v>
      </c>
      <c r="E18" s="29">
        <v>1490.7750000000001</v>
      </c>
      <c r="F18" s="30">
        <v>2.7574401110262698</v>
      </c>
    </row>
    <row r="19" spans="1:6" x14ac:dyDescent="0.2">
      <c r="A19" s="27" t="s">
        <v>249</v>
      </c>
      <c r="B19" s="27" t="s">
        <v>248</v>
      </c>
      <c r="C19" s="27" t="s">
        <v>211</v>
      </c>
      <c r="D19" s="31">
        <v>300000</v>
      </c>
      <c r="E19" s="29">
        <v>1324.65</v>
      </c>
      <c r="F19" s="30">
        <v>2.4501638698468602</v>
      </c>
    </row>
    <row r="20" spans="1:6" x14ac:dyDescent="0.2">
      <c r="A20" s="27" t="s">
        <v>208</v>
      </c>
      <c r="B20" s="27" t="s">
        <v>207</v>
      </c>
      <c r="C20" s="27" t="s">
        <v>134</v>
      </c>
      <c r="D20" s="31">
        <v>1200000</v>
      </c>
      <c r="E20" s="29">
        <v>1311</v>
      </c>
      <c r="F20" s="30">
        <v>2.4249158897589802</v>
      </c>
    </row>
    <row r="21" spans="1:6" x14ac:dyDescent="0.2">
      <c r="A21" s="27" t="s">
        <v>222</v>
      </c>
      <c r="B21" s="27" t="s">
        <v>221</v>
      </c>
      <c r="C21" s="27" t="s">
        <v>101</v>
      </c>
      <c r="D21" s="31">
        <v>1500000</v>
      </c>
      <c r="E21" s="29">
        <v>1308.75</v>
      </c>
      <c r="F21" s="30">
        <v>2.4207541347994401</v>
      </c>
    </row>
    <row r="22" spans="1:6" x14ac:dyDescent="0.2">
      <c r="A22" s="27" t="s">
        <v>251</v>
      </c>
      <c r="B22" s="27" t="s">
        <v>250</v>
      </c>
      <c r="C22" s="27" t="s">
        <v>128</v>
      </c>
      <c r="D22" s="31">
        <v>600000</v>
      </c>
      <c r="E22" s="29">
        <v>1299.5999999999999</v>
      </c>
      <c r="F22" s="30">
        <v>2.4038296646306399</v>
      </c>
    </row>
    <row r="23" spans="1:6" x14ac:dyDescent="0.2">
      <c r="A23" s="27" t="s">
        <v>218</v>
      </c>
      <c r="B23" s="27" t="s">
        <v>217</v>
      </c>
      <c r="C23" s="27" t="s">
        <v>125</v>
      </c>
      <c r="D23" s="31">
        <v>800000</v>
      </c>
      <c r="E23" s="29">
        <v>1279.5999999999999</v>
      </c>
      <c r="F23" s="30">
        <v>2.3668362872125002</v>
      </c>
    </row>
    <row r="24" spans="1:6" x14ac:dyDescent="0.2">
      <c r="A24" s="27" t="s">
        <v>144</v>
      </c>
      <c r="B24" s="27" t="s">
        <v>143</v>
      </c>
      <c r="C24" s="27" t="s">
        <v>145</v>
      </c>
      <c r="D24" s="31">
        <v>500000</v>
      </c>
      <c r="E24" s="29">
        <v>1128.25</v>
      </c>
      <c r="F24" s="30">
        <v>2.0868889036007401</v>
      </c>
    </row>
    <row r="25" spans="1:6" x14ac:dyDescent="0.2">
      <c r="A25" s="27" t="s">
        <v>253</v>
      </c>
      <c r="B25" s="27" t="s">
        <v>252</v>
      </c>
      <c r="C25" s="27" t="s">
        <v>111</v>
      </c>
      <c r="D25" s="31">
        <v>7000</v>
      </c>
      <c r="E25" s="29">
        <v>1067.9549999999999</v>
      </c>
      <c r="F25" s="30">
        <v>1.9753631190294001</v>
      </c>
    </row>
    <row r="26" spans="1:6" x14ac:dyDescent="0.2">
      <c r="A26" s="27" t="s">
        <v>216</v>
      </c>
      <c r="B26" s="27" t="s">
        <v>215</v>
      </c>
      <c r="C26" s="27" t="s">
        <v>187</v>
      </c>
      <c r="D26" s="31">
        <v>200000</v>
      </c>
      <c r="E26" s="29">
        <v>1051.3</v>
      </c>
      <c r="F26" s="30">
        <v>1.94455688398445</v>
      </c>
    </row>
    <row r="27" spans="1:6" x14ac:dyDescent="0.2">
      <c r="A27" s="27" t="s">
        <v>179</v>
      </c>
      <c r="B27" s="27" t="s">
        <v>178</v>
      </c>
      <c r="C27" s="27" t="s">
        <v>180</v>
      </c>
      <c r="D27" s="31">
        <v>700000</v>
      </c>
      <c r="E27" s="29">
        <v>1033.9000000000001</v>
      </c>
      <c r="F27" s="30">
        <v>1.91237264563067</v>
      </c>
    </row>
    <row r="28" spans="1:6" x14ac:dyDescent="0.2">
      <c r="A28" s="27" t="s">
        <v>201</v>
      </c>
      <c r="B28" s="27" t="s">
        <v>200</v>
      </c>
      <c r="C28" s="27" t="s">
        <v>106</v>
      </c>
      <c r="D28" s="31">
        <v>100000</v>
      </c>
      <c r="E28" s="29">
        <v>1021.65</v>
      </c>
      <c r="F28" s="30">
        <v>1.8897142019620601</v>
      </c>
    </row>
    <row r="29" spans="1:6" x14ac:dyDescent="0.2">
      <c r="A29" s="27" t="s">
        <v>154</v>
      </c>
      <c r="B29" s="27" t="s">
        <v>153</v>
      </c>
      <c r="C29" s="27" t="s">
        <v>134</v>
      </c>
      <c r="D29" s="31">
        <v>200000</v>
      </c>
      <c r="E29" s="29">
        <v>944</v>
      </c>
      <c r="F29" s="30">
        <v>1.74608741413614</v>
      </c>
    </row>
    <row r="30" spans="1:6" x14ac:dyDescent="0.2">
      <c r="A30" s="27" t="s">
        <v>149</v>
      </c>
      <c r="B30" s="27" t="s">
        <v>148</v>
      </c>
      <c r="C30" s="27" t="s">
        <v>150</v>
      </c>
      <c r="D30" s="31">
        <v>100000</v>
      </c>
      <c r="E30" s="29">
        <v>807.95</v>
      </c>
      <c r="F30" s="30">
        <v>1.4944399642492501</v>
      </c>
    </row>
    <row r="31" spans="1:6" x14ac:dyDescent="0.2">
      <c r="A31" s="27" t="s">
        <v>255</v>
      </c>
      <c r="B31" s="27" t="s">
        <v>254</v>
      </c>
      <c r="C31" s="27" t="s">
        <v>111</v>
      </c>
      <c r="D31" s="31">
        <v>22219</v>
      </c>
      <c r="E31" s="29">
        <v>786.75257099999999</v>
      </c>
      <c r="F31" s="30">
        <v>1.4552317396846901</v>
      </c>
    </row>
    <row r="32" spans="1:6" x14ac:dyDescent="0.2">
      <c r="A32" s="27" t="s">
        <v>257</v>
      </c>
      <c r="B32" s="27" t="s">
        <v>256</v>
      </c>
      <c r="C32" s="27" t="s">
        <v>258</v>
      </c>
      <c r="D32" s="31">
        <v>100000</v>
      </c>
      <c r="E32" s="29">
        <v>703.85</v>
      </c>
      <c r="F32" s="30">
        <v>1.30188943478784</v>
      </c>
    </row>
    <row r="33" spans="1:9" x14ac:dyDescent="0.2">
      <c r="A33" s="27" t="s">
        <v>260</v>
      </c>
      <c r="B33" s="27" t="s">
        <v>259</v>
      </c>
      <c r="C33" s="27" t="s">
        <v>261</v>
      </c>
      <c r="D33" s="31">
        <v>130000</v>
      </c>
      <c r="E33" s="29">
        <v>653.96500000000003</v>
      </c>
      <c r="F33" s="30">
        <v>1.20961870316265</v>
      </c>
    </row>
    <row r="34" spans="1:9" x14ac:dyDescent="0.2">
      <c r="A34" s="27" t="s">
        <v>263</v>
      </c>
      <c r="B34" s="27" t="s">
        <v>262</v>
      </c>
      <c r="C34" s="27" t="s">
        <v>187</v>
      </c>
      <c r="D34" s="31">
        <v>700000</v>
      </c>
      <c r="E34" s="29">
        <v>643.65</v>
      </c>
      <c r="F34" s="30">
        <v>1.19053936875924</v>
      </c>
    </row>
    <row r="35" spans="1:9" x14ac:dyDescent="0.2">
      <c r="A35" s="27" t="s">
        <v>152</v>
      </c>
      <c r="B35" s="27" t="s">
        <v>151</v>
      </c>
      <c r="C35" s="27" t="s">
        <v>150</v>
      </c>
      <c r="D35" s="31">
        <v>15000</v>
      </c>
      <c r="E35" s="29">
        <v>628.91999999999996</v>
      </c>
      <c r="F35" s="30">
        <v>1.16329374629078</v>
      </c>
    </row>
    <row r="36" spans="1:9" x14ac:dyDescent="0.2">
      <c r="A36" s="27" t="s">
        <v>265</v>
      </c>
      <c r="B36" s="27" t="s">
        <v>264</v>
      </c>
      <c r="C36" s="27" t="s">
        <v>128</v>
      </c>
      <c r="D36" s="31">
        <v>100000</v>
      </c>
      <c r="E36" s="29">
        <v>612.45000000000005</v>
      </c>
      <c r="F36" s="30">
        <v>1.13282969998695</v>
      </c>
    </row>
    <row r="37" spans="1:9" x14ac:dyDescent="0.2">
      <c r="A37" s="27" t="s">
        <v>267</v>
      </c>
      <c r="B37" s="27" t="s">
        <v>266</v>
      </c>
      <c r="C37" s="27" t="s">
        <v>177</v>
      </c>
      <c r="D37" s="31">
        <v>30000</v>
      </c>
      <c r="E37" s="29">
        <v>595.81500000000005</v>
      </c>
      <c r="F37" s="30">
        <v>1.10206045831941</v>
      </c>
    </row>
    <row r="38" spans="1:9" x14ac:dyDescent="0.2">
      <c r="A38" s="27" t="s">
        <v>269</v>
      </c>
      <c r="B38" s="27" t="s">
        <v>268</v>
      </c>
      <c r="C38" s="27" t="s">
        <v>270</v>
      </c>
      <c r="D38" s="31">
        <v>500000</v>
      </c>
      <c r="E38" s="29">
        <v>568.25</v>
      </c>
      <c r="F38" s="30">
        <v>1.05107433589286</v>
      </c>
    </row>
    <row r="39" spans="1:9" x14ac:dyDescent="0.2">
      <c r="A39" s="27" t="s">
        <v>213</v>
      </c>
      <c r="B39" s="27" t="s">
        <v>212</v>
      </c>
      <c r="C39" s="27" t="s">
        <v>214</v>
      </c>
      <c r="D39" s="31">
        <v>300000</v>
      </c>
      <c r="E39" s="29">
        <v>492</v>
      </c>
      <c r="F39" s="30">
        <v>0.91003708448620602</v>
      </c>
    </row>
    <row r="40" spans="1:9" x14ac:dyDescent="0.2">
      <c r="A40" s="27" t="s">
        <v>272</v>
      </c>
      <c r="B40" s="27" t="s">
        <v>271</v>
      </c>
      <c r="C40" s="27" t="s">
        <v>134</v>
      </c>
      <c r="D40" s="31">
        <v>47951</v>
      </c>
      <c r="E40" s="29">
        <v>335.20146549999998</v>
      </c>
      <c r="F40" s="30">
        <v>0.62001171621773099</v>
      </c>
    </row>
    <row r="41" spans="1:9" x14ac:dyDescent="0.2">
      <c r="A41" s="26" t="s">
        <v>35</v>
      </c>
      <c r="B41" s="26"/>
      <c r="C41" s="26"/>
      <c r="D41" s="32"/>
      <c r="E41" s="33">
        <f>SUM(E7:E40)</f>
        <v>52055.1190365</v>
      </c>
      <c r="F41" s="34">
        <f>SUM(F7:F40)</f>
        <v>96.284733253168497</v>
      </c>
      <c r="G41" s="18"/>
      <c r="H41" s="18"/>
      <c r="I41" s="18"/>
    </row>
    <row r="42" spans="1:9" x14ac:dyDescent="0.2">
      <c r="A42" s="27"/>
      <c r="B42" s="27"/>
      <c r="C42" s="27"/>
      <c r="D42" s="28"/>
      <c r="E42" s="29"/>
      <c r="F42" s="30"/>
    </row>
    <row r="43" spans="1:9" x14ac:dyDescent="0.2">
      <c r="A43" s="26" t="s">
        <v>223</v>
      </c>
      <c r="B43" s="27"/>
      <c r="C43" s="27"/>
      <c r="D43" s="28"/>
      <c r="E43" s="29"/>
      <c r="F43" s="30"/>
    </row>
    <row r="44" spans="1:9" x14ac:dyDescent="0.2">
      <c r="A44" s="27" t="s">
        <v>225</v>
      </c>
      <c r="B44" s="27" t="s">
        <v>224</v>
      </c>
      <c r="C44" s="27" t="s">
        <v>376</v>
      </c>
      <c r="D44" s="31">
        <v>150000</v>
      </c>
      <c r="E44" s="29">
        <v>487.815</v>
      </c>
      <c r="F44" s="30">
        <v>0.90229622026146095</v>
      </c>
    </row>
    <row r="45" spans="1:9" x14ac:dyDescent="0.2">
      <c r="A45" s="26" t="s">
        <v>35</v>
      </c>
      <c r="B45" s="26"/>
      <c r="C45" s="26"/>
      <c r="D45" s="32"/>
      <c r="E45" s="33">
        <f>SUM(E43:E44)</f>
        <v>487.815</v>
      </c>
      <c r="F45" s="34">
        <f>SUM(F43:F44)</f>
        <v>0.90229622026146095</v>
      </c>
      <c r="G45" s="18"/>
      <c r="H45" s="18"/>
      <c r="I45" s="18"/>
    </row>
    <row r="46" spans="1:9" x14ac:dyDescent="0.2">
      <c r="A46" s="27"/>
      <c r="B46" s="27"/>
      <c r="C46" s="27"/>
      <c r="D46" s="28"/>
      <c r="E46" s="29"/>
      <c r="F46" s="30"/>
    </row>
    <row r="47" spans="1:9" x14ac:dyDescent="0.2">
      <c r="A47" s="26" t="s">
        <v>38</v>
      </c>
      <c r="B47" s="26"/>
      <c r="C47" s="26"/>
      <c r="D47" s="32"/>
      <c r="E47" s="33">
        <f>E41+E45</f>
        <v>52542.934036500003</v>
      </c>
      <c r="F47" s="34">
        <f>F41+F45</f>
        <v>97.187029473429959</v>
      </c>
      <c r="G47" s="18"/>
      <c r="H47" s="18"/>
      <c r="I47" s="18"/>
    </row>
    <row r="48" spans="1:9" x14ac:dyDescent="0.2">
      <c r="A48" s="26"/>
      <c r="B48" s="26"/>
      <c r="C48" s="26"/>
      <c r="D48" s="32"/>
      <c r="E48" s="33"/>
      <c r="F48" s="34"/>
      <c r="G48" s="18"/>
      <c r="H48" s="18"/>
      <c r="I48" s="18"/>
    </row>
    <row r="49" spans="1:9" x14ac:dyDescent="0.2">
      <c r="A49" s="26" t="s">
        <v>40</v>
      </c>
      <c r="B49" s="26"/>
      <c r="C49" s="26"/>
      <c r="D49" s="32"/>
      <c r="E49" s="33">
        <f>E51-(E41+E45)</f>
        <v>1520.7968143999969</v>
      </c>
      <c r="F49" s="34">
        <f>F51-(F41+F45)</f>
        <v>2.8129705265700409</v>
      </c>
      <c r="G49" s="18"/>
      <c r="H49" s="18"/>
      <c r="I49" s="18"/>
    </row>
    <row r="50" spans="1:9" x14ac:dyDescent="0.2">
      <c r="A50" s="26"/>
      <c r="B50" s="26"/>
      <c r="C50" s="26"/>
      <c r="D50" s="32"/>
      <c r="E50" s="33"/>
      <c r="F50" s="34"/>
      <c r="G50" s="18"/>
      <c r="H50" s="18"/>
      <c r="I50" s="18"/>
    </row>
    <row r="51" spans="1:9" x14ac:dyDescent="0.2">
      <c r="A51" s="35" t="s">
        <v>39</v>
      </c>
      <c r="B51" s="35"/>
      <c r="C51" s="35"/>
      <c r="D51" s="36"/>
      <c r="E51" s="37">
        <v>54063.730850899999</v>
      </c>
      <c r="F51" s="38">
        <v>100</v>
      </c>
      <c r="G51" s="18"/>
      <c r="H51" s="18"/>
      <c r="I51" s="18"/>
    </row>
    <row r="54" spans="1:9" x14ac:dyDescent="0.2">
      <c r="A54" s="18" t="s">
        <v>42</v>
      </c>
    </row>
    <row r="55" spans="1:9" x14ac:dyDescent="0.2">
      <c r="A55" s="18" t="s">
        <v>43</v>
      </c>
    </row>
    <row r="56" spans="1:9" x14ac:dyDescent="0.2">
      <c r="A56" s="18" t="s">
        <v>44</v>
      </c>
      <c r="B56" s="18"/>
      <c r="C56" s="39" t="s">
        <v>46</v>
      </c>
      <c r="D56" s="19" t="s">
        <v>45</v>
      </c>
    </row>
    <row r="57" spans="1:9" x14ac:dyDescent="0.2">
      <c r="A57" s="9" t="s">
        <v>70</v>
      </c>
      <c r="C57" s="40">
        <v>253.17259999999999</v>
      </c>
      <c r="D57" s="40">
        <v>341.45209999999997</v>
      </c>
    </row>
    <row r="58" spans="1:9" x14ac:dyDescent="0.2">
      <c r="A58" s="9" t="s">
        <v>76</v>
      </c>
      <c r="C58" s="40">
        <v>55.369199999999999</v>
      </c>
      <c r="D58" s="40">
        <v>68.490700000000004</v>
      </c>
    </row>
    <row r="59" spans="1:9" x14ac:dyDescent="0.2">
      <c r="A59" s="9" t="s">
        <v>73</v>
      </c>
      <c r="C59" s="40">
        <v>268.48320000000001</v>
      </c>
      <c r="D59" s="40">
        <v>363.74400000000003</v>
      </c>
    </row>
    <row r="60" spans="1:9" x14ac:dyDescent="0.2">
      <c r="A60" s="9" t="s">
        <v>77</v>
      </c>
      <c r="C60" s="40">
        <v>59.795299999999997</v>
      </c>
      <c r="D60" s="40">
        <v>74.793199999999999</v>
      </c>
    </row>
    <row r="62" spans="1:9" x14ac:dyDescent="0.2">
      <c r="A62" s="18" t="s">
        <v>48</v>
      </c>
    </row>
    <row r="63" spans="1:9" x14ac:dyDescent="0.2">
      <c r="A63" s="77" t="s">
        <v>67</v>
      </c>
      <c r="B63" s="78"/>
      <c r="C63" s="44" t="s">
        <v>68</v>
      </c>
    </row>
    <row r="64" spans="1:9" x14ac:dyDescent="0.2">
      <c r="A64" s="73" t="s">
        <v>76</v>
      </c>
      <c r="B64" s="74"/>
      <c r="C64" s="45">
        <v>5</v>
      </c>
    </row>
    <row r="65" spans="1:4" x14ac:dyDescent="0.2">
      <c r="A65" s="73" t="s">
        <v>77</v>
      </c>
      <c r="B65" s="74"/>
      <c r="C65" s="45">
        <v>5</v>
      </c>
    </row>
    <row r="66" spans="1:4" x14ac:dyDescent="0.2">
      <c r="A66" s="9" t="s">
        <v>69</v>
      </c>
    </row>
    <row r="67" spans="1:4" x14ac:dyDescent="0.2">
      <c r="A67" s="9" t="s">
        <v>47</v>
      </c>
    </row>
    <row r="69" spans="1:4" x14ac:dyDescent="0.2">
      <c r="A69" s="18" t="s">
        <v>226</v>
      </c>
      <c r="D69" s="46">
        <v>0.1371</v>
      </c>
    </row>
    <row r="71" spans="1:4" x14ac:dyDescent="0.2">
      <c r="A71" s="18" t="s">
        <v>748</v>
      </c>
    </row>
    <row r="72" spans="1:4" x14ac:dyDescent="0.2">
      <c r="A72" s="47" t="s">
        <v>51</v>
      </c>
    </row>
  </sheetData>
  <mergeCells count="4">
    <mergeCell ref="A1:F1"/>
    <mergeCell ref="A63:B63"/>
    <mergeCell ref="A64:B64"/>
    <mergeCell ref="A65:B65"/>
  </mergeCells>
  <conditionalFormatting sqref="F2:F3 F5:F65534">
    <cfRule type="cellIs" dxfId="26" priority="1" stopIfTrue="1" operator="between">
      <formula>0.009</formula>
      <formula>-0.009</formula>
    </cfRule>
  </conditionalFormatting>
  <hyperlinks>
    <hyperlink ref="A72"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91"/>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11</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105</v>
      </c>
      <c r="B7" s="27" t="s">
        <v>104</v>
      </c>
      <c r="C7" s="27" t="s">
        <v>106</v>
      </c>
      <c r="D7" s="31">
        <v>775444</v>
      </c>
      <c r="E7" s="29">
        <v>10807.750749999999</v>
      </c>
      <c r="F7" s="30">
        <v>10.0232081630983</v>
      </c>
    </row>
    <row r="8" spans="1:6" x14ac:dyDescent="0.2">
      <c r="A8" s="27" t="s">
        <v>144</v>
      </c>
      <c r="B8" s="27" t="s">
        <v>143</v>
      </c>
      <c r="C8" s="27" t="s">
        <v>145</v>
      </c>
      <c r="D8" s="31">
        <v>3009054</v>
      </c>
      <c r="E8" s="29">
        <v>6789.930351</v>
      </c>
      <c r="F8" s="30">
        <v>6.2970443060053398</v>
      </c>
    </row>
    <row r="9" spans="1:6" x14ac:dyDescent="0.2">
      <c r="A9" s="27" t="s">
        <v>199</v>
      </c>
      <c r="B9" s="27" t="s">
        <v>198</v>
      </c>
      <c r="C9" s="27" t="s">
        <v>145</v>
      </c>
      <c r="D9" s="31">
        <v>4647866</v>
      </c>
      <c r="E9" s="29">
        <v>4947.6533570000001</v>
      </c>
      <c r="F9" s="30">
        <v>4.5884995558454502</v>
      </c>
    </row>
    <row r="10" spans="1:6" x14ac:dyDescent="0.2">
      <c r="A10" s="27" t="s">
        <v>230</v>
      </c>
      <c r="B10" s="27" t="s">
        <v>229</v>
      </c>
      <c r="C10" s="27" t="s">
        <v>145</v>
      </c>
      <c r="D10" s="31">
        <v>14497327</v>
      </c>
      <c r="E10" s="29">
        <v>3769.3050199999998</v>
      </c>
      <c r="F10" s="30">
        <v>3.4956883924873599</v>
      </c>
    </row>
    <row r="11" spans="1:6" x14ac:dyDescent="0.2">
      <c r="A11" s="27" t="s">
        <v>147</v>
      </c>
      <c r="B11" s="27" t="s">
        <v>146</v>
      </c>
      <c r="C11" s="27" t="s">
        <v>145</v>
      </c>
      <c r="D11" s="31">
        <v>3291938</v>
      </c>
      <c r="E11" s="29">
        <v>3637.5914899999998</v>
      </c>
      <c r="F11" s="30">
        <v>3.3735360446376901</v>
      </c>
    </row>
    <row r="12" spans="1:6" x14ac:dyDescent="0.2">
      <c r="A12" s="27" t="s">
        <v>275</v>
      </c>
      <c r="B12" s="27" t="s">
        <v>274</v>
      </c>
      <c r="C12" s="27" t="s">
        <v>211</v>
      </c>
      <c r="D12" s="31">
        <v>2098785</v>
      </c>
      <c r="E12" s="29">
        <v>3567.9344999999998</v>
      </c>
      <c r="F12" s="30">
        <v>3.3089355068444899</v>
      </c>
    </row>
    <row r="13" spans="1:6" x14ac:dyDescent="0.2">
      <c r="A13" s="27" t="s">
        <v>142</v>
      </c>
      <c r="B13" s="27" t="s">
        <v>141</v>
      </c>
      <c r="C13" s="27" t="s">
        <v>128</v>
      </c>
      <c r="D13" s="31">
        <v>138206</v>
      </c>
      <c r="E13" s="29">
        <v>3234.0895030000001</v>
      </c>
      <c r="F13" s="30">
        <v>2.9993245640551298</v>
      </c>
    </row>
    <row r="14" spans="1:6" x14ac:dyDescent="0.2">
      <c r="A14" s="27" t="s">
        <v>277</v>
      </c>
      <c r="B14" s="27" t="s">
        <v>276</v>
      </c>
      <c r="C14" s="27" t="s">
        <v>278</v>
      </c>
      <c r="D14" s="31">
        <v>1230352</v>
      </c>
      <c r="E14" s="29">
        <v>3230.904352</v>
      </c>
      <c r="F14" s="30">
        <v>2.9963706255121001</v>
      </c>
    </row>
    <row r="15" spans="1:6" x14ac:dyDescent="0.2">
      <c r="A15" s="27" t="s">
        <v>138</v>
      </c>
      <c r="B15" s="27" t="s">
        <v>137</v>
      </c>
      <c r="C15" s="27" t="s">
        <v>106</v>
      </c>
      <c r="D15" s="31">
        <v>81194</v>
      </c>
      <c r="E15" s="29">
        <v>2565.0402509999999</v>
      </c>
      <c r="F15" s="30">
        <v>2.3788420900157301</v>
      </c>
    </row>
    <row r="16" spans="1:6" x14ac:dyDescent="0.2">
      <c r="A16" s="27" t="s">
        <v>280</v>
      </c>
      <c r="B16" s="27" t="s">
        <v>279</v>
      </c>
      <c r="C16" s="27" t="s">
        <v>122</v>
      </c>
      <c r="D16" s="31">
        <v>3209748</v>
      </c>
      <c r="E16" s="29">
        <v>2368.7940239999998</v>
      </c>
      <c r="F16" s="30">
        <v>2.1968415211699202</v>
      </c>
    </row>
    <row r="17" spans="1:6" x14ac:dyDescent="0.2">
      <c r="A17" s="27" t="s">
        <v>124</v>
      </c>
      <c r="B17" s="27" t="s">
        <v>123</v>
      </c>
      <c r="C17" s="27" t="s">
        <v>125</v>
      </c>
      <c r="D17" s="31">
        <v>803388</v>
      </c>
      <c r="E17" s="29">
        <v>1939.7803260000001</v>
      </c>
      <c r="F17" s="30">
        <v>1.7989702434783399</v>
      </c>
    </row>
    <row r="18" spans="1:6" x14ac:dyDescent="0.2">
      <c r="A18" s="27" t="s">
        <v>179</v>
      </c>
      <c r="B18" s="27" t="s">
        <v>178</v>
      </c>
      <c r="C18" s="27" t="s">
        <v>180</v>
      </c>
      <c r="D18" s="31">
        <v>1247000</v>
      </c>
      <c r="E18" s="29">
        <v>1841.819</v>
      </c>
      <c r="F18" s="30">
        <v>1.7081200022816601</v>
      </c>
    </row>
    <row r="19" spans="1:6" x14ac:dyDescent="0.2">
      <c r="A19" s="27" t="s">
        <v>282</v>
      </c>
      <c r="B19" s="27" t="s">
        <v>281</v>
      </c>
      <c r="C19" s="27" t="s">
        <v>283</v>
      </c>
      <c r="D19" s="31">
        <v>136944</v>
      </c>
      <c r="E19" s="29">
        <v>1770.822864</v>
      </c>
      <c r="F19" s="30">
        <v>1.6422775280828901</v>
      </c>
    </row>
    <row r="20" spans="1:6" x14ac:dyDescent="0.2">
      <c r="A20" s="27" t="s">
        <v>140</v>
      </c>
      <c r="B20" s="27" t="s">
        <v>139</v>
      </c>
      <c r="C20" s="27" t="s">
        <v>125</v>
      </c>
      <c r="D20" s="31">
        <v>624255</v>
      </c>
      <c r="E20" s="29">
        <v>1692.0431779999999</v>
      </c>
      <c r="F20" s="30">
        <v>1.56921651751124</v>
      </c>
    </row>
    <row r="21" spans="1:6" x14ac:dyDescent="0.2">
      <c r="A21" s="27" t="s">
        <v>255</v>
      </c>
      <c r="B21" s="27" t="s">
        <v>254</v>
      </c>
      <c r="C21" s="27" t="s">
        <v>111</v>
      </c>
      <c r="D21" s="31">
        <v>46395</v>
      </c>
      <c r="E21" s="29">
        <v>1642.800555</v>
      </c>
      <c r="F21" s="30">
        <v>1.5235484527822301</v>
      </c>
    </row>
    <row r="22" spans="1:6" x14ac:dyDescent="0.2">
      <c r="A22" s="27" t="s">
        <v>285</v>
      </c>
      <c r="B22" s="27" t="s">
        <v>284</v>
      </c>
      <c r="C22" s="27" t="s">
        <v>214</v>
      </c>
      <c r="D22" s="31">
        <v>93656</v>
      </c>
      <c r="E22" s="29">
        <v>1487.7723880000001</v>
      </c>
      <c r="F22" s="30">
        <v>1.3797738946037299</v>
      </c>
    </row>
    <row r="23" spans="1:6" x14ac:dyDescent="0.2">
      <c r="A23" s="27" t="s">
        <v>263</v>
      </c>
      <c r="B23" s="27" t="s">
        <v>262</v>
      </c>
      <c r="C23" s="27" t="s">
        <v>187</v>
      </c>
      <c r="D23" s="31">
        <v>1505501</v>
      </c>
      <c r="E23" s="29">
        <v>1384.30817</v>
      </c>
      <c r="F23" s="30">
        <v>1.28382022039024</v>
      </c>
    </row>
    <row r="24" spans="1:6" x14ac:dyDescent="0.2">
      <c r="A24" s="27" t="s">
        <v>287</v>
      </c>
      <c r="B24" s="27" t="s">
        <v>286</v>
      </c>
      <c r="C24" s="27" t="s">
        <v>128</v>
      </c>
      <c r="D24" s="31">
        <v>201912</v>
      </c>
      <c r="E24" s="29">
        <v>1340.392812</v>
      </c>
      <c r="F24" s="30">
        <v>1.2430927105713201</v>
      </c>
    </row>
    <row r="25" spans="1:6" x14ac:dyDescent="0.2">
      <c r="A25" s="27" t="s">
        <v>222</v>
      </c>
      <c r="B25" s="27" t="s">
        <v>221</v>
      </c>
      <c r="C25" s="27" t="s">
        <v>101</v>
      </c>
      <c r="D25" s="31">
        <v>1505600</v>
      </c>
      <c r="E25" s="29">
        <v>1313.636</v>
      </c>
      <c r="F25" s="30">
        <v>1.2182781952609201</v>
      </c>
    </row>
    <row r="26" spans="1:6" x14ac:dyDescent="0.2">
      <c r="A26" s="27" t="s">
        <v>289</v>
      </c>
      <c r="B26" s="27" t="s">
        <v>288</v>
      </c>
      <c r="C26" s="27" t="s">
        <v>180</v>
      </c>
      <c r="D26" s="31">
        <v>709254</v>
      </c>
      <c r="E26" s="29">
        <v>1291.9061610000001</v>
      </c>
      <c r="F26" s="30">
        <v>1.1981257412780599</v>
      </c>
    </row>
    <row r="27" spans="1:6" x14ac:dyDescent="0.2">
      <c r="A27" s="27" t="s">
        <v>149</v>
      </c>
      <c r="B27" s="27" t="s">
        <v>148</v>
      </c>
      <c r="C27" s="27" t="s">
        <v>150</v>
      </c>
      <c r="D27" s="31">
        <v>155566</v>
      </c>
      <c r="E27" s="29">
        <v>1256.895497</v>
      </c>
      <c r="F27" s="30">
        <v>1.1656565271633399</v>
      </c>
    </row>
    <row r="28" spans="1:6" x14ac:dyDescent="0.2">
      <c r="A28" s="27" t="s">
        <v>201</v>
      </c>
      <c r="B28" s="27" t="s">
        <v>200</v>
      </c>
      <c r="C28" s="27" t="s">
        <v>106</v>
      </c>
      <c r="D28" s="31">
        <v>121952</v>
      </c>
      <c r="E28" s="29">
        <v>1245.9226080000001</v>
      </c>
      <c r="F28" s="30">
        <v>1.1554801682574301</v>
      </c>
    </row>
    <row r="29" spans="1:6" x14ac:dyDescent="0.2">
      <c r="A29" s="27" t="s">
        <v>291</v>
      </c>
      <c r="B29" s="27" t="s">
        <v>290</v>
      </c>
      <c r="C29" s="27" t="s">
        <v>177</v>
      </c>
      <c r="D29" s="31">
        <v>43419</v>
      </c>
      <c r="E29" s="29">
        <v>1237.2026960000001</v>
      </c>
      <c r="F29" s="30">
        <v>1.14739324109177</v>
      </c>
    </row>
    <row r="30" spans="1:6" x14ac:dyDescent="0.2">
      <c r="A30" s="27" t="s">
        <v>246</v>
      </c>
      <c r="B30" s="27" t="s">
        <v>245</v>
      </c>
      <c r="C30" s="27" t="s">
        <v>247</v>
      </c>
      <c r="D30" s="31">
        <v>821499</v>
      </c>
      <c r="E30" s="29">
        <v>1194.459546</v>
      </c>
      <c r="F30" s="30">
        <v>1.1077528478308001</v>
      </c>
    </row>
    <row r="31" spans="1:6" x14ac:dyDescent="0.2">
      <c r="A31" s="27" t="s">
        <v>152</v>
      </c>
      <c r="B31" s="27" t="s">
        <v>151</v>
      </c>
      <c r="C31" s="27" t="s">
        <v>150</v>
      </c>
      <c r="D31" s="31">
        <v>28265</v>
      </c>
      <c r="E31" s="29">
        <v>1185.09492</v>
      </c>
      <c r="F31" s="30">
        <v>1.09906800692923</v>
      </c>
    </row>
    <row r="32" spans="1:6" x14ac:dyDescent="0.2">
      <c r="A32" s="27" t="s">
        <v>127</v>
      </c>
      <c r="B32" s="27" t="s">
        <v>126</v>
      </c>
      <c r="C32" s="27" t="s">
        <v>128</v>
      </c>
      <c r="D32" s="31">
        <v>64045</v>
      </c>
      <c r="E32" s="29">
        <v>1101.8622029999999</v>
      </c>
      <c r="F32" s="30">
        <v>1.0218772141575501</v>
      </c>
    </row>
    <row r="33" spans="1:9" x14ac:dyDescent="0.2">
      <c r="A33" s="27" t="s">
        <v>257</v>
      </c>
      <c r="B33" s="27" t="s">
        <v>256</v>
      </c>
      <c r="C33" s="27" t="s">
        <v>258</v>
      </c>
      <c r="D33" s="31">
        <v>154134</v>
      </c>
      <c r="E33" s="29">
        <v>1084.872159</v>
      </c>
      <c r="F33" s="30">
        <v>1.00612048996475</v>
      </c>
    </row>
    <row r="34" spans="1:9" x14ac:dyDescent="0.2">
      <c r="A34" s="27" t="s">
        <v>208</v>
      </c>
      <c r="B34" s="27" t="s">
        <v>207</v>
      </c>
      <c r="C34" s="27" t="s">
        <v>134</v>
      </c>
      <c r="D34" s="31">
        <v>972460</v>
      </c>
      <c r="E34" s="29">
        <v>1062.41255</v>
      </c>
      <c r="F34" s="30">
        <v>0.98529124052367001</v>
      </c>
    </row>
    <row r="35" spans="1:9" x14ac:dyDescent="0.2">
      <c r="A35" s="27" t="s">
        <v>130</v>
      </c>
      <c r="B35" s="27" t="s">
        <v>129</v>
      </c>
      <c r="C35" s="27" t="s">
        <v>131</v>
      </c>
      <c r="D35" s="31">
        <v>20000</v>
      </c>
      <c r="E35" s="29">
        <v>1061.83</v>
      </c>
      <c r="F35" s="30">
        <v>0.98475097825722102</v>
      </c>
    </row>
    <row r="36" spans="1:9" x14ac:dyDescent="0.2">
      <c r="A36" s="27" t="s">
        <v>218</v>
      </c>
      <c r="B36" s="27" t="s">
        <v>217</v>
      </c>
      <c r="C36" s="27" t="s">
        <v>125</v>
      </c>
      <c r="D36" s="31">
        <v>621258</v>
      </c>
      <c r="E36" s="29">
        <v>993.70217100000002</v>
      </c>
      <c r="F36" s="30">
        <v>0.92156859854079698</v>
      </c>
    </row>
    <row r="37" spans="1:9" x14ac:dyDescent="0.2">
      <c r="A37" s="27" t="s">
        <v>242</v>
      </c>
      <c r="B37" s="27" t="s">
        <v>241</v>
      </c>
      <c r="C37" s="27" t="s">
        <v>150</v>
      </c>
      <c r="D37" s="31">
        <v>658906</v>
      </c>
      <c r="E37" s="29">
        <v>993.63024800000005</v>
      </c>
      <c r="F37" s="30">
        <v>0.921501896484338</v>
      </c>
    </row>
    <row r="38" spans="1:9" x14ac:dyDescent="0.2">
      <c r="A38" s="27" t="s">
        <v>293</v>
      </c>
      <c r="B38" s="27" t="s">
        <v>292</v>
      </c>
      <c r="C38" s="27" t="s">
        <v>106</v>
      </c>
      <c r="D38" s="31">
        <v>119545</v>
      </c>
      <c r="E38" s="29">
        <v>984.87148249999996</v>
      </c>
      <c r="F38" s="30">
        <v>0.91337893622285504</v>
      </c>
    </row>
    <row r="39" spans="1:9" x14ac:dyDescent="0.2">
      <c r="A39" s="27" t="s">
        <v>176</v>
      </c>
      <c r="B39" s="27" t="s">
        <v>175</v>
      </c>
      <c r="C39" s="27" t="s">
        <v>177</v>
      </c>
      <c r="D39" s="31">
        <v>64691</v>
      </c>
      <c r="E39" s="29">
        <v>951.73399199999994</v>
      </c>
      <c r="F39" s="30">
        <v>0.88264692056416805</v>
      </c>
    </row>
    <row r="40" spans="1:9" x14ac:dyDescent="0.2">
      <c r="A40" s="27" t="s">
        <v>133</v>
      </c>
      <c r="B40" s="27" t="s">
        <v>132</v>
      </c>
      <c r="C40" s="27" t="s">
        <v>134</v>
      </c>
      <c r="D40" s="31">
        <v>339633</v>
      </c>
      <c r="E40" s="29">
        <v>949.95350099999996</v>
      </c>
      <c r="F40" s="30">
        <v>0.88099567671719803</v>
      </c>
    </row>
    <row r="41" spans="1:9" x14ac:dyDescent="0.2">
      <c r="A41" s="27" t="s">
        <v>295</v>
      </c>
      <c r="B41" s="27" t="s">
        <v>294</v>
      </c>
      <c r="C41" s="27" t="s">
        <v>150</v>
      </c>
      <c r="D41" s="31">
        <v>739545</v>
      </c>
      <c r="E41" s="29">
        <v>912.96830250000005</v>
      </c>
      <c r="F41" s="30">
        <v>0.84669526101608505</v>
      </c>
    </row>
    <row r="42" spans="1:9" x14ac:dyDescent="0.2">
      <c r="A42" s="27" t="s">
        <v>269</v>
      </c>
      <c r="B42" s="27" t="s">
        <v>268</v>
      </c>
      <c r="C42" s="27" t="s">
        <v>270</v>
      </c>
      <c r="D42" s="31">
        <v>753071</v>
      </c>
      <c r="E42" s="29">
        <v>855.86519150000004</v>
      </c>
      <c r="F42" s="30">
        <v>0.79373730690028399</v>
      </c>
    </row>
    <row r="43" spans="1:9" x14ac:dyDescent="0.2">
      <c r="A43" s="27" t="s">
        <v>213</v>
      </c>
      <c r="B43" s="27" t="s">
        <v>212</v>
      </c>
      <c r="C43" s="27" t="s">
        <v>214</v>
      </c>
      <c r="D43" s="31">
        <v>439349</v>
      </c>
      <c r="E43" s="29">
        <v>720.53236000000004</v>
      </c>
      <c r="F43" s="30">
        <v>0.66822838531213502</v>
      </c>
    </row>
    <row r="44" spans="1:9" x14ac:dyDescent="0.2">
      <c r="A44" s="27" t="s">
        <v>297</v>
      </c>
      <c r="B44" s="27" t="s">
        <v>296</v>
      </c>
      <c r="C44" s="27" t="s">
        <v>145</v>
      </c>
      <c r="D44" s="31">
        <v>100000</v>
      </c>
      <c r="E44" s="29">
        <v>684.7</v>
      </c>
      <c r="F44" s="30">
        <v>0.63499712271523601</v>
      </c>
    </row>
    <row r="45" spans="1:9" x14ac:dyDescent="0.2">
      <c r="A45" s="27" t="s">
        <v>299</v>
      </c>
      <c r="B45" s="27" t="s">
        <v>298</v>
      </c>
      <c r="C45" s="27" t="s">
        <v>177</v>
      </c>
      <c r="D45" s="31">
        <v>16078</v>
      </c>
      <c r="E45" s="29">
        <v>283.77670000000001</v>
      </c>
      <c r="F45" s="30">
        <v>0.26317714034412798</v>
      </c>
    </row>
    <row r="46" spans="1:9" x14ac:dyDescent="0.2">
      <c r="A46" s="27" t="s">
        <v>301</v>
      </c>
      <c r="B46" s="27" t="s">
        <v>300</v>
      </c>
      <c r="C46" s="27" t="s">
        <v>187</v>
      </c>
      <c r="D46" s="31">
        <v>22052</v>
      </c>
      <c r="E46" s="29">
        <v>233.50862799999999</v>
      </c>
      <c r="F46" s="30">
        <v>0.21655806471327901</v>
      </c>
    </row>
    <row r="47" spans="1:9" x14ac:dyDescent="0.2">
      <c r="A47" s="26" t="s">
        <v>35</v>
      </c>
      <c r="B47" s="26"/>
      <c r="C47" s="26"/>
      <c r="D47" s="32"/>
      <c r="E47" s="33">
        <f>SUM(E7:E46)</f>
        <v>79620.069807499982</v>
      </c>
      <c r="F47" s="34">
        <f>SUM(F7:F46)</f>
        <v>73.840390299618406</v>
      </c>
      <c r="G47" s="18"/>
      <c r="H47" s="18"/>
      <c r="I47" s="18"/>
    </row>
    <row r="48" spans="1:9" x14ac:dyDescent="0.2">
      <c r="A48" s="27"/>
      <c r="B48" s="27"/>
      <c r="C48" s="27"/>
      <c r="D48" s="28"/>
      <c r="E48" s="29"/>
      <c r="F48" s="30"/>
    </row>
    <row r="49" spans="1:9" x14ac:dyDescent="0.2">
      <c r="A49" s="26" t="s">
        <v>223</v>
      </c>
      <c r="B49" s="27"/>
      <c r="C49" s="27"/>
      <c r="D49" s="28"/>
      <c r="E49" s="29"/>
      <c r="F49" s="30"/>
    </row>
    <row r="50" spans="1:9" x14ac:dyDescent="0.2">
      <c r="A50" s="27" t="s">
        <v>225</v>
      </c>
      <c r="B50" s="27" t="s">
        <v>224</v>
      </c>
      <c r="C50" s="27" t="s">
        <v>376</v>
      </c>
      <c r="D50" s="31">
        <v>1233400</v>
      </c>
      <c r="E50" s="29">
        <v>4011.14014</v>
      </c>
      <c r="F50" s="30">
        <v>3.7199685230138599</v>
      </c>
    </row>
    <row r="51" spans="1:9" x14ac:dyDescent="0.2">
      <c r="A51" s="27" t="s">
        <v>238</v>
      </c>
      <c r="B51" s="27" t="s">
        <v>237</v>
      </c>
      <c r="C51" s="27" t="s">
        <v>376</v>
      </c>
      <c r="D51" s="31">
        <v>406400</v>
      </c>
      <c r="E51" s="29">
        <v>1021.08</v>
      </c>
      <c r="F51" s="30">
        <v>0.94695905076978704</v>
      </c>
    </row>
    <row r="52" spans="1:9" x14ac:dyDescent="0.2">
      <c r="A52" s="26" t="s">
        <v>35</v>
      </c>
      <c r="B52" s="26"/>
      <c r="C52" s="26"/>
      <c r="D52" s="32"/>
      <c r="E52" s="33">
        <f>SUM(E49:E51)</f>
        <v>5032.2201400000004</v>
      </c>
      <c r="F52" s="34">
        <f>SUM(F49:F51)</f>
        <v>4.6669275737836466</v>
      </c>
      <c r="G52" s="18"/>
      <c r="H52" s="18"/>
      <c r="I52" s="18"/>
    </row>
    <row r="53" spans="1:9" x14ac:dyDescent="0.2">
      <c r="A53" s="27"/>
      <c r="B53" s="27"/>
      <c r="C53" s="27"/>
      <c r="D53" s="28"/>
      <c r="E53" s="29"/>
      <c r="F53" s="30"/>
    </row>
    <row r="54" spans="1:9" x14ac:dyDescent="0.2">
      <c r="A54" s="26" t="s">
        <v>302</v>
      </c>
      <c r="B54" s="27"/>
      <c r="C54" s="27"/>
      <c r="D54" s="28"/>
      <c r="E54" s="29"/>
      <c r="F54" s="30"/>
    </row>
    <row r="55" spans="1:9" x14ac:dyDescent="0.2">
      <c r="A55" s="27" t="s">
        <v>304</v>
      </c>
      <c r="B55" s="27" t="s">
        <v>303</v>
      </c>
      <c r="C55" s="27" t="s">
        <v>128</v>
      </c>
      <c r="D55" s="31">
        <v>86900</v>
      </c>
      <c r="E55" s="29">
        <v>3784.643881</v>
      </c>
      <c r="F55" s="30">
        <v>3.5099137942702301</v>
      </c>
    </row>
    <row r="56" spans="1:9" x14ac:dyDescent="0.2">
      <c r="A56" s="27" t="s">
        <v>306</v>
      </c>
      <c r="B56" s="27" t="s">
        <v>305</v>
      </c>
      <c r="C56" s="27" t="s">
        <v>211</v>
      </c>
      <c r="D56" s="31">
        <v>187038</v>
      </c>
      <c r="E56" s="29">
        <v>2632.2438889999999</v>
      </c>
      <c r="F56" s="30">
        <v>2.4411673664375102</v>
      </c>
    </row>
    <row r="57" spans="1:9" x14ac:dyDescent="0.2">
      <c r="A57" s="27" t="s">
        <v>308</v>
      </c>
      <c r="B57" s="27" t="s">
        <v>307</v>
      </c>
      <c r="C57" s="27" t="s">
        <v>119</v>
      </c>
      <c r="D57" s="31">
        <v>3297307</v>
      </c>
      <c r="E57" s="29">
        <v>2561.1048780000001</v>
      </c>
      <c r="F57" s="30">
        <v>2.3751923886402202</v>
      </c>
    </row>
    <row r="58" spans="1:9" x14ac:dyDescent="0.2">
      <c r="A58" s="27" t="s">
        <v>310</v>
      </c>
      <c r="B58" s="27" t="s">
        <v>309</v>
      </c>
      <c r="C58" s="27" t="s">
        <v>311</v>
      </c>
      <c r="D58" s="31">
        <v>2562198</v>
      </c>
      <c r="E58" s="29">
        <v>2077.049332</v>
      </c>
      <c r="F58" s="30">
        <v>1.9262747912335401</v>
      </c>
    </row>
    <row r="59" spans="1:9" x14ac:dyDescent="0.2">
      <c r="A59" s="27" t="s">
        <v>313</v>
      </c>
      <c r="B59" s="27" t="s">
        <v>312</v>
      </c>
      <c r="C59" s="27" t="s">
        <v>314</v>
      </c>
      <c r="D59" s="31">
        <v>1575983</v>
      </c>
      <c r="E59" s="29">
        <v>2052.9607679999999</v>
      </c>
      <c r="F59" s="30">
        <v>1.9039348338356401</v>
      </c>
    </row>
    <row r="60" spans="1:9" x14ac:dyDescent="0.2">
      <c r="A60" s="27" t="s">
        <v>316</v>
      </c>
      <c r="B60" s="27" t="s">
        <v>315</v>
      </c>
      <c r="C60" s="27" t="s">
        <v>106</v>
      </c>
      <c r="D60" s="31">
        <v>633055</v>
      </c>
      <c r="E60" s="29">
        <v>995.26930770000001</v>
      </c>
      <c r="F60" s="30">
        <v>0.92302197563354005</v>
      </c>
    </row>
    <row r="61" spans="1:9" x14ac:dyDescent="0.2">
      <c r="A61" s="27" t="s">
        <v>318</v>
      </c>
      <c r="B61" s="27" t="s">
        <v>317</v>
      </c>
      <c r="C61" s="27" t="s">
        <v>111</v>
      </c>
      <c r="D61" s="31">
        <v>200000</v>
      </c>
      <c r="E61" s="29">
        <v>767.205152</v>
      </c>
      <c r="F61" s="30">
        <v>0.71151316496612405</v>
      </c>
    </row>
    <row r="62" spans="1:9" x14ac:dyDescent="0.2">
      <c r="A62" s="27" t="s">
        <v>320</v>
      </c>
      <c r="B62" s="27" t="s">
        <v>319</v>
      </c>
      <c r="C62" s="27" t="s">
        <v>321</v>
      </c>
      <c r="D62" s="31">
        <v>500000</v>
      </c>
      <c r="E62" s="29">
        <v>699.71235850000005</v>
      </c>
      <c r="F62" s="30">
        <v>0.64891972305504897</v>
      </c>
    </row>
    <row r="63" spans="1:9" x14ac:dyDescent="0.2">
      <c r="A63" s="27" t="s">
        <v>323</v>
      </c>
      <c r="B63" s="27" t="s">
        <v>322</v>
      </c>
      <c r="C63" s="27" t="s">
        <v>187</v>
      </c>
      <c r="D63" s="31">
        <v>25000</v>
      </c>
      <c r="E63" s="29">
        <v>241.2882563</v>
      </c>
      <c r="F63" s="30">
        <v>0.22377296406524999</v>
      </c>
    </row>
    <row r="64" spans="1:9" x14ac:dyDescent="0.2">
      <c r="A64" s="26" t="s">
        <v>35</v>
      </c>
      <c r="B64" s="26"/>
      <c r="C64" s="26"/>
      <c r="D64" s="32"/>
      <c r="E64" s="33">
        <f>SUM(E54:E63)</f>
        <v>15811.477822500001</v>
      </c>
      <c r="F64" s="34">
        <f>SUM(F54:F63)</f>
        <v>14.663711002137104</v>
      </c>
      <c r="G64" s="18"/>
      <c r="H64" s="18"/>
      <c r="I64" s="18"/>
    </row>
    <row r="65" spans="1:9" x14ac:dyDescent="0.2">
      <c r="A65" s="27"/>
      <c r="B65" s="27"/>
      <c r="C65" s="27"/>
      <c r="D65" s="28"/>
      <c r="E65" s="29"/>
      <c r="F65" s="30"/>
    </row>
    <row r="66" spans="1:9" x14ac:dyDescent="0.2">
      <c r="A66" s="26" t="s">
        <v>38</v>
      </c>
      <c r="B66" s="26"/>
      <c r="C66" s="26"/>
      <c r="D66" s="32"/>
      <c r="E66" s="33">
        <f>E47+E52+E64</f>
        <v>100463.76776999999</v>
      </c>
      <c r="F66" s="34">
        <f>F47+F52+F64</f>
        <v>93.171028875539164</v>
      </c>
      <c r="G66" s="18"/>
      <c r="H66" s="18"/>
      <c r="I66" s="18"/>
    </row>
    <row r="67" spans="1:9" x14ac:dyDescent="0.2">
      <c r="A67" s="26"/>
      <c r="B67" s="26"/>
      <c r="C67" s="26"/>
      <c r="D67" s="32"/>
      <c r="E67" s="33"/>
      <c r="F67" s="34"/>
      <c r="G67" s="18"/>
      <c r="H67" s="18"/>
      <c r="I67" s="18"/>
    </row>
    <row r="68" spans="1:9" x14ac:dyDescent="0.2">
      <c r="A68" s="26" t="s">
        <v>40</v>
      </c>
      <c r="B68" s="26"/>
      <c r="C68" s="26"/>
      <c r="D68" s="32"/>
      <c r="E68" s="33">
        <f>E70-(E47+E52+E64)</f>
        <v>7363.4924658000091</v>
      </c>
      <c r="F68" s="34">
        <f>F70-(F47+F52+F64)</f>
        <v>6.8289711244608355</v>
      </c>
      <c r="G68" s="18"/>
      <c r="H68" s="18"/>
      <c r="I68" s="18"/>
    </row>
    <row r="69" spans="1:9" x14ac:dyDescent="0.2">
      <c r="A69" s="26"/>
      <c r="B69" s="26"/>
      <c r="C69" s="26"/>
      <c r="D69" s="32"/>
      <c r="E69" s="33"/>
      <c r="F69" s="34"/>
      <c r="G69" s="18"/>
      <c r="H69" s="18"/>
      <c r="I69" s="18"/>
    </row>
    <row r="70" spans="1:9" x14ac:dyDescent="0.2">
      <c r="A70" s="35" t="s">
        <v>39</v>
      </c>
      <c r="B70" s="35"/>
      <c r="C70" s="35"/>
      <c r="D70" s="36"/>
      <c r="E70" s="37">
        <v>107827.2602358</v>
      </c>
      <c r="F70" s="38">
        <v>100</v>
      </c>
      <c r="G70" s="18"/>
      <c r="H70" s="18"/>
      <c r="I70" s="18"/>
    </row>
    <row r="73" spans="1:9" x14ac:dyDescent="0.2">
      <c r="A73" s="18" t="s">
        <v>42</v>
      </c>
    </row>
    <row r="74" spans="1:9" x14ac:dyDescent="0.2">
      <c r="A74" s="18" t="s">
        <v>43</v>
      </c>
    </row>
    <row r="75" spans="1:9" x14ac:dyDescent="0.2">
      <c r="A75" s="18" t="s">
        <v>44</v>
      </c>
      <c r="B75" s="18"/>
      <c r="C75" s="39" t="s">
        <v>46</v>
      </c>
      <c r="D75" s="19" t="s">
        <v>45</v>
      </c>
    </row>
    <row r="76" spans="1:9" x14ac:dyDescent="0.2">
      <c r="A76" s="9" t="s">
        <v>70</v>
      </c>
      <c r="C76" s="40">
        <v>51.936999999999998</v>
      </c>
      <c r="D76" s="40">
        <v>68.945999999999998</v>
      </c>
    </row>
    <row r="77" spans="1:9" x14ac:dyDescent="0.2">
      <c r="A77" s="9" t="s">
        <v>76</v>
      </c>
      <c r="C77" s="40">
        <v>14.261799999999999</v>
      </c>
      <c r="D77" s="40">
        <v>18.1205</v>
      </c>
    </row>
    <row r="78" spans="1:9" x14ac:dyDescent="0.2">
      <c r="A78" s="9" t="s">
        <v>73</v>
      </c>
      <c r="C78" s="40">
        <v>54.806800000000003</v>
      </c>
      <c r="D78" s="40">
        <v>73.042599999999993</v>
      </c>
    </row>
    <row r="79" spans="1:9" x14ac:dyDescent="0.2">
      <c r="A79" s="9" t="s">
        <v>77</v>
      </c>
      <c r="C79" s="40">
        <v>15.3584</v>
      </c>
      <c r="D79" s="40">
        <v>19.652000000000001</v>
      </c>
    </row>
    <row r="81" spans="1:4" x14ac:dyDescent="0.2">
      <c r="A81" s="18" t="s">
        <v>48</v>
      </c>
    </row>
    <row r="82" spans="1:4" x14ac:dyDescent="0.2">
      <c r="A82" s="77" t="s">
        <v>67</v>
      </c>
      <c r="B82" s="78"/>
      <c r="C82" s="44" t="s">
        <v>68</v>
      </c>
    </row>
    <row r="83" spans="1:4" x14ac:dyDescent="0.2">
      <c r="A83" s="73" t="s">
        <v>76</v>
      </c>
      <c r="B83" s="74"/>
      <c r="C83" s="45">
        <v>0.75</v>
      </c>
    </row>
    <row r="84" spans="1:4" x14ac:dyDescent="0.2">
      <c r="A84" s="73" t="s">
        <v>77</v>
      </c>
      <c r="B84" s="74"/>
      <c r="C84" s="45">
        <v>0.75</v>
      </c>
    </row>
    <row r="85" spans="1:4" x14ac:dyDescent="0.2">
      <c r="A85" s="9" t="s">
        <v>69</v>
      </c>
    </row>
    <row r="86" spans="1:4" x14ac:dyDescent="0.2">
      <c r="A86" s="9" t="s">
        <v>47</v>
      </c>
    </row>
    <row r="88" spans="1:4" x14ac:dyDescent="0.2">
      <c r="A88" s="18" t="s">
        <v>226</v>
      </c>
      <c r="D88" s="46">
        <v>9.3700000000000006E-2</v>
      </c>
    </row>
    <row r="90" spans="1:4" x14ac:dyDescent="0.2">
      <c r="A90" s="18" t="s">
        <v>748</v>
      </c>
    </row>
    <row r="91" spans="1:4" x14ac:dyDescent="0.2">
      <c r="A91" s="47" t="s">
        <v>51</v>
      </c>
    </row>
  </sheetData>
  <mergeCells count="4">
    <mergeCell ref="A1:F1"/>
    <mergeCell ref="A82:B82"/>
    <mergeCell ref="A83:B83"/>
    <mergeCell ref="A84:B84"/>
  </mergeCells>
  <conditionalFormatting sqref="F2:F3 F5:F65534">
    <cfRule type="cellIs" dxfId="25" priority="1" stopIfTrue="1" operator="between">
      <formula>0.009</formula>
      <formula>-0.009</formula>
    </cfRule>
  </conditionalFormatting>
  <hyperlinks>
    <hyperlink ref="A91" r:id="rId1"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74"/>
  <sheetViews>
    <sheetView workbookViewId="0">
      <selection sqref="A1:F1"/>
    </sheetView>
  </sheetViews>
  <sheetFormatPr defaultColWidth="9.109375" defaultRowHeight="10.199999999999999" x14ac:dyDescent="0.2"/>
  <cols>
    <col min="1" max="1" width="38.6640625" style="9" bestFit="1" customWidth="1"/>
    <col min="2" max="2" width="33.109375" style="9" bestFit="1" customWidth="1"/>
    <col min="3" max="3" width="26.8867187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12</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105</v>
      </c>
      <c r="B7" s="27" t="s">
        <v>104</v>
      </c>
      <c r="C7" s="27" t="s">
        <v>106</v>
      </c>
      <c r="D7" s="31">
        <v>945647</v>
      </c>
      <c r="E7" s="29">
        <v>13179.95506</v>
      </c>
      <c r="F7" s="30">
        <v>23.790923500340899</v>
      </c>
    </row>
    <row r="8" spans="1:6" x14ac:dyDescent="0.2">
      <c r="A8" s="27" t="s">
        <v>138</v>
      </c>
      <c r="B8" s="27" t="s">
        <v>137</v>
      </c>
      <c r="C8" s="27" t="s">
        <v>106</v>
      </c>
      <c r="D8" s="31">
        <v>175000</v>
      </c>
      <c r="E8" s="29">
        <v>5528.5124999999998</v>
      </c>
      <c r="F8" s="30">
        <v>9.9794284092330301</v>
      </c>
    </row>
    <row r="9" spans="1:6" x14ac:dyDescent="0.2">
      <c r="A9" s="27" t="s">
        <v>244</v>
      </c>
      <c r="B9" s="27" t="s">
        <v>243</v>
      </c>
      <c r="C9" s="27" t="s">
        <v>106</v>
      </c>
      <c r="D9" s="31">
        <v>570000</v>
      </c>
      <c r="E9" s="29">
        <v>5387.64</v>
      </c>
      <c r="F9" s="30">
        <v>9.7251417401552906</v>
      </c>
    </row>
    <row r="10" spans="1:6" x14ac:dyDescent="0.2">
      <c r="A10" s="27" t="s">
        <v>201</v>
      </c>
      <c r="B10" s="27" t="s">
        <v>200</v>
      </c>
      <c r="C10" s="27" t="s">
        <v>106</v>
      </c>
      <c r="D10" s="31">
        <v>320000</v>
      </c>
      <c r="E10" s="29">
        <v>3269.28</v>
      </c>
      <c r="F10" s="30">
        <v>5.9013243995988702</v>
      </c>
    </row>
    <row r="11" spans="1:6" x14ac:dyDescent="0.2">
      <c r="A11" s="27" t="s">
        <v>113</v>
      </c>
      <c r="B11" s="27" t="s">
        <v>112</v>
      </c>
      <c r="C11" s="27" t="s">
        <v>114</v>
      </c>
      <c r="D11" s="31">
        <v>600000</v>
      </c>
      <c r="E11" s="29">
        <v>3209.4</v>
      </c>
      <c r="F11" s="30">
        <v>5.7932359810333196</v>
      </c>
    </row>
    <row r="12" spans="1:6" x14ac:dyDescent="0.2">
      <c r="A12" s="27" t="s">
        <v>325</v>
      </c>
      <c r="B12" s="27" t="s">
        <v>324</v>
      </c>
      <c r="C12" s="27" t="s">
        <v>163</v>
      </c>
      <c r="D12" s="31">
        <v>59255</v>
      </c>
      <c r="E12" s="29">
        <v>2574.8963979999999</v>
      </c>
      <c r="F12" s="30">
        <v>4.6479038014353797</v>
      </c>
    </row>
    <row r="13" spans="1:6" x14ac:dyDescent="0.2">
      <c r="A13" s="27" t="s">
        <v>293</v>
      </c>
      <c r="B13" s="27" t="s">
        <v>292</v>
      </c>
      <c r="C13" s="27" t="s">
        <v>106</v>
      </c>
      <c r="D13" s="31">
        <v>200000</v>
      </c>
      <c r="E13" s="29">
        <v>1647.7</v>
      </c>
      <c r="F13" s="30">
        <v>2.974236594363</v>
      </c>
    </row>
    <row r="14" spans="1:6" x14ac:dyDescent="0.2">
      <c r="A14" s="27" t="s">
        <v>327</v>
      </c>
      <c r="B14" s="27" t="s">
        <v>326</v>
      </c>
      <c r="C14" s="27" t="s">
        <v>106</v>
      </c>
      <c r="D14" s="31">
        <v>31000</v>
      </c>
      <c r="E14" s="29">
        <v>1222.144</v>
      </c>
      <c r="F14" s="30">
        <v>2.2060723483529601</v>
      </c>
    </row>
    <row r="15" spans="1:6" x14ac:dyDescent="0.2">
      <c r="A15" s="27" t="s">
        <v>329</v>
      </c>
      <c r="B15" s="27" t="s">
        <v>328</v>
      </c>
      <c r="C15" s="27" t="s">
        <v>163</v>
      </c>
      <c r="D15" s="31">
        <v>80000</v>
      </c>
      <c r="E15" s="29">
        <v>755.52</v>
      </c>
      <c r="F15" s="30">
        <v>1.3637769204182399</v>
      </c>
    </row>
    <row r="16" spans="1:6" x14ac:dyDescent="0.2">
      <c r="A16" s="27" t="s">
        <v>331</v>
      </c>
      <c r="B16" s="27" t="s">
        <v>330</v>
      </c>
      <c r="C16" s="27" t="s">
        <v>163</v>
      </c>
      <c r="D16" s="31">
        <v>6000</v>
      </c>
      <c r="E16" s="29">
        <v>442.17899999999997</v>
      </c>
      <c r="F16" s="30">
        <v>0.79817015418998405</v>
      </c>
    </row>
    <row r="17" spans="1:9" x14ac:dyDescent="0.2">
      <c r="A17" s="27" t="s">
        <v>333</v>
      </c>
      <c r="B17" s="27" t="s">
        <v>332</v>
      </c>
      <c r="C17" s="27" t="s">
        <v>106</v>
      </c>
      <c r="D17" s="31">
        <v>63629</v>
      </c>
      <c r="E17" s="29">
        <v>181.5017225</v>
      </c>
      <c r="F17" s="30">
        <v>0.32762582084081898</v>
      </c>
    </row>
    <row r="18" spans="1:9" x14ac:dyDescent="0.2">
      <c r="A18" s="26" t="s">
        <v>35</v>
      </c>
      <c r="B18" s="26"/>
      <c r="C18" s="26"/>
      <c r="D18" s="32"/>
      <c r="E18" s="33">
        <f>SUM(E7:E17)</f>
        <v>37398.728680499989</v>
      </c>
      <c r="F18" s="34">
        <f>SUM(F7:F17)</f>
        <v>67.507839669961811</v>
      </c>
      <c r="G18" s="18"/>
      <c r="H18" s="18"/>
      <c r="I18" s="18"/>
    </row>
    <row r="19" spans="1:9" x14ac:dyDescent="0.2">
      <c r="A19" s="27"/>
      <c r="B19" s="27"/>
      <c r="C19" s="27"/>
      <c r="D19" s="28"/>
      <c r="E19" s="29"/>
      <c r="F19" s="30"/>
    </row>
    <row r="20" spans="1:9" x14ac:dyDescent="0.2">
      <c r="A20" s="26" t="s">
        <v>233</v>
      </c>
      <c r="B20" s="27"/>
      <c r="C20" s="27"/>
      <c r="D20" s="28"/>
      <c r="E20" s="29"/>
      <c r="F20" s="30"/>
    </row>
    <row r="21" spans="1:9" x14ac:dyDescent="0.2">
      <c r="A21" s="27"/>
      <c r="B21" s="27" t="s">
        <v>749</v>
      </c>
      <c r="C21" s="27" t="s">
        <v>106</v>
      </c>
      <c r="D21" s="31">
        <v>970000</v>
      </c>
      <c r="E21" s="29">
        <v>9.7000000000000003E-2</v>
      </c>
      <c r="F21" s="30">
        <v>1.75093129606853E-4</v>
      </c>
    </row>
    <row r="22" spans="1:9" x14ac:dyDescent="0.2">
      <c r="A22" s="26" t="s">
        <v>35</v>
      </c>
      <c r="B22" s="26"/>
      <c r="C22" s="26"/>
      <c r="D22" s="32"/>
      <c r="E22" s="33">
        <f>SUM(E20:E21)</f>
        <v>9.7000000000000003E-2</v>
      </c>
      <c r="F22" s="34">
        <f>SUM(F20:F21)</f>
        <v>1.75093129606853E-4</v>
      </c>
      <c r="G22" s="18"/>
      <c r="H22" s="18"/>
      <c r="I22" s="18"/>
    </row>
    <row r="23" spans="1:9" x14ac:dyDescent="0.2">
      <c r="A23" s="27"/>
      <c r="B23" s="27"/>
      <c r="C23" s="27"/>
      <c r="D23" s="28"/>
      <c r="E23" s="29"/>
      <c r="F23" s="30"/>
    </row>
    <row r="24" spans="1:9" x14ac:dyDescent="0.2">
      <c r="A24" s="26" t="s">
        <v>302</v>
      </c>
      <c r="B24" s="27"/>
      <c r="C24" s="27"/>
      <c r="D24" s="28"/>
      <c r="E24" s="29"/>
      <c r="F24" s="30"/>
    </row>
    <row r="25" spans="1:9" x14ac:dyDescent="0.2">
      <c r="A25" s="27" t="s">
        <v>335</v>
      </c>
      <c r="B25" s="27" t="s">
        <v>334</v>
      </c>
      <c r="C25" s="27" t="s">
        <v>321</v>
      </c>
      <c r="D25" s="31">
        <v>2800</v>
      </c>
      <c r="E25" s="29">
        <v>1321.2821449999999</v>
      </c>
      <c r="F25" s="30">
        <v>2.3850250088835598</v>
      </c>
    </row>
    <row r="26" spans="1:9" x14ac:dyDescent="0.2">
      <c r="A26" s="27" t="s">
        <v>337</v>
      </c>
      <c r="B26" s="27" t="s">
        <v>336</v>
      </c>
      <c r="C26" s="27" t="s">
        <v>321</v>
      </c>
      <c r="D26" s="31">
        <v>78000</v>
      </c>
      <c r="E26" s="29">
        <v>1227.22432</v>
      </c>
      <c r="F26" s="30">
        <v>2.2152427517365099</v>
      </c>
    </row>
    <row r="27" spans="1:9" x14ac:dyDescent="0.2">
      <c r="A27" s="27" t="s">
        <v>339</v>
      </c>
      <c r="B27" s="27" t="s">
        <v>338</v>
      </c>
      <c r="C27" s="27" t="s">
        <v>106</v>
      </c>
      <c r="D27" s="31">
        <v>60135</v>
      </c>
      <c r="E27" s="29">
        <v>1200.9673600000001</v>
      </c>
      <c r="F27" s="30">
        <v>2.1678467383307201</v>
      </c>
    </row>
    <row r="28" spans="1:9" x14ac:dyDescent="0.2">
      <c r="A28" s="27" t="s">
        <v>341</v>
      </c>
      <c r="B28" s="27" t="s">
        <v>340</v>
      </c>
      <c r="C28" s="27" t="s">
        <v>321</v>
      </c>
      <c r="D28" s="31">
        <v>17000</v>
      </c>
      <c r="E28" s="29">
        <v>895.92343979999998</v>
      </c>
      <c r="F28" s="30">
        <v>1.6172168965228699</v>
      </c>
    </row>
    <row r="29" spans="1:9" x14ac:dyDescent="0.2">
      <c r="A29" s="27" t="s">
        <v>343</v>
      </c>
      <c r="B29" s="27" t="s">
        <v>342</v>
      </c>
      <c r="C29" s="27" t="s">
        <v>344</v>
      </c>
      <c r="D29" s="31">
        <v>5173</v>
      </c>
      <c r="E29" s="29">
        <v>894.48501429999999</v>
      </c>
      <c r="F29" s="30">
        <v>1.61462041794038</v>
      </c>
    </row>
    <row r="30" spans="1:9" x14ac:dyDescent="0.2">
      <c r="A30" s="27" t="s">
        <v>346</v>
      </c>
      <c r="B30" s="27" t="s">
        <v>345</v>
      </c>
      <c r="C30" s="27" t="s">
        <v>347</v>
      </c>
      <c r="D30" s="31">
        <v>8200</v>
      </c>
      <c r="E30" s="29">
        <v>801.19175429999996</v>
      </c>
      <c r="F30" s="30">
        <v>1.44621826469682</v>
      </c>
    </row>
    <row r="31" spans="1:9" x14ac:dyDescent="0.2">
      <c r="A31" s="27" t="s">
        <v>349</v>
      </c>
      <c r="B31" s="27" t="s">
        <v>348</v>
      </c>
      <c r="C31" s="27" t="s">
        <v>321</v>
      </c>
      <c r="D31" s="31">
        <v>39000</v>
      </c>
      <c r="E31" s="29">
        <v>720.44634389999999</v>
      </c>
      <c r="F31" s="30">
        <v>1.3004660316212999</v>
      </c>
    </row>
    <row r="32" spans="1:9" x14ac:dyDescent="0.2">
      <c r="A32" s="27" t="s">
        <v>351</v>
      </c>
      <c r="B32" s="27" t="s">
        <v>350</v>
      </c>
      <c r="C32" s="27" t="s">
        <v>321</v>
      </c>
      <c r="D32" s="31">
        <v>14982</v>
      </c>
      <c r="E32" s="29">
        <v>621.48290450000002</v>
      </c>
      <c r="F32" s="30">
        <v>1.12182872934084</v>
      </c>
    </row>
    <row r="33" spans="1:9" x14ac:dyDescent="0.2">
      <c r="A33" s="27" t="s">
        <v>353</v>
      </c>
      <c r="B33" s="27" t="s">
        <v>352</v>
      </c>
      <c r="C33" s="27" t="s">
        <v>321</v>
      </c>
      <c r="D33" s="31">
        <v>22000</v>
      </c>
      <c r="E33" s="29">
        <v>576.90032120000001</v>
      </c>
      <c r="F33" s="30">
        <v>1.0413534300011</v>
      </c>
    </row>
    <row r="34" spans="1:9" x14ac:dyDescent="0.2">
      <c r="A34" s="27" t="s">
        <v>355</v>
      </c>
      <c r="B34" s="27" t="s">
        <v>354</v>
      </c>
      <c r="C34" s="27" t="s">
        <v>106</v>
      </c>
      <c r="D34" s="31">
        <v>14000</v>
      </c>
      <c r="E34" s="29">
        <v>516.79623449999997</v>
      </c>
      <c r="F34" s="30">
        <v>0.93286051616125598</v>
      </c>
    </row>
    <row r="35" spans="1:9" x14ac:dyDescent="0.2">
      <c r="A35" s="27" t="s">
        <v>357</v>
      </c>
      <c r="B35" s="27" t="s">
        <v>356</v>
      </c>
      <c r="C35" s="27" t="s">
        <v>163</v>
      </c>
      <c r="D35" s="31">
        <v>23400</v>
      </c>
      <c r="E35" s="29">
        <v>462.04917499999999</v>
      </c>
      <c r="F35" s="30">
        <v>0.83403748539190004</v>
      </c>
    </row>
    <row r="36" spans="1:9" x14ac:dyDescent="0.2">
      <c r="A36" s="27" t="s">
        <v>359</v>
      </c>
      <c r="B36" s="27" t="s">
        <v>358</v>
      </c>
      <c r="C36" s="27" t="s">
        <v>106</v>
      </c>
      <c r="D36" s="31">
        <v>267</v>
      </c>
      <c r="E36" s="29">
        <v>456.99810550000001</v>
      </c>
      <c r="F36" s="30">
        <v>0.82491988161234597</v>
      </c>
    </row>
    <row r="37" spans="1:9" x14ac:dyDescent="0.2">
      <c r="A37" s="27" t="s">
        <v>361</v>
      </c>
      <c r="B37" s="27" t="s">
        <v>360</v>
      </c>
      <c r="C37" s="27" t="s">
        <v>106</v>
      </c>
      <c r="D37" s="31">
        <v>110</v>
      </c>
      <c r="E37" s="29">
        <v>257.47414120000002</v>
      </c>
      <c r="F37" s="30">
        <v>0.46476240387159401</v>
      </c>
    </row>
    <row r="38" spans="1:9" x14ac:dyDescent="0.2">
      <c r="A38" s="27" t="s">
        <v>363</v>
      </c>
      <c r="B38" s="27" t="s">
        <v>362</v>
      </c>
      <c r="C38" s="27" t="s">
        <v>106</v>
      </c>
      <c r="D38" s="31">
        <v>1310</v>
      </c>
      <c r="E38" s="29">
        <v>247.2190453</v>
      </c>
      <c r="F38" s="30">
        <v>0.44625109628861098</v>
      </c>
    </row>
    <row r="39" spans="1:9" x14ac:dyDescent="0.2">
      <c r="A39" s="27" t="s">
        <v>365</v>
      </c>
      <c r="B39" s="27" t="s">
        <v>364</v>
      </c>
      <c r="C39" s="27" t="s">
        <v>106</v>
      </c>
      <c r="D39" s="31">
        <v>1100</v>
      </c>
      <c r="E39" s="29">
        <v>199.45624380000001</v>
      </c>
      <c r="F39" s="30">
        <v>0.36003523656257103</v>
      </c>
    </row>
    <row r="40" spans="1:9" x14ac:dyDescent="0.2">
      <c r="A40" s="26" t="s">
        <v>35</v>
      </c>
      <c r="B40" s="26"/>
      <c r="C40" s="26"/>
      <c r="D40" s="32"/>
      <c r="E40" s="33">
        <f>SUM(E24:E39)</f>
        <v>10399.896548300001</v>
      </c>
      <c r="F40" s="34">
        <f>SUM(F24:F39)</f>
        <v>18.772684888962374</v>
      </c>
      <c r="G40" s="18"/>
      <c r="H40" s="18"/>
      <c r="I40" s="18"/>
    </row>
    <row r="41" spans="1:9" x14ac:dyDescent="0.2">
      <c r="A41" s="27"/>
      <c r="B41" s="27"/>
      <c r="C41" s="27"/>
      <c r="D41" s="28"/>
      <c r="E41" s="29"/>
      <c r="F41" s="30"/>
    </row>
    <row r="42" spans="1:9" x14ac:dyDescent="0.2">
      <c r="A42" s="26" t="s">
        <v>366</v>
      </c>
      <c r="B42" s="27"/>
      <c r="C42" s="27"/>
      <c r="D42" s="28"/>
      <c r="E42" s="29"/>
      <c r="F42" s="30"/>
    </row>
    <row r="43" spans="1:9" x14ac:dyDescent="0.2">
      <c r="A43" s="27" t="s">
        <v>368</v>
      </c>
      <c r="B43" s="27" t="s">
        <v>367</v>
      </c>
      <c r="C43" s="27" t="s">
        <v>369</v>
      </c>
      <c r="D43" s="31">
        <v>91868.481</v>
      </c>
      <c r="E43" s="29">
        <v>3894.282244</v>
      </c>
      <c r="F43" s="30">
        <v>7.0295058316943999</v>
      </c>
    </row>
    <row r="44" spans="1:9" x14ac:dyDescent="0.2">
      <c r="A44" s="26" t="s">
        <v>35</v>
      </c>
      <c r="B44" s="26"/>
      <c r="C44" s="26"/>
      <c r="D44" s="32"/>
      <c r="E44" s="33">
        <f>SUM(E43:E43)</f>
        <v>3894.282244</v>
      </c>
      <c r="F44" s="34">
        <f>SUM(F43:F43)</f>
        <v>7.0295058316943999</v>
      </c>
      <c r="G44" s="18"/>
      <c r="H44" s="18"/>
      <c r="I44" s="18"/>
    </row>
    <row r="45" spans="1:9" x14ac:dyDescent="0.2">
      <c r="A45" s="27"/>
      <c r="B45" s="27"/>
      <c r="C45" s="27"/>
      <c r="D45" s="28"/>
      <c r="E45" s="29"/>
      <c r="F45" s="30"/>
    </row>
    <row r="46" spans="1:9" x14ac:dyDescent="0.2">
      <c r="A46" s="26" t="s">
        <v>38</v>
      </c>
      <c r="B46" s="26"/>
      <c r="C46" s="26"/>
      <c r="D46" s="32"/>
      <c r="E46" s="33">
        <f>E18+E22+E40+E44</f>
        <v>51693.004472799992</v>
      </c>
      <c r="F46" s="34">
        <f>F18+F22+F40+F44</f>
        <v>93.310205483748192</v>
      </c>
      <c r="G46" s="18"/>
      <c r="H46" s="18"/>
      <c r="I46" s="18"/>
    </row>
    <row r="47" spans="1:9" x14ac:dyDescent="0.2">
      <c r="A47" s="26"/>
      <c r="B47" s="26"/>
      <c r="C47" s="26"/>
      <c r="D47" s="32"/>
      <c r="E47" s="33"/>
      <c r="F47" s="34"/>
      <c r="G47" s="18"/>
      <c r="H47" s="18"/>
      <c r="I47" s="18"/>
    </row>
    <row r="48" spans="1:9" x14ac:dyDescent="0.2">
      <c r="A48" s="26" t="s">
        <v>40</v>
      </c>
      <c r="B48" s="26"/>
      <c r="C48" s="26"/>
      <c r="D48" s="32"/>
      <c r="E48" s="33">
        <f>E50-(E18+E22+E40+E44)</f>
        <v>3706.085267500006</v>
      </c>
      <c r="F48" s="34">
        <f>F50-(F18+F22+F40+F44)</f>
        <v>6.6897945162518084</v>
      </c>
      <c r="G48" s="18"/>
      <c r="H48" s="18"/>
      <c r="I48" s="18"/>
    </row>
    <row r="49" spans="1:9" x14ac:dyDescent="0.2">
      <c r="A49" s="26"/>
      <c r="B49" s="26"/>
      <c r="C49" s="26"/>
      <c r="D49" s="32"/>
      <c r="E49" s="33"/>
      <c r="F49" s="34"/>
      <c r="G49" s="18"/>
      <c r="H49" s="18"/>
      <c r="I49" s="18"/>
    </row>
    <row r="50" spans="1:9" x14ac:dyDescent="0.2">
      <c r="A50" s="35" t="s">
        <v>39</v>
      </c>
      <c r="B50" s="35"/>
      <c r="C50" s="35"/>
      <c r="D50" s="36"/>
      <c r="E50" s="37">
        <v>55399.089740299998</v>
      </c>
      <c r="F50" s="38">
        <v>100</v>
      </c>
      <c r="G50" s="18"/>
      <c r="H50" s="18"/>
      <c r="I50" s="18"/>
    </row>
    <row r="51" spans="1:9" x14ac:dyDescent="0.2">
      <c r="F51" s="20" t="s">
        <v>514</v>
      </c>
    </row>
    <row r="52" spans="1:9" x14ac:dyDescent="0.2">
      <c r="A52" s="18" t="s">
        <v>41</v>
      </c>
      <c r="F52" s="20"/>
    </row>
    <row r="53" spans="1:9" x14ac:dyDescent="0.2">
      <c r="A53" s="18" t="s">
        <v>730</v>
      </c>
      <c r="F53" s="20"/>
    </row>
    <row r="55" spans="1:9" x14ac:dyDescent="0.2">
      <c r="A55" s="18" t="s">
        <v>42</v>
      </c>
    </row>
    <row r="56" spans="1:9" x14ac:dyDescent="0.2">
      <c r="A56" s="18" t="s">
        <v>43</v>
      </c>
    </row>
    <row r="57" spans="1:9" x14ac:dyDescent="0.2">
      <c r="A57" s="18" t="s">
        <v>44</v>
      </c>
      <c r="B57" s="18"/>
      <c r="C57" s="39" t="s">
        <v>46</v>
      </c>
      <c r="D57" s="19" t="s">
        <v>45</v>
      </c>
    </row>
    <row r="58" spans="1:9" x14ac:dyDescent="0.2">
      <c r="A58" s="9" t="s">
        <v>70</v>
      </c>
      <c r="C58" s="40">
        <v>237.81209999999999</v>
      </c>
      <c r="D58" s="40">
        <v>283.9939</v>
      </c>
    </row>
    <row r="59" spans="1:9" x14ac:dyDescent="0.2">
      <c r="A59" s="9" t="s">
        <v>76</v>
      </c>
      <c r="C59" s="40">
        <v>32.041600000000003</v>
      </c>
      <c r="D59" s="40">
        <v>38.265500000000003</v>
      </c>
    </row>
    <row r="60" spans="1:9" x14ac:dyDescent="0.2">
      <c r="A60" s="9" t="s">
        <v>73</v>
      </c>
      <c r="C60" s="40">
        <v>249.9384</v>
      </c>
      <c r="D60" s="40">
        <v>299.71280000000002</v>
      </c>
    </row>
    <row r="61" spans="1:9" x14ac:dyDescent="0.2">
      <c r="A61" s="9" t="s">
        <v>77</v>
      </c>
      <c r="C61" s="40">
        <v>34.106999999999999</v>
      </c>
      <c r="D61" s="40">
        <v>40.887799999999999</v>
      </c>
    </row>
    <row r="63" spans="1:9" x14ac:dyDescent="0.2">
      <c r="A63" s="9" t="s">
        <v>47</v>
      </c>
    </row>
    <row r="65" spans="1:4" x14ac:dyDescent="0.2">
      <c r="A65" s="18" t="s">
        <v>48</v>
      </c>
      <c r="D65" s="41" t="s">
        <v>49</v>
      </c>
    </row>
    <row r="67" spans="1:4" x14ac:dyDescent="0.2">
      <c r="A67" s="18" t="s">
        <v>226</v>
      </c>
      <c r="D67" s="46">
        <v>6.4299999999999996E-2</v>
      </c>
    </row>
    <row r="69" spans="1:4" x14ac:dyDescent="0.2">
      <c r="A69" s="18" t="s">
        <v>732</v>
      </c>
      <c r="D69" s="41" t="s">
        <v>49</v>
      </c>
    </row>
    <row r="70" spans="1:4" x14ac:dyDescent="0.2">
      <c r="A70" s="9" t="s">
        <v>733</v>
      </c>
    </row>
    <row r="71" spans="1:4" x14ac:dyDescent="0.2">
      <c r="A71" s="47" t="s">
        <v>734</v>
      </c>
    </row>
    <row r="73" spans="1:4" x14ac:dyDescent="0.2">
      <c r="A73" s="18" t="s">
        <v>735</v>
      </c>
    </row>
    <row r="74" spans="1:4" x14ac:dyDescent="0.2">
      <c r="A74" s="47" t="s">
        <v>51</v>
      </c>
    </row>
  </sheetData>
  <mergeCells count="1">
    <mergeCell ref="A1:F1"/>
  </mergeCells>
  <conditionalFormatting sqref="F2:F3 F5:F50 F54:F65538">
    <cfRule type="cellIs" dxfId="24" priority="2" stopIfTrue="1" operator="between">
      <formula>0.009</formula>
      <formula>-0.009</formula>
    </cfRule>
  </conditionalFormatting>
  <conditionalFormatting sqref="F51:F53">
    <cfRule type="cellIs" dxfId="23" priority="1" stopIfTrue="1" operator="between">
      <formula>0.009</formula>
      <formula>-0.009</formula>
    </cfRule>
  </conditionalFormatting>
  <hyperlinks>
    <hyperlink ref="A74" r:id="rId1" xr:uid="{00000000-0004-0000-2200-000000000000}"/>
    <hyperlink ref="A71" r:id="rId2" xr:uid="{00000000-0004-0000-22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4"/>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13</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371</v>
      </c>
      <c r="B7" s="27" t="s">
        <v>370</v>
      </c>
      <c r="C7" s="27" t="s">
        <v>258</v>
      </c>
      <c r="D7" s="31">
        <v>2642967</v>
      </c>
      <c r="E7" s="29">
        <v>47187.53282</v>
      </c>
      <c r="F7" s="30">
        <v>7.0883276099177204</v>
      </c>
    </row>
    <row r="8" spans="1:6" x14ac:dyDescent="0.2">
      <c r="A8" s="27" t="s">
        <v>285</v>
      </c>
      <c r="B8" s="27" t="s">
        <v>284</v>
      </c>
      <c r="C8" s="27" t="s">
        <v>214</v>
      </c>
      <c r="D8" s="31">
        <v>1325886</v>
      </c>
      <c r="E8" s="29">
        <v>21062.36205</v>
      </c>
      <c r="F8" s="30">
        <v>3.1639060897419902</v>
      </c>
    </row>
    <row r="9" spans="1:6" x14ac:dyDescent="0.2">
      <c r="A9" s="27" t="s">
        <v>373</v>
      </c>
      <c r="B9" s="27" t="s">
        <v>372</v>
      </c>
      <c r="C9" s="27" t="s">
        <v>128</v>
      </c>
      <c r="D9" s="31">
        <v>5562185</v>
      </c>
      <c r="E9" s="29">
        <v>19717.945830000001</v>
      </c>
      <c r="F9" s="30">
        <v>2.96195311526039</v>
      </c>
    </row>
    <row r="10" spans="1:6" x14ac:dyDescent="0.2">
      <c r="A10" s="27" t="s">
        <v>375</v>
      </c>
      <c r="B10" s="27" t="s">
        <v>374</v>
      </c>
      <c r="C10" s="27" t="s">
        <v>376</v>
      </c>
      <c r="D10" s="31">
        <v>7537595</v>
      </c>
      <c r="E10" s="29">
        <v>19518.60225</v>
      </c>
      <c r="F10" s="30">
        <v>2.9320084981649401</v>
      </c>
    </row>
    <row r="11" spans="1:6" x14ac:dyDescent="0.2">
      <c r="A11" s="27" t="s">
        <v>293</v>
      </c>
      <c r="B11" s="27" t="s">
        <v>292</v>
      </c>
      <c r="C11" s="27" t="s">
        <v>106</v>
      </c>
      <c r="D11" s="31">
        <v>2359141</v>
      </c>
      <c r="E11" s="29">
        <v>19435.78313</v>
      </c>
      <c r="F11" s="30">
        <v>2.9195677321438702</v>
      </c>
    </row>
    <row r="12" spans="1:6" x14ac:dyDescent="0.2">
      <c r="A12" s="27" t="s">
        <v>249</v>
      </c>
      <c r="B12" s="27" t="s">
        <v>248</v>
      </c>
      <c r="C12" s="27" t="s">
        <v>211</v>
      </c>
      <c r="D12" s="31">
        <v>4112021</v>
      </c>
      <c r="E12" s="29">
        <v>18156.62873</v>
      </c>
      <c r="F12" s="30">
        <v>2.7274181343792598</v>
      </c>
    </row>
    <row r="13" spans="1:6" x14ac:dyDescent="0.2">
      <c r="A13" s="27" t="s">
        <v>378</v>
      </c>
      <c r="B13" s="27" t="s">
        <v>377</v>
      </c>
      <c r="C13" s="27" t="s">
        <v>131</v>
      </c>
      <c r="D13" s="31">
        <v>1225096</v>
      </c>
      <c r="E13" s="29">
        <v>17773.692770000001</v>
      </c>
      <c r="F13" s="30">
        <v>2.66989498417658</v>
      </c>
    </row>
    <row r="14" spans="1:6" x14ac:dyDescent="0.2">
      <c r="A14" s="27" t="s">
        <v>380</v>
      </c>
      <c r="B14" s="27" t="s">
        <v>379</v>
      </c>
      <c r="C14" s="27" t="s">
        <v>381</v>
      </c>
      <c r="D14" s="31">
        <v>2410139</v>
      </c>
      <c r="E14" s="29">
        <v>16463.659510000001</v>
      </c>
      <c r="F14" s="30">
        <v>2.4731068841886001</v>
      </c>
    </row>
    <row r="15" spans="1:6" x14ac:dyDescent="0.2">
      <c r="A15" s="27" t="s">
        <v>383</v>
      </c>
      <c r="B15" s="27" t="s">
        <v>382</v>
      </c>
      <c r="C15" s="27" t="s">
        <v>128</v>
      </c>
      <c r="D15" s="31">
        <v>10263765</v>
      </c>
      <c r="E15" s="29">
        <v>15913.967629999999</v>
      </c>
      <c r="F15" s="30">
        <v>2.3905343084022199</v>
      </c>
    </row>
    <row r="16" spans="1:6" x14ac:dyDescent="0.2">
      <c r="A16" s="27" t="s">
        <v>108</v>
      </c>
      <c r="B16" s="27" t="s">
        <v>107</v>
      </c>
      <c r="C16" s="27" t="s">
        <v>101</v>
      </c>
      <c r="D16" s="31">
        <v>2259945</v>
      </c>
      <c r="E16" s="29">
        <v>14977.78549</v>
      </c>
      <c r="F16" s="30">
        <v>2.2499046692942102</v>
      </c>
    </row>
    <row r="17" spans="1:6" x14ac:dyDescent="0.2">
      <c r="A17" s="27" t="s">
        <v>263</v>
      </c>
      <c r="B17" s="27" t="s">
        <v>262</v>
      </c>
      <c r="C17" s="27" t="s">
        <v>187</v>
      </c>
      <c r="D17" s="31">
        <v>16272603</v>
      </c>
      <c r="E17" s="29">
        <v>14962.658460000001</v>
      </c>
      <c r="F17" s="30">
        <v>2.2476323456952199</v>
      </c>
    </row>
    <row r="18" spans="1:6" x14ac:dyDescent="0.2">
      <c r="A18" s="27" t="s">
        <v>133</v>
      </c>
      <c r="B18" s="27" t="s">
        <v>132</v>
      </c>
      <c r="C18" s="27" t="s">
        <v>134</v>
      </c>
      <c r="D18" s="31">
        <v>5289744</v>
      </c>
      <c r="E18" s="29">
        <v>14795.41397</v>
      </c>
      <c r="F18" s="30">
        <v>2.22250952902677</v>
      </c>
    </row>
    <row r="19" spans="1:6" x14ac:dyDescent="0.2">
      <c r="A19" s="27" t="s">
        <v>385</v>
      </c>
      <c r="B19" s="27" t="s">
        <v>384</v>
      </c>
      <c r="C19" s="27" t="s">
        <v>235</v>
      </c>
      <c r="D19" s="31">
        <v>2647305</v>
      </c>
      <c r="E19" s="29">
        <v>14435.75417</v>
      </c>
      <c r="F19" s="30">
        <v>2.1684828330297101</v>
      </c>
    </row>
    <row r="20" spans="1:6" x14ac:dyDescent="0.2">
      <c r="A20" s="27" t="s">
        <v>387</v>
      </c>
      <c r="B20" s="27" t="s">
        <v>386</v>
      </c>
      <c r="C20" s="27" t="s">
        <v>119</v>
      </c>
      <c r="D20" s="31">
        <v>1708713</v>
      </c>
      <c r="E20" s="29">
        <v>14081.50383</v>
      </c>
      <c r="F20" s="30">
        <v>2.1152687250698099</v>
      </c>
    </row>
    <row r="21" spans="1:6" x14ac:dyDescent="0.2">
      <c r="A21" s="27" t="s">
        <v>389</v>
      </c>
      <c r="B21" s="27" t="s">
        <v>388</v>
      </c>
      <c r="C21" s="27" t="s">
        <v>376</v>
      </c>
      <c r="D21" s="31">
        <v>2804248</v>
      </c>
      <c r="E21" s="29">
        <v>13775.8683</v>
      </c>
      <c r="F21" s="30">
        <v>2.0693573447453701</v>
      </c>
    </row>
    <row r="22" spans="1:6" x14ac:dyDescent="0.2">
      <c r="A22" s="27" t="s">
        <v>391</v>
      </c>
      <c r="B22" s="27" t="s">
        <v>390</v>
      </c>
      <c r="C22" s="27" t="s">
        <v>106</v>
      </c>
      <c r="D22" s="31">
        <v>5600639</v>
      </c>
      <c r="E22" s="29">
        <v>13626.35469</v>
      </c>
      <c r="F22" s="30">
        <v>2.0468979918933301</v>
      </c>
    </row>
    <row r="23" spans="1:6" x14ac:dyDescent="0.2">
      <c r="A23" s="27" t="s">
        <v>393</v>
      </c>
      <c r="B23" s="27" t="s">
        <v>392</v>
      </c>
      <c r="C23" s="27" t="s">
        <v>235</v>
      </c>
      <c r="D23" s="31">
        <v>388284</v>
      </c>
      <c r="E23" s="29">
        <v>13449.769480000001</v>
      </c>
      <c r="F23" s="30">
        <v>2.02037204860402</v>
      </c>
    </row>
    <row r="24" spans="1:6" x14ac:dyDescent="0.2">
      <c r="A24" s="27" t="s">
        <v>395</v>
      </c>
      <c r="B24" s="27" t="s">
        <v>394</v>
      </c>
      <c r="C24" s="27" t="s">
        <v>131</v>
      </c>
      <c r="D24" s="31">
        <v>1875900</v>
      </c>
      <c r="E24" s="29">
        <v>13307.634599999999</v>
      </c>
      <c r="F24" s="30">
        <v>1.9990210998676301</v>
      </c>
    </row>
    <row r="25" spans="1:6" x14ac:dyDescent="0.2">
      <c r="A25" s="27" t="s">
        <v>118</v>
      </c>
      <c r="B25" s="27" t="s">
        <v>117</v>
      </c>
      <c r="C25" s="27" t="s">
        <v>119</v>
      </c>
      <c r="D25" s="31">
        <v>1261210</v>
      </c>
      <c r="E25" s="29">
        <v>12704.16833</v>
      </c>
      <c r="F25" s="30">
        <v>1.9083707444101401</v>
      </c>
    </row>
    <row r="26" spans="1:6" x14ac:dyDescent="0.2">
      <c r="A26" s="27" t="s">
        <v>397</v>
      </c>
      <c r="B26" s="27" t="s">
        <v>396</v>
      </c>
      <c r="C26" s="27" t="s">
        <v>211</v>
      </c>
      <c r="D26" s="31">
        <v>2112883</v>
      </c>
      <c r="E26" s="29">
        <v>12646.6612</v>
      </c>
      <c r="F26" s="30">
        <v>1.89973224705744</v>
      </c>
    </row>
    <row r="27" spans="1:6" x14ac:dyDescent="0.2">
      <c r="A27" s="27" t="s">
        <v>130</v>
      </c>
      <c r="B27" s="27" t="s">
        <v>129</v>
      </c>
      <c r="C27" s="27" t="s">
        <v>131</v>
      </c>
      <c r="D27" s="31">
        <v>235825</v>
      </c>
      <c r="E27" s="29">
        <v>12520.30299</v>
      </c>
      <c r="F27" s="30">
        <v>1.88075120831359</v>
      </c>
    </row>
    <row r="28" spans="1:6" x14ac:dyDescent="0.2">
      <c r="A28" s="27" t="s">
        <v>100</v>
      </c>
      <c r="B28" s="27" t="s">
        <v>99</v>
      </c>
      <c r="C28" s="27" t="s">
        <v>101</v>
      </c>
      <c r="D28" s="31">
        <v>822910</v>
      </c>
      <c r="E28" s="29">
        <v>12474.08124</v>
      </c>
      <c r="F28" s="30">
        <v>1.87380795684178</v>
      </c>
    </row>
    <row r="29" spans="1:6" x14ac:dyDescent="0.2">
      <c r="A29" s="27" t="s">
        <v>399</v>
      </c>
      <c r="B29" s="27" t="s">
        <v>398</v>
      </c>
      <c r="C29" s="27" t="s">
        <v>111</v>
      </c>
      <c r="D29" s="31">
        <v>1000416</v>
      </c>
      <c r="E29" s="29">
        <v>11867.935009999999</v>
      </c>
      <c r="F29" s="30">
        <v>1.7827550282187501</v>
      </c>
    </row>
    <row r="30" spans="1:6" x14ac:dyDescent="0.2">
      <c r="A30" s="27" t="s">
        <v>401</v>
      </c>
      <c r="B30" s="27" t="s">
        <v>400</v>
      </c>
      <c r="C30" s="27" t="s">
        <v>376</v>
      </c>
      <c r="D30" s="31">
        <v>5211254</v>
      </c>
      <c r="E30" s="29">
        <v>11449.125040000001</v>
      </c>
      <c r="F30" s="30">
        <v>1.71984302379198</v>
      </c>
    </row>
    <row r="31" spans="1:6" x14ac:dyDescent="0.2">
      <c r="A31" s="27" t="s">
        <v>403</v>
      </c>
      <c r="B31" s="27" t="s">
        <v>402</v>
      </c>
      <c r="C31" s="27" t="s">
        <v>101</v>
      </c>
      <c r="D31" s="31">
        <v>19398917</v>
      </c>
      <c r="E31" s="29">
        <v>11096.18052</v>
      </c>
      <c r="F31" s="30">
        <v>1.6668250710325501</v>
      </c>
    </row>
    <row r="32" spans="1:6" x14ac:dyDescent="0.2">
      <c r="A32" s="27" t="s">
        <v>405</v>
      </c>
      <c r="B32" s="27" t="s">
        <v>404</v>
      </c>
      <c r="C32" s="27" t="s">
        <v>101</v>
      </c>
      <c r="D32" s="31">
        <v>9949095</v>
      </c>
      <c r="E32" s="29">
        <v>10441.575199999999</v>
      </c>
      <c r="F32" s="30">
        <v>1.5684928064266599</v>
      </c>
    </row>
    <row r="33" spans="1:6" x14ac:dyDescent="0.2">
      <c r="A33" s="27" t="s">
        <v>407</v>
      </c>
      <c r="B33" s="27" t="s">
        <v>406</v>
      </c>
      <c r="C33" s="27" t="s">
        <v>408</v>
      </c>
      <c r="D33" s="31">
        <v>393330</v>
      </c>
      <c r="E33" s="29">
        <v>10163.843870000001</v>
      </c>
      <c r="F33" s="30">
        <v>1.5267730864725</v>
      </c>
    </row>
    <row r="34" spans="1:6" x14ac:dyDescent="0.2">
      <c r="A34" s="27" t="s">
        <v>410</v>
      </c>
      <c r="B34" s="27" t="s">
        <v>409</v>
      </c>
      <c r="C34" s="27" t="s">
        <v>258</v>
      </c>
      <c r="D34" s="31">
        <v>3836227</v>
      </c>
      <c r="E34" s="29">
        <v>10031.733609999999</v>
      </c>
      <c r="F34" s="30">
        <v>1.50692799715445</v>
      </c>
    </row>
    <row r="35" spans="1:6" x14ac:dyDescent="0.2">
      <c r="A35" s="27" t="s">
        <v>412</v>
      </c>
      <c r="B35" s="27" t="s">
        <v>411</v>
      </c>
      <c r="C35" s="27" t="s">
        <v>376</v>
      </c>
      <c r="D35" s="31">
        <v>3270913</v>
      </c>
      <c r="E35" s="29">
        <v>10008.993780000001</v>
      </c>
      <c r="F35" s="30">
        <v>1.5035121083549901</v>
      </c>
    </row>
    <row r="36" spans="1:6" x14ac:dyDescent="0.2">
      <c r="A36" s="27" t="s">
        <v>414</v>
      </c>
      <c r="B36" s="27" t="s">
        <v>413</v>
      </c>
      <c r="C36" s="27" t="s">
        <v>204</v>
      </c>
      <c r="D36" s="31">
        <v>23086857</v>
      </c>
      <c r="E36" s="29">
        <v>9650.3062260000006</v>
      </c>
      <c r="F36" s="30">
        <v>1.4496314593697901</v>
      </c>
    </row>
    <row r="37" spans="1:6" x14ac:dyDescent="0.2">
      <c r="A37" s="27" t="s">
        <v>282</v>
      </c>
      <c r="B37" s="27" t="s">
        <v>281</v>
      </c>
      <c r="C37" s="27" t="s">
        <v>283</v>
      </c>
      <c r="D37" s="31">
        <v>672344</v>
      </c>
      <c r="E37" s="29">
        <v>8694.0802640000002</v>
      </c>
      <c r="F37" s="30">
        <v>1.3059909152960001</v>
      </c>
    </row>
    <row r="38" spans="1:6" x14ac:dyDescent="0.2">
      <c r="A38" s="27" t="s">
        <v>416</v>
      </c>
      <c r="B38" s="27" t="s">
        <v>415</v>
      </c>
      <c r="C38" s="27" t="s">
        <v>119</v>
      </c>
      <c r="D38" s="31">
        <v>100265</v>
      </c>
      <c r="E38" s="29">
        <v>8691.4213930000005</v>
      </c>
      <c r="F38" s="30">
        <v>1.305591510038</v>
      </c>
    </row>
    <row r="39" spans="1:6" x14ac:dyDescent="0.2">
      <c r="A39" s="27" t="s">
        <v>418</v>
      </c>
      <c r="B39" s="27" t="s">
        <v>417</v>
      </c>
      <c r="C39" s="27" t="s">
        <v>258</v>
      </c>
      <c r="D39" s="31">
        <v>100642</v>
      </c>
      <c r="E39" s="29">
        <v>8649.2238010000001</v>
      </c>
      <c r="F39" s="30">
        <v>1.2992527519260499</v>
      </c>
    </row>
    <row r="40" spans="1:6" x14ac:dyDescent="0.2">
      <c r="A40" s="27" t="s">
        <v>272</v>
      </c>
      <c r="B40" s="27" t="s">
        <v>271</v>
      </c>
      <c r="C40" s="27" t="s">
        <v>134</v>
      </c>
      <c r="D40" s="31">
        <v>1220431</v>
      </c>
      <c r="E40" s="29">
        <v>8531.4229059999998</v>
      </c>
      <c r="F40" s="30">
        <v>1.28155715975159</v>
      </c>
    </row>
    <row r="41" spans="1:6" x14ac:dyDescent="0.2">
      <c r="A41" s="27" t="s">
        <v>420</v>
      </c>
      <c r="B41" s="27" t="s">
        <v>419</v>
      </c>
      <c r="C41" s="27" t="s">
        <v>101</v>
      </c>
      <c r="D41" s="31">
        <v>14244569</v>
      </c>
      <c r="E41" s="29">
        <v>8425.6625640000002</v>
      </c>
      <c r="F41" s="30">
        <v>1.2656702526082899</v>
      </c>
    </row>
    <row r="42" spans="1:6" x14ac:dyDescent="0.2">
      <c r="A42" s="27" t="s">
        <v>422</v>
      </c>
      <c r="B42" s="27" t="s">
        <v>421</v>
      </c>
      <c r="C42" s="27" t="s">
        <v>187</v>
      </c>
      <c r="D42" s="31">
        <v>1503836</v>
      </c>
      <c r="E42" s="29">
        <v>8260.5711480000009</v>
      </c>
      <c r="F42" s="30">
        <v>1.2408708623401601</v>
      </c>
    </row>
    <row r="43" spans="1:6" x14ac:dyDescent="0.2">
      <c r="A43" s="27" t="s">
        <v>424</v>
      </c>
      <c r="B43" s="27" t="s">
        <v>423</v>
      </c>
      <c r="C43" s="27" t="s">
        <v>177</v>
      </c>
      <c r="D43" s="31">
        <v>1488061</v>
      </c>
      <c r="E43" s="29">
        <v>8074.963017</v>
      </c>
      <c r="F43" s="30">
        <v>1.2129895309594501</v>
      </c>
    </row>
    <row r="44" spans="1:6" x14ac:dyDescent="0.2">
      <c r="A44" s="27" t="s">
        <v>426</v>
      </c>
      <c r="B44" s="27" t="s">
        <v>425</v>
      </c>
      <c r="C44" s="27" t="s">
        <v>204</v>
      </c>
      <c r="D44" s="31">
        <v>1600000</v>
      </c>
      <c r="E44" s="29">
        <v>7713.6</v>
      </c>
      <c r="F44" s="30">
        <v>1.15870698433056</v>
      </c>
    </row>
    <row r="45" spans="1:6" x14ac:dyDescent="0.2">
      <c r="A45" s="27" t="s">
        <v>331</v>
      </c>
      <c r="B45" s="27" t="s">
        <v>330</v>
      </c>
      <c r="C45" s="27" t="s">
        <v>163</v>
      </c>
      <c r="D45" s="31">
        <v>103243</v>
      </c>
      <c r="E45" s="29">
        <v>7608.6477500000001</v>
      </c>
      <c r="F45" s="30">
        <v>1.1429414656238299</v>
      </c>
    </row>
    <row r="46" spans="1:6" x14ac:dyDescent="0.2">
      <c r="A46" s="27" t="s">
        <v>158</v>
      </c>
      <c r="B46" s="27" t="s">
        <v>157</v>
      </c>
      <c r="C46" s="27" t="s">
        <v>101</v>
      </c>
      <c r="D46" s="31">
        <v>4408453</v>
      </c>
      <c r="E46" s="29">
        <v>7597.9687459999996</v>
      </c>
      <c r="F46" s="30">
        <v>1.1413373071867201</v>
      </c>
    </row>
    <row r="47" spans="1:6" x14ac:dyDescent="0.2">
      <c r="A47" s="27" t="s">
        <v>428</v>
      </c>
      <c r="B47" s="27" t="s">
        <v>427</v>
      </c>
      <c r="C47" s="27" t="s">
        <v>190</v>
      </c>
      <c r="D47" s="31">
        <v>2464730</v>
      </c>
      <c r="E47" s="29">
        <v>7233.9825499999997</v>
      </c>
      <c r="F47" s="30">
        <v>1.0866607168132101</v>
      </c>
    </row>
    <row r="48" spans="1:6" x14ac:dyDescent="0.2">
      <c r="A48" s="27" t="s">
        <v>430</v>
      </c>
      <c r="B48" s="27" t="s">
        <v>429</v>
      </c>
      <c r="C48" s="27" t="s">
        <v>431</v>
      </c>
      <c r="D48" s="31">
        <v>454140</v>
      </c>
      <c r="E48" s="29">
        <v>7034.6286</v>
      </c>
      <c r="F48" s="30">
        <v>1.0567145419766999</v>
      </c>
    </row>
    <row r="49" spans="1:6" x14ac:dyDescent="0.2">
      <c r="A49" s="27" t="s">
        <v>433</v>
      </c>
      <c r="B49" s="27" t="s">
        <v>432</v>
      </c>
      <c r="C49" s="27" t="s">
        <v>128</v>
      </c>
      <c r="D49" s="31">
        <v>1667102</v>
      </c>
      <c r="E49" s="29">
        <v>6995.9935429999996</v>
      </c>
      <c r="F49" s="30">
        <v>1.05091093401337</v>
      </c>
    </row>
    <row r="50" spans="1:6" x14ac:dyDescent="0.2">
      <c r="A50" s="27" t="s">
        <v>435</v>
      </c>
      <c r="B50" s="27" t="s">
        <v>434</v>
      </c>
      <c r="C50" s="27" t="s">
        <v>119</v>
      </c>
      <c r="D50" s="31">
        <v>1846602</v>
      </c>
      <c r="E50" s="29">
        <v>6793.6487580000003</v>
      </c>
      <c r="F50" s="30">
        <v>1.0205154875782001</v>
      </c>
    </row>
    <row r="51" spans="1:6" x14ac:dyDescent="0.2">
      <c r="A51" s="27" t="s">
        <v>437</v>
      </c>
      <c r="B51" s="27" t="s">
        <v>436</v>
      </c>
      <c r="C51" s="27" t="s">
        <v>195</v>
      </c>
      <c r="D51" s="31">
        <v>2017424</v>
      </c>
      <c r="E51" s="29">
        <v>6751.3094160000001</v>
      </c>
      <c r="F51" s="30">
        <v>1.0141554363326899</v>
      </c>
    </row>
    <row r="52" spans="1:6" x14ac:dyDescent="0.2">
      <c r="A52" s="27" t="s">
        <v>439</v>
      </c>
      <c r="B52" s="27" t="s">
        <v>438</v>
      </c>
      <c r="C52" s="27" t="s">
        <v>440</v>
      </c>
      <c r="D52" s="31">
        <v>7921108</v>
      </c>
      <c r="E52" s="29">
        <v>6721.0601379999998</v>
      </c>
      <c r="F52" s="30">
        <v>1.00961150746815</v>
      </c>
    </row>
    <row r="53" spans="1:6" x14ac:dyDescent="0.2">
      <c r="A53" s="27" t="s">
        <v>275</v>
      </c>
      <c r="B53" s="27" t="s">
        <v>274</v>
      </c>
      <c r="C53" s="27" t="s">
        <v>211</v>
      </c>
      <c r="D53" s="31">
        <v>3705630</v>
      </c>
      <c r="E53" s="29">
        <v>6299.5709999999999</v>
      </c>
      <c r="F53" s="30">
        <v>0.94629704884700006</v>
      </c>
    </row>
    <row r="54" spans="1:6" x14ac:dyDescent="0.2">
      <c r="A54" s="27" t="s">
        <v>442</v>
      </c>
      <c r="B54" s="27" t="s">
        <v>441</v>
      </c>
      <c r="C54" s="27" t="s">
        <v>431</v>
      </c>
      <c r="D54" s="31">
        <v>1054022</v>
      </c>
      <c r="E54" s="29">
        <v>6191.8522389999998</v>
      </c>
      <c r="F54" s="30">
        <v>0.93011595562021498</v>
      </c>
    </row>
    <row r="55" spans="1:6" x14ac:dyDescent="0.2">
      <c r="A55" s="27" t="s">
        <v>444</v>
      </c>
      <c r="B55" s="27" t="s">
        <v>443</v>
      </c>
      <c r="C55" s="27" t="s">
        <v>376</v>
      </c>
      <c r="D55" s="31">
        <v>6313159</v>
      </c>
      <c r="E55" s="29">
        <v>5934.3694599999999</v>
      </c>
      <c r="F55" s="30">
        <v>0.89143789422577602</v>
      </c>
    </row>
    <row r="56" spans="1:6" x14ac:dyDescent="0.2">
      <c r="A56" s="27" t="s">
        <v>446</v>
      </c>
      <c r="B56" s="27" t="s">
        <v>445</v>
      </c>
      <c r="C56" s="27" t="s">
        <v>211</v>
      </c>
      <c r="D56" s="31">
        <v>1196703</v>
      </c>
      <c r="E56" s="29">
        <v>5716.6502309999996</v>
      </c>
      <c r="F56" s="30">
        <v>0.85873295862302701</v>
      </c>
    </row>
    <row r="57" spans="1:6" x14ac:dyDescent="0.2">
      <c r="A57" s="27" t="s">
        <v>213</v>
      </c>
      <c r="B57" s="27" t="s">
        <v>212</v>
      </c>
      <c r="C57" s="27" t="s">
        <v>214</v>
      </c>
      <c r="D57" s="31">
        <v>3131266</v>
      </c>
      <c r="E57" s="29">
        <v>5135.2762400000001</v>
      </c>
      <c r="F57" s="30">
        <v>0.77140121937289396</v>
      </c>
    </row>
    <row r="58" spans="1:6" x14ac:dyDescent="0.2">
      <c r="A58" s="27" t="s">
        <v>448</v>
      </c>
      <c r="B58" s="27" t="s">
        <v>447</v>
      </c>
      <c r="C58" s="27" t="s">
        <v>190</v>
      </c>
      <c r="D58" s="31">
        <v>19355573</v>
      </c>
      <c r="E58" s="29">
        <v>4625.9819470000002</v>
      </c>
      <c r="F58" s="30">
        <v>0.69489701194979803</v>
      </c>
    </row>
    <row r="59" spans="1:6" x14ac:dyDescent="0.2">
      <c r="A59" s="27" t="s">
        <v>450</v>
      </c>
      <c r="B59" s="27" t="s">
        <v>449</v>
      </c>
      <c r="C59" s="27" t="s">
        <v>163</v>
      </c>
      <c r="D59" s="31">
        <v>988899</v>
      </c>
      <c r="E59" s="29">
        <v>4265.1213870000001</v>
      </c>
      <c r="F59" s="30">
        <v>0.64068994245676802</v>
      </c>
    </row>
    <row r="60" spans="1:6" x14ac:dyDescent="0.2">
      <c r="A60" s="27" t="s">
        <v>452</v>
      </c>
      <c r="B60" s="27" t="s">
        <v>451</v>
      </c>
      <c r="C60" s="27" t="s">
        <v>211</v>
      </c>
      <c r="D60" s="31">
        <v>451352</v>
      </c>
      <c r="E60" s="29">
        <v>2918.2163559999999</v>
      </c>
      <c r="F60" s="30">
        <v>0.43836310846879101</v>
      </c>
    </row>
    <row r="61" spans="1:6" x14ac:dyDescent="0.2">
      <c r="A61" s="27" t="s">
        <v>454</v>
      </c>
      <c r="B61" s="27" t="s">
        <v>453</v>
      </c>
      <c r="C61" s="27" t="s">
        <v>131</v>
      </c>
      <c r="D61" s="31">
        <v>612700</v>
      </c>
      <c r="E61" s="29">
        <v>2408.5237000000002</v>
      </c>
      <c r="F61" s="30">
        <v>0.36179906050555799</v>
      </c>
    </row>
    <row r="62" spans="1:6" x14ac:dyDescent="0.2">
      <c r="A62" s="27" t="s">
        <v>456</v>
      </c>
      <c r="B62" s="27" t="s">
        <v>455</v>
      </c>
      <c r="C62" s="27" t="s">
        <v>168</v>
      </c>
      <c r="D62" s="31">
        <v>8046869</v>
      </c>
      <c r="E62" s="29">
        <v>2096.2093749999999</v>
      </c>
      <c r="F62" s="30">
        <v>0.31488441757826302</v>
      </c>
    </row>
    <row r="63" spans="1:6" x14ac:dyDescent="0.2">
      <c r="A63" s="27" t="s">
        <v>458</v>
      </c>
      <c r="B63" s="27" t="s">
        <v>457</v>
      </c>
      <c r="C63" s="27" t="s">
        <v>106</v>
      </c>
      <c r="D63" s="31">
        <v>200000</v>
      </c>
      <c r="E63" s="29">
        <v>1108.7</v>
      </c>
      <c r="F63" s="30">
        <v>0.16654460090324699</v>
      </c>
    </row>
    <row r="64" spans="1:6" x14ac:dyDescent="0.2">
      <c r="A64" s="27" t="s">
        <v>460</v>
      </c>
      <c r="B64" s="27" t="s">
        <v>459</v>
      </c>
      <c r="C64" s="27" t="s">
        <v>314</v>
      </c>
      <c r="D64" s="31">
        <v>45772</v>
      </c>
      <c r="E64" s="29">
        <v>888.57183599999996</v>
      </c>
      <c r="F64" s="30">
        <v>0.13347780445610699</v>
      </c>
    </row>
    <row r="65" spans="1:9" x14ac:dyDescent="0.2">
      <c r="A65" s="27" t="s">
        <v>138</v>
      </c>
      <c r="B65" s="27" t="s">
        <v>137</v>
      </c>
      <c r="C65" s="27" t="s">
        <v>106</v>
      </c>
      <c r="D65" s="31">
        <v>17717</v>
      </c>
      <c r="E65" s="29">
        <v>559.70660550000002</v>
      </c>
      <c r="F65" s="30">
        <v>8.4076948891412207E-2</v>
      </c>
    </row>
    <row r="66" spans="1:9" x14ac:dyDescent="0.2">
      <c r="A66" s="27" t="s">
        <v>462</v>
      </c>
      <c r="B66" s="27" t="s">
        <v>461</v>
      </c>
      <c r="C66" s="27" t="s">
        <v>463</v>
      </c>
      <c r="D66" s="31">
        <v>989354</v>
      </c>
      <c r="E66" s="29">
        <v>251.790593</v>
      </c>
      <c r="F66" s="30">
        <v>3.7823003357424799E-2</v>
      </c>
    </row>
    <row r="67" spans="1:9" x14ac:dyDescent="0.2">
      <c r="A67" s="26" t="s">
        <v>35</v>
      </c>
      <c r="B67" s="26"/>
      <c r="C67" s="26"/>
      <c r="D67" s="32"/>
      <c r="E67" s="33">
        <f>SUM(E7:E66)</f>
        <v>629876.55028949981</v>
      </c>
      <c r="F67" s="34">
        <f>SUM(F7:F66)</f>
        <v>94.617605020545511</v>
      </c>
      <c r="G67" s="18"/>
      <c r="H67" s="18"/>
      <c r="I67" s="18"/>
    </row>
    <row r="68" spans="1:9" x14ac:dyDescent="0.2">
      <c r="A68" s="27"/>
      <c r="B68" s="27"/>
      <c r="C68" s="27"/>
      <c r="D68" s="28"/>
      <c r="E68" s="29"/>
      <c r="F68" s="30"/>
    </row>
    <row r="69" spans="1:9" x14ac:dyDescent="0.2">
      <c r="A69" s="26" t="s">
        <v>38</v>
      </c>
      <c r="B69" s="26"/>
      <c r="C69" s="26"/>
      <c r="D69" s="32"/>
      <c r="E69" s="33">
        <f>E67</f>
        <v>629876.55028949981</v>
      </c>
      <c r="F69" s="34">
        <f>F67</f>
        <v>94.617605020545511</v>
      </c>
      <c r="G69" s="18"/>
      <c r="H69" s="18"/>
      <c r="I69" s="18"/>
    </row>
    <row r="70" spans="1:9" x14ac:dyDescent="0.2">
      <c r="A70" s="26"/>
      <c r="B70" s="26"/>
      <c r="C70" s="26"/>
      <c r="D70" s="32"/>
      <c r="E70" s="33"/>
      <c r="F70" s="34"/>
      <c r="G70" s="18"/>
      <c r="H70" s="18"/>
      <c r="I70" s="18"/>
    </row>
    <row r="71" spans="1:9" x14ac:dyDescent="0.2">
      <c r="A71" s="26" t="s">
        <v>40</v>
      </c>
      <c r="B71" s="26"/>
      <c r="C71" s="26"/>
      <c r="D71" s="32"/>
      <c r="E71" s="33">
        <f>E73-(E67)</f>
        <v>35831.010320100235</v>
      </c>
      <c r="F71" s="34">
        <f>F73-(F67)</f>
        <v>5.3823949794544887</v>
      </c>
      <c r="G71" s="18"/>
      <c r="H71" s="18"/>
      <c r="I71" s="18"/>
    </row>
    <row r="72" spans="1:9" x14ac:dyDescent="0.2">
      <c r="A72" s="26"/>
      <c r="B72" s="26"/>
      <c r="C72" s="26"/>
      <c r="D72" s="32"/>
      <c r="E72" s="33"/>
      <c r="F72" s="34"/>
      <c r="G72" s="18"/>
      <c r="H72" s="18"/>
      <c r="I72" s="18"/>
    </row>
    <row r="73" spans="1:9" x14ac:dyDescent="0.2">
      <c r="A73" s="35" t="s">
        <v>39</v>
      </c>
      <c r="B73" s="35"/>
      <c r="C73" s="35"/>
      <c r="D73" s="36"/>
      <c r="E73" s="37">
        <v>665707.56060960004</v>
      </c>
      <c r="F73" s="38">
        <v>100</v>
      </c>
      <c r="G73" s="18"/>
      <c r="H73" s="18"/>
      <c r="I73" s="18"/>
    </row>
    <row r="76" spans="1:9" x14ac:dyDescent="0.2">
      <c r="A76" s="18" t="s">
        <v>42</v>
      </c>
    </row>
    <row r="77" spans="1:9" x14ac:dyDescent="0.2">
      <c r="A77" s="18" t="s">
        <v>43</v>
      </c>
    </row>
    <row r="78" spans="1:9" x14ac:dyDescent="0.2">
      <c r="A78" s="18" t="s">
        <v>44</v>
      </c>
      <c r="B78" s="18"/>
      <c r="C78" s="39" t="s">
        <v>46</v>
      </c>
      <c r="D78" s="19" t="s">
        <v>45</v>
      </c>
    </row>
    <row r="79" spans="1:9" x14ac:dyDescent="0.2">
      <c r="A79" s="9" t="s">
        <v>70</v>
      </c>
      <c r="C79" s="40">
        <v>54.706499999999998</v>
      </c>
      <c r="D79" s="40">
        <v>74.259200000000007</v>
      </c>
    </row>
    <row r="80" spans="1:9" x14ac:dyDescent="0.2">
      <c r="A80" s="9" t="s">
        <v>76</v>
      </c>
      <c r="C80" s="40">
        <v>23.051100000000002</v>
      </c>
      <c r="D80" s="40">
        <v>29.8078</v>
      </c>
    </row>
    <row r="81" spans="1:4" x14ac:dyDescent="0.2">
      <c r="A81" s="9" t="s">
        <v>73</v>
      </c>
      <c r="C81" s="40">
        <v>59.555900000000001</v>
      </c>
      <c r="D81" s="40">
        <v>81.183000000000007</v>
      </c>
    </row>
    <row r="82" spans="1:4" x14ac:dyDescent="0.2">
      <c r="A82" s="9" t="s">
        <v>77</v>
      </c>
      <c r="C82" s="40">
        <v>25.854399999999998</v>
      </c>
      <c r="D82" s="40">
        <v>33.7577</v>
      </c>
    </row>
    <row r="84" spans="1:4" x14ac:dyDescent="0.2">
      <c r="A84" s="18" t="s">
        <v>48</v>
      </c>
    </row>
    <row r="85" spans="1:4" x14ac:dyDescent="0.2">
      <c r="A85" s="77" t="s">
        <v>67</v>
      </c>
      <c r="B85" s="78"/>
      <c r="C85" s="44" t="s">
        <v>68</v>
      </c>
    </row>
    <row r="86" spans="1:4" x14ac:dyDescent="0.2">
      <c r="A86" s="73" t="s">
        <v>76</v>
      </c>
      <c r="B86" s="74"/>
      <c r="C86" s="45">
        <v>1.3</v>
      </c>
    </row>
    <row r="87" spans="1:4" x14ac:dyDescent="0.2">
      <c r="A87" s="73" t="s">
        <v>77</v>
      </c>
      <c r="B87" s="74"/>
      <c r="C87" s="45">
        <v>1.3</v>
      </c>
    </row>
    <row r="88" spans="1:4" x14ac:dyDescent="0.2">
      <c r="A88" s="9" t="s">
        <v>69</v>
      </c>
    </row>
    <row r="89" spans="1:4" x14ac:dyDescent="0.2">
      <c r="A89" s="9" t="s">
        <v>47</v>
      </c>
    </row>
    <row r="91" spans="1:4" x14ac:dyDescent="0.2">
      <c r="A91" s="18" t="s">
        <v>226</v>
      </c>
      <c r="D91" s="46">
        <v>8.6099999999999996E-2</v>
      </c>
    </row>
    <row r="93" spans="1:4" x14ac:dyDescent="0.2">
      <c r="A93" s="18" t="s">
        <v>748</v>
      </c>
    </row>
    <row r="94" spans="1:4" x14ac:dyDescent="0.2">
      <c r="A94" s="47" t="s">
        <v>51</v>
      </c>
    </row>
  </sheetData>
  <mergeCells count="4">
    <mergeCell ref="A1:F1"/>
    <mergeCell ref="A85:B85"/>
    <mergeCell ref="A86:B86"/>
    <mergeCell ref="A87:B87"/>
  </mergeCells>
  <conditionalFormatting sqref="F2:F3 F5:F65532">
    <cfRule type="cellIs" dxfId="22" priority="1" stopIfTrue="1" operator="between">
      <formula>0.009</formula>
      <formula>-0.009</formula>
    </cfRule>
  </conditionalFormatting>
  <hyperlinks>
    <hyperlink ref="A94" r:id="rId1" xr:uid="{00000000-0004-0000-2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91"/>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0"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75" t="s">
        <v>14</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465</v>
      </c>
      <c r="B7" s="27" t="s">
        <v>464</v>
      </c>
      <c r="C7" s="27" t="s">
        <v>119</v>
      </c>
      <c r="D7" s="31">
        <v>7641052</v>
      </c>
      <c r="E7" s="29">
        <v>30430.489590000001</v>
      </c>
      <c r="F7" s="30">
        <v>4.0243367681312803</v>
      </c>
    </row>
    <row r="8" spans="1:6" x14ac:dyDescent="0.2">
      <c r="A8" s="27" t="s">
        <v>108</v>
      </c>
      <c r="B8" s="27" t="s">
        <v>107</v>
      </c>
      <c r="C8" s="27" t="s">
        <v>101</v>
      </c>
      <c r="D8" s="31">
        <v>4463996</v>
      </c>
      <c r="E8" s="29">
        <v>29585.13349</v>
      </c>
      <c r="F8" s="30">
        <v>3.9125410763356401</v>
      </c>
    </row>
    <row r="9" spans="1:6" x14ac:dyDescent="0.2">
      <c r="A9" s="27" t="s">
        <v>467</v>
      </c>
      <c r="B9" s="27" t="s">
        <v>466</v>
      </c>
      <c r="C9" s="27" t="s">
        <v>177</v>
      </c>
      <c r="D9" s="31">
        <v>2832456</v>
      </c>
      <c r="E9" s="29">
        <v>27368.606100000001</v>
      </c>
      <c r="F9" s="30">
        <v>3.6194122836895199</v>
      </c>
    </row>
    <row r="10" spans="1:6" x14ac:dyDescent="0.2">
      <c r="A10" s="27" t="s">
        <v>118</v>
      </c>
      <c r="B10" s="27" t="s">
        <v>117</v>
      </c>
      <c r="C10" s="27" t="s">
        <v>119</v>
      </c>
      <c r="D10" s="31">
        <v>2622087</v>
      </c>
      <c r="E10" s="29">
        <v>26412.282350000001</v>
      </c>
      <c r="F10" s="30">
        <v>3.4929414683587399</v>
      </c>
    </row>
    <row r="11" spans="1:6" x14ac:dyDescent="0.2">
      <c r="A11" s="27" t="s">
        <v>100</v>
      </c>
      <c r="B11" s="27" t="s">
        <v>99</v>
      </c>
      <c r="C11" s="27" t="s">
        <v>101</v>
      </c>
      <c r="D11" s="31">
        <v>1730636</v>
      </c>
      <c r="E11" s="29">
        <v>26233.845809999999</v>
      </c>
      <c r="F11" s="30">
        <v>3.4693437958146802</v>
      </c>
    </row>
    <row r="12" spans="1:6" x14ac:dyDescent="0.2">
      <c r="A12" s="27" t="s">
        <v>110</v>
      </c>
      <c r="B12" s="27" t="s">
        <v>109</v>
      </c>
      <c r="C12" s="27" t="s">
        <v>111</v>
      </c>
      <c r="D12" s="31">
        <v>1036879</v>
      </c>
      <c r="E12" s="29">
        <v>22820.669910000001</v>
      </c>
      <c r="F12" s="30">
        <v>3.0179619923821299</v>
      </c>
    </row>
    <row r="13" spans="1:6" x14ac:dyDescent="0.2">
      <c r="A13" s="27" t="s">
        <v>158</v>
      </c>
      <c r="B13" s="27" t="s">
        <v>157</v>
      </c>
      <c r="C13" s="27" t="s">
        <v>101</v>
      </c>
      <c r="D13" s="31">
        <v>13160416</v>
      </c>
      <c r="E13" s="29">
        <v>22681.976979999999</v>
      </c>
      <c r="F13" s="30">
        <v>2.9996202875591398</v>
      </c>
    </row>
    <row r="14" spans="1:6" x14ac:dyDescent="0.2">
      <c r="A14" s="27" t="s">
        <v>222</v>
      </c>
      <c r="B14" s="27" t="s">
        <v>221</v>
      </c>
      <c r="C14" s="27" t="s">
        <v>101</v>
      </c>
      <c r="D14" s="31">
        <v>23869927</v>
      </c>
      <c r="E14" s="29">
        <v>20826.511310000002</v>
      </c>
      <c r="F14" s="30">
        <v>2.7542407744986601</v>
      </c>
    </row>
    <row r="15" spans="1:6" x14ac:dyDescent="0.2">
      <c r="A15" s="27" t="s">
        <v>174</v>
      </c>
      <c r="B15" s="27" t="s">
        <v>173</v>
      </c>
      <c r="C15" s="27" t="s">
        <v>128</v>
      </c>
      <c r="D15" s="31">
        <v>3598612</v>
      </c>
      <c r="E15" s="29">
        <v>20578.66272</v>
      </c>
      <c r="F15" s="30">
        <v>2.7214635761326398</v>
      </c>
    </row>
    <row r="16" spans="1:6" x14ac:dyDescent="0.2">
      <c r="A16" s="27" t="s">
        <v>295</v>
      </c>
      <c r="B16" s="27" t="s">
        <v>294</v>
      </c>
      <c r="C16" s="27" t="s">
        <v>150</v>
      </c>
      <c r="D16" s="31">
        <v>16289858</v>
      </c>
      <c r="E16" s="29">
        <v>20109.829699999998</v>
      </c>
      <c r="F16" s="30">
        <v>2.65946188027034</v>
      </c>
    </row>
    <row r="17" spans="1:6" x14ac:dyDescent="0.2">
      <c r="A17" s="27" t="s">
        <v>371</v>
      </c>
      <c r="B17" s="27" t="s">
        <v>370</v>
      </c>
      <c r="C17" s="27" t="s">
        <v>258</v>
      </c>
      <c r="D17" s="31">
        <v>1125123</v>
      </c>
      <c r="E17" s="29">
        <v>20087.946039999999</v>
      </c>
      <c r="F17" s="30">
        <v>2.6565678348985502</v>
      </c>
    </row>
    <row r="18" spans="1:6" x14ac:dyDescent="0.2">
      <c r="A18" s="27" t="s">
        <v>325</v>
      </c>
      <c r="B18" s="27" t="s">
        <v>324</v>
      </c>
      <c r="C18" s="27" t="s">
        <v>163</v>
      </c>
      <c r="D18" s="31">
        <v>458016</v>
      </c>
      <c r="E18" s="29">
        <v>19902.85627</v>
      </c>
      <c r="F18" s="30">
        <v>2.6320902935624799</v>
      </c>
    </row>
    <row r="19" spans="1:6" x14ac:dyDescent="0.2">
      <c r="A19" s="27" t="s">
        <v>469</v>
      </c>
      <c r="B19" s="27" t="s">
        <v>468</v>
      </c>
      <c r="C19" s="27" t="s">
        <v>106</v>
      </c>
      <c r="D19" s="31">
        <v>957514</v>
      </c>
      <c r="E19" s="29">
        <v>18617.423460000002</v>
      </c>
      <c r="F19" s="30">
        <v>2.4620958376748798</v>
      </c>
    </row>
    <row r="20" spans="1:6" x14ac:dyDescent="0.2">
      <c r="A20" s="27" t="s">
        <v>154</v>
      </c>
      <c r="B20" s="27" t="s">
        <v>153</v>
      </c>
      <c r="C20" s="27" t="s">
        <v>134</v>
      </c>
      <c r="D20" s="31">
        <v>3864460</v>
      </c>
      <c r="E20" s="29">
        <v>18240.251199999999</v>
      </c>
      <c r="F20" s="30">
        <v>2.4122159897234399</v>
      </c>
    </row>
    <row r="21" spans="1:6" x14ac:dyDescent="0.2">
      <c r="A21" s="27" t="s">
        <v>116</v>
      </c>
      <c r="B21" s="27" t="s">
        <v>115</v>
      </c>
      <c r="C21" s="27" t="s">
        <v>101</v>
      </c>
      <c r="D21" s="31">
        <v>1001436</v>
      </c>
      <c r="E21" s="29">
        <v>18102.958569999999</v>
      </c>
      <c r="F21" s="30">
        <v>2.3940594701818001</v>
      </c>
    </row>
    <row r="22" spans="1:6" x14ac:dyDescent="0.2">
      <c r="A22" s="27" t="s">
        <v>206</v>
      </c>
      <c r="B22" s="27" t="s">
        <v>205</v>
      </c>
      <c r="C22" s="27" t="s">
        <v>187</v>
      </c>
      <c r="D22" s="31">
        <v>2730269</v>
      </c>
      <c r="E22" s="29">
        <v>17502.38942</v>
      </c>
      <c r="F22" s="30">
        <v>2.3146360844685301</v>
      </c>
    </row>
    <row r="23" spans="1:6" x14ac:dyDescent="0.2">
      <c r="A23" s="27" t="s">
        <v>203</v>
      </c>
      <c r="B23" s="27" t="s">
        <v>202</v>
      </c>
      <c r="C23" s="27" t="s">
        <v>204</v>
      </c>
      <c r="D23" s="31">
        <v>12348081</v>
      </c>
      <c r="E23" s="29">
        <v>17200.876830000001</v>
      </c>
      <c r="F23" s="30">
        <v>2.27476199048122</v>
      </c>
    </row>
    <row r="24" spans="1:6" x14ac:dyDescent="0.2">
      <c r="A24" s="27" t="s">
        <v>471</v>
      </c>
      <c r="B24" s="27" t="s">
        <v>470</v>
      </c>
      <c r="C24" s="27" t="s">
        <v>408</v>
      </c>
      <c r="D24" s="31">
        <v>537865</v>
      </c>
      <c r="E24" s="29">
        <v>17043.59719</v>
      </c>
      <c r="F24" s="30">
        <v>2.2539622515792699</v>
      </c>
    </row>
    <row r="25" spans="1:6" x14ac:dyDescent="0.2">
      <c r="A25" s="27" t="s">
        <v>246</v>
      </c>
      <c r="B25" s="27" t="s">
        <v>245</v>
      </c>
      <c r="C25" s="27" t="s">
        <v>247</v>
      </c>
      <c r="D25" s="31">
        <v>11687252</v>
      </c>
      <c r="E25" s="29">
        <v>16993.26441</v>
      </c>
      <c r="F25" s="30">
        <v>2.2473058993507902</v>
      </c>
    </row>
    <row r="26" spans="1:6" x14ac:dyDescent="0.2">
      <c r="A26" s="27" t="s">
        <v>291</v>
      </c>
      <c r="B26" s="27" t="s">
        <v>290</v>
      </c>
      <c r="C26" s="27" t="s">
        <v>177</v>
      </c>
      <c r="D26" s="31">
        <v>567739</v>
      </c>
      <c r="E26" s="29">
        <v>16177.43894</v>
      </c>
      <c r="F26" s="30">
        <v>2.1394155407159401</v>
      </c>
    </row>
    <row r="27" spans="1:6" x14ac:dyDescent="0.2">
      <c r="A27" s="27" t="s">
        <v>287</v>
      </c>
      <c r="B27" s="27" t="s">
        <v>286</v>
      </c>
      <c r="C27" s="27" t="s">
        <v>128</v>
      </c>
      <c r="D27" s="31">
        <v>2435553</v>
      </c>
      <c r="E27" s="29">
        <v>16168.418589999999</v>
      </c>
      <c r="F27" s="30">
        <v>2.1382226277311198</v>
      </c>
    </row>
    <row r="28" spans="1:6" x14ac:dyDescent="0.2">
      <c r="A28" s="27" t="s">
        <v>473</v>
      </c>
      <c r="B28" s="27" t="s">
        <v>472</v>
      </c>
      <c r="C28" s="27" t="s">
        <v>376</v>
      </c>
      <c r="D28" s="31">
        <v>2606125</v>
      </c>
      <c r="E28" s="29">
        <v>15778.783810000001</v>
      </c>
      <c r="F28" s="30">
        <v>2.08669465061267</v>
      </c>
    </row>
    <row r="29" spans="1:6" x14ac:dyDescent="0.2">
      <c r="A29" s="27" t="s">
        <v>475</v>
      </c>
      <c r="B29" s="27" t="s">
        <v>474</v>
      </c>
      <c r="C29" s="27" t="s">
        <v>187</v>
      </c>
      <c r="D29" s="31">
        <v>624058</v>
      </c>
      <c r="E29" s="29">
        <v>15598.95377</v>
      </c>
      <c r="F29" s="30">
        <v>2.0629126920659302</v>
      </c>
    </row>
    <row r="30" spans="1:6" x14ac:dyDescent="0.2">
      <c r="A30" s="27" t="s">
        <v>477</v>
      </c>
      <c r="B30" s="27" t="s">
        <v>476</v>
      </c>
      <c r="C30" s="27" t="s">
        <v>128</v>
      </c>
      <c r="D30" s="31">
        <v>3091673</v>
      </c>
      <c r="E30" s="29">
        <v>15492.3734</v>
      </c>
      <c r="F30" s="30">
        <v>2.0488177725450498</v>
      </c>
    </row>
    <row r="31" spans="1:6" x14ac:dyDescent="0.2">
      <c r="A31" s="27" t="s">
        <v>479</v>
      </c>
      <c r="B31" s="27" t="s">
        <v>478</v>
      </c>
      <c r="C31" s="27" t="s">
        <v>163</v>
      </c>
      <c r="D31" s="31">
        <v>1790964</v>
      </c>
      <c r="E31" s="29">
        <v>15252.744909999999</v>
      </c>
      <c r="F31" s="30">
        <v>2.0171276566122498</v>
      </c>
    </row>
    <row r="32" spans="1:6" x14ac:dyDescent="0.2">
      <c r="A32" s="27" t="s">
        <v>140</v>
      </c>
      <c r="B32" s="27" t="s">
        <v>139</v>
      </c>
      <c r="C32" s="27" t="s">
        <v>125</v>
      </c>
      <c r="D32" s="31">
        <v>5051482</v>
      </c>
      <c r="E32" s="29">
        <v>13692.04196</v>
      </c>
      <c r="F32" s="30">
        <v>1.8107295884102901</v>
      </c>
    </row>
    <row r="33" spans="1:6" x14ac:dyDescent="0.2">
      <c r="A33" s="27" t="s">
        <v>481</v>
      </c>
      <c r="B33" s="27" t="s">
        <v>480</v>
      </c>
      <c r="C33" s="27" t="s">
        <v>111</v>
      </c>
      <c r="D33" s="31">
        <v>1725821</v>
      </c>
      <c r="E33" s="29">
        <v>13644.340829999999</v>
      </c>
      <c r="F33" s="30">
        <v>1.80442126363711</v>
      </c>
    </row>
    <row r="34" spans="1:6" x14ac:dyDescent="0.2">
      <c r="A34" s="27" t="s">
        <v>483</v>
      </c>
      <c r="B34" s="27" t="s">
        <v>482</v>
      </c>
      <c r="C34" s="27" t="s">
        <v>131</v>
      </c>
      <c r="D34" s="31">
        <v>646075</v>
      </c>
      <c r="E34" s="29">
        <v>13377.62895</v>
      </c>
      <c r="F34" s="30">
        <v>1.76914945435495</v>
      </c>
    </row>
    <row r="35" spans="1:6" x14ac:dyDescent="0.2">
      <c r="A35" s="27" t="s">
        <v>485</v>
      </c>
      <c r="B35" s="27" t="s">
        <v>484</v>
      </c>
      <c r="C35" s="27" t="s">
        <v>311</v>
      </c>
      <c r="D35" s="31">
        <v>1940126</v>
      </c>
      <c r="E35" s="29">
        <v>13268.521710000001</v>
      </c>
      <c r="F35" s="30">
        <v>1.75472036420499</v>
      </c>
    </row>
    <row r="36" spans="1:6" x14ac:dyDescent="0.2">
      <c r="A36" s="27" t="s">
        <v>487</v>
      </c>
      <c r="B36" s="27" t="s">
        <v>486</v>
      </c>
      <c r="C36" s="27" t="s">
        <v>488</v>
      </c>
      <c r="D36" s="31">
        <v>1536228</v>
      </c>
      <c r="E36" s="29">
        <v>12309.02685</v>
      </c>
      <c r="F36" s="30">
        <v>1.62783017952654</v>
      </c>
    </row>
    <row r="37" spans="1:6" x14ac:dyDescent="0.2">
      <c r="A37" s="27" t="s">
        <v>490</v>
      </c>
      <c r="B37" s="27" t="s">
        <v>489</v>
      </c>
      <c r="C37" s="27" t="s">
        <v>111</v>
      </c>
      <c r="D37" s="31">
        <v>5510107</v>
      </c>
      <c r="E37" s="29">
        <v>12235.192590000001</v>
      </c>
      <c r="F37" s="30">
        <v>1.61806583030741</v>
      </c>
    </row>
    <row r="38" spans="1:6" x14ac:dyDescent="0.2">
      <c r="A38" s="27" t="s">
        <v>407</v>
      </c>
      <c r="B38" s="27" t="s">
        <v>406</v>
      </c>
      <c r="C38" s="27" t="s">
        <v>408</v>
      </c>
      <c r="D38" s="31">
        <v>452925</v>
      </c>
      <c r="E38" s="29">
        <v>11703.80846</v>
      </c>
      <c r="F38" s="30">
        <v>1.54779194641094</v>
      </c>
    </row>
    <row r="39" spans="1:6" x14ac:dyDescent="0.2">
      <c r="A39" s="27" t="s">
        <v>492</v>
      </c>
      <c r="B39" s="27" t="s">
        <v>491</v>
      </c>
      <c r="C39" s="27" t="s">
        <v>101</v>
      </c>
      <c r="D39" s="31">
        <v>5234341</v>
      </c>
      <c r="E39" s="29">
        <v>11211.958420000001</v>
      </c>
      <c r="F39" s="30">
        <v>1.48274632187293</v>
      </c>
    </row>
    <row r="40" spans="1:6" x14ac:dyDescent="0.2">
      <c r="A40" s="27" t="s">
        <v>494</v>
      </c>
      <c r="B40" s="27" t="s">
        <v>493</v>
      </c>
      <c r="C40" s="27" t="s">
        <v>258</v>
      </c>
      <c r="D40" s="31">
        <v>666117</v>
      </c>
      <c r="E40" s="29">
        <v>11173.44656</v>
      </c>
      <c r="F40" s="30">
        <v>1.47765324922457</v>
      </c>
    </row>
    <row r="41" spans="1:6" x14ac:dyDescent="0.2">
      <c r="A41" s="27" t="s">
        <v>496</v>
      </c>
      <c r="B41" s="27" t="s">
        <v>495</v>
      </c>
      <c r="C41" s="27" t="s">
        <v>497</v>
      </c>
      <c r="D41" s="31">
        <v>419936</v>
      </c>
      <c r="E41" s="29">
        <v>10981.11643</v>
      </c>
      <c r="F41" s="30">
        <v>1.4522181929961999</v>
      </c>
    </row>
    <row r="42" spans="1:6" x14ac:dyDescent="0.2">
      <c r="A42" s="27" t="s">
        <v>253</v>
      </c>
      <c r="B42" s="27" t="s">
        <v>252</v>
      </c>
      <c r="C42" s="27" t="s">
        <v>111</v>
      </c>
      <c r="D42" s="31">
        <v>68736</v>
      </c>
      <c r="E42" s="29">
        <v>10486.707839999999</v>
      </c>
      <c r="F42" s="30">
        <v>1.3868342082485201</v>
      </c>
    </row>
    <row r="43" spans="1:6" x14ac:dyDescent="0.2">
      <c r="A43" s="27" t="s">
        <v>263</v>
      </c>
      <c r="B43" s="27" t="s">
        <v>262</v>
      </c>
      <c r="C43" s="27" t="s">
        <v>187</v>
      </c>
      <c r="D43" s="31">
        <v>11253507</v>
      </c>
      <c r="E43" s="29">
        <v>10347.599689999999</v>
      </c>
      <c r="F43" s="30">
        <v>1.36843759188335</v>
      </c>
    </row>
    <row r="44" spans="1:6" x14ac:dyDescent="0.2">
      <c r="A44" s="27" t="s">
        <v>499</v>
      </c>
      <c r="B44" s="27" t="s">
        <v>498</v>
      </c>
      <c r="C44" s="27" t="s">
        <v>119</v>
      </c>
      <c r="D44" s="31">
        <v>968720</v>
      </c>
      <c r="E44" s="29">
        <v>9355.4133999999995</v>
      </c>
      <c r="F44" s="30">
        <v>1.23722406816157</v>
      </c>
    </row>
    <row r="45" spans="1:6" x14ac:dyDescent="0.2">
      <c r="A45" s="27" t="s">
        <v>249</v>
      </c>
      <c r="B45" s="27" t="s">
        <v>248</v>
      </c>
      <c r="C45" s="27" t="s">
        <v>211</v>
      </c>
      <c r="D45" s="31">
        <v>2075202</v>
      </c>
      <c r="E45" s="29">
        <v>9163.0544310000005</v>
      </c>
      <c r="F45" s="30">
        <v>1.21178519806594</v>
      </c>
    </row>
    <row r="46" spans="1:6" x14ac:dyDescent="0.2">
      <c r="A46" s="27" t="s">
        <v>162</v>
      </c>
      <c r="B46" s="27" t="s">
        <v>161</v>
      </c>
      <c r="C46" s="27" t="s">
        <v>163</v>
      </c>
      <c r="D46" s="31">
        <v>4468223</v>
      </c>
      <c r="E46" s="29">
        <v>8719.737185</v>
      </c>
      <c r="F46" s="30">
        <v>1.15315788325563</v>
      </c>
    </row>
    <row r="47" spans="1:6" x14ac:dyDescent="0.2">
      <c r="A47" s="27" t="s">
        <v>501</v>
      </c>
      <c r="B47" s="27" t="s">
        <v>500</v>
      </c>
      <c r="C47" s="27" t="s">
        <v>150</v>
      </c>
      <c r="D47" s="31">
        <v>699918</v>
      </c>
      <c r="E47" s="29">
        <v>8201.6391239999994</v>
      </c>
      <c r="F47" s="30">
        <v>1.08464104029741</v>
      </c>
    </row>
    <row r="48" spans="1:6" x14ac:dyDescent="0.2">
      <c r="A48" s="27" t="s">
        <v>403</v>
      </c>
      <c r="B48" s="27" t="s">
        <v>402</v>
      </c>
      <c r="C48" s="27" t="s">
        <v>101</v>
      </c>
      <c r="D48" s="31">
        <v>12530441</v>
      </c>
      <c r="E48" s="29">
        <v>7167.4122520000001</v>
      </c>
      <c r="F48" s="30">
        <v>0.947867781514659</v>
      </c>
    </row>
    <row r="49" spans="1:9" x14ac:dyDescent="0.2">
      <c r="A49" s="27" t="s">
        <v>503</v>
      </c>
      <c r="B49" s="27" t="s">
        <v>502</v>
      </c>
      <c r="C49" s="27" t="s">
        <v>211</v>
      </c>
      <c r="D49" s="31">
        <v>368622</v>
      </c>
      <c r="E49" s="29">
        <v>7102.0557630000003</v>
      </c>
      <c r="F49" s="30">
        <v>0.93922459091002597</v>
      </c>
    </row>
    <row r="50" spans="1:9" x14ac:dyDescent="0.2">
      <c r="A50" s="27" t="s">
        <v>505</v>
      </c>
      <c r="B50" s="27" t="s">
        <v>504</v>
      </c>
      <c r="C50" s="27" t="s">
        <v>376</v>
      </c>
      <c r="D50" s="31">
        <v>821062</v>
      </c>
      <c r="E50" s="29">
        <v>6496.2425439999997</v>
      </c>
      <c r="F50" s="30">
        <v>0.85910769352554095</v>
      </c>
    </row>
    <row r="51" spans="1:9" x14ac:dyDescent="0.2">
      <c r="A51" s="27" t="s">
        <v>507</v>
      </c>
      <c r="B51" s="27" t="s">
        <v>506</v>
      </c>
      <c r="C51" s="27" t="s">
        <v>119</v>
      </c>
      <c r="D51" s="31">
        <v>408468</v>
      </c>
      <c r="E51" s="29">
        <v>6320.8380660000003</v>
      </c>
      <c r="F51" s="30">
        <v>0.83591100166744303</v>
      </c>
    </row>
    <row r="52" spans="1:9" x14ac:dyDescent="0.2">
      <c r="A52" s="27" t="s">
        <v>509</v>
      </c>
      <c r="B52" s="27" t="s">
        <v>508</v>
      </c>
      <c r="C52" s="27" t="s">
        <v>211</v>
      </c>
      <c r="D52" s="31">
        <v>2553763</v>
      </c>
      <c r="E52" s="29">
        <v>5825.1334029999998</v>
      </c>
      <c r="F52" s="30">
        <v>0.77035561533213504</v>
      </c>
    </row>
    <row r="53" spans="1:9" x14ac:dyDescent="0.2">
      <c r="A53" s="27" t="s">
        <v>511</v>
      </c>
      <c r="B53" s="27" t="s">
        <v>510</v>
      </c>
      <c r="C53" s="27" t="s">
        <v>106</v>
      </c>
      <c r="D53" s="31">
        <v>228304</v>
      </c>
      <c r="E53" s="29">
        <v>5805.6565680000003</v>
      </c>
      <c r="F53" s="30">
        <v>0.76777986501482498</v>
      </c>
    </row>
    <row r="54" spans="1:9" x14ac:dyDescent="0.2">
      <c r="A54" s="27" t="s">
        <v>418</v>
      </c>
      <c r="B54" s="27" t="s">
        <v>417</v>
      </c>
      <c r="C54" s="27" t="s">
        <v>258</v>
      </c>
      <c r="D54" s="31">
        <v>44595</v>
      </c>
      <c r="E54" s="29">
        <v>3832.5165980000002</v>
      </c>
      <c r="F54" s="30">
        <v>0.50683829499980104</v>
      </c>
    </row>
    <row r="55" spans="1:9" x14ac:dyDescent="0.2">
      <c r="A55" s="27" t="s">
        <v>513</v>
      </c>
      <c r="B55" s="27" t="s">
        <v>512</v>
      </c>
      <c r="C55" s="27" t="s">
        <v>211</v>
      </c>
      <c r="D55" s="31">
        <v>62692</v>
      </c>
      <c r="E55" s="29">
        <v>3315.30969</v>
      </c>
      <c r="F55" s="30">
        <v>0.43843930422970601</v>
      </c>
    </row>
    <row r="56" spans="1:9" x14ac:dyDescent="0.2">
      <c r="A56" s="27" t="s">
        <v>170</v>
      </c>
      <c r="B56" s="27" t="s">
        <v>169</v>
      </c>
      <c r="C56" s="27" t="s">
        <v>163</v>
      </c>
      <c r="D56" s="31">
        <v>387844</v>
      </c>
      <c r="E56" s="29">
        <v>614.15097400000002</v>
      </c>
      <c r="F56" s="30">
        <v>8.1219539322299694E-2</v>
      </c>
    </row>
    <row r="57" spans="1:9" x14ac:dyDescent="0.2">
      <c r="A57" s="26" t="s">
        <v>35</v>
      </c>
      <c r="B57" s="26"/>
      <c r="C57" s="26"/>
      <c r="D57" s="32"/>
      <c r="E57" s="33">
        <f>SUM(E7:E56)</f>
        <v>731558.83505800006</v>
      </c>
      <c r="F57" s="34">
        <f>SUM(F7:F56)</f>
        <v>96.746360562751477</v>
      </c>
      <c r="G57" s="18"/>
      <c r="H57" s="18"/>
      <c r="I57" s="18"/>
    </row>
    <row r="58" spans="1:9" x14ac:dyDescent="0.2">
      <c r="A58" s="27"/>
      <c r="B58" s="27"/>
      <c r="C58" s="27"/>
      <c r="D58" s="28"/>
      <c r="E58" s="29"/>
      <c r="F58" s="30"/>
    </row>
    <row r="59" spans="1:9" x14ac:dyDescent="0.2">
      <c r="A59" s="26" t="s">
        <v>233</v>
      </c>
      <c r="B59" s="27"/>
      <c r="C59" s="27"/>
      <c r="D59" s="28"/>
      <c r="E59" s="29"/>
      <c r="F59" s="30"/>
    </row>
    <row r="60" spans="1:9" x14ac:dyDescent="0.2">
      <c r="A60" s="27"/>
      <c r="B60" s="27" t="s">
        <v>727</v>
      </c>
      <c r="C60" s="27" t="s">
        <v>187</v>
      </c>
      <c r="D60" s="31">
        <v>8100</v>
      </c>
      <c r="E60" s="29">
        <v>8.0999999999999996E-4</v>
      </c>
      <c r="F60" s="30">
        <v>1.07119958505615E-7</v>
      </c>
    </row>
    <row r="61" spans="1:9" x14ac:dyDescent="0.2">
      <c r="A61" s="26" t="s">
        <v>35</v>
      </c>
      <c r="B61" s="26"/>
      <c r="C61" s="26"/>
      <c r="D61" s="32"/>
      <c r="E61" s="33">
        <f>SUM(E59:E60)</f>
        <v>8.0999999999999996E-4</v>
      </c>
      <c r="F61" s="34">
        <f>SUM(F59:F60)</f>
        <v>1.07119958505615E-7</v>
      </c>
      <c r="G61" s="18"/>
      <c r="H61" s="18"/>
      <c r="I61" s="18"/>
    </row>
    <row r="62" spans="1:9" x14ac:dyDescent="0.2">
      <c r="A62" s="27"/>
      <c r="B62" s="27"/>
      <c r="C62" s="27"/>
      <c r="D62" s="28"/>
      <c r="E62" s="29"/>
      <c r="F62" s="30"/>
    </row>
    <row r="63" spans="1:9" x14ac:dyDescent="0.2">
      <c r="A63" s="26" t="s">
        <v>38</v>
      </c>
      <c r="B63" s="26"/>
      <c r="C63" s="26"/>
      <c r="D63" s="32"/>
      <c r="E63" s="33">
        <f>E57+E61</f>
        <v>731558.83586800005</v>
      </c>
      <c r="F63" s="34">
        <f>F57+F61</f>
        <v>96.746360669871436</v>
      </c>
      <c r="G63" s="18"/>
      <c r="H63" s="18"/>
      <c r="I63" s="18"/>
    </row>
    <row r="64" spans="1:9" x14ac:dyDescent="0.2">
      <c r="A64" s="26"/>
      <c r="B64" s="26"/>
      <c r="C64" s="26"/>
      <c r="D64" s="32"/>
      <c r="E64" s="33"/>
      <c r="F64" s="34"/>
      <c r="G64" s="18"/>
      <c r="H64" s="18"/>
      <c r="I64" s="18"/>
    </row>
    <row r="65" spans="1:9" x14ac:dyDescent="0.2">
      <c r="A65" s="26" t="s">
        <v>40</v>
      </c>
      <c r="B65" s="26"/>
      <c r="C65" s="26"/>
      <c r="D65" s="32"/>
      <c r="E65" s="33">
        <f>E67-(E57+E61)</f>
        <v>24602.771455199923</v>
      </c>
      <c r="F65" s="34">
        <f>F67-(F57+F61)</f>
        <v>3.2536393301285642</v>
      </c>
      <c r="G65" s="18"/>
      <c r="H65" s="18"/>
      <c r="I65" s="18"/>
    </row>
    <row r="66" spans="1:9" x14ac:dyDescent="0.2">
      <c r="A66" s="26"/>
      <c r="B66" s="26"/>
      <c r="C66" s="26"/>
      <c r="D66" s="32"/>
      <c r="E66" s="33"/>
      <c r="F66" s="34"/>
      <c r="G66" s="18"/>
      <c r="H66" s="18"/>
      <c r="I66" s="18"/>
    </row>
    <row r="67" spans="1:9" x14ac:dyDescent="0.2">
      <c r="A67" s="35" t="s">
        <v>39</v>
      </c>
      <c r="B67" s="35"/>
      <c r="C67" s="35"/>
      <c r="D67" s="36"/>
      <c r="E67" s="37">
        <v>756161.60732319998</v>
      </c>
      <c r="F67" s="38">
        <v>100</v>
      </c>
      <c r="G67" s="18"/>
      <c r="H67" s="18"/>
      <c r="I67" s="18"/>
    </row>
    <row r="68" spans="1:9" x14ac:dyDescent="0.2">
      <c r="F68" s="20" t="s">
        <v>514</v>
      </c>
    </row>
    <row r="69" spans="1:9" x14ac:dyDescent="0.2">
      <c r="A69" s="18" t="s">
        <v>41</v>
      </c>
      <c r="F69" s="20"/>
    </row>
    <row r="70" spans="1:9" x14ac:dyDescent="0.2">
      <c r="A70" s="18" t="s">
        <v>730</v>
      </c>
      <c r="F70" s="20"/>
    </row>
    <row r="72" spans="1:9" x14ac:dyDescent="0.2">
      <c r="A72" s="18" t="s">
        <v>42</v>
      </c>
    </row>
    <row r="73" spans="1:9" x14ac:dyDescent="0.2">
      <c r="A73" s="18" t="s">
        <v>43</v>
      </c>
    </row>
    <row r="74" spans="1:9" x14ac:dyDescent="0.2">
      <c r="A74" s="18" t="s">
        <v>44</v>
      </c>
      <c r="B74" s="18"/>
      <c r="C74" s="39" t="s">
        <v>46</v>
      </c>
      <c r="D74" s="19" t="s">
        <v>45</v>
      </c>
    </row>
    <row r="75" spans="1:9" x14ac:dyDescent="0.2">
      <c r="A75" s="9" t="s">
        <v>70</v>
      </c>
      <c r="C75" s="40">
        <v>1082.5499</v>
      </c>
      <c r="D75" s="40">
        <v>1331.4491</v>
      </c>
    </row>
    <row r="76" spans="1:9" x14ac:dyDescent="0.2">
      <c r="A76" s="9" t="s">
        <v>76</v>
      </c>
      <c r="C76" s="40">
        <v>56.826999999999998</v>
      </c>
      <c r="D76" s="40">
        <v>69.892899999999997</v>
      </c>
    </row>
    <row r="77" spans="1:9" x14ac:dyDescent="0.2">
      <c r="A77" s="9" t="s">
        <v>73</v>
      </c>
      <c r="C77" s="40">
        <v>1171.6606999999999</v>
      </c>
      <c r="D77" s="40">
        <v>1447.0207</v>
      </c>
    </row>
    <row r="78" spans="1:9" x14ac:dyDescent="0.2">
      <c r="A78" s="9" t="s">
        <v>77</v>
      </c>
      <c r="C78" s="40">
        <v>63.891399999999997</v>
      </c>
      <c r="D78" s="40">
        <v>78.904899999999998</v>
      </c>
    </row>
    <row r="80" spans="1:9" x14ac:dyDescent="0.2">
      <c r="A80" s="9" t="s">
        <v>47</v>
      </c>
    </row>
    <row r="82" spans="1:4" x14ac:dyDescent="0.2">
      <c r="A82" s="18" t="s">
        <v>48</v>
      </c>
      <c r="D82" s="41" t="s">
        <v>49</v>
      </c>
    </row>
    <row r="84" spans="1:4" x14ac:dyDescent="0.2">
      <c r="A84" s="18" t="s">
        <v>226</v>
      </c>
      <c r="D84" s="46">
        <v>0.1154</v>
      </c>
    </row>
    <row r="86" spans="1:4" x14ac:dyDescent="0.2">
      <c r="A86" s="18" t="s">
        <v>732</v>
      </c>
      <c r="D86" s="41" t="s">
        <v>49</v>
      </c>
    </row>
    <row r="87" spans="1:4" x14ac:dyDescent="0.2">
      <c r="A87" s="9" t="s">
        <v>733</v>
      </c>
    </row>
    <row r="88" spans="1:4" x14ac:dyDescent="0.2">
      <c r="A88" s="47" t="s">
        <v>734</v>
      </c>
    </row>
    <row r="90" spans="1:4" x14ac:dyDescent="0.2">
      <c r="A90" s="18" t="s">
        <v>735</v>
      </c>
    </row>
    <row r="91" spans="1:4" x14ac:dyDescent="0.2">
      <c r="A91" s="47" t="s">
        <v>51</v>
      </c>
    </row>
  </sheetData>
  <mergeCells count="1">
    <mergeCell ref="A1:F1"/>
  </mergeCells>
  <conditionalFormatting sqref="F2:F3 F5:F65538">
    <cfRule type="cellIs" dxfId="21" priority="1" stopIfTrue="1" operator="between">
      <formula>0.009</formula>
      <formula>-0.009</formula>
    </cfRule>
  </conditionalFormatting>
  <hyperlinks>
    <hyperlink ref="A91" r:id="rId1" xr:uid="{00000000-0004-0000-2400-000000000000}"/>
    <hyperlink ref="A88" r:id="rId2" xr:uid="{00000000-0004-0000-24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74"/>
  <sheetViews>
    <sheetView workbookViewId="0">
      <selection sqref="A1:F1"/>
    </sheetView>
  </sheetViews>
  <sheetFormatPr defaultColWidth="9.109375" defaultRowHeight="10.199999999999999" x14ac:dyDescent="0.2"/>
  <cols>
    <col min="1" max="1" width="38.6640625" style="9" bestFit="1" customWidth="1"/>
    <col min="2" max="2" width="37.44140625" style="9" bestFit="1" customWidth="1"/>
    <col min="3" max="3" width="20"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75" t="s">
        <v>15</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395485</v>
      </c>
      <c r="E7" s="29">
        <v>5994.9593729999997</v>
      </c>
      <c r="F7" s="30">
        <v>9.37175167009873</v>
      </c>
    </row>
    <row r="8" spans="1:6" x14ac:dyDescent="0.2">
      <c r="A8" s="27" t="s">
        <v>105</v>
      </c>
      <c r="B8" s="27" t="s">
        <v>104</v>
      </c>
      <c r="C8" s="27" t="s">
        <v>106</v>
      </c>
      <c r="D8" s="31">
        <v>405492</v>
      </c>
      <c r="E8" s="29">
        <v>5651.54475</v>
      </c>
      <c r="F8" s="30">
        <v>8.8349012318569695</v>
      </c>
    </row>
    <row r="9" spans="1:6" x14ac:dyDescent="0.2">
      <c r="A9" s="27" t="s">
        <v>108</v>
      </c>
      <c r="B9" s="27" t="s">
        <v>107</v>
      </c>
      <c r="C9" s="27" t="s">
        <v>101</v>
      </c>
      <c r="D9" s="31">
        <v>583651</v>
      </c>
      <c r="E9" s="29">
        <v>3868.147003</v>
      </c>
      <c r="F9" s="30">
        <v>6.0469656056087304</v>
      </c>
    </row>
    <row r="10" spans="1:6" x14ac:dyDescent="0.2">
      <c r="A10" s="27" t="s">
        <v>325</v>
      </c>
      <c r="B10" s="27" t="s">
        <v>324</v>
      </c>
      <c r="C10" s="27" t="s">
        <v>163</v>
      </c>
      <c r="D10" s="31">
        <v>87910</v>
      </c>
      <c r="E10" s="29">
        <v>3820.0850949999999</v>
      </c>
      <c r="F10" s="30">
        <v>5.9718317742443698</v>
      </c>
    </row>
    <row r="11" spans="1:6" x14ac:dyDescent="0.2">
      <c r="A11" s="27" t="s">
        <v>103</v>
      </c>
      <c r="B11" s="27" t="s">
        <v>102</v>
      </c>
      <c r="C11" s="27" t="s">
        <v>101</v>
      </c>
      <c r="D11" s="31">
        <v>458037</v>
      </c>
      <c r="E11" s="29">
        <v>3438.4837590000002</v>
      </c>
      <c r="F11" s="30">
        <v>5.3752851197204601</v>
      </c>
    </row>
    <row r="12" spans="1:6" x14ac:dyDescent="0.2">
      <c r="A12" s="27" t="s">
        <v>253</v>
      </c>
      <c r="B12" s="27" t="s">
        <v>252</v>
      </c>
      <c r="C12" s="27" t="s">
        <v>111</v>
      </c>
      <c r="D12" s="31">
        <v>21180</v>
      </c>
      <c r="E12" s="29">
        <v>3231.3267000000001</v>
      </c>
      <c r="F12" s="30">
        <v>5.0514423056390596</v>
      </c>
    </row>
    <row r="13" spans="1:6" x14ac:dyDescent="0.2">
      <c r="A13" s="27" t="s">
        <v>116</v>
      </c>
      <c r="B13" s="27" t="s">
        <v>115</v>
      </c>
      <c r="C13" s="27" t="s">
        <v>101</v>
      </c>
      <c r="D13" s="31">
        <v>169031</v>
      </c>
      <c r="E13" s="29">
        <v>3055.5733869999999</v>
      </c>
      <c r="F13" s="30">
        <v>4.7766920859709501</v>
      </c>
    </row>
    <row r="14" spans="1:6" x14ac:dyDescent="0.2">
      <c r="A14" s="27" t="s">
        <v>154</v>
      </c>
      <c r="B14" s="27" t="s">
        <v>153</v>
      </c>
      <c r="C14" s="27" t="s">
        <v>134</v>
      </c>
      <c r="D14" s="31">
        <v>523765</v>
      </c>
      <c r="E14" s="29">
        <v>2472.1707999999999</v>
      </c>
      <c r="F14" s="30">
        <v>3.8646752016394901</v>
      </c>
    </row>
    <row r="15" spans="1:6" x14ac:dyDescent="0.2">
      <c r="A15" s="27" t="s">
        <v>516</v>
      </c>
      <c r="B15" s="27" t="s">
        <v>515</v>
      </c>
      <c r="C15" s="27" t="s">
        <v>128</v>
      </c>
      <c r="D15" s="31">
        <v>73037</v>
      </c>
      <c r="E15" s="29">
        <v>2174.6766750000002</v>
      </c>
      <c r="F15" s="30">
        <v>3.3996109886324701</v>
      </c>
    </row>
    <row r="16" spans="1:6" x14ac:dyDescent="0.2">
      <c r="A16" s="27" t="s">
        <v>244</v>
      </c>
      <c r="B16" s="27" t="s">
        <v>243</v>
      </c>
      <c r="C16" s="27" t="s">
        <v>106</v>
      </c>
      <c r="D16" s="31">
        <v>229692</v>
      </c>
      <c r="E16" s="29">
        <v>2171.0487840000001</v>
      </c>
      <c r="F16" s="30">
        <v>3.3939396084907898</v>
      </c>
    </row>
    <row r="17" spans="1:6" x14ac:dyDescent="0.2">
      <c r="A17" s="27" t="s">
        <v>130</v>
      </c>
      <c r="B17" s="27" t="s">
        <v>129</v>
      </c>
      <c r="C17" s="27" t="s">
        <v>131</v>
      </c>
      <c r="D17" s="31">
        <v>38978</v>
      </c>
      <c r="E17" s="29">
        <v>2069.4004869999999</v>
      </c>
      <c r="F17" s="30">
        <v>3.2350356797230901</v>
      </c>
    </row>
    <row r="18" spans="1:6" x14ac:dyDescent="0.2">
      <c r="A18" s="27" t="s">
        <v>291</v>
      </c>
      <c r="B18" s="27" t="s">
        <v>290</v>
      </c>
      <c r="C18" s="27" t="s">
        <v>177</v>
      </c>
      <c r="D18" s="31">
        <v>60992</v>
      </c>
      <c r="E18" s="29">
        <v>1737.9365439999999</v>
      </c>
      <c r="F18" s="30">
        <v>2.7168674039915999</v>
      </c>
    </row>
    <row r="19" spans="1:6" x14ac:dyDescent="0.2">
      <c r="A19" s="27" t="s">
        <v>194</v>
      </c>
      <c r="B19" s="27" t="s">
        <v>193</v>
      </c>
      <c r="C19" s="27" t="s">
        <v>195</v>
      </c>
      <c r="D19" s="31">
        <v>116490</v>
      </c>
      <c r="E19" s="29">
        <v>1709.7237299999999</v>
      </c>
      <c r="F19" s="30">
        <v>2.6727631039835802</v>
      </c>
    </row>
    <row r="20" spans="1:6" x14ac:dyDescent="0.2">
      <c r="A20" s="27" t="s">
        <v>149</v>
      </c>
      <c r="B20" s="27" t="s">
        <v>148</v>
      </c>
      <c r="C20" s="27" t="s">
        <v>150</v>
      </c>
      <c r="D20" s="31">
        <v>202897</v>
      </c>
      <c r="E20" s="29">
        <v>1639.3063119999999</v>
      </c>
      <c r="F20" s="30">
        <v>2.5626815315015801</v>
      </c>
    </row>
    <row r="21" spans="1:6" x14ac:dyDescent="0.2">
      <c r="A21" s="27" t="s">
        <v>165</v>
      </c>
      <c r="B21" s="27" t="s">
        <v>164</v>
      </c>
      <c r="C21" s="27" t="s">
        <v>150</v>
      </c>
      <c r="D21" s="31">
        <v>484457</v>
      </c>
      <c r="E21" s="29">
        <v>1544.206688</v>
      </c>
      <c r="F21" s="30">
        <v>2.4140149593707099</v>
      </c>
    </row>
    <row r="22" spans="1:6" x14ac:dyDescent="0.2">
      <c r="A22" s="27" t="s">
        <v>133</v>
      </c>
      <c r="B22" s="27" t="s">
        <v>132</v>
      </c>
      <c r="C22" s="27" t="s">
        <v>134</v>
      </c>
      <c r="D22" s="31">
        <v>551423</v>
      </c>
      <c r="E22" s="29">
        <v>1542.3301309999999</v>
      </c>
      <c r="F22" s="30">
        <v>2.4110813904998301</v>
      </c>
    </row>
    <row r="23" spans="1:6" x14ac:dyDescent="0.2">
      <c r="A23" s="27" t="s">
        <v>176</v>
      </c>
      <c r="B23" s="27" t="s">
        <v>175</v>
      </c>
      <c r="C23" s="27" t="s">
        <v>177</v>
      </c>
      <c r="D23" s="31">
        <v>93194</v>
      </c>
      <c r="E23" s="29">
        <v>1371.0701280000001</v>
      </c>
      <c r="F23" s="30">
        <v>2.1433554361981302</v>
      </c>
    </row>
    <row r="24" spans="1:6" x14ac:dyDescent="0.2">
      <c r="A24" s="27" t="s">
        <v>113</v>
      </c>
      <c r="B24" s="27" t="s">
        <v>112</v>
      </c>
      <c r="C24" s="27" t="s">
        <v>114</v>
      </c>
      <c r="D24" s="31">
        <v>242272</v>
      </c>
      <c r="E24" s="29">
        <v>1295.912928</v>
      </c>
      <c r="F24" s="30">
        <v>2.0258642955922102</v>
      </c>
    </row>
    <row r="25" spans="1:6" x14ac:dyDescent="0.2">
      <c r="A25" s="27" t="s">
        <v>444</v>
      </c>
      <c r="B25" s="27" t="s">
        <v>443</v>
      </c>
      <c r="C25" s="27" t="s">
        <v>376</v>
      </c>
      <c r="D25" s="31">
        <v>1262673</v>
      </c>
      <c r="E25" s="29">
        <v>1186.9126200000001</v>
      </c>
      <c r="F25" s="30">
        <v>1.85546717444723</v>
      </c>
    </row>
    <row r="26" spans="1:6" x14ac:dyDescent="0.2">
      <c r="A26" s="27" t="s">
        <v>263</v>
      </c>
      <c r="B26" s="27" t="s">
        <v>262</v>
      </c>
      <c r="C26" s="27" t="s">
        <v>187</v>
      </c>
      <c r="D26" s="31">
        <v>1247117</v>
      </c>
      <c r="E26" s="29">
        <v>1146.724082</v>
      </c>
      <c r="F26" s="30">
        <v>1.7926415613469</v>
      </c>
    </row>
    <row r="27" spans="1:6" x14ac:dyDescent="0.2">
      <c r="A27" s="27" t="s">
        <v>430</v>
      </c>
      <c r="B27" s="27" t="s">
        <v>429</v>
      </c>
      <c r="C27" s="27" t="s">
        <v>431</v>
      </c>
      <c r="D27" s="31">
        <v>71018</v>
      </c>
      <c r="E27" s="29">
        <v>1100.06882</v>
      </c>
      <c r="F27" s="30">
        <v>1.7197067001805899</v>
      </c>
    </row>
    <row r="28" spans="1:6" x14ac:dyDescent="0.2">
      <c r="A28" s="27" t="s">
        <v>518</v>
      </c>
      <c r="B28" s="27" t="s">
        <v>517</v>
      </c>
      <c r="C28" s="27" t="s">
        <v>131</v>
      </c>
      <c r="D28" s="31">
        <v>169673</v>
      </c>
      <c r="E28" s="29">
        <v>1013.711339</v>
      </c>
      <c r="F28" s="30">
        <v>1.5847064747524999</v>
      </c>
    </row>
    <row r="29" spans="1:6" x14ac:dyDescent="0.2">
      <c r="A29" s="27" t="s">
        <v>160</v>
      </c>
      <c r="B29" s="27" t="s">
        <v>159</v>
      </c>
      <c r="C29" s="27" t="s">
        <v>131</v>
      </c>
      <c r="D29" s="31">
        <v>152556</v>
      </c>
      <c r="E29" s="29">
        <v>943.25374799999997</v>
      </c>
      <c r="F29" s="30">
        <v>1.47456210094752</v>
      </c>
    </row>
    <row r="30" spans="1:6" x14ac:dyDescent="0.2">
      <c r="A30" s="27" t="s">
        <v>407</v>
      </c>
      <c r="B30" s="27" t="s">
        <v>406</v>
      </c>
      <c r="C30" s="27" t="s">
        <v>408</v>
      </c>
      <c r="D30" s="31">
        <v>34087</v>
      </c>
      <c r="E30" s="29">
        <v>880.82512350000002</v>
      </c>
      <c r="F30" s="30">
        <v>1.3769691850463901</v>
      </c>
    </row>
    <row r="31" spans="1:6" x14ac:dyDescent="0.2">
      <c r="A31" s="27" t="s">
        <v>331</v>
      </c>
      <c r="B31" s="27" t="s">
        <v>330</v>
      </c>
      <c r="C31" s="27" t="s">
        <v>163</v>
      </c>
      <c r="D31" s="31">
        <v>11431</v>
      </c>
      <c r="E31" s="29">
        <v>842.42469149999999</v>
      </c>
      <c r="F31" s="30">
        <v>1.31693886785203</v>
      </c>
    </row>
    <row r="32" spans="1:6" x14ac:dyDescent="0.2">
      <c r="A32" s="27" t="s">
        <v>520</v>
      </c>
      <c r="B32" s="27" t="s">
        <v>519</v>
      </c>
      <c r="C32" s="27" t="s">
        <v>190</v>
      </c>
      <c r="D32" s="31">
        <v>583460</v>
      </c>
      <c r="E32" s="29">
        <v>806.92517999999995</v>
      </c>
      <c r="F32" s="30">
        <v>1.2614434782275099</v>
      </c>
    </row>
    <row r="33" spans="1:9" x14ac:dyDescent="0.2">
      <c r="A33" s="27" t="s">
        <v>287</v>
      </c>
      <c r="B33" s="27" t="s">
        <v>286</v>
      </c>
      <c r="C33" s="27" t="s">
        <v>128</v>
      </c>
      <c r="D33" s="31">
        <v>106104</v>
      </c>
      <c r="E33" s="29">
        <v>704.37140399999998</v>
      </c>
      <c r="F33" s="30">
        <v>1.10112403956183</v>
      </c>
    </row>
    <row r="34" spans="1:9" x14ac:dyDescent="0.2">
      <c r="A34" s="27" t="s">
        <v>162</v>
      </c>
      <c r="B34" s="27" t="s">
        <v>161</v>
      </c>
      <c r="C34" s="27" t="s">
        <v>163</v>
      </c>
      <c r="D34" s="31">
        <v>226247</v>
      </c>
      <c r="E34" s="29">
        <v>441.52102050000002</v>
      </c>
      <c r="F34" s="30">
        <v>0.69021741496538602</v>
      </c>
    </row>
    <row r="35" spans="1:9" x14ac:dyDescent="0.2">
      <c r="A35" s="27" t="s">
        <v>522</v>
      </c>
      <c r="B35" s="27" t="s">
        <v>521</v>
      </c>
      <c r="C35" s="27" t="s">
        <v>187</v>
      </c>
      <c r="D35" s="31">
        <v>12795</v>
      </c>
      <c r="E35" s="29">
        <v>217.47661500000001</v>
      </c>
      <c r="F35" s="30">
        <v>0.33997508623878198</v>
      </c>
    </row>
    <row r="36" spans="1:9" x14ac:dyDescent="0.2">
      <c r="A36" s="27" t="s">
        <v>170</v>
      </c>
      <c r="B36" s="27" t="s">
        <v>169</v>
      </c>
      <c r="C36" s="27" t="s">
        <v>163</v>
      </c>
      <c r="D36" s="31">
        <v>26444</v>
      </c>
      <c r="E36" s="29">
        <v>41.874074</v>
      </c>
      <c r="F36" s="30">
        <v>6.5460564205117602E-2</v>
      </c>
    </row>
    <row r="37" spans="1:9" x14ac:dyDescent="0.2">
      <c r="A37" s="26" t="s">
        <v>35</v>
      </c>
      <c r="B37" s="26"/>
      <c r="C37" s="26"/>
      <c r="D37" s="32"/>
      <c r="E37" s="33">
        <f>SUM(E7:E36)</f>
        <v>58113.991991499985</v>
      </c>
      <c r="F37" s="34">
        <f>SUM(F7:F36)</f>
        <v>90.847972040534515</v>
      </c>
      <c r="G37" s="18"/>
      <c r="H37" s="18"/>
      <c r="I37" s="18"/>
    </row>
    <row r="38" spans="1:9" x14ac:dyDescent="0.2">
      <c r="A38" s="27"/>
      <c r="B38" s="27"/>
      <c r="C38" s="27"/>
      <c r="D38" s="28"/>
      <c r="E38" s="29"/>
      <c r="F38" s="30"/>
    </row>
    <row r="39" spans="1:9" x14ac:dyDescent="0.2">
      <c r="A39" s="26" t="s">
        <v>233</v>
      </c>
      <c r="B39" s="27"/>
      <c r="C39" s="27"/>
      <c r="D39" s="28"/>
      <c r="E39" s="29"/>
      <c r="F39" s="30"/>
    </row>
    <row r="40" spans="1:9" x14ac:dyDescent="0.2">
      <c r="A40" s="27"/>
      <c r="B40" s="27" t="s">
        <v>749</v>
      </c>
      <c r="C40" s="27" t="s">
        <v>106</v>
      </c>
      <c r="D40" s="31">
        <v>489000</v>
      </c>
      <c r="E40" s="29">
        <v>4.8899999999999999E-2</v>
      </c>
      <c r="F40" s="30">
        <v>7.6443997057230398E-5</v>
      </c>
    </row>
    <row r="41" spans="1:9" x14ac:dyDescent="0.2">
      <c r="A41" s="27"/>
      <c r="B41" s="27" t="s">
        <v>727</v>
      </c>
      <c r="C41" s="27" t="s">
        <v>187</v>
      </c>
      <c r="D41" s="31">
        <v>98000</v>
      </c>
      <c r="E41" s="29">
        <v>9.7999999999999997E-3</v>
      </c>
      <c r="F41" s="30">
        <v>1.53200648499153E-5</v>
      </c>
    </row>
    <row r="42" spans="1:9" x14ac:dyDescent="0.2">
      <c r="A42" s="27" t="s">
        <v>523</v>
      </c>
      <c r="B42" s="27" t="s">
        <v>729</v>
      </c>
      <c r="C42" s="27" t="s">
        <v>381</v>
      </c>
      <c r="D42" s="31">
        <v>44170</v>
      </c>
      <c r="E42" s="29">
        <v>4.4169999999999999E-3</v>
      </c>
      <c r="F42" s="30">
        <v>6.9049720859261096E-6</v>
      </c>
    </row>
    <row r="43" spans="1:9" x14ac:dyDescent="0.2">
      <c r="A43" s="27"/>
      <c r="B43" s="27" t="s">
        <v>750</v>
      </c>
      <c r="C43" s="27" t="s">
        <v>106</v>
      </c>
      <c r="D43" s="31">
        <v>23815</v>
      </c>
      <c r="E43" s="29">
        <v>2.3814999999999999E-3</v>
      </c>
      <c r="F43" s="30">
        <v>3.7229320857217599E-6</v>
      </c>
    </row>
    <row r="44" spans="1:9" x14ac:dyDescent="0.2">
      <c r="A44" s="26" t="s">
        <v>35</v>
      </c>
      <c r="B44" s="26"/>
      <c r="C44" s="26"/>
      <c r="D44" s="32"/>
      <c r="E44" s="33">
        <f>SUM(E39:E43)</f>
        <v>6.5498500000000001E-2</v>
      </c>
      <c r="F44" s="34">
        <f>SUM(F39:F43)</f>
        <v>1.0239196607879356E-4</v>
      </c>
      <c r="G44" s="18"/>
      <c r="H44" s="18"/>
      <c r="I44" s="18"/>
    </row>
    <row r="45" spans="1:9" x14ac:dyDescent="0.2">
      <c r="A45" s="27"/>
      <c r="B45" s="27"/>
      <c r="C45" s="27"/>
      <c r="D45" s="28"/>
      <c r="E45" s="29"/>
      <c r="F45" s="30"/>
    </row>
    <row r="46" spans="1:9" x14ac:dyDescent="0.2">
      <c r="A46" s="26" t="s">
        <v>38</v>
      </c>
      <c r="B46" s="26"/>
      <c r="C46" s="26"/>
      <c r="D46" s="32"/>
      <c r="E46" s="33">
        <f>E37+E44</f>
        <v>58114.057489999985</v>
      </c>
      <c r="F46" s="34">
        <f>F37+F44</f>
        <v>90.848074432500596</v>
      </c>
      <c r="G46" s="18"/>
      <c r="H46" s="18"/>
      <c r="I46" s="18"/>
    </row>
    <row r="47" spans="1:9" x14ac:dyDescent="0.2">
      <c r="A47" s="26"/>
      <c r="B47" s="26"/>
      <c r="C47" s="26"/>
      <c r="D47" s="32"/>
      <c r="E47" s="33"/>
      <c r="F47" s="34"/>
      <c r="G47" s="18"/>
      <c r="H47" s="18"/>
      <c r="I47" s="18"/>
    </row>
    <row r="48" spans="1:9" x14ac:dyDescent="0.2">
      <c r="A48" s="26" t="s">
        <v>40</v>
      </c>
      <c r="B48" s="26"/>
      <c r="C48" s="26"/>
      <c r="D48" s="32"/>
      <c r="E48" s="33">
        <f>E50-(E37+E44)</f>
        <v>5854.3401376000184</v>
      </c>
      <c r="F48" s="34">
        <f>F50-(F37+F44)</f>
        <v>9.1519255674994042</v>
      </c>
      <c r="G48" s="18"/>
      <c r="H48" s="18"/>
      <c r="I48" s="18"/>
    </row>
    <row r="49" spans="1:9" x14ac:dyDescent="0.2">
      <c r="A49" s="26"/>
      <c r="B49" s="26"/>
      <c r="C49" s="26"/>
      <c r="D49" s="32"/>
      <c r="E49" s="33"/>
      <c r="F49" s="34"/>
      <c r="G49" s="18"/>
      <c r="H49" s="18"/>
      <c r="I49" s="18"/>
    </row>
    <row r="50" spans="1:9" x14ac:dyDescent="0.2">
      <c r="A50" s="35" t="s">
        <v>39</v>
      </c>
      <c r="B50" s="35"/>
      <c r="C50" s="35"/>
      <c r="D50" s="36"/>
      <c r="E50" s="37">
        <v>63968.397627600003</v>
      </c>
      <c r="F50" s="38">
        <v>100</v>
      </c>
      <c r="G50" s="18"/>
      <c r="H50" s="18"/>
      <c r="I50" s="18"/>
    </row>
    <row r="51" spans="1:9" x14ac:dyDescent="0.2">
      <c r="F51" s="20" t="s">
        <v>514</v>
      </c>
    </row>
    <row r="52" spans="1:9" x14ac:dyDescent="0.2">
      <c r="A52" s="18" t="s">
        <v>41</v>
      </c>
      <c r="F52" s="20"/>
    </row>
    <row r="53" spans="1:9" x14ac:dyDescent="0.2">
      <c r="A53" s="18" t="s">
        <v>730</v>
      </c>
      <c r="F53" s="20"/>
    </row>
    <row r="55" spans="1:9" x14ac:dyDescent="0.2">
      <c r="A55" s="18" t="s">
        <v>42</v>
      </c>
    </row>
    <row r="56" spans="1:9" x14ac:dyDescent="0.2">
      <c r="A56" s="18" t="s">
        <v>43</v>
      </c>
    </row>
    <row r="57" spans="1:9" x14ac:dyDescent="0.2">
      <c r="A57" s="18" t="s">
        <v>44</v>
      </c>
      <c r="B57" s="18"/>
      <c r="C57" s="39" t="s">
        <v>46</v>
      </c>
      <c r="D57" s="19" t="s">
        <v>45</v>
      </c>
    </row>
    <row r="58" spans="1:9" x14ac:dyDescent="0.2">
      <c r="A58" s="9" t="s">
        <v>70</v>
      </c>
      <c r="C58" s="40">
        <v>85.993899999999996</v>
      </c>
      <c r="D58" s="40">
        <v>105.274</v>
      </c>
    </row>
    <row r="59" spans="1:9" x14ac:dyDescent="0.2">
      <c r="A59" s="9" t="s">
        <v>76</v>
      </c>
      <c r="C59" s="40">
        <v>18.964300000000001</v>
      </c>
      <c r="D59" s="40">
        <v>23.216200000000001</v>
      </c>
    </row>
    <row r="60" spans="1:9" x14ac:dyDescent="0.2">
      <c r="A60" s="9" t="s">
        <v>73</v>
      </c>
      <c r="C60" s="40">
        <v>90.851699999999994</v>
      </c>
      <c r="D60" s="40">
        <v>111.62860000000001</v>
      </c>
    </row>
    <row r="61" spans="1:9" x14ac:dyDescent="0.2">
      <c r="A61" s="9" t="s">
        <v>77</v>
      </c>
      <c r="C61" s="40">
        <v>20.412600000000001</v>
      </c>
      <c r="D61" s="40">
        <v>25.078099999999999</v>
      </c>
    </row>
    <row r="63" spans="1:9" x14ac:dyDescent="0.2">
      <c r="A63" s="9" t="s">
        <v>47</v>
      </c>
    </row>
    <row r="65" spans="1:4" x14ac:dyDescent="0.2">
      <c r="A65" s="18" t="s">
        <v>48</v>
      </c>
      <c r="D65" s="41" t="s">
        <v>49</v>
      </c>
    </row>
    <row r="67" spans="1:4" x14ac:dyDescent="0.2">
      <c r="A67" s="18" t="s">
        <v>226</v>
      </c>
      <c r="D67" s="46">
        <v>8.3000000000000004E-2</v>
      </c>
    </row>
    <row r="69" spans="1:4" x14ac:dyDescent="0.2">
      <c r="A69" s="18" t="s">
        <v>732</v>
      </c>
      <c r="D69" s="41" t="s">
        <v>49</v>
      </c>
    </row>
    <row r="70" spans="1:4" x14ac:dyDescent="0.2">
      <c r="A70" s="9" t="s">
        <v>733</v>
      </c>
    </row>
    <row r="71" spans="1:4" x14ac:dyDescent="0.2">
      <c r="A71" s="47" t="s">
        <v>734</v>
      </c>
    </row>
    <row r="73" spans="1:4" x14ac:dyDescent="0.2">
      <c r="A73" s="18" t="s">
        <v>735</v>
      </c>
    </row>
    <row r="74" spans="1:4" x14ac:dyDescent="0.2">
      <c r="A74" s="47" t="s">
        <v>51</v>
      </c>
    </row>
  </sheetData>
  <mergeCells count="1">
    <mergeCell ref="A1:F1"/>
  </mergeCells>
  <conditionalFormatting sqref="F2:F3 F5:F65538">
    <cfRule type="cellIs" dxfId="20" priority="1" stopIfTrue="1" operator="between">
      <formula>0.009</formula>
      <formula>-0.009</formula>
    </cfRule>
  </conditionalFormatting>
  <hyperlinks>
    <hyperlink ref="A74" r:id="rId1" xr:uid="{00000000-0004-0000-2500-000000000000}"/>
    <hyperlink ref="A71" r:id="rId2" xr:uid="{00000000-0004-0000-25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59"/>
  <sheetViews>
    <sheetView workbookViewId="0">
      <selection sqref="A1:F1"/>
    </sheetView>
  </sheetViews>
  <sheetFormatPr defaultColWidth="9.109375" defaultRowHeight="10.199999999999999" x14ac:dyDescent="0.2"/>
  <cols>
    <col min="1" max="1" width="38.6640625" style="9" bestFit="1" customWidth="1"/>
    <col min="2" max="2" width="24.109375" style="9" bestFit="1" customWidth="1"/>
    <col min="3" max="3" width="20"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16</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136</v>
      </c>
      <c r="B7" s="27" t="s">
        <v>135</v>
      </c>
      <c r="C7" s="27" t="s">
        <v>101</v>
      </c>
      <c r="D7" s="31">
        <v>19000000</v>
      </c>
      <c r="E7" s="29">
        <v>80626.5</v>
      </c>
      <c r="F7" s="30">
        <v>10.344408365207901</v>
      </c>
    </row>
    <row r="8" spans="1:6" x14ac:dyDescent="0.2">
      <c r="A8" s="27" t="s">
        <v>108</v>
      </c>
      <c r="B8" s="27" t="s">
        <v>107</v>
      </c>
      <c r="C8" s="27" t="s">
        <v>101</v>
      </c>
      <c r="D8" s="31">
        <v>12000000</v>
      </c>
      <c r="E8" s="29">
        <v>79530</v>
      </c>
      <c r="F8" s="30">
        <v>10.2037270287683</v>
      </c>
    </row>
    <row r="9" spans="1:6" x14ac:dyDescent="0.2">
      <c r="A9" s="27" t="s">
        <v>103</v>
      </c>
      <c r="B9" s="27" t="s">
        <v>102</v>
      </c>
      <c r="C9" s="27" t="s">
        <v>101</v>
      </c>
      <c r="D9" s="31">
        <v>7888688</v>
      </c>
      <c r="E9" s="29">
        <v>59220.380819999998</v>
      </c>
      <c r="F9" s="30">
        <v>7.59799573025255</v>
      </c>
    </row>
    <row r="10" spans="1:6" x14ac:dyDescent="0.2">
      <c r="A10" s="27" t="s">
        <v>113</v>
      </c>
      <c r="B10" s="27" t="s">
        <v>112</v>
      </c>
      <c r="C10" s="27" t="s">
        <v>114</v>
      </c>
      <c r="D10" s="31">
        <v>7533354</v>
      </c>
      <c r="E10" s="29">
        <v>40295.910550000001</v>
      </c>
      <c r="F10" s="30">
        <v>5.1699795250580198</v>
      </c>
    </row>
    <row r="11" spans="1:6" x14ac:dyDescent="0.2">
      <c r="A11" s="27" t="s">
        <v>154</v>
      </c>
      <c r="B11" s="27" t="s">
        <v>153</v>
      </c>
      <c r="C11" s="27" t="s">
        <v>134</v>
      </c>
      <c r="D11" s="31">
        <v>7800000</v>
      </c>
      <c r="E11" s="29">
        <v>36816</v>
      </c>
      <c r="F11" s="30">
        <v>4.7235057750676903</v>
      </c>
    </row>
    <row r="12" spans="1:6" x14ac:dyDescent="0.2">
      <c r="A12" s="27" t="s">
        <v>147</v>
      </c>
      <c r="B12" s="27" t="s">
        <v>146</v>
      </c>
      <c r="C12" s="27" t="s">
        <v>145</v>
      </c>
      <c r="D12" s="31">
        <v>32000000</v>
      </c>
      <c r="E12" s="29">
        <v>35360</v>
      </c>
      <c r="F12" s="30">
        <v>4.5367004619294198</v>
      </c>
    </row>
    <row r="13" spans="1:6" x14ac:dyDescent="0.2">
      <c r="A13" s="27" t="s">
        <v>194</v>
      </c>
      <c r="B13" s="27" t="s">
        <v>193</v>
      </c>
      <c r="C13" s="27" t="s">
        <v>195</v>
      </c>
      <c r="D13" s="31">
        <v>2300000</v>
      </c>
      <c r="E13" s="29">
        <v>33757.1</v>
      </c>
      <c r="F13" s="30">
        <v>4.3310478270191597</v>
      </c>
    </row>
    <row r="14" spans="1:6" x14ac:dyDescent="0.2">
      <c r="A14" s="27" t="s">
        <v>222</v>
      </c>
      <c r="B14" s="27" t="s">
        <v>221</v>
      </c>
      <c r="C14" s="27" t="s">
        <v>101</v>
      </c>
      <c r="D14" s="31">
        <v>38000000</v>
      </c>
      <c r="E14" s="29">
        <v>33155</v>
      </c>
      <c r="F14" s="30">
        <v>4.2537981848209796</v>
      </c>
    </row>
    <row r="15" spans="1:6" x14ac:dyDescent="0.2">
      <c r="A15" s="27" t="s">
        <v>100</v>
      </c>
      <c r="B15" s="27" t="s">
        <v>99</v>
      </c>
      <c r="C15" s="27" t="s">
        <v>101</v>
      </c>
      <c r="D15" s="31">
        <v>1900000</v>
      </c>
      <c r="E15" s="29">
        <v>28801.15</v>
      </c>
      <c r="F15" s="30">
        <v>3.6951976953930599</v>
      </c>
    </row>
    <row r="16" spans="1:6" x14ac:dyDescent="0.2">
      <c r="A16" s="27" t="s">
        <v>208</v>
      </c>
      <c r="B16" s="27" t="s">
        <v>207</v>
      </c>
      <c r="C16" s="27" t="s">
        <v>134</v>
      </c>
      <c r="D16" s="31">
        <v>26000000</v>
      </c>
      <c r="E16" s="29">
        <v>28405</v>
      </c>
      <c r="F16" s="30">
        <v>3.64437151077786</v>
      </c>
    </row>
    <row r="17" spans="1:6" x14ac:dyDescent="0.2">
      <c r="A17" s="27" t="s">
        <v>525</v>
      </c>
      <c r="B17" s="27" t="s">
        <v>524</v>
      </c>
      <c r="C17" s="27" t="s">
        <v>131</v>
      </c>
      <c r="D17" s="31">
        <v>2800000</v>
      </c>
      <c r="E17" s="29">
        <v>26581.8</v>
      </c>
      <c r="F17" s="30">
        <v>3.41045430822725</v>
      </c>
    </row>
    <row r="18" spans="1:6" x14ac:dyDescent="0.2">
      <c r="A18" s="27" t="s">
        <v>424</v>
      </c>
      <c r="B18" s="27" t="s">
        <v>423</v>
      </c>
      <c r="C18" s="27" t="s">
        <v>177</v>
      </c>
      <c r="D18" s="31">
        <v>4800000</v>
      </c>
      <c r="E18" s="29">
        <v>26047.200000000001</v>
      </c>
      <c r="F18" s="30">
        <v>3.3418649398181</v>
      </c>
    </row>
    <row r="19" spans="1:6" x14ac:dyDescent="0.2">
      <c r="A19" s="27" t="s">
        <v>267</v>
      </c>
      <c r="B19" s="27" t="s">
        <v>266</v>
      </c>
      <c r="C19" s="27" t="s">
        <v>177</v>
      </c>
      <c r="D19" s="31">
        <v>1200000</v>
      </c>
      <c r="E19" s="29">
        <v>23832.6</v>
      </c>
      <c r="F19" s="30">
        <v>3.0577309793263301</v>
      </c>
    </row>
    <row r="20" spans="1:6" x14ac:dyDescent="0.2">
      <c r="A20" s="27" t="s">
        <v>389</v>
      </c>
      <c r="B20" s="27" t="s">
        <v>388</v>
      </c>
      <c r="C20" s="27" t="s">
        <v>376</v>
      </c>
      <c r="D20" s="31">
        <v>4737521</v>
      </c>
      <c r="E20" s="29">
        <v>23273.071909999999</v>
      </c>
      <c r="F20" s="30">
        <v>2.9859433281847698</v>
      </c>
    </row>
    <row r="21" spans="1:6" x14ac:dyDescent="0.2">
      <c r="A21" s="27" t="s">
        <v>527</v>
      </c>
      <c r="B21" s="27" t="s">
        <v>526</v>
      </c>
      <c r="C21" s="27" t="s">
        <v>311</v>
      </c>
      <c r="D21" s="31">
        <v>1275000</v>
      </c>
      <c r="E21" s="29">
        <v>22425.974999999999</v>
      </c>
      <c r="F21" s="30">
        <v>2.8772604960893</v>
      </c>
    </row>
    <row r="22" spans="1:6" x14ac:dyDescent="0.2">
      <c r="A22" s="27" t="s">
        <v>529</v>
      </c>
      <c r="B22" s="27" t="s">
        <v>528</v>
      </c>
      <c r="C22" s="27" t="s">
        <v>211</v>
      </c>
      <c r="D22" s="31">
        <v>3615000</v>
      </c>
      <c r="E22" s="29">
        <v>22279.244999999999</v>
      </c>
      <c r="F22" s="30">
        <v>2.85843498537723</v>
      </c>
    </row>
    <row r="23" spans="1:6" x14ac:dyDescent="0.2">
      <c r="A23" s="27" t="s">
        <v>531</v>
      </c>
      <c r="B23" s="27" t="s">
        <v>530</v>
      </c>
      <c r="C23" s="27" t="s">
        <v>131</v>
      </c>
      <c r="D23" s="31">
        <v>1800000</v>
      </c>
      <c r="E23" s="29">
        <v>21951</v>
      </c>
      <c r="F23" s="30">
        <v>2.8163210361937998</v>
      </c>
    </row>
    <row r="24" spans="1:6" x14ac:dyDescent="0.2">
      <c r="A24" s="27" t="s">
        <v>218</v>
      </c>
      <c r="B24" s="27" t="s">
        <v>217</v>
      </c>
      <c r="C24" s="27" t="s">
        <v>125</v>
      </c>
      <c r="D24" s="31">
        <v>12500000</v>
      </c>
      <c r="E24" s="29">
        <v>19993.75</v>
      </c>
      <c r="F24" s="30">
        <v>2.5652051713999202</v>
      </c>
    </row>
    <row r="25" spans="1:6" x14ac:dyDescent="0.2">
      <c r="A25" s="27" t="s">
        <v>533</v>
      </c>
      <c r="B25" s="27" t="s">
        <v>532</v>
      </c>
      <c r="C25" s="27" t="s">
        <v>177</v>
      </c>
      <c r="D25" s="31">
        <v>10893416</v>
      </c>
      <c r="E25" s="29">
        <v>15081.934450000001</v>
      </c>
      <c r="F25" s="30">
        <v>1.93501750526313</v>
      </c>
    </row>
    <row r="26" spans="1:6" x14ac:dyDescent="0.2">
      <c r="A26" s="27" t="s">
        <v>535</v>
      </c>
      <c r="B26" s="27" t="s">
        <v>534</v>
      </c>
      <c r="C26" s="27" t="s">
        <v>119</v>
      </c>
      <c r="D26" s="31">
        <v>2795935</v>
      </c>
      <c r="E26" s="29">
        <v>13118.52702</v>
      </c>
      <c r="F26" s="30">
        <v>1.68311164003019</v>
      </c>
    </row>
    <row r="27" spans="1:6" x14ac:dyDescent="0.2">
      <c r="A27" s="27" t="s">
        <v>537</v>
      </c>
      <c r="B27" s="27" t="s">
        <v>536</v>
      </c>
      <c r="C27" s="27" t="s">
        <v>376</v>
      </c>
      <c r="D27" s="31">
        <v>15000000</v>
      </c>
      <c r="E27" s="29">
        <v>12225</v>
      </c>
      <c r="F27" s="30">
        <v>1.56847180845835</v>
      </c>
    </row>
    <row r="28" spans="1:6" x14ac:dyDescent="0.2">
      <c r="A28" s="27" t="s">
        <v>471</v>
      </c>
      <c r="B28" s="27" t="s">
        <v>470</v>
      </c>
      <c r="C28" s="27" t="s">
        <v>408</v>
      </c>
      <c r="D28" s="31">
        <v>350000</v>
      </c>
      <c r="E28" s="29">
        <v>11090.625</v>
      </c>
      <c r="F28" s="30">
        <v>1.42293109617042</v>
      </c>
    </row>
    <row r="29" spans="1:6" x14ac:dyDescent="0.2">
      <c r="A29" s="27" t="s">
        <v>265</v>
      </c>
      <c r="B29" s="27" t="s">
        <v>264</v>
      </c>
      <c r="C29" s="27" t="s">
        <v>128</v>
      </c>
      <c r="D29" s="31">
        <v>1400000</v>
      </c>
      <c r="E29" s="29">
        <v>8574.2999999999993</v>
      </c>
      <c r="F29" s="30">
        <v>1.10008571184167</v>
      </c>
    </row>
    <row r="30" spans="1:6" x14ac:dyDescent="0.2">
      <c r="A30" s="27" t="s">
        <v>152</v>
      </c>
      <c r="B30" s="27" t="s">
        <v>151</v>
      </c>
      <c r="C30" s="27" t="s">
        <v>150</v>
      </c>
      <c r="D30" s="31">
        <v>100000</v>
      </c>
      <c r="E30" s="29">
        <v>4192.8</v>
      </c>
      <c r="F30" s="30">
        <v>0.53793771766905196</v>
      </c>
    </row>
    <row r="31" spans="1:6" x14ac:dyDescent="0.2">
      <c r="A31" s="27" t="s">
        <v>539</v>
      </c>
      <c r="B31" s="27" t="s">
        <v>538</v>
      </c>
      <c r="C31" s="27" t="s">
        <v>247</v>
      </c>
      <c r="D31" s="31">
        <v>300000</v>
      </c>
      <c r="E31" s="29">
        <v>3061.65</v>
      </c>
      <c r="F31" s="30">
        <v>0.39281077401770997</v>
      </c>
    </row>
    <row r="32" spans="1:6" x14ac:dyDescent="0.2">
      <c r="A32" s="27" t="s">
        <v>541</v>
      </c>
      <c r="B32" s="27" t="s">
        <v>540</v>
      </c>
      <c r="C32" s="27" t="s">
        <v>311</v>
      </c>
      <c r="D32" s="31">
        <v>537348</v>
      </c>
      <c r="E32" s="29">
        <v>427.72900800000002</v>
      </c>
      <c r="F32" s="30">
        <v>5.4877782470990198E-2</v>
      </c>
    </row>
    <row r="33" spans="1:9" x14ac:dyDescent="0.2">
      <c r="A33" s="26" t="s">
        <v>35</v>
      </c>
      <c r="B33" s="26"/>
      <c r="C33" s="26"/>
      <c r="D33" s="32"/>
      <c r="E33" s="33">
        <f>SUM(E7:E32)</f>
        <v>710124.24875800021</v>
      </c>
      <c r="F33" s="34">
        <f>SUM(F7:F32)</f>
        <v>91.109191384833181</v>
      </c>
      <c r="G33" s="18"/>
      <c r="H33" s="18"/>
      <c r="I33" s="18"/>
    </row>
    <row r="34" spans="1:9" x14ac:dyDescent="0.2">
      <c r="A34" s="27"/>
      <c r="B34" s="27"/>
      <c r="C34" s="27"/>
      <c r="D34" s="28"/>
      <c r="E34" s="29"/>
      <c r="F34" s="30"/>
    </row>
    <row r="35" spans="1:9" x14ac:dyDescent="0.2">
      <c r="A35" s="26" t="s">
        <v>38</v>
      </c>
      <c r="B35" s="26"/>
      <c r="C35" s="26"/>
      <c r="D35" s="32"/>
      <c r="E35" s="33">
        <f>E33</f>
        <v>710124.24875800021</v>
      </c>
      <c r="F35" s="34">
        <f>F33</f>
        <v>91.109191384833181</v>
      </c>
      <c r="G35" s="18"/>
      <c r="H35" s="18"/>
      <c r="I35" s="18"/>
    </row>
    <row r="36" spans="1:9" x14ac:dyDescent="0.2">
      <c r="A36" s="26"/>
      <c r="B36" s="26"/>
      <c r="C36" s="26"/>
      <c r="D36" s="32"/>
      <c r="E36" s="33"/>
      <c r="F36" s="34"/>
      <c r="G36" s="18"/>
      <c r="H36" s="18"/>
      <c r="I36" s="18"/>
    </row>
    <row r="37" spans="1:9" x14ac:dyDescent="0.2">
      <c r="A37" s="26" t="s">
        <v>40</v>
      </c>
      <c r="B37" s="26"/>
      <c r="C37" s="26"/>
      <c r="D37" s="32"/>
      <c r="E37" s="33">
        <f>E39-(E33)</f>
        <v>69296.837044999818</v>
      </c>
      <c r="F37" s="34">
        <f>F39-(F33)</f>
        <v>8.8908086151668186</v>
      </c>
      <c r="G37" s="18"/>
      <c r="H37" s="18"/>
      <c r="I37" s="18"/>
    </row>
    <row r="38" spans="1:9" x14ac:dyDescent="0.2">
      <c r="A38" s="26"/>
      <c r="B38" s="26"/>
      <c r="C38" s="26"/>
      <c r="D38" s="32"/>
      <c r="E38" s="33"/>
      <c r="F38" s="34"/>
      <c r="G38" s="18"/>
      <c r="H38" s="18"/>
      <c r="I38" s="18"/>
    </row>
    <row r="39" spans="1:9" x14ac:dyDescent="0.2">
      <c r="A39" s="35" t="s">
        <v>39</v>
      </c>
      <c r="B39" s="35"/>
      <c r="C39" s="35"/>
      <c r="D39" s="36"/>
      <c r="E39" s="37">
        <v>779421.08580300002</v>
      </c>
      <c r="F39" s="38">
        <v>100</v>
      </c>
      <c r="G39" s="18"/>
      <c r="H39" s="18"/>
      <c r="I39" s="18"/>
    </row>
    <row r="42" spans="1:9" x14ac:dyDescent="0.2">
      <c r="A42" s="18" t="s">
        <v>42</v>
      </c>
    </row>
    <row r="43" spans="1:9" x14ac:dyDescent="0.2">
      <c r="A43" s="18" t="s">
        <v>43</v>
      </c>
    </row>
    <row r="44" spans="1:9" x14ac:dyDescent="0.2">
      <c r="A44" s="18" t="s">
        <v>44</v>
      </c>
      <c r="B44" s="18"/>
      <c r="C44" s="39" t="s">
        <v>46</v>
      </c>
      <c r="D44" s="19" t="s">
        <v>45</v>
      </c>
    </row>
    <row r="45" spans="1:9" x14ac:dyDescent="0.2">
      <c r="A45" s="9" t="s">
        <v>70</v>
      </c>
      <c r="C45" s="40">
        <v>42.917400000000001</v>
      </c>
      <c r="D45" s="40">
        <v>58.114199999999997</v>
      </c>
    </row>
    <row r="46" spans="1:9" x14ac:dyDescent="0.2">
      <c r="A46" s="9" t="s">
        <v>76</v>
      </c>
      <c r="C46" s="40">
        <v>21.566700000000001</v>
      </c>
      <c r="D46" s="40">
        <v>29.203600000000002</v>
      </c>
    </row>
    <row r="47" spans="1:9" x14ac:dyDescent="0.2">
      <c r="A47" s="9" t="s">
        <v>73</v>
      </c>
      <c r="C47" s="40">
        <v>46.556800000000003</v>
      </c>
      <c r="D47" s="40">
        <v>63.313800000000001</v>
      </c>
    </row>
    <row r="48" spans="1:9" x14ac:dyDescent="0.2">
      <c r="A48" s="9" t="s">
        <v>77</v>
      </c>
      <c r="C48" s="40">
        <v>24.171600000000002</v>
      </c>
      <c r="D48" s="40">
        <v>32.871600000000001</v>
      </c>
    </row>
    <row r="50" spans="1:4" x14ac:dyDescent="0.2">
      <c r="A50" s="9" t="s">
        <v>47</v>
      </c>
    </row>
    <row r="52" spans="1:4" x14ac:dyDescent="0.2">
      <c r="A52" s="18" t="s">
        <v>48</v>
      </c>
      <c r="D52" s="41" t="s">
        <v>49</v>
      </c>
    </row>
    <row r="54" spans="1:4" x14ac:dyDescent="0.2">
      <c r="A54" s="18" t="s">
        <v>226</v>
      </c>
      <c r="D54" s="46">
        <v>4.4900000000000002E-2</v>
      </c>
    </row>
    <row r="56" spans="1:4" x14ac:dyDescent="0.2">
      <c r="A56" s="18" t="s">
        <v>748</v>
      </c>
    </row>
    <row r="57" spans="1:4" x14ac:dyDescent="0.2">
      <c r="A57" s="47" t="s">
        <v>51</v>
      </c>
    </row>
    <row r="58" spans="1:4" x14ac:dyDescent="0.2">
      <c r="A58" s="18"/>
    </row>
    <row r="59" spans="1:4" ht="14.4" x14ac:dyDescent="0.3">
      <c r="A59" s="43"/>
    </row>
  </sheetData>
  <mergeCells count="1">
    <mergeCell ref="A1:F1"/>
  </mergeCells>
  <conditionalFormatting sqref="F2:F3 F5:F65536">
    <cfRule type="cellIs" dxfId="19" priority="1" stopIfTrue="1" operator="between">
      <formula>0.009</formula>
      <formula>-0.009</formula>
    </cfRule>
  </conditionalFormatting>
  <hyperlinks>
    <hyperlink ref="A57" r:id="rId1" xr:uid="{00000000-0004-0000-2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97"/>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5" customHeight="1" x14ac:dyDescent="0.2">
      <c r="A1" s="75" t="s">
        <v>737</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100</v>
      </c>
      <c r="B7" s="27" t="s">
        <v>99</v>
      </c>
      <c r="C7" s="27" t="s">
        <v>101</v>
      </c>
      <c r="D7" s="31">
        <v>5000000</v>
      </c>
      <c r="E7" s="29">
        <v>75792.5</v>
      </c>
      <c r="F7" s="30">
        <v>7.8912683364208398</v>
      </c>
    </row>
    <row r="8" spans="1:6" x14ac:dyDescent="0.2">
      <c r="A8" s="27" t="s">
        <v>105</v>
      </c>
      <c r="B8" s="27" t="s">
        <v>104</v>
      </c>
      <c r="C8" s="27" t="s">
        <v>106</v>
      </c>
      <c r="D8" s="31">
        <v>5200000</v>
      </c>
      <c r="E8" s="29">
        <v>72475</v>
      </c>
      <c r="F8" s="30">
        <v>7.5458610374654604</v>
      </c>
    </row>
    <row r="9" spans="1:6" x14ac:dyDescent="0.2">
      <c r="A9" s="27" t="s">
        <v>108</v>
      </c>
      <c r="B9" s="27" t="s">
        <v>107</v>
      </c>
      <c r="C9" s="27" t="s">
        <v>101</v>
      </c>
      <c r="D9" s="31">
        <v>10800000</v>
      </c>
      <c r="E9" s="29">
        <v>71577</v>
      </c>
      <c r="F9" s="30">
        <v>7.4523642011544</v>
      </c>
    </row>
    <row r="10" spans="1:6" x14ac:dyDescent="0.2">
      <c r="A10" s="27" t="s">
        <v>103</v>
      </c>
      <c r="B10" s="27" t="s">
        <v>102</v>
      </c>
      <c r="C10" s="27" t="s">
        <v>101</v>
      </c>
      <c r="D10" s="31">
        <v>8500000</v>
      </c>
      <c r="E10" s="29">
        <v>63809.5</v>
      </c>
      <c r="F10" s="30">
        <v>6.6436373904125796</v>
      </c>
    </row>
    <row r="11" spans="1:6" x14ac:dyDescent="0.2">
      <c r="A11" s="27" t="s">
        <v>113</v>
      </c>
      <c r="B11" s="27" t="s">
        <v>112</v>
      </c>
      <c r="C11" s="27" t="s">
        <v>114</v>
      </c>
      <c r="D11" s="31">
        <v>10800000</v>
      </c>
      <c r="E11" s="29">
        <v>57769.2</v>
      </c>
      <c r="F11" s="30">
        <v>6.0147410202904403</v>
      </c>
    </row>
    <row r="12" spans="1:6" x14ac:dyDescent="0.2">
      <c r="A12" s="27" t="s">
        <v>194</v>
      </c>
      <c r="B12" s="27" t="s">
        <v>193</v>
      </c>
      <c r="C12" s="27" t="s">
        <v>195</v>
      </c>
      <c r="D12" s="31">
        <v>2900000</v>
      </c>
      <c r="E12" s="29">
        <v>42563.3</v>
      </c>
      <c r="F12" s="30">
        <v>4.4315522193301602</v>
      </c>
    </row>
    <row r="13" spans="1:6" x14ac:dyDescent="0.2">
      <c r="A13" s="27" t="s">
        <v>136</v>
      </c>
      <c r="B13" s="27" t="s">
        <v>135</v>
      </c>
      <c r="C13" s="27" t="s">
        <v>101</v>
      </c>
      <c r="D13" s="31">
        <v>10000000</v>
      </c>
      <c r="E13" s="29">
        <v>42435</v>
      </c>
      <c r="F13" s="30">
        <v>4.4181940410465197</v>
      </c>
    </row>
    <row r="14" spans="1:6" x14ac:dyDescent="0.2">
      <c r="A14" s="27" t="s">
        <v>165</v>
      </c>
      <c r="B14" s="27" t="s">
        <v>164</v>
      </c>
      <c r="C14" s="27" t="s">
        <v>150</v>
      </c>
      <c r="D14" s="31">
        <v>9500000</v>
      </c>
      <c r="E14" s="29">
        <v>30281.25</v>
      </c>
      <c r="F14" s="30">
        <v>3.1527851609624098</v>
      </c>
    </row>
    <row r="15" spans="1:6" x14ac:dyDescent="0.2">
      <c r="A15" s="27" t="s">
        <v>156</v>
      </c>
      <c r="B15" s="27" t="s">
        <v>155</v>
      </c>
      <c r="C15" s="27" t="s">
        <v>128</v>
      </c>
      <c r="D15" s="31">
        <v>1970000</v>
      </c>
      <c r="E15" s="29">
        <v>24690.994999999999</v>
      </c>
      <c r="F15" s="30">
        <v>2.5707460109935099</v>
      </c>
    </row>
    <row r="16" spans="1:6" x14ac:dyDescent="0.2">
      <c r="A16" s="27" t="s">
        <v>244</v>
      </c>
      <c r="B16" s="27" t="s">
        <v>243</v>
      </c>
      <c r="C16" s="27" t="s">
        <v>106</v>
      </c>
      <c r="D16" s="31">
        <v>2600000</v>
      </c>
      <c r="E16" s="29">
        <v>24575.200000000001</v>
      </c>
      <c r="F16" s="30">
        <v>2.5586898125963602</v>
      </c>
    </row>
    <row r="17" spans="1:6" x14ac:dyDescent="0.2">
      <c r="A17" s="27" t="s">
        <v>147</v>
      </c>
      <c r="B17" s="27" t="s">
        <v>146</v>
      </c>
      <c r="C17" s="27" t="s">
        <v>145</v>
      </c>
      <c r="D17" s="31">
        <v>22000000</v>
      </c>
      <c r="E17" s="29">
        <v>24310</v>
      </c>
      <c r="F17" s="30">
        <v>2.5310780520287701</v>
      </c>
    </row>
    <row r="18" spans="1:6" x14ac:dyDescent="0.2">
      <c r="A18" s="27" t="s">
        <v>176</v>
      </c>
      <c r="B18" s="27" t="s">
        <v>175</v>
      </c>
      <c r="C18" s="27" t="s">
        <v>177</v>
      </c>
      <c r="D18" s="31">
        <v>1600000</v>
      </c>
      <c r="E18" s="29">
        <v>23539.200000000001</v>
      </c>
      <c r="F18" s="30">
        <v>2.4508248655827098</v>
      </c>
    </row>
    <row r="19" spans="1:6" x14ac:dyDescent="0.2">
      <c r="A19" s="27" t="s">
        <v>265</v>
      </c>
      <c r="B19" s="27" t="s">
        <v>264</v>
      </c>
      <c r="C19" s="27" t="s">
        <v>128</v>
      </c>
      <c r="D19" s="31">
        <v>3600000</v>
      </c>
      <c r="E19" s="29">
        <v>22048.2</v>
      </c>
      <c r="F19" s="30">
        <v>2.2955867999481998</v>
      </c>
    </row>
    <row r="20" spans="1:6" x14ac:dyDescent="0.2">
      <c r="A20" s="27" t="s">
        <v>543</v>
      </c>
      <c r="B20" s="27" t="s">
        <v>542</v>
      </c>
      <c r="C20" s="27" t="s">
        <v>128</v>
      </c>
      <c r="D20" s="31">
        <v>4600000</v>
      </c>
      <c r="E20" s="29">
        <v>21859.200000000001</v>
      </c>
      <c r="F20" s="30">
        <v>2.2759087352903098</v>
      </c>
    </row>
    <row r="21" spans="1:6" x14ac:dyDescent="0.2">
      <c r="A21" s="27" t="s">
        <v>133</v>
      </c>
      <c r="B21" s="27" t="s">
        <v>132</v>
      </c>
      <c r="C21" s="27" t="s">
        <v>134</v>
      </c>
      <c r="D21" s="31">
        <v>7800000</v>
      </c>
      <c r="E21" s="29">
        <v>21816.6</v>
      </c>
      <c r="F21" s="30">
        <v>2.2714733619864602</v>
      </c>
    </row>
    <row r="22" spans="1:6" x14ac:dyDescent="0.2">
      <c r="A22" s="27" t="s">
        <v>162</v>
      </c>
      <c r="B22" s="27" t="s">
        <v>161</v>
      </c>
      <c r="C22" s="27" t="s">
        <v>163</v>
      </c>
      <c r="D22" s="31">
        <v>11111093</v>
      </c>
      <c r="E22" s="29">
        <v>21683.297989999999</v>
      </c>
      <c r="F22" s="30">
        <v>2.2575943907070601</v>
      </c>
    </row>
    <row r="23" spans="1:6" x14ac:dyDescent="0.2">
      <c r="A23" s="27" t="s">
        <v>149</v>
      </c>
      <c r="B23" s="27" t="s">
        <v>148</v>
      </c>
      <c r="C23" s="27" t="s">
        <v>150</v>
      </c>
      <c r="D23" s="31">
        <v>2500000</v>
      </c>
      <c r="E23" s="29">
        <v>20198.75</v>
      </c>
      <c r="F23" s="30">
        <v>2.1030280873474401</v>
      </c>
    </row>
    <row r="24" spans="1:6" x14ac:dyDescent="0.2">
      <c r="A24" s="27" t="s">
        <v>118</v>
      </c>
      <c r="B24" s="27" t="s">
        <v>117</v>
      </c>
      <c r="C24" s="27" t="s">
        <v>119</v>
      </c>
      <c r="D24" s="31">
        <v>2000000</v>
      </c>
      <c r="E24" s="29">
        <v>20146</v>
      </c>
      <c r="F24" s="30">
        <v>2.09753592908974</v>
      </c>
    </row>
    <row r="25" spans="1:6" x14ac:dyDescent="0.2">
      <c r="A25" s="27" t="s">
        <v>201</v>
      </c>
      <c r="B25" s="27" t="s">
        <v>200</v>
      </c>
      <c r="C25" s="27" t="s">
        <v>106</v>
      </c>
      <c r="D25" s="31">
        <v>1800000</v>
      </c>
      <c r="E25" s="29">
        <v>18389.7</v>
      </c>
      <c r="F25" s="30">
        <v>1.9146756912132299</v>
      </c>
    </row>
    <row r="26" spans="1:6" x14ac:dyDescent="0.2">
      <c r="A26" s="27" t="s">
        <v>545</v>
      </c>
      <c r="B26" s="27" t="s">
        <v>544</v>
      </c>
      <c r="C26" s="27" t="s">
        <v>131</v>
      </c>
      <c r="D26" s="31">
        <v>2700000</v>
      </c>
      <c r="E26" s="29">
        <v>18044.099999999999</v>
      </c>
      <c r="F26" s="30">
        <v>1.8786929444102201</v>
      </c>
    </row>
    <row r="27" spans="1:6" x14ac:dyDescent="0.2">
      <c r="A27" s="27" t="s">
        <v>531</v>
      </c>
      <c r="B27" s="27" t="s">
        <v>530</v>
      </c>
      <c r="C27" s="27" t="s">
        <v>131</v>
      </c>
      <c r="D27" s="31">
        <v>1300000</v>
      </c>
      <c r="E27" s="29">
        <v>15853.5</v>
      </c>
      <c r="F27" s="30">
        <v>1.6506148045182301</v>
      </c>
    </row>
    <row r="28" spans="1:6" x14ac:dyDescent="0.2">
      <c r="A28" s="27" t="s">
        <v>130</v>
      </c>
      <c r="B28" s="27" t="s">
        <v>129</v>
      </c>
      <c r="C28" s="27" t="s">
        <v>131</v>
      </c>
      <c r="D28" s="31">
        <v>295102</v>
      </c>
      <c r="E28" s="29">
        <v>15667.40783</v>
      </c>
      <c r="F28" s="30">
        <v>1.63123949365268</v>
      </c>
    </row>
    <row r="29" spans="1:6" x14ac:dyDescent="0.2">
      <c r="A29" s="27" t="s">
        <v>218</v>
      </c>
      <c r="B29" s="27" t="s">
        <v>217</v>
      </c>
      <c r="C29" s="27" t="s">
        <v>125</v>
      </c>
      <c r="D29" s="31">
        <v>9500000</v>
      </c>
      <c r="E29" s="29">
        <v>15195.25</v>
      </c>
      <c r="F29" s="30">
        <v>1.5820799576343101</v>
      </c>
    </row>
    <row r="30" spans="1:6" x14ac:dyDescent="0.2">
      <c r="A30" s="27" t="s">
        <v>547</v>
      </c>
      <c r="B30" s="27" t="s">
        <v>546</v>
      </c>
      <c r="C30" s="27" t="s">
        <v>187</v>
      </c>
      <c r="D30" s="31">
        <v>12000000</v>
      </c>
      <c r="E30" s="29">
        <v>14538</v>
      </c>
      <c r="F30" s="30">
        <v>1.5136492274946201</v>
      </c>
    </row>
    <row r="31" spans="1:6" x14ac:dyDescent="0.2">
      <c r="A31" s="27" t="s">
        <v>383</v>
      </c>
      <c r="B31" s="27" t="s">
        <v>382</v>
      </c>
      <c r="C31" s="27" t="s">
        <v>128</v>
      </c>
      <c r="D31" s="31">
        <v>9200000</v>
      </c>
      <c r="E31" s="29">
        <v>14264.6</v>
      </c>
      <c r="F31" s="30">
        <v>1.48518370962442</v>
      </c>
    </row>
    <row r="32" spans="1:6" x14ac:dyDescent="0.2">
      <c r="A32" s="27" t="s">
        <v>267</v>
      </c>
      <c r="B32" s="27" t="s">
        <v>266</v>
      </c>
      <c r="C32" s="27" t="s">
        <v>177</v>
      </c>
      <c r="D32" s="31">
        <v>600000</v>
      </c>
      <c r="E32" s="29">
        <v>11916.3</v>
      </c>
      <c r="F32" s="30">
        <v>1.2406863591686701</v>
      </c>
    </row>
    <row r="33" spans="1:6" x14ac:dyDescent="0.2">
      <c r="A33" s="27" t="s">
        <v>549</v>
      </c>
      <c r="B33" s="27" t="s">
        <v>548</v>
      </c>
      <c r="C33" s="27" t="s">
        <v>187</v>
      </c>
      <c r="D33" s="31">
        <v>950000</v>
      </c>
      <c r="E33" s="29">
        <v>9927.5</v>
      </c>
      <c r="F33" s="30">
        <v>1.03361897826062</v>
      </c>
    </row>
    <row r="34" spans="1:6" x14ac:dyDescent="0.2">
      <c r="A34" s="27" t="s">
        <v>242</v>
      </c>
      <c r="B34" s="27" t="s">
        <v>241</v>
      </c>
      <c r="C34" s="27" t="s">
        <v>150</v>
      </c>
      <c r="D34" s="31">
        <v>6000000</v>
      </c>
      <c r="E34" s="29">
        <v>9048</v>
      </c>
      <c r="F34" s="30">
        <v>0.94204830171765996</v>
      </c>
    </row>
    <row r="35" spans="1:6" x14ac:dyDescent="0.2">
      <c r="A35" s="27" t="s">
        <v>246</v>
      </c>
      <c r="B35" s="27" t="s">
        <v>245</v>
      </c>
      <c r="C35" s="27" t="s">
        <v>247</v>
      </c>
      <c r="D35" s="31">
        <v>6145427</v>
      </c>
      <c r="E35" s="29">
        <v>8935.4508580000002</v>
      </c>
      <c r="F35" s="30">
        <v>0.930330051487678</v>
      </c>
    </row>
    <row r="36" spans="1:6" x14ac:dyDescent="0.2">
      <c r="A36" s="27" t="s">
        <v>208</v>
      </c>
      <c r="B36" s="27" t="s">
        <v>207</v>
      </c>
      <c r="C36" s="27" t="s">
        <v>134</v>
      </c>
      <c r="D36" s="31">
        <v>8000000</v>
      </c>
      <c r="E36" s="29">
        <v>8740</v>
      </c>
      <c r="F36" s="30">
        <v>0.90998034449738696</v>
      </c>
    </row>
    <row r="37" spans="1:6" x14ac:dyDescent="0.2">
      <c r="A37" s="27" t="s">
        <v>551</v>
      </c>
      <c r="B37" s="27" t="s">
        <v>550</v>
      </c>
      <c r="C37" s="27" t="s">
        <v>211</v>
      </c>
      <c r="D37" s="31">
        <v>370000</v>
      </c>
      <c r="E37" s="29">
        <v>8577.7099999999991</v>
      </c>
      <c r="F37" s="30">
        <v>0.893083238077652</v>
      </c>
    </row>
    <row r="38" spans="1:6" x14ac:dyDescent="0.2">
      <c r="A38" s="27" t="s">
        <v>275</v>
      </c>
      <c r="B38" s="27" t="s">
        <v>274</v>
      </c>
      <c r="C38" s="27" t="s">
        <v>211</v>
      </c>
      <c r="D38" s="31">
        <v>5000000</v>
      </c>
      <c r="E38" s="29">
        <v>8500</v>
      </c>
      <c r="F38" s="30">
        <v>0.88499232588418597</v>
      </c>
    </row>
    <row r="39" spans="1:6" x14ac:dyDescent="0.2">
      <c r="A39" s="27" t="s">
        <v>553</v>
      </c>
      <c r="B39" s="27" t="s">
        <v>552</v>
      </c>
      <c r="C39" s="27" t="s">
        <v>554</v>
      </c>
      <c r="D39" s="31">
        <v>1500000</v>
      </c>
      <c r="E39" s="29">
        <v>8313.75</v>
      </c>
      <c r="F39" s="30">
        <v>0.86560058227290004</v>
      </c>
    </row>
    <row r="40" spans="1:6" x14ac:dyDescent="0.2">
      <c r="A40" s="27" t="s">
        <v>260</v>
      </c>
      <c r="B40" s="27" t="s">
        <v>259</v>
      </c>
      <c r="C40" s="27" t="s">
        <v>261</v>
      </c>
      <c r="D40" s="31">
        <v>1600000</v>
      </c>
      <c r="E40" s="29">
        <v>8048.8</v>
      </c>
      <c r="F40" s="30">
        <v>0.83801485089136896</v>
      </c>
    </row>
    <row r="41" spans="1:6" x14ac:dyDescent="0.2">
      <c r="A41" s="27" t="s">
        <v>272</v>
      </c>
      <c r="B41" s="27" t="s">
        <v>271</v>
      </c>
      <c r="C41" s="27" t="s">
        <v>134</v>
      </c>
      <c r="D41" s="31">
        <v>1000000</v>
      </c>
      <c r="E41" s="29">
        <v>6990.5</v>
      </c>
      <c r="F41" s="30">
        <v>0.72782810048157698</v>
      </c>
    </row>
    <row r="42" spans="1:6" x14ac:dyDescent="0.2">
      <c r="A42" s="27" t="s">
        <v>465</v>
      </c>
      <c r="B42" s="27" t="s">
        <v>464</v>
      </c>
      <c r="C42" s="27" t="s">
        <v>119</v>
      </c>
      <c r="D42" s="31">
        <v>1700000</v>
      </c>
      <c r="E42" s="29">
        <v>6770.25</v>
      </c>
      <c r="F42" s="30">
        <v>0.70489638756675399</v>
      </c>
    </row>
    <row r="43" spans="1:6" x14ac:dyDescent="0.2">
      <c r="A43" s="27" t="s">
        <v>556</v>
      </c>
      <c r="B43" s="27" t="s">
        <v>555</v>
      </c>
      <c r="C43" s="27" t="s">
        <v>177</v>
      </c>
      <c r="D43" s="31">
        <v>100000</v>
      </c>
      <c r="E43" s="29">
        <v>6708</v>
      </c>
      <c r="F43" s="30">
        <v>0.69841512023895502</v>
      </c>
    </row>
    <row r="44" spans="1:6" x14ac:dyDescent="0.2">
      <c r="A44" s="27" t="s">
        <v>507</v>
      </c>
      <c r="B44" s="27" t="s">
        <v>506</v>
      </c>
      <c r="C44" s="27" t="s">
        <v>119</v>
      </c>
      <c r="D44" s="31">
        <v>400000</v>
      </c>
      <c r="E44" s="29">
        <v>6189.8</v>
      </c>
      <c r="F44" s="30">
        <v>0.64446182338328595</v>
      </c>
    </row>
    <row r="45" spans="1:6" x14ac:dyDescent="0.2">
      <c r="A45" s="27" t="s">
        <v>116</v>
      </c>
      <c r="B45" s="27" t="s">
        <v>115</v>
      </c>
      <c r="C45" s="27" t="s">
        <v>101</v>
      </c>
      <c r="D45" s="31">
        <v>230000</v>
      </c>
      <c r="E45" s="29">
        <v>4157.71</v>
      </c>
      <c r="F45" s="30">
        <v>0.43288722861787499</v>
      </c>
    </row>
    <row r="46" spans="1:6" x14ac:dyDescent="0.2">
      <c r="A46" s="68" t="s">
        <v>558</v>
      </c>
      <c r="B46" s="68" t="s">
        <v>557</v>
      </c>
      <c r="C46" s="68" t="s">
        <v>163</v>
      </c>
      <c r="D46" s="70">
        <v>2800000</v>
      </c>
      <c r="E46" s="71">
        <v>4060</v>
      </c>
      <c r="F46" s="71">
        <v>0.42271398153997602</v>
      </c>
    </row>
    <row r="47" spans="1:6" x14ac:dyDescent="0.2">
      <c r="A47" s="27" t="s">
        <v>407</v>
      </c>
      <c r="B47" s="27" t="s">
        <v>406</v>
      </c>
      <c r="C47" s="27" t="s">
        <v>408</v>
      </c>
      <c r="D47" s="31">
        <v>150000</v>
      </c>
      <c r="E47" s="29">
        <v>3876.0749999999998</v>
      </c>
      <c r="F47" s="30">
        <v>0.403564309359005</v>
      </c>
    </row>
    <row r="48" spans="1:6" x14ac:dyDescent="0.2">
      <c r="A48" s="27" t="s">
        <v>253</v>
      </c>
      <c r="B48" s="27" t="s">
        <v>252</v>
      </c>
      <c r="C48" s="27" t="s">
        <v>111</v>
      </c>
      <c r="D48" s="31">
        <v>20000</v>
      </c>
      <c r="E48" s="29">
        <v>3051.3</v>
      </c>
      <c r="F48" s="30">
        <v>0.317691421643578</v>
      </c>
    </row>
    <row r="49" spans="1:9" x14ac:dyDescent="0.2">
      <c r="A49" s="27" t="s">
        <v>403</v>
      </c>
      <c r="B49" s="27" t="s">
        <v>402</v>
      </c>
      <c r="C49" s="27" t="s">
        <v>101</v>
      </c>
      <c r="D49" s="31">
        <v>5000000</v>
      </c>
      <c r="E49" s="29">
        <v>2860</v>
      </c>
      <c r="F49" s="30">
        <v>0.29777388847397301</v>
      </c>
    </row>
    <row r="50" spans="1:9" x14ac:dyDescent="0.2">
      <c r="A50" s="27" t="s">
        <v>426</v>
      </c>
      <c r="B50" s="27" t="s">
        <v>425</v>
      </c>
      <c r="C50" s="27" t="s">
        <v>204</v>
      </c>
      <c r="D50" s="31">
        <v>500000</v>
      </c>
      <c r="E50" s="29">
        <v>2410.5</v>
      </c>
      <c r="F50" s="30">
        <v>0.25097341194633299</v>
      </c>
    </row>
    <row r="51" spans="1:9" x14ac:dyDescent="0.2">
      <c r="A51" s="27" t="s">
        <v>170</v>
      </c>
      <c r="B51" s="27" t="s">
        <v>169</v>
      </c>
      <c r="C51" s="27" t="s">
        <v>163</v>
      </c>
      <c r="D51" s="31">
        <v>1344155</v>
      </c>
      <c r="E51" s="29">
        <v>2128.469443</v>
      </c>
      <c r="F51" s="30">
        <v>0.22160930858046901</v>
      </c>
    </row>
    <row r="52" spans="1:9" x14ac:dyDescent="0.2">
      <c r="A52" s="27" t="s">
        <v>167</v>
      </c>
      <c r="B52" s="27" t="s">
        <v>166</v>
      </c>
      <c r="C52" s="27" t="s">
        <v>168</v>
      </c>
      <c r="D52" s="31">
        <v>3365903</v>
      </c>
      <c r="E52" s="29">
        <v>1923.6135650000001</v>
      </c>
      <c r="F52" s="30">
        <v>0.200280381528438</v>
      </c>
    </row>
    <row r="53" spans="1:9" x14ac:dyDescent="0.2">
      <c r="A53" s="27" t="s">
        <v>424</v>
      </c>
      <c r="B53" s="27" t="s">
        <v>423</v>
      </c>
      <c r="C53" s="27" t="s">
        <v>177</v>
      </c>
      <c r="D53" s="31">
        <v>200000</v>
      </c>
      <c r="E53" s="29">
        <v>1085.3</v>
      </c>
      <c r="F53" s="30">
        <v>0.112997902503777</v>
      </c>
    </row>
    <row r="54" spans="1:9" s="72" customFormat="1" x14ac:dyDescent="0.2">
      <c r="A54" s="68" t="s">
        <v>559</v>
      </c>
      <c r="B54" s="68" t="s">
        <v>1341</v>
      </c>
      <c r="C54" s="68" t="s">
        <v>163</v>
      </c>
      <c r="D54" s="70">
        <v>413663</v>
      </c>
      <c r="E54" s="71">
        <v>599.81134999999995</v>
      </c>
      <c r="F54" s="71">
        <v>6.2450404909203901E-2</v>
      </c>
    </row>
    <row r="55" spans="1:9" x14ac:dyDescent="0.2">
      <c r="A55" s="26" t="s">
        <v>35</v>
      </c>
      <c r="B55" s="26"/>
      <c r="C55" s="26"/>
      <c r="D55" s="32"/>
      <c r="E55" s="33">
        <f>SUM(E7:E54)</f>
        <v>928341.59103599994</v>
      </c>
      <c r="F55" s="34">
        <f>SUM(F7:F54)</f>
        <v>96.655903984232367</v>
      </c>
      <c r="G55" s="18"/>
      <c r="H55" s="18"/>
      <c r="I55" s="18"/>
    </row>
    <row r="56" spans="1:9" x14ac:dyDescent="0.2">
      <c r="A56" s="27"/>
      <c r="B56" s="27"/>
      <c r="C56" s="27"/>
      <c r="D56" s="28"/>
      <c r="E56" s="29"/>
      <c r="F56" s="30"/>
    </row>
    <row r="57" spans="1:9" x14ac:dyDescent="0.2">
      <c r="A57" s="26" t="s">
        <v>233</v>
      </c>
      <c r="B57" s="27"/>
      <c r="C57" s="27"/>
      <c r="D57" s="28"/>
      <c r="E57" s="29"/>
      <c r="F57" s="30"/>
    </row>
    <row r="58" spans="1:9" x14ac:dyDescent="0.2">
      <c r="A58" s="27"/>
      <c r="B58" s="27" t="s">
        <v>727</v>
      </c>
      <c r="C58" s="27" t="s">
        <v>187</v>
      </c>
      <c r="D58" s="31">
        <v>73500</v>
      </c>
      <c r="E58" s="29">
        <v>7.3499999999999998E-3</v>
      </c>
      <c r="F58" s="30">
        <v>7.6525807002926705E-7</v>
      </c>
    </row>
    <row r="59" spans="1:9" x14ac:dyDescent="0.2">
      <c r="A59" s="27"/>
      <c r="B59" s="27" t="s">
        <v>728</v>
      </c>
      <c r="C59" s="27" t="s">
        <v>106</v>
      </c>
      <c r="D59" s="31">
        <v>45000</v>
      </c>
      <c r="E59" s="29">
        <v>4.4999999999999997E-3</v>
      </c>
      <c r="F59" s="30">
        <v>4.6852534899750998E-7</v>
      </c>
    </row>
    <row r="60" spans="1:9" x14ac:dyDescent="0.2">
      <c r="A60" s="27" t="s">
        <v>523</v>
      </c>
      <c r="B60" s="27" t="s">
        <v>729</v>
      </c>
      <c r="C60" s="27" t="s">
        <v>381</v>
      </c>
      <c r="D60" s="31">
        <v>38000</v>
      </c>
      <c r="E60" s="29">
        <v>3.8E-3</v>
      </c>
      <c r="F60" s="30">
        <v>3.9564362804234201E-7</v>
      </c>
    </row>
    <row r="61" spans="1:9" x14ac:dyDescent="0.2">
      <c r="A61" s="26" t="s">
        <v>35</v>
      </c>
      <c r="B61" s="26"/>
      <c r="C61" s="26"/>
      <c r="D61" s="32"/>
      <c r="E61" s="33">
        <f>SUM(E57:E60)</f>
        <v>1.5650000000000001E-2</v>
      </c>
      <c r="F61" s="34">
        <f>SUM(F57:F60)</f>
        <v>1.6294270470691191E-6</v>
      </c>
      <c r="G61" s="18"/>
      <c r="H61" s="18"/>
      <c r="I61" s="18"/>
    </row>
    <row r="62" spans="1:9" x14ac:dyDescent="0.2">
      <c r="A62" s="27"/>
      <c r="B62" s="27"/>
      <c r="C62" s="27"/>
      <c r="D62" s="28"/>
      <c r="E62" s="29"/>
      <c r="F62" s="30"/>
    </row>
    <row r="63" spans="1:9" x14ac:dyDescent="0.2">
      <c r="A63" s="26" t="s">
        <v>38</v>
      </c>
      <c r="B63" s="26"/>
      <c r="C63" s="26"/>
      <c r="D63" s="32"/>
      <c r="E63" s="33">
        <f>E55+E61</f>
        <v>928341.6066859999</v>
      </c>
      <c r="F63" s="34">
        <f>F55+F61</f>
        <v>96.655905613659414</v>
      </c>
      <c r="G63" s="18"/>
      <c r="H63" s="18"/>
      <c r="I63" s="18"/>
    </row>
    <row r="64" spans="1:9" x14ac:dyDescent="0.2">
      <c r="A64" s="26"/>
      <c r="B64" s="26"/>
      <c r="C64" s="26"/>
      <c r="D64" s="32"/>
      <c r="E64" s="33"/>
      <c r="F64" s="34"/>
      <c r="G64" s="18"/>
      <c r="H64" s="18"/>
      <c r="I64" s="18"/>
    </row>
    <row r="65" spans="1:9" x14ac:dyDescent="0.2">
      <c r="A65" s="26" t="s">
        <v>40</v>
      </c>
      <c r="B65" s="26"/>
      <c r="C65" s="26"/>
      <c r="D65" s="32"/>
      <c r="E65" s="33">
        <f>E67-(E55+E61)</f>
        <v>32118.699171200045</v>
      </c>
      <c r="F65" s="34">
        <f>F67-(F55+F61)</f>
        <v>3.3440943863405863</v>
      </c>
      <c r="G65" s="18"/>
      <c r="H65" s="18"/>
      <c r="I65" s="18"/>
    </row>
    <row r="66" spans="1:9" x14ac:dyDescent="0.2">
      <c r="A66" s="26"/>
      <c r="B66" s="26"/>
      <c r="C66" s="26"/>
      <c r="D66" s="32"/>
      <c r="E66" s="33"/>
      <c r="F66" s="34"/>
      <c r="G66" s="18"/>
      <c r="H66" s="18"/>
      <c r="I66" s="18"/>
    </row>
    <row r="67" spans="1:9" x14ac:dyDescent="0.2">
      <c r="A67" s="35" t="s">
        <v>39</v>
      </c>
      <c r="B67" s="35"/>
      <c r="C67" s="35"/>
      <c r="D67" s="36"/>
      <c r="E67" s="37">
        <v>960460.30585719994</v>
      </c>
      <c r="F67" s="38">
        <v>100</v>
      </c>
      <c r="G67" s="18"/>
      <c r="H67" s="18"/>
      <c r="I67" s="18"/>
    </row>
    <row r="68" spans="1:9" x14ac:dyDescent="0.2">
      <c r="F68" s="20" t="s">
        <v>514</v>
      </c>
    </row>
    <row r="69" spans="1:9" x14ac:dyDescent="0.2">
      <c r="A69" s="18" t="s">
        <v>41</v>
      </c>
      <c r="F69" s="20"/>
    </row>
    <row r="70" spans="1:9" x14ac:dyDescent="0.2">
      <c r="A70" s="18" t="s">
        <v>730</v>
      </c>
      <c r="F70" s="20"/>
    </row>
    <row r="71" spans="1:9" x14ac:dyDescent="0.2">
      <c r="A71" s="18" t="s">
        <v>731</v>
      </c>
      <c r="F71" s="20"/>
    </row>
    <row r="73" spans="1:9" x14ac:dyDescent="0.2">
      <c r="A73" s="18" t="s">
        <v>42</v>
      </c>
    </row>
    <row r="74" spans="1:9" x14ac:dyDescent="0.2">
      <c r="A74" s="18" t="s">
        <v>43</v>
      </c>
    </row>
    <row r="75" spans="1:9" x14ac:dyDescent="0.2">
      <c r="A75" s="18" t="s">
        <v>44</v>
      </c>
      <c r="B75" s="18"/>
      <c r="C75" s="39" t="s">
        <v>46</v>
      </c>
      <c r="D75" s="19" t="s">
        <v>45</v>
      </c>
    </row>
    <row r="76" spans="1:9" x14ac:dyDescent="0.2">
      <c r="A76" s="9" t="s">
        <v>70</v>
      </c>
      <c r="C76" s="40">
        <v>641.99680000000001</v>
      </c>
      <c r="D76" s="40">
        <v>821.80269999999996</v>
      </c>
    </row>
    <row r="77" spans="1:9" x14ac:dyDescent="0.2">
      <c r="A77" s="9" t="s">
        <v>76</v>
      </c>
      <c r="C77" s="40">
        <v>36.2288</v>
      </c>
      <c r="D77" s="40">
        <v>43.522100000000002</v>
      </c>
    </row>
    <row r="78" spans="1:9" x14ac:dyDescent="0.2">
      <c r="A78" s="9" t="s">
        <v>73</v>
      </c>
      <c r="C78" s="40">
        <v>690.09289999999999</v>
      </c>
      <c r="D78" s="40">
        <v>886.6807</v>
      </c>
    </row>
    <row r="79" spans="1:9" x14ac:dyDescent="0.2">
      <c r="A79" s="9" t="s">
        <v>77</v>
      </c>
      <c r="C79" s="40">
        <v>39.873699999999999</v>
      </c>
      <c r="D79" s="40">
        <v>48.374400000000001</v>
      </c>
    </row>
    <row r="81" spans="1:4" x14ac:dyDescent="0.2">
      <c r="A81" s="18" t="s">
        <v>48</v>
      </c>
    </row>
    <row r="82" spans="1:4" x14ac:dyDescent="0.2">
      <c r="A82" s="77" t="s">
        <v>67</v>
      </c>
      <c r="B82" s="78"/>
      <c r="C82" s="44" t="s">
        <v>68</v>
      </c>
    </row>
    <row r="83" spans="1:4" x14ac:dyDescent="0.2">
      <c r="A83" s="73" t="s">
        <v>76</v>
      </c>
      <c r="B83" s="74"/>
      <c r="C83" s="45">
        <v>2.75</v>
      </c>
    </row>
    <row r="84" spans="1:4" x14ac:dyDescent="0.2">
      <c r="A84" s="73" t="s">
        <v>77</v>
      </c>
      <c r="B84" s="74"/>
      <c r="C84" s="45">
        <v>2.75</v>
      </c>
    </row>
    <row r="85" spans="1:4" x14ac:dyDescent="0.2">
      <c r="A85" s="9" t="s">
        <v>69</v>
      </c>
    </row>
    <row r="86" spans="1:4" x14ac:dyDescent="0.2">
      <c r="A86" s="9" t="s">
        <v>47</v>
      </c>
    </row>
    <row r="88" spans="1:4" x14ac:dyDescent="0.2">
      <c r="A88" s="18" t="s">
        <v>226</v>
      </c>
      <c r="D88" s="46">
        <v>6.9800000000000001E-2</v>
      </c>
    </row>
    <row r="90" spans="1:4" x14ac:dyDescent="0.2">
      <c r="A90" s="18" t="s">
        <v>732</v>
      </c>
      <c r="D90" s="41" t="s">
        <v>49</v>
      </c>
    </row>
    <row r="91" spans="1:4" x14ac:dyDescent="0.2">
      <c r="A91" s="9" t="s">
        <v>733</v>
      </c>
    </row>
    <row r="92" spans="1:4" x14ac:dyDescent="0.2">
      <c r="A92" s="47" t="s">
        <v>734</v>
      </c>
    </row>
    <row r="94" spans="1:4" x14ac:dyDescent="0.2">
      <c r="A94" s="18" t="s">
        <v>735</v>
      </c>
    </row>
    <row r="95" spans="1:4" x14ac:dyDescent="0.2">
      <c r="A95" s="47" t="s">
        <v>51</v>
      </c>
    </row>
    <row r="97" spans="1:1" x14ac:dyDescent="0.2">
      <c r="A97" s="18" t="s">
        <v>736</v>
      </c>
    </row>
  </sheetData>
  <mergeCells count="4">
    <mergeCell ref="A1:F1"/>
    <mergeCell ref="A82:B82"/>
    <mergeCell ref="A83:B83"/>
    <mergeCell ref="A84:B84"/>
  </mergeCells>
  <conditionalFormatting sqref="F2:F3 F5:F65539">
    <cfRule type="cellIs" dxfId="18" priority="1" stopIfTrue="1" operator="between">
      <formula>0.009</formula>
      <formula>-0.009</formula>
    </cfRule>
  </conditionalFormatting>
  <hyperlinks>
    <hyperlink ref="A95" r:id="rId1" xr:uid="{00000000-0004-0000-2700-000000000000}"/>
    <hyperlink ref="A92" r:id="rId2" xr:uid="{00000000-0004-0000-27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3"/>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17</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105</v>
      </c>
      <c r="B7" s="27" t="s">
        <v>104</v>
      </c>
      <c r="C7" s="27" t="s">
        <v>106</v>
      </c>
      <c r="D7" s="31">
        <v>1729339</v>
      </c>
      <c r="E7" s="29">
        <v>24102.66231</v>
      </c>
      <c r="F7" s="30">
        <v>9.1859630720398702</v>
      </c>
    </row>
    <row r="8" spans="1:6" x14ac:dyDescent="0.2">
      <c r="A8" s="27" t="s">
        <v>100</v>
      </c>
      <c r="B8" s="27" t="s">
        <v>99</v>
      </c>
      <c r="C8" s="27" t="s">
        <v>101</v>
      </c>
      <c r="D8" s="31">
        <v>1288046</v>
      </c>
      <c r="E8" s="29">
        <v>19524.845290000001</v>
      </c>
      <c r="F8" s="30">
        <v>7.4412737279573804</v>
      </c>
    </row>
    <row r="9" spans="1:6" x14ac:dyDescent="0.2">
      <c r="A9" s="27" t="s">
        <v>103</v>
      </c>
      <c r="B9" s="27" t="s">
        <v>102</v>
      </c>
      <c r="C9" s="27" t="s">
        <v>101</v>
      </c>
      <c r="D9" s="31">
        <v>2494468</v>
      </c>
      <c r="E9" s="29">
        <v>18725.971280000002</v>
      </c>
      <c r="F9" s="30">
        <v>7.1368083099596502</v>
      </c>
    </row>
    <row r="10" spans="1:6" x14ac:dyDescent="0.2">
      <c r="A10" s="27" t="s">
        <v>108</v>
      </c>
      <c r="B10" s="27" t="s">
        <v>107</v>
      </c>
      <c r="C10" s="27" t="s">
        <v>101</v>
      </c>
      <c r="D10" s="31">
        <v>2285871</v>
      </c>
      <c r="E10" s="29">
        <v>15149.610049999999</v>
      </c>
      <c r="F10" s="30">
        <v>5.77379198551714</v>
      </c>
    </row>
    <row r="11" spans="1:6" x14ac:dyDescent="0.2">
      <c r="A11" s="27" t="s">
        <v>199</v>
      </c>
      <c r="B11" s="27" t="s">
        <v>198</v>
      </c>
      <c r="C11" s="27" t="s">
        <v>145</v>
      </c>
      <c r="D11" s="31">
        <v>10377483</v>
      </c>
      <c r="E11" s="29">
        <v>11046.83065</v>
      </c>
      <c r="F11" s="30">
        <v>4.2101481201052504</v>
      </c>
    </row>
    <row r="12" spans="1:6" x14ac:dyDescent="0.2">
      <c r="A12" s="27" t="s">
        <v>203</v>
      </c>
      <c r="B12" s="27" t="s">
        <v>202</v>
      </c>
      <c r="C12" s="27" t="s">
        <v>204</v>
      </c>
      <c r="D12" s="31">
        <v>6017530</v>
      </c>
      <c r="E12" s="29">
        <v>8382.4192899999998</v>
      </c>
      <c r="F12" s="30">
        <v>3.1946924809359198</v>
      </c>
    </row>
    <row r="13" spans="1:6" x14ac:dyDescent="0.2">
      <c r="A13" s="27" t="s">
        <v>471</v>
      </c>
      <c r="B13" s="27" t="s">
        <v>470</v>
      </c>
      <c r="C13" s="27" t="s">
        <v>408</v>
      </c>
      <c r="D13" s="31">
        <v>257232</v>
      </c>
      <c r="E13" s="29">
        <v>8151.0389999999998</v>
      </c>
      <c r="F13" s="30">
        <v>3.10650924324205</v>
      </c>
    </row>
    <row r="14" spans="1:6" x14ac:dyDescent="0.2">
      <c r="A14" s="27" t="s">
        <v>113</v>
      </c>
      <c r="B14" s="27" t="s">
        <v>112</v>
      </c>
      <c r="C14" s="27" t="s">
        <v>114</v>
      </c>
      <c r="D14" s="31">
        <v>1433873</v>
      </c>
      <c r="E14" s="29">
        <v>7669.7866770000001</v>
      </c>
      <c r="F14" s="30">
        <v>2.9230952282028402</v>
      </c>
    </row>
    <row r="15" spans="1:6" x14ac:dyDescent="0.2">
      <c r="A15" s="27" t="s">
        <v>158</v>
      </c>
      <c r="B15" s="27" t="s">
        <v>157</v>
      </c>
      <c r="C15" s="27" t="s">
        <v>101</v>
      </c>
      <c r="D15" s="31">
        <v>4236879</v>
      </c>
      <c r="E15" s="29">
        <v>7302.2609570000004</v>
      </c>
      <c r="F15" s="30">
        <v>2.7830244904344199</v>
      </c>
    </row>
    <row r="16" spans="1:6" x14ac:dyDescent="0.2">
      <c r="A16" s="27" t="s">
        <v>222</v>
      </c>
      <c r="B16" s="27" t="s">
        <v>221</v>
      </c>
      <c r="C16" s="27" t="s">
        <v>101</v>
      </c>
      <c r="D16" s="31">
        <v>8330054</v>
      </c>
      <c r="E16" s="29">
        <v>7267.9721149999996</v>
      </c>
      <c r="F16" s="30">
        <v>2.7699563889797298</v>
      </c>
    </row>
    <row r="17" spans="1:6" x14ac:dyDescent="0.2">
      <c r="A17" s="27" t="s">
        <v>110</v>
      </c>
      <c r="B17" s="27" t="s">
        <v>109</v>
      </c>
      <c r="C17" s="27" t="s">
        <v>111</v>
      </c>
      <c r="D17" s="31">
        <v>282387</v>
      </c>
      <c r="E17" s="29">
        <v>6215.0554830000001</v>
      </c>
      <c r="F17" s="30">
        <v>2.3686707062991199</v>
      </c>
    </row>
    <row r="18" spans="1:6" x14ac:dyDescent="0.2">
      <c r="A18" s="27" t="s">
        <v>160</v>
      </c>
      <c r="B18" s="27" t="s">
        <v>159</v>
      </c>
      <c r="C18" s="27" t="s">
        <v>131</v>
      </c>
      <c r="D18" s="31">
        <v>952564</v>
      </c>
      <c r="E18" s="29">
        <v>5889.7032120000003</v>
      </c>
      <c r="F18" s="30">
        <v>2.2446730371466002</v>
      </c>
    </row>
    <row r="19" spans="1:6" x14ac:dyDescent="0.2">
      <c r="A19" s="27" t="s">
        <v>194</v>
      </c>
      <c r="B19" s="27" t="s">
        <v>193</v>
      </c>
      <c r="C19" s="27" t="s">
        <v>195</v>
      </c>
      <c r="D19" s="31">
        <v>399838</v>
      </c>
      <c r="E19" s="29">
        <v>5868.4223259999999</v>
      </c>
      <c r="F19" s="30">
        <v>2.2365625043588899</v>
      </c>
    </row>
    <row r="20" spans="1:6" x14ac:dyDescent="0.2">
      <c r="A20" s="27" t="s">
        <v>140</v>
      </c>
      <c r="B20" s="27" t="s">
        <v>139</v>
      </c>
      <c r="C20" s="27" t="s">
        <v>125</v>
      </c>
      <c r="D20" s="31">
        <v>1965841</v>
      </c>
      <c r="E20" s="29">
        <v>5328.4120309999998</v>
      </c>
      <c r="F20" s="30">
        <v>2.03075475728967</v>
      </c>
    </row>
    <row r="21" spans="1:6" x14ac:dyDescent="0.2">
      <c r="A21" s="27" t="s">
        <v>246</v>
      </c>
      <c r="B21" s="27" t="s">
        <v>245</v>
      </c>
      <c r="C21" s="27" t="s">
        <v>247</v>
      </c>
      <c r="D21" s="31">
        <v>3644411</v>
      </c>
      <c r="E21" s="29">
        <v>5298.973594</v>
      </c>
      <c r="F21" s="30">
        <v>2.0195352334170602</v>
      </c>
    </row>
    <row r="22" spans="1:6" x14ac:dyDescent="0.2">
      <c r="A22" s="27" t="s">
        <v>216</v>
      </c>
      <c r="B22" s="27" t="s">
        <v>215</v>
      </c>
      <c r="C22" s="27" t="s">
        <v>187</v>
      </c>
      <c r="D22" s="31">
        <v>974352</v>
      </c>
      <c r="E22" s="29">
        <v>5121.6812879999998</v>
      </c>
      <c r="F22" s="30">
        <v>1.9519659103719</v>
      </c>
    </row>
    <row r="23" spans="1:6" x14ac:dyDescent="0.2">
      <c r="A23" s="27" t="s">
        <v>210</v>
      </c>
      <c r="B23" s="27" t="s">
        <v>209</v>
      </c>
      <c r="C23" s="27" t="s">
        <v>211</v>
      </c>
      <c r="D23" s="31">
        <v>2493349</v>
      </c>
      <c r="E23" s="29">
        <v>5017.8648629999998</v>
      </c>
      <c r="F23" s="30">
        <v>1.91239958221878</v>
      </c>
    </row>
    <row r="24" spans="1:6" x14ac:dyDescent="0.2">
      <c r="A24" s="27" t="s">
        <v>156</v>
      </c>
      <c r="B24" s="27" t="s">
        <v>155</v>
      </c>
      <c r="C24" s="27" t="s">
        <v>128</v>
      </c>
      <c r="D24" s="31">
        <v>397050</v>
      </c>
      <c r="E24" s="29">
        <v>4976.4261749999996</v>
      </c>
      <c r="F24" s="30">
        <v>1.8966065443864499</v>
      </c>
    </row>
    <row r="25" spans="1:6" x14ac:dyDescent="0.2">
      <c r="A25" s="27" t="s">
        <v>142</v>
      </c>
      <c r="B25" s="27" t="s">
        <v>141</v>
      </c>
      <c r="C25" s="27" t="s">
        <v>128</v>
      </c>
      <c r="D25" s="31">
        <v>210633</v>
      </c>
      <c r="E25" s="29">
        <v>4928.9175169999999</v>
      </c>
      <c r="F25" s="30">
        <v>1.87850013056472</v>
      </c>
    </row>
    <row r="26" spans="1:6" x14ac:dyDescent="0.2">
      <c r="A26" s="27" t="s">
        <v>561</v>
      </c>
      <c r="B26" s="27" t="s">
        <v>560</v>
      </c>
      <c r="C26" s="27" t="s">
        <v>101</v>
      </c>
      <c r="D26" s="31">
        <v>480528</v>
      </c>
      <c r="E26" s="29">
        <v>4867.7486399999998</v>
      </c>
      <c r="F26" s="30">
        <v>1.85518755878102</v>
      </c>
    </row>
    <row r="27" spans="1:6" x14ac:dyDescent="0.2">
      <c r="A27" s="27" t="s">
        <v>230</v>
      </c>
      <c r="B27" s="27" t="s">
        <v>229</v>
      </c>
      <c r="C27" s="27" t="s">
        <v>145</v>
      </c>
      <c r="D27" s="31">
        <v>18217899</v>
      </c>
      <c r="E27" s="29">
        <v>4736.6537399999997</v>
      </c>
      <c r="F27" s="30">
        <v>1.80522490756663</v>
      </c>
    </row>
    <row r="28" spans="1:6" x14ac:dyDescent="0.2">
      <c r="A28" s="27" t="s">
        <v>295</v>
      </c>
      <c r="B28" s="27" t="s">
        <v>294</v>
      </c>
      <c r="C28" s="27" t="s">
        <v>150</v>
      </c>
      <c r="D28" s="31">
        <v>3769680</v>
      </c>
      <c r="E28" s="29">
        <v>4653.6699600000002</v>
      </c>
      <c r="F28" s="30">
        <v>1.7735982794019101</v>
      </c>
    </row>
    <row r="29" spans="1:6" x14ac:dyDescent="0.2">
      <c r="A29" s="27" t="s">
        <v>208</v>
      </c>
      <c r="B29" s="27" t="s">
        <v>207</v>
      </c>
      <c r="C29" s="27" t="s">
        <v>134</v>
      </c>
      <c r="D29" s="31">
        <v>3938381</v>
      </c>
      <c r="E29" s="29">
        <v>4302.681243</v>
      </c>
      <c r="F29" s="30">
        <v>1.6398300943111299</v>
      </c>
    </row>
    <row r="30" spans="1:6" x14ac:dyDescent="0.2">
      <c r="A30" s="27" t="s">
        <v>287</v>
      </c>
      <c r="B30" s="27" t="s">
        <v>286</v>
      </c>
      <c r="C30" s="27" t="s">
        <v>128</v>
      </c>
      <c r="D30" s="31">
        <v>641207</v>
      </c>
      <c r="E30" s="29">
        <v>4256.6526700000004</v>
      </c>
      <c r="F30" s="30">
        <v>1.6222877678080001</v>
      </c>
    </row>
    <row r="31" spans="1:6" x14ac:dyDescent="0.2">
      <c r="A31" s="27" t="s">
        <v>118</v>
      </c>
      <c r="B31" s="27" t="s">
        <v>117</v>
      </c>
      <c r="C31" s="27" t="s">
        <v>119</v>
      </c>
      <c r="D31" s="31">
        <v>408797</v>
      </c>
      <c r="E31" s="29">
        <v>4117.8121810000002</v>
      </c>
      <c r="F31" s="30">
        <v>1.5693731317211499</v>
      </c>
    </row>
    <row r="32" spans="1:6" x14ac:dyDescent="0.2">
      <c r="A32" s="27" t="s">
        <v>487</v>
      </c>
      <c r="B32" s="27" t="s">
        <v>486</v>
      </c>
      <c r="C32" s="27" t="s">
        <v>488</v>
      </c>
      <c r="D32" s="31">
        <v>511291</v>
      </c>
      <c r="E32" s="29">
        <v>4096.7191380000004</v>
      </c>
      <c r="F32" s="30">
        <v>1.5613341893179</v>
      </c>
    </row>
    <row r="33" spans="1:6" x14ac:dyDescent="0.2">
      <c r="A33" s="27" t="s">
        <v>531</v>
      </c>
      <c r="B33" s="27" t="s">
        <v>530</v>
      </c>
      <c r="C33" s="27" t="s">
        <v>131</v>
      </c>
      <c r="D33" s="31">
        <v>311893</v>
      </c>
      <c r="E33" s="29">
        <v>3803.5351350000001</v>
      </c>
      <c r="F33" s="30">
        <v>1.44959643229206</v>
      </c>
    </row>
    <row r="34" spans="1:6" x14ac:dyDescent="0.2">
      <c r="A34" s="27" t="s">
        <v>242</v>
      </c>
      <c r="B34" s="27" t="s">
        <v>241</v>
      </c>
      <c r="C34" s="27" t="s">
        <v>150</v>
      </c>
      <c r="D34" s="31">
        <v>2415915</v>
      </c>
      <c r="E34" s="29">
        <v>3643.1998199999998</v>
      </c>
      <c r="F34" s="30">
        <v>1.3884897269915899</v>
      </c>
    </row>
    <row r="35" spans="1:6" x14ac:dyDescent="0.2">
      <c r="A35" s="27" t="s">
        <v>206</v>
      </c>
      <c r="B35" s="27" t="s">
        <v>205</v>
      </c>
      <c r="C35" s="27" t="s">
        <v>187</v>
      </c>
      <c r="D35" s="31">
        <v>560390</v>
      </c>
      <c r="E35" s="29">
        <v>3592.380095</v>
      </c>
      <c r="F35" s="30">
        <v>1.36912140530259</v>
      </c>
    </row>
    <row r="36" spans="1:6" x14ac:dyDescent="0.2">
      <c r="A36" s="27" t="s">
        <v>130</v>
      </c>
      <c r="B36" s="27" t="s">
        <v>129</v>
      </c>
      <c r="C36" s="27" t="s">
        <v>131</v>
      </c>
      <c r="D36" s="31">
        <v>67295</v>
      </c>
      <c r="E36" s="29">
        <v>3572.7924929999999</v>
      </c>
      <c r="F36" s="30">
        <v>1.3616562138508099</v>
      </c>
    </row>
    <row r="37" spans="1:6" x14ac:dyDescent="0.2">
      <c r="A37" s="27" t="s">
        <v>197</v>
      </c>
      <c r="B37" s="27" t="s">
        <v>196</v>
      </c>
      <c r="C37" s="27" t="s">
        <v>128</v>
      </c>
      <c r="D37" s="31">
        <v>602514</v>
      </c>
      <c r="E37" s="29">
        <v>3256.2869129999999</v>
      </c>
      <c r="F37" s="30">
        <v>1.2410301795737499</v>
      </c>
    </row>
    <row r="38" spans="1:6" x14ac:dyDescent="0.2">
      <c r="A38" s="27" t="s">
        <v>257</v>
      </c>
      <c r="B38" s="27" t="s">
        <v>256</v>
      </c>
      <c r="C38" s="27" t="s">
        <v>258</v>
      </c>
      <c r="D38" s="31">
        <v>451059</v>
      </c>
      <c r="E38" s="29">
        <v>3174.7787720000001</v>
      </c>
      <c r="F38" s="30">
        <v>1.2099659442761399</v>
      </c>
    </row>
    <row r="39" spans="1:6" x14ac:dyDescent="0.2">
      <c r="A39" s="27" t="s">
        <v>485</v>
      </c>
      <c r="B39" s="27" t="s">
        <v>484</v>
      </c>
      <c r="C39" s="27" t="s">
        <v>311</v>
      </c>
      <c r="D39" s="31">
        <v>441969</v>
      </c>
      <c r="E39" s="29">
        <v>3022.6259909999999</v>
      </c>
      <c r="F39" s="30">
        <v>1.1519777515363601</v>
      </c>
    </row>
    <row r="40" spans="1:6" x14ac:dyDescent="0.2">
      <c r="A40" s="27" t="s">
        <v>201</v>
      </c>
      <c r="B40" s="27" t="s">
        <v>200</v>
      </c>
      <c r="C40" s="27" t="s">
        <v>106</v>
      </c>
      <c r="D40" s="31">
        <v>283932</v>
      </c>
      <c r="E40" s="29">
        <v>2900.7912780000001</v>
      </c>
      <c r="F40" s="30">
        <v>1.1055443260451701</v>
      </c>
    </row>
    <row r="41" spans="1:6" x14ac:dyDescent="0.2">
      <c r="A41" s="27" t="s">
        <v>280</v>
      </c>
      <c r="B41" s="27" t="s">
        <v>279</v>
      </c>
      <c r="C41" s="27" t="s">
        <v>122</v>
      </c>
      <c r="D41" s="31">
        <v>3050843</v>
      </c>
      <c r="E41" s="29">
        <v>2251.5221339999998</v>
      </c>
      <c r="F41" s="30">
        <v>0.85809604403010098</v>
      </c>
    </row>
    <row r="42" spans="1:6" x14ac:dyDescent="0.2">
      <c r="A42" s="27" t="s">
        <v>414</v>
      </c>
      <c r="B42" s="27" t="s">
        <v>413</v>
      </c>
      <c r="C42" s="27" t="s">
        <v>204</v>
      </c>
      <c r="D42" s="31">
        <v>5150797</v>
      </c>
      <c r="E42" s="29">
        <v>2153.0331460000002</v>
      </c>
      <c r="F42" s="30">
        <v>0.82056009903222304</v>
      </c>
    </row>
    <row r="43" spans="1:6" x14ac:dyDescent="0.2">
      <c r="A43" s="27" t="s">
        <v>551</v>
      </c>
      <c r="B43" s="27" t="s">
        <v>550</v>
      </c>
      <c r="C43" s="27" t="s">
        <v>211</v>
      </c>
      <c r="D43" s="31">
        <v>90000</v>
      </c>
      <c r="E43" s="29">
        <v>2086.4699999999998</v>
      </c>
      <c r="F43" s="30">
        <v>0.79519167320230499</v>
      </c>
    </row>
    <row r="44" spans="1:6" x14ac:dyDescent="0.2">
      <c r="A44" s="27" t="s">
        <v>149</v>
      </c>
      <c r="B44" s="27" t="s">
        <v>148</v>
      </c>
      <c r="C44" s="27" t="s">
        <v>150</v>
      </c>
      <c r="D44" s="31">
        <v>226570</v>
      </c>
      <c r="E44" s="29">
        <v>1830.5723149999999</v>
      </c>
      <c r="F44" s="30">
        <v>0.69766441026358705</v>
      </c>
    </row>
    <row r="45" spans="1:6" x14ac:dyDescent="0.2">
      <c r="A45" s="27" t="s">
        <v>174</v>
      </c>
      <c r="B45" s="27" t="s">
        <v>173</v>
      </c>
      <c r="C45" s="27" t="s">
        <v>128</v>
      </c>
      <c r="D45" s="31">
        <v>312320</v>
      </c>
      <c r="E45" s="29">
        <v>1786.0019199999999</v>
      </c>
      <c r="F45" s="30">
        <v>0.68067782192283099</v>
      </c>
    </row>
    <row r="46" spans="1:6" x14ac:dyDescent="0.2">
      <c r="A46" s="27" t="s">
        <v>399</v>
      </c>
      <c r="B46" s="27" t="s">
        <v>398</v>
      </c>
      <c r="C46" s="27" t="s">
        <v>111</v>
      </c>
      <c r="D46" s="31">
        <v>150123</v>
      </c>
      <c r="E46" s="29">
        <v>1780.9091490000001</v>
      </c>
      <c r="F46" s="30">
        <v>0.67873687424913998</v>
      </c>
    </row>
    <row r="47" spans="1:6" x14ac:dyDescent="0.2">
      <c r="A47" s="27" t="s">
        <v>249</v>
      </c>
      <c r="B47" s="27" t="s">
        <v>248</v>
      </c>
      <c r="C47" s="27" t="s">
        <v>211</v>
      </c>
      <c r="D47" s="31">
        <v>360275</v>
      </c>
      <c r="E47" s="29">
        <v>1590.794263</v>
      </c>
      <c r="F47" s="30">
        <v>0.60628063270288901</v>
      </c>
    </row>
    <row r="48" spans="1:6" x14ac:dyDescent="0.2">
      <c r="A48" s="27" t="s">
        <v>162</v>
      </c>
      <c r="B48" s="27" t="s">
        <v>161</v>
      </c>
      <c r="C48" s="27" t="s">
        <v>163</v>
      </c>
      <c r="D48" s="31">
        <v>805716</v>
      </c>
      <c r="E48" s="29">
        <v>1572.3547739999999</v>
      </c>
      <c r="F48" s="30">
        <v>0.59925300800140502</v>
      </c>
    </row>
    <row r="49" spans="1:9" x14ac:dyDescent="0.2">
      <c r="A49" s="27" t="s">
        <v>255</v>
      </c>
      <c r="B49" s="27" t="s">
        <v>254</v>
      </c>
      <c r="C49" s="27" t="s">
        <v>111</v>
      </c>
      <c r="D49" s="31">
        <v>42129</v>
      </c>
      <c r="E49" s="29">
        <v>1491.7457609999999</v>
      </c>
      <c r="F49" s="30">
        <v>0.56853144674116396</v>
      </c>
    </row>
    <row r="50" spans="1:9" x14ac:dyDescent="0.2">
      <c r="A50" s="27" t="s">
        <v>213</v>
      </c>
      <c r="B50" s="27" t="s">
        <v>212</v>
      </c>
      <c r="C50" s="27" t="s">
        <v>214</v>
      </c>
      <c r="D50" s="31">
        <v>656332</v>
      </c>
      <c r="E50" s="29">
        <v>1076.3844799999999</v>
      </c>
      <c r="F50" s="30">
        <v>0.41022970647083001</v>
      </c>
    </row>
    <row r="51" spans="1:9" x14ac:dyDescent="0.2">
      <c r="A51" s="27" t="s">
        <v>285</v>
      </c>
      <c r="B51" s="27" t="s">
        <v>284</v>
      </c>
      <c r="C51" s="27" t="s">
        <v>214</v>
      </c>
      <c r="D51" s="31">
        <v>67110</v>
      </c>
      <c r="E51" s="29">
        <v>1066.0759049999999</v>
      </c>
      <c r="F51" s="30">
        <v>0.40630092100898202</v>
      </c>
    </row>
    <row r="52" spans="1:9" x14ac:dyDescent="0.2">
      <c r="A52" s="27" t="s">
        <v>124</v>
      </c>
      <c r="B52" s="27" t="s">
        <v>123</v>
      </c>
      <c r="C52" s="27" t="s">
        <v>125</v>
      </c>
      <c r="D52" s="31">
        <v>432307</v>
      </c>
      <c r="E52" s="29">
        <v>1043.8052520000001</v>
      </c>
      <c r="F52" s="30">
        <v>0.397813170012142</v>
      </c>
    </row>
    <row r="53" spans="1:9" x14ac:dyDescent="0.2">
      <c r="A53" s="27" t="s">
        <v>263</v>
      </c>
      <c r="B53" s="27" t="s">
        <v>262</v>
      </c>
      <c r="C53" s="27" t="s">
        <v>187</v>
      </c>
      <c r="D53" s="31">
        <v>1113029</v>
      </c>
      <c r="E53" s="29">
        <v>1023.430166</v>
      </c>
      <c r="F53" s="30">
        <v>0.39004785408237502</v>
      </c>
    </row>
    <row r="54" spans="1:9" x14ac:dyDescent="0.2">
      <c r="A54" s="27" t="s">
        <v>133</v>
      </c>
      <c r="B54" s="27" t="s">
        <v>132</v>
      </c>
      <c r="C54" s="27" t="s">
        <v>134</v>
      </c>
      <c r="D54" s="31">
        <v>275067</v>
      </c>
      <c r="E54" s="29">
        <v>769.36239899999998</v>
      </c>
      <c r="F54" s="30">
        <v>0.29321800618257099</v>
      </c>
    </row>
    <row r="55" spans="1:9" x14ac:dyDescent="0.2">
      <c r="A55" s="27" t="s">
        <v>170</v>
      </c>
      <c r="B55" s="27" t="s">
        <v>169</v>
      </c>
      <c r="C55" s="27" t="s">
        <v>163</v>
      </c>
      <c r="D55" s="31">
        <v>94174</v>
      </c>
      <c r="E55" s="29">
        <v>149.124529</v>
      </c>
      <c r="F55" s="30">
        <v>5.6834070813870097E-2</v>
      </c>
    </row>
    <row r="56" spans="1:9" x14ac:dyDescent="0.2">
      <c r="A56" s="26" t="s">
        <v>35</v>
      </c>
      <c r="B56" s="26"/>
      <c r="C56" s="26"/>
      <c r="D56" s="32"/>
      <c r="E56" s="33">
        <f>SUM(E7:E55)</f>
        <v>255638.76836999998</v>
      </c>
      <c r="F56" s="34">
        <f>SUM(F7:F55)</f>
        <v>97.428585100920074</v>
      </c>
      <c r="G56" s="18"/>
      <c r="H56" s="18"/>
      <c r="I56" s="18"/>
    </row>
    <row r="57" spans="1:9" x14ac:dyDescent="0.2">
      <c r="A57" s="27"/>
      <c r="B57" s="27"/>
      <c r="C57" s="27"/>
      <c r="D57" s="28"/>
      <c r="E57" s="29"/>
      <c r="F57" s="30"/>
    </row>
    <row r="58" spans="1:9" x14ac:dyDescent="0.2">
      <c r="A58" s="26" t="s">
        <v>38</v>
      </c>
      <c r="B58" s="26"/>
      <c r="C58" s="26"/>
      <c r="D58" s="32"/>
      <c r="E58" s="33">
        <f>E56</f>
        <v>255638.76836999998</v>
      </c>
      <c r="F58" s="34">
        <f>F56</f>
        <v>97.428585100920074</v>
      </c>
      <c r="G58" s="18"/>
      <c r="H58" s="18"/>
      <c r="I58" s="18"/>
    </row>
    <row r="59" spans="1:9" x14ac:dyDescent="0.2">
      <c r="A59" s="26"/>
      <c r="B59" s="26"/>
      <c r="C59" s="26"/>
      <c r="D59" s="32"/>
      <c r="E59" s="33"/>
      <c r="F59" s="34"/>
      <c r="G59" s="18"/>
      <c r="H59" s="18"/>
      <c r="I59" s="18"/>
    </row>
    <row r="60" spans="1:9" x14ac:dyDescent="0.2">
      <c r="A60" s="26" t="s">
        <v>40</v>
      </c>
      <c r="B60" s="26"/>
      <c r="C60" s="26"/>
      <c r="D60" s="32"/>
      <c r="E60" s="33">
        <f>E62-(E56)</f>
        <v>6747.0274466999981</v>
      </c>
      <c r="F60" s="34">
        <f>F62-(F56)</f>
        <v>2.5714148990799259</v>
      </c>
      <c r="G60" s="18"/>
      <c r="H60" s="18"/>
      <c r="I60" s="18"/>
    </row>
    <row r="61" spans="1:9" x14ac:dyDescent="0.2">
      <c r="A61" s="26"/>
      <c r="B61" s="26"/>
      <c r="C61" s="26"/>
      <c r="D61" s="32"/>
      <c r="E61" s="33"/>
      <c r="F61" s="34"/>
      <c r="G61" s="18"/>
      <c r="H61" s="18"/>
      <c r="I61" s="18"/>
    </row>
    <row r="62" spans="1:9" x14ac:dyDescent="0.2">
      <c r="A62" s="35" t="s">
        <v>39</v>
      </c>
      <c r="B62" s="35"/>
      <c r="C62" s="35"/>
      <c r="D62" s="36"/>
      <c r="E62" s="37">
        <v>262385.79581669997</v>
      </c>
      <c r="F62" s="38">
        <v>100</v>
      </c>
      <c r="G62" s="18"/>
      <c r="H62" s="18"/>
      <c r="I62" s="18"/>
    </row>
    <row r="65" spans="1:4" x14ac:dyDescent="0.2">
      <c r="A65" s="18" t="s">
        <v>42</v>
      </c>
    </row>
    <row r="66" spans="1:4" x14ac:dyDescent="0.2">
      <c r="A66" s="18" t="s">
        <v>43</v>
      </c>
    </row>
    <row r="67" spans="1:4" x14ac:dyDescent="0.2">
      <c r="A67" s="18" t="s">
        <v>44</v>
      </c>
      <c r="B67" s="18"/>
      <c r="C67" s="39" t="s">
        <v>46</v>
      </c>
      <c r="D67" s="19" t="s">
        <v>45</v>
      </c>
    </row>
    <row r="68" spans="1:4" x14ac:dyDescent="0.2">
      <c r="A68" s="9" t="s">
        <v>70</v>
      </c>
      <c r="C68" s="40">
        <v>84.107600000000005</v>
      </c>
      <c r="D68" s="40">
        <v>106.8329</v>
      </c>
    </row>
    <row r="69" spans="1:4" x14ac:dyDescent="0.2">
      <c r="A69" s="9" t="s">
        <v>76</v>
      </c>
      <c r="C69" s="40">
        <v>14.744300000000001</v>
      </c>
      <c r="D69" s="40">
        <v>17.104800000000001</v>
      </c>
    </row>
    <row r="70" spans="1:4" x14ac:dyDescent="0.2">
      <c r="A70" s="9" t="s">
        <v>73</v>
      </c>
      <c r="C70" s="40">
        <v>89.289299999999997</v>
      </c>
      <c r="D70" s="40">
        <v>113.8524</v>
      </c>
    </row>
    <row r="71" spans="1:4" x14ac:dyDescent="0.2">
      <c r="A71" s="9" t="s">
        <v>77</v>
      </c>
      <c r="C71" s="40">
        <v>16.043700000000001</v>
      </c>
      <c r="D71" s="40">
        <v>18.831299999999999</v>
      </c>
    </row>
    <row r="73" spans="1:4" x14ac:dyDescent="0.2">
      <c r="A73" s="18" t="s">
        <v>48</v>
      </c>
    </row>
    <row r="74" spans="1:4" x14ac:dyDescent="0.2">
      <c r="A74" s="77" t="s">
        <v>67</v>
      </c>
      <c r="B74" s="78"/>
      <c r="C74" s="44" t="s">
        <v>68</v>
      </c>
    </row>
    <row r="75" spans="1:4" x14ac:dyDescent="0.2">
      <c r="A75" s="73" t="s">
        <v>76</v>
      </c>
      <c r="B75" s="74"/>
      <c r="C75" s="45">
        <v>1.5</v>
      </c>
    </row>
    <row r="76" spans="1:4" x14ac:dyDescent="0.2">
      <c r="A76" s="73" t="s">
        <v>77</v>
      </c>
      <c r="B76" s="74"/>
      <c r="C76" s="45">
        <v>1.5</v>
      </c>
    </row>
    <row r="77" spans="1:4" x14ac:dyDescent="0.2">
      <c r="A77" s="9" t="s">
        <v>69</v>
      </c>
    </row>
    <row r="78" spans="1:4" x14ac:dyDescent="0.2">
      <c r="A78" s="9" t="s">
        <v>47</v>
      </c>
    </row>
    <row r="80" spans="1:4" x14ac:dyDescent="0.2">
      <c r="A80" s="18" t="s">
        <v>226</v>
      </c>
      <c r="D80" s="46">
        <v>7.9699999999999993E-2</v>
      </c>
    </row>
    <row r="82" spans="1:1" x14ac:dyDescent="0.2">
      <c r="A82" s="18" t="s">
        <v>748</v>
      </c>
    </row>
    <row r="83" spans="1:1" x14ac:dyDescent="0.2">
      <c r="A83" s="47" t="s">
        <v>51</v>
      </c>
    </row>
  </sheetData>
  <mergeCells count="4">
    <mergeCell ref="A1:F1"/>
    <mergeCell ref="A74:B74"/>
    <mergeCell ref="A75:B75"/>
    <mergeCell ref="A76:B76"/>
  </mergeCells>
  <conditionalFormatting sqref="F2:F3 F5:F65533">
    <cfRule type="cellIs" dxfId="17" priority="1" stopIfTrue="1" operator="between">
      <formula>0.009</formula>
      <formula>-0.009</formula>
    </cfRule>
  </conditionalFormatting>
  <hyperlinks>
    <hyperlink ref="A83" r:id="rId1" xr:uid="{00000000-0004-0000-2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60"/>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18</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101</v>
      </c>
      <c r="D7" s="31">
        <v>9500000</v>
      </c>
      <c r="E7" s="29">
        <v>62961.25</v>
      </c>
      <c r="F7" s="30">
        <v>9.8693374956030109</v>
      </c>
    </row>
    <row r="8" spans="1:6" x14ac:dyDescent="0.2">
      <c r="A8" s="27" t="s">
        <v>136</v>
      </c>
      <c r="B8" s="27" t="s">
        <v>135</v>
      </c>
      <c r="C8" s="27" t="s">
        <v>101</v>
      </c>
      <c r="D8" s="31">
        <v>14000000</v>
      </c>
      <c r="E8" s="29">
        <v>59409</v>
      </c>
      <c r="F8" s="30">
        <v>9.3125131930557092</v>
      </c>
    </row>
    <row r="9" spans="1:6" x14ac:dyDescent="0.2">
      <c r="A9" s="27" t="s">
        <v>103</v>
      </c>
      <c r="B9" s="27" t="s">
        <v>102</v>
      </c>
      <c r="C9" s="27" t="s">
        <v>101</v>
      </c>
      <c r="D9" s="31">
        <v>6110861</v>
      </c>
      <c r="E9" s="29">
        <v>45874.233529999998</v>
      </c>
      <c r="F9" s="30">
        <v>7.1909038187723002</v>
      </c>
    </row>
    <row r="10" spans="1:6" x14ac:dyDescent="0.2">
      <c r="A10" s="27" t="s">
        <v>105</v>
      </c>
      <c r="B10" s="27" t="s">
        <v>104</v>
      </c>
      <c r="C10" s="27" t="s">
        <v>106</v>
      </c>
      <c r="D10" s="31">
        <v>2300000</v>
      </c>
      <c r="E10" s="29">
        <v>32056.25</v>
      </c>
      <c r="F10" s="30">
        <v>5.0248994436010097</v>
      </c>
    </row>
    <row r="11" spans="1:6" x14ac:dyDescent="0.2">
      <c r="A11" s="27" t="s">
        <v>113</v>
      </c>
      <c r="B11" s="27" t="s">
        <v>112</v>
      </c>
      <c r="C11" s="27" t="s">
        <v>114</v>
      </c>
      <c r="D11" s="31">
        <v>5547648</v>
      </c>
      <c r="E11" s="29">
        <v>29674.369149999999</v>
      </c>
      <c r="F11" s="30">
        <v>4.6515335084748202</v>
      </c>
    </row>
    <row r="12" spans="1:6" x14ac:dyDescent="0.2">
      <c r="A12" s="27" t="s">
        <v>194</v>
      </c>
      <c r="B12" s="27" t="s">
        <v>193</v>
      </c>
      <c r="C12" s="27" t="s">
        <v>195</v>
      </c>
      <c r="D12" s="31">
        <v>2000000</v>
      </c>
      <c r="E12" s="29">
        <v>29354</v>
      </c>
      <c r="F12" s="30">
        <v>4.6013148221474403</v>
      </c>
    </row>
    <row r="13" spans="1:6" x14ac:dyDescent="0.2">
      <c r="A13" s="27" t="s">
        <v>100</v>
      </c>
      <c r="B13" s="27" t="s">
        <v>99</v>
      </c>
      <c r="C13" s="27" t="s">
        <v>101</v>
      </c>
      <c r="D13" s="31">
        <v>1900000</v>
      </c>
      <c r="E13" s="29">
        <v>28801.15</v>
      </c>
      <c r="F13" s="30">
        <v>4.5146541660384196</v>
      </c>
    </row>
    <row r="14" spans="1:6" x14ac:dyDescent="0.2">
      <c r="A14" s="27" t="s">
        <v>147</v>
      </c>
      <c r="B14" s="27" t="s">
        <v>146</v>
      </c>
      <c r="C14" s="27" t="s">
        <v>145</v>
      </c>
      <c r="D14" s="31">
        <v>23503715</v>
      </c>
      <c r="E14" s="29">
        <v>25971.605080000001</v>
      </c>
      <c r="F14" s="30">
        <v>4.0711157392370296</v>
      </c>
    </row>
    <row r="15" spans="1:6" x14ac:dyDescent="0.2">
      <c r="A15" s="27" t="s">
        <v>525</v>
      </c>
      <c r="B15" s="27" t="s">
        <v>524</v>
      </c>
      <c r="C15" s="27" t="s">
        <v>131</v>
      </c>
      <c r="D15" s="31">
        <v>2450000</v>
      </c>
      <c r="E15" s="29">
        <v>23259.075000000001</v>
      </c>
      <c r="F15" s="30">
        <v>3.64591968886486</v>
      </c>
    </row>
    <row r="16" spans="1:6" x14ac:dyDescent="0.2">
      <c r="A16" s="27" t="s">
        <v>154</v>
      </c>
      <c r="B16" s="27" t="s">
        <v>153</v>
      </c>
      <c r="C16" s="27" t="s">
        <v>134</v>
      </c>
      <c r="D16" s="31">
        <v>4700000</v>
      </c>
      <c r="E16" s="29">
        <v>22184</v>
      </c>
      <c r="F16" s="30">
        <v>3.4773989239803398</v>
      </c>
    </row>
    <row r="17" spans="1:6" x14ac:dyDescent="0.2">
      <c r="A17" s="27" t="s">
        <v>218</v>
      </c>
      <c r="B17" s="27" t="s">
        <v>217</v>
      </c>
      <c r="C17" s="27" t="s">
        <v>125</v>
      </c>
      <c r="D17" s="31">
        <v>13000000</v>
      </c>
      <c r="E17" s="29">
        <v>20793.5</v>
      </c>
      <c r="F17" s="30">
        <v>3.2594344809676001</v>
      </c>
    </row>
    <row r="18" spans="1:6" x14ac:dyDescent="0.2">
      <c r="A18" s="27" t="s">
        <v>267</v>
      </c>
      <c r="B18" s="27" t="s">
        <v>266</v>
      </c>
      <c r="C18" s="27" t="s">
        <v>177</v>
      </c>
      <c r="D18" s="31">
        <v>1000000</v>
      </c>
      <c r="E18" s="29">
        <v>19860.5</v>
      </c>
      <c r="F18" s="30">
        <v>3.11318433689648</v>
      </c>
    </row>
    <row r="19" spans="1:6" x14ac:dyDescent="0.2">
      <c r="A19" s="27" t="s">
        <v>527</v>
      </c>
      <c r="B19" s="27" t="s">
        <v>526</v>
      </c>
      <c r="C19" s="27" t="s">
        <v>311</v>
      </c>
      <c r="D19" s="31">
        <v>1000000</v>
      </c>
      <c r="E19" s="29">
        <v>17589</v>
      </c>
      <c r="F19" s="30">
        <v>2.75712088324424</v>
      </c>
    </row>
    <row r="20" spans="1:6" x14ac:dyDescent="0.2">
      <c r="A20" s="27" t="s">
        <v>208</v>
      </c>
      <c r="B20" s="27" t="s">
        <v>207</v>
      </c>
      <c r="C20" s="27" t="s">
        <v>134</v>
      </c>
      <c r="D20" s="31">
        <v>16000000</v>
      </c>
      <c r="E20" s="29">
        <v>17480</v>
      </c>
      <c r="F20" s="30">
        <v>2.7400348535510402</v>
      </c>
    </row>
    <row r="21" spans="1:6" x14ac:dyDescent="0.2">
      <c r="A21" s="27" t="s">
        <v>222</v>
      </c>
      <c r="B21" s="27" t="s">
        <v>221</v>
      </c>
      <c r="C21" s="27" t="s">
        <v>101</v>
      </c>
      <c r="D21" s="31">
        <v>20000000</v>
      </c>
      <c r="E21" s="29">
        <v>17450</v>
      </c>
      <c r="F21" s="30">
        <v>2.7353322765712602</v>
      </c>
    </row>
    <row r="22" spans="1:6" x14ac:dyDescent="0.2">
      <c r="A22" s="27" t="s">
        <v>531</v>
      </c>
      <c r="B22" s="27" t="s">
        <v>530</v>
      </c>
      <c r="C22" s="27" t="s">
        <v>131</v>
      </c>
      <c r="D22" s="31">
        <v>1400000</v>
      </c>
      <c r="E22" s="29">
        <v>17073</v>
      </c>
      <c r="F22" s="30">
        <v>2.6762365591920498</v>
      </c>
    </row>
    <row r="23" spans="1:6" x14ac:dyDescent="0.2">
      <c r="A23" s="27" t="s">
        <v>556</v>
      </c>
      <c r="B23" s="27" t="s">
        <v>555</v>
      </c>
      <c r="C23" s="27" t="s">
        <v>177</v>
      </c>
      <c r="D23" s="31">
        <v>225000</v>
      </c>
      <c r="E23" s="29">
        <v>15093</v>
      </c>
      <c r="F23" s="30">
        <v>2.3658664785266499</v>
      </c>
    </row>
    <row r="24" spans="1:6" x14ac:dyDescent="0.2">
      <c r="A24" s="27" t="s">
        <v>265</v>
      </c>
      <c r="B24" s="27" t="s">
        <v>264</v>
      </c>
      <c r="C24" s="27" t="s">
        <v>128</v>
      </c>
      <c r="D24" s="31">
        <v>2200000</v>
      </c>
      <c r="E24" s="29">
        <v>13473.9</v>
      </c>
      <c r="F24" s="30">
        <v>2.1120683989279998</v>
      </c>
    </row>
    <row r="25" spans="1:6" x14ac:dyDescent="0.2">
      <c r="A25" s="27" t="s">
        <v>563</v>
      </c>
      <c r="B25" s="27" t="s">
        <v>562</v>
      </c>
      <c r="C25" s="27" t="s">
        <v>554</v>
      </c>
      <c r="D25" s="31">
        <v>1325000</v>
      </c>
      <c r="E25" s="29">
        <v>12927.362499999999</v>
      </c>
      <c r="F25" s="30">
        <v>2.0263972433917998</v>
      </c>
    </row>
    <row r="26" spans="1:6" x14ac:dyDescent="0.2">
      <c r="A26" s="27" t="s">
        <v>152</v>
      </c>
      <c r="B26" s="27" t="s">
        <v>151</v>
      </c>
      <c r="C26" s="27" t="s">
        <v>150</v>
      </c>
      <c r="D26" s="31">
        <v>300000</v>
      </c>
      <c r="E26" s="29">
        <v>12578.4</v>
      </c>
      <c r="F26" s="30">
        <v>1.9716964760816</v>
      </c>
    </row>
    <row r="27" spans="1:6" x14ac:dyDescent="0.2">
      <c r="A27" s="27" t="s">
        <v>471</v>
      </c>
      <c r="B27" s="27" t="s">
        <v>470</v>
      </c>
      <c r="C27" s="27" t="s">
        <v>408</v>
      </c>
      <c r="D27" s="31">
        <v>350000</v>
      </c>
      <c r="E27" s="29">
        <v>11090.625</v>
      </c>
      <c r="F27" s="30">
        <v>1.7384839272119299</v>
      </c>
    </row>
    <row r="28" spans="1:6" x14ac:dyDescent="0.2">
      <c r="A28" s="27" t="s">
        <v>176</v>
      </c>
      <c r="B28" s="27" t="s">
        <v>175</v>
      </c>
      <c r="C28" s="27" t="s">
        <v>177</v>
      </c>
      <c r="D28" s="31">
        <v>750000</v>
      </c>
      <c r="E28" s="29">
        <v>11034</v>
      </c>
      <c r="F28" s="30">
        <v>1.7296078131626</v>
      </c>
    </row>
    <row r="29" spans="1:6" x14ac:dyDescent="0.2">
      <c r="A29" s="27" t="s">
        <v>130</v>
      </c>
      <c r="B29" s="27" t="s">
        <v>129</v>
      </c>
      <c r="C29" s="27" t="s">
        <v>131</v>
      </c>
      <c r="D29" s="31">
        <v>200000</v>
      </c>
      <c r="E29" s="29">
        <v>10618.3</v>
      </c>
      <c r="F29" s="30">
        <v>1.66444577147946</v>
      </c>
    </row>
    <row r="30" spans="1:6" x14ac:dyDescent="0.2">
      <c r="A30" s="27" t="s">
        <v>144</v>
      </c>
      <c r="B30" s="27" t="s">
        <v>143</v>
      </c>
      <c r="C30" s="27" t="s">
        <v>145</v>
      </c>
      <c r="D30" s="31">
        <v>4500000</v>
      </c>
      <c r="E30" s="29">
        <v>10154.25</v>
      </c>
      <c r="F30" s="30">
        <v>1.59170474323059</v>
      </c>
    </row>
    <row r="31" spans="1:6" x14ac:dyDescent="0.2">
      <c r="A31" s="27" t="s">
        <v>565</v>
      </c>
      <c r="B31" s="27" t="s">
        <v>564</v>
      </c>
      <c r="C31" s="27" t="s">
        <v>177</v>
      </c>
      <c r="D31" s="31">
        <v>3000000</v>
      </c>
      <c r="E31" s="29">
        <v>9804</v>
      </c>
      <c r="F31" s="30">
        <v>1.5368021569916701</v>
      </c>
    </row>
    <row r="32" spans="1:6" x14ac:dyDescent="0.2">
      <c r="A32" s="27" t="s">
        <v>121</v>
      </c>
      <c r="B32" s="27" t="s">
        <v>120</v>
      </c>
      <c r="C32" s="27" t="s">
        <v>122</v>
      </c>
      <c r="D32" s="31">
        <v>1500000</v>
      </c>
      <c r="E32" s="29">
        <v>5913.75</v>
      </c>
      <c r="F32" s="30">
        <v>0.92699548713887203</v>
      </c>
    </row>
    <row r="33" spans="1:9" x14ac:dyDescent="0.2">
      <c r="A33" s="26" t="s">
        <v>35</v>
      </c>
      <c r="B33" s="26"/>
      <c r="C33" s="26"/>
      <c r="D33" s="32"/>
      <c r="E33" s="33">
        <f>SUM(E7:E32)</f>
        <v>582478.52026000014</v>
      </c>
      <c r="F33" s="34">
        <f>SUM(F7:F32)</f>
        <v>91.305002686340771</v>
      </c>
      <c r="G33" s="18"/>
      <c r="H33" s="18"/>
      <c r="I33" s="18"/>
    </row>
    <row r="34" spans="1:9" x14ac:dyDescent="0.2">
      <c r="A34" s="27"/>
      <c r="B34" s="27"/>
      <c r="C34" s="27"/>
      <c r="D34" s="28"/>
      <c r="E34" s="29"/>
      <c r="F34" s="30"/>
    </row>
    <row r="35" spans="1:9" x14ac:dyDescent="0.2">
      <c r="A35" s="26" t="s">
        <v>38</v>
      </c>
      <c r="B35" s="26"/>
      <c r="C35" s="26"/>
      <c r="D35" s="32"/>
      <c r="E35" s="33">
        <f>E33</f>
        <v>582478.52026000014</v>
      </c>
      <c r="F35" s="34">
        <f>F33</f>
        <v>91.305002686340771</v>
      </c>
      <c r="G35" s="18"/>
      <c r="H35" s="18"/>
      <c r="I35" s="18"/>
    </row>
    <row r="36" spans="1:9" x14ac:dyDescent="0.2">
      <c r="A36" s="26"/>
      <c r="B36" s="26"/>
      <c r="C36" s="26"/>
      <c r="D36" s="32"/>
      <c r="E36" s="33"/>
      <c r="F36" s="34"/>
      <c r="G36" s="18"/>
      <c r="H36" s="18"/>
      <c r="I36" s="18"/>
    </row>
    <row r="37" spans="1:9" x14ac:dyDescent="0.2">
      <c r="A37" s="26" t="s">
        <v>40</v>
      </c>
      <c r="B37" s="26"/>
      <c r="C37" s="26"/>
      <c r="D37" s="32"/>
      <c r="E37" s="33">
        <f>E39-(E33)</f>
        <v>55469.569244999904</v>
      </c>
      <c r="F37" s="34">
        <f>F39-(F33)</f>
        <v>8.6949973136592291</v>
      </c>
      <c r="G37" s="18"/>
      <c r="H37" s="18"/>
      <c r="I37" s="18"/>
    </row>
    <row r="38" spans="1:9" x14ac:dyDescent="0.2">
      <c r="A38" s="26"/>
      <c r="B38" s="26"/>
      <c r="C38" s="26"/>
      <c r="D38" s="32"/>
      <c r="E38" s="33"/>
      <c r="F38" s="34"/>
      <c r="G38" s="18"/>
      <c r="H38" s="18"/>
      <c r="I38" s="18"/>
    </row>
    <row r="39" spans="1:9" x14ac:dyDescent="0.2">
      <c r="A39" s="35" t="s">
        <v>39</v>
      </c>
      <c r="B39" s="35"/>
      <c r="C39" s="35"/>
      <c r="D39" s="36"/>
      <c r="E39" s="37">
        <v>637948.08950500004</v>
      </c>
      <c r="F39" s="38">
        <v>100</v>
      </c>
      <c r="G39" s="18"/>
      <c r="H39" s="18"/>
      <c r="I39" s="18"/>
    </row>
    <row r="42" spans="1:9" x14ac:dyDescent="0.2">
      <c r="A42" s="18" t="s">
        <v>42</v>
      </c>
    </row>
    <row r="43" spans="1:9" x14ac:dyDescent="0.2">
      <c r="A43" s="18" t="s">
        <v>43</v>
      </c>
    </row>
    <row r="44" spans="1:9" x14ac:dyDescent="0.2">
      <c r="A44" s="18" t="s">
        <v>44</v>
      </c>
      <c r="B44" s="18"/>
      <c r="C44" s="39" t="s">
        <v>46</v>
      </c>
      <c r="D44" s="19" t="s">
        <v>45</v>
      </c>
    </row>
    <row r="45" spans="1:9" x14ac:dyDescent="0.2">
      <c r="A45" s="9" t="s">
        <v>70</v>
      </c>
      <c r="C45" s="40">
        <v>498.0915</v>
      </c>
      <c r="D45" s="40">
        <v>648.96019999999999</v>
      </c>
    </row>
    <row r="46" spans="1:9" x14ac:dyDescent="0.2">
      <c r="A46" s="9" t="s">
        <v>76</v>
      </c>
      <c r="C46" s="40">
        <v>36.6875</v>
      </c>
      <c r="D46" s="40">
        <v>43.737099999999998</v>
      </c>
    </row>
    <row r="47" spans="1:9" x14ac:dyDescent="0.2">
      <c r="A47" s="9" t="s">
        <v>73</v>
      </c>
      <c r="C47" s="40">
        <v>531.55359999999996</v>
      </c>
      <c r="D47" s="40">
        <v>695.10709999999995</v>
      </c>
    </row>
    <row r="48" spans="1:9" x14ac:dyDescent="0.2">
      <c r="A48" s="9" t="s">
        <v>77</v>
      </c>
      <c r="C48" s="40">
        <v>40.247199999999999</v>
      </c>
      <c r="D48" s="40">
        <v>48.557200000000002</v>
      </c>
    </row>
    <row r="50" spans="1:4" x14ac:dyDescent="0.2">
      <c r="A50" s="18" t="s">
        <v>48</v>
      </c>
    </row>
    <row r="51" spans="1:4" x14ac:dyDescent="0.2">
      <c r="A51" s="77" t="s">
        <v>67</v>
      </c>
      <c r="B51" s="78"/>
      <c r="C51" s="44" t="s">
        <v>68</v>
      </c>
    </row>
    <row r="52" spans="1:4" x14ac:dyDescent="0.2">
      <c r="A52" s="73" t="s">
        <v>76</v>
      </c>
      <c r="B52" s="74"/>
      <c r="C52" s="45">
        <v>3.5</v>
      </c>
    </row>
    <row r="53" spans="1:4" x14ac:dyDescent="0.2">
      <c r="A53" s="73" t="s">
        <v>77</v>
      </c>
      <c r="B53" s="74"/>
      <c r="C53" s="45">
        <v>3.5</v>
      </c>
    </row>
    <row r="54" spans="1:4" x14ac:dyDescent="0.2">
      <c r="A54" s="9" t="s">
        <v>69</v>
      </c>
    </row>
    <row r="55" spans="1:4" x14ac:dyDescent="0.2">
      <c r="A55" s="9" t="s">
        <v>47</v>
      </c>
    </row>
    <row r="57" spans="1:4" x14ac:dyDescent="0.2">
      <c r="A57" s="18" t="s">
        <v>226</v>
      </c>
      <c r="D57" s="46">
        <v>0.1048</v>
      </c>
    </row>
    <row r="59" spans="1:4" x14ac:dyDescent="0.2">
      <c r="A59" s="18" t="s">
        <v>748</v>
      </c>
    </row>
    <row r="60" spans="1:4" x14ac:dyDescent="0.2">
      <c r="A60" s="47" t="s">
        <v>51</v>
      </c>
    </row>
  </sheetData>
  <mergeCells count="4">
    <mergeCell ref="A1:F1"/>
    <mergeCell ref="A51:B51"/>
    <mergeCell ref="A52:B52"/>
    <mergeCell ref="A53:B53"/>
  </mergeCells>
  <conditionalFormatting sqref="F2:F3 F5:F65533">
    <cfRule type="cellIs" dxfId="16" priority="1" stopIfTrue="1" operator="between">
      <formula>0.009</formula>
      <formula>-0.009</formula>
    </cfRule>
  </conditionalFormatting>
  <hyperlinks>
    <hyperlink ref="A60" r:id="rId1" xr:uid="{00000000-0004-0000-2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60"/>
  <sheetViews>
    <sheetView workbookViewId="0">
      <selection sqref="A1:F1"/>
    </sheetView>
  </sheetViews>
  <sheetFormatPr defaultColWidth="9.109375" defaultRowHeight="10.199999999999999" x14ac:dyDescent="0.2"/>
  <cols>
    <col min="1" max="1" width="38.6640625" style="9" bestFit="1" customWidth="1"/>
    <col min="2" max="2" width="25.88671875" style="9" bestFit="1" customWidth="1"/>
    <col min="3" max="3" width="24.6640625" style="9" bestFit="1" customWidth="1"/>
    <col min="4" max="4" width="15.5546875" style="10" bestFit="1" customWidth="1"/>
    <col min="5" max="5" width="23" style="13" bestFit="1" customWidth="1"/>
    <col min="6" max="6" width="13.5546875" style="14" bestFit="1" customWidth="1"/>
    <col min="7" max="16384" width="9.109375" style="9"/>
  </cols>
  <sheetData>
    <row r="1" spans="1:6" s="1" customFormat="1" ht="13.8" x14ac:dyDescent="0.2">
      <c r="A1" s="75" t="s">
        <v>19</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136</v>
      </c>
      <c r="B7" s="27" t="s">
        <v>135</v>
      </c>
      <c r="C7" s="27" t="s">
        <v>101</v>
      </c>
      <c r="D7" s="31">
        <v>2500000</v>
      </c>
      <c r="E7" s="29">
        <v>10608.75</v>
      </c>
      <c r="F7" s="30">
        <v>10.3187719929492</v>
      </c>
    </row>
    <row r="8" spans="1:6" x14ac:dyDescent="0.2">
      <c r="A8" s="27" t="s">
        <v>108</v>
      </c>
      <c r="B8" s="27" t="s">
        <v>107</v>
      </c>
      <c r="C8" s="27" t="s">
        <v>101</v>
      </c>
      <c r="D8" s="31">
        <v>1500000</v>
      </c>
      <c r="E8" s="29">
        <v>9941.25</v>
      </c>
      <c r="F8" s="30">
        <v>9.6695173394515201</v>
      </c>
    </row>
    <row r="9" spans="1:6" x14ac:dyDescent="0.2">
      <c r="A9" s="27" t="s">
        <v>103</v>
      </c>
      <c r="B9" s="27" t="s">
        <v>102</v>
      </c>
      <c r="C9" s="27" t="s">
        <v>101</v>
      </c>
      <c r="D9" s="31">
        <v>1138801</v>
      </c>
      <c r="E9" s="29">
        <v>8548.9791069999992</v>
      </c>
      <c r="F9" s="30">
        <v>8.3153025735943906</v>
      </c>
    </row>
    <row r="10" spans="1:6" x14ac:dyDescent="0.2">
      <c r="A10" s="27" t="s">
        <v>113</v>
      </c>
      <c r="B10" s="27" t="s">
        <v>112</v>
      </c>
      <c r="C10" s="27" t="s">
        <v>114</v>
      </c>
      <c r="D10" s="31">
        <v>1000000</v>
      </c>
      <c r="E10" s="29">
        <v>5349</v>
      </c>
      <c r="F10" s="30">
        <v>5.2027912233095597</v>
      </c>
    </row>
    <row r="11" spans="1:6" x14ac:dyDescent="0.2">
      <c r="A11" s="27" t="s">
        <v>147</v>
      </c>
      <c r="B11" s="27" t="s">
        <v>146</v>
      </c>
      <c r="C11" s="27" t="s">
        <v>145</v>
      </c>
      <c r="D11" s="31">
        <v>4600000</v>
      </c>
      <c r="E11" s="29">
        <v>5083</v>
      </c>
      <c r="F11" s="30">
        <v>4.9440620280580498</v>
      </c>
    </row>
    <row r="12" spans="1:6" x14ac:dyDescent="0.2">
      <c r="A12" s="27" t="s">
        <v>208</v>
      </c>
      <c r="B12" s="27" t="s">
        <v>207</v>
      </c>
      <c r="C12" s="27" t="s">
        <v>134</v>
      </c>
      <c r="D12" s="31">
        <v>4500000</v>
      </c>
      <c r="E12" s="29">
        <v>4916.25</v>
      </c>
      <c r="F12" s="30">
        <v>4.7818699479520701</v>
      </c>
    </row>
    <row r="13" spans="1:6" x14ac:dyDescent="0.2">
      <c r="A13" s="27" t="s">
        <v>424</v>
      </c>
      <c r="B13" s="27" t="s">
        <v>423</v>
      </c>
      <c r="C13" s="27" t="s">
        <v>177</v>
      </c>
      <c r="D13" s="31">
        <v>900000</v>
      </c>
      <c r="E13" s="29">
        <v>4883.8500000000004</v>
      </c>
      <c r="F13" s="30">
        <v>4.75035556477106</v>
      </c>
    </row>
    <row r="14" spans="1:6" x14ac:dyDescent="0.2">
      <c r="A14" s="27" t="s">
        <v>154</v>
      </c>
      <c r="B14" s="27" t="s">
        <v>153</v>
      </c>
      <c r="C14" s="27" t="s">
        <v>134</v>
      </c>
      <c r="D14" s="31">
        <v>1000000</v>
      </c>
      <c r="E14" s="29">
        <v>4720</v>
      </c>
      <c r="F14" s="30">
        <v>4.5909842164930099</v>
      </c>
    </row>
    <row r="15" spans="1:6" x14ac:dyDescent="0.2">
      <c r="A15" s="27" t="s">
        <v>529</v>
      </c>
      <c r="B15" s="27" t="s">
        <v>528</v>
      </c>
      <c r="C15" s="27" t="s">
        <v>211</v>
      </c>
      <c r="D15" s="31">
        <v>675000</v>
      </c>
      <c r="E15" s="29">
        <v>4160.0249999999996</v>
      </c>
      <c r="F15" s="30">
        <v>4.0463154905119403</v>
      </c>
    </row>
    <row r="16" spans="1:6" x14ac:dyDescent="0.2">
      <c r="A16" s="27" t="s">
        <v>218</v>
      </c>
      <c r="B16" s="27" t="s">
        <v>217</v>
      </c>
      <c r="C16" s="27" t="s">
        <v>125</v>
      </c>
      <c r="D16" s="31">
        <v>2400000</v>
      </c>
      <c r="E16" s="29">
        <v>3838.8</v>
      </c>
      <c r="F16" s="30">
        <v>3.7338708072613098</v>
      </c>
    </row>
    <row r="17" spans="1:6" x14ac:dyDescent="0.2">
      <c r="A17" s="27" t="s">
        <v>267</v>
      </c>
      <c r="B17" s="27" t="s">
        <v>266</v>
      </c>
      <c r="C17" s="27" t="s">
        <v>177</v>
      </c>
      <c r="D17" s="31">
        <v>175000</v>
      </c>
      <c r="E17" s="29">
        <v>3475.5875000000001</v>
      </c>
      <c r="F17" s="30">
        <v>3.38058630413992</v>
      </c>
    </row>
    <row r="18" spans="1:6" x14ac:dyDescent="0.2">
      <c r="A18" s="27" t="s">
        <v>194</v>
      </c>
      <c r="B18" s="27" t="s">
        <v>193</v>
      </c>
      <c r="C18" s="27" t="s">
        <v>195</v>
      </c>
      <c r="D18" s="31">
        <v>235000</v>
      </c>
      <c r="E18" s="29">
        <v>3449.0949999999998</v>
      </c>
      <c r="F18" s="30">
        <v>3.35481794622563</v>
      </c>
    </row>
    <row r="19" spans="1:6" x14ac:dyDescent="0.2">
      <c r="A19" s="27" t="s">
        <v>389</v>
      </c>
      <c r="B19" s="27" t="s">
        <v>388</v>
      </c>
      <c r="C19" s="27" t="s">
        <v>376</v>
      </c>
      <c r="D19" s="31">
        <v>700000</v>
      </c>
      <c r="E19" s="29">
        <v>3438.75</v>
      </c>
      <c r="F19" s="30">
        <v>3.3447557149291001</v>
      </c>
    </row>
    <row r="20" spans="1:6" x14ac:dyDescent="0.2">
      <c r="A20" s="27" t="s">
        <v>527</v>
      </c>
      <c r="B20" s="27" t="s">
        <v>526</v>
      </c>
      <c r="C20" s="27" t="s">
        <v>311</v>
      </c>
      <c r="D20" s="31">
        <v>175000</v>
      </c>
      <c r="E20" s="29">
        <v>3078.0749999999998</v>
      </c>
      <c r="F20" s="30">
        <v>2.9939393521571498</v>
      </c>
    </row>
    <row r="21" spans="1:6" x14ac:dyDescent="0.2">
      <c r="A21" s="27" t="s">
        <v>535</v>
      </c>
      <c r="B21" s="27" t="s">
        <v>534</v>
      </c>
      <c r="C21" s="27" t="s">
        <v>119</v>
      </c>
      <c r="D21" s="31">
        <v>550000</v>
      </c>
      <c r="E21" s="29">
        <v>2580.6</v>
      </c>
      <c r="F21" s="30">
        <v>2.5100622603987</v>
      </c>
    </row>
    <row r="22" spans="1:6" x14ac:dyDescent="0.2">
      <c r="A22" s="27" t="s">
        <v>249</v>
      </c>
      <c r="B22" s="27" t="s">
        <v>248</v>
      </c>
      <c r="C22" s="27" t="s">
        <v>211</v>
      </c>
      <c r="D22" s="31">
        <v>525000</v>
      </c>
      <c r="E22" s="29">
        <v>2318.1374999999998</v>
      </c>
      <c r="F22" s="30">
        <v>2.2547738716441899</v>
      </c>
    </row>
    <row r="23" spans="1:6" x14ac:dyDescent="0.2">
      <c r="A23" s="27" t="s">
        <v>567</v>
      </c>
      <c r="B23" s="27" t="s">
        <v>566</v>
      </c>
      <c r="C23" s="27" t="s">
        <v>311</v>
      </c>
      <c r="D23" s="31">
        <v>2000000</v>
      </c>
      <c r="E23" s="29">
        <v>2156</v>
      </c>
      <c r="F23" s="30">
        <v>2.0970682141438401</v>
      </c>
    </row>
    <row r="24" spans="1:6" x14ac:dyDescent="0.2">
      <c r="A24" s="27" t="s">
        <v>569</v>
      </c>
      <c r="B24" s="27" t="s">
        <v>568</v>
      </c>
      <c r="C24" s="27" t="s">
        <v>376</v>
      </c>
      <c r="D24" s="31">
        <v>2233265</v>
      </c>
      <c r="E24" s="29">
        <v>1820.1109750000001</v>
      </c>
      <c r="F24" s="30">
        <v>1.7703603301887101</v>
      </c>
    </row>
    <row r="25" spans="1:6" x14ac:dyDescent="0.2">
      <c r="A25" s="27" t="s">
        <v>537</v>
      </c>
      <c r="B25" s="27" t="s">
        <v>536</v>
      </c>
      <c r="C25" s="27" t="s">
        <v>376</v>
      </c>
      <c r="D25" s="31">
        <v>2100000</v>
      </c>
      <c r="E25" s="29">
        <v>1711.5</v>
      </c>
      <c r="F25" s="30">
        <v>1.6647181115525</v>
      </c>
    </row>
    <row r="26" spans="1:6" x14ac:dyDescent="0.2">
      <c r="A26" s="27" t="s">
        <v>269</v>
      </c>
      <c r="B26" s="27" t="s">
        <v>268</v>
      </c>
      <c r="C26" s="27" t="s">
        <v>270</v>
      </c>
      <c r="D26" s="31">
        <v>1400000</v>
      </c>
      <c r="E26" s="29">
        <v>1591.1</v>
      </c>
      <c r="F26" s="30">
        <v>1.5476091073860201</v>
      </c>
    </row>
    <row r="27" spans="1:6" x14ac:dyDescent="0.2">
      <c r="A27" s="27" t="s">
        <v>571</v>
      </c>
      <c r="B27" s="27" t="s">
        <v>570</v>
      </c>
      <c r="C27" s="27" t="s">
        <v>211</v>
      </c>
      <c r="D27" s="31">
        <v>1200000</v>
      </c>
      <c r="E27" s="29">
        <v>1400.4</v>
      </c>
      <c r="F27" s="30">
        <v>1.36212167304594</v>
      </c>
    </row>
    <row r="28" spans="1:6" x14ac:dyDescent="0.2">
      <c r="A28" s="27" t="s">
        <v>485</v>
      </c>
      <c r="B28" s="27" t="s">
        <v>484</v>
      </c>
      <c r="C28" s="27" t="s">
        <v>311</v>
      </c>
      <c r="D28" s="31">
        <v>200000</v>
      </c>
      <c r="E28" s="29">
        <v>1367.8</v>
      </c>
      <c r="F28" s="30">
        <v>1.33041275663541</v>
      </c>
    </row>
    <row r="29" spans="1:6" x14ac:dyDescent="0.2">
      <c r="A29" s="27" t="s">
        <v>573</v>
      </c>
      <c r="B29" s="27" t="s">
        <v>572</v>
      </c>
      <c r="C29" s="27" t="s">
        <v>311</v>
      </c>
      <c r="D29" s="31">
        <v>425000</v>
      </c>
      <c r="E29" s="29">
        <v>1247.8</v>
      </c>
      <c r="F29" s="30">
        <v>1.2136928189279601</v>
      </c>
    </row>
    <row r="30" spans="1:6" x14ac:dyDescent="0.2">
      <c r="A30" s="27" t="s">
        <v>446</v>
      </c>
      <c r="B30" s="27" t="s">
        <v>445</v>
      </c>
      <c r="C30" s="27" t="s">
        <v>211</v>
      </c>
      <c r="D30" s="31">
        <v>250000</v>
      </c>
      <c r="E30" s="29">
        <v>1194.25</v>
      </c>
      <c r="F30" s="30">
        <v>1.1616065467260099</v>
      </c>
    </row>
    <row r="31" spans="1:6" x14ac:dyDescent="0.2">
      <c r="A31" s="27" t="s">
        <v>144</v>
      </c>
      <c r="B31" s="27" t="s">
        <v>143</v>
      </c>
      <c r="C31" s="27" t="s">
        <v>145</v>
      </c>
      <c r="D31" s="31">
        <v>500000</v>
      </c>
      <c r="E31" s="29">
        <v>1128.25</v>
      </c>
      <c r="F31" s="30">
        <v>1.0974105809869199</v>
      </c>
    </row>
    <row r="32" spans="1:6" x14ac:dyDescent="0.2">
      <c r="A32" s="27" t="s">
        <v>575</v>
      </c>
      <c r="B32" s="27" t="s">
        <v>574</v>
      </c>
      <c r="C32" s="27" t="s">
        <v>554</v>
      </c>
      <c r="D32" s="31">
        <v>600000</v>
      </c>
      <c r="E32" s="29">
        <v>979.8</v>
      </c>
      <c r="F32" s="30">
        <v>0.95301829138132499</v>
      </c>
    </row>
    <row r="33" spans="1:9" x14ac:dyDescent="0.2">
      <c r="A33" s="26" t="s">
        <v>35</v>
      </c>
      <c r="B33" s="26"/>
      <c r="C33" s="26"/>
      <c r="D33" s="32"/>
      <c r="E33" s="33">
        <f>SUM(E7:E32)</f>
        <v>94987.160082000017</v>
      </c>
      <c r="F33" s="34">
        <f>SUM(F7:F32)</f>
        <v>92.390795064821432</v>
      </c>
      <c r="G33" s="18"/>
      <c r="H33" s="18"/>
      <c r="I33" s="18"/>
    </row>
    <row r="34" spans="1:9" x14ac:dyDescent="0.2">
      <c r="A34" s="27"/>
      <c r="B34" s="27"/>
      <c r="C34" s="27"/>
      <c r="D34" s="28"/>
      <c r="E34" s="29"/>
      <c r="F34" s="30"/>
    </row>
    <row r="35" spans="1:9" x14ac:dyDescent="0.2">
      <c r="A35" s="26" t="s">
        <v>38</v>
      </c>
      <c r="B35" s="26"/>
      <c r="C35" s="26"/>
      <c r="D35" s="32"/>
      <c r="E35" s="33">
        <f>E33</f>
        <v>94987.160082000017</v>
      </c>
      <c r="F35" s="34">
        <f>F33</f>
        <v>92.390795064821432</v>
      </c>
      <c r="G35" s="18"/>
      <c r="H35" s="18"/>
      <c r="I35" s="18"/>
    </row>
    <row r="36" spans="1:9" x14ac:dyDescent="0.2">
      <c r="A36" s="26"/>
      <c r="B36" s="26"/>
      <c r="C36" s="26"/>
      <c r="D36" s="32"/>
      <c r="E36" s="33"/>
      <c r="F36" s="34"/>
      <c r="G36" s="18"/>
      <c r="H36" s="18"/>
      <c r="I36" s="18"/>
    </row>
    <row r="37" spans="1:9" x14ac:dyDescent="0.2">
      <c r="A37" s="26" t="s">
        <v>40</v>
      </c>
      <c r="B37" s="26"/>
      <c r="C37" s="26"/>
      <c r="D37" s="32"/>
      <c r="E37" s="33">
        <f>E39-(E33)</f>
        <v>7823.0387211999769</v>
      </c>
      <c r="F37" s="34">
        <f>F39-(F33)</f>
        <v>7.6092049351785676</v>
      </c>
      <c r="G37" s="18"/>
      <c r="H37" s="18"/>
      <c r="I37" s="18"/>
    </row>
    <row r="38" spans="1:9" x14ac:dyDescent="0.2">
      <c r="A38" s="26"/>
      <c r="B38" s="26"/>
      <c r="C38" s="26"/>
      <c r="D38" s="32"/>
      <c r="E38" s="33"/>
      <c r="F38" s="34"/>
      <c r="G38" s="18"/>
      <c r="H38" s="18"/>
      <c r="I38" s="18"/>
    </row>
    <row r="39" spans="1:9" x14ac:dyDescent="0.2">
      <c r="A39" s="35" t="s">
        <v>39</v>
      </c>
      <c r="B39" s="35"/>
      <c r="C39" s="35"/>
      <c r="D39" s="36"/>
      <c r="E39" s="37">
        <v>102810.19880319999</v>
      </c>
      <c r="F39" s="38">
        <v>100</v>
      </c>
      <c r="G39" s="18"/>
      <c r="H39" s="18"/>
      <c r="I39" s="18"/>
    </row>
    <row r="42" spans="1:9" x14ac:dyDescent="0.2">
      <c r="A42" s="18" t="s">
        <v>42</v>
      </c>
    </row>
    <row r="43" spans="1:9" x14ac:dyDescent="0.2">
      <c r="A43" s="18" t="s">
        <v>43</v>
      </c>
    </row>
    <row r="44" spans="1:9" x14ac:dyDescent="0.2">
      <c r="A44" s="18" t="s">
        <v>44</v>
      </c>
      <c r="B44" s="18"/>
      <c r="C44" s="39" t="s">
        <v>46</v>
      </c>
      <c r="D44" s="19" t="s">
        <v>45</v>
      </c>
    </row>
    <row r="45" spans="1:9" x14ac:dyDescent="0.2">
      <c r="A45" s="9" t="s">
        <v>70</v>
      </c>
      <c r="C45" s="40">
        <v>40.086300000000001</v>
      </c>
      <c r="D45" s="40">
        <v>55.411099999999998</v>
      </c>
    </row>
    <row r="46" spans="1:9" x14ac:dyDescent="0.2">
      <c r="A46" s="9" t="s">
        <v>76</v>
      </c>
      <c r="C46" s="40">
        <v>19.158899999999999</v>
      </c>
      <c r="D46" s="40">
        <v>24.3125</v>
      </c>
    </row>
    <row r="47" spans="1:9" x14ac:dyDescent="0.2">
      <c r="A47" s="9" t="s">
        <v>73</v>
      </c>
      <c r="C47" s="40">
        <v>43.942599999999999</v>
      </c>
      <c r="D47" s="40">
        <v>61.055500000000002</v>
      </c>
    </row>
    <row r="48" spans="1:9" x14ac:dyDescent="0.2">
      <c r="A48" s="9" t="s">
        <v>77</v>
      </c>
      <c r="C48" s="40">
        <v>21.688300000000002</v>
      </c>
      <c r="D48" s="40">
        <v>27.954000000000001</v>
      </c>
    </row>
    <row r="50" spans="1:4" x14ac:dyDescent="0.2">
      <c r="A50" s="18" t="s">
        <v>48</v>
      </c>
    </row>
    <row r="51" spans="1:4" x14ac:dyDescent="0.2">
      <c r="A51" s="77" t="s">
        <v>67</v>
      </c>
      <c r="B51" s="78"/>
      <c r="C51" s="44" t="s">
        <v>68</v>
      </c>
    </row>
    <row r="52" spans="1:4" x14ac:dyDescent="0.2">
      <c r="A52" s="73" t="s">
        <v>76</v>
      </c>
      <c r="B52" s="74"/>
      <c r="C52" s="45">
        <v>1.75</v>
      </c>
    </row>
    <row r="53" spans="1:4" x14ac:dyDescent="0.2">
      <c r="A53" s="73" t="s">
        <v>77</v>
      </c>
      <c r="B53" s="74"/>
      <c r="C53" s="45">
        <v>1.75</v>
      </c>
    </row>
    <row r="54" spans="1:4" x14ac:dyDescent="0.2">
      <c r="A54" s="9" t="s">
        <v>69</v>
      </c>
    </row>
    <row r="55" spans="1:4" x14ac:dyDescent="0.2">
      <c r="A55" s="9" t="s">
        <v>47</v>
      </c>
    </row>
    <row r="57" spans="1:4" x14ac:dyDescent="0.2">
      <c r="A57" s="18" t="s">
        <v>226</v>
      </c>
      <c r="D57" s="46">
        <v>1.4999999999999999E-2</v>
      </c>
    </row>
    <row r="59" spans="1:4" x14ac:dyDescent="0.2">
      <c r="A59" s="18" t="s">
        <v>748</v>
      </c>
    </row>
    <row r="60" spans="1:4" x14ac:dyDescent="0.2">
      <c r="A60" s="47" t="s">
        <v>51</v>
      </c>
    </row>
  </sheetData>
  <mergeCells count="4">
    <mergeCell ref="A1:F1"/>
    <mergeCell ref="A51:B51"/>
    <mergeCell ref="A52:B52"/>
    <mergeCell ref="A53:B53"/>
  </mergeCells>
  <conditionalFormatting sqref="F2:F3 F5:F65534">
    <cfRule type="cellIs" dxfId="15" priority="1" stopIfTrue="1" operator="between">
      <formula>0.009</formula>
      <formula>-0.009</formula>
    </cfRule>
  </conditionalFormatting>
  <hyperlinks>
    <hyperlink ref="A60" r:id="rId1" xr:uid="{00000000-0004-0000-2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35.6640625"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75" t="s">
        <v>20</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108</v>
      </c>
      <c r="B7" s="27" t="s">
        <v>107</v>
      </c>
      <c r="C7" s="27" t="s">
        <v>101</v>
      </c>
      <c r="D7" s="31">
        <v>98013</v>
      </c>
      <c r="E7" s="29">
        <v>649.58115750000002</v>
      </c>
      <c r="F7" s="30">
        <v>2.3480024461920599</v>
      </c>
    </row>
    <row r="8" spans="1:6" x14ac:dyDescent="0.2">
      <c r="A8" s="27" t="s">
        <v>100</v>
      </c>
      <c r="B8" s="27" t="s">
        <v>99</v>
      </c>
      <c r="C8" s="27" t="s">
        <v>101</v>
      </c>
      <c r="D8" s="31">
        <v>35094</v>
      </c>
      <c r="E8" s="29">
        <v>531.972399</v>
      </c>
      <c r="F8" s="30">
        <v>1.9228890489463699</v>
      </c>
    </row>
    <row r="9" spans="1:6" x14ac:dyDescent="0.2">
      <c r="A9" s="27" t="s">
        <v>116</v>
      </c>
      <c r="B9" s="27" t="s">
        <v>115</v>
      </c>
      <c r="C9" s="27" t="s">
        <v>101</v>
      </c>
      <c r="D9" s="31">
        <v>22917</v>
      </c>
      <c r="E9" s="29">
        <v>414.27060899999998</v>
      </c>
      <c r="F9" s="30">
        <v>1.4974393762606499</v>
      </c>
    </row>
    <row r="10" spans="1:6" x14ac:dyDescent="0.2">
      <c r="A10" s="27" t="s">
        <v>194</v>
      </c>
      <c r="B10" s="27" t="s">
        <v>193</v>
      </c>
      <c r="C10" s="27" t="s">
        <v>195</v>
      </c>
      <c r="D10" s="31">
        <v>22989</v>
      </c>
      <c r="E10" s="29">
        <v>337.40955300000002</v>
      </c>
      <c r="F10" s="30">
        <v>1.2196142801641701</v>
      </c>
    </row>
    <row r="11" spans="1:6" x14ac:dyDescent="0.2">
      <c r="A11" s="27" t="s">
        <v>203</v>
      </c>
      <c r="B11" s="27" t="s">
        <v>202</v>
      </c>
      <c r="C11" s="27" t="s">
        <v>204</v>
      </c>
      <c r="D11" s="31">
        <v>235400</v>
      </c>
      <c r="E11" s="29">
        <v>327.91219999999998</v>
      </c>
      <c r="F11" s="30">
        <v>1.18528476210645</v>
      </c>
    </row>
    <row r="12" spans="1:6" x14ac:dyDescent="0.2">
      <c r="A12" s="27" t="s">
        <v>121</v>
      </c>
      <c r="B12" s="27" t="s">
        <v>120</v>
      </c>
      <c r="C12" s="27" t="s">
        <v>122</v>
      </c>
      <c r="D12" s="31">
        <v>72567</v>
      </c>
      <c r="E12" s="29">
        <v>286.09539749999999</v>
      </c>
      <c r="F12" s="30">
        <v>1.03413204865674</v>
      </c>
    </row>
    <row r="13" spans="1:6" x14ac:dyDescent="0.2">
      <c r="A13" s="27" t="s">
        <v>577</v>
      </c>
      <c r="B13" s="27" t="s">
        <v>576</v>
      </c>
      <c r="C13" s="27" t="s">
        <v>376</v>
      </c>
      <c r="D13" s="31">
        <v>20861</v>
      </c>
      <c r="E13" s="29">
        <v>285.73311699999999</v>
      </c>
      <c r="F13" s="30">
        <v>1.0328225348409701</v>
      </c>
    </row>
    <row r="14" spans="1:6" x14ac:dyDescent="0.2">
      <c r="A14" s="27" t="s">
        <v>287</v>
      </c>
      <c r="B14" s="27" t="s">
        <v>286</v>
      </c>
      <c r="C14" s="27" t="s">
        <v>128</v>
      </c>
      <c r="D14" s="31">
        <v>40295</v>
      </c>
      <c r="E14" s="29">
        <v>267.4983575</v>
      </c>
      <c r="F14" s="30">
        <v>0.96691043222317796</v>
      </c>
    </row>
    <row r="15" spans="1:6" x14ac:dyDescent="0.2">
      <c r="A15" s="27" t="s">
        <v>579</v>
      </c>
      <c r="B15" s="27" t="s">
        <v>578</v>
      </c>
      <c r="C15" s="27" t="s">
        <v>431</v>
      </c>
      <c r="D15" s="31">
        <v>32972</v>
      </c>
      <c r="E15" s="29">
        <v>267.43589200000002</v>
      </c>
      <c r="F15" s="30">
        <v>0.96668464188873104</v>
      </c>
    </row>
    <row r="16" spans="1:6" x14ac:dyDescent="0.2">
      <c r="A16" s="27" t="s">
        <v>479</v>
      </c>
      <c r="B16" s="27" t="s">
        <v>478</v>
      </c>
      <c r="C16" s="27" t="s">
        <v>163</v>
      </c>
      <c r="D16" s="31">
        <v>31095</v>
      </c>
      <c r="E16" s="29">
        <v>264.82056749999998</v>
      </c>
      <c r="F16" s="30">
        <v>0.957231183683109</v>
      </c>
    </row>
    <row r="17" spans="1:9" x14ac:dyDescent="0.2">
      <c r="A17" s="27" t="s">
        <v>473</v>
      </c>
      <c r="B17" s="27" t="s">
        <v>472</v>
      </c>
      <c r="C17" s="27" t="s">
        <v>376</v>
      </c>
      <c r="D17" s="31">
        <v>27579</v>
      </c>
      <c r="E17" s="29">
        <v>166.97705550000001</v>
      </c>
      <c r="F17" s="30">
        <v>0.60356204955336401</v>
      </c>
    </row>
    <row r="18" spans="1:9" x14ac:dyDescent="0.2">
      <c r="A18" s="27" t="s">
        <v>265</v>
      </c>
      <c r="B18" s="27" t="s">
        <v>264</v>
      </c>
      <c r="C18" s="27" t="s">
        <v>128</v>
      </c>
      <c r="D18" s="31">
        <v>25284</v>
      </c>
      <c r="E18" s="29">
        <v>154.85185799999999</v>
      </c>
      <c r="F18" s="30">
        <v>0.559733817989302</v>
      </c>
    </row>
    <row r="19" spans="1:9" x14ac:dyDescent="0.2">
      <c r="A19" s="27" t="s">
        <v>471</v>
      </c>
      <c r="B19" s="27" t="s">
        <v>470</v>
      </c>
      <c r="C19" s="27" t="s">
        <v>408</v>
      </c>
      <c r="D19" s="31">
        <v>4528</v>
      </c>
      <c r="E19" s="29">
        <v>143.48099999999999</v>
      </c>
      <c r="F19" s="30">
        <v>0.51863225263285495</v>
      </c>
    </row>
    <row r="20" spans="1:9" x14ac:dyDescent="0.2">
      <c r="A20" s="27" t="s">
        <v>325</v>
      </c>
      <c r="B20" s="27" t="s">
        <v>324</v>
      </c>
      <c r="C20" s="27" t="s">
        <v>163</v>
      </c>
      <c r="D20" s="31">
        <v>2435</v>
      </c>
      <c r="E20" s="29">
        <v>105.8117075</v>
      </c>
      <c r="F20" s="30">
        <v>0.38247129735403101</v>
      </c>
    </row>
    <row r="21" spans="1:9" x14ac:dyDescent="0.2">
      <c r="A21" s="26" t="s">
        <v>35</v>
      </c>
      <c r="B21" s="26"/>
      <c r="C21" s="26"/>
      <c r="D21" s="32"/>
      <c r="E21" s="33">
        <f>SUM(E7:E20)</f>
        <v>4203.8508709999996</v>
      </c>
      <c r="F21" s="34">
        <f>SUM(F7:F20)</f>
        <v>15.195410172491982</v>
      </c>
      <c r="G21" s="18"/>
      <c r="H21" s="18"/>
      <c r="I21" s="18"/>
    </row>
    <row r="22" spans="1:9" x14ac:dyDescent="0.2">
      <c r="A22" s="27"/>
      <c r="B22" s="27"/>
      <c r="C22" s="27"/>
      <c r="D22" s="28"/>
      <c r="E22" s="29"/>
      <c r="F22" s="30"/>
    </row>
    <row r="23" spans="1:9" x14ac:dyDescent="0.2">
      <c r="A23" s="26" t="s">
        <v>302</v>
      </c>
      <c r="B23" s="27"/>
      <c r="C23" s="27"/>
      <c r="D23" s="28"/>
      <c r="E23" s="29"/>
      <c r="F23" s="30"/>
    </row>
    <row r="24" spans="1:9" x14ac:dyDescent="0.2">
      <c r="A24" s="27" t="s">
        <v>337</v>
      </c>
      <c r="B24" s="27" t="s">
        <v>336</v>
      </c>
      <c r="C24" s="27" t="s">
        <v>321</v>
      </c>
      <c r="D24" s="31">
        <v>166714</v>
      </c>
      <c r="E24" s="29">
        <v>2623.0189129999999</v>
      </c>
      <c r="F24" s="30">
        <v>9.4812707434975607</v>
      </c>
    </row>
    <row r="25" spans="1:9" x14ac:dyDescent="0.2">
      <c r="A25" s="27" t="s">
        <v>341</v>
      </c>
      <c r="B25" s="27" t="s">
        <v>340</v>
      </c>
      <c r="C25" s="27" t="s">
        <v>321</v>
      </c>
      <c r="D25" s="31">
        <v>48888</v>
      </c>
      <c r="E25" s="29">
        <v>2576.4650069999998</v>
      </c>
      <c r="F25" s="30">
        <v>9.3129951032550302</v>
      </c>
    </row>
    <row r="26" spans="1:9" x14ac:dyDescent="0.2">
      <c r="A26" s="27" t="s">
        <v>581</v>
      </c>
      <c r="B26" s="27" t="s">
        <v>580</v>
      </c>
      <c r="C26" s="27" t="s">
        <v>106</v>
      </c>
      <c r="D26" s="31">
        <v>43000</v>
      </c>
      <c r="E26" s="29">
        <v>2490.8581220000001</v>
      </c>
      <c r="F26" s="30">
        <v>9.0035569782877403</v>
      </c>
    </row>
    <row r="27" spans="1:9" x14ac:dyDescent="0.2">
      <c r="A27" s="27" t="s">
        <v>357</v>
      </c>
      <c r="B27" s="27" t="s">
        <v>356</v>
      </c>
      <c r="C27" s="27" t="s">
        <v>163</v>
      </c>
      <c r="D27" s="31">
        <v>97004</v>
      </c>
      <c r="E27" s="29">
        <v>1915.4110330000001</v>
      </c>
      <c r="F27" s="30">
        <v>6.9235225483695704</v>
      </c>
    </row>
    <row r="28" spans="1:9" x14ac:dyDescent="0.2">
      <c r="A28" s="27" t="s">
        <v>583</v>
      </c>
      <c r="B28" s="27" t="s">
        <v>582</v>
      </c>
      <c r="C28" s="27" t="s">
        <v>187</v>
      </c>
      <c r="D28" s="31">
        <v>120524</v>
      </c>
      <c r="E28" s="29">
        <v>1118.8583189999999</v>
      </c>
      <c r="F28" s="30">
        <v>4.0442707421887203</v>
      </c>
    </row>
    <row r="29" spans="1:9" x14ac:dyDescent="0.2">
      <c r="A29" s="27" t="s">
        <v>585</v>
      </c>
      <c r="B29" s="27" t="s">
        <v>584</v>
      </c>
      <c r="C29" s="27" t="s">
        <v>106</v>
      </c>
      <c r="D29" s="31">
        <v>3076</v>
      </c>
      <c r="E29" s="29">
        <v>729.99593100000004</v>
      </c>
      <c r="F29" s="30">
        <v>2.6386729539614899</v>
      </c>
    </row>
    <row r="30" spans="1:9" x14ac:dyDescent="0.2">
      <c r="A30" s="27" t="s">
        <v>587</v>
      </c>
      <c r="B30" s="27" t="s">
        <v>586</v>
      </c>
      <c r="C30" s="27" t="s">
        <v>187</v>
      </c>
      <c r="D30" s="31">
        <v>82810</v>
      </c>
      <c r="E30" s="29">
        <v>654.44375070000001</v>
      </c>
      <c r="F30" s="30">
        <v>2.36557897315349</v>
      </c>
    </row>
    <row r="31" spans="1:9" x14ac:dyDescent="0.2">
      <c r="A31" s="27" t="s">
        <v>589</v>
      </c>
      <c r="B31" s="27" t="s">
        <v>588</v>
      </c>
      <c r="C31" s="27" t="s">
        <v>101</v>
      </c>
      <c r="D31" s="31">
        <v>94000</v>
      </c>
      <c r="E31" s="29">
        <v>631.16025860000002</v>
      </c>
      <c r="F31" s="30">
        <v>2.2814175165356598</v>
      </c>
    </row>
    <row r="32" spans="1:9" x14ac:dyDescent="0.2">
      <c r="A32" s="27" t="s">
        <v>591</v>
      </c>
      <c r="B32" s="27" t="s">
        <v>590</v>
      </c>
      <c r="C32" s="27" t="s">
        <v>128</v>
      </c>
      <c r="D32" s="31">
        <v>2000</v>
      </c>
      <c r="E32" s="29">
        <v>505.60834010000002</v>
      </c>
      <c r="F32" s="30">
        <v>1.82759245040125</v>
      </c>
    </row>
    <row r="33" spans="1:6" x14ac:dyDescent="0.2">
      <c r="A33" s="27" t="s">
        <v>353</v>
      </c>
      <c r="B33" s="27" t="s">
        <v>352</v>
      </c>
      <c r="C33" s="27" t="s">
        <v>321</v>
      </c>
      <c r="D33" s="31">
        <v>19000</v>
      </c>
      <c r="E33" s="29">
        <v>498.23209559999998</v>
      </c>
      <c r="F33" s="30">
        <v>1.80092997731418</v>
      </c>
    </row>
    <row r="34" spans="1:6" x14ac:dyDescent="0.2">
      <c r="A34" s="27" t="s">
        <v>593</v>
      </c>
      <c r="B34" s="27" t="s">
        <v>592</v>
      </c>
      <c r="C34" s="27" t="s">
        <v>163</v>
      </c>
      <c r="D34" s="31">
        <v>17900</v>
      </c>
      <c r="E34" s="29">
        <v>492.4818707</v>
      </c>
      <c r="F34" s="30">
        <v>1.7801449807429801</v>
      </c>
    </row>
    <row r="35" spans="1:6" x14ac:dyDescent="0.2">
      <c r="A35" s="27" t="s">
        <v>595</v>
      </c>
      <c r="B35" s="27" t="s">
        <v>594</v>
      </c>
      <c r="C35" s="27" t="s">
        <v>258</v>
      </c>
      <c r="D35" s="31">
        <v>902</v>
      </c>
      <c r="E35" s="29">
        <v>483.63367920000002</v>
      </c>
      <c r="F35" s="30">
        <v>1.7481619482204001</v>
      </c>
    </row>
    <row r="36" spans="1:6" x14ac:dyDescent="0.2">
      <c r="A36" s="27" t="s">
        <v>597</v>
      </c>
      <c r="B36" s="27" t="s">
        <v>596</v>
      </c>
      <c r="C36" s="27" t="s">
        <v>106</v>
      </c>
      <c r="D36" s="31">
        <v>16700</v>
      </c>
      <c r="E36" s="29">
        <v>455.09045650000002</v>
      </c>
      <c r="F36" s="30">
        <v>1.6449884556583101</v>
      </c>
    </row>
    <row r="37" spans="1:6" x14ac:dyDescent="0.2">
      <c r="A37" s="27" t="s">
        <v>599</v>
      </c>
      <c r="B37" s="27" t="s">
        <v>598</v>
      </c>
      <c r="C37" s="27" t="s">
        <v>128</v>
      </c>
      <c r="D37" s="31">
        <v>102000</v>
      </c>
      <c r="E37" s="29">
        <v>449.10685699999999</v>
      </c>
      <c r="F37" s="30">
        <v>1.62335989377528</v>
      </c>
    </row>
    <row r="38" spans="1:6" x14ac:dyDescent="0.2">
      <c r="A38" s="27" t="s">
        <v>601</v>
      </c>
      <c r="B38" s="27" t="s">
        <v>600</v>
      </c>
      <c r="C38" s="27" t="s">
        <v>235</v>
      </c>
      <c r="D38" s="31">
        <v>57000</v>
      </c>
      <c r="E38" s="29">
        <v>429.66530549999999</v>
      </c>
      <c r="F38" s="30">
        <v>1.5530856717589701</v>
      </c>
    </row>
    <row r="39" spans="1:6" x14ac:dyDescent="0.2">
      <c r="A39" s="27" t="s">
        <v>603</v>
      </c>
      <c r="B39" s="27" t="s">
        <v>602</v>
      </c>
      <c r="C39" s="27" t="s">
        <v>163</v>
      </c>
      <c r="D39" s="31">
        <v>29521</v>
      </c>
      <c r="E39" s="29">
        <v>395.88326330000001</v>
      </c>
      <c r="F39" s="30">
        <v>1.4309757293643399</v>
      </c>
    </row>
    <row r="40" spans="1:6" x14ac:dyDescent="0.2">
      <c r="A40" s="27" t="s">
        <v>605</v>
      </c>
      <c r="B40" s="27" t="s">
        <v>604</v>
      </c>
      <c r="C40" s="27" t="s">
        <v>119</v>
      </c>
      <c r="D40" s="31">
        <v>41500</v>
      </c>
      <c r="E40" s="29">
        <v>383.13851110000002</v>
      </c>
      <c r="F40" s="30">
        <v>1.3849080302074199</v>
      </c>
    </row>
    <row r="41" spans="1:6" x14ac:dyDescent="0.2">
      <c r="A41" s="27" t="s">
        <v>607</v>
      </c>
      <c r="B41" s="27" t="s">
        <v>606</v>
      </c>
      <c r="C41" s="27" t="s">
        <v>128</v>
      </c>
      <c r="D41" s="31">
        <v>144400</v>
      </c>
      <c r="E41" s="29">
        <v>356.07189770000002</v>
      </c>
      <c r="F41" s="30">
        <v>1.2870719496198599</v>
      </c>
    </row>
    <row r="42" spans="1:6" x14ac:dyDescent="0.2">
      <c r="A42" s="27" t="s">
        <v>609</v>
      </c>
      <c r="B42" s="27" t="s">
        <v>608</v>
      </c>
      <c r="C42" s="27" t="s">
        <v>106</v>
      </c>
      <c r="D42" s="31">
        <v>1900</v>
      </c>
      <c r="E42" s="29">
        <v>349.42751609999999</v>
      </c>
      <c r="F42" s="30">
        <v>1.2630548979087599</v>
      </c>
    </row>
    <row r="43" spans="1:6" x14ac:dyDescent="0.2">
      <c r="A43" s="27" t="s">
        <v>611</v>
      </c>
      <c r="B43" s="27" t="s">
        <v>610</v>
      </c>
      <c r="C43" s="27" t="s">
        <v>101</v>
      </c>
      <c r="D43" s="31">
        <v>211929</v>
      </c>
      <c r="E43" s="29">
        <v>343.5449509</v>
      </c>
      <c r="F43" s="30">
        <v>1.2417915387118199</v>
      </c>
    </row>
    <row r="44" spans="1:6" x14ac:dyDescent="0.2">
      <c r="A44" s="27" t="s">
        <v>613</v>
      </c>
      <c r="B44" s="27" t="s">
        <v>612</v>
      </c>
      <c r="C44" s="27" t="s">
        <v>128</v>
      </c>
      <c r="D44" s="31">
        <v>6800</v>
      </c>
      <c r="E44" s="29">
        <v>334.02864119999998</v>
      </c>
      <c r="F44" s="30">
        <v>1.20739349899602</v>
      </c>
    </row>
    <row r="45" spans="1:6" x14ac:dyDescent="0.2">
      <c r="A45" s="27" t="s">
        <v>615</v>
      </c>
      <c r="B45" s="27" t="s">
        <v>614</v>
      </c>
      <c r="C45" s="27" t="s">
        <v>177</v>
      </c>
      <c r="D45" s="31">
        <v>662300</v>
      </c>
      <c r="E45" s="29">
        <v>326.71530319999999</v>
      </c>
      <c r="F45" s="30">
        <v>1.18095841029992</v>
      </c>
    </row>
    <row r="46" spans="1:6" x14ac:dyDescent="0.2">
      <c r="A46" s="27" t="s">
        <v>617</v>
      </c>
      <c r="B46" s="27" t="s">
        <v>616</v>
      </c>
      <c r="C46" s="27" t="s">
        <v>314</v>
      </c>
      <c r="D46" s="31">
        <v>27300</v>
      </c>
      <c r="E46" s="29">
        <v>317.69551280000002</v>
      </c>
      <c r="F46" s="30">
        <v>1.1483551094208599</v>
      </c>
    </row>
    <row r="47" spans="1:6" x14ac:dyDescent="0.2">
      <c r="A47" s="27" t="s">
        <v>619</v>
      </c>
      <c r="B47" s="27" t="s">
        <v>618</v>
      </c>
      <c r="C47" s="27" t="s">
        <v>376</v>
      </c>
      <c r="D47" s="31">
        <v>92000</v>
      </c>
      <c r="E47" s="29">
        <v>312.95516889999999</v>
      </c>
      <c r="F47" s="30">
        <v>1.13122046974654</v>
      </c>
    </row>
    <row r="48" spans="1:6" x14ac:dyDescent="0.2">
      <c r="A48" s="27" t="s">
        <v>621</v>
      </c>
      <c r="B48" s="27" t="s">
        <v>620</v>
      </c>
      <c r="C48" s="27" t="s">
        <v>311</v>
      </c>
      <c r="D48" s="31">
        <v>9838</v>
      </c>
      <c r="E48" s="29">
        <v>299.00157489999998</v>
      </c>
      <c r="F48" s="30">
        <v>1.0807832419007299</v>
      </c>
    </row>
    <row r="49" spans="1:6" x14ac:dyDescent="0.2">
      <c r="A49" s="27" t="s">
        <v>623</v>
      </c>
      <c r="B49" s="27" t="s">
        <v>622</v>
      </c>
      <c r="C49" s="27" t="s">
        <v>321</v>
      </c>
      <c r="D49" s="31">
        <v>3572</v>
      </c>
      <c r="E49" s="29">
        <v>296.98961850000001</v>
      </c>
      <c r="F49" s="30">
        <v>1.0735107425458901</v>
      </c>
    </row>
    <row r="50" spans="1:6" x14ac:dyDescent="0.2">
      <c r="A50" s="27" t="s">
        <v>625</v>
      </c>
      <c r="B50" s="27" t="s">
        <v>624</v>
      </c>
      <c r="C50" s="27" t="s">
        <v>177</v>
      </c>
      <c r="D50" s="31">
        <v>467300</v>
      </c>
      <c r="E50" s="29">
        <v>287.5571291</v>
      </c>
      <c r="F50" s="30">
        <v>1.03941568309232</v>
      </c>
    </row>
    <row r="51" spans="1:6" x14ac:dyDescent="0.2">
      <c r="A51" s="27" t="s">
        <v>627</v>
      </c>
      <c r="B51" s="27" t="s">
        <v>626</v>
      </c>
      <c r="C51" s="27" t="s">
        <v>187</v>
      </c>
      <c r="D51" s="31">
        <v>19235</v>
      </c>
      <c r="E51" s="29">
        <v>284.23716180000002</v>
      </c>
      <c r="F51" s="30">
        <v>1.0274151943902201</v>
      </c>
    </row>
    <row r="52" spans="1:6" x14ac:dyDescent="0.2">
      <c r="A52" s="27" t="s">
        <v>629</v>
      </c>
      <c r="B52" s="27" t="s">
        <v>628</v>
      </c>
      <c r="C52" s="27" t="s">
        <v>381</v>
      </c>
      <c r="D52" s="31">
        <v>35600</v>
      </c>
      <c r="E52" s="29">
        <v>274.5156422</v>
      </c>
      <c r="F52" s="30">
        <v>0.99227539463162995</v>
      </c>
    </row>
    <row r="53" spans="1:6" x14ac:dyDescent="0.2">
      <c r="A53" s="27" t="s">
        <v>631</v>
      </c>
      <c r="B53" s="27" t="s">
        <v>630</v>
      </c>
      <c r="C53" s="27" t="s">
        <v>177</v>
      </c>
      <c r="D53" s="31">
        <v>24212</v>
      </c>
      <c r="E53" s="29">
        <v>246.5272583</v>
      </c>
      <c r="F53" s="30">
        <v>0.89110744494065897</v>
      </c>
    </row>
    <row r="54" spans="1:6" x14ac:dyDescent="0.2">
      <c r="A54" s="27" t="s">
        <v>633</v>
      </c>
      <c r="B54" s="27" t="s">
        <v>632</v>
      </c>
      <c r="C54" s="27" t="s">
        <v>177</v>
      </c>
      <c r="D54" s="31">
        <v>306000</v>
      </c>
      <c r="E54" s="29">
        <v>235.6737152</v>
      </c>
      <c r="F54" s="30">
        <v>0.85187578704169897</v>
      </c>
    </row>
    <row r="55" spans="1:6" x14ac:dyDescent="0.2">
      <c r="A55" s="27" t="s">
        <v>339</v>
      </c>
      <c r="B55" s="27" t="s">
        <v>338</v>
      </c>
      <c r="C55" s="27" t="s">
        <v>106</v>
      </c>
      <c r="D55" s="31">
        <v>9800</v>
      </c>
      <c r="E55" s="29">
        <v>195.7176375</v>
      </c>
      <c r="F55" s="30">
        <v>0.70744892506049994</v>
      </c>
    </row>
    <row r="56" spans="1:6" x14ac:dyDescent="0.2">
      <c r="A56" s="27" t="s">
        <v>635</v>
      </c>
      <c r="B56" s="27" t="s">
        <v>634</v>
      </c>
      <c r="C56" s="27" t="s">
        <v>163</v>
      </c>
      <c r="D56" s="31">
        <v>2265900</v>
      </c>
      <c r="E56" s="29">
        <v>172.2760557</v>
      </c>
      <c r="F56" s="30">
        <v>0.62271603098942896</v>
      </c>
    </row>
    <row r="57" spans="1:6" x14ac:dyDescent="0.2">
      <c r="A57" s="27" t="s">
        <v>637</v>
      </c>
      <c r="B57" s="27" t="s">
        <v>636</v>
      </c>
      <c r="C57" s="27" t="s">
        <v>258</v>
      </c>
      <c r="D57" s="31">
        <v>15600</v>
      </c>
      <c r="E57" s="29">
        <v>166.17782360000001</v>
      </c>
      <c r="F57" s="30">
        <v>0.60067311345260499</v>
      </c>
    </row>
    <row r="58" spans="1:6" x14ac:dyDescent="0.2">
      <c r="A58" s="27" t="s">
        <v>639</v>
      </c>
      <c r="B58" s="27" t="s">
        <v>638</v>
      </c>
      <c r="C58" s="27" t="s">
        <v>640</v>
      </c>
      <c r="D58" s="31">
        <v>217546</v>
      </c>
      <c r="E58" s="29">
        <v>161.830826</v>
      </c>
      <c r="F58" s="30">
        <v>0.58496027929701899</v>
      </c>
    </row>
    <row r="59" spans="1:6" x14ac:dyDescent="0.2">
      <c r="A59" s="27" t="s">
        <v>642</v>
      </c>
      <c r="B59" s="27" t="s">
        <v>641</v>
      </c>
      <c r="C59" s="27" t="s">
        <v>643</v>
      </c>
      <c r="D59" s="31">
        <v>21250</v>
      </c>
      <c r="E59" s="29">
        <v>151.740916</v>
      </c>
      <c r="F59" s="30">
        <v>0.54848888062985901</v>
      </c>
    </row>
    <row r="60" spans="1:6" x14ac:dyDescent="0.2">
      <c r="A60" s="27" t="s">
        <v>645</v>
      </c>
      <c r="B60" s="27" t="s">
        <v>644</v>
      </c>
      <c r="C60" s="27" t="s">
        <v>408</v>
      </c>
      <c r="D60" s="31">
        <v>84000</v>
      </c>
      <c r="E60" s="29">
        <v>151.3998536</v>
      </c>
      <c r="F60" s="30">
        <v>0.54725606262050397</v>
      </c>
    </row>
    <row r="61" spans="1:6" x14ac:dyDescent="0.2">
      <c r="A61" s="27" t="s">
        <v>647</v>
      </c>
      <c r="B61" s="27" t="s">
        <v>646</v>
      </c>
      <c r="C61" s="27" t="s">
        <v>211</v>
      </c>
      <c r="D61" s="31">
        <v>79000</v>
      </c>
      <c r="E61" s="29">
        <v>129.0806718</v>
      </c>
      <c r="F61" s="30">
        <v>0.46658024119567199</v>
      </c>
    </row>
    <row r="62" spans="1:6" x14ac:dyDescent="0.2">
      <c r="A62" s="27" t="s">
        <v>649</v>
      </c>
      <c r="B62" s="27" t="s">
        <v>648</v>
      </c>
      <c r="C62" s="27" t="s">
        <v>408</v>
      </c>
      <c r="D62" s="31">
        <v>253100</v>
      </c>
      <c r="E62" s="29">
        <v>127.0884451</v>
      </c>
      <c r="F62" s="30">
        <v>0.45937905761613002</v>
      </c>
    </row>
    <row r="63" spans="1:6" x14ac:dyDescent="0.2">
      <c r="A63" s="27" t="s">
        <v>651</v>
      </c>
      <c r="B63" s="27" t="s">
        <v>650</v>
      </c>
      <c r="C63" s="27" t="s">
        <v>131</v>
      </c>
      <c r="D63" s="31">
        <v>13280</v>
      </c>
      <c r="E63" s="29">
        <v>86.882570000000001</v>
      </c>
      <c r="F63" s="30">
        <v>0.31404926780292702</v>
      </c>
    </row>
    <row r="64" spans="1:6" x14ac:dyDescent="0.2">
      <c r="A64" s="27" t="s">
        <v>653</v>
      </c>
      <c r="B64" s="27" t="s">
        <v>652</v>
      </c>
      <c r="C64" s="27" t="s">
        <v>381</v>
      </c>
      <c r="D64" s="31">
        <v>2900</v>
      </c>
      <c r="E64" s="29">
        <v>84.178918400000001</v>
      </c>
      <c r="F64" s="30">
        <v>0.30427653887266798</v>
      </c>
    </row>
    <row r="65" spans="1:9" x14ac:dyDescent="0.2">
      <c r="A65" s="27" t="s">
        <v>313</v>
      </c>
      <c r="B65" s="27" t="s">
        <v>312</v>
      </c>
      <c r="C65" s="27" t="s">
        <v>314</v>
      </c>
      <c r="D65" s="31">
        <v>46000</v>
      </c>
      <c r="E65" s="29">
        <v>59.922090099999998</v>
      </c>
      <c r="F65" s="30">
        <v>0.21659682167696001</v>
      </c>
    </row>
    <row r="66" spans="1:9" x14ac:dyDescent="0.2">
      <c r="A66" s="27" t="s">
        <v>655</v>
      </c>
      <c r="B66" s="27" t="s">
        <v>654</v>
      </c>
      <c r="C66" s="27" t="s">
        <v>235</v>
      </c>
      <c r="D66" s="31">
        <v>646</v>
      </c>
      <c r="E66" s="29">
        <v>2.8231847000000001</v>
      </c>
      <c r="F66" s="30">
        <v>1.02047981304815E-2</v>
      </c>
    </row>
    <row r="67" spans="1:9" x14ac:dyDescent="0.2">
      <c r="A67" s="27" t="s">
        <v>657</v>
      </c>
      <c r="B67" s="27" t="s">
        <v>656</v>
      </c>
      <c r="C67" s="27" t="s">
        <v>640</v>
      </c>
      <c r="D67" s="31">
        <v>8388</v>
      </c>
      <c r="E67" s="29">
        <v>2.0474245</v>
      </c>
      <c r="F67" s="29">
        <v>7.4007037902628003E-3</v>
      </c>
    </row>
    <row r="68" spans="1:9" x14ac:dyDescent="0.2">
      <c r="A68" s="27" t="s">
        <v>658</v>
      </c>
      <c r="B68" s="68" t="s">
        <v>1339</v>
      </c>
      <c r="C68" s="27" t="s">
        <v>640</v>
      </c>
      <c r="D68" s="31">
        <v>7501</v>
      </c>
      <c r="E68" s="29">
        <v>0.85094040000000004</v>
      </c>
      <c r="F68" s="30">
        <v>3.0758437459196901E-3</v>
      </c>
    </row>
    <row r="69" spans="1:9" x14ac:dyDescent="0.2">
      <c r="A69" s="27" t="s">
        <v>659</v>
      </c>
      <c r="B69" s="68" t="s">
        <v>1340</v>
      </c>
      <c r="C69" s="27" t="s">
        <v>640</v>
      </c>
      <c r="D69" s="31">
        <v>6798</v>
      </c>
      <c r="E69" s="29">
        <v>0.66372869999999995</v>
      </c>
      <c r="F69" s="30">
        <v>2.39914072816663E-3</v>
      </c>
    </row>
    <row r="70" spans="1:9" x14ac:dyDescent="0.2">
      <c r="A70" s="27" t="s">
        <v>661</v>
      </c>
      <c r="B70" s="27" t="s">
        <v>660</v>
      </c>
      <c r="C70" s="27" t="s">
        <v>640</v>
      </c>
      <c r="D70" s="31">
        <v>8195</v>
      </c>
      <c r="E70" s="29">
        <v>0.12763920000000001</v>
      </c>
      <c r="F70" s="30">
        <v>4.61369838656376E-4</v>
      </c>
    </row>
    <row r="71" spans="1:9" x14ac:dyDescent="0.2">
      <c r="A71" s="26" t="s">
        <v>35</v>
      </c>
      <c r="B71" s="26"/>
      <c r="C71" s="26"/>
      <c r="D71" s="32"/>
      <c r="E71" s="33">
        <f>SUM(E23:E70)</f>
        <v>22590.801529400003</v>
      </c>
      <c r="F71" s="34">
        <f>SUM(F23:F70)</f>
        <v>81.657629135387111</v>
      </c>
      <c r="G71" s="18"/>
      <c r="H71" s="18"/>
      <c r="I71" s="18"/>
    </row>
    <row r="72" spans="1:9" x14ac:dyDescent="0.2">
      <c r="A72" s="27"/>
      <c r="B72" s="27"/>
      <c r="C72" s="27"/>
      <c r="D72" s="28"/>
      <c r="E72" s="29"/>
      <c r="F72" s="30"/>
    </row>
    <row r="73" spans="1:9" x14ac:dyDescent="0.2">
      <c r="A73" s="26" t="s">
        <v>38</v>
      </c>
      <c r="B73" s="26"/>
      <c r="C73" s="26"/>
      <c r="D73" s="32"/>
      <c r="E73" s="33">
        <f>E21+E71</f>
        <v>26794.652400400002</v>
      </c>
      <c r="F73" s="34">
        <f>F21+F71</f>
        <v>96.853039307879101</v>
      </c>
      <c r="G73" s="18"/>
      <c r="H73" s="18"/>
      <c r="I73" s="18"/>
    </row>
    <row r="74" spans="1:9" x14ac:dyDescent="0.2">
      <c r="A74" s="26"/>
      <c r="B74" s="26"/>
      <c r="C74" s="26"/>
      <c r="D74" s="32"/>
      <c r="E74" s="33"/>
      <c r="F74" s="34"/>
      <c r="G74" s="18"/>
      <c r="H74" s="18"/>
      <c r="I74" s="18"/>
    </row>
    <row r="75" spans="1:9" x14ac:dyDescent="0.2">
      <c r="A75" s="26" t="s">
        <v>40</v>
      </c>
      <c r="B75" s="26"/>
      <c r="C75" s="26"/>
      <c r="D75" s="32"/>
      <c r="E75" s="33">
        <f>E77-(E21+E71)</f>
        <v>870.61509339999611</v>
      </c>
      <c r="F75" s="34">
        <f>F77-(F21+F71)</f>
        <v>3.1469606921208992</v>
      </c>
      <c r="G75" s="18"/>
      <c r="H75" s="18"/>
      <c r="I75" s="18"/>
    </row>
    <row r="76" spans="1:9" x14ac:dyDescent="0.2">
      <c r="A76" s="26"/>
      <c r="B76" s="26"/>
      <c r="C76" s="26"/>
      <c r="D76" s="32"/>
      <c r="E76" s="33"/>
      <c r="F76" s="34"/>
      <c r="G76" s="18"/>
      <c r="H76" s="18"/>
      <c r="I76" s="18"/>
    </row>
    <row r="77" spans="1:9" x14ac:dyDescent="0.2">
      <c r="A77" s="35" t="s">
        <v>39</v>
      </c>
      <c r="B77" s="35"/>
      <c r="C77" s="35"/>
      <c r="D77" s="36"/>
      <c r="E77" s="37">
        <v>27665.267493799998</v>
      </c>
      <c r="F77" s="38">
        <v>100</v>
      </c>
      <c r="G77" s="18"/>
      <c r="H77" s="18"/>
      <c r="I77" s="18"/>
    </row>
    <row r="78" spans="1:9" x14ac:dyDescent="0.2">
      <c r="F78" s="20" t="s">
        <v>514</v>
      </c>
    </row>
    <row r="80" spans="1:9" x14ac:dyDescent="0.2">
      <c r="A80" s="18" t="s">
        <v>42</v>
      </c>
    </row>
    <row r="81" spans="1:4" x14ac:dyDescent="0.2">
      <c r="A81" s="18" t="s">
        <v>43</v>
      </c>
    </row>
    <row r="82" spans="1:4" x14ac:dyDescent="0.2">
      <c r="A82" s="18" t="s">
        <v>44</v>
      </c>
      <c r="B82" s="18"/>
      <c r="C82" s="39" t="s">
        <v>46</v>
      </c>
      <c r="D82" s="19" t="s">
        <v>45</v>
      </c>
    </row>
    <row r="83" spans="1:4" x14ac:dyDescent="0.2">
      <c r="A83" s="9" t="s">
        <v>70</v>
      </c>
      <c r="C83" s="40">
        <v>30.175899999999999</v>
      </c>
      <c r="D83" s="40">
        <v>32.085000000000001</v>
      </c>
    </row>
    <row r="84" spans="1:4" x14ac:dyDescent="0.2">
      <c r="A84" s="9" t="s">
        <v>76</v>
      </c>
      <c r="C84" s="40">
        <v>16.6175</v>
      </c>
      <c r="D84" s="40">
        <v>16.88</v>
      </c>
    </row>
    <row r="85" spans="1:4" x14ac:dyDescent="0.2">
      <c r="A85" s="9" t="s">
        <v>73</v>
      </c>
      <c r="C85" s="40">
        <v>31.7121</v>
      </c>
      <c r="D85" s="40">
        <v>33.832500000000003</v>
      </c>
    </row>
    <row r="86" spans="1:4" x14ac:dyDescent="0.2">
      <c r="A86" s="9" t="s">
        <v>77</v>
      </c>
      <c r="C86" s="40">
        <v>17.592300000000002</v>
      </c>
      <c r="D86" s="40">
        <v>17.974399999999999</v>
      </c>
    </row>
    <row r="88" spans="1:4" x14ac:dyDescent="0.2">
      <c r="A88" s="18" t="s">
        <v>48</v>
      </c>
    </row>
    <row r="89" spans="1:4" x14ac:dyDescent="0.2">
      <c r="A89" s="77" t="s">
        <v>67</v>
      </c>
      <c r="B89" s="78"/>
      <c r="C89" s="44" t="s">
        <v>68</v>
      </c>
    </row>
    <row r="90" spans="1:4" x14ac:dyDescent="0.2">
      <c r="A90" s="73" t="s">
        <v>76</v>
      </c>
      <c r="B90" s="74"/>
      <c r="C90" s="45">
        <v>0.75</v>
      </c>
    </row>
    <row r="91" spans="1:4" x14ac:dyDescent="0.2">
      <c r="A91" s="73" t="s">
        <v>77</v>
      </c>
      <c r="B91" s="74"/>
      <c r="C91" s="45">
        <v>0.75</v>
      </c>
    </row>
    <row r="92" spans="1:4" x14ac:dyDescent="0.2">
      <c r="A92" s="9" t="s">
        <v>69</v>
      </c>
    </row>
    <row r="93" spans="1:4" x14ac:dyDescent="0.2">
      <c r="A93" s="9" t="s">
        <v>47</v>
      </c>
    </row>
    <row r="95" spans="1:4" x14ac:dyDescent="0.2">
      <c r="A95" s="18" t="s">
        <v>226</v>
      </c>
      <c r="D95" s="46">
        <v>8.1299999999999997E-2</v>
      </c>
    </row>
    <row r="97" spans="1:1" x14ac:dyDescent="0.2">
      <c r="A97" s="18" t="s">
        <v>748</v>
      </c>
    </row>
    <row r="98" spans="1:1" x14ac:dyDescent="0.2">
      <c r="A98" s="47" t="s">
        <v>51</v>
      </c>
    </row>
  </sheetData>
  <mergeCells count="4">
    <mergeCell ref="A1:F1"/>
    <mergeCell ref="A89:B89"/>
    <mergeCell ref="A90:B90"/>
    <mergeCell ref="A91:B91"/>
  </mergeCells>
  <conditionalFormatting sqref="F2:F3 F5:F66 F68:F65533">
    <cfRule type="cellIs" dxfId="14" priority="1" stopIfTrue="1" operator="between">
      <formula>0.009</formula>
      <formula>-0.009</formula>
    </cfRule>
  </conditionalFormatting>
  <hyperlinks>
    <hyperlink ref="A98" r:id="rId1" xr:uid="{00000000-0004-0000-2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90"/>
  <sheetViews>
    <sheetView workbookViewId="0">
      <selection sqref="A1:F1"/>
    </sheetView>
  </sheetViews>
  <sheetFormatPr defaultColWidth="9.109375" defaultRowHeight="10.199999999999999" x14ac:dyDescent="0.2"/>
  <cols>
    <col min="1" max="1" width="38.6640625" style="9" bestFit="1" customWidth="1"/>
    <col min="2" max="2" width="34.33203125" style="9" bestFit="1" customWidth="1"/>
    <col min="3" max="3" width="25.109375" style="9" bestFit="1" customWidth="1"/>
    <col min="4" max="4" width="15.5546875" style="10" bestFit="1" customWidth="1"/>
    <col min="5" max="5" width="23" style="13" bestFit="1" customWidth="1"/>
    <col min="6" max="6" width="13.5546875" style="14" bestFit="1" customWidth="1"/>
    <col min="7" max="16384" width="9.109375" style="9"/>
  </cols>
  <sheetData>
    <row r="1" spans="1:7" s="1" customFormat="1" ht="13.8" x14ac:dyDescent="0.2">
      <c r="A1" s="75" t="s">
        <v>21</v>
      </c>
      <c r="B1" s="76"/>
      <c r="C1" s="76"/>
      <c r="D1" s="76"/>
      <c r="E1" s="76"/>
      <c r="F1" s="76"/>
    </row>
    <row r="2" spans="1:7" s="1" customFormat="1" ht="11.4" x14ac:dyDescent="0.2">
      <c r="D2" s="6"/>
      <c r="E2" s="7"/>
      <c r="F2" s="12"/>
    </row>
    <row r="3" spans="1:7" s="1" customFormat="1" ht="12" x14ac:dyDescent="0.2">
      <c r="A3" s="11" t="s">
        <v>7</v>
      </c>
      <c r="B3" s="2"/>
      <c r="C3" s="3"/>
      <c r="D3" s="4"/>
      <c r="E3" s="5"/>
      <c r="F3" s="12"/>
    </row>
    <row r="4" spans="1:7" s="1" customFormat="1" ht="17.399999999999999" customHeight="1" x14ac:dyDescent="0.2">
      <c r="A4" s="8" t="s">
        <v>2</v>
      </c>
      <c r="B4" s="8" t="s">
        <v>0</v>
      </c>
      <c r="C4" s="17" t="s">
        <v>5</v>
      </c>
      <c r="D4" s="16" t="s">
        <v>1</v>
      </c>
      <c r="E4" s="15" t="s">
        <v>3</v>
      </c>
      <c r="F4" s="15" t="s">
        <v>4</v>
      </c>
      <c r="G4" s="15" t="s">
        <v>6</v>
      </c>
    </row>
    <row r="5" spans="1:7" x14ac:dyDescent="0.2">
      <c r="A5" s="21" t="s">
        <v>98</v>
      </c>
      <c r="B5" s="22"/>
      <c r="C5" s="22"/>
      <c r="D5" s="23"/>
      <c r="E5" s="24"/>
      <c r="F5" s="25"/>
      <c r="G5" s="27"/>
    </row>
    <row r="6" spans="1:7" x14ac:dyDescent="0.2">
      <c r="A6" s="26" t="s">
        <v>32</v>
      </c>
      <c r="B6" s="27"/>
      <c r="C6" s="27"/>
      <c r="D6" s="28"/>
      <c r="E6" s="29"/>
      <c r="F6" s="30"/>
      <c r="G6" s="27"/>
    </row>
    <row r="7" spans="1:7" x14ac:dyDescent="0.2">
      <c r="A7" s="27" t="s">
        <v>663</v>
      </c>
      <c r="B7" s="27" t="s">
        <v>662</v>
      </c>
      <c r="C7" s="27" t="s">
        <v>134</v>
      </c>
      <c r="D7" s="31">
        <v>199567</v>
      </c>
      <c r="E7" s="29">
        <v>4311.2459010000002</v>
      </c>
      <c r="F7" s="30">
        <v>10.408263340552301</v>
      </c>
      <c r="G7" s="27"/>
    </row>
    <row r="8" spans="1:7" x14ac:dyDescent="0.2">
      <c r="A8" s="27" t="s">
        <v>100</v>
      </c>
      <c r="B8" s="27" t="s">
        <v>99</v>
      </c>
      <c r="C8" s="27" t="s">
        <v>101</v>
      </c>
      <c r="D8" s="31">
        <v>268691</v>
      </c>
      <c r="E8" s="29">
        <v>4072.9525239999998</v>
      </c>
      <c r="F8" s="30">
        <v>9.8329725134737096</v>
      </c>
      <c r="G8" s="27"/>
    </row>
    <row r="9" spans="1:7" x14ac:dyDescent="0.2">
      <c r="A9" s="27" t="s">
        <v>105</v>
      </c>
      <c r="B9" s="27" t="s">
        <v>104</v>
      </c>
      <c r="C9" s="27" t="s">
        <v>106</v>
      </c>
      <c r="D9" s="31">
        <v>228126</v>
      </c>
      <c r="E9" s="29">
        <v>3179.5061249999999</v>
      </c>
      <c r="F9" s="30">
        <v>7.67600313269606</v>
      </c>
      <c r="G9" s="27"/>
    </row>
    <row r="10" spans="1:7" x14ac:dyDescent="0.2">
      <c r="A10" s="27" t="s">
        <v>186</v>
      </c>
      <c r="B10" s="27" t="s">
        <v>185</v>
      </c>
      <c r="C10" s="27" t="s">
        <v>187</v>
      </c>
      <c r="D10" s="31">
        <v>111171</v>
      </c>
      <c r="E10" s="29">
        <v>2838.0288740000001</v>
      </c>
      <c r="F10" s="30">
        <v>6.8516045168825901</v>
      </c>
      <c r="G10" s="27"/>
    </row>
    <row r="11" spans="1:7" x14ac:dyDescent="0.2">
      <c r="A11" s="27" t="s">
        <v>108</v>
      </c>
      <c r="B11" s="27" t="s">
        <v>107</v>
      </c>
      <c r="C11" s="27" t="s">
        <v>101</v>
      </c>
      <c r="D11" s="31">
        <v>426099</v>
      </c>
      <c r="E11" s="29">
        <v>2823.9711229999998</v>
      </c>
      <c r="F11" s="30">
        <v>6.8176661200145396</v>
      </c>
      <c r="G11" s="27"/>
    </row>
    <row r="12" spans="1:7" x14ac:dyDescent="0.2">
      <c r="A12" s="27" t="s">
        <v>138</v>
      </c>
      <c r="B12" s="27" t="s">
        <v>137</v>
      </c>
      <c r="C12" s="27" t="s">
        <v>106</v>
      </c>
      <c r="D12" s="31">
        <v>63891</v>
      </c>
      <c r="E12" s="29">
        <v>2018.412527</v>
      </c>
      <c r="F12" s="30">
        <v>4.8728765635968001</v>
      </c>
      <c r="G12" s="27"/>
    </row>
    <row r="13" spans="1:7" x14ac:dyDescent="0.2">
      <c r="A13" s="27" t="s">
        <v>116</v>
      </c>
      <c r="B13" s="27" t="s">
        <v>115</v>
      </c>
      <c r="C13" s="27" t="s">
        <v>101</v>
      </c>
      <c r="D13" s="31">
        <v>90908</v>
      </c>
      <c r="E13" s="29">
        <v>1643.343916</v>
      </c>
      <c r="F13" s="30">
        <v>3.9673812697287998</v>
      </c>
      <c r="G13" s="27"/>
    </row>
    <row r="14" spans="1:7" x14ac:dyDescent="0.2">
      <c r="A14" s="27" t="s">
        <v>142</v>
      </c>
      <c r="B14" s="27" t="s">
        <v>141</v>
      </c>
      <c r="C14" s="27" t="s">
        <v>128</v>
      </c>
      <c r="D14" s="31">
        <v>55027</v>
      </c>
      <c r="E14" s="29">
        <v>1287.659314</v>
      </c>
      <c r="F14" s="30">
        <v>3.1086830908713101</v>
      </c>
      <c r="G14" s="27"/>
    </row>
    <row r="15" spans="1:7" x14ac:dyDescent="0.2">
      <c r="A15" s="27" t="s">
        <v>251</v>
      </c>
      <c r="B15" s="27" t="s">
        <v>250</v>
      </c>
      <c r="C15" s="27" t="s">
        <v>128</v>
      </c>
      <c r="D15" s="31">
        <v>534697</v>
      </c>
      <c r="E15" s="29">
        <v>1158.1537020000001</v>
      </c>
      <c r="F15" s="30">
        <v>2.796029035703</v>
      </c>
      <c r="G15" s="27"/>
    </row>
    <row r="16" spans="1:7" x14ac:dyDescent="0.2">
      <c r="A16" s="27" t="s">
        <v>103</v>
      </c>
      <c r="B16" s="27" t="s">
        <v>102</v>
      </c>
      <c r="C16" s="27" t="s">
        <v>101</v>
      </c>
      <c r="D16" s="31">
        <v>151079</v>
      </c>
      <c r="E16" s="29">
        <v>1134.1500530000001</v>
      </c>
      <c r="F16" s="30">
        <v>2.7380791284921302</v>
      </c>
      <c r="G16" s="27"/>
    </row>
    <row r="17" spans="1:7" x14ac:dyDescent="0.2">
      <c r="A17" s="27" t="s">
        <v>194</v>
      </c>
      <c r="B17" s="27" t="s">
        <v>193</v>
      </c>
      <c r="C17" s="27" t="s">
        <v>195</v>
      </c>
      <c r="D17" s="31">
        <v>74721</v>
      </c>
      <c r="E17" s="29">
        <v>1096.6801170000001</v>
      </c>
      <c r="F17" s="30">
        <v>2.64761874413986</v>
      </c>
      <c r="G17" s="27"/>
    </row>
    <row r="18" spans="1:7" x14ac:dyDescent="0.2">
      <c r="A18" s="27" t="s">
        <v>136</v>
      </c>
      <c r="B18" s="27" t="s">
        <v>135</v>
      </c>
      <c r="C18" s="27" t="s">
        <v>101</v>
      </c>
      <c r="D18" s="31">
        <v>223694</v>
      </c>
      <c r="E18" s="29">
        <v>949.24548900000002</v>
      </c>
      <c r="F18" s="30">
        <v>2.2916802361126498</v>
      </c>
      <c r="G18" s="27"/>
    </row>
    <row r="19" spans="1:7" x14ac:dyDescent="0.2">
      <c r="A19" s="27" t="s">
        <v>665</v>
      </c>
      <c r="B19" s="27" t="s">
        <v>664</v>
      </c>
      <c r="C19" s="27" t="s">
        <v>187</v>
      </c>
      <c r="D19" s="31">
        <v>16372</v>
      </c>
      <c r="E19" s="29">
        <v>921.40797399999997</v>
      </c>
      <c r="F19" s="30">
        <v>2.2244745620407098</v>
      </c>
      <c r="G19" s="27"/>
    </row>
    <row r="20" spans="1:7" x14ac:dyDescent="0.2">
      <c r="A20" s="27" t="s">
        <v>516</v>
      </c>
      <c r="B20" s="27" t="s">
        <v>515</v>
      </c>
      <c r="C20" s="27" t="s">
        <v>128</v>
      </c>
      <c r="D20" s="31">
        <v>27774</v>
      </c>
      <c r="E20" s="29">
        <v>826.97085000000004</v>
      </c>
      <c r="F20" s="30">
        <v>1.99648328567014</v>
      </c>
      <c r="G20" s="27"/>
    </row>
    <row r="21" spans="1:7" x14ac:dyDescent="0.2">
      <c r="A21" s="27" t="s">
        <v>113</v>
      </c>
      <c r="B21" s="27" t="s">
        <v>112</v>
      </c>
      <c r="C21" s="27" t="s">
        <v>114</v>
      </c>
      <c r="D21" s="31">
        <v>143659</v>
      </c>
      <c r="E21" s="29">
        <v>768.43199100000004</v>
      </c>
      <c r="F21" s="30">
        <v>1.85515804602511</v>
      </c>
      <c r="G21" s="27"/>
    </row>
    <row r="22" spans="1:7" x14ac:dyDescent="0.2">
      <c r="A22" s="27" t="s">
        <v>244</v>
      </c>
      <c r="B22" s="27" t="s">
        <v>243</v>
      </c>
      <c r="C22" s="27" t="s">
        <v>106</v>
      </c>
      <c r="D22" s="31">
        <v>67654</v>
      </c>
      <c r="E22" s="29">
        <v>639.46560799999997</v>
      </c>
      <c r="F22" s="30">
        <v>1.54380580419841</v>
      </c>
      <c r="G22" s="27"/>
    </row>
    <row r="23" spans="1:7" x14ac:dyDescent="0.2">
      <c r="A23" s="27" t="s">
        <v>192</v>
      </c>
      <c r="B23" s="27" t="s">
        <v>191</v>
      </c>
      <c r="C23" s="27" t="s">
        <v>150</v>
      </c>
      <c r="D23" s="31">
        <v>8243</v>
      </c>
      <c r="E23" s="29">
        <v>584.12370899999996</v>
      </c>
      <c r="F23" s="30">
        <v>1.4101987050476401</v>
      </c>
      <c r="G23" s="27"/>
    </row>
    <row r="24" spans="1:7" x14ac:dyDescent="0.2">
      <c r="A24" s="27" t="s">
        <v>667</v>
      </c>
      <c r="B24" s="27" t="s">
        <v>666</v>
      </c>
      <c r="C24" s="27" t="s">
        <v>463</v>
      </c>
      <c r="D24" s="31">
        <v>46210</v>
      </c>
      <c r="E24" s="29">
        <v>520.16286500000001</v>
      </c>
      <c r="F24" s="30">
        <v>1.2557836419491599</v>
      </c>
      <c r="G24" s="27"/>
    </row>
    <row r="25" spans="1:7" x14ac:dyDescent="0.2">
      <c r="A25" s="27" t="s">
        <v>149</v>
      </c>
      <c r="B25" s="27" t="s">
        <v>148</v>
      </c>
      <c r="C25" s="27" t="s">
        <v>150</v>
      </c>
      <c r="D25" s="31">
        <v>58902</v>
      </c>
      <c r="E25" s="29">
        <v>475.898709</v>
      </c>
      <c r="F25" s="30">
        <v>1.1489205673821501</v>
      </c>
      <c r="G25" s="27"/>
    </row>
    <row r="26" spans="1:7" x14ac:dyDescent="0.2">
      <c r="A26" s="27" t="s">
        <v>669</v>
      </c>
      <c r="B26" s="27" t="s">
        <v>668</v>
      </c>
      <c r="C26" s="27" t="s">
        <v>106</v>
      </c>
      <c r="D26" s="31">
        <v>87723</v>
      </c>
      <c r="E26" s="29">
        <v>472.87083150000001</v>
      </c>
      <c r="F26" s="30">
        <v>1.1416106279570699</v>
      </c>
      <c r="G26" s="27"/>
    </row>
    <row r="27" spans="1:7" x14ac:dyDescent="0.2">
      <c r="A27" s="27" t="s">
        <v>556</v>
      </c>
      <c r="B27" s="27" t="s">
        <v>555</v>
      </c>
      <c r="C27" s="27" t="s">
        <v>177</v>
      </c>
      <c r="D27" s="31">
        <v>6984</v>
      </c>
      <c r="E27" s="29">
        <v>468.48671999999999</v>
      </c>
      <c r="F27" s="30">
        <v>1.1310264515834201</v>
      </c>
      <c r="G27" s="27"/>
    </row>
    <row r="28" spans="1:7" x14ac:dyDescent="0.2">
      <c r="A28" s="27" t="s">
        <v>545</v>
      </c>
      <c r="B28" s="27" t="s">
        <v>544</v>
      </c>
      <c r="C28" s="27" t="s">
        <v>131</v>
      </c>
      <c r="D28" s="31">
        <v>66051</v>
      </c>
      <c r="E28" s="29">
        <v>441.41883300000001</v>
      </c>
      <c r="F28" s="30">
        <v>1.06567882297728</v>
      </c>
      <c r="G28" s="27"/>
    </row>
    <row r="29" spans="1:7" x14ac:dyDescent="0.2">
      <c r="A29" s="27" t="s">
        <v>671</v>
      </c>
      <c r="B29" s="27" t="s">
        <v>670</v>
      </c>
      <c r="C29" s="27" t="s">
        <v>554</v>
      </c>
      <c r="D29" s="31">
        <v>3706</v>
      </c>
      <c r="E29" s="29">
        <v>437.54147799999998</v>
      </c>
      <c r="F29" s="30">
        <v>1.05631806443287</v>
      </c>
      <c r="G29" s="27"/>
    </row>
    <row r="30" spans="1:7" x14ac:dyDescent="0.2">
      <c r="A30" s="27" t="s">
        <v>673</v>
      </c>
      <c r="B30" s="27" t="s">
        <v>672</v>
      </c>
      <c r="C30" s="27" t="s">
        <v>463</v>
      </c>
      <c r="D30" s="31">
        <v>58927</v>
      </c>
      <c r="E30" s="29">
        <v>418.91204299999998</v>
      </c>
      <c r="F30" s="30">
        <v>1.0113426513346</v>
      </c>
      <c r="G30" s="27"/>
    </row>
    <row r="31" spans="1:7" x14ac:dyDescent="0.2">
      <c r="A31" s="27" t="s">
        <v>232</v>
      </c>
      <c r="B31" s="27" t="s">
        <v>231</v>
      </c>
      <c r="C31" s="27" t="s">
        <v>119</v>
      </c>
      <c r="D31" s="31">
        <v>25701</v>
      </c>
      <c r="E31" s="29">
        <v>410.25221249999998</v>
      </c>
      <c r="F31" s="30">
        <v>0.99043598110555298</v>
      </c>
      <c r="G31" s="27"/>
    </row>
    <row r="32" spans="1:7" x14ac:dyDescent="0.2">
      <c r="A32" s="27" t="s">
        <v>130</v>
      </c>
      <c r="B32" s="27" t="s">
        <v>129</v>
      </c>
      <c r="C32" s="27" t="s">
        <v>131</v>
      </c>
      <c r="D32" s="31">
        <v>7297</v>
      </c>
      <c r="E32" s="29">
        <v>387.40867550000002</v>
      </c>
      <c r="F32" s="30">
        <v>0.93528683067771401</v>
      </c>
      <c r="G32" s="27"/>
    </row>
    <row r="33" spans="1:7" x14ac:dyDescent="0.2">
      <c r="A33" s="27" t="s">
        <v>220</v>
      </c>
      <c r="B33" s="27" t="s">
        <v>219</v>
      </c>
      <c r="C33" s="27" t="s">
        <v>128</v>
      </c>
      <c r="D33" s="31">
        <v>2189</v>
      </c>
      <c r="E33" s="29">
        <v>387.35558950000001</v>
      </c>
      <c r="F33" s="30">
        <v>0.93515866979791695</v>
      </c>
      <c r="G33" s="27"/>
    </row>
    <row r="34" spans="1:7" x14ac:dyDescent="0.2">
      <c r="A34" s="27" t="s">
        <v>201</v>
      </c>
      <c r="B34" s="27" t="s">
        <v>200</v>
      </c>
      <c r="C34" s="27" t="s">
        <v>106</v>
      </c>
      <c r="D34" s="31">
        <v>37572</v>
      </c>
      <c r="E34" s="29">
        <v>383.85433799999998</v>
      </c>
      <c r="F34" s="30">
        <v>0.92670590498924499</v>
      </c>
      <c r="G34" s="27"/>
    </row>
    <row r="35" spans="1:7" x14ac:dyDescent="0.2">
      <c r="A35" s="27" t="s">
        <v>561</v>
      </c>
      <c r="B35" s="27" t="s">
        <v>560</v>
      </c>
      <c r="C35" s="27" t="s">
        <v>101</v>
      </c>
      <c r="D35" s="31">
        <v>34804</v>
      </c>
      <c r="E35" s="29">
        <v>352.56452000000002</v>
      </c>
      <c r="F35" s="30">
        <v>0.851165638184604</v>
      </c>
      <c r="G35" s="27"/>
    </row>
    <row r="36" spans="1:7" x14ac:dyDescent="0.2">
      <c r="A36" s="27" t="s">
        <v>144</v>
      </c>
      <c r="B36" s="27" t="s">
        <v>143</v>
      </c>
      <c r="C36" s="27" t="s">
        <v>145</v>
      </c>
      <c r="D36" s="31">
        <v>156065</v>
      </c>
      <c r="E36" s="29">
        <v>352.16067249999998</v>
      </c>
      <c r="F36" s="30">
        <v>0.85019066453987402</v>
      </c>
      <c r="G36" s="27"/>
    </row>
    <row r="37" spans="1:7" x14ac:dyDescent="0.2">
      <c r="A37" s="27" t="s">
        <v>675</v>
      </c>
      <c r="B37" s="27" t="s">
        <v>674</v>
      </c>
      <c r="C37" s="27" t="s">
        <v>311</v>
      </c>
      <c r="D37" s="31">
        <v>45543</v>
      </c>
      <c r="E37" s="29">
        <v>350.4761565</v>
      </c>
      <c r="F37" s="30">
        <v>0.84612388511416203</v>
      </c>
      <c r="G37" s="27"/>
    </row>
    <row r="38" spans="1:7" x14ac:dyDescent="0.2">
      <c r="A38" s="27" t="s">
        <v>165</v>
      </c>
      <c r="B38" s="27" t="s">
        <v>164</v>
      </c>
      <c r="C38" s="27" t="s">
        <v>150</v>
      </c>
      <c r="D38" s="31">
        <v>108853</v>
      </c>
      <c r="E38" s="29">
        <v>346.96893749999998</v>
      </c>
      <c r="F38" s="30">
        <v>0.83765671349295601</v>
      </c>
      <c r="G38" s="27"/>
    </row>
    <row r="39" spans="1:7" x14ac:dyDescent="0.2">
      <c r="A39" s="27" t="s">
        <v>176</v>
      </c>
      <c r="B39" s="27" t="s">
        <v>175</v>
      </c>
      <c r="C39" s="27" t="s">
        <v>177</v>
      </c>
      <c r="D39" s="31">
        <v>23263</v>
      </c>
      <c r="E39" s="29">
        <v>342.24525599999998</v>
      </c>
      <c r="F39" s="30">
        <v>0.82625274301252205</v>
      </c>
      <c r="G39" s="27"/>
    </row>
    <row r="40" spans="1:7" x14ac:dyDescent="0.2">
      <c r="A40" s="27" t="s">
        <v>121</v>
      </c>
      <c r="B40" s="27" t="s">
        <v>120</v>
      </c>
      <c r="C40" s="27" t="s">
        <v>122</v>
      </c>
      <c r="D40" s="31">
        <v>85899</v>
      </c>
      <c r="E40" s="29">
        <v>338.65680750000001</v>
      </c>
      <c r="F40" s="30">
        <v>0.81758946612466299</v>
      </c>
      <c r="G40" s="27"/>
    </row>
    <row r="41" spans="1:7" x14ac:dyDescent="0.2">
      <c r="A41" s="27" t="s">
        <v>152</v>
      </c>
      <c r="B41" s="27" t="s">
        <v>151</v>
      </c>
      <c r="C41" s="27" t="s">
        <v>150</v>
      </c>
      <c r="D41" s="31">
        <v>8023</v>
      </c>
      <c r="E41" s="29">
        <v>336.38834400000002</v>
      </c>
      <c r="F41" s="30">
        <v>0.81211291339985703</v>
      </c>
      <c r="G41" s="27"/>
    </row>
    <row r="42" spans="1:7" x14ac:dyDescent="0.2">
      <c r="A42" s="27" t="s">
        <v>677</v>
      </c>
      <c r="B42" s="27" t="s">
        <v>676</v>
      </c>
      <c r="C42" s="27" t="s">
        <v>131</v>
      </c>
      <c r="D42" s="31">
        <v>7753</v>
      </c>
      <c r="E42" s="29">
        <v>325.16082</v>
      </c>
      <c r="F42" s="30">
        <v>0.78500728566768196</v>
      </c>
      <c r="G42" s="27"/>
    </row>
    <row r="43" spans="1:7" x14ac:dyDescent="0.2">
      <c r="A43" s="27" t="s">
        <v>679</v>
      </c>
      <c r="B43" s="27" t="s">
        <v>678</v>
      </c>
      <c r="C43" s="27" t="s">
        <v>554</v>
      </c>
      <c r="D43" s="31">
        <v>47558</v>
      </c>
      <c r="E43" s="29">
        <v>316.68872199999998</v>
      </c>
      <c r="F43" s="30">
        <v>0.76455384156918704</v>
      </c>
      <c r="G43" s="27"/>
    </row>
    <row r="44" spans="1:7" x14ac:dyDescent="0.2">
      <c r="A44" s="27" t="s">
        <v>147</v>
      </c>
      <c r="B44" s="27" t="s">
        <v>146</v>
      </c>
      <c r="C44" s="27" t="s">
        <v>145</v>
      </c>
      <c r="D44" s="31">
        <v>284678</v>
      </c>
      <c r="E44" s="29">
        <v>314.56918999999999</v>
      </c>
      <c r="F44" s="30">
        <v>0.75943684111936105</v>
      </c>
      <c r="G44" s="27"/>
    </row>
    <row r="45" spans="1:7" x14ac:dyDescent="0.2">
      <c r="A45" s="27" t="s">
        <v>525</v>
      </c>
      <c r="B45" s="27" t="s">
        <v>524</v>
      </c>
      <c r="C45" s="27" t="s">
        <v>131</v>
      </c>
      <c r="D45" s="31">
        <v>30814</v>
      </c>
      <c r="E45" s="29">
        <v>292.53270900000001</v>
      </c>
      <c r="F45" s="30">
        <v>0.70623609529925502</v>
      </c>
      <c r="G45" s="27"/>
    </row>
    <row r="46" spans="1:7" x14ac:dyDescent="0.2">
      <c r="A46" s="27" t="s">
        <v>681</v>
      </c>
      <c r="B46" s="27" t="s">
        <v>680</v>
      </c>
      <c r="C46" s="27" t="s">
        <v>497</v>
      </c>
      <c r="D46" s="31">
        <v>32142</v>
      </c>
      <c r="E46" s="29">
        <v>261.989442</v>
      </c>
      <c r="F46" s="30">
        <v>0.63249816118070601</v>
      </c>
      <c r="G46" s="27"/>
    </row>
    <row r="47" spans="1:7" x14ac:dyDescent="0.2">
      <c r="A47" s="27" t="s">
        <v>683</v>
      </c>
      <c r="B47" s="27" t="s">
        <v>682</v>
      </c>
      <c r="C47" s="27" t="s">
        <v>128</v>
      </c>
      <c r="D47" s="31">
        <v>7175</v>
      </c>
      <c r="E47" s="29">
        <v>247.38323750000001</v>
      </c>
      <c r="F47" s="30">
        <v>0.59723568106870495</v>
      </c>
      <c r="G47" s="27"/>
    </row>
    <row r="48" spans="1:7" x14ac:dyDescent="0.2">
      <c r="A48" s="27" t="s">
        <v>269</v>
      </c>
      <c r="B48" s="27" t="s">
        <v>268</v>
      </c>
      <c r="C48" s="27" t="s">
        <v>270</v>
      </c>
      <c r="D48" s="31">
        <v>210784</v>
      </c>
      <c r="E48" s="29">
        <v>239.556016</v>
      </c>
      <c r="F48" s="30">
        <v>0.57833910581700398</v>
      </c>
      <c r="G48" s="27"/>
    </row>
    <row r="49" spans="1:9" x14ac:dyDescent="0.2">
      <c r="A49" s="27" t="s">
        <v>685</v>
      </c>
      <c r="B49" s="27" t="s">
        <v>684</v>
      </c>
      <c r="C49" s="27" t="s">
        <v>150</v>
      </c>
      <c r="D49" s="31">
        <v>7692</v>
      </c>
      <c r="E49" s="29">
        <v>231.33690000000001</v>
      </c>
      <c r="F49" s="30">
        <v>0.55849641400146499</v>
      </c>
      <c r="G49" s="27"/>
    </row>
    <row r="50" spans="1:9" x14ac:dyDescent="0.2">
      <c r="A50" s="27" t="s">
        <v>563</v>
      </c>
      <c r="B50" s="27" t="s">
        <v>562</v>
      </c>
      <c r="C50" s="27" t="s">
        <v>554</v>
      </c>
      <c r="D50" s="31">
        <v>23408</v>
      </c>
      <c r="E50" s="29">
        <v>228.38015200000001</v>
      </c>
      <c r="F50" s="30">
        <v>0.55135819629773497</v>
      </c>
      <c r="G50" s="27"/>
    </row>
    <row r="51" spans="1:9" x14ac:dyDescent="0.2">
      <c r="A51" s="27" t="s">
        <v>154</v>
      </c>
      <c r="B51" s="27" t="s">
        <v>153</v>
      </c>
      <c r="C51" s="27" t="s">
        <v>134</v>
      </c>
      <c r="D51" s="31">
        <v>47078</v>
      </c>
      <c r="E51" s="29">
        <v>222.20815999999999</v>
      </c>
      <c r="F51" s="30">
        <v>0.536457696640112</v>
      </c>
      <c r="G51" s="27"/>
    </row>
    <row r="52" spans="1:9" x14ac:dyDescent="0.2">
      <c r="A52" s="27" t="s">
        <v>687</v>
      </c>
      <c r="B52" s="27" t="s">
        <v>686</v>
      </c>
      <c r="C52" s="27" t="s">
        <v>150</v>
      </c>
      <c r="D52" s="31">
        <v>8296</v>
      </c>
      <c r="E52" s="29">
        <v>222.01340400000001</v>
      </c>
      <c r="F52" s="30">
        <v>0.53598751428872204</v>
      </c>
      <c r="G52" s="27"/>
    </row>
    <row r="53" spans="1:9" x14ac:dyDescent="0.2">
      <c r="A53" s="27" t="s">
        <v>689</v>
      </c>
      <c r="B53" s="27" t="s">
        <v>688</v>
      </c>
      <c r="C53" s="27" t="s">
        <v>177</v>
      </c>
      <c r="D53" s="31">
        <v>781</v>
      </c>
      <c r="E53" s="29">
        <v>215.38417999999999</v>
      </c>
      <c r="F53" s="30">
        <v>0.51998315946416696</v>
      </c>
      <c r="G53" s="27"/>
    </row>
    <row r="54" spans="1:9" x14ac:dyDescent="0.2">
      <c r="A54" s="27" t="s">
        <v>287</v>
      </c>
      <c r="B54" s="27" t="s">
        <v>286</v>
      </c>
      <c r="C54" s="27" t="s">
        <v>128</v>
      </c>
      <c r="D54" s="31">
        <v>30644</v>
      </c>
      <c r="E54" s="29">
        <v>203.430194</v>
      </c>
      <c r="F54" s="30">
        <v>0.49112369815892898</v>
      </c>
      <c r="G54" s="27"/>
    </row>
    <row r="55" spans="1:9" x14ac:dyDescent="0.2">
      <c r="A55" s="27" t="s">
        <v>179</v>
      </c>
      <c r="B55" s="27" t="s">
        <v>178</v>
      </c>
      <c r="C55" s="27" t="s">
        <v>180</v>
      </c>
      <c r="D55" s="31">
        <v>123394</v>
      </c>
      <c r="E55" s="29">
        <v>182.252938</v>
      </c>
      <c r="F55" s="30">
        <v>0.43999730399357601</v>
      </c>
      <c r="G55" s="27"/>
    </row>
    <row r="56" spans="1:9" x14ac:dyDescent="0.2">
      <c r="A56" s="27" t="s">
        <v>208</v>
      </c>
      <c r="B56" s="27" t="s">
        <v>207</v>
      </c>
      <c r="C56" s="27" t="s">
        <v>134</v>
      </c>
      <c r="D56" s="31">
        <v>146180</v>
      </c>
      <c r="E56" s="29">
        <v>159.70165</v>
      </c>
      <c r="F56" s="30">
        <v>0.38555370472724898</v>
      </c>
      <c r="G56" s="27"/>
    </row>
    <row r="57" spans="1:9" x14ac:dyDescent="0.2">
      <c r="A57" s="27" t="s">
        <v>691</v>
      </c>
      <c r="B57" s="27" t="s">
        <v>690</v>
      </c>
      <c r="C57" s="27" t="s">
        <v>101</v>
      </c>
      <c r="D57" s="31">
        <v>92088</v>
      </c>
      <c r="E57" s="29">
        <v>0</v>
      </c>
      <c r="F57" s="30">
        <v>2.2231999206597401E-7</v>
      </c>
      <c r="G57" s="27"/>
    </row>
    <row r="58" spans="1:9" x14ac:dyDescent="0.2">
      <c r="A58" s="26" t="s">
        <v>35</v>
      </c>
      <c r="B58" s="26"/>
      <c r="C58" s="26"/>
      <c r="D58" s="32"/>
      <c r="E58" s="33">
        <f>SUM(E7:E57)</f>
        <v>41139.960500500019</v>
      </c>
      <c r="F58" s="34">
        <f>SUM(F7:F57)</f>
        <v>99.320603254915255</v>
      </c>
      <c r="G58" s="26"/>
      <c r="H58" s="18"/>
      <c r="I58" s="18"/>
    </row>
    <row r="59" spans="1:9" x14ac:dyDescent="0.2">
      <c r="A59" s="27"/>
      <c r="B59" s="27"/>
      <c r="C59" s="27"/>
      <c r="D59" s="28"/>
      <c r="E59" s="29"/>
      <c r="F59" s="30"/>
      <c r="G59" s="27"/>
    </row>
    <row r="60" spans="1:9" x14ac:dyDescent="0.2">
      <c r="A60" s="26" t="s">
        <v>31</v>
      </c>
      <c r="B60" s="27"/>
      <c r="C60" s="27"/>
      <c r="D60" s="28"/>
      <c r="E60" s="29"/>
      <c r="F60" s="30"/>
      <c r="G60" s="27"/>
    </row>
    <row r="61" spans="1:9" x14ac:dyDescent="0.2">
      <c r="A61" s="26" t="s">
        <v>32</v>
      </c>
      <c r="B61" s="27"/>
      <c r="C61" s="27"/>
      <c r="D61" s="28"/>
      <c r="E61" s="29"/>
      <c r="F61" s="30"/>
      <c r="G61" s="27"/>
    </row>
    <row r="62" spans="1:9" x14ac:dyDescent="0.2">
      <c r="A62" s="27" t="s">
        <v>692</v>
      </c>
      <c r="B62" s="27" t="s">
        <v>756</v>
      </c>
      <c r="C62" s="27" t="s">
        <v>34</v>
      </c>
      <c r="D62" s="31">
        <v>7175</v>
      </c>
      <c r="E62" s="29">
        <v>2.0807500000000001</v>
      </c>
      <c r="F62" s="30">
        <v>5.0233724642871503E-3</v>
      </c>
      <c r="G62" s="69">
        <v>5.5</v>
      </c>
    </row>
    <row r="63" spans="1:9" x14ac:dyDescent="0.2">
      <c r="A63" s="26" t="s">
        <v>35</v>
      </c>
      <c r="B63" s="26"/>
      <c r="C63" s="26"/>
      <c r="D63" s="32"/>
      <c r="E63" s="33">
        <f>SUM(E61:E62)</f>
        <v>2.0807500000000001</v>
      </c>
      <c r="F63" s="34">
        <f>SUM(F61:F62)</f>
        <v>5.0233724642871503E-3</v>
      </c>
      <c r="G63" s="26"/>
      <c r="H63" s="18"/>
      <c r="I63" s="18"/>
    </row>
    <row r="64" spans="1:9" x14ac:dyDescent="0.2">
      <c r="A64" s="27"/>
      <c r="B64" s="27"/>
      <c r="C64" s="27"/>
      <c r="D64" s="28"/>
      <c r="E64" s="29"/>
      <c r="F64" s="30"/>
      <c r="G64" s="27"/>
    </row>
    <row r="65" spans="1:9" x14ac:dyDescent="0.2">
      <c r="A65" s="26" t="s">
        <v>38</v>
      </c>
      <c r="B65" s="26"/>
      <c r="C65" s="26"/>
      <c r="D65" s="32"/>
      <c r="E65" s="33">
        <f>E58+E63</f>
        <v>41142.04125050002</v>
      </c>
      <c r="F65" s="34">
        <f>F58+F63</f>
        <v>99.325626627379549</v>
      </c>
      <c r="G65" s="26"/>
      <c r="H65" s="18"/>
      <c r="I65" s="18"/>
    </row>
    <row r="66" spans="1:9" x14ac:dyDescent="0.2">
      <c r="A66" s="26"/>
      <c r="B66" s="26"/>
      <c r="C66" s="26"/>
      <c r="D66" s="32"/>
      <c r="E66" s="33"/>
      <c r="F66" s="34"/>
      <c r="G66" s="26"/>
      <c r="H66" s="18"/>
      <c r="I66" s="18"/>
    </row>
    <row r="67" spans="1:9" x14ac:dyDescent="0.2">
      <c r="A67" s="26" t="s">
        <v>40</v>
      </c>
      <c r="B67" s="26"/>
      <c r="C67" s="26"/>
      <c r="D67" s="32"/>
      <c r="E67" s="33">
        <f>E69-(E58+E63)</f>
        <v>279.3348228999821</v>
      </c>
      <c r="F67" s="34">
        <f>F69-(F58+F63)</f>
        <v>0.67437337262045105</v>
      </c>
      <c r="G67" s="26"/>
      <c r="H67" s="18"/>
      <c r="I67" s="18"/>
    </row>
    <row r="68" spans="1:9" x14ac:dyDescent="0.2">
      <c r="A68" s="26"/>
      <c r="B68" s="26"/>
      <c r="C68" s="26"/>
      <c r="D68" s="32"/>
      <c r="E68" s="33"/>
      <c r="F68" s="34"/>
      <c r="G68" s="26"/>
      <c r="H68" s="18"/>
      <c r="I68" s="18"/>
    </row>
    <row r="69" spans="1:9" x14ac:dyDescent="0.2">
      <c r="A69" s="35" t="s">
        <v>39</v>
      </c>
      <c r="B69" s="35"/>
      <c r="C69" s="35"/>
      <c r="D69" s="36"/>
      <c r="E69" s="37">
        <v>41421.376073400002</v>
      </c>
      <c r="F69" s="38">
        <v>100</v>
      </c>
      <c r="G69" s="35"/>
      <c r="H69" s="18"/>
      <c r="I69" s="18"/>
    </row>
    <row r="70" spans="1:9" x14ac:dyDescent="0.2">
      <c r="F70" s="20" t="s">
        <v>514</v>
      </c>
    </row>
    <row r="71" spans="1:9" x14ac:dyDescent="0.2">
      <c r="A71" s="18" t="s">
        <v>41</v>
      </c>
      <c r="F71" s="20"/>
    </row>
    <row r="73" spans="1:9" x14ac:dyDescent="0.2">
      <c r="A73" s="18" t="s">
        <v>42</v>
      </c>
    </row>
    <row r="74" spans="1:9" x14ac:dyDescent="0.2">
      <c r="A74" s="18" t="s">
        <v>43</v>
      </c>
    </row>
    <row r="75" spans="1:9" x14ac:dyDescent="0.2">
      <c r="A75" s="18" t="s">
        <v>44</v>
      </c>
      <c r="B75" s="18"/>
      <c r="C75" s="39" t="s">
        <v>46</v>
      </c>
      <c r="D75" s="19" t="s">
        <v>45</v>
      </c>
    </row>
    <row r="76" spans="1:9" x14ac:dyDescent="0.2">
      <c r="A76" s="9" t="s">
        <v>70</v>
      </c>
      <c r="C76" s="40">
        <v>102.5206</v>
      </c>
      <c r="D76" s="40">
        <v>122.95780000000001</v>
      </c>
    </row>
    <row r="77" spans="1:9" x14ac:dyDescent="0.2">
      <c r="A77" s="9" t="s">
        <v>76</v>
      </c>
      <c r="C77" s="40">
        <v>102.5206</v>
      </c>
      <c r="D77" s="40">
        <v>122.95780000000001</v>
      </c>
    </row>
    <row r="78" spans="1:9" x14ac:dyDescent="0.2">
      <c r="A78" s="9" t="s">
        <v>73</v>
      </c>
      <c r="C78" s="40">
        <v>105.7846</v>
      </c>
      <c r="D78" s="40">
        <v>127.1371</v>
      </c>
    </row>
    <row r="79" spans="1:9" x14ac:dyDescent="0.2">
      <c r="A79" s="9" t="s">
        <v>77</v>
      </c>
      <c r="C79" s="40">
        <v>105.7846</v>
      </c>
      <c r="D79" s="40">
        <v>127.1371</v>
      </c>
    </row>
    <row r="81" spans="1:4" x14ac:dyDescent="0.2">
      <c r="A81" s="9" t="s">
        <v>47</v>
      </c>
    </row>
    <row r="83" spans="1:4" x14ac:dyDescent="0.2">
      <c r="A83" s="18" t="s">
        <v>48</v>
      </c>
      <c r="D83" s="41" t="s">
        <v>49</v>
      </c>
    </row>
    <row r="85" spans="1:4" x14ac:dyDescent="0.2">
      <c r="A85" s="18" t="s">
        <v>226</v>
      </c>
      <c r="D85" s="46">
        <v>4.8999999999999998E-3</v>
      </c>
    </row>
    <row r="87" spans="1:4" x14ac:dyDescent="0.2">
      <c r="A87" s="18" t="s">
        <v>748</v>
      </c>
    </row>
    <row r="88" spans="1:4" x14ac:dyDescent="0.2">
      <c r="A88" s="47" t="s">
        <v>51</v>
      </c>
    </row>
    <row r="89" spans="1:4" x14ac:dyDescent="0.2">
      <c r="A89" s="18"/>
    </row>
    <row r="90" spans="1:4" ht="14.4" x14ac:dyDescent="0.3">
      <c r="A90" s="43"/>
    </row>
  </sheetData>
  <mergeCells count="1">
    <mergeCell ref="A1:F1"/>
  </mergeCells>
  <conditionalFormatting sqref="F2:F3 F5:F69 F72:F65537">
    <cfRule type="cellIs" dxfId="13" priority="2" stopIfTrue="1" operator="between">
      <formula>0.009</formula>
      <formula>-0.009</formula>
    </cfRule>
  </conditionalFormatting>
  <conditionalFormatting sqref="F70:F71">
    <cfRule type="cellIs" dxfId="12" priority="1" stopIfTrue="1" operator="between">
      <formula>0.009</formula>
      <formula>-0.009</formula>
    </cfRule>
  </conditionalFormatting>
  <hyperlinks>
    <hyperlink ref="A88" r:id="rId1" xr:uid="{00000000-0004-0000-2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98"/>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4.6640625" style="9" bestFit="1" customWidth="1"/>
    <col min="4" max="4" width="15.5546875" style="10" bestFit="1" customWidth="1"/>
    <col min="5" max="5" width="23" style="13" bestFit="1" customWidth="1"/>
    <col min="6" max="6" width="14.6640625" style="14" bestFit="1" customWidth="1"/>
    <col min="7" max="16384" width="9.109375" style="9"/>
  </cols>
  <sheetData>
    <row r="1" spans="1:6" s="1" customFormat="1" ht="13.8" x14ac:dyDescent="0.2">
      <c r="A1" s="75" t="s">
        <v>22</v>
      </c>
      <c r="B1" s="76"/>
      <c r="C1" s="76"/>
      <c r="D1" s="76"/>
      <c r="E1" s="76"/>
      <c r="F1" s="76"/>
    </row>
    <row r="2" spans="1:6" s="1" customFormat="1" ht="11.4" x14ac:dyDescent="0.2">
      <c r="D2" s="6"/>
      <c r="E2" s="7"/>
      <c r="F2" s="12"/>
    </row>
    <row r="3" spans="1:6" s="1" customFormat="1" ht="12" x14ac:dyDescent="0.2">
      <c r="A3" s="11" t="s">
        <v>7</v>
      </c>
      <c r="B3" s="2"/>
      <c r="C3" s="3"/>
      <c r="D3" s="4"/>
      <c r="E3" s="5"/>
      <c r="F3" s="12"/>
    </row>
    <row r="4" spans="1:6" s="1" customFormat="1" ht="17.399999999999999" customHeight="1" x14ac:dyDescent="0.2">
      <c r="A4" s="8" t="s">
        <v>2</v>
      </c>
      <c r="B4" s="8" t="s">
        <v>0</v>
      </c>
      <c r="C4" s="17" t="s">
        <v>273</v>
      </c>
      <c r="D4" s="16" t="s">
        <v>1</v>
      </c>
      <c r="E4" s="15" t="s">
        <v>3</v>
      </c>
      <c r="F4" s="15" t="s">
        <v>4</v>
      </c>
    </row>
    <row r="5" spans="1:6" x14ac:dyDescent="0.2">
      <c r="A5" s="21" t="s">
        <v>98</v>
      </c>
      <c r="B5" s="22"/>
      <c r="C5" s="22"/>
      <c r="D5" s="23"/>
      <c r="E5" s="24"/>
      <c r="F5" s="25"/>
    </row>
    <row r="6" spans="1:6" x14ac:dyDescent="0.2">
      <c r="A6" s="26" t="s">
        <v>32</v>
      </c>
      <c r="B6" s="27"/>
      <c r="C6" s="27"/>
      <c r="D6" s="28"/>
      <c r="E6" s="29"/>
      <c r="F6" s="30"/>
    </row>
    <row r="7" spans="1:6" x14ac:dyDescent="0.2">
      <c r="A7" s="27" t="s">
        <v>105</v>
      </c>
      <c r="B7" s="27" t="s">
        <v>104</v>
      </c>
      <c r="C7" s="27" t="s">
        <v>106</v>
      </c>
      <c r="D7" s="31">
        <v>2778479</v>
      </c>
      <c r="E7" s="29">
        <v>38725.051059999998</v>
      </c>
      <c r="F7" s="30">
        <v>8.3535760741671403</v>
      </c>
    </row>
    <row r="8" spans="1:6" x14ac:dyDescent="0.2">
      <c r="A8" s="27" t="s">
        <v>103</v>
      </c>
      <c r="B8" s="27" t="s">
        <v>102</v>
      </c>
      <c r="C8" s="27" t="s">
        <v>101</v>
      </c>
      <c r="D8" s="31">
        <v>5129842</v>
      </c>
      <c r="E8" s="29">
        <v>38509.723890000001</v>
      </c>
      <c r="F8" s="30">
        <v>8.3071267643226392</v>
      </c>
    </row>
    <row r="9" spans="1:6" x14ac:dyDescent="0.2">
      <c r="A9" s="27" t="s">
        <v>100</v>
      </c>
      <c r="B9" s="27" t="s">
        <v>99</v>
      </c>
      <c r="C9" s="27" t="s">
        <v>101</v>
      </c>
      <c r="D9" s="31">
        <v>2480104</v>
      </c>
      <c r="E9" s="29">
        <v>37594.656479999998</v>
      </c>
      <c r="F9" s="30">
        <v>8.1097329581638693</v>
      </c>
    </row>
    <row r="10" spans="1:6" x14ac:dyDescent="0.2">
      <c r="A10" s="27" t="s">
        <v>108</v>
      </c>
      <c r="B10" s="27" t="s">
        <v>107</v>
      </c>
      <c r="C10" s="27" t="s">
        <v>101</v>
      </c>
      <c r="D10" s="31">
        <v>4283052</v>
      </c>
      <c r="E10" s="29">
        <v>28385.92713</v>
      </c>
      <c r="F10" s="30">
        <v>6.1232715057966898</v>
      </c>
    </row>
    <row r="11" spans="1:6" x14ac:dyDescent="0.2">
      <c r="A11" s="27" t="s">
        <v>144</v>
      </c>
      <c r="B11" s="27" t="s">
        <v>143</v>
      </c>
      <c r="C11" s="27" t="s">
        <v>145</v>
      </c>
      <c r="D11" s="31">
        <v>8119223</v>
      </c>
      <c r="E11" s="29">
        <v>18321.026699999999</v>
      </c>
      <c r="F11" s="30">
        <v>3.95212107165902</v>
      </c>
    </row>
    <row r="12" spans="1:6" x14ac:dyDescent="0.2">
      <c r="A12" s="27" t="s">
        <v>199</v>
      </c>
      <c r="B12" s="27" t="s">
        <v>198</v>
      </c>
      <c r="C12" s="27" t="s">
        <v>145</v>
      </c>
      <c r="D12" s="31">
        <v>16474428</v>
      </c>
      <c r="E12" s="29">
        <v>17537.028610000001</v>
      </c>
      <c r="F12" s="30">
        <v>3.7830008895663099</v>
      </c>
    </row>
    <row r="13" spans="1:6" x14ac:dyDescent="0.2">
      <c r="A13" s="27" t="s">
        <v>116</v>
      </c>
      <c r="B13" s="27" t="s">
        <v>115</v>
      </c>
      <c r="C13" s="27" t="s">
        <v>101</v>
      </c>
      <c r="D13" s="31">
        <v>699652</v>
      </c>
      <c r="E13" s="29">
        <v>12647.609200000001</v>
      </c>
      <c r="F13" s="30">
        <v>2.7282795688207</v>
      </c>
    </row>
    <row r="14" spans="1:6" x14ac:dyDescent="0.2">
      <c r="A14" s="27" t="s">
        <v>113</v>
      </c>
      <c r="B14" s="27" t="s">
        <v>112</v>
      </c>
      <c r="C14" s="27" t="s">
        <v>114</v>
      </c>
      <c r="D14" s="31">
        <v>2294619</v>
      </c>
      <c r="E14" s="29">
        <v>12273.917030000001</v>
      </c>
      <c r="F14" s="30">
        <v>2.64766854611142</v>
      </c>
    </row>
    <row r="15" spans="1:6" x14ac:dyDescent="0.2">
      <c r="A15" s="27" t="s">
        <v>176</v>
      </c>
      <c r="B15" s="27" t="s">
        <v>175</v>
      </c>
      <c r="C15" s="27" t="s">
        <v>177</v>
      </c>
      <c r="D15" s="31">
        <v>831440</v>
      </c>
      <c r="E15" s="29">
        <v>12232.145280000001</v>
      </c>
      <c r="F15" s="30">
        <v>2.6386577512428602</v>
      </c>
    </row>
    <row r="16" spans="1:6" x14ac:dyDescent="0.2">
      <c r="A16" s="27" t="s">
        <v>194</v>
      </c>
      <c r="B16" s="27" t="s">
        <v>193</v>
      </c>
      <c r="C16" s="27" t="s">
        <v>195</v>
      </c>
      <c r="D16" s="31">
        <v>757133</v>
      </c>
      <c r="E16" s="29">
        <v>11112.44104</v>
      </c>
      <c r="F16" s="30">
        <v>2.3971207023977801</v>
      </c>
    </row>
    <row r="17" spans="1:6" x14ac:dyDescent="0.2">
      <c r="A17" s="27" t="s">
        <v>156</v>
      </c>
      <c r="B17" s="27" t="s">
        <v>155</v>
      </c>
      <c r="C17" s="27" t="s">
        <v>128</v>
      </c>
      <c r="D17" s="31">
        <v>871834</v>
      </c>
      <c r="E17" s="29">
        <v>10927.131439999999</v>
      </c>
      <c r="F17" s="30">
        <v>2.3571466339717602</v>
      </c>
    </row>
    <row r="18" spans="1:6" x14ac:dyDescent="0.2">
      <c r="A18" s="27" t="s">
        <v>142</v>
      </c>
      <c r="B18" s="27" t="s">
        <v>141</v>
      </c>
      <c r="C18" s="27" t="s">
        <v>128</v>
      </c>
      <c r="D18" s="31">
        <v>456440</v>
      </c>
      <c r="E18" s="29">
        <v>10680.924220000001</v>
      </c>
      <c r="F18" s="30">
        <v>2.30403603279805</v>
      </c>
    </row>
    <row r="19" spans="1:6" x14ac:dyDescent="0.2">
      <c r="A19" s="27" t="s">
        <v>158</v>
      </c>
      <c r="B19" s="27" t="s">
        <v>157</v>
      </c>
      <c r="C19" s="27" t="s">
        <v>101</v>
      </c>
      <c r="D19" s="31">
        <v>5914508</v>
      </c>
      <c r="E19" s="29">
        <v>10193.65454</v>
      </c>
      <c r="F19" s="30">
        <v>2.1989246325778602</v>
      </c>
    </row>
    <row r="20" spans="1:6" x14ac:dyDescent="0.2">
      <c r="A20" s="27" t="s">
        <v>121</v>
      </c>
      <c r="B20" s="27" t="s">
        <v>120</v>
      </c>
      <c r="C20" s="27" t="s">
        <v>122</v>
      </c>
      <c r="D20" s="31">
        <v>2549242</v>
      </c>
      <c r="E20" s="29">
        <v>10050.38659</v>
      </c>
      <c r="F20" s="30">
        <v>2.1680195805106401</v>
      </c>
    </row>
    <row r="21" spans="1:6" x14ac:dyDescent="0.2">
      <c r="A21" s="27" t="s">
        <v>203</v>
      </c>
      <c r="B21" s="27" t="s">
        <v>202</v>
      </c>
      <c r="C21" s="27" t="s">
        <v>204</v>
      </c>
      <c r="D21" s="31">
        <v>6223868</v>
      </c>
      <c r="E21" s="29">
        <v>8669.8481240000001</v>
      </c>
      <c r="F21" s="30">
        <v>1.8702166652562</v>
      </c>
    </row>
    <row r="22" spans="1:6" x14ac:dyDescent="0.2">
      <c r="A22" s="27" t="s">
        <v>140</v>
      </c>
      <c r="B22" s="27" t="s">
        <v>139</v>
      </c>
      <c r="C22" s="27" t="s">
        <v>125</v>
      </c>
      <c r="D22" s="31">
        <v>3173835</v>
      </c>
      <c r="E22" s="29">
        <v>8602.679768</v>
      </c>
      <c r="F22" s="30">
        <v>1.8557274404194599</v>
      </c>
    </row>
    <row r="23" spans="1:6" x14ac:dyDescent="0.2">
      <c r="A23" s="27" t="s">
        <v>136</v>
      </c>
      <c r="B23" s="27" t="s">
        <v>135</v>
      </c>
      <c r="C23" s="27" t="s">
        <v>101</v>
      </c>
      <c r="D23" s="31">
        <v>1935519</v>
      </c>
      <c r="E23" s="29">
        <v>8213.3748770000002</v>
      </c>
      <c r="F23" s="30">
        <v>1.7717485189204201</v>
      </c>
    </row>
    <row r="24" spans="1:6" x14ac:dyDescent="0.2">
      <c r="A24" s="27" t="s">
        <v>124</v>
      </c>
      <c r="B24" s="27" t="s">
        <v>123</v>
      </c>
      <c r="C24" s="27" t="s">
        <v>125</v>
      </c>
      <c r="D24" s="31">
        <v>3078627</v>
      </c>
      <c r="E24" s="29">
        <v>7433.3448920000001</v>
      </c>
      <c r="F24" s="30">
        <v>1.60348431677042</v>
      </c>
    </row>
    <row r="25" spans="1:6" x14ac:dyDescent="0.2">
      <c r="A25" s="27" t="s">
        <v>206</v>
      </c>
      <c r="B25" s="27" t="s">
        <v>205</v>
      </c>
      <c r="C25" s="27" t="s">
        <v>187</v>
      </c>
      <c r="D25" s="31">
        <v>1115794</v>
      </c>
      <c r="E25" s="29">
        <v>7152.7974370000002</v>
      </c>
      <c r="F25" s="30">
        <v>1.5429660103096901</v>
      </c>
    </row>
    <row r="26" spans="1:6" x14ac:dyDescent="0.2">
      <c r="A26" s="27" t="s">
        <v>133</v>
      </c>
      <c r="B26" s="27" t="s">
        <v>132</v>
      </c>
      <c r="C26" s="27" t="s">
        <v>134</v>
      </c>
      <c r="D26" s="31">
        <v>2520962</v>
      </c>
      <c r="E26" s="29">
        <v>7051.1307139999999</v>
      </c>
      <c r="F26" s="30">
        <v>1.52103496873467</v>
      </c>
    </row>
    <row r="27" spans="1:6" x14ac:dyDescent="0.2">
      <c r="A27" s="27" t="s">
        <v>186</v>
      </c>
      <c r="B27" s="27" t="s">
        <v>185</v>
      </c>
      <c r="C27" s="27" t="s">
        <v>187</v>
      </c>
      <c r="D27" s="31">
        <v>268692</v>
      </c>
      <c r="E27" s="29">
        <v>6859.3037219999997</v>
      </c>
      <c r="F27" s="30">
        <v>1.4796550008098299</v>
      </c>
    </row>
    <row r="28" spans="1:6" x14ac:dyDescent="0.2">
      <c r="A28" s="27" t="s">
        <v>130</v>
      </c>
      <c r="B28" s="27" t="s">
        <v>129</v>
      </c>
      <c r="C28" s="27" t="s">
        <v>131</v>
      </c>
      <c r="D28" s="31">
        <v>127107</v>
      </c>
      <c r="E28" s="29">
        <v>6748.3012909999998</v>
      </c>
      <c r="F28" s="30">
        <v>1.4557101065774301</v>
      </c>
    </row>
    <row r="29" spans="1:6" x14ac:dyDescent="0.2">
      <c r="A29" s="27" t="s">
        <v>149</v>
      </c>
      <c r="B29" s="27" t="s">
        <v>148</v>
      </c>
      <c r="C29" s="27" t="s">
        <v>150</v>
      </c>
      <c r="D29" s="31">
        <v>829699</v>
      </c>
      <c r="E29" s="29">
        <v>6703.5530710000003</v>
      </c>
      <c r="F29" s="30">
        <v>1.44605724235332</v>
      </c>
    </row>
    <row r="30" spans="1:6" x14ac:dyDescent="0.2">
      <c r="A30" s="27" t="s">
        <v>110</v>
      </c>
      <c r="B30" s="27" t="s">
        <v>109</v>
      </c>
      <c r="C30" s="27" t="s">
        <v>111</v>
      </c>
      <c r="D30" s="31">
        <v>302972</v>
      </c>
      <c r="E30" s="29">
        <v>6668.1107480000001</v>
      </c>
      <c r="F30" s="30">
        <v>1.43841180010544</v>
      </c>
    </row>
    <row r="31" spans="1:6" x14ac:dyDescent="0.2">
      <c r="A31" s="27" t="s">
        <v>197</v>
      </c>
      <c r="B31" s="27" t="s">
        <v>196</v>
      </c>
      <c r="C31" s="27" t="s">
        <v>128</v>
      </c>
      <c r="D31" s="31">
        <v>1219231</v>
      </c>
      <c r="E31" s="29">
        <v>6589.3339400000004</v>
      </c>
      <c r="F31" s="30">
        <v>1.42141845754048</v>
      </c>
    </row>
    <row r="32" spans="1:6" x14ac:dyDescent="0.2">
      <c r="A32" s="27" t="s">
        <v>208</v>
      </c>
      <c r="B32" s="27" t="s">
        <v>207</v>
      </c>
      <c r="C32" s="27" t="s">
        <v>134</v>
      </c>
      <c r="D32" s="31">
        <v>5948967</v>
      </c>
      <c r="E32" s="29">
        <v>6499.2464479999999</v>
      </c>
      <c r="F32" s="30">
        <v>1.40198523028438</v>
      </c>
    </row>
    <row r="33" spans="1:6" x14ac:dyDescent="0.2">
      <c r="A33" s="27" t="s">
        <v>531</v>
      </c>
      <c r="B33" s="27" t="s">
        <v>530</v>
      </c>
      <c r="C33" s="27" t="s">
        <v>131</v>
      </c>
      <c r="D33" s="31">
        <v>503898</v>
      </c>
      <c r="E33" s="29">
        <v>6145.03611</v>
      </c>
      <c r="F33" s="30">
        <v>1.32557673181256</v>
      </c>
    </row>
    <row r="34" spans="1:6" x14ac:dyDescent="0.2">
      <c r="A34" s="27" t="s">
        <v>561</v>
      </c>
      <c r="B34" s="27" t="s">
        <v>560</v>
      </c>
      <c r="C34" s="27" t="s">
        <v>101</v>
      </c>
      <c r="D34" s="31">
        <v>605270</v>
      </c>
      <c r="E34" s="29">
        <v>6131.3851000000004</v>
      </c>
      <c r="F34" s="30">
        <v>1.32263200359651</v>
      </c>
    </row>
    <row r="35" spans="1:6" x14ac:dyDescent="0.2">
      <c r="A35" s="27" t="s">
        <v>216</v>
      </c>
      <c r="B35" s="27" t="s">
        <v>215</v>
      </c>
      <c r="C35" s="27" t="s">
        <v>187</v>
      </c>
      <c r="D35" s="31">
        <v>1158898</v>
      </c>
      <c r="E35" s="29">
        <v>6091.7473369999998</v>
      </c>
      <c r="F35" s="30">
        <v>1.3140815418264999</v>
      </c>
    </row>
    <row r="36" spans="1:6" x14ac:dyDescent="0.2">
      <c r="A36" s="27" t="s">
        <v>246</v>
      </c>
      <c r="B36" s="27" t="s">
        <v>245</v>
      </c>
      <c r="C36" s="27" t="s">
        <v>247</v>
      </c>
      <c r="D36" s="31">
        <v>3970503</v>
      </c>
      <c r="E36" s="29">
        <v>5773.1113619999996</v>
      </c>
      <c r="F36" s="30">
        <v>1.2453469686169001</v>
      </c>
    </row>
    <row r="37" spans="1:6" x14ac:dyDescent="0.2">
      <c r="A37" s="27" t="s">
        <v>265</v>
      </c>
      <c r="B37" s="27" t="s">
        <v>264</v>
      </c>
      <c r="C37" s="27" t="s">
        <v>128</v>
      </c>
      <c r="D37" s="31">
        <v>896279</v>
      </c>
      <c r="E37" s="29">
        <v>5489.2607360000002</v>
      </c>
      <c r="F37" s="30">
        <v>1.1841161184802</v>
      </c>
    </row>
    <row r="38" spans="1:6" x14ac:dyDescent="0.2">
      <c r="A38" s="27" t="s">
        <v>201</v>
      </c>
      <c r="B38" s="27" t="s">
        <v>200</v>
      </c>
      <c r="C38" s="27" t="s">
        <v>106</v>
      </c>
      <c r="D38" s="31">
        <v>530548</v>
      </c>
      <c r="E38" s="29">
        <v>5420.3436419999998</v>
      </c>
      <c r="F38" s="30">
        <v>1.1692496645497099</v>
      </c>
    </row>
    <row r="39" spans="1:6" x14ac:dyDescent="0.2">
      <c r="A39" s="27" t="s">
        <v>210</v>
      </c>
      <c r="B39" s="27" t="s">
        <v>209</v>
      </c>
      <c r="C39" s="27" t="s">
        <v>211</v>
      </c>
      <c r="D39" s="31">
        <v>2627584</v>
      </c>
      <c r="E39" s="29">
        <v>5288.0128000000004</v>
      </c>
      <c r="F39" s="30">
        <v>1.1407039112105299</v>
      </c>
    </row>
    <row r="40" spans="1:6" x14ac:dyDescent="0.2">
      <c r="A40" s="27" t="s">
        <v>165</v>
      </c>
      <c r="B40" s="27" t="s">
        <v>164</v>
      </c>
      <c r="C40" s="27" t="s">
        <v>150</v>
      </c>
      <c r="D40" s="31">
        <v>1546634</v>
      </c>
      <c r="E40" s="29">
        <v>4929.8958750000002</v>
      </c>
      <c r="F40" s="30">
        <v>1.0634527031540399</v>
      </c>
    </row>
    <row r="41" spans="1:6" x14ac:dyDescent="0.2">
      <c r="A41" s="27" t="s">
        <v>138</v>
      </c>
      <c r="B41" s="27" t="s">
        <v>137</v>
      </c>
      <c r="C41" s="27" t="s">
        <v>106</v>
      </c>
      <c r="D41" s="31">
        <v>148117</v>
      </c>
      <c r="E41" s="29">
        <v>4679.238206</v>
      </c>
      <c r="F41" s="30">
        <v>1.00938207318068</v>
      </c>
    </row>
    <row r="42" spans="1:6" x14ac:dyDescent="0.2">
      <c r="A42" s="27" t="s">
        <v>667</v>
      </c>
      <c r="B42" s="27" t="s">
        <v>666</v>
      </c>
      <c r="C42" s="27" t="s">
        <v>463</v>
      </c>
      <c r="D42" s="31">
        <v>410704</v>
      </c>
      <c r="E42" s="29">
        <v>4623.0895760000003</v>
      </c>
      <c r="F42" s="30">
        <v>0.99726996901744402</v>
      </c>
    </row>
    <row r="43" spans="1:6" x14ac:dyDescent="0.2">
      <c r="A43" s="27" t="s">
        <v>218</v>
      </c>
      <c r="B43" s="27" t="s">
        <v>217</v>
      </c>
      <c r="C43" s="27" t="s">
        <v>125</v>
      </c>
      <c r="D43" s="31">
        <v>2792178</v>
      </c>
      <c r="E43" s="29">
        <v>4466.0887110000003</v>
      </c>
      <c r="F43" s="30">
        <v>0.96340252059354103</v>
      </c>
    </row>
    <row r="44" spans="1:6" x14ac:dyDescent="0.2">
      <c r="A44" s="27" t="s">
        <v>160</v>
      </c>
      <c r="B44" s="27" t="s">
        <v>159</v>
      </c>
      <c r="C44" s="27" t="s">
        <v>131</v>
      </c>
      <c r="D44" s="31">
        <v>720735</v>
      </c>
      <c r="E44" s="29">
        <v>4456.3045050000001</v>
      </c>
      <c r="F44" s="30">
        <v>0.96129192017058296</v>
      </c>
    </row>
    <row r="45" spans="1:6" x14ac:dyDescent="0.2">
      <c r="A45" s="27" t="s">
        <v>147</v>
      </c>
      <c r="B45" s="27" t="s">
        <v>146</v>
      </c>
      <c r="C45" s="27" t="s">
        <v>145</v>
      </c>
      <c r="D45" s="31">
        <v>3977486</v>
      </c>
      <c r="E45" s="29">
        <v>4395.1220300000004</v>
      </c>
      <c r="F45" s="30">
        <v>0.94809393991417301</v>
      </c>
    </row>
    <row r="46" spans="1:6" x14ac:dyDescent="0.2">
      <c r="A46" s="27" t="s">
        <v>249</v>
      </c>
      <c r="B46" s="27" t="s">
        <v>248</v>
      </c>
      <c r="C46" s="27" t="s">
        <v>211</v>
      </c>
      <c r="D46" s="31">
        <v>990217</v>
      </c>
      <c r="E46" s="29">
        <v>4372.3031639999999</v>
      </c>
      <c r="F46" s="30">
        <v>0.94317156724223306</v>
      </c>
    </row>
    <row r="47" spans="1:6" x14ac:dyDescent="0.2">
      <c r="A47" s="27" t="s">
        <v>152</v>
      </c>
      <c r="B47" s="27" t="s">
        <v>151</v>
      </c>
      <c r="C47" s="27" t="s">
        <v>150</v>
      </c>
      <c r="D47" s="31">
        <v>87369</v>
      </c>
      <c r="E47" s="29">
        <v>3663.2074320000002</v>
      </c>
      <c r="F47" s="30">
        <v>0.79020895056416895</v>
      </c>
    </row>
    <row r="48" spans="1:6" x14ac:dyDescent="0.2">
      <c r="A48" s="27" t="s">
        <v>174</v>
      </c>
      <c r="B48" s="27" t="s">
        <v>173</v>
      </c>
      <c r="C48" s="27" t="s">
        <v>128</v>
      </c>
      <c r="D48" s="31">
        <v>607174</v>
      </c>
      <c r="E48" s="29">
        <v>3472.124519</v>
      </c>
      <c r="F48" s="30">
        <v>0.74898949167318396</v>
      </c>
    </row>
    <row r="49" spans="1:9" x14ac:dyDescent="0.2">
      <c r="A49" s="27" t="s">
        <v>118</v>
      </c>
      <c r="B49" s="27" t="s">
        <v>117</v>
      </c>
      <c r="C49" s="27" t="s">
        <v>119</v>
      </c>
      <c r="D49" s="31">
        <v>300000</v>
      </c>
      <c r="E49" s="29">
        <v>3021.9</v>
      </c>
      <c r="F49" s="30">
        <v>0.65186928996978</v>
      </c>
    </row>
    <row r="50" spans="1:9" x14ac:dyDescent="0.2">
      <c r="A50" s="27" t="s">
        <v>222</v>
      </c>
      <c r="B50" s="27" t="s">
        <v>221</v>
      </c>
      <c r="C50" s="27" t="s">
        <v>101</v>
      </c>
      <c r="D50" s="31">
        <v>3293517</v>
      </c>
      <c r="E50" s="29">
        <v>2873.5935829999999</v>
      </c>
      <c r="F50" s="30">
        <v>0.61987736477445599</v>
      </c>
    </row>
    <row r="51" spans="1:9" x14ac:dyDescent="0.2">
      <c r="A51" s="27" t="s">
        <v>242</v>
      </c>
      <c r="B51" s="27" t="s">
        <v>241</v>
      </c>
      <c r="C51" s="27" t="s">
        <v>150</v>
      </c>
      <c r="D51" s="31">
        <v>1791828</v>
      </c>
      <c r="E51" s="29">
        <v>2702.0766239999998</v>
      </c>
      <c r="F51" s="30">
        <v>0.58287857650181096</v>
      </c>
    </row>
    <row r="52" spans="1:9" x14ac:dyDescent="0.2">
      <c r="A52" s="27" t="s">
        <v>414</v>
      </c>
      <c r="B52" s="27" t="s">
        <v>413</v>
      </c>
      <c r="C52" s="27" t="s">
        <v>204</v>
      </c>
      <c r="D52" s="31">
        <v>6320734</v>
      </c>
      <c r="E52" s="29">
        <v>2642.066812</v>
      </c>
      <c r="F52" s="30">
        <v>0.56993355729546402</v>
      </c>
    </row>
    <row r="53" spans="1:9" x14ac:dyDescent="0.2">
      <c r="A53" s="27" t="s">
        <v>694</v>
      </c>
      <c r="B53" s="27" t="s">
        <v>693</v>
      </c>
      <c r="C53" s="27" t="s">
        <v>376</v>
      </c>
      <c r="D53" s="31">
        <v>771008</v>
      </c>
      <c r="E53" s="29">
        <v>2106.3938560000001</v>
      </c>
      <c r="F53" s="30">
        <v>0.45438084228711301</v>
      </c>
    </row>
    <row r="54" spans="1:9" x14ac:dyDescent="0.2">
      <c r="A54" s="27" t="s">
        <v>162</v>
      </c>
      <c r="B54" s="27" t="s">
        <v>161</v>
      </c>
      <c r="C54" s="27" t="s">
        <v>163</v>
      </c>
      <c r="D54" s="31">
        <v>1075124</v>
      </c>
      <c r="E54" s="29">
        <v>2098.1044860000002</v>
      </c>
      <c r="F54" s="30">
        <v>0.45259270047692901</v>
      </c>
    </row>
    <row r="55" spans="1:9" x14ac:dyDescent="0.2">
      <c r="A55" s="27" t="s">
        <v>213</v>
      </c>
      <c r="B55" s="27" t="s">
        <v>212</v>
      </c>
      <c r="C55" s="27" t="s">
        <v>214</v>
      </c>
      <c r="D55" s="31">
        <v>1278633</v>
      </c>
      <c r="E55" s="29">
        <v>2096.9581199999998</v>
      </c>
      <c r="F55" s="30">
        <v>0.452345412085365</v>
      </c>
    </row>
    <row r="56" spans="1:9" x14ac:dyDescent="0.2">
      <c r="A56" s="27" t="s">
        <v>293</v>
      </c>
      <c r="B56" s="27" t="s">
        <v>292</v>
      </c>
      <c r="C56" s="27" t="s">
        <v>106</v>
      </c>
      <c r="D56" s="31">
        <v>241063</v>
      </c>
      <c r="E56" s="29">
        <v>1985.9975260000001</v>
      </c>
      <c r="F56" s="30">
        <v>0.428409542723241</v>
      </c>
    </row>
    <row r="57" spans="1:9" x14ac:dyDescent="0.2">
      <c r="A57" s="27" t="s">
        <v>263</v>
      </c>
      <c r="B57" s="27" t="s">
        <v>262</v>
      </c>
      <c r="C57" s="27" t="s">
        <v>187</v>
      </c>
      <c r="D57" s="31">
        <v>1695647</v>
      </c>
      <c r="E57" s="29">
        <v>1559.1474169999999</v>
      </c>
      <c r="F57" s="30">
        <v>0.33633155288990602</v>
      </c>
    </row>
    <row r="58" spans="1:9" x14ac:dyDescent="0.2">
      <c r="A58" s="27" t="s">
        <v>170</v>
      </c>
      <c r="B58" s="27" t="s">
        <v>169</v>
      </c>
      <c r="C58" s="27" t="s">
        <v>163</v>
      </c>
      <c r="D58" s="31">
        <v>125663</v>
      </c>
      <c r="E58" s="29">
        <v>198.98736049999999</v>
      </c>
      <c r="F58" s="30">
        <v>4.2924567127335701E-2</v>
      </c>
    </row>
    <row r="59" spans="1:9" x14ac:dyDescent="0.2">
      <c r="A59" s="26" t="s">
        <v>35</v>
      </c>
      <c r="B59" s="26"/>
      <c r="C59" s="26"/>
      <c r="D59" s="32"/>
      <c r="E59" s="33">
        <f>SUM(E7:E58)</f>
        <v>457064.14513149997</v>
      </c>
      <c r="F59" s="34">
        <f>SUM(F7:F58)</f>
        <v>98.59561195192282</v>
      </c>
      <c r="G59" s="18"/>
      <c r="H59" s="18"/>
      <c r="I59" s="18"/>
    </row>
    <row r="60" spans="1:9" x14ac:dyDescent="0.2">
      <c r="A60" s="27"/>
      <c r="B60" s="27"/>
      <c r="C60" s="27"/>
      <c r="D60" s="28"/>
      <c r="E60" s="29"/>
      <c r="F60" s="30"/>
    </row>
    <row r="61" spans="1:9" x14ac:dyDescent="0.2">
      <c r="A61" s="26" t="s">
        <v>233</v>
      </c>
      <c r="B61" s="27"/>
      <c r="C61" s="27"/>
      <c r="D61" s="28"/>
      <c r="E61" s="29"/>
      <c r="F61" s="30"/>
    </row>
    <row r="62" spans="1:9" x14ac:dyDescent="0.2">
      <c r="A62" s="27" t="s">
        <v>234</v>
      </c>
      <c r="B62" s="27" t="s">
        <v>746</v>
      </c>
      <c r="C62" s="27" t="s">
        <v>235</v>
      </c>
      <c r="D62" s="31">
        <v>30000</v>
      </c>
      <c r="E62" s="29">
        <v>3.0000000000000001E-3</v>
      </c>
      <c r="F62" s="30">
        <v>6.4714513051700597E-7</v>
      </c>
    </row>
    <row r="63" spans="1:9" x14ac:dyDescent="0.2">
      <c r="A63" s="27" t="s">
        <v>523</v>
      </c>
      <c r="B63" s="27" t="s">
        <v>729</v>
      </c>
      <c r="C63" s="27" t="s">
        <v>381</v>
      </c>
      <c r="D63" s="31">
        <v>3500</v>
      </c>
      <c r="E63" s="29">
        <v>3.5E-4</v>
      </c>
      <c r="F63" s="30">
        <v>7.5500265226984094E-8</v>
      </c>
    </row>
    <row r="64" spans="1:9" x14ac:dyDescent="0.2">
      <c r="A64" s="27"/>
      <c r="B64" s="27" t="s">
        <v>727</v>
      </c>
      <c r="C64" s="27" t="s">
        <v>187</v>
      </c>
      <c r="D64" s="31">
        <v>2900</v>
      </c>
      <c r="E64" s="29">
        <v>2.9E-4</v>
      </c>
      <c r="F64" s="30">
        <v>6.2557362616643994E-8</v>
      </c>
    </row>
    <row r="65" spans="1:9" x14ac:dyDescent="0.2">
      <c r="A65" s="26" t="s">
        <v>35</v>
      </c>
      <c r="B65" s="26"/>
      <c r="C65" s="26"/>
      <c r="D65" s="32"/>
      <c r="E65" s="33">
        <f>SUM(E61:E64)</f>
        <v>3.64E-3</v>
      </c>
      <c r="F65" s="34">
        <f>SUM(F61:F64)</f>
        <v>7.8520275836063398E-7</v>
      </c>
      <c r="G65" s="18"/>
      <c r="H65" s="18"/>
      <c r="I65" s="18"/>
    </row>
    <row r="66" spans="1:9" x14ac:dyDescent="0.2">
      <c r="A66" s="27"/>
      <c r="B66" s="27"/>
      <c r="C66" s="27"/>
      <c r="D66" s="28"/>
      <c r="E66" s="29"/>
      <c r="F66" s="30"/>
    </row>
    <row r="67" spans="1:9" x14ac:dyDescent="0.2">
      <c r="A67" s="26" t="s">
        <v>38</v>
      </c>
      <c r="B67" s="26"/>
      <c r="C67" s="26"/>
      <c r="D67" s="32"/>
      <c r="E67" s="33">
        <f>E59+E65</f>
        <v>457064.14877149998</v>
      </c>
      <c r="F67" s="34">
        <f>F59+F65</f>
        <v>98.595612737125577</v>
      </c>
      <c r="G67" s="18"/>
      <c r="H67" s="18"/>
      <c r="I67" s="18"/>
    </row>
    <row r="68" spans="1:9" x14ac:dyDescent="0.2">
      <c r="A68" s="26"/>
      <c r="B68" s="26"/>
      <c r="C68" s="26"/>
      <c r="D68" s="32"/>
      <c r="E68" s="33"/>
      <c r="F68" s="34"/>
      <c r="G68" s="18"/>
      <c r="H68" s="18"/>
      <c r="I68" s="18"/>
    </row>
    <row r="69" spans="1:9" x14ac:dyDescent="0.2">
      <c r="A69" s="26" t="s">
        <v>40</v>
      </c>
      <c r="B69" s="26"/>
      <c r="C69" s="26"/>
      <c r="D69" s="32"/>
      <c r="E69" s="33">
        <f>E71-(E59+E65)</f>
        <v>6510.3816593000083</v>
      </c>
      <c r="F69" s="34">
        <f>F71-(F59+F65)</f>
        <v>1.4043872628744225</v>
      </c>
      <c r="G69" s="18"/>
      <c r="H69" s="18"/>
      <c r="I69" s="18"/>
    </row>
    <row r="70" spans="1:9" x14ac:dyDescent="0.2">
      <c r="A70" s="26"/>
      <c r="B70" s="26"/>
      <c r="C70" s="26"/>
      <c r="D70" s="32"/>
      <c r="E70" s="33"/>
      <c r="F70" s="34"/>
      <c r="G70" s="18"/>
      <c r="H70" s="18"/>
      <c r="I70" s="18"/>
    </row>
    <row r="71" spans="1:9" x14ac:dyDescent="0.2">
      <c r="A71" s="35" t="s">
        <v>39</v>
      </c>
      <c r="B71" s="35"/>
      <c r="C71" s="35"/>
      <c r="D71" s="36"/>
      <c r="E71" s="37">
        <v>463574.53043079999</v>
      </c>
      <c r="F71" s="38">
        <v>100</v>
      </c>
      <c r="G71" s="18"/>
      <c r="H71" s="18"/>
      <c r="I71" s="18"/>
    </row>
    <row r="72" spans="1:9" x14ac:dyDescent="0.2">
      <c r="F72" s="20" t="s">
        <v>514</v>
      </c>
    </row>
    <row r="73" spans="1:9" x14ac:dyDescent="0.2">
      <c r="A73" s="18" t="s">
        <v>41</v>
      </c>
      <c r="F73" s="20"/>
    </row>
    <row r="74" spans="1:9" x14ac:dyDescent="0.2">
      <c r="A74" s="18" t="s">
        <v>730</v>
      </c>
      <c r="F74" s="20"/>
    </row>
    <row r="76" spans="1:9" x14ac:dyDescent="0.2">
      <c r="A76" s="18" t="s">
        <v>42</v>
      </c>
    </row>
    <row r="77" spans="1:9" x14ac:dyDescent="0.2">
      <c r="A77" s="18" t="s">
        <v>43</v>
      </c>
    </row>
    <row r="78" spans="1:9" x14ac:dyDescent="0.2">
      <c r="A78" s="18" t="s">
        <v>44</v>
      </c>
      <c r="B78" s="18"/>
      <c r="C78" s="39" t="s">
        <v>46</v>
      </c>
      <c r="D78" s="19" t="s">
        <v>45</v>
      </c>
    </row>
    <row r="79" spans="1:9" x14ac:dyDescent="0.2">
      <c r="A79" s="9" t="s">
        <v>70</v>
      </c>
      <c r="C79" s="40">
        <v>597.22630000000004</v>
      </c>
      <c r="D79" s="40">
        <v>753.06230000000005</v>
      </c>
    </row>
    <row r="80" spans="1:9" x14ac:dyDescent="0.2">
      <c r="A80" s="9" t="s">
        <v>76</v>
      </c>
      <c r="C80" s="40">
        <v>39.717199999999998</v>
      </c>
      <c r="D80" s="40">
        <v>46.113799999999998</v>
      </c>
    </row>
    <row r="81" spans="1:4" x14ac:dyDescent="0.2">
      <c r="A81" s="9" t="s">
        <v>73</v>
      </c>
      <c r="C81" s="40">
        <v>640.8886</v>
      </c>
      <c r="D81" s="40">
        <v>811.66489999999999</v>
      </c>
    </row>
    <row r="82" spans="1:4" x14ac:dyDescent="0.2">
      <c r="A82" s="9" t="s">
        <v>77</v>
      </c>
      <c r="C82" s="40">
        <v>43.679099999999998</v>
      </c>
      <c r="D82" s="40">
        <v>51.339599999999997</v>
      </c>
    </row>
    <row r="84" spans="1:4" x14ac:dyDescent="0.2">
      <c r="A84" s="18" t="s">
        <v>48</v>
      </c>
    </row>
    <row r="85" spans="1:4" x14ac:dyDescent="0.2">
      <c r="A85" s="77" t="s">
        <v>67</v>
      </c>
      <c r="B85" s="78"/>
      <c r="C85" s="44" t="s">
        <v>68</v>
      </c>
    </row>
    <row r="86" spans="1:4" x14ac:dyDescent="0.2">
      <c r="A86" s="73" t="s">
        <v>76</v>
      </c>
      <c r="B86" s="74"/>
      <c r="C86" s="45">
        <v>3.5</v>
      </c>
    </row>
    <row r="87" spans="1:4" x14ac:dyDescent="0.2">
      <c r="A87" s="73" t="s">
        <v>77</v>
      </c>
      <c r="B87" s="74"/>
      <c r="C87" s="45">
        <v>3.5</v>
      </c>
    </row>
    <row r="88" spans="1:4" x14ac:dyDescent="0.2">
      <c r="A88" s="9" t="s">
        <v>69</v>
      </c>
    </row>
    <row r="89" spans="1:4" x14ac:dyDescent="0.2">
      <c r="A89" s="9" t="s">
        <v>47</v>
      </c>
    </row>
    <row r="91" spans="1:4" x14ac:dyDescent="0.2">
      <c r="A91" s="18" t="s">
        <v>226</v>
      </c>
      <c r="D91" s="46">
        <v>0.15090000000000001</v>
      </c>
    </row>
    <row r="93" spans="1:4" x14ac:dyDescent="0.2">
      <c r="A93" s="18" t="s">
        <v>732</v>
      </c>
      <c r="D93" s="41" t="s">
        <v>49</v>
      </c>
    </row>
    <row r="94" spans="1:4" x14ac:dyDescent="0.2">
      <c r="A94" s="9" t="s">
        <v>733</v>
      </c>
      <c r="D94" s="41"/>
    </row>
    <row r="95" spans="1:4" x14ac:dyDescent="0.2">
      <c r="A95" s="47" t="s">
        <v>734</v>
      </c>
      <c r="D95" s="41"/>
    </row>
    <row r="97" spans="1:1" x14ac:dyDescent="0.2">
      <c r="A97" s="18" t="s">
        <v>735</v>
      </c>
    </row>
    <row r="98" spans="1:1" x14ac:dyDescent="0.2">
      <c r="A98" s="47" t="s">
        <v>51</v>
      </c>
    </row>
  </sheetData>
  <mergeCells count="4">
    <mergeCell ref="A1:F1"/>
    <mergeCell ref="A85:B85"/>
    <mergeCell ref="A86:B86"/>
    <mergeCell ref="A87:B87"/>
  </mergeCells>
  <conditionalFormatting sqref="F2:F3 F5:F65538">
    <cfRule type="cellIs" dxfId="11" priority="1" stopIfTrue="1" operator="between">
      <formula>0.009</formula>
      <formula>-0.009</formula>
    </cfRule>
  </conditionalFormatting>
  <hyperlinks>
    <hyperlink ref="A95" r:id="rId1" xr:uid="{00000000-0004-0000-2D00-000000000000}"/>
    <hyperlink ref="A98" r:id="rId2" xr:uid="{00000000-0004-0000-2D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3"/>
  <sheetViews>
    <sheetView workbookViewId="0">
      <selection sqref="A1:E1"/>
    </sheetView>
  </sheetViews>
  <sheetFormatPr defaultColWidth="9.109375" defaultRowHeight="10.199999999999999" x14ac:dyDescent="0.2"/>
  <cols>
    <col min="1" max="1" width="31.6640625" style="9" bestFit="1" customWidth="1"/>
    <col min="2" max="2" width="33.554687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3.8" x14ac:dyDescent="0.2">
      <c r="A1" s="75" t="s">
        <v>23</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366</v>
      </c>
      <c r="B5" s="22"/>
      <c r="C5" s="23"/>
      <c r="D5" s="24"/>
      <c r="E5" s="25"/>
    </row>
    <row r="6" spans="1:8" x14ac:dyDescent="0.2">
      <c r="A6" s="27" t="s">
        <v>696</v>
      </c>
      <c r="B6" s="27" t="s">
        <v>695</v>
      </c>
      <c r="C6" s="31">
        <v>5743001.0480000004</v>
      </c>
      <c r="D6" s="29">
        <v>315973.06052</v>
      </c>
      <c r="E6" s="30">
        <v>99.897510206735703</v>
      </c>
    </row>
    <row r="7" spans="1:8" x14ac:dyDescent="0.2">
      <c r="A7" s="26" t="s">
        <v>35</v>
      </c>
      <c r="B7" s="26"/>
      <c r="C7" s="32"/>
      <c r="D7" s="33">
        <f>SUM(D6:D6)</f>
        <v>315973.06052</v>
      </c>
      <c r="E7" s="34">
        <f>SUM(E6:E6)</f>
        <v>99.897510206735703</v>
      </c>
      <c r="F7" s="18"/>
      <c r="G7" s="18"/>
      <c r="H7" s="18"/>
    </row>
    <row r="8" spans="1:8" x14ac:dyDescent="0.2">
      <c r="A8" s="27"/>
      <c r="B8" s="27"/>
      <c r="C8" s="28"/>
      <c r="D8" s="29"/>
      <c r="E8" s="30"/>
    </row>
    <row r="9" spans="1:8" x14ac:dyDescent="0.2">
      <c r="A9" s="26" t="s">
        <v>38</v>
      </c>
      <c r="B9" s="26"/>
      <c r="C9" s="32"/>
      <c r="D9" s="33">
        <f>D7</f>
        <v>315973.06052</v>
      </c>
      <c r="E9" s="34">
        <f>E7</f>
        <v>99.897510206735703</v>
      </c>
      <c r="F9" s="18"/>
      <c r="G9" s="18"/>
      <c r="H9" s="18"/>
    </row>
    <row r="10" spans="1:8" x14ac:dyDescent="0.2">
      <c r="A10" s="26"/>
      <c r="B10" s="26"/>
      <c r="C10" s="32"/>
      <c r="D10" s="33"/>
      <c r="E10" s="34"/>
      <c r="F10" s="18"/>
      <c r="G10" s="18"/>
      <c r="H10" s="18"/>
    </row>
    <row r="11" spans="1:8" x14ac:dyDescent="0.2">
      <c r="A11" s="26" t="s">
        <v>40</v>
      </c>
      <c r="B11" s="26"/>
      <c r="C11" s="32"/>
      <c r="D11" s="33">
        <f>D13-(D7)</f>
        <v>324.17238010000437</v>
      </c>
      <c r="E11" s="34">
        <f>E13-(E7)</f>
        <v>0.10248979326429719</v>
      </c>
      <c r="F11" s="18"/>
      <c r="G11" s="18"/>
      <c r="H11" s="18"/>
    </row>
    <row r="12" spans="1:8" x14ac:dyDescent="0.2">
      <c r="A12" s="26"/>
      <c r="B12" s="26"/>
      <c r="C12" s="32"/>
      <c r="D12" s="33"/>
      <c r="E12" s="34"/>
      <c r="F12" s="18"/>
      <c r="G12" s="18"/>
      <c r="H12" s="18"/>
    </row>
    <row r="13" spans="1:8" x14ac:dyDescent="0.2">
      <c r="A13" s="35" t="s">
        <v>39</v>
      </c>
      <c r="B13" s="35"/>
      <c r="C13" s="36"/>
      <c r="D13" s="37">
        <v>316297.2329001</v>
      </c>
      <c r="E13" s="38">
        <v>100</v>
      </c>
      <c r="F13" s="18"/>
      <c r="G13" s="18"/>
      <c r="H13" s="18"/>
    </row>
    <row r="16" spans="1:8" x14ac:dyDescent="0.2">
      <c r="A16" s="18" t="s">
        <v>42</v>
      </c>
    </row>
    <row r="17" spans="1:4" x14ac:dyDescent="0.2">
      <c r="A17" s="18" t="s">
        <v>43</v>
      </c>
    </row>
    <row r="18" spans="1:4" x14ac:dyDescent="0.2">
      <c r="A18" s="18" t="s">
        <v>44</v>
      </c>
      <c r="B18" s="18"/>
      <c r="C18" s="39" t="s">
        <v>46</v>
      </c>
      <c r="D18" s="41" t="s">
        <v>45</v>
      </c>
    </row>
    <row r="19" spans="1:4" x14ac:dyDescent="0.2">
      <c r="A19" s="9" t="s">
        <v>70</v>
      </c>
      <c r="C19" s="40">
        <v>48.867400000000004</v>
      </c>
      <c r="D19" s="40">
        <v>51.274900000000002</v>
      </c>
    </row>
    <row r="20" spans="1:4" x14ac:dyDescent="0.2">
      <c r="A20" s="9" t="s">
        <v>76</v>
      </c>
      <c r="C20" s="40">
        <v>48.867400000000004</v>
      </c>
      <c r="D20" s="40">
        <v>51.274900000000002</v>
      </c>
    </row>
    <row r="21" spans="1:4" x14ac:dyDescent="0.2">
      <c r="A21" s="9" t="s">
        <v>73</v>
      </c>
      <c r="C21" s="40">
        <v>52.751100000000001</v>
      </c>
      <c r="D21" s="40">
        <v>55.630200000000002</v>
      </c>
    </row>
    <row r="22" spans="1:4" x14ac:dyDescent="0.2">
      <c r="A22" s="9" t="s">
        <v>77</v>
      </c>
      <c r="C22" s="40">
        <v>52.751100000000001</v>
      </c>
      <c r="D22" s="40">
        <v>55.630200000000002</v>
      </c>
    </row>
    <row r="24" spans="1:4" x14ac:dyDescent="0.2">
      <c r="A24" s="9" t="s">
        <v>47</v>
      </c>
    </row>
    <row r="26" spans="1:4" x14ac:dyDescent="0.2">
      <c r="A26" s="18" t="s">
        <v>48</v>
      </c>
      <c r="D26" s="41" t="s">
        <v>49</v>
      </c>
    </row>
    <row r="28" spans="1:4" x14ac:dyDescent="0.2">
      <c r="A28" s="18" t="s">
        <v>226</v>
      </c>
      <c r="D28" s="46">
        <v>3.7000000000000002E-3</v>
      </c>
    </row>
    <row r="30" spans="1:4" x14ac:dyDescent="0.2">
      <c r="A30" s="18" t="s">
        <v>748</v>
      </c>
    </row>
    <row r="31" spans="1:4" x14ac:dyDescent="0.2">
      <c r="A31" s="47" t="s">
        <v>51</v>
      </c>
    </row>
    <row r="32" spans="1:4" x14ac:dyDescent="0.2">
      <c r="A32" s="18"/>
    </row>
    <row r="33" spans="1:1" ht="14.4" x14ac:dyDescent="0.3">
      <c r="A33" s="43"/>
    </row>
  </sheetData>
  <mergeCells count="1">
    <mergeCell ref="A1:E1"/>
  </mergeCells>
  <conditionalFormatting sqref="E5:E13">
    <cfRule type="cellIs" dxfId="10" priority="1" stopIfTrue="1" operator="between">
      <formula>0.009</formula>
      <formula>-0.009</formula>
    </cfRule>
  </conditionalFormatting>
  <hyperlinks>
    <hyperlink ref="A31" r:id="rId1" xr:uid="{00000000-0004-0000-2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1"/>
  <sheetViews>
    <sheetView workbookViewId="0">
      <selection sqref="A1:E1"/>
    </sheetView>
  </sheetViews>
  <sheetFormatPr defaultColWidth="9.109375" defaultRowHeight="10.199999999999999" x14ac:dyDescent="0.2"/>
  <cols>
    <col min="1" max="1" width="31.6640625" style="9" bestFit="1" customWidth="1"/>
    <col min="2" max="2" width="39.33203125" style="9" bestFit="1" customWidth="1"/>
    <col min="3" max="3" width="18.88671875" style="9" bestFit="1" customWidth="1"/>
    <col min="4" max="4" width="23" style="10" bestFit="1" customWidth="1"/>
    <col min="5" max="5" width="13.5546875" style="13" customWidth="1"/>
    <col min="6" max="16384" width="9.109375" style="9"/>
  </cols>
  <sheetData>
    <row r="1" spans="1:8" s="1" customFormat="1" ht="15" customHeight="1" x14ac:dyDescent="0.2">
      <c r="A1" s="75" t="s">
        <v>751</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366</v>
      </c>
      <c r="B5" s="22"/>
      <c r="C5" s="23"/>
      <c r="D5" s="24"/>
      <c r="E5" s="25"/>
    </row>
    <row r="6" spans="1:8" x14ac:dyDescent="0.2">
      <c r="A6" s="27" t="s">
        <v>698</v>
      </c>
      <c r="B6" s="27" t="s">
        <v>697</v>
      </c>
      <c r="C6" s="31">
        <v>83850.523000000001</v>
      </c>
      <c r="D6" s="29">
        <v>2190.7364560000001</v>
      </c>
      <c r="E6" s="30">
        <v>98.897023995026004</v>
      </c>
    </row>
    <row r="7" spans="1:8" x14ac:dyDescent="0.2">
      <c r="A7" s="26" t="s">
        <v>35</v>
      </c>
      <c r="B7" s="26"/>
      <c r="C7" s="32"/>
      <c r="D7" s="33">
        <f>SUM(D6:D6)</f>
        <v>2190.7364560000001</v>
      </c>
      <c r="E7" s="34">
        <f>SUM(E6:E6)</f>
        <v>98.897023995026004</v>
      </c>
      <c r="F7" s="18"/>
      <c r="G7" s="18"/>
      <c r="H7" s="18"/>
    </row>
    <row r="8" spans="1:8" x14ac:dyDescent="0.2">
      <c r="A8" s="27"/>
      <c r="B8" s="27"/>
      <c r="C8" s="28"/>
      <c r="D8" s="29"/>
      <c r="E8" s="30"/>
    </row>
    <row r="9" spans="1:8" x14ac:dyDescent="0.2">
      <c r="A9" s="26" t="s">
        <v>38</v>
      </c>
      <c r="B9" s="26"/>
      <c r="C9" s="32"/>
      <c r="D9" s="33">
        <f>D7</f>
        <v>2190.7364560000001</v>
      </c>
      <c r="E9" s="34">
        <f>E7</f>
        <v>98.897023995026004</v>
      </c>
      <c r="F9" s="18"/>
      <c r="G9" s="18"/>
      <c r="H9" s="18"/>
    </row>
    <row r="10" spans="1:8" x14ac:dyDescent="0.2">
      <c r="A10" s="26"/>
      <c r="B10" s="26"/>
      <c r="C10" s="32"/>
      <c r="D10" s="33"/>
      <c r="E10" s="34"/>
      <c r="F10" s="18"/>
      <c r="G10" s="18"/>
      <c r="H10" s="18"/>
    </row>
    <row r="11" spans="1:8" x14ac:dyDescent="0.2">
      <c r="A11" s="26" t="s">
        <v>40</v>
      </c>
      <c r="B11" s="26"/>
      <c r="C11" s="32"/>
      <c r="D11" s="33">
        <f>D13-(D7)</f>
        <v>24.432785200000126</v>
      </c>
      <c r="E11" s="34">
        <f>E13-(E7)</f>
        <v>1.1029760049739963</v>
      </c>
      <c r="F11" s="18"/>
      <c r="G11" s="18"/>
      <c r="H11" s="18"/>
    </row>
    <row r="12" spans="1:8" x14ac:dyDescent="0.2">
      <c r="A12" s="26"/>
      <c r="B12" s="26"/>
      <c r="C12" s="32"/>
      <c r="D12" s="33"/>
      <c r="E12" s="34"/>
      <c r="F12" s="18"/>
      <c r="G12" s="18"/>
      <c r="H12" s="18"/>
    </row>
    <row r="13" spans="1:8" x14ac:dyDescent="0.2">
      <c r="A13" s="35" t="s">
        <v>39</v>
      </c>
      <c r="B13" s="35"/>
      <c r="C13" s="36"/>
      <c r="D13" s="37">
        <v>2215.1692412000002</v>
      </c>
      <c r="E13" s="38">
        <v>100</v>
      </c>
      <c r="F13" s="18"/>
      <c r="G13" s="18"/>
      <c r="H13" s="18"/>
    </row>
    <row r="16" spans="1:8" x14ac:dyDescent="0.2">
      <c r="A16" s="18" t="s">
        <v>42</v>
      </c>
    </row>
    <row r="17" spans="1:4" x14ac:dyDescent="0.2">
      <c r="A17" s="18" t="s">
        <v>43</v>
      </c>
    </row>
    <row r="18" spans="1:4" x14ac:dyDescent="0.2">
      <c r="A18" s="18" t="s">
        <v>44</v>
      </c>
      <c r="B18" s="18"/>
      <c r="C18" s="39" t="s">
        <v>46</v>
      </c>
      <c r="D18" s="41" t="s">
        <v>45</v>
      </c>
    </row>
    <row r="19" spans="1:4" x14ac:dyDescent="0.2">
      <c r="A19" s="9" t="s">
        <v>70</v>
      </c>
      <c r="C19" s="40">
        <v>8.7335999999999991</v>
      </c>
      <c r="D19" s="40">
        <v>9.7984000000000009</v>
      </c>
    </row>
    <row r="20" spans="1:4" x14ac:dyDescent="0.2">
      <c r="A20" s="9" t="s">
        <v>76</v>
      </c>
      <c r="C20" s="40">
        <v>8.7335999999999991</v>
      </c>
      <c r="D20" s="40">
        <v>9.7984000000000009</v>
      </c>
    </row>
    <row r="21" spans="1:4" x14ac:dyDescent="0.2">
      <c r="A21" s="9" t="s">
        <v>73</v>
      </c>
      <c r="C21" s="40">
        <v>9.4487000000000005</v>
      </c>
      <c r="D21" s="40">
        <v>10.6462</v>
      </c>
    </row>
    <row r="22" spans="1:4" x14ac:dyDescent="0.2">
      <c r="A22" s="9" t="s">
        <v>77</v>
      </c>
      <c r="C22" s="40">
        <v>9.4487000000000005</v>
      </c>
      <c r="D22" s="40">
        <v>10.6462</v>
      </c>
    </row>
    <row r="24" spans="1:4" x14ac:dyDescent="0.2">
      <c r="A24" s="9" t="s">
        <v>47</v>
      </c>
    </row>
    <row r="26" spans="1:4" x14ac:dyDescent="0.2">
      <c r="A26" s="18" t="s">
        <v>48</v>
      </c>
      <c r="D26" s="41" t="s">
        <v>49</v>
      </c>
    </row>
    <row r="28" spans="1:4" x14ac:dyDescent="0.2">
      <c r="A28" s="18" t="s">
        <v>226</v>
      </c>
      <c r="D28" s="46">
        <v>0.13669999999999999</v>
      </c>
    </row>
    <row r="30" spans="1:4" x14ac:dyDescent="0.2">
      <c r="A30" s="18" t="s">
        <v>748</v>
      </c>
    </row>
    <row r="31" spans="1:4" x14ac:dyDescent="0.2">
      <c r="A31" s="47" t="s">
        <v>51</v>
      </c>
    </row>
  </sheetData>
  <mergeCells count="1">
    <mergeCell ref="A1:E1"/>
  </mergeCells>
  <conditionalFormatting sqref="E5:E13">
    <cfRule type="cellIs" dxfId="9" priority="1" stopIfTrue="1" operator="between">
      <formula>0.009</formula>
      <formula>-0.009</formula>
    </cfRule>
  </conditionalFormatting>
  <hyperlinks>
    <hyperlink ref="A31" r:id="rId1" xr:uid="{00000000-0004-0000-2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41"/>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33203125" style="9" bestFit="1" customWidth="1"/>
    <col min="4" max="4" width="23" style="10" bestFit="1" customWidth="1"/>
    <col min="5" max="5" width="23" style="13" bestFit="1" customWidth="1"/>
    <col min="6" max="16384" width="9.109375" style="9"/>
  </cols>
  <sheetData>
    <row r="1" spans="1:8" s="1" customFormat="1" ht="13.8" x14ac:dyDescent="0.2">
      <c r="A1" s="75" t="s">
        <v>24</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v>
      </c>
      <c r="B5" s="52"/>
      <c r="C5" s="23"/>
      <c r="D5" s="24"/>
      <c r="E5" s="25"/>
    </row>
    <row r="6" spans="1:8" x14ac:dyDescent="0.2">
      <c r="A6" s="27" t="s">
        <v>700</v>
      </c>
      <c r="B6" s="53" t="s">
        <v>699</v>
      </c>
      <c r="C6" s="31">
        <v>275683.08199999999</v>
      </c>
      <c r="D6" s="29">
        <v>1916.2926769999999</v>
      </c>
      <c r="E6" s="30">
        <v>40.012068457684997</v>
      </c>
    </row>
    <row r="7" spans="1:8" x14ac:dyDescent="0.2">
      <c r="A7" s="27" t="s">
        <v>702</v>
      </c>
      <c r="B7" s="53" t="s">
        <v>701</v>
      </c>
      <c r="C7" s="31">
        <v>1788340</v>
      </c>
      <c r="D7" s="29">
        <v>761.65400599999998</v>
      </c>
      <c r="E7" s="30">
        <v>15.903286901274299</v>
      </c>
    </row>
    <row r="8" spans="1:8" ht="20.399999999999999" x14ac:dyDescent="0.2">
      <c r="A8" s="27" t="s">
        <v>703</v>
      </c>
      <c r="B8" s="53" t="s">
        <v>752</v>
      </c>
      <c r="C8" s="31">
        <v>19798.259999999998</v>
      </c>
      <c r="D8" s="29">
        <v>431.76861100000002</v>
      </c>
      <c r="E8" s="30">
        <v>9.0153009655380494</v>
      </c>
    </row>
    <row r="9" spans="1:8" ht="20.399999999999999" x14ac:dyDescent="0.2">
      <c r="A9" s="27" t="s">
        <v>705</v>
      </c>
      <c r="B9" s="53" t="s">
        <v>704</v>
      </c>
      <c r="C9" s="31">
        <v>23973.544999999998</v>
      </c>
      <c r="D9" s="29">
        <v>0</v>
      </c>
      <c r="E9" s="29">
        <v>0</v>
      </c>
    </row>
    <row r="10" spans="1:8" ht="20.399999999999999" x14ac:dyDescent="0.2">
      <c r="A10" s="27" t="s">
        <v>707</v>
      </c>
      <c r="B10" s="53" t="s">
        <v>706</v>
      </c>
      <c r="C10" s="31">
        <v>22876.138999999999</v>
      </c>
      <c r="D10" s="29">
        <v>0</v>
      </c>
      <c r="E10" s="29">
        <v>0</v>
      </c>
    </row>
    <row r="11" spans="1:8" x14ac:dyDescent="0.2">
      <c r="A11" s="26" t="s">
        <v>35</v>
      </c>
      <c r="B11" s="54"/>
      <c r="C11" s="32"/>
      <c r="D11" s="33">
        <f>SUM(D6:D10)</f>
        <v>3109.7152940000001</v>
      </c>
      <c r="E11" s="34">
        <f>SUM(E6:E10)</f>
        <v>64.930656324497349</v>
      </c>
      <c r="F11" s="18"/>
      <c r="G11" s="18"/>
      <c r="H11" s="18"/>
    </row>
    <row r="12" spans="1:8" x14ac:dyDescent="0.2">
      <c r="A12" s="27"/>
      <c r="B12" s="53"/>
      <c r="C12" s="28"/>
      <c r="D12" s="29"/>
      <c r="E12" s="30"/>
    </row>
    <row r="13" spans="1:8" x14ac:dyDescent="0.2">
      <c r="A13" s="26" t="s">
        <v>38</v>
      </c>
      <c r="B13" s="54"/>
      <c r="C13" s="32"/>
      <c r="D13" s="33">
        <f>D11</f>
        <v>3109.7152940000001</v>
      </c>
      <c r="E13" s="34">
        <f>E11</f>
        <v>64.930656324497349</v>
      </c>
      <c r="F13" s="18"/>
      <c r="G13" s="18"/>
      <c r="H13" s="18"/>
    </row>
    <row r="14" spans="1:8" x14ac:dyDescent="0.2">
      <c r="A14" s="26"/>
      <c r="B14" s="26"/>
      <c r="C14" s="32"/>
      <c r="D14" s="33"/>
      <c r="E14" s="34"/>
      <c r="F14" s="18"/>
      <c r="G14" s="18"/>
      <c r="H14" s="18"/>
    </row>
    <row r="15" spans="1:8" x14ac:dyDescent="0.2">
      <c r="A15" s="26" t="s">
        <v>40</v>
      </c>
      <c r="B15" s="26"/>
      <c r="C15" s="32"/>
      <c r="D15" s="33">
        <f>D17-(D11)</f>
        <v>1679.5714158999995</v>
      </c>
      <c r="E15" s="34">
        <f>E17-(E11)</f>
        <v>35.069343675502651</v>
      </c>
      <c r="F15" s="18"/>
      <c r="G15" s="18"/>
      <c r="H15" s="18"/>
    </row>
    <row r="16" spans="1:8" x14ac:dyDescent="0.2">
      <c r="A16" s="26"/>
      <c r="B16" s="26"/>
      <c r="C16" s="32"/>
      <c r="D16" s="33"/>
      <c r="E16" s="34"/>
      <c r="F16" s="18"/>
      <c r="G16" s="18"/>
      <c r="H16" s="18"/>
    </row>
    <row r="17" spans="1:8" x14ac:dyDescent="0.2">
      <c r="A17" s="35" t="s">
        <v>39</v>
      </c>
      <c r="B17" s="35"/>
      <c r="C17" s="36"/>
      <c r="D17" s="37">
        <v>4789.2867098999996</v>
      </c>
      <c r="E17" s="38">
        <v>100</v>
      </c>
      <c r="F17" s="18"/>
      <c r="G17" s="18"/>
      <c r="H17" s="18"/>
    </row>
    <row r="18" spans="1:8" x14ac:dyDescent="0.2">
      <c r="C18" s="10"/>
      <c r="D18" s="13"/>
      <c r="E18" s="20"/>
    </row>
    <row r="19" spans="1:8" x14ac:dyDescent="0.2">
      <c r="A19" s="18" t="s">
        <v>753</v>
      </c>
    </row>
    <row r="20" spans="1:8" ht="25.5" customHeight="1" x14ac:dyDescent="0.3">
      <c r="A20" s="83" t="s">
        <v>754</v>
      </c>
      <c r="B20" s="82"/>
      <c r="C20" s="82"/>
      <c r="D20" s="82"/>
      <c r="E20" s="82"/>
    </row>
    <row r="21" spans="1:8" x14ac:dyDescent="0.2">
      <c r="A21" s="18"/>
    </row>
    <row r="22" spans="1:8" x14ac:dyDescent="0.2">
      <c r="A22" s="18" t="s">
        <v>42</v>
      </c>
    </row>
    <row r="23" spans="1:8" x14ac:dyDescent="0.2">
      <c r="A23" s="18" t="s">
        <v>43</v>
      </c>
    </row>
    <row r="24" spans="1:8" x14ac:dyDescent="0.2">
      <c r="A24" s="18" t="s">
        <v>44</v>
      </c>
      <c r="B24" s="18"/>
      <c r="C24" s="39" t="s">
        <v>46</v>
      </c>
      <c r="D24" s="41" t="s">
        <v>45</v>
      </c>
    </row>
    <row r="25" spans="1:8" x14ac:dyDescent="0.2">
      <c r="A25" s="9" t="s">
        <v>70</v>
      </c>
      <c r="C25" s="40">
        <v>10.9437</v>
      </c>
      <c r="D25" s="40">
        <v>12.7606</v>
      </c>
    </row>
    <row r="26" spans="1:8" x14ac:dyDescent="0.2">
      <c r="A26" s="9" t="s">
        <v>76</v>
      </c>
      <c r="C26" s="40">
        <v>10.9437</v>
      </c>
      <c r="D26" s="40">
        <v>12.7606</v>
      </c>
    </row>
    <row r="27" spans="1:8" x14ac:dyDescent="0.2">
      <c r="A27" s="9" t="s">
        <v>73</v>
      </c>
      <c r="C27" s="40">
        <v>11.81</v>
      </c>
      <c r="D27" s="40">
        <v>13.8284</v>
      </c>
    </row>
    <row r="28" spans="1:8" x14ac:dyDescent="0.2">
      <c r="A28" s="9" t="s">
        <v>77</v>
      </c>
      <c r="C28" s="40">
        <v>11.81</v>
      </c>
      <c r="D28" s="40">
        <v>13.8284</v>
      </c>
    </row>
    <row r="30" spans="1:8" x14ac:dyDescent="0.2">
      <c r="A30" s="9" t="s">
        <v>47</v>
      </c>
    </row>
    <row r="32" spans="1:8" x14ac:dyDescent="0.2">
      <c r="A32" s="18" t="s">
        <v>48</v>
      </c>
      <c r="D32" s="41" t="s">
        <v>49</v>
      </c>
    </row>
    <row r="34" spans="1:4" x14ac:dyDescent="0.2">
      <c r="A34" s="18" t="s">
        <v>226</v>
      </c>
      <c r="D34" s="46">
        <v>0.37340000000000001</v>
      </c>
    </row>
    <row r="36" spans="1:4" x14ac:dyDescent="0.2">
      <c r="A36" s="18" t="s">
        <v>732</v>
      </c>
      <c r="D36" s="41" t="s">
        <v>49</v>
      </c>
    </row>
    <row r="37" spans="1:4" x14ac:dyDescent="0.2">
      <c r="A37" s="9" t="s">
        <v>733</v>
      </c>
    </row>
    <row r="38" spans="1:4" x14ac:dyDescent="0.2">
      <c r="A38" s="47" t="s">
        <v>734</v>
      </c>
    </row>
    <row r="40" spans="1:4" x14ac:dyDescent="0.2">
      <c r="A40" s="18" t="s">
        <v>735</v>
      </c>
    </row>
    <row r="41" spans="1:4" x14ac:dyDescent="0.2">
      <c r="A41" s="47" t="s">
        <v>51</v>
      </c>
    </row>
  </sheetData>
  <mergeCells count="2">
    <mergeCell ref="A1:E1"/>
    <mergeCell ref="A20:E20"/>
  </mergeCells>
  <conditionalFormatting sqref="E5:E8 E11:E18">
    <cfRule type="cellIs" dxfId="8" priority="1" stopIfTrue="1" operator="between">
      <formula>0.009</formula>
      <formula>-0.009</formula>
    </cfRule>
  </conditionalFormatting>
  <hyperlinks>
    <hyperlink ref="A41" r:id="rId1" xr:uid="{00000000-0004-0000-3000-000000000000}"/>
    <hyperlink ref="A38" r:id="rId2" xr:uid="{00000000-0004-0000-30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38"/>
  <sheetViews>
    <sheetView workbookViewId="0">
      <selection sqref="A1:E1"/>
    </sheetView>
  </sheetViews>
  <sheetFormatPr defaultColWidth="9.109375" defaultRowHeight="10.199999999999999" x14ac:dyDescent="0.2"/>
  <cols>
    <col min="1" max="1" width="31.6640625" style="9" bestFit="1" customWidth="1"/>
    <col min="2" max="2" width="34.44140625" style="9" bestFit="1"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25</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v>
      </c>
      <c r="B5" s="22"/>
      <c r="C5" s="23"/>
      <c r="D5" s="24"/>
      <c r="E5" s="25"/>
    </row>
    <row r="6" spans="1:8" x14ac:dyDescent="0.2">
      <c r="A6" s="27" t="s">
        <v>709</v>
      </c>
      <c r="B6" s="27" t="s">
        <v>708</v>
      </c>
      <c r="C6" s="31">
        <v>4148472.4840000002</v>
      </c>
      <c r="D6" s="29">
        <v>1668.0427070000001</v>
      </c>
      <c r="E6" s="30">
        <v>78.978244933190098</v>
      </c>
    </row>
    <row r="7" spans="1:8" x14ac:dyDescent="0.2">
      <c r="A7" s="27" t="s">
        <v>711</v>
      </c>
      <c r="B7" s="27" t="s">
        <v>710</v>
      </c>
      <c r="C7" s="31">
        <v>57710.834999999999</v>
      </c>
      <c r="D7" s="29">
        <v>209.9196997</v>
      </c>
      <c r="E7" s="30">
        <v>9.9392475921830794</v>
      </c>
    </row>
    <row r="8" spans="1:8" x14ac:dyDescent="0.2">
      <c r="A8" s="27" t="s">
        <v>700</v>
      </c>
      <c r="B8" s="27" t="s">
        <v>699</v>
      </c>
      <c r="C8" s="31">
        <v>30048.442999999999</v>
      </c>
      <c r="D8" s="29">
        <v>208.8688607</v>
      </c>
      <c r="E8" s="30">
        <v>9.8894926191364902</v>
      </c>
    </row>
    <row r="9" spans="1:8" x14ac:dyDescent="0.2">
      <c r="A9" s="26" t="s">
        <v>35</v>
      </c>
      <c r="B9" s="26"/>
      <c r="C9" s="32"/>
      <c r="D9" s="33">
        <f>SUM(D6:D8)</f>
        <v>2086.8312673999999</v>
      </c>
      <c r="E9" s="34">
        <f>SUM(E6:E8)</f>
        <v>98.806985144509667</v>
      </c>
      <c r="F9" s="18"/>
      <c r="G9" s="18"/>
      <c r="H9" s="18"/>
    </row>
    <row r="10" spans="1:8" x14ac:dyDescent="0.2">
      <c r="A10" s="27"/>
      <c r="B10" s="27"/>
      <c r="C10" s="28"/>
      <c r="D10" s="29"/>
      <c r="E10" s="30"/>
    </row>
    <row r="11" spans="1:8" x14ac:dyDescent="0.2">
      <c r="A11" s="26" t="s">
        <v>38</v>
      </c>
      <c r="B11" s="26"/>
      <c r="C11" s="32"/>
      <c r="D11" s="33">
        <f>D9</f>
        <v>2086.8312673999999</v>
      </c>
      <c r="E11" s="34">
        <f>E9</f>
        <v>98.806985144509667</v>
      </c>
      <c r="F11" s="18"/>
      <c r="G11" s="18"/>
      <c r="H11" s="18"/>
    </row>
    <row r="12" spans="1:8" x14ac:dyDescent="0.2">
      <c r="A12" s="26"/>
      <c r="B12" s="26"/>
      <c r="C12" s="32"/>
      <c r="D12" s="33"/>
      <c r="E12" s="34"/>
      <c r="F12" s="18"/>
      <c r="G12" s="18"/>
      <c r="H12" s="18"/>
    </row>
    <row r="13" spans="1:8" x14ac:dyDescent="0.2">
      <c r="A13" s="26" t="s">
        <v>40</v>
      </c>
      <c r="B13" s="26"/>
      <c r="C13" s="32"/>
      <c r="D13" s="33">
        <f>D15-(D9)</f>
        <v>25.19680870000002</v>
      </c>
      <c r="E13" s="34">
        <f>E15-(E9)</f>
        <v>1.1930148554903326</v>
      </c>
      <c r="F13" s="18"/>
      <c r="G13" s="18"/>
      <c r="H13" s="18"/>
    </row>
    <row r="14" spans="1:8" x14ac:dyDescent="0.2">
      <c r="A14" s="26"/>
      <c r="B14" s="26"/>
      <c r="C14" s="32"/>
      <c r="D14" s="33"/>
      <c r="E14" s="34"/>
      <c r="F14" s="18"/>
      <c r="G14" s="18"/>
      <c r="H14" s="18"/>
    </row>
    <row r="15" spans="1:8" x14ac:dyDescent="0.2">
      <c r="A15" s="35" t="s">
        <v>39</v>
      </c>
      <c r="B15" s="35"/>
      <c r="C15" s="36"/>
      <c r="D15" s="37">
        <v>2112.0280760999999</v>
      </c>
      <c r="E15" s="38">
        <v>100</v>
      </c>
      <c r="F15" s="18"/>
      <c r="G15" s="18"/>
      <c r="H15" s="18"/>
    </row>
    <row r="18" spans="1:4" x14ac:dyDescent="0.2">
      <c r="A18" s="18" t="s">
        <v>42</v>
      </c>
    </row>
    <row r="19" spans="1:4" x14ac:dyDescent="0.2">
      <c r="A19" s="18" t="s">
        <v>43</v>
      </c>
    </row>
    <row r="20" spans="1:4" x14ac:dyDescent="0.2">
      <c r="A20" s="18" t="s">
        <v>44</v>
      </c>
      <c r="B20" s="18"/>
      <c r="C20" s="39" t="s">
        <v>46</v>
      </c>
      <c r="D20" s="41" t="s">
        <v>45</v>
      </c>
    </row>
    <row r="21" spans="1:4" x14ac:dyDescent="0.2">
      <c r="A21" s="9" t="s">
        <v>90</v>
      </c>
      <c r="C21" s="40">
        <v>41.806699999999999</v>
      </c>
      <c r="D21" s="40">
        <v>44.758800000000001</v>
      </c>
    </row>
    <row r="22" spans="1:4" x14ac:dyDescent="0.2">
      <c r="A22" s="9" t="s">
        <v>712</v>
      </c>
      <c r="C22" s="40">
        <v>14.044</v>
      </c>
      <c r="D22" s="40">
        <v>14.482699999999999</v>
      </c>
    </row>
    <row r="23" spans="1:4" x14ac:dyDescent="0.2">
      <c r="A23" s="9" t="s">
        <v>91</v>
      </c>
      <c r="C23" s="40">
        <v>43.264400000000002</v>
      </c>
      <c r="D23" s="40">
        <v>46.468200000000003</v>
      </c>
    </row>
    <row r="24" spans="1:4" x14ac:dyDescent="0.2">
      <c r="A24" s="9" t="s">
        <v>713</v>
      </c>
      <c r="C24" s="40">
        <v>14.578200000000001</v>
      </c>
      <c r="D24" s="40">
        <v>15.084199999999999</v>
      </c>
    </row>
    <row r="26" spans="1:4" x14ac:dyDescent="0.2">
      <c r="A26" s="18" t="s">
        <v>48</v>
      </c>
    </row>
    <row r="27" spans="1:4" x14ac:dyDescent="0.2">
      <c r="A27" s="77" t="s">
        <v>67</v>
      </c>
      <c r="B27" s="78"/>
      <c r="C27" s="44" t="s">
        <v>68</v>
      </c>
    </row>
    <row r="28" spans="1:4" x14ac:dyDescent="0.2">
      <c r="A28" s="73" t="s">
        <v>712</v>
      </c>
      <c r="B28" s="74"/>
      <c r="C28" s="45">
        <v>0.53</v>
      </c>
    </row>
    <row r="29" spans="1:4" x14ac:dyDescent="0.2">
      <c r="A29" s="73" t="s">
        <v>713</v>
      </c>
      <c r="B29" s="74"/>
      <c r="C29" s="45">
        <v>0.53</v>
      </c>
    </row>
    <row r="30" spans="1:4" x14ac:dyDescent="0.2">
      <c r="A30" s="9" t="s">
        <v>69</v>
      </c>
    </row>
    <row r="31" spans="1:4" x14ac:dyDescent="0.2">
      <c r="A31" s="9" t="s">
        <v>47</v>
      </c>
    </row>
    <row r="33" spans="1:4" x14ac:dyDescent="0.2">
      <c r="A33" s="18" t="s">
        <v>226</v>
      </c>
      <c r="D33" s="46">
        <v>7.22E-2</v>
      </c>
    </row>
    <row r="35" spans="1:4" x14ac:dyDescent="0.2">
      <c r="A35" s="18" t="s">
        <v>748</v>
      </c>
    </row>
    <row r="36" spans="1:4" x14ac:dyDescent="0.2">
      <c r="A36" s="47" t="s">
        <v>51</v>
      </c>
    </row>
    <row r="37" spans="1:4" x14ac:dyDescent="0.2">
      <c r="A37" s="18"/>
    </row>
    <row r="38" spans="1:4" ht="14.4" x14ac:dyDescent="0.3">
      <c r="A38" s="43"/>
    </row>
  </sheetData>
  <mergeCells count="4">
    <mergeCell ref="A1:E1"/>
    <mergeCell ref="A27:B27"/>
    <mergeCell ref="A28:B28"/>
    <mergeCell ref="A29:B29"/>
  </mergeCells>
  <conditionalFormatting sqref="E5:E15">
    <cfRule type="cellIs" dxfId="7" priority="1" stopIfTrue="1" operator="between">
      <formula>0.009</formula>
      <formula>-0.009</formula>
    </cfRule>
  </conditionalFormatting>
  <hyperlinks>
    <hyperlink ref="A36" r:id="rId1" xr:uid="{00000000-0004-0000-3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5"/>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24.6640625" style="9" bestFit="1" customWidth="1"/>
    <col min="4" max="4" width="23" style="10" bestFit="1" customWidth="1"/>
    <col min="5" max="5" width="13.5546875" style="13" customWidth="1"/>
    <col min="6" max="16384" width="9.109375" style="9"/>
  </cols>
  <sheetData>
    <row r="1" spans="1:8" s="1" customFormat="1" ht="13.8" x14ac:dyDescent="0.2">
      <c r="A1" s="75" t="s">
        <v>26</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v>
      </c>
      <c r="B5" s="22"/>
      <c r="C5" s="23"/>
      <c r="D5" s="24"/>
      <c r="E5" s="25"/>
    </row>
    <row r="6" spans="1:8" x14ac:dyDescent="0.2">
      <c r="A6" s="27" t="s">
        <v>715</v>
      </c>
      <c r="B6" s="53" t="s">
        <v>714</v>
      </c>
      <c r="C6" s="31">
        <v>1500834.4950000001</v>
      </c>
      <c r="D6" s="29">
        <v>1240.2280929999999</v>
      </c>
      <c r="E6" s="30">
        <v>74.358987250260796</v>
      </c>
    </row>
    <row r="7" spans="1:8" x14ac:dyDescent="0.2">
      <c r="A7" s="27" t="s">
        <v>700</v>
      </c>
      <c r="B7" s="53" t="s">
        <v>699</v>
      </c>
      <c r="C7" s="31">
        <v>23849.098999999998</v>
      </c>
      <c r="D7" s="29">
        <v>165.77678040000001</v>
      </c>
      <c r="E7" s="30">
        <v>9.93929549711698</v>
      </c>
    </row>
    <row r="8" spans="1:8" x14ac:dyDescent="0.2">
      <c r="A8" s="27" t="s">
        <v>711</v>
      </c>
      <c r="B8" s="53" t="s">
        <v>710</v>
      </c>
      <c r="C8" s="31">
        <v>45483.781000000003</v>
      </c>
      <c r="D8" s="29">
        <v>165.44452440000001</v>
      </c>
      <c r="E8" s="30">
        <v>9.9193747907507408</v>
      </c>
    </row>
    <row r="9" spans="1:8" ht="20.399999999999999" x14ac:dyDescent="0.2">
      <c r="A9" s="27" t="s">
        <v>716</v>
      </c>
      <c r="B9" s="53" t="s">
        <v>755</v>
      </c>
      <c r="C9" s="31">
        <v>197488.64600000001</v>
      </c>
      <c r="D9" s="29">
        <v>76.418231599999999</v>
      </c>
      <c r="E9" s="30">
        <v>4.5817235888333299</v>
      </c>
    </row>
    <row r="10" spans="1:8" ht="20.399999999999999" x14ac:dyDescent="0.2">
      <c r="A10" s="27" t="s">
        <v>718</v>
      </c>
      <c r="B10" s="53" t="s">
        <v>717</v>
      </c>
      <c r="C10" s="31">
        <v>489502.28</v>
      </c>
      <c r="D10" s="29">
        <v>0</v>
      </c>
      <c r="E10" s="29">
        <v>0</v>
      </c>
    </row>
    <row r="11" spans="1:8" ht="20.399999999999999" x14ac:dyDescent="0.2">
      <c r="A11" s="27" t="s">
        <v>720</v>
      </c>
      <c r="B11" s="53" t="s">
        <v>719</v>
      </c>
      <c r="C11" s="31">
        <v>371180.549</v>
      </c>
      <c r="D11" s="29">
        <v>0</v>
      </c>
      <c r="E11" s="29">
        <v>0</v>
      </c>
    </row>
    <row r="12" spans="1:8" x14ac:dyDescent="0.2">
      <c r="A12" s="26" t="s">
        <v>35</v>
      </c>
      <c r="B12" s="26"/>
      <c r="C12" s="32"/>
      <c r="D12" s="33">
        <f>SUM(D6:D11)</f>
        <v>1647.8676293999999</v>
      </c>
      <c r="E12" s="34">
        <f>SUM(E6:E11)</f>
        <v>98.799381126961848</v>
      </c>
      <c r="F12" s="18"/>
      <c r="G12" s="18"/>
      <c r="H12" s="18"/>
    </row>
    <row r="13" spans="1:8" x14ac:dyDescent="0.2">
      <c r="A13" s="27"/>
      <c r="B13" s="27"/>
      <c r="C13" s="28"/>
      <c r="D13" s="29"/>
      <c r="E13" s="30"/>
    </row>
    <row r="14" spans="1:8" x14ac:dyDescent="0.2">
      <c r="A14" s="26" t="s">
        <v>38</v>
      </c>
      <c r="B14" s="26"/>
      <c r="C14" s="32"/>
      <c r="D14" s="33">
        <f>D12</f>
        <v>1647.8676293999999</v>
      </c>
      <c r="E14" s="34">
        <f>E12</f>
        <v>98.799381126961848</v>
      </c>
      <c r="F14" s="18"/>
      <c r="G14" s="18"/>
      <c r="H14" s="18"/>
    </row>
    <row r="15" spans="1:8" x14ac:dyDescent="0.2">
      <c r="A15" s="26"/>
      <c r="B15" s="26"/>
      <c r="C15" s="32"/>
      <c r="D15" s="33"/>
      <c r="E15" s="34"/>
      <c r="F15" s="18"/>
      <c r="G15" s="18"/>
      <c r="H15" s="18"/>
    </row>
    <row r="16" spans="1:8" x14ac:dyDescent="0.2">
      <c r="A16" s="26" t="s">
        <v>40</v>
      </c>
      <c r="B16" s="26"/>
      <c r="C16" s="32"/>
      <c r="D16" s="33">
        <f>D18-(D12)</f>
        <v>20.025034100000084</v>
      </c>
      <c r="E16" s="34">
        <f>E18-(E12)</f>
        <v>1.2006188730381524</v>
      </c>
      <c r="F16" s="18"/>
      <c r="G16" s="18"/>
      <c r="H16" s="18"/>
    </row>
    <row r="17" spans="1:8" x14ac:dyDescent="0.2">
      <c r="A17" s="26"/>
      <c r="B17" s="26"/>
      <c r="C17" s="32"/>
      <c r="D17" s="33"/>
      <c r="E17" s="34"/>
      <c r="F17" s="18"/>
      <c r="G17" s="18"/>
      <c r="H17" s="18"/>
    </row>
    <row r="18" spans="1:8" x14ac:dyDescent="0.2">
      <c r="A18" s="35" t="s">
        <v>39</v>
      </c>
      <c r="B18" s="35"/>
      <c r="C18" s="36"/>
      <c r="D18" s="37">
        <v>1667.8926635</v>
      </c>
      <c r="E18" s="38">
        <v>100</v>
      </c>
      <c r="F18" s="18"/>
      <c r="G18" s="18"/>
      <c r="H18" s="18"/>
    </row>
    <row r="20" spans="1:8" x14ac:dyDescent="0.2">
      <c r="A20" s="18" t="s">
        <v>753</v>
      </c>
    </row>
    <row r="21" spans="1:8" ht="26.25" customHeight="1" x14ac:dyDescent="0.3">
      <c r="A21" s="83" t="s">
        <v>754</v>
      </c>
      <c r="B21" s="82"/>
      <c r="C21" s="82"/>
      <c r="D21" s="82"/>
      <c r="E21" s="82"/>
    </row>
    <row r="23" spans="1:8" x14ac:dyDescent="0.2">
      <c r="A23" s="18" t="s">
        <v>42</v>
      </c>
    </row>
    <row r="24" spans="1:8" x14ac:dyDescent="0.2">
      <c r="A24" s="18" t="s">
        <v>43</v>
      </c>
    </row>
    <row r="25" spans="1:8" x14ac:dyDescent="0.2">
      <c r="A25" s="18" t="s">
        <v>44</v>
      </c>
      <c r="B25" s="18"/>
      <c r="C25" s="39" t="s">
        <v>46</v>
      </c>
      <c r="D25" s="41" t="s">
        <v>45</v>
      </c>
    </row>
    <row r="26" spans="1:8" x14ac:dyDescent="0.2">
      <c r="A26" s="9" t="s">
        <v>90</v>
      </c>
      <c r="C26" s="40">
        <v>29.319099999999999</v>
      </c>
      <c r="D26" s="40">
        <v>33.232399999999998</v>
      </c>
    </row>
    <row r="27" spans="1:8" x14ac:dyDescent="0.2">
      <c r="A27" s="9" t="s">
        <v>712</v>
      </c>
      <c r="C27" s="40">
        <v>10.0388</v>
      </c>
      <c r="D27" s="40">
        <v>11.1493</v>
      </c>
    </row>
    <row r="28" spans="1:8" x14ac:dyDescent="0.2">
      <c r="A28" s="9" t="s">
        <v>91</v>
      </c>
      <c r="C28" s="40">
        <v>30.912500000000001</v>
      </c>
      <c r="D28" s="40">
        <v>35.188400000000001</v>
      </c>
    </row>
    <row r="29" spans="1:8" x14ac:dyDescent="0.2">
      <c r="A29" s="9" t="s">
        <v>713</v>
      </c>
      <c r="C29" s="40">
        <v>10.6022</v>
      </c>
      <c r="D29" s="40">
        <v>11.8384</v>
      </c>
    </row>
    <row r="31" spans="1:8" x14ac:dyDescent="0.2">
      <c r="A31" s="18" t="s">
        <v>48</v>
      </c>
    </row>
    <row r="32" spans="1:8" x14ac:dyDescent="0.2">
      <c r="A32" s="77" t="s">
        <v>67</v>
      </c>
      <c r="B32" s="78"/>
      <c r="C32" s="44" t="s">
        <v>68</v>
      </c>
    </row>
    <row r="33" spans="1:4" x14ac:dyDescent="0.2">
      <c r="A33" s="73" t="s">
        <v>712</v>
      </c>
      <c r="B33" s="74"/>
      <c r="C33" s="45">
        <v>0.22</v>
      </c>
    </row>
    <row r="34" spans="1:4" x14ac:dyDescent="0.2">
      <c r="A34" s="73" t="s">
        <v>713</v>
      </c>
      <c r="B34" s="74"/>
      <c r="C34" s="45">
        <v>0.22</v>
      </c>
    </row>
    <row r="35" spans="1:4" x14ac:dyDescent="0.2">
      <c r="A35" s="9" t="s">
        <v>69</v>
      </c>
    </row>
    <row r="36" spans="1:4" x14ac:dyDescent="0.2">
      <c r="A36" s="9" t="s">
        <v>47</v>
      </c>
    </row>
    <row r="38" spans="1:4" x14ac:dyDescent="0.2">
      <c r="A38" s="18" t="s">
        <v>226</v>
      </c>
      <c r="D38" s="46">
        <v>0.2261</v>
      </c>
    </row>
    <row r="40" spans="1:4" x14ac:dyDescent="0.2">
      <c r="A40" s="18" t="s">
        <v>732</v>
      </c>
      <c r="D40" s="41" t="s">
        <v>49</v>
      </c>
    </row>
    <row r="41" spans="1:4" x14ac:dyDescent="0.2">
      <c r="A41" s="9" t="s">
        <v>733</v>
      </c>
    </row>
    <row r="42" spans="1:4" x14ac:dyDescent="0.2">
      <c r="A42" s="47" t="s">
        <v>734</v>
      </c>
    </row>
    <row r="44" spans="1:4" x14ac:dyDescent="0.2">
      <c r="A44" s="18" t="s">
        <v>735</v>
      </c>
    </row>
    <row r="45" spans="1:4" x14ac:dyDescent="0.2">
      <c r="A45" s="47" t="s">
        <v>51</v>
      </c>
    </row>
  </sheetData>
  <mergeCells count="5">
    <mergeCell ref="A1:E1"/>
    <mergeCell ref="A32:B32"/>
    <mergeCell ref="A33:B33"/>
    <mergeCell ref="A34:B34"/>
    <mergeCell ref="A21:E21"/>
  </mergeCells>
  <conditionalFormatting sqref="E5:E9 E12:E18">
    <cfRule type="cellIs" dxfId="6" priority="1" stopIfTrue="1" operator="between">
      <formula>0.009</formula>
      <formula>-0.009</formula>
    </cfRule>
  </conditionalFormatting>
  <hyperlinks>
    <hyperlink ref="A45" r:id="rId1" xr:uid="{00000000-0004-0000-3200-000000000000}"/>
    <hyperlink ref="A42" r:id="rId2" xr:uid="{00000000-0004-0000-32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46"/>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5" t="s">
        <v>27</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v>
      </c>
      <c r="B5" s="22"/>
      <c r="C5" s="23"/>
      <c r="D5" s="24"/>
      <c r="E5" s="25"/>
    </row>
    <row r="6" spans="1:8" x14ac:dyDescent="0.2">
      <c r="A6" s="27" t="s">
        <v>715</v>
      </c>
      <c r="B6" s="53" t="s">
        <v>714</v>
      </c>
      <c r="C6" s="31">
        <v>1375538.5260000001</v>
      </c>
      <c r="D6" s="29">
        <v>1136.688641</v>
      </c>
      <c r="E6" s="30">
        <v>58.9107167658739</v>
      </c>
    </row>
    <row r="7" spans="1:8" x14ac:dyDescent="0.2">
      <c r="A7" s="27" t="s">
        <v>700</v>
      </c>
      <c r="B7" s="53" t="s">
        <v>699</v>
      </c>
      <c r="C7" s="31">
        <v>41592.222000000002</v>
      </c>
      <c r="D7" s="29">
        <v>289.11048820000002</v>
      </c>
      <c r="E7" s="30">
        <v>14.9836159789633</v>
      </c>
    </row>
    <row r="8" spans="1:8" x14ac:dyDescent="0.2">
      <c r="A8" s="27" t="s">
        <v>711</v>
      </c>
      <c r="B8" s="53" t="s">
        <v>710</v>
      </c>
      <c r="C8" s="31">
        <v>52895.271999999997</v>
      </c>
      <c r="D8" s="29">
        <v>192.40337819999999</v>
      </c>
      <c r="E8" s="30">
        <v>9.9716144853580104</v>
      </c>
    </row>
    <row r="9" spans="1:8" x14ac:dyDescent="0.2">
      <c r="A9" s="27" t="s">
        <v>722</v>
      </c>
      <c r="B9" s="53" t="s">
        <v>721</v>
      </c>
      <c r="C9" s="31">
        <v>13180.655000000001</v>
      </c>
      <c r="D9" s="29">
        <v>190.7268062</v>
      </c>
      <c r="E9" s="30">
        <v>9.8847234453079302</v>
      </c>
    </row>
    <row r="10" spans="1:8" ht="20.399999999999999" x14ac:dyDescent="0.2">
      <c r="A10" s="27" t="s">
        <v>716</v>
      </c>
      <c r="B10" s="53" t="s">
        <v>755</v>
      </c>
      <c r="C10" s="31">
        <v>257074.98499999999</v>
      </c>
      <c r="D10" s="29">
        <v>99.475165399999995</v>
      </c>
      <c r="E10" s="30">
        <v>5.1554604161104196</v>
      </c>
    </row>
    <row r="11" spans="1:8" ht="20.399999999999999" x14ac:dyDescent="0.2">
      <c r="A11" s="27" t="s">
        <v>718</v>
      </c>
      <c r="B11" s="53" t="s">
        <v>717</v>
      </c>
      <c r="C11" s="31">
        <v>631308.71</v>
      </c>
      <c r="D11" s="29">
        <v>0</v>
      </c>
      <c r="E11" s="29">
        <v>0</v>
      </c>
    </row>
    <row r="12" spans="1:8" ht="20.399999999999999" x14ac:dyDescent="0.2">
      <c r="A12" s="27" t="s">
        <v>720</v>
      </c>
      <c r="B12" s="53" t="s">
        <v>719</v>
      </c>
      <c r="C12" s="31">
        <v>584729.58299999998</v>
      </c>
      <c r="D12" s="29">
        <v>0</v>
      </c>
      <c r="E12" s="29">
        <v>0</v>
      </c>
    </row>
    <row r="13" spans="1:8" x14ac:dyDescent="0.2">
      <c r="A13" s="26" t="s">
        <v>35</v>
      </c>
      <c r="B13" s="26"/>
      <c r="C13" s="32"/>
      <c r="D13" s="33">
        <f>SUM(D6:D12)</f>
        <v>1908.4044789999998</v>
      </c>
      <c r="E13" s="34">
        <f>SUM(E6:E12)</f>
        <v>98.90613109161356</v>
      </c>
      <c r="F13" s="18"/>
      <c r="G13" s="18"/>
      <c r="H13" s="18"/>
    </row>
    <row r="14" spans="1:8" x14ac:dyDescent="0.2">
      <c r="A14" s="27"/>
      <c r="B14" s="27"/>
      <c r="C14" s="28"/>
      <c r="D14" s="29"/>
      <c r="E14" s="30"/>
    </row>
    <row r="15" spans="1:8" x14ac:dyDescent="0.2">
      <c r="A15" s="26" t="s">
        <v>38</v>
      </c>
      <c r="B15" s="26"/>
      <c r="C15" s="32"/>
      <c r="D15" s="33">
        <f>D13</f>
        <v>1908.4044789999998</v>
      </c>
      <c r="E15" s="34">
        <f>E13</f>
        <v>98.90613109161356</v>
      </c>
      <c r="F15" s="18"/>
      <c r="G15" s="18"/>
      <c r="H15" s="18"/>
    </row>
    <row r="16" spans="1:8" x14ac:dyDescent="0.2">
      <c r="A16" s="26"/>
      <c r="B16" s="26"/>
      <c r="C16" s="32"/>
      <c r="D16" s="33"/>
      <c r="E16" s="34"/>
      <c r="F16" s="18"/>
      <c r="G16" s="18"/>
      <c r="H16" s="18"/>
    </row>
    <row r="17" spans="1:8" x14ac:dyDescent="0.2">
      <c r="A17" s="26" t="s">
        <v>40</v>
      </c>
      <c r="B17" s="26"/>
      <c r="C17" s="32"/>
      <c r="D17" s="33">
        <f>D19-(D13)</f>
        <v>21.106318700000202</v>
      </c>
      <c r="E17" s="34">
        <f>E19-(E13)</f>
        <v>1.0938689083864404</v>
      </c>
      <c r="F17" s="18"/>
      <c r="G17" s="18"/>
      <c r="H17" s="18"/>
    </row>
    <row r="18" spans="1:8" x14ac:dyDescent="0.2">
      <c r="A18" s="26"/>
      <c r="B18" s="26"/>
      <c r="C18" s="32"/>
      <c r="D18" s="33"/>
      <c r="E18" s="34"/>
      <c r="F18" s="18"/>
      <c r="G18" s="18"/>
      <c r="H18" s="18"/>
    </row>
    <row r="19" spans="1:8" x14ac:dyDescent="0.2">
      <c r="A19" s="35" t="s">
        <v>39</v>
      </c>
      <c r="B19" s="35"/>
      <c r="C19" s="36"/>
      <c r="D19" s="37">
        <v>1929.5107977</v>
      </c>
      <c r="E19" s="38">
        <v>100</v>
      </c>
      <c r="F19" s="18"/>
      <c r="G19" s="18"/>
      <c r="H19" s="18"/>
    </row>
    <row r="21" spans="1:8" x14ac:dyDescent="0.2">
      <c r="A21" s="18" t="s">
        <v>753</v>
      </c>
      <c r="C21" s="10"/>
      <c r="D21" s="13"/>
      <c r="E21" s="14"/>
    </row>
    <row r="22" spans="1:8" ht="26.25" customHeight="1" x14ac:dyDescent="0.3">
      <c r="A22" s="83" t="s">
        <v>754</v>
      </c>
      <c r="B22" s="82"/>
      <c r="C22" s="82"/>
      <c r="D22" s="82"/>
      <c r="E22" s="82"/>
    </row>
    <row r="24" spans="1:8" x14ac:dyDescent="0.2">
      <c r="A24" s="18" t="s">
        <v>42</v>
      </c>
    </row>
    <row r="25" spans="1:8" x14ac:dyDescent="0.2">
      <c r="A25" s="18" t="s">
        <v>43</v>
      </c>
    </row>
    <row r="26" spans="1:8" x14ac:dyDescent="0.2">
      <c r="A26" s="18" t="s">
        <v>44</v>
      </c>
      <c r="B26" s="18"/>
      <c r="C26" s="39" t="s">
        <v>46</v>
      </c>
      <c r="D26" s="41" t="s">
        <v>45</v>
      </c>
    </row>
    <row r="27" spans="1:8" x14ac:dyDescent="0.2">
      <c r="A27" s="9" t="s">
        <v>90</v>
      </c>
      <c r="C27" s="40">
        <v>44.005400000000002</v>
      </c>
      <c r="D27" s="40">
        <v>51.887999999999998</v>
      </c>
    </row>
    <row r="28" spans="1:8" x14ac:dyDescent="0.2">
      <c r="A28" s="9" t="s">
        <v>712</v>
      </c>
      <c r="C28" s="40">
        <v>11.5161</v>
      </c>
      <c r="D28" s="40">
        <v>13.578900000000001</v>
      </c>
    </row>
    <row r="29" spans="1:8" x14ac:dyDescent="0.2">
      <c r="A29" s="9" t="s">
        <v>91</v>
      </c>
      <c r="C29" s="40">
        <v>46.358800000000002</v>
      </c>
      <c r="D29" s="40">
        <v>54.877499999999998</v>
      </c>
    </row>
    <row r="30" spans="1:8" x14ac:dyDescent="0.2">
      <c r="A30" s="9" t="s">
        <v>713</v>
      </c>
      <c r="C30" s="40">
        <v>12.1267</v>
      </c>
      <c r="D30" s="40">
        <v>14.348699999999999</v>
      </c>
    </row>
    <row r="32" spans="1:8" x14ac:dyDescent="0.2">
      <c r="A32" s="9" t="s">
        <v>47</v>
      </c>
    </row>
    <row r="34" spans="1:4" x14ac:dyDescent="0.2">
      <c r="A34" s="18" t="s">
        <v>48</v>
      </c>
      <c r="D34" s="41" t="s">
        <v>49</v>
      </c>
    </row>
    <row r="36" spans="1:4" x14ac:dyDescent="0.2">
      <c r="A36" s="18" t="s">
        <v>226</v>
      </c>
      <c r="D36" s="46">
        <v>0.21029999999999999</v>
      </c>
    </row>
    <row r="38" spans="1:4" x14ac:dyDescent="0.2">
      <c r="A38" s="18" t="s">
        <v>732</v>
      </c>
      <c r="D38" s="41" t="s">
        <v>49</v>
      </c>
    </row>
    <row r="39" spans="1:4" x14ac:dyDescent="0.2">
      <c r="A39" s="9" t="s">
        <v>733</v>
      </c>
    </row>
    <row r="40" spans="1:4" x14ac:dyDescent="0.2">
      <c r="A40" s="47" t="s">
        <v>734</v>
      </c>
    </row>
    <row r="42" spans="1:4" x14ac:dyDescent="0.2">
      <c r="A42" s="18" t="s">
        <v>735</v>
      </c>
    </row>
    <row r="43" spans="1:4" x14ac:dyDescent="0.2">
      <c r="A43" s="47" t="s">
        <v>51</v>
      </c>
    </row>
    <row r="46" spans="1:4" x14ac:dyDescent="0.2">
      <c r="C46" s="13"/>
    </row>
  </sheetData>
  <mergeCells count="2">
    <mergeCell ref="A1:E1"/>
    <mergeCell ref="A22:E22"/>
  </mergeCells>
  <conditionalFormatting sqref="E5:E10 E13:E19">
    <cfRule type="cellIs" dxfId="5" priority="2" stopIfTrue="1" operator="between">
      <formula>0.009</formula>
      <formula>-0.009</formula>
    </cfRule>
  </conditionalFormatting>
  <conditionalFormatting sqref="E21">
    <cfRule type="cellIs" dxfId="4" priority="1" stopIfTrue="1" operator="between">
      <formula>0.009</formula>
      <formula>-0.009</formula>
    </cfRule>
  </conditionalFormatting>
  <hyperlinks>
    <hyperlink ref="A43" r:id="rId1" xr:uid="{00000000-0004-0000-3300-000000000000}"/>
    <hyperlink ref="A40" r:id="rId2" xr:uid="{00000000-0004-0000-33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43"/>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5" t="s">
        <v>28</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v>
      </c>
      <c r="B5" s="22"/>
      <c r="C5" s="23"/>
      <c r="D5" s="24"/>
      <c r="E5" s="25"/>
    </row>
    <row r="6" spans="1:8" x14ac:dyDescent="0.2">
      <c r="A6" s="27" t="s">
        <v>715</v>
      </c>
      <c r="B6" s="53" t="s">
        <v>714</v>
      </c>
      <c r="C6" s="31">
        <v>286893.15100000001</v>
      </c>
      <c r="D6" s="29">
        <v>237.07673740000001</v>
      </c>
      <c r="E6" s="30">
        <v>39.237645478713098</v>
      </c>
    </row>
    <row r="7" spans="1:8" x14ac:dyDescent="0.2">
      <c r="A7" s="27" t="s">
        <v>700</v>
      </c>
      <c r="B7" s="53" t="s">
        <v>699</v>
      </c>
      <c r="C7" s="31">
        <v>30410.534</v>
      </c>
      <c r="D7" s="29">
        <v>211.38578100000001</v>
      </c>
      <c r="E7" s="30">
        <v>34.985635558686802</v>
      </c>
    </row>
    <row r="8" spans="1:8" x14ac:dyDescent="0.2">
      <c r="A8" s="27" t="s">
        <v>711</v>
      </c>
      <c r="B8" s="53" t="s">
        <v>710</v>
      </c>
      <c r="C8" s="31">
        <v>16374.772000000001</v>
      </c>
      <c r="D8" s="29">
        <v>59.5622507</v>
      </c>
      <c r="E8" s="30">
        <v>9.8579156374067303</v>
      </c>
    </row>
    <row r="9" spans="1:8" x14ac:dyDescent="0.2">
      <c r="A9" s="27" t="s">
        <v>722</v>
      </c>
      <c r="B9" s="53" t="s">
        <v>721</v>
      </c>
      <c r="C9" s="31">
        <v>4098.6719999999996</v>
      </c>
      <c r="D9" s="29">
        <v>59.308632299999999</v>
      </c>
      <c r="E9" s="30">
        <v>9.8159402459144491</v>
      </c>
    </row>
    <row r="10" spans="1:8" ht="20.399999999999999" x14ac:dyDescent="0.2">
      <c r="A10" s="27" t="s">
        <v>716</v>
      </c>
      <c r="B10" s="53" t="s">
        <v>755</v>
      </c>
      <c r="C10" s="31">
        <v>76648.858999999997</v>
      </c>
      <c r="D10" s="29">
        <v>29.659275999999998</v>
      </c>
      <c r="E10" s="30">
        <v>4.9087910083720603</v>
      </c>
    </row>
    <row r="11" spans="1:8" ht="20.399999999999999" x14ac:dyDescent="0.2">
      <c r="A11" s="27" t="s">
        <v>718</v>
      </c>
      <c r="B11" s="53" t="s">
        <v>717</v>
      </c>
      <c r="C11" s="31">
        <v>196087.27</v>
      </c>
      <c r="D11" s="29">
        <v>0</v>
      </c>
      <c r="E11" s="29">
        <v>0</v>
      </c>
    </row>
    <row r="12" spans="1:8" ht="20.399999999999999" x14ac:dyDescent="0.2">
      <c r="A12" s="27" t="s">
        <v>720</v>
      </c>
      <c r="B12" s="53" t="s">
        <v>719</v>
      </c>
      <c r="C12" s="31">
        <v>177292.25099999999</v>
      </c>
      <c r="D12" s="29">
        <v>0</v>
      </c>
      <c r="E12" s="29">
        <v>0</v>
      </c>
    </row>
    <row r="13" spans="1:8" x14ac:dyDescent="0.2">
      <c r="A13" s="26" t="s">
        <v>35</v>
      </c>
      <c r="B13" s="26"/>
      <c r="C13" s="32"/>
      <c r="D13" s="33">
        <f>SUM(D6:D12)</f>
        <v>596.99267739999993</v>
      </c>
      <c r="E13" s="34">
        <f>SUM(E6:E12)</f>
        <v>98.805927929093144</v>
      </c>
      <c r="F13" s="18"/>
      <c r="G13" s="18"/>
      <c r="H13" s="18"/>
    </row>
    <row r="14" spans="1:8" x14ac:dyDescent="0.2">
      <c r="A14" s="27"/>
      <c r="B14" s="27"/>
      <c r="C14" s="28"/>
      <c r="D14" s="29"/>
      <c r="E14" s="30"/>
    </row>
    <row r="15" spans="1:8" x14ac:dyDescent="0.2">
      <c r="A15" s="26" t="s">
        <v>38</v>
      </c>
      <c r="B15" s="26"/>
      <c r="C15" s="32"/>
      <c r="D15" s="33">
        <f>D13</f>
        <v>596.99267739999993</v>
      </c>
      <c r="E15" s="34">
        <f>E13</f>
        <v>98.805927929093144</v>
      </c>
      <c r="F15" s="18"/>
      <c r="G15" s="18"/>
      <c r="H15" s="18"/>
    </row>
    <row r="16" spans="1:8" x14ac:dyDescent="0.2">
      <c r="A16" s="26"/>
      <c r="B16" s="26"/>
      <c r="C16" s="32"/>
      <c r="D16" s="33"/>
      <c r="E16" s="34"/>
      <c r="F16" s="18"/>
      <c r="G16" s="18"/>
      <c r="H16" s="18"/>
    </row>
    <row r="17" spans="1:8" x14ac:dyDescent="0.2">
      <c r="A17" s="26" t="s">
        <v>40</v>
      </c>
      <c r="B17" s="26"/>
      <c r="C17" s="32"/>
      <c r="D17" s="33">
        <f>D19-(D13)</f>
        <v>7.2146712000001116</v>
      </c>
      <c r="E17" s="34">
        <f>E19-(E13)</f>
        <v>1.1940720709068557</v>
      </c>
      <c r="F17" s="18"/>
      <c r="G17" s="18"/>
      <c r="H17" s="18"/>
    </row>
    <row r="18" spans="1:8" x14ac:dyDescent="0.2">
      <c r="A18" s="26"/>
      <c r="B18" s="26"/>
      <c r="C18" s="32"/>
      <c r="D18" s="33"/>
      <c r="E18" s="34"/>
      <c r="F18" s="18"/>
      <c r="G18" s="18"/>
      <c r="H18" s="18"/>
    </row>
    <row r="19" spans="1:8" x14ac:dyDescent="0.2">
      <c r="A19" s="35" t="s">
        <v>39</v>
      </c>
      <c r="B19" s="35"/>
      <c r="C19" s="36"/>
      <c r="D19" s="37">
        <v>604.20734860000005</v>
      </c>
      <c r="E19" s="38">
        <v>100</v>
      </c>
      <c r="F19" s="18"/>
      <c r="G19" s="18"/>
      <c r="H19" s="18"/>
    </row>
    <row r="21" spans="1:8" x14ac:dyDescent="0.2">
      <c r="A21" s="18" t="s">
        <v>753</v>
      </c>
    </row>
    <row r="22" spans="1:8" ht="27" customHeight="1" x14ac:dyDescent="0.3">
      <c r="A22" s="83" t="s">
        <v>754</v>
      </c>
      <c r="B22" s="82"/>
      <c r="C22" s="82"/>
      <c r="D22" s="82"/>
      <c r="E22" s="82"/>
    </row>
    <row r="24" spans="1:8" x14ac:dyDescent="0.2">
      <c r="A24" s="18" t="s">
        <v>42</v>
      </c>
    </row>
    <row r="25" spans="1:8" x14ac:dyDescent="0.2">
      <c r="A25" s="18" t="s">
        <v>43</v>
      </c>
    </row>
    <row r="26" spans="1:8" x14ac:dyDescent="0.2">
      <c r="A26" s="18" t="s">
        <v>44</v>
      </c>
      <c r="B26" s="18"/>
      <c r="C26" s="39" t="s">
        <v>46</v>
      </c>
      <c r="D26" s="41" t="s">
        <v>45</v>
      </c>
    </row>
    <row r="27" spans="1:8" x14ac:dyDescent="0.2">
      <c r="A27" s="9" t="s">
        <v>90</v>
      </c>
      <c r="C27" s="40">
        <v>57.234000000000002</v>
      </c>
      <c r="D27" s="40">
        <v>70.666200000000003</v>
      </c>
    </row>
    <row r="28" spans="1:8" x14ac:dyDescent="0.2">
      <c r="A28" s="9" t="s">
        <v>712</v>
      </c>
      <c r="C28" s="40">
        <v>18.580300000000001</v>
      </c>
      <c r="D28" s="40">
        <v>22.940899999999999</v>
      </c>
    </row>
    <row r="29" spans="1:8" x14ac:dyDescent="0.2">
      <c r="A29" s="9" t="s">
        <v>91</v>
      </c>
      <c r="C29" s="40">
        <v>59.947899999999997</v>
      </c>
      <c r="D29" s="40">
        <v>74.219300000000004</v>
      </c>
    </row>
    <row r="30" spans="1:8" x14ac:dyDescent="0.2">
      <c r="A30" s="9" t="s">
        <v>713</v>
      </c>
      <c r="C30" s="40">
        <v>19.777000000000001</v>
      </c>
      <c r="D30" s="40">
        <v>24.476400000000002</v>
      </c>
    </row>
    <row r="32" spans="1:8" x14ac:dyDescent="0.2">
      <c r="A32" s="9" t="s">
        <v>47</v>
      </c>
    </row>
    <row r="34" spans="1:4" x14ac:dyDescent="0.2">
      <c r="A34" s="18" t="s">
        <v>48</v>
      </c>
      <c r="D34" s="41" t="s">
        <v>49</v>
      </c>
    </row>
    <row r="36" spans="1:4" x14ac:dyDescent="0.2">
      <c r="A36" s="18" t="s">
        <v>226</v>
      </c>
      <c r="D36" s="46">
        <v>0.2545</v>
      </c>
    </row>
    <row r="38" spans="1:4" x14ac:dyDescent="0.2">
      <c r="A38" s="18" t="s">
        <v>732</v>
      </c>
      <c r="D38" s="41" t="s">
        <v>49</v>
      </c>
    </row>
    <row r="39" spans="1:4" x14ac:dyDescent="0.2">
      <c r="A39" s="9" t="s">
        <v>733</v>
      </c>
    </row>
    <row r="40" spans="1:4" x14ac:dyDescent="0.2">
      <c r="A40" s="47" t="s">
        <v>734</v>
      </c>
    </row>
    <row r="42" spans="1:4" x14ac:dyDescent="0.2">
      <c r="A42" s="18" t="s">
        <v>735</v>
      </c>
    </row>
    <row r="43" spans="1:4" x14ac:dyDescent="0.2">
      <c r="A43" s="47" t="s">
        <v>51</v>
      </c>
    </row>
  </sheetData>
  <mergeCells count="2">
    <mergeCell ref="A1:E1"/>
    <mergeCell ref="A22:E22"/>
  </mergeCells>
  <conditionalFormatting sqref="E5:E10 E13:E19">
    <cfRule type="cellIs" dxfId="3" priority="1" stopIfTrue="1" operator="between">
      <formula>0.009</formula>
      <formula>-0.009</formula>
    </cfRule>
  </conditionalFormatting>
  <hyperlinks>
    <hyperlink ref="A43" r:id="rId1" xr:uid="{00000000-0004-0000-3400-000000000000}"/>
    <hyperlink ref="A40" r:id="rId2" xr:uid="{00000000-0004-0000-34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43"/>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15.33203125" style="9" bestFit="1" customWidth="1"/>
    <col min="4" max="4" width="23" style="10" bestFit="1" customWidth="1"/>
    <col min="5" max="5" width="13.5546875" style="13" customWidth="1"/>
    <col min="6" max="16384" width="9.109375" style="9"/>
  </cols>
  <sheetData>
    <row r="1" spans="1:8" s="1" customFormat="1" ht="13.8" x14ac:dyDescent="0.2">
      <c r="A1" s="75" t="s">
        <v>29</v>
      </c>
      <c r="B1" s="76"/>
      <c r="C1" s="76"/>
      <c r="D1" s="76"/>
      <c r="E1" s="76"/>
    </row>
    <row r="2" spans="1:8" s="1" customFormat="1" ht="11.4" x14ac:dyDescent="0.2">
      <c r="D2" s="6"/>
      <c r="E2" s="7"/>
    </row>
    <row r="3" spans="1:8" s="1" customFormat="1" ht="12" x14ac:dyDescent="0.2">
      <c r="A3" s="11" t="s">
        <v>7</v>
      </c>
      <c r="B3" s="2"/>
      <c r="C3" s="3"/>
      <c r="D3" s="4"/>
      <c r="E3" s="5"/>
    </row>
    <row r="4" spans="1:8" s="1" customFormat="1" ht="17.399999999999999" customHeight="1" x14ac:dyDescent="0.2">
      <c r="A4" s="8" t="s">
        <v>2</v>
      </c>
      <c r="B4" s="8" t="s">
        <v>0</v>
      </c>
      <c r="C4" s="16" t="s">
        <v>1</v>
      </c>
      <c r="D4" s="15" t="s">
        <v>3</v>
      </c>
      <c r="E4" s="15" t="s">
        <v>4</v>
      </c>
    </row>
    <row r="5" spans="1:8" x14ac:dyDescent="0.2">
      <c r="A5" s="21" t="s">
        <v>37</v>
      </c>
      <c r="B5" s="22"/>
      <c r="C5" s="23"/>
      <c r="D5" s="24"/>
      <c r="E5" s="25"/>
    </row>
    <row r="6" spans="1:8" x14ac:dyDescent="0.2">
      <c r="A6" s="27" t="s">
        <v>700</v>
      </c>
      <c r="B6" s="53" t="s">
        <v>699</v>
      </c>
      <c r="C6" s="31">
        <v>98210.543999999994</v>
      </c>
      <c r="D6" s="29">
        <v>682.66846429999998</v>
      </c>
      <c r="E6" s="30">
        <v>49.905551325751603</v>
      </c>
    </row>
    <row r="7" spans="1:8" x14ac:dyDescent="0.2">
      <c r="A7" s="27" t="s">
        <v>715</v>
      </c>
      <c r="B7" s="53" t="s">
        <v>714</v>
      </c>
      <c r="C7" s="31">
        <v>294301.49800000002</v>
      </c>
      <c r="D7" s="29">
        <v>243.19869159999999</v>
      </c>
      <c r="E7" s="30">
        <v>17.778710194917998</v>
      </c>
    </row>
    <row r="8" spans="1:8" x14ac:dyDescent="0.2">
      <c r="A8" s="27" t="s">
        <v>711</v>
      </c>
      <c r="B8" s="53" t="s">
        <v>710</v>
      </c>
      <c r="C8" s="31">
        <v>55732.252</v>
      </c>
      <c r="D8" s="29">
        <v>202.72272269999999</v>
      </c>
      <c r="E8" s="30">
        <v>14.819769436654401</v>
      </c>
    </row>
    <row r="9" spans="1:8" x14ac:dyDescent="0.2">
      <c r="A9" s="27" t="s">
        <v>722</v>
      </c>
      <c r="B9" s="53" t="s">
        <v>721</v>
      </c>
      <c r="C9" s="31">
        <v>13863.974</v>
      </c>
      <c r="D9" s="29">
        <v>200.6145736</v>
      </c>
      <c r="E9" s="30">
        <v>14.665656058617801</v>
      </c>
    </row>
    <row r="10" spans="1:8" ht="20.399999999999999" x14ac:dyDescent="0.2">
      <c r="A10" s="27" t="s">
        <v>716</v>
      </c>
      <c r="B10" s="53" t="s">
        <v>755</v>
      </c>
      <c r="C10" s="31">
        <v>59033.873</v>
      </c>
      <c r="D10" s="29">
        <v>22.8431572</v>
      </c>
      <c r="E10" s="30">
        <v>1.6699179963670301</v>
      </c>
    </row>
    <row r="11" spans="1:8" ht="20.399999999999999" x14ac:dyDescent="0.2">
      <c r="A11" s="27" t="s">
        <v>718</v>
      </c>
      <c r="B11" s="53" t="s">
        <v>717</v>
      </c>
      <c r="C11" s="31">
        <v>167004.62</v>
      </c>
      <c r="D11" s="29">
        <v>0</v>
      </c>
      <c r="E11" s="29">
        <v>0</v>
      </c>
    </row>
    <row r="12" spans="1:8" ht="20.399999999999999" x14ac:dyDescent="0.2">
      <c r="A12" s="27" t="s">
        <v>720</v>
      </c>
      <c r="B12" s="53" t="s">
        <v>719</v>
      </c>
      <c r="C12" s="31">
        <v>147479.853</v>
      </c>
      <c r="D12" s="29">
        <v>0</v>
      </c>
      <c r="E12" s="29">
        <v>0</v>
      </c>
    </row>
    <row r="13" spans="1:8" x14ac:dyDescent="0.2">
      <c r="A13" s="26" t="s">
        <v>35</v>
      </c>
      <c r="B13" s="26"/>
      <c r="C13" s="32"/>
      <c r="D13" s="33">
        <f>SUM(D6:D12)</f>
        <v>1352.0476094000001</v>
      </c>
      <c r="E13" s="34">
        <f>SUM(E6:E12)</f>
        <v>98.839605012308823</v>
      </c>
      <c r="F13" s="18"/>
      <c r="G13" s="18"/>
      <c r="H13" s="18"/>
    </row>
    <row r="14" spans="1:8" x14ac:dyDescent="0.2">
      <c r="A14" s="27"/>
      <c r="B14" s="27"/>
      <c r="C14" s="28"/>
      <c r="D14" s="29"/>
      <c r="E14" s="30"/>
    </row>
    <row r="15" spans="1:8" x14ac:dyDescent="0.2">
      <c r="A15" s="26" t="s">
        <v>38</v>
      </c>
      <c r="B15" s="26"/>
      <c r="C15" s="32"/>
      <c r="D15" s="33">
        <f>D13</f>
        <v>1352.0476094000001</v>
      </c>
      <c r="E15" s="34">
        <f>E13</f>
        <v>98.839605012308823</v>
      </c>
      <c r="F15" s="18"/>
      <c r="G15" s="18"/>
      <c r="H15" s="18"/>
    </row>
    <row r="16" spans="1:8" x14ac:dyDescent="0.2">
      <c r="A16" s="26"/>
      <c r="B16" s="26"/>
      <c r="C16" s="32"/>
      <c r="D16" s="33"/>
      <c r="E16" s="34"/>
      <c r="F16" s="18"/>
      <c r="G16" s="18"/>
      <c r="H16" s="18"/>
    </row>
    <row r="17" spans="1:8" x14ac:dyDescent="0.2">
      <c r="A17" s="26" t="s">
        <v>40</v>
      </c>
      <c r="B17" s="26"/>
      <c r="C17" s="32"/>
      <c r="D17" s="33">
        <f>D19-(D13)</f>
        <v>15.873285499999838</v>
      </c>
      <c r="E17" s="34">
        <f>E19-(E13)</f>
        <v>1.160394987691177</v>
      </c>
      <c r="F17" s="18"/>
      <c r="G17" s="18"/>
      <c r="H17" s="18"/>
    </row>
    <row r="18" spans="1:8" x14ac:dyDescent="0.2">
      <c r="A18" s="26"/>
      <c r="B18" s="26"/>
      <c r="C18" s="32"/>
      <c r="D18" s="33"/>
      <c r="E18" s="34"/>
      <c r="F18" s="18"/>
      <c r="G18" s="18"/>
      <c r="H18" s="18"/>
    </row>
    <row r="19" spans="1:8" x14ac:dyDescent="0.2">
      <c r="A19" s="35" t="s">
        <v>39</v>
      </c>
      <c r="B19" s="35"/>
      <c r="C19" s="36"/>
      <c r="D19" s="37">
        <v>1367.9208948999999</v>
      </c>
      <c r="E19" s="38">
        <v>100</v>
      </c>
      <c r="F19" s="18"/>
      <c r="G19" s="18"/>
      <c r="H19" s="18"/>
    </row>
    <row r="21" spans="1:8" x14ac:dyDescent="0.2">
      <c r="A21" s="18" t="s">
        <v>753</v>
      </c>
    </row>
    <row r="22" spans="1:8" ht="29.25" customHeight="1" x14ac:dyDescent="0.3">
      <c r="A22" s="83" t="s">
        <v>754</v>
      </c>
      <c r="B22" s="82"/>
      <c r="C22" s="82"/>
      <c r="D22" s="82"/>
      <c r="E22" s="82"/>
    </row>
    <row r="24" spans="1:8" x14ac:dyDescent="0.2">
      <c r="A24" s="18" t="s">
        <v>42</v>
      </c>
    </row>
    <row r="25" spans="1:8" x14ac:dyDescent="0.2">
      <c r="A25" s="18" t="s">
        <v>43</v>
      </c>
    </row>
    <row r="26" spans="1:8" x14ac:dyDescent="0.2">
      <c r="A26" s="18" t="s">
        <v>44</v>
      </c>
      <c r="B26" s="18"/>
      <c r="C26" s="39" t="s">
        <v>46</v>
      </c>
      <c r="D26" s="41" t="s">
        <v>45</v>
      </c>
    </row>
    <row r="27" spans="1:8" x14ac:dyDescent="0.2">
      <c r="A27" s="9" t="s">
        <v>70</v>
      </c>
      <c r="C27" s="40">
        <v>84.702500000000001</v>
      </c>
      <c r="D27" s="40">
        <v>106.6758</v>
      </c>
    </row>
    <row r="28" spans="1:8" x14ac:dyDescent="0.2">
      <c r="A28" s="9" t="s">
        <v>76</v>
      </c>
      <c r="C28" s="40">
        <v>25.479199999999999</v>
      </c>
      <c r="D28" s="40">
        <v>32.088799999999999</v>
      </c>
    </row>
    <row r="29" spans="1:8" x14ac:dyDescent="0.2">
      <c r="A29" s="9" t="s">
        <v>73</v>
      </c>
      <c r="C29" s="40">
        <v>87.942400000000006</v>
      </c>
      <c r="D29" s="40">
        <v>111.0437</v>
      </c>
    </row>
    <row r="30" spans="1:8" x14ac:dyDescent="0.2">
      <c r="A30" s="9" t="s">
        <v>77</v>
      </c>
      <c r="C30" s="40">
        <v>26.785</v>
      </c>
      <c r="D30" s="40">
        <v>33.811500000000002</v>
      </c>
    </row>
    <row r="32" spans="1:8" x14ac:dyDescent="0.2">
      <c r="A32" s="9" t="s">
        <v>47</v>
      </c>
    </row>
    <row r="34" spans="1:4" x14ac:dyDescent="0.2">
      <c r="A34" s="18" t="s">
        <v>48</v>
      </c>
      <c r="D34" s="41" t="s">
        <v>49</v>
      </c>
    </row>
    <row r="36" spans="1:4" x14ac:dyDescent="0.2">
      <c r="A36" s="18" t="s">
        <v>226</v>
      </c>
      <c r="D36" s="46">
        <v>0.155</v>
      </c>
    </row>
    <row r="38" spans="1:4" x14ac:dyDescent="0.2">
      <c r="A38" s="18" t="s">
        <v>732</v>
      </c>
      <c r="D38" s="41" t="s">
        <v>49</v>
      </c>
    </row>
    <row r="39" spans="1:4" x14ac:dyDescent="0.2">
      <c r="A39" s="9" t="s">
        <v>733</v>
      </c>
    </row>
    <row r="40" spans="1:4" x14ac:dyDescent="0.2">
      <c r="A40" s="47" t="s">
        <v>734</v>
      </c>
    </row>
    <row r="42" spans="1:4" x14ac:dyDescent="0.2">
      <c r="A42" s="18" t="s">
        <v>735</v>
      </c>
    </row>
    <row r="43" spans="1:4" x14ac:dyDescent="0.2">
      <c r="A43" s="47" t="s">
        <v>51</v>
      </c>
    </row>
  </sheetData>
  <mergeCells count="2">
    <mergeCell ref="A1:E1"/>
    <mergeCell ref="A22:E22"/>
  </mergeCells>
  <conditionalFormatting sqref="E5:E10 E13:E19">
    <cfRule type="cellIs" dxfId="2" priority="1" stopIfTrue="1" operator="between">
      <formula>0.009</formula>
      <formula>-0.009</formula>
    </cfRule>
  </conditionalFormatting>
  <hyperlinks>
    <hyperlink ref="A43" r:id="rId1" xr:uid="{00000000-0004-0000-3500-000000000000}"/>
    <hyperlink ref="A40" r:id="rId2" xr:uid="{00000000-0004-0000-35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43"/>
  <sheetViews>
    <sheetView workbookViewId="0">
      <selection sqref="A1:E1"/>
    </sheetView>
  </sheetViews>
  <sheetFormatPr defaultColWidth="9.109375" defaultRowHeight="10.199999999999999" x14ac:dyDescent="0.2"/>
  <cols>
    <col min="1" max="1" width="31.6640625" style="9" bestFit="1" customWidth="1"/>
    <col min="2" max="2" width="50.6640625" style="9" customWidth="1"/>
    <col min="3" max="3" width="24.6640625" style="9" bestFit="1" customWidth="1"/>
    <col min="4" max="4" width="18.6640625" style="10" customWidth="1"/>
    <col min="5" max="5" width="13.5546875" style="13" customWidth="1"/>
    <col min="6" max="16384" width="9.109375" style="9"/>
  </cols>
  <sheetData>
    <row r="1" spans="1:8" s="1" customFormat="1" ht="13.8" x14ac:dyDescent="0.2">
      <c r="A1" s="75" t="s">
        <v>30</v>
      </c>
      <c r="B1" s="76"/>
      <c r="C1" s="76"/>
      <c r="D1" s="76"/>
      <c r="E1" s="76"/>
    </row>
    <row r="2" spans="1:8" s="1" customFormat="1" ht="11.4" x14ac:dyDescent="0.2">
      <c r="D2" s="6"/>
      <c r="E2" s="7"/>
    </row>
    <row r="3" spans="1:8" s="1" customFormat="1" ht="12" x14ac:dyDescent="0.2">
      <c r="A3" s="11" t="s">
        <v>7</v>
      </c>
      <c r="B3" s="2"/>
      <c r="C3" s="3"/>
      <c r="D3" s="4"/>
      <c r="E3" s="5"/>
    </row>
    <row r="4" spans="1:8" s="1" customFormat="1" ht="25.5" customHeight="1" x14ac:dyDescent="0.2">
      <c r="A4" s="8" t="s">
        <v>2</v>
      </c>
      <c r="B4" s="8" t="s">
        <v>0</v>
      </c>
      <c r="C4" s="16" t="s">
        <v>1</v>
      </c>
      <c r="D4" s="48" t="s">
        <v>3</v>
      </c>
      <c r="E4" s="15" t="s">
        <v>4</v>
      </c>
    </row>
    <row r="5" spans="1:8" x14ac:dyDescent="0.2">
      <c r="A5" s="21" t="s">
        <v>37</v>
      </c>
      <c r="B5" s="22"/>
      <c r="C5" s="23"/>
      <c r="D5" s="24"/>
      <c r="E5" s="25"/>
    </row>
    <row r="6" spans="1:8" ht="20.399999999999999" x14ac:dyDescent="0.2">
      <c r="A6" s="27" t="s">
        <v>724</v>
      </c>
      <c r="B6" s="53" t="s">
        <v>723</v>
      </c>
      <c r="C6" s="31">
        <v>5248149.3600000003</v>
      </c>
      <c r="D6" s="29">
        <v>46534.32748</v>
      </c>
      <c r="E6" s="30">
        <v>46.295820382510101</v>
      </c>
    </row>
    <row r="7" spans="1:8" ht="20.399999999999999" x14ac:dyDescent="0.2">
      <c r="A7" s="27" t="s">
        <v>703</v>
      </c>
      <c r="B7" s="53" t="s">
        <v>752</v>
      </c>
      <c r="C7" s="31">
        <v>490939.08899999998</v>
      </c>
      <c r="D7" s="29">
        <v>10706.601919999999</v>
      </c>
      <c r="E7" s="30">
        <v>10.6517262897673</v>
      </c>
    </row>
    <row r="8" spans="1:8" ht="20.399999999999999" x14ac:dyDescent="0.2">
      <c r="A8" s="27" t="s">
        <v>705</v>
      </c>
      <c r="B8" s="53" t="s">
        <v>704</v>
      </c>
      <c r="C8" s="31">
        <v>1370528.45</v>
      </c>
      <c r="D8" s="29">
        <v>0</v>
      </c>
      <c r="E8" s="29">
        <v>0</v>
      </c>
    </row>
    <row r="9" spans="1:8" ht="20.399999999999999" x14ac:dyDescent="0.2">
      <c r="A9" s="27" t="s">
        <v>707</v>
      </c>
      <c r="B9" s="53" t="s">
        <v>706</v>
      </c>
      <c r="C9" s="31">
        <v>1235134.5419999999</v>
      </c>
      <c r="D9" s="29">
        <v>0</v>
      </c>
      <c r="E9" s="29">
        <v>0</v>
      </c>
    </row>
    <row r="10" spans="1:8" x14ac:dyDescent="0.2">
      <c r="A10" s="26" t="s">
        <v>35</v>
      </c>
      <c r="B10" s="26"/>
      <c r="C10" s="32"/>
      <c r="D10" s="33">
        <f>SUM(D6:D9)</f>
        <v>57240.929400000001</v>
      </c>
      <c r="E10" s="34">
        <f>SUM(E6:E9)</f>
        <v>56.947546672277397</v>
      </c>
      <c r="F10" s="18"/>
      <c r="G10" s="18"/>
      <c r="H10" s="18"/>
    </row>
    <row r="11" spans="1:8" x14ac:dyDescent="0.2">
      <c r="A11" s="27"/>
      <c r="B11" s="27"/>
      <c r="C11" s="28"/>
      <c r="D11" s="29"/>
      <c r="E11" s="30"/>
    </row>
    <row r="12" spans="1:8" x14ac:dyDescent="0.2">
      <c r="A12" s="26" t="s">
        <v>38</v>
      </c>
      <c r="B12" s="26"/>
      <c r="C12" s="32"/>
      <c r="D12" s="33">
        <f>D10</f>
        <v>57240.929400000001</v>
      </c>
      <c r="E12" s="34">
        <f>E10</f>
        <v>56.947546672277397</v>
      </c>
      <c r="F12" s="18"/>
      <c r="G12" s="18"/>
      <c r="H12" s="18"/>
    </row>
    <row r="13" spans="1:8" x14ac:dyDescent="0.2">
      <c r="A13" s="26"/>
      <c r="B13" s="26"/>
      <c r="C13" s="32"/>
      <c r="D13" s="33"/>
      <c r="E13" s="34"/>
      <c r="F13" s="18"/>
      <c r="G13" s="18"/>
      <c r="H13" s="18"/>
    </row>
    <row r="14" spans="1:8" x14ac:dyDescent="0.2">
      <c r="A14" s="26" t="s">
        <v>40</v>
      </c>
      <c r="B14" s="26"/>
      <c r="C14" s="32"/>
      <c r="D14" s="33">
        <f>D16-(D10)</f>
        <v>43274.251226500004</v>
      </c>
      <c r="E14" s="34">
        <f>E16-(E10)</f>
        <v>43.052453327722603</v>
      </c>
      <c r="F14" s="18"/>
      <c r="G14" s="18"/>
      <c r="H14" s="18"/>
    </row>
    <row r="15" spans="1:8" x14ac:dyDescent="0.2">
      <c r="A15" s="26"/>
      <c r="B15" s="26"/>
      <c r="C15" s="32"/>
      <c r="D15" s="33"/>
      <c r="E15" s="34"/>
      <c r="F15" s="18"/>
      <c r="G15" s="18"/>
      <c r="H15" s="18"/>
    </row>
    <row r="16" spans="1:8" x14ac:dyDescent="0.2">
      <c r="A16" s="35" t="s">
        <v>39</v>
      </c>
      <c r="B16" s="35"/>
      <c r="C16" s="36"/>
      <c r="D16" s="37">
        <v>100515.18062650001</v>
      </c>
      <c r="E16" s="38">
        <v>100</v>
      </c>
      <c r="F16" s="18"/>
      <c r="G16" s="18"/>
      <c r="H16" s="18"/>
    </row>
    <row r="18" spans="1:5" x14ac:dyDescent="0.2">
      <c r="A18" s="18" t="s">
        <v>753</v>
      </c>
      <c r="C18" s="10"/>
      <c r="D18" s="13"/>
      <c r="E18" s="14"/>
    </row>
    <row r="19" spans="1:5" ht="25.5" customHeight="1" x14ac:dyDescent="0.3">
      <c r="A19" s="83" t="s">
        <v>754</v>
      </c>
      <c r="B19" s="82"/>
      <c r="C19" s="82"/>
      <c r="D19" s="82"/>
      <c r="E19" s="82"/>
    </row>
    <row r="21" spans="1:5" x14ac:dyDescent="0.2">
      <c r="A21" s="18" t="s">
        <v>42</v>
      </c>
    </row>
    <row r="22" spans="1:5" x14ac:dyDescent="0.2">
      <c r="A22" s="18" t="s">
        <v>43</v>
      </c>
    </row>
    <row r="23" spans="1:5" x14ac:dyDescent="0.2">
      <c r="A23" s="18" t="s">
        <v>44</v>
      </c>
      <c r="B23" s="18"/>
      <c r="C23" s="39" t="s">
        <v>46</v>
      </c>
      <c r="D23" s="41" t="s">
        <v>45</v>
      </c>
    </row>
    <row r="24" spans="1:5" x14ac:dyDescent="0.2">
      <c r="A24" s="9" t="s">
        <v>70</v>
      </c>
      <c r="C24" s="40">
        <v>76.746600000000001</v>
      </c>
      <c r="D24" s="40">
        <v>91.601299999999995</v>
      </c>
    </row>
    <row r="25" spans="1:5" x14ac:dyDescent="0.2">
      <c r="A25" s="9" t="s">
        <v>76</v>
      </c>
      <c r="C25" s="40">
        <v>29.264099999999999</v>
      </c>
      <c r="D25" s="40">
        <v>33.295000000000002</v>
      </c>
    </row>
    <row r="26" spans="1:5" x14ac:dyDescent="0.2">
      <c r="A26" s="9" t="s">
        <v>73</v>
      </c>
      <c r="C26" s="40">
        <v>82.997699999999995</v>
      </c>
      <c r="D26" s="40">
        <v>99.604200000000006</v>
      </c>
    </row>
    <row r="27" spans="1:5" x14ac:dyDescent="0.2">
      <c r="A27" s="9" t="s">
        <v>77</v>
      </c>
      <c r="C27" s="40">
        <v>32.6629</v>
      </c>
      <c r="D27" s="40">
        <v>37.560200000000002</v>
      </c>
    </row>
    <row r="29" spans="1:5" x14ac:dyDescent="0.2">
      <c r="A29" s="18" t="s">
        <v>48</v>
      </c>
    </row>
    <row r="30" spans="1:5" x14ac:dyDescent="0.2">
      <c r="A30" s="77" t="s">
        <v>67</v>
      </c>
      <c r="B30" s="78"/>
      <c r="C30" s="44" t="s">
        <v>68</v>
      </c>
    </row>
    <row r="31" spans="1:5" x14ac:dyDescent="0.2">
      <c r="A31" s="73" t="s">
        <v>76</v>
      </c>
      <c r="B31" s="74"/>
      <c r="C31" s="45">
        <v>1.5</v>
      </c>
    </row>
    <row r="32" spans="1:5" x14ac:dyDescent="0.2">
      <c r="A32" s="73" t="s">
        <v>77</v>
      </c>
      <c r="B32" s="74"/>
      <c r="C32" s="45">
        <v>1.5</v>
      </c>
    </row>
    <row r="33" spans="1:4" x14ac:dyDescent="0.2">
      <c r="A33" s="9" t="s">
        <v>69</v>
      </c>
    </row>
    <row r="34" spans="1:4" x14ac:dyDescent="0.2">
      <c r="A34" s="9" t="s">
        <v>47</v>
      </c>
    </row>
    <row r="36" spans="1:4" x14ac:dyDescent="0.2">
      <c r="A36" s="18" t="s">
        <v>226</v>
      </c>
      <c r="D36" s="46">
        <v>9.4600000000000004E-2</v>
      </c>
    </row>
    <row r="38" spans="1:4" x14ac:dyDescent="0.2">
      <c r="A38" s="18" t="s">
        <v>732</v>
      </c>
      <c r="D38" s="41" t="s">
        <v>49</v>
      </c>
    </row>
    <row r="39" spans="1:4" x14ac:dyDescent="0.2">
      <c r="A39" s="9" t="s">
        <v>733</v>
      </c>
    </row>
    <row r="40" spans="1:4" x14ac:dyDescent="0.2">
      <c r="A40" s="47" t="s">
        <v>734</v>
      </c>
    </row>
    <row r="42" spans="1:4" x14ac:dyDescent="0.2">
      <c r="A42" s="18" t="s">
        <v>735</v>
      </c>
    </row>
    <row r="43" spans="1:4" x14ac:dyDescent="0.2">
      <c r="A43" s="47" t="s">
        <v>51</v>
      </c>
    </row>
  </sheetData>
  <mergeCells count="5">
    <mergeCell ref="A1:E1"/>
    <mergeCell ref="A30:B30"/>
    <mergeCell ref="A31:B31"/>
    <mergeCell ref="A32:B32"/>
    <mergeCell ref="A19:E19"/>
  </mergeCells>
  <conditionalFormatting sqref="E5:E7 E10:E16">
    <cfRule type="cellIs" dxfId="1" priority="2" stopIfTrue="1" operator="between">
      <formula>0.009</formula>
      <formula>-0.009</formula>
    </cfRule>
  </conditionalFormatting>
  <conditionalFormatting sqref="E18">
    <cfRule type="cellIs" dxfId="0" priority="1" stopIfTrue="1" operator="between">
      <formula>0.009</formula>
      <formula>-0.009</formula>
    </cfRule>
  </conditionalFormatting>
  <hyperlinks>
    <hyperlink ref="A43" r:id="rId1" xr:uid="{00000000-0004-0000-3600-000000000000}"/>
    <hyperlink ref="A40" r:id="rId2" xr:uid="{00000000-0004-0000-3600-000001000000}"/>
  </hyperlinks>
  <pageMargins left="0.7" right="0.7" top="0.75" bottom="0.75" header="0.3" footer="0.3"/>
  <pageSetup paperSize="9" orientation="portrait" r:id="rId3"/>
  <headerFooter>
    <oddFooter>&amp;C&amp;1#&amp;"Calibri"&amp;10&amp;K000000PUBLIC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FILF</vt:lpstr>
      <vt:lpstr>FIONF</vt:lpstr>
      <vt:lpstr>FISF</vt:lpstr>
      <vt:lpstr>FIFRF</vt:lpstr>
      <vt:lpstr>FICDF</vt:lpstr>
      <vt:lpstr>FBPF</vt:lpstr>
      <vt:lpstr>FIGSF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FIPP</vt:lpstr>
      <vt:lpstr>FIDHY</vt:lpstr>
      <vt:lpstr>FIDA</vt:lpstr>
      <vt:lpstr>FILDF</vt:lpstr>
      <vt:lpstr>FIUBF</vt:lpstr>
      <vt:lpstr>FISTIP</vt:lpstr>
      <vt:lpstr>FIIOF</vt:lpstr>
      <vt:lpstr>FICRF</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31 May 2021</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2021-06-09T05:31:28Z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2021-06-08T15:20:24Z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c57437d4-d30b-4e9b-bb07-43b1b83699da</vt:lpwstr>
  </property>
  <property fmtid="{D5CDD505-2E9C-101B-9397-08002B2CF9AE}" pid="10" name="MSIP_Label_3486a02c-2dfb-4efe-823f-aa2d1f0e6ab7_ContentBits">
    <vt:lpwstr>2</vt:lpwstr>
  </property>
  <property fmtid="{D5CDD505-2E9C-101B-9397-08002B2CF9AE}" pid="11" name="Classification">
    <vt:lpwstr>PUBLIC</vt:lpwstr>
  </property>
</Properties>
</file>