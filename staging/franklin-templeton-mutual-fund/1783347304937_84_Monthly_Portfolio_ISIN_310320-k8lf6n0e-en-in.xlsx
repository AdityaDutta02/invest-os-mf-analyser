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 defaultThemeVersion="124226"/>
  <xr:revisionPtr revIDLastSave="0" documentId="13_ncr:1_{9A56FADE-8B15-45E9-A3E3-682991F77B8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IUBF" sheetId="70" r:id="rId1"/>
    <sheet name="FISTIP" sheetId="71" r:id="rId2"/>
    <sheet name="FISF" sheetId="72" r:id="rId3"/>
    <sheet name="FILDF" sheetId="73" r:id="rId4"/>
    <sheet name="FIIOF" sheetId="74" r:id="rId5"/>
    <sheet name="FIGSF" sheetId="75" r:id="rId6"/>
    <sheet name="FIFRF" sheetId="76" r:id="rId7"/>
    <sheet name="FIDA" sheetId="77" r:id="rId8"/>
    <sheet name="FICRF" sheetId="78" r:id="rId9"/>
    <sheet name="FICDF" sheetId="79" r:id="rId10"/>
    <sheet name="FBPF" sheetId="80" r:id="rId11"/>
    <sheet name="FIONF" sheetId="81" r:id="rId12"/>
    <sheet name="FILF" sheetId="82" r:id="rId13"/>
    <sheet name="FMPS6C" sheetId="83" r:id="rId14"/>
    <sheet name="FMPS5F" sheetId="84" r:id="rId15"/>
    <sheet name="FMPS5E" sheetId="85" r:id="rId16"/>
    <sheet name="FMPS5D" sheetId="86" r:id="rId17"/>
    <sheet name="FMPS5C" sheetId="87" r:id="rId18"/>
    <sheet name="FMPS5B" sheetId="88" r:id="rId19"/>
    <sheet name="FMPS5A" sheetId="89" r:id="rId20"/>
    <sheet name="FMPS4F" sheetId="90" r:id="rId21"/>
    <sheet name="FMPS4E" sheetId="91" r:id="rId22"/>
    <sheet name="FMPS4D" sheetId="92" r:id="rId23"/>
    <sheet name="FMPS4C" sheetId="93" r:id="rId24"/>
    <sheet name="FMPS4B" sheetId="94" r:id="rId25"/>
    <sheet name="FMPS4A" sheetId="95" r:id="rId26"/>
    <sheet name="FMPS3F" sheetId="96" r:id="rId27"/>
    <sheet name="FMPS3E" sheetId="97" r:id="rId28"/>
    <sheet name="FMPS3D" sheetId="98" r:id="rId29"/>
    <sheet name="FMPS3C" sheetId="99" r:id="rId30"/>
    <sheet name="FMPS3B" sheetId="100" r:id="rId31"/>
    <sheet name="FMPS3A" sheetId="101" r:id="rId32"/>
    <sheet name="FMPS2C" sheetId="102" r:id="rId33"/>
    <sheet name="FMPS2B" sheetId="103" r:id="rId34"/>
    <sheet name="FMPS2A" sheetId="104" r:id="rId35"/>
    <sheet name="FMPS1B" sheetId="105" r:id="rId36"/>
    <sheet name="FMPS1A" sheetId="106" r:id="rId37"/>
    <sheet name="FIPP" sheetId="107" r:id="rId38"/>
    <sheet name="FIDHY" sheetId="108" r:id="rId39"/>
    <sheet name="FIESF" sheetId="109" r:id="rId40"/>
    <sheet name="FIEHF" sheetId="110" r:id="rId41"/>
    <sheet name="FIPF" sheetId="51" r:id="rId42"/>
    <sheet name="TIVF" sheetId="47" r:id="rId43"/>
    <sheet name="TIEIF" sheetId="48" r:id="rId44"/>
    <sheet name="FITF" sheetId="49" r:id="rId45"/>
    <sheet name="FISCF" sheetId="50" r:id="rId46"/>
    <sheet name="FIOF" sheetId="52" r:id="rId47"/>
    <sheet name="FIFEF" sheetId="53" r:id="rId48"/>
    <sheet name="FIEF" sheetId="54" r:id="rId49"/>
    <sheet name="FIEAF" sheetId="55" r:id="rId50"/>
    <sheet name="FIBF" sheetId="56" r:id="rId51"/>
    <sheet name="FBIF" sheetId="57" r:id="rId52"/>
    <sheet name="FAEF" sheetId="58" r:id="rId53"/>
    <sheet name="FIIF-NSE" sheetId="59" r:id="rId54"/>
    <sheet name="FITX" sheetId="60" r:id="rId55"/>
    <sheet name="FIUS" sheetId="61" r:id="rId56"/>
    <sheet name="FEGF" sheetId="62" r:id="rId57"/>
    <sheet name="FIMAS" sheetId="63" r:id="rId58"/>
    <sheet name="FIFOF-50's+" sheetId="64" r:id="rId59"/>
    <sheet name="FIFOF-50's" sheetId="65" r:id="rId60"/>
    <sheet name="FIFOF-40's" sheetId="66" r:id="rId61"/>
    <sheet name="FIFOF-30's" sheetId="67" r:id="rId62"/>
    <sheet name="FIFOF-20's" sheetId="68" r:id="rId63"/>
    <sheet name="FF" sheetId="69" r:id="rId64"/>
  </sheets>
  <definedNames>
    <definedName name="_xlnm.Print_Area" localSheetId="52">FAEF!$A$1:$F$80</definedName>
    <definedName name="_xlnm.Print_Area" localSheetId="51">FBIF!$A$1:$F$66</definedName>
    <definedName name="_xlnm.Print_Area" localSheetId="10">FBPF!$A$1:$F$88</definedName>
    <definedName name="_xlnm.Print_Area" localSheetId="56">FEGF!$A$1:$E$24</definedName>
    <definedName name="_xlnm.Print_Area" localSheetId="63">FF!$A$1:$E$35</definedName>
    <definedName name="_xlnm.Print_Area" localSheetId="50">FIBF!$A$1:$F$59</definedName>
    <definedName name="_xlnm.Print_Area" localSheetId="9">FICDF!$A$1:$F$136</definedName>
    <definedName name="_xlnm.Print_Area" localSheetId="8">FICRF!$A$1:$F$226</definedName>
    <definedName name="_xlnm.Print_Area" localSheetId="7">FIDA!$A$1:$F$219</definedName>
    <definedName name="_xlnm.Print_Area" localSheetId="38">FIDHY!$A$1:$F$128</definedName>
    <definedName name="_xlnm.Print_Area" localSheetId="49">FIEAF!$A$1:$F$79</definedName>
    <definedName name="_xlnm.Print_Area" localSheetId="48">FIEF!$A$1:$F$99</definedName>
    <definedName name="_xlnm.Print_Area" localSheetId="40">FIEHF!$A$1:$F$107</definedName>
    <definedName name="_xlnm.Print_Area" localSheetId="39">FIESF!$A$1:$G$92</definedName>
    <definedName name="_xlnm.Print_Area" localSheetId="47">FIFEF!$A$1:$F$55</definedName>
    <definedName name="_xlnm.Print_Area" localSheetId="62">'FIFOF-20''s'!$A$1:$E$39</definedName>
    <definedName name="_xlnm.Print_Area" localSheetId="61">'FIFOF-30''s'!$A$1:$E$39</definedName>
    <definedName name="_xlnm.Print_Area" localSheetId="60">'FIFOF-40''s'!$A$1:$E$39</definedName>
    <definedName name="_xlnm.Print_Area" localSheetId="59">'FIFOF-50''s'!$A$1:$E$38</definedName>
    <definedName name="_xlnm.Print_Area" localSheetId="58">'FIFOF-50''s+'!$A$1:$E$34</definedName>
    <definedName name="_xlnm.Print_Area" localSheetId="6">FIFRF!$A$1:$F$61</definedName>
    <definedName name="_xlnm.Print_Area" localSheetId="5">FIGSF!$A$1:$F$36</definedName>
    <definedName name="_xlnm.Print_Area" localSheetId="53">'FIIF-NSE'!$A$1:$F$76</definedName>
    <definedName name="_xlnm.Print_Area" localSheetId="4">FIIOF!$A$1:$F$156</definedName>
    <definedName name="_xlnm.Print_Area" localSheetId="3">FILDF!$A$1:$F$175</definedName>
    <definedName name="_xlnm.Print_Area" localSheetId="12">FILF!$A$1:$F$102</definedName>
    <definedName name="_xlnm.Print_Area" localSheetId="57">FIMAS!$A$1:$E$30</definedName>
    <definedName name="_xlnm.Print_Area" localSheetId="46">FIOF!$A$1:$F$72</definedName>
    <definedName name="_xlnm.Print_Area" localSheetId="11">FIONF!$A$1:$F$29</definedName>
    <definedName name="_xlnm.Print_Area" localSheetId="41">FIPF!$A$1:$G$103</definedName>
    <definedName name="_xlnm.Print_Area" localSheetId="37">FIPP!$A$1:$F$97</definedName>
    <definedName name="_xlnm.Print_Area" localSheetId="45">FISCF!$A$1:$F$102</definedName>
    <definedName name="_xlnm.Print_Area" localSheetId="2">FISF!$A$1:$F$92</definedName>
    <definedName name="_xlnm.Print_Area" localSheetId="1">FISTIP!$A$1:$F$282</definedName>
    <definedName name="_xlnm.Print_Area" localSheetId="44">FITF!$A$1:$F$66</definedName>
    <definedName name="_xlnm.Print_Area" localSheetId="54">FITX!$A$1:$F$85</definedName>
    <definedName name="_xlnm.Print_Area" localSheetId="0">FIUBF!$A$1:$F$187</definedName>
    <definedName name="_xlnm.Print_Area" localSheetId="55">FIUS!$A$1:$E$24</definedName>
    <definedName name="_xlnm.Print_Area" localSheetId="36">FMPS1A!$A$1:$F$35</definedName>
    <definedName name="_xlnm.Print_Area" localSheetId="35">FMPS1B!$A$1:$F$44</definedName>
    <definedName name="_xlnm.Print_Area" localSheetId="34">FMPS2A!$A$1:$F$65</definedName>
    <definedName name="_xlnm.Print_Area" localSheetId="33">FMPS2B!$A$1:$F$63</definedName>
    <definedName name="_xlnm.Print_Area" localSheetId="32">FMPS2C!$A$1:$F$68</definedName>
    <definedName name="_xlnm.Print_Area" localSheetId="31">FMPS3A!$A$1:$F$60</definedName>
    <definedName name="_xlnm.Print_Area" localSheetId="30">FMPS3B!$A$1:$F$58</definedName>
    <definedName name="_xlnm.Print_Area" localSheetId="29">FMPS3C!$A$1:$F$63</definedName>
    <definedName name="_xlnm.Print_Area" localSheetId="28">FMPS3D!$A$1:$F$56</definedName>
    <definedName name="_xlnm.Print_Area" localSheetId="27">FMPS3E!$A$1:$F$64</definedName>
    <definedName name="_xlnm.Print_Area" localSheetId="26">FMPS3F!$A$1:$F$55</definedName>
    <definedName name="_xlnm.Print_Area" localSheetId="25">FMPS4A!$A$1:$F$59</definedName>
    <definedName name="_xlnm.Print_Area" localSheetId="24">FMPS4B!$A$1:$F$59</definedName>
    <definedName name="_xlnm.Print_Area" localSheetId="23">FMPS4C!$A$1:$F$53</definedName>
    <definedName name="_xlnm.Print_Area" localSheetId="22">FMPS4D!$A$1:$F$50</definedName>
    <definedName name="_xlnm.Print_Area" localSheetId="21">FMPS4E!$A$1:$F$54</definedName>
    <definedName name="_xlnm.Print_Area" localSheetId="20">FMPS4F!$A$1:$F$55</definedName>
    <definedName name="_xlnm.Print_Area" localSheetId="19">FMPS5A!$A$1:$F$47</definedName>
    <definedName name="_xlnm.Print_Area" localSheetId="18">FMPS5B!$A$1:$F$48</definedName>
    <definedName name="_xlnm.Print_Area" localSheetId="17">FMPS5C!$A$1:$F$52</definedName>
    <definedName name="_xlnm.Print_Area" localSheetId="16">FMPS5D!$A$1:$F$47</definedName>
    <definedName name="_xlnm.Print_Area" localSheetId="15">FMPS5E!$A$1:$F$48</definedName>
    <definedName name="_xlnm.Print_Area" localSheetId="14">FMPS5F!$A$1:$F$49</definedName>
    <definedName name="_xlnm.Print_Area" localSheetId="13">FMPS6C!$A$1:$F$46</definedName>
    <definedName name="_xlnm.Print_Area" localSheetId="43">TIEIF!$A$1:$F$87</definedName>
    <definedName name="_xlnm.Print_Area" localSheetId="42">TIVF!$A$1:$F$73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7" i="67" l="1"/>
  <c r="E17" i="67"/>
  <c r="F203" i="78" l="1"/>
  <c r="E203" i="78"/>
  <c r="E205" i="78" s="1"/>
  <c r="F170" i="78"/>
  <c r="E170" i="78"/>
  <c r="E174" i="78" s="1"/>
  <c r="F136" i="78"/>
  <c r="E136" i="78"/>
  <c r="E140" i="78" s="1"/>
  <c r="F197" i="77"/>
  <c r="E197" i="77"/>
  <c r="E199" i="77" s="1"/>
  <c r="F163" i="77"/>
  <c r="E163" i="77"/>
  <c r="E167" i="77" s="1"/>
  <c r="F129" i="77"/>
  <c r="F131" i="77" s="1"/>
  <c r="E129" i="77"/>
  <c r="E133" i="77"/>
  <c r="F133" i="74"/>
  <c r="E133" i="74"/>
  <c r="E137" i="74"/>
  <c r="F100" i="74"/>
  <c r="E100" i="74"/>
  <c r="E104" i="74" s="1"/>
  <c r="F150" i="73"/>
  <c r="E150" i="73"/>
  <c r="E154" i="73"/>
  <c r="F114" i="73"/>
  <c r="F116" i="73"/>
  <c r="E114" i="73"/>
  <c r="E118" i="73" s="1"/>
  <c r="F255" i="71"/>
  <c r="F259" i="71" s="1"/>
  <c r="E255" i="71"/>
  <c r="E257" i="71" s="1"/>
  <c r="F216" i="71"/>
  <c r="E216" i="71"/>
  <c r="E218" i="71"/>
  <c r="E220" i="71"/>
  <c r="F178" i="71"/>
  <c r="F180" i="71" s="1"/>
  <c r="E178" i="71"/>
  <c r="E182" i="71"/>
  <c r="F157" i="70"/>
  <c r="F159" i="70"/>
  <c r="E157" i="70"/>
  <c r="E159" i="70"/>
  <c r="F104" i="108"/>
  <c r="F106" i="108"/>
  <c r="E104" i="108"/>
  <c r="E106" i="108"/>
  <c r="G67" i="51"/>
  <c r="D98" i="51" s="1"/>
  <c r="G48" i="109"/>
  <c r="D85" i="109" s="1"/>
  <c r="E12" i="65"/>
  <c r="E16" i="65"/>
  <c r="D12" i="65"/>
  <c r="D16" i="65" s="1"/>
  <c r="E13" i="67"/>
  <c r="D13" i="67"/>
  <c r="D15" i="67" s="1"/>
  <c r="E13" i="68"/>
  <c r="E15" i="68" s="1"/>
  <c r="D13" i="68"/>
  <c r="D17" i="68" s="1"/>
  <c r="E10" i="69"/>
  <c r="E14" i="69" s="1"/>
  <c r="D10" i="69"/>
  <c r="D14" i="69"/>
  <c r="F78" i="110"/>
  <c r="E78" i="110"/>
  <c r="F74" i="110"/>
  <c r="E74" i="110"/>
  <c r="F69" i="110"/>
  <c r="E69" i="110"/>
  <c r="F51" i="110"/>
  <c r="E51" i="110"/>
  <c r="F47" i="110"/>
  <c r="E47" i="110"/>
  <c r="F42" i="110"/>
  <c r="F80" i="110" s="1"/>
  <c r="E42" i="110"/>
  <c r="E82" i="110" s="1"/>
  <c r="F59" i="109"/>
  <c r="F64" i="109" s="1"/>
  <c r="E59" i="109"/>
  <c r="F53" i="109"/>
  <c r="E53" i="109"/>
  <c r="E61" i="109"/>
  <c r="F48" i="109"/>
  <c r="E48" i="109"/>
  <c r="F58" i="108"/>
  <c r="F62" i="108" s="1"/>
  <c r="E58" i="108"/>
  <c r="F53" i="108"/>
  <c r="E53" i="108"/>
  <c r="E62" i="108"/>
  <c r="F34" i="108"/>
  <c r="E34" i="108"/>
  <c r="E60" i="108"/>
  <c r="F70" i="107"/>
  <c r="E70" i="107"/>
  <c r="F64" i="107"/>
  <c r="E64" i="107"/>
  <c r="F60" i="107"/>
  <c r="E60" i="107"/>
  <c r="F39" i="107"/>
  <c r="F72" i="107" s="1"/>
  <c r="E39" i="107"/>
  <c r="E72" i="107" s="1"/>
  <c r="F12" i="106"/>
  <c r="F14" i="106" s="1"/>
  <c r="E12" i="106"/>
  <c r="F8" i="106"/>
  <c r="F16" i="106" s="1"/>
  <c r="E8" i="106"/>
  <c r="E14" i="106" s="1"/>
  <c r="F17" i="105"/>
  <c r="E17" i="105"/>
  <c r="F13" i="105"/>
  <c r="F21" i="105" s="1"/>
  <c r="E13" i="105"/>
  <c r="F8" i="105"/>
  <c r="E8" i="105"/>
  <c r="E19" i="105" s="1"/>
  <c r="F36" i="104"/>
  <c r="F38" i="104" s="1"/>
  <c r="E36" i="104"/>
  <c r="F31" i="104"/>
  <c r="E31" i="104"/>
  <c r="F26" i="104"/>
  <c r="F40" i="104" s="1"/>
  <c r="E26" i="104"/>
  <c r="E40" i="104" s="1"/>
  <c r="F37" i="103"/>
  <c r="E37" i="103"/>
  <c r="F33" i="103"/>
  <c r="F41" i="103" s="1"/>
  <c r="E33" i="103"/>
  <c r="F28" i="103"/>
  <c r="E28" i="103"/>
  <c r="E39" i="103" s="1"/>
  <c r="F23" i="103"/>
  <c r="F39" i="103" s="1"/>
  <c r="E23" i="103"/>
  <c r="E41" i="103"/>
  <c r="F40" i="102"/>
  <c r="E40" i="102"/>
  <c r="F36" i="102"/>
  <c r="E36" i="102"/>
  <c r="E42" i="102" s="1"/>
  <c r="F31" i="102"/>
  <c r="E31" i="102"/>
  <c r="F25" i="102"/>
  <c r="F42" i="102"/>
  <c r="E25" i="102"/>
  <c r="F36" i="101"/>
  <c r="E36" i="101"/>
  <c r="F32" i="101"/>
  <c r="E32" i="101"/>
  <c r="F27" i="101"/>
  <c r="E27" i="101"/>
  <c r="E38" i="101" s="1"/>
  <c r="F21" i="101"/>
  <c r="F40" i="101"/>
  <c r="E21" i="101"/>
  <c r="E40" i="101" s="1"/>
  <c r="F33" i="100"/>
  <c r="E33" i="100"/>
  <c r="F28" i="100"/>
  <c r="E28" i="100"/>
  <c r="E37" i="100"/>
  <c r="F23" i="100"/>
  <c r="F35" i="100"/>
  <c r="E23" i="100"/>
  <c r="F34" i="99"/>
  <c r="E34" i="99"/>
  <c r="E38" i="99" s="1"/>
  <c r="F29" i="99"/>
  <c r="E29" i="99"/>
  <c r="F24" i="99"/>
  <c r="F38" i="99" s="1"/>
  <c r="E24" i="99"/>
  <c r="E36" i="99" s="1"/>
  <c r="F29" i="98"/>
  <c r="E29" i="98"/>
  <c r="F24" i="98"/>
  <c r="F33" i="98" s="1"/>
  <c r="E24" i="98"/>
  <c r="F19" i="98"/>
  <c r="F31" i="98" s="1"/>
  <c r="E19" i="98"/>
  <c r="E31" i="98" s="1"/>
  <c r="F36" i="97"/>
  <c r="E36" i="97"/>
  <c r="F32" i="97"/>
  <c r="E32" i="97"/>
  <c r="F27" i="97"/>
  <c r="E27" i="97"/>
  <c r="E40" i="97" s="1"/>
  <c r="F21" i="97"/>
  <c r="F38" i="97"/>
  <c r="E21" i="97"/>
  <c r="E38" i="97"/>
  <c r="F35" i="96"/>
  <c r="E35" i="96"/>
  <c r="F30" i="96"/>
  <c r="F39" i="96" s="1"/>
  <c r="E30" i="96"/>
  <c r="F25" i="96"/>
  <c r="F37" i="96" s="1"/>
  <c r="E25" i="96"/>
  <c r="E39" i="96" s="1"/>
  <c r="F32" i="95"/>
  <c r="E32" i="95"/>
  <c r="F27" i="95"/>
  <c r="E27" i="95"/>
  <c r="F23" i="95"/>
  <c r="F34" i="95" s="1"/>
  <c r="F36" i="95"/>
  <c r="E23" i="95"/>
  <c r="E36" i="95"/>
  <c r="F34" i="94"/>
  <c r="E34" i="94"/>
  <c r="E36" i="94" s="1"/>
  <c r="F29" i="94"/>
  <c r="F36" i="94"/>
  <c r="E29" i="94"/>
  <c r="F25" i="94"/>
  <c r="F38" i="94"/>
  <c r="E25" i="94"/>
  <c r="F27" i="93"/>
  <c r="E27" i="93"/>
  <c r="F22" i="93"/>
  <c r="F31" i="93" s="1"/>
  <c r="E22" i="93"/>
  <c r="E29" i="93" s="1"/>
  <c r="F26" i="92"/>
  <c r="F28" i="92" s="1"/>
  <c r="E26" i="92"/>
  <c r="F21" i="92"/>
  <c r="E21" i="92"/>
  <c r="E30" i="92" s="1"/>
  <c r="F16" i="92"/>
  <c r="F30" i="92" s="1"/>
  <c r="E16" i="92"/>
  <c r="F28" i="91"/>
  <c r="E28" i="91"/>
  <c r="F23" i="91"/>
  <c r="E23" i="91"/>
  <c r="F19" i="91"/>
  <c r="F30" i="91" s="1"/>
  <c r="E19" i="91"/>
  <c r="E30" i="91" s="1"/>
  <c r="E32" i="91"/>
  <c r="F26" i="90"/>
  <c r="E26" i="90"/>
  <c r="E30" i="90" s="1"/>
  <c r="F22" i="90"/>
  <c r="F28" i="90"/>
  <c r="E22" i="90"/>
  <c r="E28" i="90"/>
  <c r="F18" i="89"/>
  <c r="F22" i="89" s="1"/>
  <c r="E18" i="89"/>
  <c r="E20" i="89" s="1"/>
  <c r="F23" i="88"/>
  <c r="F25" i="88" s="1"/>
  <c r="E23" i="88"/>
  <c r="E27" i="88" s="1"/>
  <c r="F23" i="87"/>
  <c r="F27" i="87" s="1"/>
  <c r="E23" i="87"/>
  <c r="E25" i="87" s="1"/>
  <c r="F20" i="86"/>
  <c r="F22" i="86" s="1"/>
  <c r="E20" i="86"/>
  <c r="E24" i="86" s="1"/>
  <c r="F19" i="85"/>
  <c r="F21" i="85" s="1"/>
  <c r="E19" i="85"/>
  <c r="E21" i="85" s="1"/>
  <c r="F20" i="84"/>
  <c r="F22" i="84" s="1"/>
  <c r="F24" i="84"/>
  <c r="E20" i="84"/>
  <c r="E22" i="84" s="1"/>
  <c r="E24" i="84"/>
  <c r="F21" i="83"/>
  <c r="F23" i="83" s="1"/>
  <c r="F25" i="83"/>
  <c r="E21" i="83"/>
  <c r="E23" i="83" s="1"/>
  <c r="E25" i="83"/>
  <c r="F54" i="82"/>
  <c r="F58" i="82" s="1"/>
  <c r="E54" i="82"/>
  <c r="F26" i="82"/>
  <c r="E26" i="82"/>
  <c r="E58" i="82" s="1"/>
  <c r="F13" i="82"/>
  <c r="F56" i="82" s="1"/>
  <c r="E13" i="82"/>
  <c r="F63" i="80"/>
  <c r="E63" i="80"/>
  <c r="F59" i="80"/>
  <c r="E59" i="80"/>
  <c r="E67" i="80"/>
  <c r="F54" i="80"/>
  <c r="E54" i="80"/>
  <c r="F91" i="79"/>
  <c r="E91" i="79"/>
  <c r="F87" i="79"/>
  <c r="E87" i="79"/>
  <c r="F83" i="79"/>
  <c r="E83" i="79"/>
  <c r="F78" i="79"/>
  <c r="E78" i="79"/>
  <c r="F72" i="79"/>
  <c r="E72" i="79"/>
  <c r="E95" i="79" s="1"/>
  <c r="F94" i="78"/>
  <c r="E94" i="78"/>
  <c r="F68" i="78"/>
  <c r="F98" i="78" s="1"/>
  <c r="E68" i="78"/>
  <c r="E96" i="78" s="1"/>
  <c r="F87" i="77"/>
  <c r="E87" i="77"/>
  <c r="F55" i="77"/>
  <c r="E55" i="77"/>
  <c r="E89" i="77" s="1"/>
  <c r="F31" i="76"/>
  <c r="E31" i="76"/>
  <c r="F26" i="76"/>
  <c r="E26" i="76"/>
  <c r="F20" i="76"/>
  <c r="E20" i="76"/>
  <c r="E35" i="76" s="1"/>
  <c r="F9" i="75"/>
  <c r="F13" i="75" s="1"/>
  <c r="E9" i="75"/>
  <c r="E11" i="75"/>
  <c r="F59" i="74"/>
  <c r="F61" i="74"/>
  <c r="E59" i="74"/>
  <c r="F39" i="74"/>
  <c r="E39" i="74"/>
  <c r="E61" i="74"/>
  <c r="F69" i="73"/>
  <c r="E69" i="73"/>
  <c r="F63" i="73"/>
  <c r="E63" i="73"/>
  <c r="F44" i="73"/>
  <c r="F73" i="73"/>
  <c r="E44" i="73"/>
  <c r="F52" i="72"/>
  <c r="F54" i="72" s="1"/>
  <c r="E52" i="72"/>
  <c r="F27" i="72"/>
  <c r="E27" i="72"/>
  <c r="E54" i="72" s="1"/>
  <c r="F127" i="71"/>
  <c r="E127" i="71"/>
  <c r="E129" i="71" s="1"/>
  <c r="F82" i="71"/>
  <c r="F131" i="71" s="1"/>
  <c r="E82" i="71"/>
  <c r="E131" i="71" s="1"/>
  <c r="F105" i="70"/>
  <c r="E105" i="70"/>
  <c r="F98" i="70"/>
  <c r="F109" i="70"/>
  <c r="E98" i="70"/>
  <c r="F75" i="70"/>
  <c r="E75" i="70"/>
  <c r="E107" i="70" s="1"/>
  <c r="E13" i="66"/>
  <c r="E17" i="66" s="1"/>
  <c r="D13" i="66"/>
  <c r="D17" i="66" s="1"/>
  <c r="E8" i="64"/>
  <c r="E10" i="64" s="1"/>
  <c r="D8" i="64"/>
  <c r="D12" i="64" s="1"/>
  <c r="E11" i="63"/>
  <c r="E15" i="63"/>
  <c r="D11" i="63"/>
  <c r="D13" i="63"/>
  <c r="D15" i="63"/>
  <c r="E6" i="62"/>
  <c r="E10" i="62" s="1"/>
  <c r="D6" i="62"/>
  <c r="D8" i="62" s="1"/>
  <c r="E6" i="61"/>
  <c r="E10" i="61" s="1"/>
  <c r="D6" i="61"/>
  <c r="D8" i="61" s="1"/>
  <c r="F59" i="60"/>
  <c r="F63" i="60" s="1"/>
  <c r="E59" i="60"/>
  <c r="F53" i="60"/>
  <c r="E53" i="60"/>
  <c r="F57" i="59"/>
  <c r="F61" i="59" s="1"/>
  <c r="E57" i="59"/>
  <c r="E59" i="59" s="1"/>
  <c r="F57" i="58"/>
  <c r="F61" i="58" s="1"/>
  <c r="E57" i="58"/>
  <c r="E61" i="58" s="1"/>
  <c r="F19" i="58"/>
  <c r="F59" i="58" s="1"/>
  <c r="E19" i="58"/>
  <c r="F43" i="57"/>
  <c r="F45" i="57" s="1"/>
  <c r="E43" i="57"/>
  <c r="E47" i="57" s="1"/>
  <c r="F36" i="56"/>
  <c r="F40" i="56"/>
  <c r="E36" i="56"/>
  <c r="E40" i="56"/>
  <c r="F58" i="55"/>
  <c r="F62" i="55"/>
  <c r="E58" i="55"/>
  <c r="E62" i="55"/>
  <c r="F66" i="54"/>
  <c r="E66" i="54"/>
  <c r="E70" i="54" s="1"/>
  <c r="F60" i="54"/>
  <c r="F70" i="54"/>
  <c r="E60" i="54"/>
  <c r="E68" i="54"/>
  <c r="F34" i="53"/>
  <c r="F38" i="53"/>
  <c r="E34" i="53"/>
  <c r="E38" i="53"/>
  <c r="F46" i="52"/>
  <c r="E46" i="52"/>
  <c r="F39" i="52"/>
  <c r="F48" i="52" s="1"/>
  <c r="E39" i="52"/>
  <c r="E48" i="52" s="1"/>
  <c r="F75" i="51"/>
  <c r="F80" i="51" s="1"/>
  <c r="E75" i="51"/>
  <c r="F71" i="51"/>
  <c r="E71" i="51"/>
  <c r="E77" i="51" s="1"/>
  <c r="F67" i="51"/>
  <c r="F77" i="51" s="1"/>
  <c r="E67" i="51"/>
  <c r="E80" i="51" s="1"/>
  <c r="F79" i="50"/>
  <c r="F83" i="50"/>
  <c r="E79" i="50"/>
  <c r="E83" i="50"/>
  <c r="F40" i="49"/>
  <c r="E40" i="49"/>
  <c r="F36" i="49"/>
  <c r="E36" i="49"/>
  <c r="F21" i="49"/>
  <c r="E21" i="49"/>
  <c r="F17" i="49"/>
  <c r="F44" i="49"/>
  <c r="E17" i="49"/>
  <c r="E42" i="49"/>
  <c r="F68" i="48"/>
  <c r="E68" i="48"/>
  <c r="F51" i="48"/>
  <c r="E51" i="48"/>
  <c r="F47" i="48"/>
  <c r="F72" i="48" s="1"/>
  <c r="F70" i="48"/>
  <c r="E47" i="48"/>
  <c r="E72" i="48" s="1"/>
  <c r="F48" i="47"/>
  <c r="F52" i="47" s="1"/>
  <c r="E48" i="47"/>
  <c r="E52" i="47" s="1"/>
  <c r="E13" i="63"/>
  <c r="E38" i="56"/>
  <c r="F38" i="56"/>
  <c r="E60" i="55"/>
  <c r="F60" i="55"/>
  <c r="E81" i="50"/>
  <c r="F42" i="49"/>
  <c r="E44" i="49"/>
  <c r="F36" i="53"/>
  <c r="F93" i="79"/>
  <c r="F56" i="72"/>
  <c r="E22" i="89"/>
  <c r="E27" i="87"/>
  <c r="E22" i="86"/>
  <c r="D10" i="61"/>
  <c r="E23" i="85"/>
  <c r="E56" i="82"/>
  <c r="E65" i="80"/>
  <c r="F172" i="78"/>
  <c r="E172" i="78"/>
  <c r="F89" i="77"/>
  <c r="F165" i="77"/>
  <c r="E131" i="77"/>
  <c r="E91" i="77"/>
  <c r="E102" i="74"/>
  <c r="E135" i="74"/>
  <c r="F135" i="74"/>
  <c r="E152" i="73"/>
  <c r="F257" i="71"/>
  <c r="F107" i="70"/>
  <c r="D12" i="69"/>
  <c r="E14" i="65"/>
  <c r="E12" i="64"/>
  <c r="D10" i="62"/>
  <c r="F68" i="54"/>
  <c r="E36" i="53"/>
  <c r="F50" i="52"/>
  <c r="F81" i="50"/>
  <c r="E80" i="110"/>
  <c r="F95" i="79"/>
  <c r="E34" i="95"/>
  <c r="F20" i="89"/>
  <c r="E116" i="73"/>
  <c r="F63" i="74"/>
  <c r="F102" i="74"/>
  <c r="E63" i="74"/>
  <c r="E61" i="60"/>
  <c r="F61" i="60"/>
  <c r="E59" i="58"/>
  <c r="E63" i="60"/>
  <c r="D14" i="65"/>
  <c r="E15" i="66"/>
  <c r="E17" i="68"/>
  <c r="E15" i="67"/>
  <c r="E64" i="109"/>
  <c r="E13" i="75"/>
  <c r="E180" i="71"/>
  <c r="F218" i="71"/>
  <c r="E98" i="78"/>
  <c r="F30" i="90"/>
  <c r="E31" i="93"/>
  <c r="F40" i="97"/>
  <c r="F37" i="100"/>
  <c r="E35" i="100"/>
  <c r="F38" i="101"/>
  <c r="F44" i="102"/>
  <c r="E44" i="102"/>
  <c r="F60" i="108"/>
  <c r="F129" i="71"/>
  <c r="E38" i="94" l="1"/>
  <c r="F19" i="105"/>
  <c r="F32" i="91"/>
  <c r="E93" i="79"/>
  <c r="E138" i="78"/>
  <c r="E8" i="62"/>
  <c r="F50" i="47"/>
  <c r="E50" i="52"/>
  <c r="F47" i="57"/>
  <c r="E61" i="59"/>
  <c r="E71" i="73"/>
  <c r="E37" i="96"/>
  <c r="F36" i="99"/>
  <c r="E21" i="105"/>
  <c r="E74" i="107"/>
  <c r="E45" i="57"/>
  <c r="D10" i="64"/>
  <c r="E109" i="70"/>
  <c r="E56" i="72"/>
  <c r="F33" i="76"/>
  <c r="F29" i="93"/>
  <c r="E33" i="98"/>
  <c r="E38" i="104"/>
  <c r="F61" i="109"/>
  <c r="F82" i="110"/>
  <c r="E12" i="69"/>
  <c r="E259" i="71"/>
  <c r="E207" i="78"/>
  <c r="E28" i="92"/>
  <c r="E16" i="106"/>
  <c r="E50" i="47"/>
  <c r="F74" i="107"/>
  <c r="D15" i="66"/>
  <c r="F152" i="73"/>
  <c r="E8" i="61"/>
  <c r="E70" i="48"/>
  <c r="F59" i="59"/>
  <c r="F71" i="73"/>
  <c r="E33" i="76"/>
  <c r="F91" i="77"/>
  <c r="F96" i="78"/>
  <c r="F65" i="80"/>
  <c r="F24" i="86"/>
  <c r="D15" i="68"/>
  <c r="E73" i="73"/>
  <c r="F11" i="75"/>
  <c r="F35" i="76"/>
  <c r="E165" i="77"/>
  <c r="E201" i="77"/>
  <c r="F199" i="77"/>
  <c r="F138" i="78"/>
  <c r="F205" i="78"/>
  <c r="F67" i="80"/>
  <c r="F23" i="85"/>
  <c r="F25" i="87"/>
  <c r="F27" i="88"/>
  <c r="E25" i="88"/>
</calcChain>
</file>

<file path=xl/sharedStrings.xml><?xml version="1.0" encoding="utf-8"?>
<sst xmlns="http://schemas.openxmlformats.org/spreadsheetml/2006/main" count="9076" uniqueCount="1899">
  <si>
    <t>Name of the Instrument</t>
  </si>
  <si>
    <t>Quantity</t>
  </si>
  <si>
    <t>ISIN Number</t>
  </si>
  <si>
    <t>% to Net Assets</t>
  </si>
  <si>
    <t>Portfolio Statement as on March 31, 2020</t>
  </si>
  <si>
    <t>Templeton India Equity Income Fund</t>
  </si>
  <si>
    <t>Franklin India Technology Fund</t>
  </si>
  <si>
    <t>Franklin India Smaller Companies Fund</t>
  </si>
  <si>
    <t>Franklin India Prima Fund</t>
  </si>
  <si>
    <t>Franklin India Opportunities Fund</t>
  </si>
  <si>
    <t>Franklin India Equity Fund</t>
  </si>
  <si>
    <t>Franklin India Bluechip Fund</t>
  </si>
  <si>
    <t>Franklin Build India Fund</t>
  </si>
  <si>
    <t>Franklin Asian Equity Fund</t>
  </si>
  <si>
    <t>Franklin India TAXSHIELD</t>
  </si>
  <si>
    <t>Franklin India Feeder - Franklin U.S. Opportunities Fund</t>
  </si>
  <si>
    <t>Franklin India Feeder - Franklin European Growth Fund</t>
  </si>
  <si>
    <t>Franklin India Multi-Asset Solution Fund</t>
  </si>
  <si>
    <t>Franklin India Life Stage Fund Of Funds - 50's Plus Floating Rate Plan</t>
  </si>
  <si>
    <t>Franklin India Life Stage Fund Of Funds - 50's Plus Plan</t>
  </si>
  <si>
    <t>Franklin India Life Stage Fund Of Funds - 40's Plan</t>
  </si>
  <si>
    <t>Franklin India Life Stage Fund Of Funds - 30's Plan</t>
  </si>
  <si>
    <t>Franklin India Life Stage Fund Of Funds - 20's Plan</t>
  </si>
  <si>
    <t>(a) Listed / awaiting listing on Stock Exchanges</t>
  </si>
  <si>
    <t>Sub Total</t>
  </si>
  <si>
    <t>Total</t>
  </si>
  <si>
    <t>Net Assets</t>
  </si>
  <si>
    <t>Call, Cash &amp; Other Assets</t>
  </si>
  <si>
    <t>Notes</t>
  </si>
  <si>
    <t>a) NAV at the beginning and at the end of the Half-year ended 31-Mar-2020</t>
  </si>
  <si>
    <t xml:space="preserve">      Plan/Option</t>
  </si>
  <si>
    <t>As on 31-Mar-2020</t>
  </si>
  <si>
    <t>As on 30-Sep-2019</t>
  </si>
  <si>
    <t>Plan Name</t>
  </si>
  <si>
    <t>Individuals/HUF</t>
  </si>
  <si>
    <t>Others</t>
  </si>
  <si>
    <t>Nil</t>
  </si>
  <si>
    <t>* Less than 0.01%</t>
  </si>
  <si>
    <t xml:space="preserve">      Growth Plan</t>
  </si>
  <si>
    <t xml:space="preserve">      Direct Growth Plan</t>
  </si>
  <si>
    <t xml:space="preserve">      Dividend Plan</t>
  </si>
  <si>
    <t xml:space="preserve">      Direct Dividend Plan</t>
  </si>
  <si>
    <t xml:space="preserve">      Growth Option</t>
  </si>
  <si>
    <t xml:space="preserve">      Direct Growth Option</t>
  </si>
  <si>
    <t>Mutual Fund Units</t>
  </si>
  <si>
    <t>Equity &amp; Equity related</t>
  </si>
  <si>
    <t>HDFC Bank Ltd</t>
  </si>
  <si>
    <t>INE040A01034</t>
  </si>
  <si>
    <t>Banks</t>
  </si>
  <si>
    <t>Bharti Airtel Ltd</t>
  </si>
  <si>
    <t>INE397D01024</t>
  </si>
  <si>
    <t>Telecom - Services</t>
  </si>
  <si>
    <t>Dr. Reddy's Laboratories Ltd</t>
  </si>
  <si>
    <t>INE089A01023</t>
  </si>
  <si>
    <t>Pharmaceuticals</t>
  </si>
  <si>
    <t>Axis Bank Ltd</t>
  </si>
  <si>
    <t>INE238A01034</t>
  </si>
  <si>
    <t>Infosys Ltd</t>
  </si>
  <si>
    <t>INE009A01021</t>
  </si>
  <si>
    <t>Software</t>
  </si>
  <si>
    <t>Kotak Mahindra Bank Ltd</t>
  </si>
  <si>
    <t>INE237A01028</t>
  </si>
  <si>
    <t>ICICI Bank Ltd</t>
  </si>
  <si>
    <t>INE090A01021</t>
  </si>
  <si>
    <t>Grasim Industries Ltd</t>
  </si>
  <si>
    <t>INE047A01021</t>
  </si>
  <si>
    <t>Cement</t>
  </si>
  <si>
    <t>Petronet LNG Ltd</t>
  </si>
  <si>
    <t>INE347G01014</t>
  </si>
  <si>
    <t>Gas</t>
  </si>
  <si>
    <t>Colgate Palmolive (India) Ltd</t>
  </si>
  <si>
    <t>INE259A01022</t>
  </si>
  <si>
    <t>Consumer Non Durables</t>
  </si>
  <si>
    <t>Balkrishna Industries Ltd</t>
  </si>
  <si>
    <t>INE787D01026</t>
  </si>
  <si>
    <t>Auto Ancillaries</t>
  </si>
  <si>
    <t>Hindustan Petroleum Corporation Ltd</t>
  </si>
  <si>
    <t>INE094A01015</t>
  </si>
  <si>
    <t>Petroleum Products</t>
  </si>
  <si>
    <t>Gujarat State Petronet Ltd</t>
  </si>
  <si>
    <t>INE246F01010</t>
  </si>
  <si>
    <t>Voltas Ltd</t>
  </si>
  <si>
    <t>INE226A01021</t>
  </si>
  <si>
    <t>Consumer Durables</t>
  </si>
  <si>
    <t>Hindalco Industries Ltd</t>
  </si>
  <si>
    <t>INE038A01020</t>
  </si>
  <si>
    <t>Non - Ferrous Metals</t>
  </si>
  <si>
    <t>Kansai Nerolac Paints Ltd</t>
  </si>
  <si>
    <t>INE531A01024</t>
  </si>
  <si>
    <t>Power Grid Corporation of India Ltd</t>
  </si>
  <si>
    <t>INE752E01010</t>
  </si>
  <si>
    <t>Power</t>
  </si>
  <si>
    <t>Tata Steel Ltd</t>
  </si>
  <si>
    <t>INE081A01012</t>
  </si>
  <si>
    <t>Ferrous Metals</t>
  </si>
  <si>
    <t>Cadila Healthcare Ltd</t>
  </si>
  <si>
    <t>INE010B01027</t>
  </si>
  <si>
    <t>Mahindra &amp; Mahindra Ltd</t>
  </si>
  <si>
    <t>INE101A01026</t>
  </si>
  <si>
    <t>Auto</t>
  </si>
  <si>
    <t>NTPC Ltd</t>
  </si>
  <si>
    <t>INE733E01010</t>
  </si>
  <si>
    <t>State Bank of India</t>
  </si>
  <si>
    <t>INE062A01020</t>
  </si>
  <si>
    <t>United Breweries Ltd</t>
  </si>
  <si>
    <t>INE686F01025</t>
  </si>
  <si>
    <t>Bharat Petroleum Corporation Ltd</t>
  </si>
  <si>
    <t>INE029A01011</t>
  </si>
  <si>
    <t>Cummins India Ltd</t>
  </si>
  <si>
    <t>INE298A01020</t>
  </si>
  <si>
    <t>Industrial Products</t>
  </si>
  <si>
    <t>Aditya Birla Fashion and Retail Ltd</t>
  </si>
  <si>
    <t>INE647O01011</t>
  </si>
  <si>
    <t>Retailing</t>
  </si>
  <si>
    <t>Bajaj Auto Ltd</t>
  </si>
  <si>
    <t>INE917I01010</t>
  </si>
  <si>
    <t>Jagran Prakashan Ltd</t>
  </si>
  <si>
    <t>INE199G01027</t>
  </si>
  <si>
    <t>Media &amp; Entertainment</t>
  </si>
  <si>
    <t>TVS Motor Co Ltd</t>
  </si>
  <si>
    <t>INE494B01023</t>
  </si>
  <si>
    <t>Karur Vysya Bank Ltd</t>
  </si>
  <si>
    <t>INE036D01028</t>
  </si>
  <si>
    <t>Tata Motors Ltd</t>
  </si>
  <si>
    <t>INE155A01022</t>
  </si>
  <si>
    <t>Coal India Ltd</t>
  </si>
  <si>
    <t>INE522F01014</t>
  </si>
  <si>
    <t>Minerals/Mining</t>
  </si>
  <si>
    <t>Hindustan Unilever Ltd</t>
  </si>
  <si>
    <t>INE030A01027</t>
  </si>
  <si>
    <t>Housing Development Finance Corporation Ltd</t>
  </si>
  <si>
    <t>INE001A01036</t>
  </si>
  <si>
    <t>Finance</t>
  </si>
  <si>
    <t>Bajaj Finance Ltd</t>
  </si>
  <si>
    <t>INE296A01024</t>
  </si>
  <si>
    <t>Asian Paints Ltd</t>
  </si>
  <si>
    <t>INE021A01026</t>
  </si>
  <si>
    <t>NHPC Ltd</t>
  </si>
  <si>
    <t>INE848E01016</t>
  </si>
  <si>
    <t>Cholamandalam Financial Holdings Ltd</t>
  </si>
  <si>
    <t>INE149A01033</t>
  </si>
  <si>
    <t>Larsen &amp; Toubro Ltd</t>
  </si>
  <si>
    <t>INE018A01030</t>
  </si>
  <si>
    <t>Construction Project</t>
  </si>
  <si>
    <t>Ultratech Cement Ltd</t>
  </si>
  <si>
    <t>INE481G01011</t>
  </si>
  <si>
    <t>Tata Power Co Ltd</t>
  </si>
  <si>
    <t>INE245A01021</t>
  </si>
  <si>
    <t>Dabur India Ltd</t>
  </si>
  <si>
    <t>INE016A01026</t>
  </si>
  <si>
    <t>Tech Mahindra Ltd</t>
  </si>
  <si>
    <t>INE669C01036</t>
  </si>
  <si>
    <t>ITC Ltd</t>
  </si>
  <si>
    <t>INE154A01025</t>
  </si>
  <si>
    <t>Nestle India Ltd</t>
  </si>
  <si>
    <t>INE239A01016</t>
  </si>
  <si>
    <t>Indian Oil Corporation Ltd</t>
  </si>
  <si>
    <t>INE242A01010</t>
  </si>
  <si>
    <t>Ambuja Cements Ltd</t>
  </si>
  <si>
    <t>INE079A01024</t>
  </si>
  <si>
    <t>Indian Hotels Co Ltd</t>
  </si>
  <si>
    <t>INE053A01029</t>
  </si>
  <si>
    <t>Hotels/ Resorts And Other Recreational Activities</t>
  </si>
  <si>
    <t>Himatsingka Seide Ltd</t>
  </si>
  <si>
    <t>INE049A01027</t>
  </si>
  <si>
    <t>Textile Products</t>
  </si>
  <si>
    <t>Mahindra CIE Automotive Ltd</t>
  </si>
  <si>
    <t>INE536H01010</t>
  </si>
  <si>
    <t>GAIL (India) Ltd</t>
  </si>
  <si>
    <t>INE129A01019</t>
  </si>
  <si>
    <t>PNB Housing Finance Ltd</t>
  </si>
  <si>
    <t>INE572E01012</t>
  </si>
  <si>
    <t>Apollo Hospitals Enterprise Ltd</t>
  </si>
  <si>
    <t>INE437A01024</t>
  </si>
  <si>
    <t>Healthcare Services</t>
  </si>
  <si>
    <t>c) Portfolio Turnover Ratio during the Half - year 31-Mar-2020</t>
  </si>
  <si>
    <t>Titan Co Ltd</t>
  </si>
  <si>
    <t>INE280A01028</t>
  </si>
  <si>
    <t>Apollo Tyres Ltd</t>
  </si>
  <si>
    <t>INE438A01022</t>
  </si>
  <si>
    <t>INE671B01018</t>
  </si>
  <si>
    <t>Embassy Office Parks REIT</t>
  </si>
  <si>
    <t>INE041025011</t>
  </si>
  <si>
    <t>HCL Technologies Ltd</t>
  </si>
  <si>
    <t>INE860A01027</t>
  </si>
  <si>
    <t>Tata Motors Ltd DVR</t>
  </si>
  <si>
    <t>IN9155A01020</t>
  </si>
  <si>
    <t>Tata Consumer Products Ltd</t>
  </si>
  <si>
    <t>INE192A01025</t>
  </si>
  <si>
    <t>Hero MotoCorp Ltd</t>
  </si>
  <si>
    <t>INE158A01026</t>
  </si>
  <si>
    <t>Oil &amp; Natural Gas Corporation Ltd</t>
  </si>
  <si>
    <t>INE213A01029</t>
  </si>
  <si>
    <t>Oil</t>
  </si>
  <si>
    <t>Bharat Electronics Ltd</t>
  </si>
  <si>
    <t>INE263A01024</t>
  </si>
  <si>
    <t>Industrial Capital Goods</t>
  </si>
  <si>
    <t>J.K. Cement Ltd</t>
  </si>
  <si>
    <t>INE823G01014</t>
  </si>
  <si>
    <t>Tata Chemicals Ltd</t>
  </si>
  <si>
    <t>INE092A01019</t>
  </si>
  <si>
    <t>Chemicals</t>
  </si>
  <si>
    <t>Tata Investment Corporation Ltd</t>
  </si>
  <si>
    <t>INE672A01018</t>
  </si>
  <si>
    <t>Federal Bank Ltd</t>
  </si>
  <si>
    <t>INE171A01029</t>
  </si>
  <si>
    <t>Emami Ltd</t>
  </si>
  <si>
    <t>INE548C01032</t>
  </si>
  <si>
    <t>Vedanta Ltd</t>
  </si>
  <si>
    <t>INE205A01025</t>
  </si>
  <si>
    <t>Finolex Cables Ltd</t>
  </si>
  <si>
    <t>INE235A01022</t>
  </si>
  <si>
    <t>Gujarat Pipavav Port Ltd</t>
  </si>
  <si>
    <t>INE517F01014</t>
  </si>
  <si>
    <t>Transportation</t>
  </si>
  <si>
    <t>Equitas Holdings Ltd</t>
  </si>
  <si>
    <t>INE988K01017</t>
  </si>
  <si>
    <t>SBI Life Insurance Co Ltd</t>
  </si>
  <si>
    <t>INE123W01016</t>
  </si>
  <si>
    <t>Container Corporation Of India Ltd</t>
  </si>
  <si>
    <t>INE111A01025</t>
  </si>
  <si>
    <t>Cyient Ltd</t>
  </si>
  <si>
    <t>INE136B01020</t>
  </si>
  <si>
    <t>Redington (India) Ltd</t>
  </si>
  <si>
    <t>INE891D01026</t>
  </si>
  <si>
    <t>Century Textile &amp; Industries Ltd</t>
  </si>
  <si>
    <t>INE055A01016</t>
  </si>
  <si>
    <t>Paper</t>
  </si>
  <si>
    <t>Vardhman Textiles Ltd</t>
  </si>
  <si>
    <t>INE825A01012</t>
  </si>
  <si>
    <t>Textiles - Cotton</t>
  </si>
  <si>
    <t>eClerx Services Ltd</t>
  </si>
  <si>
    <t>INE738I01010</t>
  </si>
  <si>
    <t>IndusInd Bank Ltd</t>
  </si>
  <si>
    <t>INE095A01012</t>
  </si>
  <si>
    <t>Industry Classification</t>
  </si>
  <si>
    <t>Finolex Industries Ltd</t>
  </si>
  <si>
    <t>INE183A01016</t>
  </si>
  <si>
    <t>National Aluminium Co Ltd</t>
  </si>
  <si>
    <t>INE139A01034</t>
  </si>
  <si>
    <t>Biocon Ltd</t>
  </si>
  <si>
    <t>INE376G01013</t>
  </si>
  <si>
    <t>Sundaram Clayton Ltd</t>
  </si>
  <si>
    <t>INE105A01035</t>
  </si>
  <si>
    <t>Dalmia Bharat Ltd</t>
  </si>
  <si>
    <t>INE00R701025</t>
  </si>
  <si>
    <t>K.P.R. Mill Ltd</t>
  </si>
  <si>
    <t>INE930H01023</t>
  </si>
  <si>
    <t>NMDC Ltd</t>
  </si>
  <si>
    <t>INE584A01023</t>
  </si>
  <si>
    <t>Ashok Leyland Ltd</t>
  </si>
  <si>
    <t>INE208A01029</t>
  </si>
  <si>
    <t>CESC Ltd</t>
  </si>
  <si>
    <t>INE486A01013</t>
  </si>
  <si>
    <t>(b) Units of Real Eastate Investment Trusts (REITs)</t>
  </si>
  <si>
    <t>Foreign Equity Securities</t>
  </si>
  <si>
    <t>Xinyi Solar Holdings Ltd</t>
  </si>
  <si>
    <t>KYG9829N1025</t>
  </si>
  <si>
    <t>Stock Spirits Group Plc</t>
  </si>
  <si>
    <t>GB00BF5SDZ96</t>
  </si>
  <si>
    <t>Unilever Plc</t>
  </si>
  <si>
    <t>US9047677045</t>
  </si>
  <si>
    <t>Aramex Pjsc</t>
  </si>
  <si>
    <t>AEA002301017</t>
  </si>
  <si>
    <t>Travelsky Technology Ltd</t>
  </si>
  <si>
    <t>CNE1000004J3</t>
  </si>
  <si>
    <t>Xtep International Holdings Ltd</t>
  </si>
  <si>
    <t>KYG982771092</t>
  </si>
  <si>
    <t>Novatek Microelectronics Corp</t>
  </si>
  <si>
    <t>TW0003034005</t>
  </si>
  <si>
    <t>Semiconductors</t>
  </si>
  <si>
    <t>Cosco Shipping Ports Ltd</t>
  </si>
  <si>
    <t>BMG2442N1048</t>
  </si>
  <si>
    <t>Medy-Tox Inc</t>
  </si>
  <si>
    <t>KR7086900008</t>
  </si>
  <si>
    <t>Luye Pharma Group Ltd</t>
  </si>
  <si>
    <t>BMG570071099</t>
  </si>
  <si>
    <t>Mahle-Metal Leve Sa</t>
  </si>
  <si>
    <t>BRLEVEACNOR2</t>
  </si>
  <si>
    <t>Tisco Financial Group Pcl</t>
  </si>
  <si>
    <t>TH0999010Z11</t>
  </si>
  <si>
    <t>Primax Electronics Ltd</t>
  </si>
  <si>
    <t>TW0004915004</t>
  </si>
  <si>
    <t>Hardware</t>
  </si>
  <si>
    <t>Fanhua Inc</t>
  </si>
  <si>
    <t>US30712A1034</t>
  </si>
  <si>
    <t>Tata Consultancy Services Ltd</t>
  </si>
  <si>
    <t>INE467B01029</t>
  </si>
  <si>
    <t>Info Edge (India) Ltd</t>
  </si>
  <si>
    <t>INE663F01024</t>
  </si>
  <si>
    <t>Larsen &amp; Toubro Infotech Ltd</t>
  </si>
  <si>
    <t>INE214T01019</t>
  </si>
  <si>
    <t>Hexaware Technologies Ltd</t>
  </si>
  <si>
    <t>INE093A01033</t>
  </si>
  <si>
    <t>Vodafone Idea Ltd</t>
  </si>
  <si>
    <t>INE669E01016</t>
  </si>
  <si>
    <t>Cognizant Technology Solutions Corp</t>
  </si>
  <si>
    <t>US1924461023</t>
  </si>
  <si>
    <t>Taiwan Semiconductor Manufacturing Co Ltd</t>
  </si>
  <si>
    <t>TW0002330008</t>
  </si>
  <si>
    <t>Samsung Electronics Co Ltd</t>
  </si>
  <si>
    <t>KR7005930003</t>
  </si>
  <si>
    <t>Twitter INC</t>
  </si>
  <si>
    <t>US90184L1026</t>
  </si>
  <si>
    <t>Amazon.com INC</t>
  </si>
  <si>
    <t>US0231351067</t>
  </si>
  <si>
    <t>Nvidia Corp</t>
  </si>
  <si>
    <t>US67066G1040</t>
  </si>
  <si>
    <t>QUALCOMM Inc</t>
  </si>
  <si>
    <t>US7475251036</t>
  </si>
  <si>
    <t>Telecom -  Equipment &amp; Accessories</t>
  </si>
  <si>
    <t>Alphabet Inc</t>
  </si>
  <si>
    <t>US02079K3059</t>
  </si>
  <si>
    <t>Sunny Optical Technology Group Co Ltd</t>
  </si>
  <si>
    <t>KYG8586D1097</t>
  </si>
  <si>
    <t>Microsoft Corp</t>
  </si>
  <si>
    <t>US5949181045</t>
  </si>
  <si>
    <t>Apple Inc</t>
  </si>
  <si>
    <t>US0378331005</t>
  </si>
  <si>
    <t>Makemytrip Ltd</t>
  </si>
  <si>
    <t>MU0295S00016</t>
  </si>
  <si>
    <t>Foreign Mutual Fund Units</t>
  </si>
  <si>
    <t>LU0626261944</t>
  </si>
  <si>
    <t>Foreign Mutual Fund</t>
  </si>
  <si>
    <t>Deepak Nitrite Ltd</t>
  </si>
  <si>
    <t>INE288B01029</t>
  </si>
  <si>
    <t>J.B. Chemicals &amp; Pharmaceuticals Ltd</t>
  </si>
  <si>
    <t>INE572A01028</t>
  </si>
  <si>
    <t>Nesco Ltd</t>
  </si>
  <si>
    <t>INE317F01035</t>
  </si>
  <si>
    <t>Commercial Services</t>
  </si>
  <si>
    <t>Brigade Enterprises Ltd</t>
  </si>
  <si>
    <t>INE791I01019</t>
  </si>
  <si>
    <t>Construction</t>
  </si>
  <si>
    <t>Atul Ltd</t>
  </si>
  <si>
    <t>INE100A01010</t>
  </si>
  <si>
    <t>Jyothy Labs Ltd</t>
  </si>
  <si>
    <t>INE668F01031</t>
  </si>
  <si>
    <t>CCL Products (India) Ltd</t>
  </si>
  <si>
    <t>INE421D01022</t>
  </si>
  <si>
    <t>Eris Lifesciences Ltd</t>
  </si>
  <si>
    <t>INE406M01024</t>
  </si>
  <si>
    <t>Blue Star Ltd</t>
  </si>
  <si>
    <t>INE472A01039</t>
  </si>
  <si>
    <t>Gulf Oil Lubricants India Ltd</t>
  </si>
  <si>
    <t>INE635Q01029</t>
  </si>
  <si>
    <t>TTK Prestige Ltd</t>
  </si>
  <si>
    <t>INE690A01010</t>
  </si>
  <si>
    <t>Kajaria Ceramics Ltd</t>
  </si>
  <si>
    <t>INE217B01036</t>
  </si>
  <si>
    <t>Rallis India Ltd</t>
  </si>
  <si>
    <t>INE613A01020</t>
  </si>
  <si>
    <t>Pesticides</t>
  </si>
  <si>
    <t>Navneet Education Ltd</t>
  </si>
  <si>
    <t>INE060A01024</t>
  </si>
  <si>
    <t>DCB Bank Ltd</t>
  </si>
  <si>
    <t>INE503A01015</t>
  </si>
  <si>
    <t>Schaeffler India Ltd</t>
  </si>
  <si>
    <t>INE513A01014</t>
  </si>
  <si>
    <t>Teamlease Services Ltd</t>
  </si>
  <si>
    <t>INE985S01024</t>
  </si>
  <si>
    <t>Carborundum Universal Ltd</t>
  </si>
  <si>
    <t>INE120A01034</t>
  </si>
  <si>
    <t>Dr. Lal Path Labs Ltd</t>
  </si>
  <si>
    <t>INE600L01024</t>
  </si>
  <si>
    <t>Ahluwalia Contracts (India) Ltd</t>
  </si>
  <si>
    <t>INE758C01029</t>
  </si>
  <si>
    <t>City Union Bank Ltd</t>
  </si>
  <si>
    <t>INE491A01021</t>
  </si>
  <si>
    <t>KNR Constructions Ltd</t>
  </si>
  <si>
    <t>INE634I01029</t>
  </si>
  <si>
    <t>Polycab India Ltd</t>
  </si>
  <si>
    <t>INE455K01017</t>
  </si>
  <si>
    <t>Lemon Tree Hotels Ltd</t>
  </si>
  <si>
    <t>INE970X01018</t>
  </si>
  <si>
    <t>Escorts Ltd</t>
  </si>
  <si>
    <t>INE042A01014</t>
  </si>
  <si>
    <t>Quess Corp Ltd</t>
  </si>
  <si>
    <t>INE615P01015</t>
  </si>
  <si>
    <t>Services</t>
  </si>
  <si>
    <t>V.I.P. Industries Ltd</t>
  </si>
  <si>
    <t>INE054A01027</t>
  </si>
  <si>
    <t>Techno Electric &amp; Engineering Co Ltd</t>
  </si>
  <si>
    <t>INE285K01026</t>
  </si>
  <si>
    <t>JK Lakshmi Cement Ltd</t>
  </si>
  <si>
    <t>INE786A01032</t>
  </si>
  <si>
    <t>TV Today Network Ltd</t>
  </si>
  <si>
    <t>INE038F01029</t>
  </si>
  <si>
    <t>Inox Leisure Ltd</t>
  </si>
  <si>
    <t>INE312H01016</t>
  </si>
  <si>
    <t>Sobha Ltd</t>
  </si>
  <si>
    <t>INE671H01015</t>
  </si>
  <si>
    <t>Repco Home Finance Ltd</t>
  </si>
  <si>
    <t>INE612J01015</t>
  </si>
  <si>
    <t>Music Broadcast Ltd</t>
  </si>
  <si>
    <t>INE919I01024</t>
  </si>
  <si>
    <t>Lakshmi Machine Works Ltd</t>
  </si>
  <si>
    <t>INE269B01029</t>
  </si>
  <si>
    <t>CARE Ratings Ltd</t>
  </si>
  <si>
    <t>INE752H01013</t>
  </si>
  <si>
    <t>GHCL Ltd</t>
  </si>
  <si>
    <t>INE539A01019</t>
  </si>
  <si>
    <t>LIC Housing Finance Ltd</t>
  </si>
  <si>
    <t>INE115A01026</t>
  </si>
  <si>
    <t>Tube Investments of India Ltd</t>
  </si>
  <si>
    <t>INE974X01010</t>
  </si>
  <si>
    <t>Himadri Speciality Chemical Ltd</t>
  </si>
  <si>
    <t>INE019C01026</t>
  </si>
  <si>
    <t>Ashoka Buildcon Ltd</t>
  </si>
  <si>
    <t>INE442H01029</t>
  </si>
  <si>
    <t>Gujarat Mineral Development Corporation Ltd</t>
  </si>
  <si>
    <t>INE131A01031</t>
  </si>
  <si>
    <t>HealthCare Global Enterprises Ltd</t>
  </si>
  <si>
    <t>INE075I01017</t>
  </si>
  <si>
    <t>Shankara Building Products Ltd</t>
  </si>
  <si>
    <t>INE274V01019</t>
  </si>
  <si>
    <t>Ramkrishna Forgings Ltd</t>
  </si>
  <si>
    <t>INE399G01015</t>
  </si>
  <si>
    <t>M M Forgings Ltd</t>
  </si>
  <si>
    <t>INE227C01017</t>
  </si>
  <si>
    <t>Narayana Hrudayalaya Ltd</t>
  </si>
  <si>
    <t>INE410P01011</t>
  </si>
  <si>
    <t>Sanghi Industries Ltd</t>
  </si>
  <si>
    <t>INE999B01013</t>
  </si>
  <si>
    <t>Banco Products (India) Ltd</t>
  </si>
  <si>
    <t>INE213C01025</t>
  </si>
  <si>
    <t>Pennar Industries Ltd</t>
  </si>
  <si>
    <t>INE932A01024</t>
  </si>
  <si>
    <t>HT Media Ltd</t>
  </si>
  <si>
    <t>INE501G01024</t>
  </si>
  <si>
    <t>Mahanagar Gas Ltd</t>
  </si>
  <si>
    <t>INE002S01010</t>
  </si>
  <si>
    <t>Arvind Fashions Ltd</t>
  </si>
  <si>
    <t>INE955V01021</t>
  </si>
  <si>
    <t>INE429I01024</t>
  </si>
  <si>
    <t>WABCO India Ltd</t>
  </si>
  <si>
    <t>INE342J01019</t>
  </si>
  <si>
    <t>Crompton Greaves Consumer Electricals Ltd</t>
  </si>
  <si>
    <t>INE299U01018</t>
  </si>
  <si>
    <t>The Ramco Cements Ltd</t>
  </si>
  <si>
    <t>INE331A01037</t>
  </si>
  <si>
    <t>Torrent Power Ltd</t>
  </si>
  <si>
    <t>INE813H01021</t>
  </si>
  <si>
    <t>Trent Ltd</t>
  </si>
  <si>
    <t>INE849A01020</t>
  </si>
  <si>
    <t>Aarti Industries Ltd</t>
  </si>
  <si>
    <t>INE769A01020</t>
  </si>
  <si>
    <t>SKF India Ltd</t>
  </si>
  <si>
    <t>INE640A01023</t>
  </si>
  <si>
    <t>Glaxosmithkline Consumer Healthcare Ltd</t>
  </si>
  <si>
    <t>INE264A01014</t>
  </si>
  <si>
    <t>Sundaram Finance Ltd</t>
  </si>
  <si>
    <t>INE660A01013</t>
  </si>
  <si>
    <t>Coromandel International Ltd</t>
  </si>
  <si>
    <t>INE169A01031</t>
  </si>
  <si>
    <t>Fertilisers</t>
  </si>
  <si>
    <t>Oberoi Realty Ltd</t>
  </si>
  <si>
    <t>INE093I01010</t>
  </si>
  <si>
    <t>Sanofi India Ltd</t>
  </si>
  <si>
    <t>INE058A01010</t>
  </si>
  <si>
    <t>AIA Engineering Ltd</t>
  </si>
  <si>
    <t>INE212H01026</t>
  </si>
  <si>
    <t>PI Industries Ltd</t>
  </si>
  <si>
    <t>INE603J01030</t>
  </si>
  <si>
    <t>RBL Bank Ltd</t>
  </si>
  <si>
    <t>INE976G01028</t>
  </si>
  <si>
    <t>Phoenix Mills Ltd</t>
  </si>
  <si>
    <t>INE211B01039</t>
  </si>
  <si>
    <t>Bharat Forge Ltd</t>
  </si>
  <si>
    <t>INE465A01025</t>
  </si>
  <si>
    <t>PVR Ltd</t>
  </si>
  <si>
    <t>INE191H01014</t>
  </si>
  <si>
    <t>Sundram Fasteners Ltd</t>
  </si>
  <si>
    <t>INE387A01021</t>
  </si>
  <si>
    <t>Bayer Cropscience Ltd</t>
  </si>
  <si>
    <t>INE462A01022</t>
  </si>
  <si>
    <t>Bata India Ltd</t>
  </si>
  <si>
    <t>INE176A01028</t>
  </si>
  <si>
    <t>CESC Ventures Ltd</t>
  </si>
  <si>
    <t>INE425Y01011</t>
  </si>
  <si>
    <t>The Anup Engineering Ltd</t>
  </si>
  <si>
    <t>INE294Z01018</t>
  </si>
  <si>
    <t>Sundaram Finance Holdings Ltd</t>
  </si>
  <si>
    <t>INE202Z01029</t>
  </si>
  <si>
    <t>Aarti Surfactants Ltd ##</t>
  </si>
  <si>
    <t>INE09EO01013</t>
  </si>
  <si>
    <t>Kalyani Invest Co Ltd</t>
  </si>
  <si>
    <t>INE029L01018</t>
  </si>
  <si>
    <t>Spicejet Ltd</t>
  </si>
  <si>
    <t>INE285B01017</t>
  </si>
  <si>
    <t>INE696201123</t>
  </si>
  <si>
    <t>Interglobe Aviation Ltd</t>
  </si>
  <si>
    <t>INE646L01027</t>
  </si>
  <si>
    <t>ACC Ltd</t>
  </si>
  <si>
    <t>INE012A01025</t>
  </si>
  <si>
    <t>Lupin Ltd</t>
  </si>
  <si>
    <t>INE326A01037</t>
  </si>
  <si>
    <t>KEI Industries Ltd</t>
  </si>
  <si>
    <t>INE878B01027</t>
  </si>
  <si>
    <t>Natco Pharma Ltd</t>
  </si>
  <si>
    <t>INE987B01026</t>
  </si>
  <si>
    <t>Orient Cement Ltd</t>
  </si>
  <si>
    <t>INE876N01018</t>
  </si>
  <si>
    <t>ITD Cementation India Ltd</t>
  </si>
  <si>
    <t>INE686A01026</t>
  </si>
  <si>
    <t>Somany Ceramics Ltd</t>
  </si>
  <si>
    <t>INE355A01028</t>
  </si>
  <si>
    <t>Marico Ltd</t>
  </si>
  <si>
    <t>INE196A01026</t>
  </si>
  <si>
    <t>United Spirits Ltd</t>
  </si>
  <si>
    <t>INE854D01024</t>
  </si>
  <si>
    <t>Sun Pharmaceutical Industries Ltd</t>
  </si>
  <si>
    <t>INE044A01036</t>
  </si>
  <si>
    <t>ICICI Prudential Life Insurance Co Ltd</t>
  </si>
  <si>
    <t>INE726G01019</t>
  </si>
  <si>
    <t>Reliance Industries Ltd</t>
  </si>
  <si>
    <t>INE002A01018</t>
  </si>
  <si>
    <t>Aditya Birla Capital Ltd</t>
  </si>
  <si>
    <t>INE674K01013</t>
  </si>
  <si>
    <t>Arvind Ltd</t>
  </si>
  <si>
    <t>INE034A01011</t>
  </si>
  <si>
    <t>CG Power and Industrial Solutions Ltd</t>
  </si>
  <si>
    <t>INE067A01029</t>
  </si>
  <si>
    <t>Thermax Ltd</t>
  </si>
  <si>
    <t>INE152A01029</t>
  </si>
  <si>
    <t>NRB Bearings Ltd</t>
  </si>
  <si>
    <t>INE349A01021</t>
  </si>
  <si>
    <t>Dish TV India Ltd</t>
  </si>
  <si>
    <t>INE836F01026</t>
  </si>
  <si>
    <t>Spencers Retail Ltd</t>
  </si>
  <si>
    <t>INE020801028</t>
  </si>
  <si>
    <t>Gateway Distriparks Ltd</t>
  </si>
  <si>
    <t>INE852F01015</t>
  </si>
  <si>
    <t>Puravankara Ltd</t>
  </si>
  <si>
    <t>INE323I01011</t>
  </si>
  <si>
    <t>The New India Assurance Co Ltd</t>
  </si>
  <si>
    <t>INE470Y01017</t>
  </si>
  <si>
    <t>Punjab National Bank</t>
  </si>
  <si>
    <t>INE160A01022</t>
  </si>
  <si>
    <t>Hindustan Media Vent Ltd</t>
  </si>
  <si>
    <t>INE871K01015</t>
  </si>
  <si>
    <t>Godrej Properties Ltd</t>
  </si>
  <si>
    <t>INE484J01027</t>
  </si>
  <si>
    <t>Motilal Oswal Financial Services Ltd</t>
  </si>
  <si>
    <t>INE338I01027</t>
  </si>
  <si>
    <t>Tencent Holdings Ltd</t>
  </si>
  <si>
    <t>KYG875721634</t>
  </si>
  <si>
    <t>Alibaba Group Holding Ltd</t>
  </si>
  <si>
    <t>US01609W1027</t>
  </si>
  <si>
    <t>AIA Group Ltd</t>
  </si>
  <si>
    <t>HK0000069689</t>
  </si>
  <si>
    <t>Ping An Insurance (Group) Company Of China Ltd</t>
  </si>
  <si>
    <t>CNE1000003X6</t>
  </si>
  <si>
    <t>Naver Corp</t>
  </si>
  <si>
    <t>KR7035420009</t>
  </si>
  <si>
    <t>Siam Cement Public Co Ltd (The)</t>
  </si>
  <si>
    <t>TH0003010Z12</t>
  </si>
  <si>
    <t>New Oriental Education &amp; Technology Group Inc</t>
  </si>
  <si>
    <t>US6475811070</t>
  </si>
  <si>
    <t>Diversified Consumer Service</t>
  </si>
  <si>
    <t>CP All Public Co Ltd</t>
  </si>
  <si>
    <t>TH0737010Y16</t>
  </si>
  <si>
    <t>DBS Group Holdings Ltd</t>
  </si>
  <si>
    <t>SG1L01001701</t>
  </si>
  <si>
    <t>China Resources Land Ltd</t>
  </si>
  <si>
    <t>KYG2108Y1052</t>
  </si>
  <si>
    <t>Bank Central Asia Tbk Pt</t>
  </si>
  <si>
    <t>ID1000109507</t>
  </si>
  <si>
    <t>China Merchants Bank Co Ltd</t>
  </si>
  <si>
    <t>CNE1000002M1</t>
  </si>
  <si>
    <t>Bdo Unibank Inc</t>
  </si>
  <si>
    <t>PHY077751022</t>
  </si>
  <si>
    <t>Techtronic Industries Co Ltd</t>
  </si>
  <si>
    <t>HK0669013440</t>
  </si>
  <si>
    <t>Kweichow Moutai Co Ltd</t>
  </si>
  <si>
    <t>CNE0000018R8</t>
  </si>
  <si>
    <t>Trip.Com Group Ltd</t>
  </si>
  <si>
    <t>US89677Q1076</t>
  </si>
  <si>
    <t>China Mengniu Dairy Co Ltd</t>
  </si>
  <si>
    <t>KYG210961051</t>
  </si>
  <si>
    <t>Cnooc Ltd</t>
  </si>
  <si>
    <t>HK0883013259</t>
  </si>
  <si>
    <t>Sm Prime Holdings Inc</t>
  </si>
  <si>
    <t>PHY8076N1120</t>
  </si>
  <si>
    <t>China Resources Cement Holdings Ltd</t>
  </si>
  <si>
    <t>KYG2113L1068</t>
  </si>
  <si>
    <t>Ace Hardware Indonesia Tbk Pt</t>
  </si>
  <si>
    <t>ID1000125503</t>
  </si>
  <si>
    <t>Largan Precision Co Ltd</t>
  </si>
  <si>
    <t>TW0003008009</t>
  </si>
  <si>
    <t>Shinhan Financial Group Co Ltd</t>
  </si>
  <si>
    <t>KR7055550008</t>
  </si>
  <si>
    <t>Semen Indonesia Persero Tbk Pt</t>
  </si>
  <si>
    <t>ID1000106800</t>
  </si>
  <si>
    <t>Minor International PCL</t>
  </si>
  <si>
    <t>TH0128B10Z17</t>
  </si>
  <si>
    <t>Yum China Holdings INC</t>
  </si>
  <si>
    <t>US98850P1093</t>
  </si>
  <si>
    <t>Samsonite International Sa</t>
  </si>
  <si>
    <t>LU0633102719</t>
  </si>
  <si>
    <t>Indocement Tunggal Prakarsa Tbk Pt</t>
  </si>
  <si>
    <t>ID1000061302</t>
  </si>
  <si>
    <t>Ennoconn Corporation</t>
  </si>
  <si>
    <t>TW0006414006</t>
  </si>
  <si>
    <t>Health &amp; Happiness H&amp;H International Holdings Ltd</t>
  </si>
  <si>
    <t>KYG4387E1070</t>
  </si>
  <si>
    <t>Minor International PCL- Warrants</t>
  </si>
  <si>
    <t>TH0128051909</t>
  </si>
  <si>
    <t>Maruti Suzuki India Ltd</t>
  </si>
  <si>
    <t>INE585B01010</t>
  </si>
  <si>
    <t>Britannia Industries Ltd</t>
  </si>
  <si>
    <t>INE216A01030</t>
  </si>
  <si>
    <t>Wipro Ltd</t>
  </si>
  <si>
    <t>INE075A01022</t>
  </si>
  <si>
    <t>Bajaj Finserv Ltd</t>
  </si>
  <si>
    <t>INE918I01018</t>
  </si>
  <si>
    <t>Shree Cement Ltd</t>
  </si>
  <si>
    <t>INE070A01015</t>
  </si>
  <si>
    <t>Cipla Ltd</t>
  </si>
  <si>
    <t>INE059A01026</t>
  </si>
  <si>
    <t>Adani Ports and Special Economic Zone Ltd</t>
  </si>
  <si>
    <t>INE742F01042</t>
  </si>
  <si>
    <t>Eicher Motors Ltd</t>
  </si>
  <si>
    <t>INE066A01013</t>
  </si>
  <si>
    <t>UPL Ltd</t>
  </si>
  <si>
    <t>INE628A01036</t>
  </si>
  <si>
    <t>JSW Steel Ltd</t>
  </si>
  <si>
    <t>INE019A01038</t>
  </si>
  <si>
    <t>Bharti Infratel Ltd</t>
  </si>
  <si>
    <t>INE121J01017</t>
  </si>
  <si>
    <t>Zee Entertainment Enterprises Ltd</t>
  </si>
  <si>
    <t>INE256A01028</t>
  </si>
  <si>
    <t>INE528G01035</t>
  </si>
  <si>
    <t>Franklin U.S. Opportunities Fund, Class I (Acc)</t>
  </si>
  <si>
    <t>LU0195948665</t>
  </si>
  <si>
    <t>Franklin European Growth Fund, Class I (Acc)</t>
  </si>
  <si>
    <t>LU0195949390</t>
  </si>
  <si>
    <t>Franklin India Short Term Income Plan</t>
  </si>
  <si>
    <t>INF090I01GK1</t>
  </si>
  <si>
    <t>Nippon India ETF Gold Bees</t>
  </si>
  <si>
    <t>INF204KB17I5</t>
  </si>
  <si>
    <t>INF090I01FN7</t>
  </si>
  <si>
    <t>INF090I01UP1</t>
  </si>
  <si>
    <t>INF090I01UY3</t>
  </si>
  <si>
    <t>INF090I01VS3</t>
  </si>
  <si>
    <t>INF090I01GV8</t>
  </si>
  <si>
    <t>INF090I01GY2</t>
  </si>
  <si>
    <t xml:space="preserve">      Dividend Option</t>
  </si>
  <si>
    <t xml:space="preserve">      Direct Dividend Option</t>
  </si>
  <si>
    <t>Franklin India Dynamic Accrual Fund</t>
  </si>
  <si>
    <t>INF090I01HB8</t>
  </si>
  <si>
    <t>INF090I01FW8</t>
  </si>
  <si>
    <t>INF090I01WD3</t>
  </si>
  <si>
    <t>INF090I01TX7</t>
  </si>
  <si>
    <t>INF090I01TT5</t>
  </si>
  <si>
    <t>INF090I01FH9</t>
  </si>
  <si>
    <t>INF090I01FK3</t>
  </si>
  <si>
    <t>## Awaiting Listing</t>
  </si>
  <si>
    <t xml:space="preserve">Arvind Fashions Ltd - Rights Entitlements ## </t>
  </si>
  <si>
    <t>Consolidated Construction Consortium Ltd</t>
  </si>
  <si>
    <t>Main Portfolio</t>
  </si>
  <si>
    <t>Rating</t>
  </si>
  <si>
    <t>Debt Instruments</t>
  </si>
  <si>
    <t>INE205A07030</t>
  </si>
  <si>
    <t>9.45% Vedanta Ltd (17-Aug-2020) **</t>
  </si>
  <si>
    <t>CRISIL AA</t>
  </si>
  <si>
    <t>INE651J07739</t>
  </si>
  <si>
    <t>JM Financial Credit Solutions Ltd (1Y SBI MCLR + 300 Bps) (23-Jul-2024) **</t>
  </si>
  <si>
    <t>ICRA AA</t>
  </si>
  <si>
    <t>INE397D08037</t>
  </si>
  <si>
    <t>8.35% Bharti Airtel Ltd (20-Apr-2021)</t>
  </si>
  <si>
    <t>INE896L07561</t>
  </si>
  <si>
    <t>Indostar Capital Finance Ltd (1Y SBI MCLR + 200 Bps) (02-May-2023) **</t>
  </si>
  <si>
    <t>CARE AA-</t>
  </si>
  <si>
    <t>INE548V07039</t>
  </si>
  <si>
    <t>8.5666% Nuvoco Vistas Corp Ltd (14-Sep-2020) **</t>
  </si>
  <si>
    <t>INE657N07597</t>
  </si>
  <si>
    <t>ICRA AA-</t>
  </si>
  <si>
    <t>INE657N07605</t>
  </si>
  <si>
    <t>CRISIL AA-</t>
  </si>
  <si>
    <t>INE140A07435</t>
  </si>
  <si>
    <t>10.00% Piramal Enterprises Ltd (29-May-2020) **</t>
  </si>
  <si>
    <t>INE003S07213</t>
  </si>
  <si>
    <t>12.75% Renew Power Ltd (26-Feb-2021) **</t>
  </si>
  <si>
    <t>CARE A+</t>
  </si>
  <si>
    <t>INE140A07401</t>
  </si>
  <si>
    <t>10.00% Piramal Enterprises Ltd (15-May-2020) **</t>
  </si>
  <si>
    <t>INE140A07567</t>
  </si>
  <si>
    <t>9.00% Piramal Enterprises Ltd (06-May-2022) **</t>
  </si>
  <si>
    <t>CARE AA</t>
  </si>
  <si>
    <t>INE540P07285</t>
  </si>
  <si>
    <t>10.15% Uttar Pradesh Power Corporation Ltd (20-Jan-2021) **</t>
  </si>
  <si>
    <t>CRISIL A+(CE)</t>
  </si>
  <si>
    <t>INE658R08149</t>
  </si>
  <si>
    <t>Motilal Oswal Home Finance Ltd (SBI MCLR + 215 Bps) (28-Sep-2023) **</t>
  </si>
  <si>
    <t>INE572E09494</t>
  </si>
  <si>
    <t>0.00% PNB Housing Finance Ltd (03-Aug-2020) **</t>
  </si>
  <si>
    <t>CARE AA+</t>
  </si>
  <si>
    <t>INE271C07137</t>
  </si>
  <si>
    <t>12.25% DLF Ltd Series IV (11-Aug-2020) **</t>
  </si>
  <si>
    <t>ICRA A+</t>
  </si>
  <si>
    <t>INE572E09361</t>
  </si>
  <si>
    <t>8.47% PNB Housing Finance Ltd (01-Jul-2021) **</t>
  </si>
  <si>
    <t>INE081A08181</t>
  </si>
  <si>
    <t>2.00% Tata Steel Ltd (23-Apr-2022) **</t>
  </si>
  <si>
    <t>INE540P07194</t>
  </si>
  <si>
    <t>9.75% Uttar Pradesh Power Corporation Ltd (20-Oct-2020) **</t>
  </si>
  <si>
    <t>INE658R07257</t>
  </si>
  <si>
    <t>Motilal Oswal Home Finance Ltd (SBI MCLR + 200 Bps) (24-Aug-2023) **</t>
  </si>
  <si>
    <t>INE945W07019</t>
  </si>
  <si>
    <t>10.75% Incred Financial Services Pvt Ltd (22-Jun-2020) **</t>
  </si>
  <si>
    <t>CARE A</t>
  </si>
  <si>
    <t>INE146O08043</t>
  </si>
  <si>
    <t>12.40% Hinduja Leyland Finance Ltd (03-Apr-2020) **</t>
  </si>
  <si>
    <t>IND AA-</t>
  </si>
  <si>
    <t>INE245A08158</t>
  </si>
  <si>
    <t>8.84% Tata Power Co Ltd (21-Nov-2022) **</t>
  </si>
  <si>
    <t>IND AA</t>
  </si>
  <si>
    <t>INE905O07028</t>
  </si>
  <si>
    <t>8.25% Vizag General Cargo Berth Pvt Ltd (30-Sep-2020) **</t>
  </si>
  <si>
    <t>CRISIL AA(CE)</t>
  </si>
  <si>
    <t>INE694L07107</t>
  </si>
  <si>
    <t>7.85% Talwandi Sabo Power Ltd (04-Aug-2020) **</t>
  </si>
  <si>
    <t>INE572E09452</t>
  </si>
  <si>
    <t>7.63% PNB Housing Finance Ltd (15-Dec-2020) **</t>
  </si>
  <si>
    <t>INE572E09429</t>
  </si>
  <si>
    <t>7.80% PNB Housing Finance Ltd (07-May-2021) **</t>
  </si>
  <si>
    <t>INE540P07293</t>
  </si>
  <si>
    <t>10.15% Uttar Pradesh Power Corporation Ltd (20-Jan-2022) **</t>
  </si>
  <si>
    <t>INE657N07183</t>
  </si>
  <si>
    <t>9.00% Edelweiss Rural &amp; Corporate Services Ltd (17-Apr-2020) **</t>
  </si>
  <si>
    <t>INE850M08069</t>
  </si>
  <si>
    <t>Northern ARC Capital Ltd (6M SBI MCLR + 305 Bps) Series B (16-Jul-2021) **</t>
  </si>
  <si>
    <t>INE850M08051</t>
  </si>
  <si>
    <t>Northern ARC Capital Ltd (6M SBI MCLR + 305 Bps) Series A (16-Jul-2021) **</t>
  </si>
  <si>
    <t>INE295J08014</t>
  </si>
  <si>
    <t>9.70% Coastal Gujarat Power Ltd (25-Aug-2023) **</t>
  </si>
  <si>
    <t>CARE AA(CE)</t>
  </si>
  <si>
    <t>INE252T07040</t>
  </si>
  <si>
    <t>9.70% Xander Finance Pvt Ltd (15-Mar-2021) **</t>
  </si>
  <si>
    <t>INE081A08165</t>
  </si>
  <si>
    <t>11.80% Tata Steel Ltd (18-Mar-2021) **</t>
  </si>
  <si>
    <t>INE850M08077</t>
  </si>
  <si>
    <t>Northern ARC Capital Ltd (6M SBI MCLR + 305 Bps) Series C (16-Jul-2021) **</t>
  </si>
  <si>
    <t>INE949L08152</t>
  </si>
  <si>
    <t>11.75% AU Small Finance Bank Ltd (04-May-2021) **</t>
  </si>
  <si>
    <t>INE155A08316</t>
  </si>
  <si>
    <t>7.50% Tata Motors Ltd (20-Oct-2021) **</t>
  </si>
  <si>
    <t>INE694L07123</t>
  </si>
  <si>
    <t>9.23% Talwandi Sabo Power Ltd (30-Jul-2021) **</t>
  </si>
  <si>
    <t>INE572E09460</t>
  </si>
  <si>
    <t>7.63% PNB Housing Finance Ltd (14-Jul-2020) **</t>
  </si>
  <si>
    <t>INE245A08034</t>
  </si>
  <si>
    <t>11.40% Tata Power Co Ltd (02-Jun-2021) **</t>
  </si>
  <si>
    <t>INE572E09411</t>
  </si>
  <si>
    <t>7.46% PNB Housing Finance Ltd (30-Apr-2020) **</t>
  </si>
  <si>
    <t>INE572E09478</t>
  </si>
  <si>
    <t>7.50% PNB Housing Finance Ltd (15-Sep-2020) **</t>
  </si>
  <si>
    <t>INE155A08357</t>
  </si>
  <si>
    <t>7.28% Tata Motors Ltd (29-Jul-2020) **</t>
  </si>
  <si>
    <t>INE945W07027</t>
  </si>
  <si>
    <t>0.00% Incred Financial Services Pvt Ltd (22-Jun-2020) **</t>
  </si>
  <si>
    <t>INE038A07258</t>
  </si>
  <si>
    <t>9.55% Hindalco Industries Ltd (25-Apr-2022) **</t>
  </si>
  <si>
    <t>INE721A07NI6</t>
  </si>
  <si>
    <t>8.55% Shriram Transport Finance Co Ltd (21-May-2021) **</t>
  </si>
  <si>
    <t>CRISIL AA+</t>
  </si>
  <si>
    <t>INE572E09569</t>
  </si>
  <si>
    <t>7.58% PNB Housing Finance Ltd (15-Mar-2021) **</t>
  </si>
  <si>
    <t>INE245A08042</t>
  </si>
  <si>
    <t>10.75% The Tata Power Co Ltd (21-Aug-2022) **</t>
  </si>
  <si>
    <t>INE155A08365</t>
  </si>
  <si>
    <t>7.40% Tata Motors Ltd (29-Jun-2021) **</t>
  </si>
  <si>
    <t>INE146O08050</t>
  </si>
  <si>
    <t>12.40% Hinduja Leyland Finance Ltd (26-Apr-2020) **</t>
  </si>
  <si>
    <t>INE459T07066</t>
  </si>
  <si>
    <t>Vastu Housing Finance Corp Ltd (6M SBI MCLR + 350 Bps) (25-Aug-2023) **</t>
  </si>
  <si>
    <t>BWR A</t>
  </si>
  <si>
    <t>INE252T07057</t>
  </si>
  <si>
    <t>9.70% Xander Finance Pvt Ltd (30-Apr-2021) **</t>
  </si>
  <si>
    <t>INE721A07NV9</t>
  </si>
  <si>
    <t>9.10% Shriram Transport Finance Co Ltd (12-Jul-2021) **</t>
  </si>
  <si>
    <t>INE038A07266</t>
  </si>
  <si>
    <t>9.55% Hindalco Industries Ltd (27-Jun-2022) **</t>
  </si>
  <si>
    <t>INE146O08084</t>
  </si>
  <si>
    <t>11.30% Hinduja Leyland Finance Ltd (21-Jul-2021) **</t>
  </si>
  <si>
    <t>INE245A08166</t>
  </si>
  <si>
    <t>8.84% Tata Power Co Ltd (21-Feb-2023) **</t>
  </si>
  <si>
    <t>INE397D08029</t>
  </si>
  <si>
    <t>8.25% Bharti Airtel Ltd (20-Apr-2020) **</t>
  </si>
  <si>
    <t>INE155A08340</t>
  </si>
  <si>
    <t>7.50% Tata Motors Ltd (22-Jun-2022) **</t>
  </si>
  <si>
    <t>INE01HV07015</t>
  </si>
  <si>
    <t>11.00% Vivriti Capital Pvt Ltd (19-Mar-2021) **</t>
  </si>
  <si>
    <t>ICRA A-</t>
  </si>
  <si>
    <t>INE721A07MW9</t>
  </si>
  <si>
    <t>7.6414% Shriram Transport Finance Co Ltd (10-Nov-2020) **</t>
  </si>
  <si>
    <t>INE804I08601</t>
  </si>
  <si>
    <t>12.00% ECL Finance Ltd (24-Apr-2020) **</t>
  </si>
  <si>
    <t>INE081A08207</t>
  </si>
  <si>
    <t>9.15% Tata Steel Ltd (24-Jan-2021) **</t>
  </si>
  <si>
    <t>BWR AA</t>
  </si>
  <si>
    <t>INE163N08107</t>
  </si>
  <si>
    <t>8.45% ONGC Petro Additions Ltd (10-Mar-2023) **</t>
  </si>
  <si>
    <t>CARE AAA(CE)</t>
  </si>
  <si>
    <t>INE090A08TW2</t>
  </si>
  <si>
    <t>9.20% ICICI Bank Ltd (17-Mar-2022) **</t>
  </si>
  <si>
    <t>INE616U07036</t>
  </si>
  <si>
    <t>8.70% Edelweiss Rural &amp; Corporate Services Ltd (30-Jun-2027) **</t>
  </si>
  <si>
    <t>INE540P07301</t>
  </si>
  <si>
    <t>10.15% Uttar Pradesh Power Corporation Ltd (20-Jan-2023) **</t>
  </si>
  <si>
    <t>INE572E09270</t>
  </si>
  <si>
    <t>8.59% PNB Housing Finance Ltd (17-Jun-2020) **</t>
  </si>
  <si>
    <t>INE941D08065</t>
  </si>
  <si>
    <t>10.25% Sikka Ports &amp; Terminals Ltd (22-Aug-2021) **</t>
  </si>
  <si>
    <t>CRISIL AAA</t>
  </si>
  <si>
    <t>INE756I07CA5</t>
  </si>
  <si>
    <t>HDB Financial Services Ltd (91DTB + 205 Bps) (12-Jul-2021) **</t>
  </si>
  <si>
    <t>(b) Privately Placed / Unlisted</t>
  </si>
  <si>
    <t>INE896L07660</t>
  </si>
  <si>
    <t>Indostar Capital Finance Ltd (SBI MCLR + 325 Bps) (02-Nov-2021) **</t>
  </si>
  <si>
    <t>INE403D08025</t>
  </si>
  <si>
    <t>0.00% Bharti Telecom Ltd (19-Feb-2021) **</t>
  </si>
  <si>
    <t>INE157D08027</t>
  </si>
  <si>
    <t>10.75% Clix Capital Services Pvt Ltd (27-Jun-2023) **</t>
  </si>
  <si>
    <t>INE316W07013</t>
  </si>
  <si>
    <t>0.00% Hero Solar Energy Pvt Ltd (21-Jun-2022) **</t>
  </si>
  <si>
    <t>ICRA A</t>
  </si>
  <si>
    <t>INE371K08128</t>
  </si>
  <si>
    <t>0.00% Tata Realty &amp; Infrastructure Ltd (04-Jun-2021) **</t>
  </si>
  <si>
    <t>INE157D08019</t>
  </si>
  <si>
    <t>10.75% Clix Capital Services Pvt Ltd (25-May-2023) **</t>
  </si>
  <si>
    <t>INE598K07011</t>
  </si>
  <si>
    <t>9.00% Pune Solapur Expressways Pvt Ltd (31-Mar-2029) **</t>
  </si>
  <si>
    <t>INE918T07038</t>
  </si>
  <si>
    <t>0.00% Hero Wind Energy Pvt Ltd (21-Jun-2022) **</t>
  </si>
  <si>
    <t>INE918T07020</t>
  </si>
  <si>
    <t>0.00% Hero Wind Energy Pvt Ltd (08-Feb-2022) **</t>
  </si>
  <si>
    <t>INE423Y07013</t>
  </si>
  <si>
    <t>9.40% Small Business Fincredit India Pvt Ltd (28-Sep-2020) **</t>
  </si>
  <si>
    <t>INE137K07018</t>
  </si>
  <si>
    <t>4.00% HPCL-Mittal Energy Ltd (03-Sep-2020) **</t>
  </si>
  <si>
    <t>ICRA AA+</t>
  </si>
  <si>
    <t>INE157D08068</t>
  </si>
  <si>
    <t>11.50% Clix Capital Services Pvt Ltd (06-Jul-2021) **</t>
  </si>
  <si>
    <t>INE157D08050</t>
  </si>
  <si>
    <t>11.50% Clix Capital Services Pvt Ltd (06-May-2021) **</t>
  </si>
  <si>
    <t>INE157D08035</t>
  </si>
  <si>
    <t>11.50% Clix Capital Services Pvt Ltd (06-Sep-2021) **</t>
  </si>
  <si>
    <t>INE587B08037</t>
  </si>
  <si>
    <t>11.50% Clix Finance India Pvt Ltd (06-Jan-2022) **</t>
  </si>
  <si>
    <t>INE157D08043</t>
  </si>
  <si>
    <t>11.50% Clix Capital Services Pvt Ltd (12-Nov-2021) **</t>
  </si>
  <si>
    <t>INE003S07155</t>
  </si>
  <si>
    <t>11.96% Renew Power Ltd (28-Sep-2022) **</t>
  </si>
  <si>
    <t>INE931Q08035</t>
  </si>
  <si>
    <t>8.40% Promont Hillside Pvt Ltd (26-Jun-2020) **</t>
  </si>
  <si>
    <t>INE922K07013</t>
  </si>
  <si>
    <t>9.99% India Shelter Finance Corporation Ltd (10-Feb-2022) **</t>
  </si>
  <si>
    <t>INE321N07244</t>
  </si>
  <si>
    <t>0.00% KKR India Financial Services Pvt Ltd (10-Mar-2021) **</t>
  </si>
  <si>
    <t>Money Market Instruments</t>
  </si>
  <si>
    <t>Commercial Paper</t>
  </si>
  <si>
    <t>INE754R14102</t>
  </si>
  <si>
    <t>Hero Future Energies Pvt Ltd (18-May-2020) **@</t>
  </si>
  <si>
    <t>CRISIL A1</t>
  </si>
  <si>
    <t>INE371K14AD3</t>
  </si>
  <si>
    <t>Tata Realty &amp; Infrastructure Ltd (15-Sep-2020) **@</t>
  </si>
  <si>
    <t>ICRA A1+</t>
  </si>
  <si>
    <t>INE371K14AB7</t>
  </si>
  <si>
    <t>Tata Realty &amp; Infrastructure Ltd (21-Sep-2020) **@</t>
  </si>
  <si>
    <t>@ Listed</t>
  </si>
  <si>
    <t>** Non- Traded Scrips</t>
  </si>
  <si>
    <t xml:space="preserve">      Retail Plan Growth Option</t>
  </si>
  <si>
    <t xml:space="preserve">      Retail Plan Daily Dividend Option</t>
  </si>
  <si>
    <t xml:space="preserve">      Retail Plan Weekly Dividend Option</t>
  </si>
  <si>
    <t xml:space="preserve">      Super Institutional Plan Growth Option</t>
  </si>
  <si>
    <t xml:space="preserve">      Super Institutional Plan Daily Dividend Option</t>
  </si>
  <si>
    <t xml:space="preserve">      Super Institutional Plan Weekly Dividend Option</t>
  </si>
  <si>
    <t xml:space="preserve">      Direct Super Institutional Plan Growth Option</t>
  </si>
  <si>
    <t xml:space="preserve">      Direct Super Institutional Plan Daily Dividend Option</t>
  </si>
  <si>
    <t xml:space="preserve">      Direct Super Institutional Plan Weekly Dividend Option</t>
  </si>
  <si>
    <t>c) Average Maturity as on 31-Mar-2020</t>
  </si>
  <si>
    <t>(In Years)</t>
  </si>
  <si>
    <t xml:space="preserve">d) During the month additional instances of fair valuation/deviation from valuation price provided by the valuation agencies </t>
  </si>
  <si>
    <t>Refer below link for rationale of devation under Valuation policy</t>
  </si>
  <si>
    <t>https://www.franklintempletonindia.com/investor/reports</t>
  </si>
  <si>
    <t>Franklin India Ultra Short Bond Fund - Segregated Portfolio 1  - 8.25% Vodafone Idea Ltd (10-Jul-2020)</t>
  </si>
  <si>
    <t>Segregated Portfolio 1</t>
  </si>
  <si>
    <t>INE713G08046</t>
  </si>
  <si>
    <t>8.25% Vodafone Idea Ltd (10-Jul-2020) $$ ^^ **</t>
  </si>
  <si>
    <t>CRISIL B+</t>
  </si>
  <si>
    <t>INE721A08DC8</t>
  </si>
  <si>
    <t>10.25% Shriram Transport Finance Co Ltd (26-Apr-2024) **</t>
  </si>
  <si>
    <t>INE516Y07105</t>
  </si>
  <si>
    <t>9.50% Piramal Capital &amp; Housing Finance Ltd (15-Apr-2022) **</t>
  </si>
  <si>
    <t>INE01E708024</t>
  </si>
  <si>
    <t>10.32% Andhra Pradesh Capital Region Development Authority (16-Aug-2025) **</t>
  </si>
  <si>
    <t>INE01E708016</t>
  </si>
  <si>
    <t>10.32% Andhra Pradesh Capital Region Development Authority (16-Aug-2024) **</t>
  </si>
  <si>
    <t>INE615S07065</t>
  </si>
  <si>
    <t>12.30% Sterlite Power Grid Ventures Ltd (28-Mar-2022) **</t>
  </si>
  <si>
    <t>IND A+</t>
  </si>
  <si>
    <t>INE721A08DF1</t>
  </si>
  <si>
    <t>9.90% Shriram Transport Finance Co Ltd (21-Jun-2024) **</t>
  </si>
  <si>
    <t>INE852O07097</t>
  </si>
  <si>
    <t>10.00% Aptus Value Housing Finance India Ltd (20-Aug-2025) **</t>
  </si>
  <si>
    <t>INE572E09403</t>
  </si>
  <si>
    <t>7.91% PNB Housing Finance Ltd (29-Mar-2022) **</t>
  </si>
  <si>
    <t>INE265J07357</t>
  </si>
  <si>
    <t>12.40% JM Financial Asset Reconstruction Co Ltd (02-Feb-2022) **</t>
  </si>
  <si>
    <t>INE128S07374</t>
  </si>
  <si>
    <t>12.64% Five-Star Business Finance Ltd (16-Apr-2022) **</t>
  </si>
  <si>
    <t>INE205A07139</t>
  </si>
  <si>
    <t>8.50% Vedanta Ltd (05-Apr-2021) **</t>
  </si>
  <si>
    <t>INE124N07309</t>
  </si>
  <si>
    <t>12.00% Ess Kay Fincorp Ltd (01-Aug-2023) **</t>
  </si>
  <si>
    <t>CRISIL A</t>
  </si>
  <si>
    <t>INE657N07381</t>
  </si>
  <si>
    <t>INE852O07089</t>
  </si>
  <si>
    <t>10.00% Aptus Value Housing Finance India Ltd (20-Jul-2025) **</t>
  </si>
  <si>
    <t>INE540P07319</t>
  </si>
  <si>
    <t>10.15% Uttar Pradesh Power Corporation Ltd (19-Jan-2024) **</t>
  </si>
  <si>
    <t>INE540P07327</t>
  </si>
  <si>
    <t>10.15% Uttar Pradesh Power Corporation Ltd (20-Jan-2025) **</t>
  </si>
  <si>
    <t>INE265J07365</t>
  </si>
  <si>
    <t>12.40% JM Financial Asset Reconstruction Co Ltd (02-Aug-2021) **</t>
  </si>
  <si>
    <t>INE128S07390</t>
  </si>
  <si>
    <t>12.64% Five-Star Business Finance Ltd (28-May-2022) **</t>
  </si>
  <si>
    <t>INE540P07335</t>
  </si>
  <si>
    <t>10.15% Uttar Pradesh Power Corporation Ltd (20-Jan-2026) **</t>
  </si>
  <si>
    <t>INE572E09619</t>
  </si>
  <si>
    <t>9.00% PNB Housing Finance Ltd (30-Aug-2022) **</t>
  </si>
  <si>
    <t>INE016P07146</t>
  </si>
  <si>
    <t>10.50% Vistaar Financial Services Pvt Ltd (24-Aug-2025) **</t>
  </si>
  <si>
    <t>INE038A07274</t>
  </si>
  <si>
    <t>9.60% Hindalco Industries Ltd (02-Aug-2022) **</t>
  </si>
  <si>
    <t>INE271C07178</t>
  </si>
  <si>
    <t>12.25% DLF Ltd Tranche II Series IV (11-Aug-2020) **</t>
  </si>
  <si>
    <t>INE146O08159</t>
  </si>
  <si>
    <t>11.60% Hinduja Leyland Finance Ltd (29-Sep-2024) **</t>
  </si>
  <si>
    <t>INE128S07358</t>
  </si>
  <si>
    <t>12.64% Five-Star Business Finance Ltd (29-Mar-2022) **</t>
  </si>
  <si>
    <t>INE295J08022</t>
  </si>
  <si>
    <t>9.90% Coastal Gujarat Power Ltd (25-Aug-2028) **</t>
  </si>
  <si>
    <t>INE124N07200</t>
  </si>
  <si>
    <t>10.9007% Ess Kay Fincorp Ltd (11-Jun-2021) **</t>
  </si>
  <si>
    <t>INE124N07168</t>
  </si>
  <si>
    <t>INE459T07082</t>
  </si>
  <si>
    <t>10.40% Vastu Housing Finance Corporation Ltd (27-Nov-2025) **</t>
  </si>
  <si>
    <t>INE459T07090</t>
  </si>
  <si>
    <t>INE01E708032</t>
  </si>
  <si>
    <t>10.32% Andhra Pradesh Capital Region Development Authority (16-Aug-2026) **</t>
  </si>
  <si>
    <t>INE146O08068</t>
  </si>
  <si>
    <t>11.50% Hinduja Leyland Finance Ltd (31-May-2021) **</t>
  </si>
  <si>
    <t>INE540P07202</t>
  </si>
  <si>
    <t>9.75% Uttar Pradesh Power Corporation Ltd (20-Oct-2021) **</t>
  </si>
  <si>
    <t>INE459T07025</t>
  </si>
  <si>
    <t>9.95% Vastu Housing Finance Corporation Ltd (27-Feb-2025) **</t>
  </si>
  <si>
    <t>INE608A08025</t>
  </si>
  <si>
    <t>10.90% Punjab &amp; Sind Bank (07-May-2022) **</t>
  </si>
  <si>
    <t>INE657N07407</t>
  </si>
  <si>
    <t>8.45% Edelweiss Rural &amp; Corporate Services Ltd (11-Aug-2020) **</t>
  </si>
  <si>
    <t>INE128S07333</t>
  </si>
  <si>
    <t>10.21% Five-Star Business Finance Ltd (28-Mar-2023) **</t>
  </si>
  <si>
    <t>INE205A07154</t>
  </si>
  <si>
    <t>9.18% Vedanta Ltd (02-Jul-2021) **</t>
  </si>
  <si>
    <t>INE265J07316</t>
  </si>
  <si>
    <t>11.50% JM Financial Asset Reconstruction Co Ltd (29-May-2022) **</t>
  </si>
  <si>
    <t>INE128S07408</t>
  </si>
  <si>
    <t>12.64% Five-Star Business Finance Ltd (28-Jun-2022) **</t>
  </si>
  <si>
    <t>INE146O08092</t>
  </si>
  <si>
    <t>11.10% Hinduja Leyland Finance Ltd (08-Apr-2022) **</t>
  </si>
  <si>
    <t>INE503A08028</t>
  </si>
  <si>
    <t>9.85% DCB Bank Ltd (18-Nov-2026) **</t>
  </si>
  <si>
    <t>INE155A08225</t>
  </si>
  <si>
    <t>9.73% Tata Motors Ltd (01-Oct-2020) **</t>
  </si>
  <si>
    <t>INE205A07162</t>
  </si>
  <si>
    <t>8.90% Vedanta Ltd (09-Dec-2021) **</t>
  </si>
  <si>
    <t>INE146O08027</t>
  </si>
  <si>
    <t>12.00% Hinduja Leyland Finance Ltd (28-Mar-2021) **</t>
  </si>
  <si>
    <t>INE540P07343</t>
  </si>
  <si>
    <t>10.15% Uttar Pradesh Power Corporation Ltd (20-Jan-2027) **</t>
  </si>
  <si>
    <t>INE540P07350</t>
  </si>
  <si>
    <t>10.15% Uttar Pradesh Power Corporation Ltd (20-Jan-2028) **</t>
  </si>
  <si>
    <t>INE028A08083</t>
  </si>
  <si>
    <t>8.50% Bank of Baroda (02-Dec-2021) **</t>
  </si>
  <si>
    <t>INE205A07048</t>
  </si>
  <si>
    <t>8.70% Vedanta Ltd (20-Apr-2020) **</t>
  </si>
  <si>
    <t>INE128S07317</t>
  </si>
  <si>
    <t>INE852O07055</t>
  </si>
  <si>
    <t>10.00% Aptus Value Housing Finance India Ltd (24-Jan-2025) **</t>
  </si>
  <si>
    <t>INE134E08IW3</t>
  </si>
  <si>
    <t>7.50% Power Finance Corporation Ltd (17-Sep-2020) **</t>
  </si>
  <si>
    <t>INE535H07AU7</t>
  </si>
  <si>
    <t>9.30% Fullerton India Credit Co Ltd (15-Mar-2021) **</t>
  </si>
  <si>
    <t>INE774D07RY7</t>
  </si>
  <si>
    <t>0.00% Mahindra &amp; Mahindra Financial Services Ltd (07-Apr-2021) **</t>
  </si>
  <si>
    <t>IND AAA</t>
  </si>
  <si>
    <t>INE261F08AL1</t>
  </si>
  <si>
    <t>8.39% National Bank For Agriculture &amp; Rural Development (19-Jul-2021) **</t>
  </si>
  <si>
    <t>INE110L07070</t>
  </si>
  <si>
    <t>8.32% Reliance Industries Ltd (08-Jul-2021)</t>
  </si>
  <si>
    <t>INE705A08094</t>
  </si>
  <si>
    <t>10.49% Bank of Baroda (17-Jan-2022) **</t>
  </si>
  <si>
    <t>INE00U207051</t>
  </si>
  <si>
    <t>0.00% Adani Rail Infra Pvt Ltd (28-Apr-2023) **</t>
  </si>
  <si>
    <t>BWR AA-(CE)</t>
  </si>
  <si>
    <t>INE01EA07016</t>
  </si>
  <si>
    <t>11.90% Rishanth Wholesale Trading Pvt Ltd (20-Oct-2023) **</t>
  </si>
  <si>
    <t>IND A</t>
  </si>
  <si>
    <t>INE003S07189</t>
  </si>
  <si>
    <t>9.45% Renew Power Ltd (31-Jul-2025) **</t>
  </si>
  <si>
    <t>INE660N07047</t>
  </si>
  <si>
    <t>11.50% S. D. Corporation Pvt Ltd (03-Jun-2022) **</t>
  </si>
  <si>
    <t>INE209W07010</t>
  </si>
  <si>
    <t>9.60% Narmada Wind Energy Pvt Ltd (31-Mar-2023) **</t>
  </si>
  <si>
    <t>CARE A+(CE)</t>
  </si>
  <si>
    <t>INE575P08016</t>
  </si>
  <si>
    <t>10.25% Star Health &amp; Allied Insurance Co Ltd (06-Sep-2024) **</t>
  </si>
  <si>
    <t>INE964Q07012</t>
  </si>
  <si>
    <t>9.60% Renew Wind Energy (Rajasthan One) Pvt Ltd (31-Mar-2023) **</t>
  </si>
  <si>
    <t>INE316W07039</t>
  </si>
  <si>
    <t>11.84% Hero Solar Energy Pvt Ltd (10-Dec-2021) **</t>
  </si>
  <si>
    <t>INE971Z07109</t>
  </si>
  <si>
    <t>12.25% Rivaaz Trade Ventures Pvt Ltd (30-Sep-2023) **</t>
  </si>
  <si>
    <t>BWR AA-(SO)</t>
  </si>
  <si>
    <t>INE971Z07042</t>
  </si>
  <si>
    <t>11.50% Rivaaz Trade Ventures Pvt Ltd (30-Mar-2022) **</t>
  </si>
  <si>
    <t>INE03VJ07017</t>
  </si>
  <si>
    <t>11.25% Aadarshini Real Estate Developers Pvt Ltd (29-Jul-2020) **</t>
  </si>
  <si>
    <t>ICRA A+(CE)</t>
  </si>
  <si>
    <t>INE660N07062</t>
  </si>
  <si>
    <t>11.50% S D Corporation Pvt Ltd (03-Jun-2022) **</t>
  </si>
  <si>
    <t>INE507R07033</t>
  </si>
  <si>
    <t>16.00% OPJ Trading Pvt Ltd (16-Oct-2020) **</t>
  </si>
  <si>
    <t>BWR A-(CE)</t>
  </si>
  <si>
    <t>INE971Z07034</t>
  </si>
  <si>
    <t>11.50% Rivaaz Trade Ventures Pvt Ltd (30-Mar-2021) **</t>
  </si>
  <si>
    <t>INE946S07122</t>
  </si>
  <si>
    <t>12.80% Nufuture Digital (India) Ltd (30-Sep-2021) **</t>
  </si>
  <si>
    <t>BWR A+(CE)</t>
  </si>
  <si>
    <t>INE971Z07083</t>
  </si>
  <si>
    <t>12.25% Rivaaz Trade Ventures Pvt Ltd (30-Sep-2021) **</t>
  </si>
  <si>
    <t>INE720G08082</t>
  </si>
  <si>
    <t>Jindal Power Ltd (SBI+100 Bps) (22-Dec-2020) **</t>
  </si>
  <si>
    <t>ICRA BBB+</t>
  </si>
  <si>
    <t>INE659X07014</t>
  </si>
  <si>
    <t>9.95% Molagavalli Renewable Pvt Ltd (31-Mar-2023) **</t>
  </si>
  <si>
    <t>INE971Z07091</t>
  </si>
  <si>
    <t>12.25% Rivaaz Trade Ventures Pvt Ltd (30-Sep-2022) **</t>
  </si>
  <si>
    <t>INE285T07099</t>
  </si>
  <si>
    <t>11.90% Rivaaz Trade Ventures Pvt Ltd (07-Aug-2020) **</t>
  </si>
  <si>
    <t>BWR A+(SO)</t>
  </si>
  <si>
    <t>INE080T07060</t>
  </si>
  <si>
    <t>13.40% Future Ideas Co Ltd (31-Oct-2022) **</t>
  </si>
  <si>
    <t>INE00MX08011</t>
  </si>
  <si>
    <t>11.70% Svatantra Microfin Pvt Ltd (30-Nov-2023) **</t>
  </si>
  <si>
    <t>INE971Z07075</t>
  </si>
  <si>
    <t>12.25% Rivaaz Trade Ventures Pvt Ltd (30-Sep-2020) **</t>
  </si>
  <si>
    <t>INE498F07063</t>
  </si>
  <si>
    <t>0.00% Essel Infraprojects Ltd Series I (22-May-2020) $$ ^^ **</t>
  </si>
  <si>
    <t>BWR C(CE)</t>
  </si>
  <si>
    <t>INE080T07052</t>
  </si>
  <si>
    <t>13.40% Future Ideas Co Ltd (31-Oct-2021) **</t>
  </si>
  <si>
    <t>INE209W07028</t>
  </si>
  <si>
    <t>9.95% Narmada Wind Energy Pvt Ltd (31-Mar-2023) **</t>
  </si>
  <si>
    <t>INE946S07114</t>
  </si>
  <si>
    <t>12.80% Nufuture Digital (India) Ltd (30-Sep-2020) **</t>
  </si>
  <si>
    <t>INE445K07106</t>
  </si>
  <si>
    <t>9.50% Reliance Broadcast Network Ltd (20-Jul-2020) $$ **</t>
  </si>
  <si>
    <t>CARE D</t>
  </si>
  <si>
    <t>INE139S07017</t>
  </si>
  <si>
    <t>12.41% Renew Solar Power Pvt Ltd (01-Nov-2022) **</t>
  </si>
  <si>
    <t>CARE A+(SO)</t>
  </si>
  <si>
    <t>INE428K07011</t>
  </si>
  <si>
    <t>11.49% Reliance Infrastructure Consulting &amp; Engineers Pvt Ltd (15-Jan-2021) $$ ^^ **</t>
  </si>
  <si>
    <t>BWR D</t>
  </si>
  <si>
    <t>INE498F07071</t>
  </si>
  <si>
    <t>0.00% Essel Infraprojects Ltd Series II (22-May-2020) $$ ^^ **</t>
  </si>
  <si>
    <t>INE080T07045</t>
  </si>
  <si>
    <t>13.40% Future Ideas Co Ltd (31-Oct-2020) **</t>
  </si>
  <si>
    <t>INE946S07098</t>
  </si>
  <si>
    <t>12.15% Nufuture Digital (India) Ltd (02-Jun-2020) **</t>
  </si>
  <si>
    <t>INE333T07055</t>
  </si>
  <si>
    <t>11.49% Reliance Big Pvt Ltd Series II (14-Jan-2021) $$ ^^ **</t>
  </si>
  <si>
    <t>INE895D08634</t>
  </si>
  <si>
    <t>8.01% Tata Sons Pvt Ltd (02-Sep-2021) **</t>
  </si>
  <si>
    <t>INE333T07048</t>
  </si>
  <si>
    <t>11.49% Reliance Big Pvt Ltd  Series I (14-Jan-2021) $$ ^^ **</t>
  </si>
  <si>
    <t xml:space="preserve">      Retail Plan Monthly Dividend Option</t>
  </si>
  <si>
    <t xml:space="preserve">      Retail Plan Quarterly Dividend Option</t>
  </si>
  <si>
    <t xml:space="preserve">      Direct Retail Plan Growth Option</t>
  </si>
  <si>
    <t xml:space="preserve">      Direct Retail Plan Weekly Dividend Option</t>
  </si>
  <si>
    <t xml:space="preserve">      Direct Retail Plan Monthly Dividend Option</t>
  </si>
  <si>
    <t xml:space="preserve">      Direct Retail Plan Quarterly Dividend Option</t>
  </si>
  <si>
    <t>Franklin India Short Term Income Plan - Segregated Portfolio 1  - 8.25% Vodafone Idea Ltd (10-Jul-2020)</t>
  </si>
  <si>
    <t>Franklin India Short Term Income Plan - Segregated Portfolio 2 - 10.90% Vodafone Idea Ltd (02-Sep-2023) P/C 03 Sep 2021</t>
  </si>
  <si>
    <t>Segregated Portfolio 2</t>
  </si>
  <si>
    <t>INE669E08318</t>
  </si>
  <si>
    <t>10.90% Vodafone Idea Ltd (02-Sep-2023) $$^^ **</t>
  </si>
  <si>
    <t>CARE BB-</t>
  </si>
  <si>
    <t>Franklin India Short Term Income Plan - Segregated Portfolio 3 - 9.50% Yes Bank Ltd CO 23 Dec 2021</t>
  </si>
  <si>
    <t>Segregated Portfolio 3</t>
  </si>
  <si>
    <t>INE528G08352</t>
  </si>
  <si>
    <t>9.50% Yes Bank Ltd (23-Dec-2021)  $$ **</t>
  </si>
  <si>
    <t>Certificate of Deposit</t>
  </si>
  <si>
    <t>INE090A162V7</t>
  </si>
  <si>
    <t>ICICI Bank Ltd (17-Jul-2020) **</t>
  </si>
  <si>
    <t>INE556F16770</t>
  </si>
  <si>
    <t>Small Industries Development Bank of India (06-Jan-2021) **</t>
  </si>
  <si>
    <t>IND A1+</t>
  </si>
  <si>
    <t>INE238A165R1</t>
  </si>
  <si>
    <t>Axis Bank Ltd (28-Oct-2020) **</t>
  </si>
  <si>
    <t>CRISIL A1+</t>
  </si>
  <si>
    <t>INE090A163W3</t>
  </si>
  <si>
    <t>ICICI Bank Ltd (11-Jan-2021) **</t>
  </si>
  <si>
    <t>INE556F16804</t>
  </si>
  <si>
    <t>Small Industries Development Bank of India (20-Jan-2021)</t>
  </si>
  <si>
    <t>INE261F16488</t>
  </si>
  <si>
    <t>National Bank For Agriculture &amp; Rural Development (03-Feb-2021) **</t>
  </si>
  <si>
    <t>INE028A16BX1</t>
  </si>
  <si>
    <t>Bank of Baroda (11-Feb-2021) **</t>
  </si>
  <si>
    <t>INE238A160U6</t>
  </si>
  <si>
    <t>Axis Bank Ltd (05-Feb-2021) **</t>
  </si>
  <si>
    <t>INE238A165U5</t>
  </si>
  <si>
    <t>Axis Bank Ltd (10-Mar-2021) **</t>
  </si>
  <si>
    <t>INE261F16504</t>
  </si>
  <si>
    <t>National Bank For Agriculture &amp; Rural Development (18-Feb-2021) **</t>
  </si>
  <si>
    <t>INE261F16512</t>
  </si>
  <si>
    <t>National Bank For Agriculture &amp; Rural Development (05-Mar-2021) **</t>
  </si>
  <si>
    <t>INE238A160Q4</t>
  </si>
  <si>
    <t>Axis Bank Ltd (07-Aug-2020) **</t>
  </si>
  <si>
    <t>INE090A166V8</t>
  </si>
  <si>
    <t>ICICI Bank Ltd (14-Sep-2020)</t>
  </si>
  <si>
    <t>INE261F16470</t>
  </si>
  <si>
    <t>National Bank For Agriculture &amp; Rural Development (21-Jan-2021) **</t>
  </si>
  <si>
    <t>INE028A16BY9</t>
  </si>
  <si>
    <t>Bank of Baroda (09-Mar-2021) **</t>
  </si>
  <si>
    <t>INE261F16405</t>
  </si>
  <si>
    <t>National Bank For Agriculture &amp; Rural Development (15-May-2020)</t>
  </si>
  <si>
    <t>INE556F16663</t>
  </si>
  <si>
    <t>Small Industries Development Bank Of India (24-Jun-2020) **</t>
  </si>
  <si>
    <t>INE261F16454</t>
  </si>
  <si>
    <t>National Bank For Agriculture &amp; Rural Development (05-Aug-2020) **</t>
  </si>
  <si>
    <t>INE556F16630</t>
  </si>
  <si>
    <t>Small Industries Development Bank Of India (15-May-2020) **</t>
  </si>
  <si>
    <t>INE238A164S2</t>
  </si>
  <si>
    <t>INE480Q16465</t>
  </si>
  <si>
    <t>INE371K14AG6</t>
  </si>
  <si>
    <t>Tata Realty &amp; Infrastructure Ltd (30-Oct-2020) **@</t>
  </si>
  <si>
    <t>INE957N14CX7</t>
  </si>
  <si>
    <t>Hero Fincorp Ltd (30-Oct-2020) **@</t>
  </si>
  <si>
    <t>INE916D14S54</t>
  </si>
  <si>
    <t>Kotak Mahindra Prime Ltd (27-Nov-2020) **@</t>
  </si>
  <si>
    <t>INE001A14WK6</t>
  </si>
  <si>
    <t>Housing Development Finance Corporation Ltd (24-Feb-2021)@</t>
  </si>
  <si>
    <t>INE691I14JK4</t>
  </si>
  <si>
    <t>L&amp;T Infrastructure Finance Co Ltd (17-Nov-2020)@</t>
  </si>
  <si>
    <t>INE001A14VO0</t>
  </si>
  <si>
    <t>Housing Development Finance Corporation Ltd (10-Jul-2020) **@</t>
  </si>
  <si>
    <t>INE535H14HW4</t>
  </si>
  <si>
    <t>Fullerton India Credit Co Ltd (15-Jul-2020) **@</t>
  </si>
  <si>
    <t>INE002A14DY5</t>
  </si>
  <si>
    <t>Reliance Industries Ltd (27-Jan-2021) **@</t>
  </si>
  <si>
    <t>CARE A1+</t>
  </si>
  <si>
    <t>INE535H14ID2</t>
  </si>
  <si>
    <t>Fullerton India Credit Co Ltd (08-Dec-2020) **@</t>
  </si>
  <si>
    <t>INE110L14NF1</t>
  </si>
  <si>
    <t>Reliance Jio Infocomm Ltd (29-Jan-2021) **@</t>
  </si>
  <si>
    <t>INE110L14NG9</t>
  </si>
  <si>
    <t>Reliance Jio Infocomm Ltd (02-Feb-2021) **@</t>
  </si>
  <si>
    <t>INE002A14EM8</t>
  </si>
  <si>
    <t>Reliance Industries Ltd (02-Mar-2021) **@</t>
  </si>
  <si>
    <t>INE110L14NK1</t>
  </si>
  <si>
    <t>Reliance Jio Infocomm Ltd (09-Feb-2021) **@</t>
  </si>
  <si>
    <t>INE002A14EQ9</t>
  </si>
  <si>
    <t>Reliance Industries Ltd (10-Mar-2021) **@</t>
  </si>
  <si>
    <t>INE691I14JS7</t>
  </si>
  <si>
    <t>L&amp;T Infrastructure Finance Co Ltd (29-Jan-2021) **@</t>
  </si>
  <si>
    <t>INE001A14VS1</t>
  </si>
  <si>
    <t>Housing Development Finance Corporation Ltd (13-Aug-2020) **@</t>
  </si>
  <si>
    <t>INE001A14VQ5</t>
  </si>
  <si>
    <t>Housing Development Finance Corporation Ltd (05-Aug-2020) **@</t>
  </si>
  <si>
    <t>INE001A14WG4</t>
  </si>
  <si>
    <t>Housing Development Finance Corporation Ltd (13-Jan-2021)@</t>
  </si>
  <si>
    <t>INE377Y14710</t>
  </si>
  <si>
    <t>Bajaj Housing Finance Ltd (29-Jan-2021) **@</t>
  </si>
  <si>
    <t>INE691I14JR9</t>
  </si>
  <si>
    <t>L&amp;T Infrastructure Finance Co Ltd (08-Feb-2021) **@</t>
  </si>
  <si>
    <t>INE001A14VH4</t>
  </si>
  <si>
    <t>Housing Development Finance Corporation Ltd (20-May-2020) **@</t>
  </si>
  <si>
    <t>INE020B14631</t>
  </si>
  <si>
    <t>REC Ltd (19-Jun-2020) **@</t>
  </si>
  <si>
    <t xml:space="preserve">      Direct Retail Plan Daily Dividend Option</t>
  </si>
  <si>
    <t>INE265J07324</t>
  </si>
  <si>
    <t>11.50% JM Financial Asset Reconstruction Co Ltd (29-Mar-2022) **</t>
  </si>
  <si>
    <t>INE721A08DE4</t>
  </si>
  <si>
    <t>10.25% Shriram Transport Finance Co Ltd (27-Dec-2024) **</t>
  </si>
  <si>
    <t>INE548V07047</t>
  </si>
  <si>
    <t>8.66% Nuvoco Vistas Corporation Ltd (14-Sep-2021) **</t>
  </si>
  <si>
    <t>INE945W07035</t>
  </si>
  <si>
    <t>10.25% Incred Financial Services Pvt Ltd (26-Apr-2021) **</t>
  </si>
  <si>
    <t>INE721A07NQ9</t>
  </si>
  <si>
    <t>0.00% Shriram Transport Finance Co Ltd (31-May-2021) **</t>
  </si>
  <si>
    <t>INE764L07173</t>
  </si>
  <si>
    <t>0.00% Sadbhav Infrastructure Project Ltd (23-Apr-2023) **</t>
  </si>
  <si>
    <t>CARE A-(CE)</t>
  </si>
  <si>
    <t>INE721A07MS7</t>
  </si>
  <si>
    <t>7.80% Shriram Transport Finance Co Ltd (17-Jul-2020) **</t>
  </si>
  <si>
    <t>INE516Y07089</t>
  </si>
  <si>
    <t>9.50% Piramal Capital &amp; Housing Finance Ltd (21-Apr-2022) **</t>
  </si>
  <si>
    <t>INE721A08DA2</t>
  </si>
  <si>
    <t>9.00% Shriram Transport Finance Co Ltd (28-Mar-2028) **</t>
  </si>
  <si>
    <t>INE002A08526</t>
  </si>
  <si>
    <t>7.07% Reliance Industries Ltd (24-Dec-2020) **</t>
  </si>
  <si>
    <t>INE476S08045</t>
  </si>
  <si>
    <t>12.50% Greenko Clean Energy Projects Pvt Ltd (04-Dec-2020) **</t>
  </si>
  <si>
    <t xml:space="preserve">      Monthly Dividend Plan</t>
  </si>
  <si>
    <t xml:space="preserve">      Quarterly Dividend Plan</t>
  </si>
  <si>
    <t xml:space="preserve">      Direct Monthly Dividend Plan</t>
  </si>
  <si>
    <t xml:space="preserve">      Direct Quarterly Dividend Plan</t>
  </si>
  <si>
    <t>Franklin India Low Duration Fund-Segregated Portfolio 1 - 8.25% Vodafone Idea Ltd (10-Jul-2020)</t>
  </si>
  <si>
    <t>Franklin India Low Duration Fund-Segregated Portfolio 2 - 10.90% Vodafone Idea Ltd (02-Sep-2023) P/C 03 Sep 2021</t>
  </si>
  <si>
    <t>INE641O08035</t>
  </si>
  <si>
    <t>9.55% Piramal Capital &amp; Housing Finance Ltd (08-Mar-2027) **</t>
  </si>
  <si>
    <t>INE503A08044</t>
  </si>
  <si>
    <t>9.85% DCB Bank Ltd (12-Jan-2028) **</t>
  </si>
  <si>
    <t>INE01E708057</t>
  </si>
  <si>
    <t>10.32% Andhra Pradesh Capital Region Development Authority (16-Aug-2028) **</t>
  </si>
  <si>
    <t>INE146O08134</t>
  </si>
  <si>
    <t>10.15% Hinduja Leyland Finance Ltd (27-Mar-2025) **</t>
  </si>
  <si>
    <t>INE922K07039</t>
  </si>
  <si>
    <t>0.00% India Shelter Finance Corporation Ltd (02-May-2025) **</t>
  </si>
  <si>
    <t>INE607M08048</t>
  </si>
  <si>
    <t>8.45% Tata Power Renewable Energy Ltd (25-May-2022) **</t>
  </si>
  <si>
    <t>INE459T07041</t>
  </si>
  <si>
    <t>INE110L08037</t>
  </si>
  <si>
    <t>9.25% Reliance Industries Ltd (17-Jun-2024) **</t>
  </si>
  <si>
    <t>INE852O07063</t>
  </si>
  <si>
    <t>10.00% Aptus Value Housing Finance India Ltd (26-Feb-2025) **</t>
  </si>
  <si>
    <t>INE205A07170</t>
  </si>
  <si>
    <t>9.20% Vedanta Ltd (09-Dec-2022) **</t>
  </si>
  <si>
    <t>INE540P07210</t>
  </si>
  <si>
    <t>9.75% Uttar Pradesh Power Corporation Ltd (20-Oct-2022) **</t>
  </si>
  <si>
    <t>INE146O08118</t>
  </si>
  <si>
    <t>9.20% Hinduja Leyland Finance Ltd (13-Sep-2024) **</t>
  </si>
  <si>
    <t>INE459T07058</t>
  </si>
  <si>
    <t>INE090A08UB4</t>
  </si>
  <si>
    <t>9.15% ICICI Bank Ltd (20-Jun-2023) **</t>
  </si>
  <si>
    <t>INE971Z07059</t>
  </si>
  <si>
    <t>11.50% Rivaaz Trade Ventures Pvt Ltd (30-Mar-2023) **</t>
  </si>
  <si>
    <t>INE764L07181</t>
  </si>
  <si>
    <t>0.00% Sadbhav Infrastructure Project Ltd (06-Jun-2023) **</t>
  </si>
  <si>
    <t>INE946S07148</t>
  </si>
  <si>
    <t>12.80% Nufuture Digital (India) Ltd (30-Sep-2023) **</t>
  </si>
  <si>
    <t>INE080T07078</t>
  </si>
  <si>
    <t>13.40% Future Ideas Co Ltd (30-Sep-2023) **</t>
  </si>
  <si>
    <t>INE598K07029</t>
  </si>
  <si>
    <t>INE333T07063</t>
  </si>
  <si>
    <t>11.49% Reliance Big Pvt Ltd Series III (14-Jan-2021) $$ ^^ **</t>
  </si>
  <si>
    <t>Franklin India Income Opportunities Fund-Segregated Portfolio 1 - 8.25% Vodafone Idea Ltd (10-Jul-2020)</t>
  </si>
  <si>
    <t>Franklin India Income Opportunities Fund-Segregated Portfolio 2 - 10.90% Vodafone Idea Ltd (02-Sep-2023) P/C 03 Sep 2021</t>
  </si>
  <si>
    <t>Government Securities</t>
  </si>
  <si>
    <t>IN0020190065</t>
  </si>
  <si>
    <t>7.57% GOI 2033 (17-Jun-2033)</t>
  </si>
  <si>
    <t>SOVEREIGN</t>
  </si>
  <si>
    <t>IN0020190362</t>
  </si>
  <si>
    <t>6.45% GOI 2029 (07-Oct-2029)</t>
  </si>
  <si>
    <t>IN0020190016</t>
  </si>
  <si>
    <t>IN0020180454</t>
  </si>
  <si>
    <t>7.26% GOI 2029 (14-Jan-2029)</t>
  </si>
  <si>
    <t xml:space="preserve">      Quarterly Dividend Option</t>
  </si>
  <si>
    <t xml:space="preserve">      Direct Quarterly Dividend Option</t>
  </si>
  <si>
    <t>INE01XX07026</t>
  </si>
  <si>
    <t>8.9508% Pipeline Infrastructure Pvt Ltd (22-Mar-2024) **</t>
  </si>
  <si>
    <t>INE831R07268</t>
  </si>
  <si>
    <t>7.76% Aditya Birla Housing Finance Ltd (17-Feb-2023) **</t>
  </si>
  <si>
    <t>ICRA AAA</t>
  </si>
  <si>
    <t>INE155A08373</t>
  </si>
  <si>
    <t>9.31% Tata Motors Ltd (29-Sep-2023) **</t>
  </si>
  <si>
    <t>IN0020092071</t>
  </si>
  <si>
    <t>GOI FRB 2020 (21-Dec-2020)</t>
  </si>
  <si>
    <t>IN0020180041</t>
  </si>
  <si>
    <t>GOI FRB 2031 (07-Dec-2031)</t>
  </si>
  <si>
    <t xml:space="preserve">      Daily Dividend Plan</t>
  </si>
  <si>
    <t xml:space="preserve">      Direct Daily Dividend Plan</t>
  </si>
  <si>
    <t>INE922K07047</t>
  </si>
  <si>
    <t>11.25% India Shelter Finance Corporation Ltd (01-Oct-2026) **</t>
  </si>
  <si>
    <t>INE265J07373</t>
  </si>
  <si>
    <t>12.50% JM Financial Asset Reconstruction Co Ltd (02-Aug-2022) **</t>
  </si>
  <si>
    <t>INE01E708040</t>
  </si>
  <si>
    <t>10.32% Andhra Pradesh Capital Region Development Authority (16-Aug-2027) **</t>
  </si>
  <si>
    <t>INE124N07143</t>
  </si>
  <si>
    <t>10.9007% Esskay Fincorp Ltd (11-Jun-2021) **</t>
  </si>
  <si>
    <t>INE146O08100</t>
  </si>
  <si>
    <t>9.40% Hinduja Leyland Finance Ltd (28-Aug-2024) **</t>
  </si>
  <si>
    <t>INE540P07228</t>
  </si>
  <si>
    <t>9.75% Uttar Pradesh Power Corporation Ltd (20-Oct-2023) **</t>
  </si>
  <si>
    <t>INE134E08HV7</t>
  </si>
  <si>
    <t>8.36% Power Finance Corporation Ltd (04-Sep-2020) **</t>
  </si>
  <si>
    <t>INE020B08BQ7</t>
  </si>
  <si>
    <t>8.85% REC Ltd (16-Apr-2029)</t>
  </si>
  <si>
    <t>INE316W07021</t>
  </si>
  <si>
    <t>11.84% Hero Solar Energy Pvt Ltd (10-Jun-2022) **</t>
  </si>
  <si>
    <t>INE575P08024</t>
  </si>
  <si>
    <t>10.20% Star Health &amp; Allied Insurance Co Ltd (31-Oct-2024) **</t>
  </si>
  <si>
    <t>INE458O07036</t>
  </si>
  <si>
    <t>9.41% Renew Wind Energy Delhi Pvt Ltd (30-Sep-2030) **</t>
  </si>
  <si>
    <t>INE080T07037</t>
  </si>
  <si>
    <t>12.75% Future Ideas Co Ltd (30-Jun-2020) **</t>
  </si>
  <si>
    <t>INE840S07093</t>
  </si>
  <si>
    <t>11.90% Rivaaz Trade Ventures Pvt Ltd (11-May-2020) **</t>
  </si>
  <si>
    <t>Franklin India Dynamic Accrual Fund - Segregated Portfolio 1 - 8.25% Vodafone Idea Ltd (10-Jul-2020)</t>
  </si>
  <si>
    <t>Franklin India Dynamic Accrual Fund - Segregated Portfolio 2 - 10.90% Vodafone Idea Ltd (02-Sep-2023) P/C 03 Sep 2021</t>
  </si>
  <si>
    <t>Franklin India Dynamic Accrual Fund - Segregated Portfolio 3 - 9.50% Yes Bank Ltd CO 23 Dec 2021</t>
  </si>
  <si>
    <t>INE016P07120</t>
  </si>
  <si>
    <t>10.50% Vistaar Financial Services Pvt Ltd (22-Jun-2023) **</t>
  </si>
  <si>
    <t>INE016P07138</t>
  </si>
  <si>
    <t>10.50% Vistaar Financial Services Pvt Ltd (23-Jul-2024) **</t>
  </si>
  <si>
    <t>INE128S07325</t>
  </si>
  <si>
    <t>INE128S07341</t>
  </si>
  <si>
    <t>INE852O07048</t>
  </si>
  <si>
    <t>10.00% Aptus Value Housing Finance India Ltd (26-Dec-2024) **</t>
  </si>
  <si>
    <t>INE852O07071</t>
  </si>
  <si>
    <t>10.00% Aptus Value Housing Finance India Ltd (20-Jun-2025) **</t>
  </si>
  <si>
    <t>INE027E07709</t>
  </si>
  <si>
    <t>8.9492% L&amp;T Finance Ltd (16-Aug-2021) **</t>
  </si>
  <si>
    <t>CARE AAA</t>
  </si>
  <si>
    <t>INE001A07OO9</t>
  </si>
  <si>
    <t>8.75% Housing Development Finance Corporation Ltd (04-Mar-2021)</t>
  </si>
  <si>
    <t>INE660N07054</t>
  </si>
  <si>
    <t>INE946S07130</t>
  </si>
  <si>
    <t>12.80% Nufuture Digital (India) Ltd (30-Sep-2022) **</t>
  </si>
  <si>
    <t>Franklin India Credit Risk Fund-Segregated Portfolio 1 - 8.25% Vodafone Idea Ltd (10-Jul-2020)</t>
  </si>
  <si>
    <t>Franklin India Credit Risk Fund-Segregated Portfolio 2 - 10.90% Vodafone Idea Ltd (02-Sep-2023) P/C 03 Sep 2021</t>
  </si>
  <si>
    <t>Franklin India Credit Risk Fund - Segregated Portfolio 3 - 9.50% Yes Bank Ltd CO 23 Dec 2021</t>
  </si>
  <si>
    <t>INE020B08BP9</t>
  </si>
  <si>
    <t>8.97% REC Ltd (28-Mar-2029) **</t>
  </si>
  <si>
    <t>INE047A08141</t>
  </si>
  <si>
    <t>7.85% Grasim industries Ltd (15-Apr-2024) **</t>
  </si>
  <si>
    <t>INE115A07OS8</t>
  </si>
  <si>
    <t>7.33% LIC Housing Finance Ltd (12-Feb-2025) **</t>
  </si>
  <si>
    <t>INE134E08JY7</t>
  </si>
  <si>
    <t>9.25% Power Finance Corporation Ltd (25-Sep-2024) **</t>
  </si>
  <si>
    <t>INE163N08065</t>
  </si>
  <si>
    <t>8.60% ONGC Petro Additions Ltd (11-Mar-2022) **</t>
  </si>
  <si>
    <t>INE434A08067</t>
  </si>
  <si>
    <t>10.99% Andhra Bank (05-Aug-2021) **</t>
  </si>
  <si>
    <t>INE438A07144</t>
  </si>
  <si>
    <t>7.80% Apollo Tyres Ltd (29-Apr-2022) **</t>
  </si>
  <si>
    <t>INE163N08073</t>
  </si>
  <si>
    <t>8.85% ONGC Petro Additions Ltd (19-Apr-2022) **</t>
  </si>
  <si>
    <t>INE115A07OM1</t>
  </si>
  <si>
    <t>7.79% LIC Housing Finance Ltd (18-Oct-2024) **</t>
  </si>
  <si>
    <t>INE481G08032</t>
  </si>
  <si>
    <t>6.93% UltraTech Cement Ltd (25-Nov-2021) **</t>
  </si>
  <si>
    <t>INE134E08JC3</t>
  </si>
  <si>
    <t>7.44% Power Finance Corporation Ltd (11-Jun-2027) **</t>
  </si>
  <si>
    <t>INE115A07LX4</t>
  </si>
  <si>
    <t>7.67% LIC Housing Finance Ltd (29-Jul-2021) **</t>
  </si>
  <si>
    <t>INE001A07RZ8</t>
  </si>
  <si>
    <t>7.28% Housing Development Finance Corporation Ltd (26-Sep-2022) **</t>
  </si>
  <si>
    <t>INE020B08AM8</t>
  </si>
  <si>
    <t>7.09% REC Ltd (17-Oct-2022) **</t>
  </si>
  <si>
    <t>INE028A08174</t>
  </si>
  <si>
    <t>8.70% Bank of Baroda (28-Nov-2024) **</t>
  </si>
  <si>
    <t>INE115A07NM3</t>
  </si>
  <si>
    <t>0.00% LIC Housing Finance Ltd (25-Feb-2022) **</t>
  </si>
  <si>
    <t>INE906B07FE6</t>
  </si>
  <si>
    <t>7.17% National Highways Authority Of India (23-Dec-2021) **</t>
  </si>
  <si>
    <t>INE514E08EQ7</t>
  </si>
  <si>
    <t>8.02% Export-Import Bank of India (29-Oct-2025)</t>
  </si>
  <si>
    <t>INE020B08CD3</t>
  </si>
  <si>
    <t>7.09% REC Ltd (13-Dec-2022)</t>
  </si>
  <si>
    <t>INE848E07AO4</t>
  </si>
  <si>
    <t>7.50% NHPC Ltd (07-Oct-2025) **</t>
  </si>
  <si>
    <t>INE020B08930</t>
  </si>
  <si>
    <t>8.30% REC Ltd (10-Apr-2025) **</t>
  </si>
  <si>
    <t>INE936D07075</t>
  </si>
  <si>
    <t>9.75% Jamnagar Utilities &amp; Power Pvt Ltd (02-Aug-2024) **</t>
  </si>
  <si>
    <t>INE295J08055</t>
  </si>
  <si>
    <t>9.15% Coastal Gujarat Power Ltd (14-Jun-2022) **</t>
  </si>
  <si>
    <t>INE134E08KH0</t>
  </si>
  <si>
    <t>7.42% Power Finance Corporation Ltd (19-Nov-2024) **</t>
  </si>
  <si>
    <t>INE053F07AB5</t>
  </si>
  <si>
    <t>7.27% Indian Railway Finance Corporation Ltd (15-Jun-2027) **</t>
  </si>
  <si>
    <t>INE936D07067</t>
  </si>
  <si>
    <t>8.95% Jamnagar Utilities &amp; Power Pvt Ltd (26-Apr-2023) **</t>
  </si>
  <si>
    <t>INE261F08AI7</t>
  </si>
  <si>
    <t>8.60% National Bank For Agriculture &amp; Rural Development (31-Jan-2022) **</t>
  </si>
  <si>
    <t>INE134E08JW1</t>
  </si>
  <si>
    <t>8.18% Power Finance Corporation Ltd (19-Mar-2022) **</t>
  </si>
  <si>
    <t>INE667A08104</t>
  </si>
  <si>
    <t>9.80% Syndicate Bank (25-Jul-2022) **</t>
  </si>
  <si>
    <t>INE941D07125</t>
  </si>
  <si>
    <t>10.40% Sikka Ports &amp; Terminals Ltd (18-Jul-2021) **</t>
  </si>
  <si>
    <t>INE031A08699</t>
  </si>
  <si>
    <t>8.41% Housing &amp; Urban Development Corporation Ltd (15-Mar-2029) **</t>
  </si>
  <si>
    <t>INE514E08CO6</t>
  </si>
  <si>
    <t>7.94% Export-Import Bank of India (22-May-2023) **</t>
  </si>
  <si>
    <t>INE535H07AG6</t>
  </si>
  <si>
    <t>0.00% Fullerton India Credit Co Ltd (08-Apr-2021) **</t>
  </si>
  <si>
    <t>INE053F07BZ2</t>
  </si>
  <si>
    <t>6.59% Indian Railway Finance Corporation Ltd (14-Apr-2023) **</t>
  </si>
  <si>
    <t>INE020B08CO0</t>
  </si>
  <si>
    <t>7.14% REC Ltd (02-Mar-2030)</t>
  </si>
  <si>
    <t>INE916DA7MX1</t>
  </si>
  <si>
    <t>7.8526% Kotak Mahindra Prime Ltd (07-Apr-2020) **</t>
  </si>
  <si>
    <t>INE556F08JI1</t>
  </si>
  <si>
    <t>8.81% Small Industries Development Bank Of India (25-Jan-2022) **</t>
  </si>
  <si>
    <t>INE115A07NW2</t>
  </si>
  <si>
    <t>0.00% LIC Housing Finance Ltd (04-May-2022) **</t>
  </si>
  <si>
    <t>INE134E08IH4</t>
  </si>
  <si>
    <t>7.50% Power Finance Corporation Ltd (16-Aug-2021) **</t>
  </si>
  <si>
    <t>INE134E08KC1</t>
  </si>
  <si>
    <t>8.85% Power Finance Corporation Ltd (25-May-2029)</t>
  </si>
  <si>
    <t>INE020B08BS3</t>
  </si>
  <si>
    <t>8.80% REC Ltd (14-May-2029)</t>
  </si>
  <si>
    <t>INE752E07MZ9</t>
  </si>
  <si>
    <t>8.40% Power Grid Corporation of India Ltd (14-Sep-2021) **</t>
  </si>
  <si>
    <t>INE756I07CD9</t>
  </si>
  <si>
    <t>0.00% HDB Financial Services Ltd (29-Oct-2021) **</t>
  </si>
  <si>
    <t>INE514E08FL5</t>
  </si>
  <si>
    <t>8.60% Export-Import Bank of India (31-Mar-2022) **</t>
  </si>
  <si>
    <t>INE861G08035</t>
  </si>
  <si>
    <t>9.95% Food Corporation Of India (07-Mar-2022) **</t>
  </si>
  <si>
    <t>CRISIL AAA(CE)</t>
  </si>
  <si>
    <t>INE848E07815</t>
  </si>
  <si>
    <t>8.50% NHPC Ltd (14-Jul-2021) **</t>
  </si>
  <si>
    <t>INE296A07ON7</t>
  </si>
  <si>
    <t>7.8535% Bajaj Finance Ltd (07-Apr-2020) **</t>
  </si>
  <si>
    <t>INE667A08088</t>
  </si>
  <si>
    <t>9.95% Syndicate Bank (25-Oct-2021) **</t>
  </si>
  <si>
    <t>INE860H07GE0</t>
  </si>
  <si>
    <t>0.00% Aditya Birla Finance Ltd (08-Apr-2022) **</t>
  </si>
  <si>
    <t>INE053F07AK6</t>
  </si>
  <si>
    <t>7.65% Indian Railway Finance Corporation Ltd (15-Mar-2021) **</t>
  </si>
  <si>
    <t>INE029A07075</t>
  </si>
  <si>
    <t>7.35% Bharat Petroleum Corporation Ltd (10-Mar-2022) **</t>
  </si>
  <si>
    <t>INE053F09HR2</t>
  </si>
  <si>
    <t>9.57% Indian Railway Finance Corporation Ltd (31-May-2021) **</t>
  </si>
  <si>
    <t>INE053F07942</t>
  </si>
  <si>
    <t>6.70% Indian Railway Finance Corporation Ltd (24-Nov-2021) **</t>
  </si>
  <si>
    <t>INE801J08019</t>
  </si>
  <si>
    <t>7.48% Bennett Coleman and Co Ltd (26-Apr-2021) **</t>
  </si>
  <si>
    <t xml:space="preserve">      Half Yearly Dividend Plan</t>
  </si>
  <si>
    <t xml:space="preserve">      Annual Dividend Plan</t>
  </si>
  <si>
    <t xml:space="preserve">      Direct Half Yearly Dividend Plan</t>
  </si>
  <si>
    <t xml:space="preserve">      Direct Annual Dividend Plan</t>
  </si>
  <si>
    <t>Franklin India Banking &amp; PSU Debt Fund</t>
  </si>
  <si>
    <t>INE557F08FG1</t>
  </si>
  <si>
    <t>7.05% National Housing Bank (18-Dec-2024) **</t>
  </si>
  <si>
    <t>INE861G08050</t>
  </si>
  <si>
    <t>7.64% Food Corporation Of India (12-Dec-2029)</t>
  </si>
  <si>
    <t>CRISIL AAA (CE)</t>
  </si>
  <si>
    <t>INE906B07HH5</t>
  </si>
  <si>
    <t>7.70% National Highways Authority Of India (13-Sep-2029) **</t>
  </si>
  <si>
    <t>INE053F07AC3</t>
  </si>
  <si>
    <t>7.33% Indian Railway Finance Corporation Ltd (27-Aug-2027) **</t>
  </si>
  <si>
    <t>INE261F08BY2</t>
  </si>
  <si>
    <t>7.10% National Bank For Agriculture &amp; Rural Development (08-Feb-2030)</t>
  </si>
  <si>
    <t>INE029A08040</t>
  </si>
  <si>
    <t>7.69% Bharat Petroleum Corporation Ltd (16-Jan-2023) **</t>
  </si>
  <si>
    <t>INE020B08AQ9</t>
  </si>
  <si>
    <t>7.70% REC Ltd (10-Dec-2027) **</t>
  </si>
  <si>
    <t>INE733E07JO9</t>
  </si>
  <si>
    <t>9.17% NTPC Ltd (21-Sep-2024) **</t>
  </si>
  <si>
    <t>INE906B07FT4</t>
  </si>
  <si>
    <t>7.27% National Highways Authority Of India (06-Jun-2022) **</t>
  </si>
  <si>
    <t>INE261F08BQ8</t>
  </si>
  <si>
    <t>6.70% National Bank For Agriculture &amp; Rural Development (11-Nov-2022) **</t>
  </si>
  <si>
    <t>INE062A08140</t>
  </si>
  <si>
    <t>8.39% State Bank of India (25-Oct-2021) **</t>
  </si>
  <si>
    <t>INE134E08JX9</t>
  </si>
  <si>
    <t>9.10% Power Finance Corporation Ltd (23-Mar-2029) **</t>
  </si>
  <si>
    <t>INE020B08906</t>
  </si>
  <si>
    <t>8.27% REC Ltd (06-Feb-2025) **</t>
  </si>
  <si>
    <t>INE976G08064</t>
  </si>
  <si>
    <t>10.20% RBL Bank Ltd (15-Apr-2023) **</t>
  </si>
  <si>
    <t>INE514E08EP9</t>
  </si>
  <si>
    <t>8.25% Export-Import Bank of India (28-Sep-2025)</t>
  </si>
  <si>
    <t>INE733E07JX0</t>
  </si>
  <si>
    <t>8.19% NTPC Ltd (15-Dec-2025) **</t>
  </si>
  <si>
    <t>INE752E07MQ8</t>
  </si>
  <si>
    <t>8.40% Power Grid Corporation of India Ltd (27-May-2024) **</t>
  </si>
  <si>
    <t>INE733E07KL3</t>
  </si>
  <si>
    <t>7.32% NTPC Ltd (17-Jul-2029)</t>
  </si>
  <si>
    <t>INE261F08BI5</t>
  </si>
  <si>
    <t>7.90% National Bank For Agriculture &amp; Rural Development (18-Apr-2022)</t>
  </si>
  <si>
    <t>INE020B08BM6</t>
  </si>
  <si>
    <t>8.35% REC Ltd (11-Mar-2022) **</t>
  </si>
  <si>
    <t>INE752E07NN3</t>
  </si>
  <si>
    <t>8.13% Power Grid Corporation of India Ltd (23-Apr-2021) **</t>
  </si>
  <si>
    <t>Franklin India Overnight Fund</t>
  </si>
  <si>
    <t xml:space="preserve">      Weekly Dividend Plan</t>
  </si>
  <si>
    <t xml:space="preserve">      Direct Weekly Dividend Plan</t>
  </si>
  <si>
    <t>INE155A08068</t>
  </si>
  <si>
    <t>9.70% Tata Motors Ltd (18-Jun-2020)</t>
  </si>
  <si>
    <t>INE860H07GB6</t>
  </si>
  <si>
    <t>0.00% Aditya Birla Finance Ltd (21-Apr-2020) **</t>
  </si>
  <si>
    <t>INE691I08503</t>
  </si>
  <si>
    <t>8.1933% L&amp;T Infrastructure Finance Co Ltd ( 25-May-2020) **</t>
  </si>
  <si>
    <t>INE860H07EZ0</t>
  </si>
  <si>
    <t>0.00% Aditya Birla Finance Ltd (15-May-2020) **</t>
  </si>
  <si>
    <t>INE155A08043</t>
  </si>
  <si>
    <t>9.90% Tata Motors Ltd (07-May-2020) **</t>
  </si>
  <si>
    <t>INE028A16BO0</t>
  </si>
  <si>
    <t>Bank of Baroda (01-Jun-2020) **</t>
  </si>
  <si>
    <t>INE084A16CC6</t>
  </si>
  <si>
    <t>Bank of India (15-Jun-2020)</t>
  </si>
  <si>
    <t>INE238A164U8</t>
  </si>
  <si>
    <t>Axis Bank Ltd (15-Jun-2020) **</t>
  </si>
  <si>
    <t>INE562A16JS2</t>
  </si>
  <si>
    <t>Indian Bank (01-Jun-2020)</t>
  </si>
  <si>
    <t>INE095A16H10</t>
  </si>
  <si>
    <t>IndusInd Bank Ltd (22-May-2020) **</t>
  </si>
  <si>
    <t>INE095A16H02</t>
  </si>
  <si>
    <t>IndusInd Bank Ltd (21-May-2020) **</t>
  </si>
  <si>
    <t>INE261F16421</t>
  </si>
  <si>
    <t>National Bank For Agriculture &amp; Rural Development (12-Jun-2020) **</t>
  </si>
  <si>
    <t>INE238A162S6</t>
  </si>
  <si>
    <t>Axis Bank Ltd (27-May-2020)</t>
  </si>
  <si>
    <t>INE556F16648</t>
  </si>
  <si>
    <t>Small Industries Development Bank Of India (04-Jun-2020) **</t>
  </si>
  <si>
    <t>INE242A14PS3</t>
  </si>
  <si>
    <t>Indian Oil Corporation Ltd (30-Apr-2020) **@</t>
  </si>
  <si>
    <t>INE081A14AQ1</t>
  </si>
  <si>
    <t>Tata Steel Ltd (26-May-2020) **@</t>
  </si>
  <si>
    <t>INE110L14NH7</t>
  </si>
  <si>
    <t>Reliance Jio Infocomm Ltd (04-May-2020) **@</t>
  </si>
  <si>
    <t>INE110L14NV8</t>
  </si>
  <si>
    <t>Reliance Jio Infocomm Ltd (05-Jun-2020) **@</t>
  </si>
  <si>
    <t>INE242A14PP9</t>
  </si>
  <si>
    <t>Indian Oil Corporation Ltd (18-May-2020) **@</t>
  </si>
  <si>
    <t>INE261F14GA9</t>
  </si>
  <si>
    <t>National Bank For Agriculture &amp; Rural Development (08-Jun-2020) **@</t>
  </si>
  <si>
    <t>INE001A14WL4</t>
  </si>
  <si>
    <t>Housing Development Finance Corporation Ltd (15-Jun-2020) **@</t>
  </si>
  <si>
    <t>INE09OL14359</t>
  </si>
  <si>
    <t>Birla Group Holdings Pvt Ltd (05-Jun-2020) **@</t>
  </si>
  <si>
    <t>INE110L14NL9</t>
  </si>
  <si>
    <t>Reliance Jio Infocomm Ltd (11-May-2020) **@</t>
  </si>
  <si>
    <t>INE002A14EN6</t>
  </si>
  <si>
    <t>Reliance Industries Ltd (08-Jun-2020) **@</t>
  </si>
  <si>
    <t>INE029A14907</t>
  </si>
  <si>
    <t>Bharat Petroleum Corporation Ltd (18-Jun-2020) **@</t>
  </si>
  <si>
    <t>INE725H14905</t>
  </si>
  <si>
    <t>Tata Projects Ltd (22-Jun-2020) **@</t>
  </si>
  <si>
    <t>INE09OL14342</t>
  </si>
  <si>
    <t>Birla Group Holdings Pvt Ltd (03-Jun-2020) **@</t>
  </si>
  <si>
    <t>INE242A14PK0</t>
  </si>
  <si>
    <t>Indian Oil Corporation Ltd (17-Apr-2020) **@</t>
  </si>
  <si>
    <t>INE647O14DC4</t>
  </si>
  <si>
    <t>Aditya Birla Fashion and Retail Ltd (14-May-2020) **@</t>
  </si>
  <si>
    <t>INE085A14GX5</t>
  </si>
  <si>
    <t>Chambal Fertilizers &amp; Chemicals Ltd (11-Jun-2020) **@</t>
  </si>
  <si>
    <t>INE582L14FM3</t>
  </si>
  <si>
    <t>Tata Housing Development Co Ltd (24-Jun-2020) **@</t>
  </si>
  <si>
    <t>INE242A14PN4</t>
  </si>
  <si>
    <t>Indian Oil Corporation Ltd (24-Apr-2020) **@</t>
  </si>
  <si>
    <t>INE012I14LT0</t>
  </si>
  <si>
    <t>JM Financial Services Ltd (22-May-2020) **@</t>
  </si>
  <si>
    <t>INE975F14RX3</t>
  </si>
  <si>
    <t>Kotak Mahindra Investments Ltd (30-Apr-2020) **@</t>
  </si>
  <si>
    <t>INE012I14LS2</t>
  </si>
  <si>
    <t>JM Financial Services Ltd (19-May-2020) **@</t>
  </si>
  <si>
    <t>INE012I14LW4</t>
  </si>
  <si>
    <t>JM Financial Services Ltd (16-Jun-2020) **@</t>
  </si>
  <si>
    <t>INE242A14PR5</t>
  </si>
  <si>
    <t>Indian Oil Corporation Ltd (20-Apr-2020) **@</t>
  </si>
  <si>
    <t>INE018E14NG9</t>
  </si>
  <si>
    <t>SBI Cards &amp; Payment Services Pvt Ltd (29-Jun-2020)@</t>
  </si>
  <si>
    <t>INE002A14DU3</t>
  </si>
  <si>
    <t>Reliance Industries Ltd (18-May-2020) **@</t>
  </si>
  <si>
    <t xml:space="preserve">      Regular Plan Daily Dividend Reinvestment Option</t>
  </si>
  <si>
    <t xml:space="preserve">      Regular Plan Weekly Dividend Option</t>
  </si>
  <si>
    <t xml:space="preserve">      Institutional Plan Daily Dividend Reinvestment Option</t>
  </si>
  <si>
    <t xml:space="preserve">      Institutional Plan Weekly Dividend Option</t>
  </si>
  <si>
    <t xml:space="preserve">      Super Institutional Plan Daily Dividend Reinvestment Option</t>
  </si>
  <si>
    <t xml:space="preserve">      Direct Super Institutional Growth Option</t>
  </si>
  <si>
    <t xml:space="preserve">      Direct Super Institutional Daily Dividend Reinvestment Option</t>
  </si>
  <si>
    <t xml:space="preserve">      Direct Super Institutional Weekly Dividend Option</t>
  </si>
  <si>
    <t xml:space="preserve">      Unclaimed Redemption Plan - Growth</t>
  </si>
  <si>
    <t xml:space="preserve">      Unclaimed Dividend Plan - Growth</t>
  </si>
  <si>
    <t xml:space="preserve">      Unclaimed Redemption Investor Education Plan - Growth</t>
  </si>
  <si>
    <t xml:space="preserve">      Unclaimed Dividend Investor Education Plan - Growth</t>
  </si>
  <si>
    <t>Franklin India Fixed Maturity Plans-Series 6 – Plan C  (1169 days)</t>
  </si>
  <si>
    <t>INE891K07416</t>
  </si>
  <si>
    <t>0.00% Axis Finance Ltd (19-Apr-2022) **</t>
  </si>
  <si>
    <t>INE377Y07052</t>
  </si>
  <si>
    <t>0.00% Bajaj Housing Finance Ltd (05-Apr-2022) **</t>
  </si>
  <si>
    <t>INE774D07SQ1</t>
  </si>
  <si>
    <t>0.00% Mahindra &amp; Mahindra Financial Services Ltd (29-Mar-2022) **</t>
  </si>
  <si>
    <t>INE296A07QQ5</t>
  </si>
  <si>
    <t>0.00% Bajaj Finance Ltd (05-Apr-2022) **</t>
  </si>
  <si>
    <t>INE031A08657</t>
  </si>
  <si>
    <t>8.23% Housing &amp; Urban Development Corporation Ltd (15-Apr-2022)</t>
  </si>
  <si>
    <t>INE535H07AT9</t>
  </si>
  <si>
    <t>0.00% Fullerton India Credit Co Ltd (13-Apr-2022) **</t>
  </si>
  <si>
    <t xml:space="preserve">      Dividend Plan </t>
  </si>
  <si>
    <t>Franklin India Fixed Maturity Plans-Series 5 – Plan F (1203 days)</t>
  </si>
  <si>
    <t>INE020B08BF0</t>
  </si>
  <si>
    <t>8.45% REC Ltd (22-Mar-2022) **</t>
  </si>
  <si>
    <t>INE134E08GT3</t>
  </si>
  <si>
    <t>8.55% Power Finance Corporation Ltd (09-Dec-2021) **</t>
  </si>
  <si>
    <t>INE831R07235</t>
  </si>
  <si>
    <t>0.00% Aditya Birla Housing Finance Ltd (13-Apr-2022) **</t>
  </si>
  <si>
    <t>Franklin India Fixed Maturity Plans-Series 5 – Plan E (1224 days)</t>
  </si>
  <si>
    <t>INE377Y07086</t>
  </si>
  <si>
    <t>0.00% Bajaj Housing Finance Ltd (05-May-2022) **</t>
  </si>
  <si>
    <t>INE756I07CI8</t>
  </si>
  <si>
    <t>0.00% HDB Financial Services Ltd (05-Apr-2022) **</t>
  </si>
  <si>
    <t>INE906B07FG1</t>
  </si>
  <si>
    <t>7.60% National Highways Authority Of India (18-Mar-2022) **</t>
  </si>
  <si>
    <t>INE306N07KG9</t>
  </si>
  <si>
    <t>9.4756% Tata Capital Financial Services Ltd (08-Apr-2022) **</t>
  </si>
  <si>
    <t>Franklin India Fixed Maturity Plans – Series 5 – Plan D (1238 days)</t>
  </si>
  <si>
    <t>INE774D07SS7</t>
  </si>
  <si>
    <t>9.05% Mahindra &amp; Mahindra Financial Services Ltd (18-Apr-2022) **</t>
  </si>
  <si>
    <t>Franklin India Fixed Maturity Plans - Series 5 -Plan C (1259 Days)</t>
  </si>
  <si>
    <t>INE535H07AQ5</t>
  </si>
  <si>
    <t>0.00% Fullerton India Credit Co Ltd (19-Apr-2022) **</t>
  </si>
  <si>
    <t>INE476M07BR8</t>
  </si>
  <si>
    <t>9.3772% L&amp;T Housing Finance Ltd (11-Mar-2022) **</t>
  </si>
  <si>
    <t>Franklin India Fixed Maturity Plans – Series 5 - Plan B (1244 days)</t>
  </si>
  <si>
    <t>INE033L07GA4</t>
  </si>
  <si>
    <t>9.1791% Tata Capital Housing Finance Ltd (13-Apr-2022) **</t>
  </si>
  <si>
    <t>Franklin India Fixed Maturity Plans - Series 5 - Plan A (1273 days)</t>
  </si>
  <si>
    <t>Franklin India Fixed Maturity Plans - Series 4 - Plan F (1286 Days)</t>
  </si>
  <si>
    <t>INE115A07LM7</t>
  </si>
  <si>
    <t>7.95% LIC Housing Finance Ltd (24-Mar-2022) **</t>
  </si>
  <si>
    <t>INE134E08IN2</t>
  </si>
  <si>
    <t>7.27% Power Finance Corporation Ltd (22-Dec-2021) **</t>
  </si>
  <si>
    <t>INE895D08790</t>
  </si>
  <si>
    <t>8.25% Tata Sons Pvt Ltd (23-Mar-2022) **</t>
  </si>
  <si>
    <t>Franklin India Fixed Maturity Plans - Series 4 - Plan E (1098 days)</t>
  </si>
  <si>
    <t>INE481G08057</t>
  </si>
  <si>
    <t>8.36% Ultratech Cement Ltd (07-Jun-2021) **</t>
  </si>
  <si>
    <t>INE556F08JH3</t>
  </si>
  <si>
    <t>8.40% Small Industries Development Bank Of India (10-Aug-2021) **</t>
  </si>
  <si>
    <t>INE261F08AM9</t>
  </si>
  <si>
    <t>8.37% National Bank For Agriculture &amp; Rural Development (03-Aug-2021) **</t>
  </si>
  <si>
    <t>INE660A07PT8</t>
  </si>
  <si>
    <t>0.00% Sundaram Finance Ltd (31-Aug-2021) **</t>
  </si>
  <si>
    <t>INE020B08AO4</t>
  </si>
  <si>
    <t>7.18% REC Ltd (21-May-2021) **</t>
  </si>
  <si>
    <t>INE860H07FW4</t>
  </si>
  <si>
    <t>0.00% Aditya Birla Finance Ltd (26-Jul-2021) **</t>
  </si>
  <si>
    <t>Franklin India Fixed Maturity Plans - Series 4 - Plan D (1098 Days)</t>
  </si>
  <si>
    <t>INE377Y07045</t>
  </si>
  <si>
    <t>8.1352% Bajaj Housing Finance Ltd (04-Jun-2021) **</t>
  </si>
  <si>
    <t>Franklin India Fixed Maturity Plans - Series 4 - Plan C (1098 Days)</t>
  </si>
  <si>
    <t>INE115A07MX2</t>
  </si>
  <si>
    <t>0.00% LIC Housing Finance Ltd (25-Mar-2021) **</t>
  </si>
  <si>
    <t>INE891K07440</t>
  </si>
  <si>
    <t>0.00% Axis Finance Ltd (31-Aug-2021) **</t>
  </si>
  <si>
    <t>INE831R07201</t>
  </si>
  <si>
    <t>0.00% Aditya Birla Housing Finance Ltd (26-Jul-2021) **</t>
  </si>
  <si>
    <t>Franklin India Fixed Maturity Plans - Series 4 - Plan B (1098 days)</t>
  </si>
  <si>
    <t>INE020B07IW2</t>
  </si>
  <si>
    <t>9.40% REC Ltd (17-Jul-2021) **</t>
  </si>
  <si>
    <t>INE535H07AK8</t>
  </si>
  <si>
    <t>0.00% Fullerton India Credit Co Ltd (15-Jul-2021) **</t>
  </si>
  <si>
    <t>INE134E08DN3</t>
  </si>
  <si>
    <t>9.70% Power Finance Corporation Ltd (09-Jun-2021) **</t>
  </si>
  <si>
    <t>INE027E07642</t>
  </si>
  <si>
    <t>8.25% L&amp;T Finance Ltd (21-Jun-2021) **</t>
  </si>
  <si>
    <t>INE134E08ID3</t>
  </si>
  <si>
    <t>8.05% Power Finance Corporation Ltd (27-Apr-2021) **</t>
  </si>
  <si>
    <t>INE752E07MN5</t>
  </si>
  <si>
    <t>8.40% Power Grid Corporation of India Ltd (27-May-2021) **</t>
  </si>
  <si>
    <t>INE660A07PN1</t>
  </si>
  <si>
    <t>0.00% Sundaram Finance Ltd (15-Jun-2021) **</t>
  </si>
  <si>
    <t>INE071G08940</t>
  </si>
  <si>
    <t>8.22% ICICI Home Finance Co Ltd (27-May-2021) **</t>
  </si>
  <si>
    <t>INE377Y07029</t>
  </si>
  <si>
    <t>0.00% Bajaj Housing Finance Ltd (06-Apr-2021) **</t>
  </si>
  <si>
    <t>INE115A07MT0</t>
  </si>
  <si>
    <t>7.88% LIC Housing Finance Ltd (28-Jan-2021) **</t>
  </si>
  <si>
    <t>Franklin India Fixed Maturity Plans-Series 4 - Plan A (1098 Days)</t>
  </si>
  <si>
    <t>INE110L07112</t>
  </si>
  <si>
    <t>8.70% Reliance Industries Ltd (15-Jun-2021) **</t>
  </si>
  <si>
    <t>INE891K07390</t>
  </si>
  <si>
    <t>0.00% Axis Finance Ltd (14-Jun-2021) **</t>
  </si>
  <si>
    <t>INE556F08JF7</t>
  </si>
  <si>
    <t>8.50% Small Industries Development Bank of India (21-Jun-2021) **</t>
  </si>
  <si>
    <t>INE476M07BM9</t>
  </si>
  <si>
    <t>8.80% L&amp;T Housing Finance Ltd (23-Jun-2021) **</t>
  </si>
  <si>
    <t>INE020B08AW7</t>
  </si>
  <si>
    <t>7.73% REC Ltd (15-Jun-2021) **</t>
  </si>
  <si>
    <t>Franklin India Fixed Maturity Plans - Series 3 - Plan F (1098 days)</t>
  </si>
  <si>
    <t>INE031A08566</t>
  </si>
  <si>
    <t>7.73% Housing &amp; Urban Development Corporation Ltd (15-Apr-2021) **</t>
  </si>
  <si>
    <t>INE774D07SB3</t>
  </si>
  <si>
    <t>8.10% Mahindra &amp; Mahindra Financial Services Ltd (19-Apr-2021) **</t>
  </si>
  <si>
    <t>INE556F08JD2</t>
  </si>
  <si>
    <t>7.65% Small Industries Development Bank Of India (15-Apr-2021) **</t>
  </si>
  <si>
    <t>INE883A07174</t>
  </si>
  <si>
    <t>10.09% MRF Ltd (27-May-2021) **</t>
  </si>
  <si>
    <t>INE134E08DM5</t>
  </si>
  <si>
    <t>9.18% Power Finance Corporation Ltd (15-Apr-2021) **</t>
  </si>
  <si>
    <t>INE756I07BW1</t>
  </si>
  <si>
    <t>0.00% HDB Financial Services Ltd (06-Apr-2021) **</t>
  </si>
  <si>
    <t>INE115A07IO9</t>
  </si>
  <si>
    <t>8.50% LIC Housing Finance Ltd (05-Jan-2021) **</t>
  </si>
  <si>
    <t>INE244N07065</t>
  </si>
  <si>
    <t>8.19% Mahindra Vehicle Manufacturers Ltd (23-Feb-2021) **</t>
  </si>
  <si>
    <t>Franklin India Fixed Maturity Plans - Series 3 - Plan E (1104 Days)</t>
  </si>
  <si>
    <t>INE134E08JM2</t>
  </si>
  <si>
    <t>7.75% Power Finance Corporation Ltd (15-Apr-2021) **</t>
  </si>
  <si>
    <t>INE020B08AS5</t>
  </si>
  <si>
    <t>7.70% REC Ltd (15-Mar-2021) **</t>
  </si>
  <si>
    <t>INE031A08590</t>
  </si>
  <si>
    <t>7.68% Housing &amp; Urban Development Corporation Ltd (05-Apr-2021) **</t>
  </si>
  <si>
    <t>INE916DA7PO3</t>
  </si>
  <si>
    <t>0.00% Kotak Mahindra Prime Ltd (27-May-2021) **</t>
  </si>
  <si>
    <t>INE261F08956</t>
  </si>
  <si>
    <t>7.40% National Bank For Agriculture &amp; Rural Development (01-Feb-2021) **</t>
  </si>
  <si>
    <t>INE895D08899</t>
  </si>
  <si>
    <t>8.25% Tata Sons Pvt Ltd (24-Mar-2021) **</t>
  </si>
  <si>
    <t>Franklin India Fixed Maturity Plans - Series 3 - Plan D (1132 Days)</t>
  </si>
  <si>
    <t>INE916DA7PI5</t>
  </si>
  <si>
    <t>0.00% Kotak Mahindra Prime Ltd (26-Apr-2021) **</t>
  </si>
  <si>
    <t>Franklin India Fixed Maturity Plans - Series 3 - Plan C (1132 Days)</t>
  </si>
  <si>
    <t>INE134E08JK6</t>
  </si>
  <si>
    <t>7.73% Power Finance Corporation Ltd (05-Apr-2021) **</t>
  </si>
  <si>
    <t>INE556F08JA8</t>
  </si>
  <si>
    <t>7.52% Small Industries Development Bank of India (10-Feb-2021) **</t>
  </si>
  <si>
    <t>INE020B08AR7</t>
  </si>
  <si>
    <t>7.60% REC Ltd (17-Apr-2021) **</t>
  </si>
  <si>
    <t>INE752E07GX6</t>
  </si>
  <si>
    <t>8.84% Power Grid Corporation of India Ltd (29-Mar-2021) **</t>
  </si>
  <si>
    <t>INE895D08881</t>
  </si>
  <si>
    <t>8.25% Tata Sons Pvt Ltd (23-Mar-2021) **</t>
  </si>
  <si>
    <t>Franklin India Fixed Maturity Plans - Series 3 - Plan B (1139 Days)</t>
  </si>
  <si>
    <t>INE296A07QB7</t>
  </si>
  <si>
    <t>7.50% Bajaj Finance Ltd (10-Aug-2020) **</t>
  </si>
  <si>
    <t>Franklin India Fixed Maturity Plans-Series 3-Plan A (1157 Days)</t>
  </si>
  <si>
    <t>INE115A07AL2</t>
  </si>
  <si>
    <t>9.60% LIC Housing Finance Ltd (07-Mar-2021) **</t>
  </si>
  <si>
    <t>INE031A08541</t>
  </si>
  <si>
    <t>7.14% Housing &amp; Urban Development Corporation Ltd (22-Dec-2020) **</t>
  </si>
  <si>
    <t>Franklin India Fixed Maturity Plans- Series 2 - Plan C (1205 Days)</t>
  </si>
  <si>
    <t>INE756I07BU5</t>
  </si>
  <si>
    <t>7.9407% HDB Financial Services Ltd (15-Apr-2021) **</t>
  </si>
  <si>
    <t>Franklin India Fixed Maturity Plans - Series 2 - Plan B (1224 Days)</t>
  </si>
  <si>
    <t>INE477A07274</t>
  </si>
  <si>
    <t>7.64% Can Fin Homes Ltd (28-Feb-2021) **</t>
  </si>
  <si>
    <t>INE115A07JB4</t>
  </si>
  <si>
    <t>8.75% LIC Housing Finance Ltd (12-Feb-2021) **</t>
  </si>
  <si>
    <t>INE895D08725</t>
  </si>
  <si>
    <t>7.85% Tata Sons Pvt Ltd (31-Jan-2021) **</t>
  </si>
  <si>
    <t>Franklin India Fixed Maturity Plans - Series 2- Plan A (1224 Days)</t>
  </si>
  <si>
    <t>INE733E07JZ5</t>
  </si>
  <si>
    <t>8.33% NTPC Ltd (24-Feb-2021) **</t>
  </si>
  <si>
    <t>INE134E07505</t>
  </si>
  <si>
    <t>9.70% Power Finance Corporation Ltd (31-Jan-2021)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</si>
  <si>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</si>
  <si>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</si>
  <si>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</si>
  <si>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</si>
  <si>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</si>
  <si>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</si>
  <si>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</si>
  <si>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Corporation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</si>
  <si>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</si>
  <si>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</si>
  <si>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</si>
  <si>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</si>
  <si>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t>Franklin India Fixed Maturity Plans - Series 1 - Plan B (1104 days)</t>
  </si>
  <si>
    <t>INF090I01JV2</t>
  </si>
  <si>
    <t>Franklin India Fixed Maturity Plans - Series 1- Plan A (1108 days)</t>
  </si>
  <si>
    <t>Franklin India Pension Plan</t>
  </si>
  <si>
    <t>Industry / Rating</t>
  </si>
  <si>
    <t>INE685A01028</t>
  </si>
  <si>
    <t>Torrent Pharmaceuticals Ltd</t>
  </si>
  <si>
    <t>INE062A08124</t>
  </si>
  <si>
    <t>9.00% State Bank of India (06-Sep-2021) **</t>
  </si>
  <si>
    <t>INE523H07866</t>
  </si>
  <si>
    <t>8.80% JM Financial Products Ltd (28-Sep-2020) **</t>
  </si>
  <si>
    <t>Franklin India Debt Hybrid Fund - Segregated Portfolio 1 - 10.25% Yes Bank Ltd CO 05 Mar 2020</t>
  </si>
  <si>
    <t>INE528G09061</t>
  </si>
  <si>
    <t>Franklin India Equity Savings Fund</t>
  </si>
  <si>
    <t>INE424H01027</t>
  </si>
  <si>
    <t>Sun TV Network Ltd</t>
  </si>
  <si>
    <t>INE774D01024</t>
  </si>
  <si>
    <t>Mahindra &amp; Mahindra Financial Services Ltd</t>
  </si>
  <si>
    <t>d) Average Maturity as on 31-Mar-2020</t>
  </si>
  <si>
    <t xml:space="preserve">e) During the month additional instances of fair valuation/deviation from valuation price provided by the valuation agencies </t>
  </si>
  <si>
    <t>(c) Units of Real Eastate Investment Trusts (REITs)</t>
  </si>
  <si>
    <t>INE265J07282</t>
  </si>
  <si>
    <t>10.25% JM Financial Asset Reconstruction Co Ltd (31-Aug-2021) **</t>
  </si>
  <si>
    <t>Mutual Fund Units / ETF</t>
  </si>
  <si>
    <t>NA****</t>
  </si>
  <si>
    <t xml:space="preserve"> $$ Indicates securties below investment grade or default</t>
  </si>
  <si>
    <t>Franklin India Liquid Fund - Direct Super Institutional Growth Option</t>
  </si>
  <si>
    <t xml:space="preserve">b) During the month additional instances of fair valuation/deviation from valuation price provided by the valuation agencies </t>
  </si>
  <si>
    <t>^^ Securities are fair Valued</t>
  </si>
  <si>
    <t>(a) Privately Placed / Unlisted</t>
  </si>
  <si>
    <t>Margin on Derivatives</t>
  </si>
  <si>
    <t xml:space="preserve">      Retail Plan Growth Option !</t>
  </si>
  <si>
    <t xml:space="preserve">      Retail Plan Daily Dividend Option !</t>
  </si>
  <si>
    <t xml:space="preserve">      Retail Plan Weekly Dividend Option !</t>
  </si>
  <si>
    <t xml:space="preserve">      Institutional Plan Growth Option !</t>
  </si>
  <si>
    <t xml:space="preserve">      Institutional Plan Daily Dividend Option !</t>
  </si>
  <si>
    <t xml:space="preserve">      Institutional Plan Growth Option  !</t>
  </si>
  <si>
    <t xml:space="preserve">      Institutional Plan Dividend Option !</t>
  </si>
  <si>
    <t xml:space="preserve">      Institutional Plan Dividend Option  !</t>
  </si>
  <si>
    <t xml:space="preserve">      Institutional Plan Daily Dividend Reinvestment Option  !</t>
  </si>
  <si>
    <t xml:space="preserve">      Institutional Plan Weekly Dividend Option  !</t>
  </si>
  <si>
    <t xml:space="preserve">      Regular Plan Growth Option  !</t>
  </si>
  <si>
    <t xml:space="preserve">      Regular Plan Daily Dividend Reinvestment Option  !</t>
  </si>
  <si>
    <t xml:space="preserve">      Regular Plan Weekly Dividend Option  !</t>
  </si>
  <si>
    <t>****Plan was launched on Sepetmber 06, 2019</t>
  </si>
  <si>
    <t>^ Effective June 4, 2018, Franklin India Treasury Management Account  was renamed as Franklin India Liquid Fund</t>
  </si>
  <si>
    <t>Franklin India Liquid Fund ^</t>
  </si>
  <si>
    <t>MIBOR - Mumbai Interbank Offered Rate</t>
  </si>
  <si>
    <t>SBI MCLR - Base Rate of State Bank of India Marginal Cost of Funds Based Lending Rate</t>
  </si>
  <si>
    <t>SBI - Base Rate of State Bank of India</t>
  </si>
  <si>
    <t xml:space="preserve">Market Value  (Rs. in Lakhs) </t>
  </si>
  <si>
    <t>Franklin India Savings Fund ^</t>
  </si>
  <si>
    <t>^ Effective June 4, 2018, Franklin India Savings Plus Fund  was renamed as Franklin India Savings Fund.</t>
  </si>
  <si>
    <t>Franklin India Government Securities Fund ^</t>
  </si>
  <si>
    <t>^ Effective June 4, 2018, Franklin India Government Securities Fund – Long Term Plan was renamed as Franklin India Government Securities Fund.</t>
  </si>
  <si>
    <t>^ Effective June 4, 2018, Franklin India Corporate Bond Opportunities Fund  was renamed as Franklin India Credit Risk Fund</t>
  </si>
  <si>
    <t>Franklin India Corporate Debt Fund ^</t>
  </si>
  <si>
    <t>^ Effective June 4, 2018, Franklin India Income Builder Account was renamed as Franklin India Corporate Debt Fund.</t>
  </si>
  <si>
    <t>^ Effective June 4, 2018, Franklin India Monthly Income Plan was renamed as Franklin India Debt Hybrid Fund.</t>
  </si>
  <si>
    <t>% to Net Assets Derivative</t>
  </si>
  <si>
    <t xml:space="preserve">Franklin India Equity Hybrid Fund ^ </t>
  </si>
  <si>
    <t>^ Effective June 4, 2018 Franklin India Balanced Fund was renamed as Franklin India Equity Hybrid Fund</t>
  </si>
  <si>
    <t>Templeton India Value Fund ^</t>
  </si>
  <si>
    <t>^ Effective June 4, 2018, Templeton India Growth Fund was renamed as Templeton India Value Fund.</t>
  </si>
  <si>
    <t>d) *** Total value and percentage of illiquid securities Rs.0.10 Lakhs and 0.0004% of net assets.</t>
  </si>
  <si>
    <t>Franklin India Dynamic Asset Allocation Fund Of Funds ^</t>
  </si>
  <si>
    <t>^ Effective October 21, 2019, scheme name of Franklin India Dynamic PE Ratio Fund of Funds was changed to Franklin India Dynamic Asset Allocation Fund of Funds</t>
  </si>
  <si>
    <t>^ Effective June 4, 2018,  Franklin India Income Builder Account was renamed as Franklin India Corporate Debt Fund.</t>
  </si>
  <si>
    <t>^ Effective June 4, 2018, Franklin India Savings Plus Fund was renamed as Franklin India Savings Fund.</t>
  </si>
  <si>
    <t xml:space="preserve">d) *** Total value and percentage of illiquid securities Rs.0.00 Lakhs and less than 0.000001% of net </t>
  </si>
  <si>
    <t>Franklin India Equity Advantage Fund ^</t>
  </si>
  <si>
    <t>^ Effective June 4, 2018, Franklin India Flexi Cap Fund was renamed as Franklin India Equity Advantage Fund.</t>
  </si>
  <si>
    <t>Franklin India Equity Fund ^</t>
  </si>
  <si>
    <t>^ Effective June 4, 2018, Franklin India Prima Plus was renamed as Franklin India Equity Fund.</t>
  </si>
  <si>
    <t>Franklin India Focused Equity Fund ^</t>
  </si>
  <si>
    <t>^ Effective June 4, 2018, Franklin India High Growth Companies Fund was renamed as Franklin India Focused Equity Fund.</t>
  </si>
  <si>
    <t>d) *** Total value and percentage of illiquid securities Rs.0.07 Lakhs and 0.0001% of net assets.</t>
  </si>
  <si>
    <t>Brillio Technologies Pvt Ltd **</t>
  </si>
  <si>
    <t>Numero Uno International Ltd **</t>
  </si>
  <si>
    <t>Quantum Information Services **</t>
  </si>
  <si>
    <t>Chennai Interactive Business Services Pvt Ltd **</t>
  </si>
  <si>
    <t>Globsyn Technologies Ltd **</t>
  </si>
  <si>
    <t>Quantum Information Systems **</t>
  </si>
  <si>
    <t>e) *** Total value and percentage of illiquid securities Rs 0.03 Lakhs and 0.00001% of net assets.</t>
  </si>
  <si>
    <t xml:space="preserve">f) During the month additional instances of fair valuation/deviation from valuation price provided by the valuation agencies </t>
  </si>
  <si>
    <t>^^23.47% of the Investment in this security is placed with Clearing Corporation of India Limited (CCIL) as collateral</t>
  </si>
  <si>
    <t>Franklin India Ultra Short Bond Fund (No. of segregated Portfolio in the scheme -1)</t>
  </si>
  <si>
    <t>Franklin India Short-Term Income Plan (No. of segregated Portfolios in the scheme - 3)</t>
  </si>
  <si>
    <t>Franklin India Low Duration Fund (No. of segregated Portfolios in the scheme -2)</t>
  </si>
  <si>
    <t>Franklin India Income Opportunities Fund (No. of segregated Portfolios in the scheme - 2)</t>
  </si>
  <si>
    <t>Franklin India Dynamic Accrual Fund (No. of segregated Portfolios in the scheme - 3)</t>
  </si>
  <si>
    <t xml:space="preserve">Franklin India Credit Risk Fund ^ (No. of segregated Portfolios in the scheme -3) </t>
  </si>
  <si>
    <t>Franklin India Debt Hybrid Fund ^ (No. of segregated Portfolio in the scheme - 1)</t>
  </si>
  <si>
    <t>****Portfolio was created on January 24, 2020 on account of Segregation</t>
  </si>
  <si>
    <t>****Portfolio was created on March 06, 2020 on account of Segregation</t>
  </si>
  <si>
    <t>10.25% Yes Bank Ltd (05-Mar-2110)  $$ **</t>
  </si>
  <si>
    <t>(MIBOR+65 Bps) Axis Bank Ltd (10-Dec-2020) **</t>
  </si>
  <si>
    <t>(MIBOR+110 Bps) Cooperatieve Rabobank (27-Nov-2020) **</t>
  </si>
  <si>
    <t>d) *** Total value and percentage of illiquid securities Rs.0.02 Lakhs and 0.00001% of net 
assets.</t>
  </si>
  <si>
    <t>Edelweiss Rural &amp; Corporate Services Ltd (1Y SBI MCLR + 250 Bps) (29-Nov-2021) **</t>
  </si>
  <si>
    <t>Edelweiss Rural &amp; Corporate Services Ltd (1Y SBI MCLR + 250 Bps) (29-Nov-2021) - Series II **</t>
  </si>
  <si>
    <t xml:space="preserve">c) Total outstanding position (as at March 31 , 2020) in Derivative Instruments (Gross Notional) </t>
  </si>
  <si>
    <t>e) Portfolio Turnover Ratio during the Half - year 31-Mar-2020</t>
  </si>
  <si>
    <t>f) Average Maturity as on 31-Mar-2020</t>
  </si>
  <si>
    <t xml:space="preserve">g) During the month additional instances of fair valuation/deviation from valuation price provided by the valuation agencies </t>
  </si>
  <si>
    <t>f) *** Total value and percentage of illiquid securities Rs.0.00 Lakhs and 0.0000001% of net assets.</t>
  </si>
  <si>
    <t>d) Outstanding derivative exposure as % to net assets</t>
  </si>
  <si>
    <t>Franklin India Floating Rate Fund ^</t>
  </si>
  <si>
    <t>^ Effective June 4, 2018, Franklin India Cash Management Account was renamed as Franklin India Floating Rate Fund</t>
  </si>
  <si>
    <t>Rs.4741.72 Lacs</t>
  </si>
  <si>
    <t>Rs.469.76
 Lacs</t>
  </si>
  <si>
    <t>7.27% GOI 2026 (08-Apr-2026) ^^</t>
  </si>
  <si>
    <t>b) Aggregate Dividends declared during the Half-year ended 31-Mar-2020</t>
  </si>
  <si>
    <t>Dividend per unit (Rs.)</t>
  </si>
  <si>
    <t>Franklin India Short Term Income Plan- Segregated Portfolio 1- 8.25% Vodafone Idea Ltd-10JUL20</t>
  </si>
  <si>
    <t>Franklin India Short Term Income Plan- Segregated Portfolio 2- 10.90% Vodafone Idea Ltd 02Sep2023 (P/C 03Sep2021)</t>
  </si>
  <si>
    <t>Franklin India Short Term Income Plan- Segregated Portfolio 3- 9.50% Yes Bank Ltd CO 23Dec2021</t>
  </si>
  <si>
    <t>Franklin India Dynamic Accrual Fund- Segregated Portfolio 2- 10.90% Vodafone Idea Ltd 02Sep2023 (P/C 03Sep2021)</t>
  </si>
  <si>
    <t>Franklin India Dynamic Accrual Fund- Segregated Portfolio 1- 8.25% Vodafone Idea Ltd-10JUL20</t>
  </si>
  <si>
    <t>Franklin India Dynamic Accrual Fund- Segregated Portfolio 3- 9.50% Yes Bank Ltd CO 23Dec21</t>
  </si>
  <si>
    <t>Franklin India Short Term Income Plan-Segregated Portfolio 3- 9.50% Yes Bank Ltd CO 23Dec21</t>
  </si>
  <si>
    <t>(b) Unlisted***</t>
  </si>
  <si>
    <t>Industry Classification / Rating</t>
  </si>
  <si>
    <t>Franklin India Index Fund - NSE Nifty Plan</t>
  </si>
  <si>
    <t>Yes Bank Ltd **</t>
  </si>
  <si>
    <t>** Non - Traded Scrips</t>
  </si>
  <si>
    <t>0.00*</t>
  </si>
  <si>
    <t>% to Net Assets(Hedged &amp; Unhedged)</t>
  </si>
  <si>
    <t>https://www.franklintempletonindia.com/investor/reports?firstFilter-4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</si>
</sst>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#,##0.00%"/>
  </numFmts>
  <fonts count="1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1"/>
      <color indexed="63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01">
    <xf numFmtId="0" fontId="0" fillId="0" borderId="0" xfId="0"/>
    <xf numFmtId="0" fontId="9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9" fillId="2" borderId="0" xfId="0" applyNumberFormat="1" applyFont="1" applyFill="1"/>
    <xf numFmtId="4" fontId="9" fillId="2" borderId="0" xfId="0" applyNumberFormat="1" applyFont="1" applyFill="1"/>
    <xf numFmtId="0" fontId="10" fillId="0" borderId="1" xfId="0" applyFont="1" applyBorder="1" applyAlignment="1">
      <alignment vertical="center"/>
    </xf>
    <xf numFmtId="0" fontId="11" fillId="2" borderId="0" xfId="0" applyFont="1" applyFill="1"/>
    <xf numFmtId="0" fontId="11" fillId="2" borderId="0" xfId="0" applyNumberFormat="1" applyFont="1" applyFill="1"/>
    <xf numFmtId="4" fontId="11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0" fontId="10" fillId="0" borderId="1" xfId="0" applyNumberFormat="1" applyFont="1" applyBorder="1" applyAlignment="1">
      <alignment vertical="center"/>
    </xf>
    <xf numFmtId="4" fontId="11" fillId="3" borderId="0" xfId="0" applyNumberFormat="1" applyFont="1" applyFill="1" applyBorder="1"/>
    <xf numFmtId="0" fontId="10" fillId="2" borderId="0" xfId="0" applyFont="1" applyFill="1"/>
    <xf numFmtId="0" fontId="10" fillId="2" borderId="0" xfId="0" applyNumberFormat="1" applyFont="1" applyFill="1"/>
    <xf numFmtId="4" fontId="10" fillId="3" borderId="0" xfId="0" applyNumberFormat="1" applyFont="1" applyFill="1" applyBorder="1"/>
    <xf numFmtId="0" fontId="10" fillId="2" borderId="2" xfId="0" applyFont="1" applyFill="1" applyBorder="1"/>
    <xf numFmtId="0" fontId="11" fillId="2" borderId="2" xfId="0" applyFont="1" applyFill="1" applyBorder="1"/>
    <xf numFmtId="0" fontId="11" fillId="2" borderId="2" xfId="0" applyNumberFormat="1" applyFont="1" applyFill="1" applyBorder="1"/>
    <xf numFmtId="4" fontId="11" fillId="2" borderId="2" xfId="0" applyNumberFormat="1" applyFont="1" applyFill="1" applyBorder="1"/>
    <xf numFmtId="4" fontId="11" fillId="3" borderId="2" xfId="0" applyNumberFormat="1" applyFont="1" applyFill="1" applyBorder="1"/>
    <xf numFmtId="0" fontId="10" fillId="2" borderId="3" xfId="0" applyFont="1" applyFill="1" applyBorder="1"/>
    <xf numFmtId="0" fontId="11" fillId="2" borderId="3" xfId="0" applyFont="1" applyFill="1" applyBorder="1"/>
    <xf numFmtId="0" fontId="11" fillId="2" borderId="3" xfId="0" applyNumberFormat="1" applyFont="1" applyFill="1" applyBorder="1"/>
    <xf numFmtId="4" fontId="11" fillId="2" borderId="3" xfId="0" applyNumberFormat="1" applyFont="1" applyFill="1" applyBorder="1"/>
    <xf numFmtId="4" fontId="11" fillId="3" borderId="3" xfId="0" applyNumberFormat="1" applyFont="1" applyFill="1" applyBorder="1"/>
    <xf numFmtId="3" fontId="11" fillId="2" borderId="3" xfId="0" applyNumberFormat="1" applyFont="1" applyFill="1" applyBorder="1"/>
    <xf numFmtId="0" fontId="10" fillId="2" borderId="3" xfId="0" applyNumberFormat="1" applyFont="1" applyFill="1" applyBorder="1"/>
    <xf numFmtId="4" fontId="10" fillId="2" borderId="3" xfId="0" applyNumberFormat="1" applyFont="1" applyFill="1" applyBorder="1"/>
    <xf numFmtId="4" fontId="10" fillId="3" borderId="3" xfId="0" applyNumberFormat="1" applyFont="1" applyFill="1" applyBorder="1"/>
    <xf numFmtId="0" fontId="10" fillId="2" borderId="4" xfId="0" applyFont="1" applyFill="1" applyBorder="1"/>
    <xf numFmtId="0" fontId="10" fillId="2" borderId="4" xfId="0" applyNumberFormat="1" applyFont="1" applyFill="1" applyBorder="1"/>
    <xf numFmtId="4" fontId="10" fillId="2" borderId="4" xfId="0" applyNumberFormat="1" applyFont="1" applyFill="1" applyBorder="1"/>
    <xf numFmtId="4" fontId="10" fillId="3" borderId="4" xfId="0" applyNumberFormat="1" applyFont="1" applyFill="1" applyBorder="1"/>
    <xf numFmtId="0" fontId="10" fillId="2" borderId="0" xfId="0" applyFont="1" applyFill="1" applyAlignment="1">
      <alignment horizontal="right"/>
    </xf>
    <xf numFmtId="164" fontId="11" fillId="2" borderId="0" xfId="0" applyNumberFormat="1" applyFont="1" applyFill="1"/>
    <xf numFmtId="0" fontId="10" fillId="2" borderId="1" xfId="0" applyFont="1" applyFill="1" applyBorder="1" applyAlignment="1">
      <alignment horizontal="right"/>
    </xf>
    <xf numFmtId="0" fontId="10" fillId="2" borderId="1" xfId="0" applyNumberFormat="1" applyFont="1" applyFill="1" applyBorder="1" applyAlignment="1">
      <alignment horizontal="right"/>
    </xf>
    <xf numFmtId="164" fontId="11" fillId="2" borderId="1" xfId="0" applyNumberFormat="1" applyFont="1" applyFill="1" applyBorder="1"/>
    <xf numFmtId="0" fontId="10" fillId="2" borderId="0" xfId="0" applyNumberFormat="1" applyFont="1" applyFill="1" applyAlignment="1">
      <alignment horizontal="right"/>
    </xf>
    <xf numFmtId="165" fontId="11" fillId="2" borderId="0" xfId="0" applyNumberFormat="1" applyFont="1" applyFill="1"/>
    <xf numFmtId="4" fontId="10" fillId="3" borderId="0" xfId="0" applyNumberFormat="1" applyFont="1" applyFill="1" applyBorder="1" applyAlignment="1">
      <alignment horizontal="right"/>
    </xf>
    <xf numFmtId="0" fontId="11" fillId="2" borderId="3" xfId="0" applyFont="1" applyFill="1" applyBorder="1" applyAlignment="1">
      <alignment wrapText="1"/>
    </xf>
    <xf numFmtId="0" fontId="11" fillId="0" borderId="3" xfId="0" applyFont="1" applyFill="1" applyBorder="1"/>
    <xf numFmtId="3" fontId="11" fillId="0" borderId="3" xfId="0" applyNumberFormat="1" applyFont="1" applyFill="1" applyBorder="1"/>
    <xf numFmtId="4" fontId="11" fillId="0" borderId="3" xfId="0" applyNumberFormat="1" applyFont="1" applyFill="1" applyBorder="1"/>
    <xf numFmtId="0" fontId="12" fillId="2" borderId="0" xfId="0" applyFont="1" applyFill="1"/>
    <xf numFmtId="0" fontId="8" fillId="2" borderId="0" xfId="2" applyFill="1"/>
    <xf numFmtId="0" fontId="11" fillId="0" borderId="3" xfId="0" applyFont="1" applyFill="1" applyBorder="1" applyAlignment="1">
      <alignment wrapText="1"/>
    </xf>
    <xf numFmtId="0" fontId="11" fillId="3" borderId="2" xfId="0" applyFont="1" applyFill="1" applyBorder="1"/>
    <xf numFmtId="0" fontId="11" fillId="3" borderId="3" xfId="0" applyFont="1" applyFill="1" applyBorder="1"/>
    <xf numFmtId="4" fontId="11" fillId="3" borderId="3" xfId="1" applyNumberFormat="1" applyFont="1" applyFill="1" applyBorder="1"/>
    <xf numFmtId="4" fontId="10" fillId="3" borderId="3" xfId="1" applyNumberFormat="1" applyFont="1" applyFill="1" applyBorder="1"/>
    <xf numFmtId="0" fontId="10" fillId="3" borderId="3" xfId="0" applyFont="1" applyFill="1" applyBorder="1"/>
    <xf numFmtId="0" fontId="11" fillId="3" borderId="4" xfId="0" applyFont="1" applyFill="1" applyBorder="1"/>
    <xf numFmtId="2" fontId="11" fillId="3" borderId="3" xfId="0" applyNumberFormat="1" applyFont="1" applyFill="1" applyBorder="1"/>
    <xf numFmtId="164" fontId="11" fillId="2" borderId="0" xfId="0" applyNumberFormat="1" applyFont="1" applyFill="1" applyAlignment="1">
      <alignment horizontal="right"/>
    </xf>
    <xf numFmtId="0" fontId="10" fillId="0" borderId="0" xfId="0" quotePrefix="1" applyFont="1"/>
    <xf numFmtId="0" fontId="10" fillId="0" borderId="0" xfId="0" applyNumberFormat="1" applyFont="1" applyFill="1" applyAlignment="1">
      <alignment horizontal="right"/>
    </xf>
    <xf numFmtId="0" fontId="10" fillId="3" borderId="0" xfId="0" applyFont="1" applyFill="1"/>
    <xf numFmtId="0" fontId="10" fillId="3" borderId="0" xfId="0" quotePrefix="1" applyFont="1" applyFill="1"/>
    <xf numFmtId="2" fontId="10" fillId="0" borderId="1" xfId="0" applyNumberFormat="1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right"/>
    </xf>
    <xf numFmtId="0" fontId="11" fillId="3" borderId="0" xfId="0" applyFont="1" applyFill="1"/>
    <xf numFmtId="4" fontId="5" fillId="2" borderId="0" xfId="0" applyNumberFormat="1" applyFont="1" applyFill="1" applyAlignment="1">
      <alignment horizontal="left" vertical="top" wrapText="1"/>
    </xf>
    <xf numFmtId="0" fontId="10" fillId="3" borderId="0" xfId="0" applyNumberFormat="1" applyFont="1" applyFill="1" applyAlignment="1">
      <alignment horizontal="right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/>
    <xf numFmtId="0" fontId="10" fillId="0" borderId="1" xfId="0" applyNumberFormat="1" applyFont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NumberFormat="1" applyFont="1" applyFill="1" applyBorder="1"/>
    <xf numFmtId="4" fontId="10" fillId="2" borderId="0" xfId="0" applyNumberFormat="1" applyFont="1" applyFill="1" applyBorder="1"/>
    <xf numFmtId="0" fontId="11" fillId="3" borderId="0" xfId="0" applyFont="1" applyFill="1" applyBorder="1"/>
    <xf numFmtId="0" fontId="11" fillId="2" borderId="0" xfId="0" applyFont="1" applyFill="1" applyBorder="1"/>
    <xf numFmtId="10" fontId="11" fillId="2" borderId="0" xfId="3" applyNumberFormat="1" applyFont="1" applyFill="1"/>
    <xf numFmtId="0" fontId="6" fillId="0" borderId="0" xfId="0" applyFont="1" applyAlignment="1">
      <alignment horizontal="right"/>
    </xf>
    <xf numFmtId="39" fontId="10" fillId="2" borderId="3" xfId="0" applyNumberFormat="1" applyFont="1" applyFill="1" applyBorder="1"/>
    <xf numFmtId="39" fontId="10" fillId="3" borderId="3" xfId="0" applyNumberFormat="1" applyFont="1" applyFill="1" applyBorder="1"/>
    <xf numFmtId="39" fontId="11" fillId="3" borderId="3" xfId="1" applyNumberFormat="1" applyFont="1" applyFill="1" applyBorder="1"/>
    <xf numFmtId="0" fontId="11" fillId="3" borderId="3" xfId="0" applyFont="1" applyFill="1" applyBorder="1" applyAlignment="1">
      <alignment wrapText="1"/>
    </xf>
    <xf numFmtId="0" fontId="10" fillId="3" borderId="1" xfId="0" applyFont="1" applyFill="1" applyBorder="1" applyAlignment="1">
      <alignment vertical="center" wrapText="1"/>
    </xf>
    <xf numFmtId="0" fontId="11" fillId="2" borderId="0" xfId="0" applyFont="1" applyFill="1" applyAlignment="1">
      <alignment vertical="top"/>
    </xf>
    <xf numFmtId="4" fontId="10" fillId="2" borderId="3" xfId="0" applyNumberFormat="1" applyFont="1" applyFill="1" applyBorder="1" applyAlignment="1">
      <alignment horizontal="right"/>
    </xf>
    <xf numFmtId="4" fontId="10" fillId="3" borderId="0" xfId="0" applyNumberFormat="1" applyFont="1" applyFill="1"/>
    <xf numFmtId="4" fontId="10" fillId="3" borderId="0" xfId="0" applyNumberFormat="1" applyFont="1" applyFill="1" applyAlignment="1">
      <alignment horizontal="left"/>
    </xf>
    <xf numFmtId="0" fontId="4" fillId="4" borderId="7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3" borderId="5" xfId="0" applyFont="1" applyFill="1" applyBorder="1"/>
    <xf numFmtId="0" fontId="11" fillId="3" borderId="6" xfId="0" applyFont="1" applyFill="1" applyBorder="1"/>
    <xf numFmtId="0" fontId="11" fillId="2" borderId="5" xfId="0" applyFont="1" applyFill="1" applyBorder="1"/>
    <xf numFmtId="0" fontId="11" fillId="2" borderId="6" xfId="0" applyFont="1" applyFill="1" applyBorder="1"/>
    <xf numFmtId="4" fontId="10" fillId="3" borderId="8" xfId="0" applyNumberFormat="1" applyFont="1" applyFill="1" applyBorder="1" applyAlignment="1">
      <alignment horizontal="right" indent="1"/>
    </xf>
    <xf numFmtId="4" fontId="10" fillId="3" borderId="8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left" wrapText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137"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franklintempletonindia.com/investor/reports?firstFilter-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franklintempletonindia.com/investor/reports?firstFilter-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www.franklintempletonindia.com/investor/reports?firstFilter-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ranklintempletonindia.com/investor/report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69.1796875" style="9" bestFit="1" customWidth="1"/>
    <col min="3" max="3" width="15.453125" style="9" bestFit="1" customWidth="1"/>
    <col min="4" max="4" width="15.453125" style="10" bestFit="1" customWidth="1"/>
    <col min="5" max="5" width="13.453125" style="11" customWidth="1"/>
    <col min="6" max="6" width="13.26953125" style="14" bestFit="1" customWidth="1"/>
    <col min="7" max="7" width="5.81640625" style="9" bestFit="1" customWidth="1"/>
    <col min="8" max="16384" width="9.1796875" style="9"/>
  </cols>
  <sheetData>
    <row r="1" spans="1:8" s="1" customFormat="1" ht="14" x14ac:dyDescent="0.25">
      <c r="A1" s="88" t="s">
        <v>1856</v>
      </c>
      <c r="B1" s="89"/>
      <c r="C1" s="89"/>
      <c r="D1" s="89"/>
      <c r="E1" s="89"/>
      <c r="F1" s="89"/>
    </row>
    <row r="2" spans="1:8" s="1" customFormat="1" ht="11.5" x14ac:dyDescent="0.25">
      <c r="A2" s="48" t="s">
        <v>660</v>
      </c>
      <c r="D2" s="6"/>
      <c r="E2" s="7"/>
      <c r="F2" s="14"/>
    </row>
    <row r="3" spans="1:8" s="1" customFormat="1" ht="11.5" x14ac:dyDescent="0.25">
      <c r="A3" s="12" t="s">
        <v>4</v>
      </c>
      <c r="B3" s="2"/>
      <c r="C3" s="3"/>
      <c r="D3" s="4"/>
      <c r="E3" s="5"/>
      <c r="F3" s="14"/>
    </row>
    <row r="4" spans="1:8" s="1" customFormat="1" ht="23.25" customHeight="1" x14ac:dyDescent="0.25">
      <c r="A4" s="8" t="s">
        <v>2</v>
      </c>
      <c r="B4" s="8" t="s">
        <v>0</v>
      </c>
      <c r="C4" s="8" t="s">
        <v>661</v>
      </c>
      <c r="D4" s="71" t="s">
        <v>1</v>
      </c>
      <c r="E4" s="64" t="s">
        <v>1820</v>
      </c>
      <c r="F4" s="63" t="s">
        <v>3</v>
      </c>
      <c r="H4" s="65"/>
    </row>
    <row r="5" spans="1:8" ht="10.5" x14ac:dyDescent="0.25">
      <c r="A5" s="18" t="s">
        <v>662</v>
      </c>
      <c r="B5" s="19"/>
      <c r="C5" s="19"/>
      <c r="D5" s="20"/>
      <c r="E5" s="21"/>
      <c r="F5" s="22"/>
    </row>
    <row r="6" spans="1:8" ht="10.5" x14ac:dyDescent="0.25">
      <c r="A6" s="23" t="s">
        <v>23</v>
      </c>
      <c r="B6" s="24"/>
      <c r="C6" s="24"/>
      <c r="D6" s="25"/>
      <c r="E6" s="26"/>
      <c r="F6" s="27"/>
    </row>
    <row r="7" spans="1:8" x14ac:dyDescent="0.2">
      <c r="A7" s="24" t="s">
        <v>663</v>
      </c>
      <c r="B7" s="24" t="s">
        <v>664</v>
      </c>
      <c r="C7" s="24" t="s">
        <v>665</v>
      </c>
      <c r="D7" s="28">
        <v>7900</v>
      </c>
      <c r="E7" s="26">
        <v>79295.301999999996</v>
      </c>
      <c r="F7" s="27">
        <v>7.2322226033759298</v>
      </c>
    </row>
    <row r="8" spans="1:8" x14ac:dyDescent="0.2">
      <c r="A8" s="24" t="s">
        <v>666</v>
      </c>
      <c r="B8" s="24" t="s">
        <v>667</v>
      </c>
      <c r="C8" s="24" t="s">
        <v>668</v>
      </c>
      <c r="D8" s="28">
        <v>5400</v>
      </c>
      <c r="E8" s="26">
        <v>54020.358</v>
      </c>
      <c r="F8" s="27">
        <v>4.9269911875745196</v>
      </c>
    </row>
    <row r="9" spans="1:8" x14ac:dyDescent="0.2">
      <c r="A9" s="24" t="s">
        <v>669</v>
      </c>
      <c r="B9" s="24" t="s">
        <v>670</v>
      </c>
      <c r="C9" s="24" t="s">
        <v>665</v>
      </c>
      <c r="D9" s="28">
        <v>4600</v>
      </c>
      <c r="E9" s="26">
        <v>46037.122000000003</v>
      </c>
      <c r="F9" s="27">
        <v>4.1988706256869497</v>
      </c>
    </row>
    <row r="10" spans="1:8" x14ac:dyDescent="0.2">
      <c r="A10" s="24" t="s">
        <v>671</v>
      </c>
      <c r="B10" s="24" t="s">
        <v>672</v>
      </c>
      <c r="C10" s="24" t="s">
        <v>673</v>
      </c>
      <c r="D10" s="28">
        <v>4400</v>
      </c>
      <c r="E10" s="26">
        <v>43976.944000000003</v>
      </c>
      <c r="F10" s="27">
        <v>4.0109696337898804</v>
      </c>
    </row>
    <row r="11" spans="1:8" x14ac:dyDescent="0.2">
      <c r="A11" s="24" t="s">
        <v>674</v>
      </c>
      <c r="B11" s="24" t="s">
        <v>675</v>
      </c>
      <c r="C11" s="24" t="s">
        <v>665</v>
      </c>
      <c r="D11" s="28">
        <v>3750</v>
      </c>
      <c r="E11" s="26">
        <v>37720.987500000003</v>
      </c>
      <c r="F11" s="27">
        <v>3.4403876590212201</v>
      </c>
    </row>
    <row r="12" spans="1:8" x14ac:dyDescent="0.2">
      <c r="A12" s="24" t="s">
        <v>676</v>
      </c>
      <c r="B12" s="24" t="s">
        <v>1869</v>
      </c>
      <c r="C12" s="24" t="s">
        <v>677</v>
      </c>
      <c r="D12" s="28">
        <v>7500</v>
      </c>
      <c r="E12" s="26">
        <v>37287.449999999997</v>
      </c>
      <c r="F12" s="27">
        <v>3.4008463542045599</v>
      </c>
    </row>
    <row r="13" spans="1:8" x14ac:dyDescent="0.2">
      <c r="A13" s="24" t="s">
        <v>678</v>
      </c>
      <c r="B13" s="24" t="s">
        <v>1870</v>
      </c>
      <c r="C13" s="24" t="s">
        <v>679</v>
      </c>
      <c r="D13" s="28">
        <v>3650</v>
      </c>
      <c r="E13" s="26">
        <v>36201.43</v>
      </c>
      <c r="F13" s="27">
        <v>3.30179460468581</v>
      </c>
    </row>
    <row r="14" spans="1:8" x14ac:dyDescent="0.2">
      <c r="A14" s="24" t="s">
        <v>680</v>
      </c>
      <c r="B14" s="24" t="s">
        <v>681</v>
      </c>
      <c r="C14" s="24" t="s">
        <v>668</v>
      </c>
      <c r="D14" s="28">
        <v>3100</v>
      </c>
      <c r="E14" s="26">
        <v>31059.52</v>
      </c>
      <c r="F14" s="27">
        <v>2.8328205697987898</v>
      </c>
    </row>
    <row r="15" spans="1:8" x14ac:dyDescent="0.2">
      <c r="A15" s="24" t="s">
        <v>682</v>
      </c>
      <c r="B15" s="24" t="s">
        <v>683</v>
      </c>
      <c r="C15" s="24" t="s">
        <v>684</v>
      </c>
      <c r="D15" s="28">
        <v>2890</v>
      </c>
      <c r="E15" s="26">
        <v>28900</v>
      </c>
      <c r="F15" s="27">
        <v>2.6358589722952899</v>
      </c>
    </row>
    <row r="16" spans="1:8" x14ac:dyDescent="0.2">
      <c r="A16" s="24" t="s">
        <v>685</v>
      </c>
      <c r="B16" s="24" t="s">
        <v>686</v>
      </c>
      <c r="C16" s="24" t="s">
        <v>668</v>
      </c>
      <c r="D16" s="28">
        <v>2700</v>
      </c>
      <c r="E16" s="26">
        <v>27040.688999999998</v>
      </c>
      <c r="F16" s="27">
        <v>2.4662782947299799</v>
      </c>
    </row>
    <row r="17" spans="1:6" x14ac:dyDescent="0.2">
      <c r="A17" s="24" t="s">
        <v>687</v>
      </c>
      <c r="B17" s="24" t="s">
        <v>688</v>
      </c>
      <c r="C17" s="24" t="s">
        <v>689</v>
      </c>
      <c r="D17" s="28">
        <v>2550</v>
      </c>
      <c r="E17" s="26">
        <v>25492.044000000002</v>
      </c>
      <c r="F17" s="27">
        <v>2.3250322802611199</v>
      </c>
    </row>
    <row r="18" spans="1:6" x14ac:dyDescent="0.2">
      <c r="A18" s="24" t="s">
        <v>690</v>
      </c>
      <c r="B18" s="24" t="s">
        <v>691</v>
      </c>
      <c r="C18" s="24" t="s">
        <v>692</v>
      </c>
      <c r="D18" s="28">
        <v>2244</v>
      </c>
      <c r="E18" s="26">
        <v>22402.951560000001</v>
      </c>
      <c r="F18" s="27">
        <v>2.0432879195613398</v>
      </c>
    </row>
    <row r="19" spans="1:6" x14ac:dyDescent="0.2">
      <c r="A19" s="24" t="s">
        <v>693</v>
      </c>
      <c r="B19" s="24" t="s">
        <v>694</v>
      </c>
      <c r="C19" s="24" t="s">
        <v>679</v>
      </c>
      <c r="D19" s="28">
        <v>2000</v>
      </c>
      <c r="E19" s="26">
        <v>20045.14</v>
      </c>
      <c r="F19" s="27">
        <v>1.8282409038032901</v>
      </c>
    </row>
    <row r="20" spans="1:6" x14ac:dyDescent="0.2">
      <c r="A20" s="24" t="s">
        <v>695</v>
      </c>
      <c r="B20" s="24" t="s">
        <v>696</v>
      </c>
      <c r="C20" s="24" t="s">
        <v>697</v>
      </c>
      <c r="D20" s="28">
        <v>2000</v>
      </c>
      <c r="E20" s="26">
        <v>19288.36</v>
      </c>
      <c r="F20" s="27">
        <v>1.75921788120628</v>
      </c>
    </row>
    <row r="21" spans="1:6" x14ac:dyDescent="0.2">
      <c r="A21" s="24" t="s">
        <v>698</v>
      </c>
      <c r="B21" s="24" t="s">
        <v>699</v>
      </c>
      <c r="C21" s="24" t="s">
        <v>700</v>
      </c>
      <c r="D21" s="28">
        <v>37</v>
      </c>
      <c r="E21" s="26">
        <v>18757.260999999999</v>
      </c>
      <c r="F21" s="27">
        <v>1.7107783634095</v>
      </c>
    </row>
    <row r="22" spans="1:6" x14ac:dyDescent="0.2">
      <c r="A22" s="24" t="s">
        <v>701</v>
      </c>
      <c r="B22" s="24" t="s">
        <v>702</v>
      </c>
      <c r="C22" s="24" t="s">
        <v>697</v>
      </c>
      <c r="D22" s="28">
        <v>1910</v>
      </c>
      <c r="E22" s="26">
        <v>18580.9575</v>
      </c>
      <c r="F22" s="27">
        <v>1.69469839239489</v>
      </c>
    </row>
    <row r="23" spans="1:6" x14ac:dyDescent="0.2">
      <c r="A23" s="24" t="s">
        <v>703</v>
      </c>
      <c r="B23" s="24" t="s">
        <v>704</v>
      </c>
      <c r="C23" s="24" t="s">
        <v>689</v>
      </c>
      <c r="D23" s="28">
        <v>1000</v>
      </c>
      <c r="E23" s="26">
        <v>16382.93</v>
      </c>
      <c r="F23" s="27">
        <v>1.4942246724216499</v>
      </c>
    </row>
    <row r="24" spans="1:6" x14ac:dyDescent="0.2">
      <c r="A24" s="24" t="s">
        <v>705</v>
      </c>
      <c r="B24" s="24" t="s">
        <v>706</v>
      </c>
      <c r="C24" s="24" t="s">
        <v>692</v>
      </c>
      <c r="D24" s="28">
        <v>2030</v>
      </c>
      <c r="E24" s="26">
        <v>15195.99638</v>
      </c>
      <c r="F24" s="27">
        <v>1.38596897581971</v>
      </c>
    </row>
    <row r="25" spans="1:6" x14ac:dyDescent="0.2">
      <c r="A25" s="24" t="s">
        <v>707</v>
      </c>
      <c r="B25" s="24" t="s">
        <v>708</v>
      </c>
      <c r="C25" s="24" t="s">
        <v>679</v>
      </c>
      <c r="D25" s="28">
        <v>1500</v>
      </c>
      <c r="E25" s="26">
        <v>15021.225</v>
      </c>
      <c r="F25" s="27">
        <v>1.37002874363724</v>
      </c>
    </row>
    <row r="26" spans="1:6" x14ac:dyDescent="0.2">
      <c r="A26" s="24" t="s">
        <v>709</v>
      </c>
      <c r="B26" s="24" t="s">
        <v>710</v>
      </c>
      <c r="C26" s="24" t="s">
        <v>711</v>
      </c>
      <c r="D26" s="28">
        <v>1070</v>
      </c>
      <c r="E26" s="26">
        <v>10735.866400000001</v>
      </c>
      <c r="F26" s="27">
        <v>0.97917750089285505</v>
      </c>
    </row>
    <row r="27" spans="1:6" x14ac:dyDescent="0.2">
      <c r="A27" s="24" t="s">
        <v>712</v>
      </c>
      <c r="B27" s="24" t="s">
        <v>713</v>
      </c>
      <c r="C27" s="24" t="s">
        <v>714</v>
      </c>
      <c r="D27" s="28">
        <v>1050</v>
      </c>
      <c r="E27" s="26">
        <v>10500.378000000001</v>
      </c>
      <c r="F27" s="27">
        <v>0.95769950047723296</v>
      </c>
    </row>
    <row r="28" spans="1:6" x14ac:dyDescent="0.2">
      <c r="A28" s="24" t="s">
        <v>715</v>
      </c>
      <c r="B28" s="24" t="s">
        <v>716</v>
      </c>
      <c r="C28" s="24" t="s">
        <v>717</v>
      </c>
      <c r="D28" s="28">
        <v>1000</v>
      </c>
      <c r="E28" s="26">
        <v>10195.92</v>
      </c>
      <c r="F28" s="27">
        <v>0.92993104542577698</v>
      </c>
    </row>
    <row r="29" spans="1:6" x14ac:dyDescent="0.2">
      <c r="A29" s="24" t="s">
        <v>718</v>
      </c>
      <c r="B29" s="24" t="s">
        <v>719</v>
      </c>
      <c r="C29" s="24" t="s">
        <v>720</v>
      </c>
      <c r="D29" s="28">
        <v>1000</v>
      </c>
      <c r="E29" s="26">
        <v>9980.75</v>
      </c>
      <c r="F29" s="27">
        <v>0.91030620891820702</v>
      </c>
    </row>
    <row r="30" spans="1:6" x14ac:dyDescent="0.2">
      <c r="A30" s="24" t="s">
        <v>721</v>
      </c>
      <c r="B30" s="24" t="s">
        <v>722</v>
      </c>
      <c r="C30" s="24" t="s">
        <v>720</v>
      </c>
      <c r="D30" s="28">
        <v>1000</v>
      </c>
      <c r="E30" s="26">
        <v>9969.11</v>
      </c>
      <c r="F30" s="27">
        <v>0.90924456883386395</v>
      </c>
    </row>
    <row r="31" spans="1:6" x14ac:dyDescent="0.2">
      <c r="A31" s="24" t="s">
        <v>723</v>
      </c>
      <c r="B31" s="24" t="s">
        <v>724</v>
      </c>
      <c r="C31" s="24" t="s">
        <v>697</v>
      </c>
      <c r="D31" s="28">
        <v>1000</v>
      </c>
      <c r="E31" s="26">
        <v>9770.82</v>
      </c>
      <c r="F31" s="27">
        <v>0.89115929286097695</v>
      </c>
    </row>
    <row r="32" spans="1:6" x14ac:dyDescent="0.2">
      <c r="A32" s="24" t="s">
        <v>725</v>
      </c>
      <c r="B32" s="24" t="s">
        <v>726</v>
      </c>
      <c r="C32" s="24" t="s">
        <v>697</v>
      </c>
      <c r="D32" s="28">
        <v>1000</v>
      </c>
      <c r="E32" s="26">
        <v>9663.7999999999993</v>
      </c>
      <c r="F32" s="27">
        <v>0.88139840610613096</v>
      </c>
    </row>
    <row r="33" spans="1:6" x14ac:dyDescent="0.2">
      <c r="A33" s="24" t="s">
        <v>727</v>
      </c>
      <c r="B33" s="24" t="s">
        <v>728</v>
      </c>
      <c r="C33" s="24" t="s">
        <v>692</v>
      </c>
      <c r="D33" s="28">
        <v>938</v>
      </c>
      <c r="E33" s="26">
        <v>9271.1357200000002</v>
      </c>
      <c r="F33" s="27">
        <v>0.84558499207367899</v>
      </c>
    </row>
    <row r="34" spans="1:6" x14ac:dyDescent="0.2">
      <c r="A34" s="24" t="s">
        <v>729</v>
      </c>
      <c r="B34" s="24" t="s">
        <v>730</v>
      </c>
      <c r="C34" s="24" t="s">
        <v>677</v>
      </c>
      <c r="D34" s="28">
        <v>840</v>
      </c>
      <c r="E34" s="26">
        <v>8885.3016000000007</v>
      </c>
      <c r="F34" s="27">
        <v>0.81039453093113101</v>
      </c>
    </row>
    <row r="35" spans="1:6" x14ac:dyDescent="0.2">
      <c r="A35" s="24" t="s">
        <v>731</v>
      </c>
      <c r="B35" s="24" t="s">
        <v>732</v>
      </c>
      <c r="C35" s="24" t="s">
        <v>700</v>
      </c>
      <c r="D35" s="28">
        <v>800</v>
      </c>
      <c r="E35" s="26">
        <v>8015.0640000000003</v>
      </c>
      <c r="F35" s="27">
        <v>0.73102347259242095</v>
      </c>
    </row>
    <row r="36" spans="1:6" x14ac:dyDescent="0.2">
      <c r="A36" s="24" t="s">
        <v>733</v>
      </c>
      <c r="B36" s="24" t="s">
        <v>734</v>
      </c>
      <c r="C36" s="24" t="s">
        <v>700</v>
      </c>
      <c r="D36" s="28">
        <v>800</v>
      </c>
      <c r="E36" s="26">
        <v>8015.0640000000003</v>
      </c>
      <c r="F36" s="27">
        <v>0.73102347259242095</v>
      </c>
    </row>
    <row r="37" spans="1:6" x14ac:dyDescent="0.2">
      <c r="A37" s="24" t="s">
        <v>735</v>
      </c>
      <c r="B37" s="24" t="s">
        <v>736</v>
      </c>
      <c r="C37" s="24" t="s">
        <v>737</v>
      </c>
      <c r="D37" s="28">
        <v>760</v>
      </c>
      <c r="E37" s="26">
        <v>7979.8252000000002</v>
      </c>
      <c r="F37" s="27">
        <v>0.72780947580512201</v>
      </c>
    </row>
    <row r="38" spans="1:6" x14ac:dyDescent="0.2">
      <c r="A38" s="24" t="s">
        <v>738</v>
      </c>
      <c r="B38" s="24" t="s">
        <v>739</v>
      </c>
      <c r="C38" s="24" t="s">
        <v>700</v>
      </c>
      <c r="D38" s="28">
        <v>1600</v>
      </c>
      <c r="E38" s="26">
        <v>7932.08</v>
      </c>
      <c r="F38" s="27">
        <v>0.72345481788802801</v>
      </c>
    </row>
    <row r="39" spans="1:6" x14ac:dyDescent="0.2">
      <c r="A39" s="24" t="s">
        <v>740</v>
      </c>
      <c r="B39" s="24" t="s">
        <v>741</v>
      </c>
      <c r="C39" s="24" t="s">
        <v>673</v>
      </c>
      <c r="D39" s="28">
        <v>750</v>
      </c>
      <c r="E39" s="26">
        <v>7891.5825000000004</v>
      </c>
      <c r="F39" s="27">
        <v>0.71976119509458403</v>
      </c>
    </row>
    <row r="40" spans="1:6" x14ac:dyDescent="0.2">
      <c r="A40" s="24" t="s">
        <v>742</v>
      </c>
      <c r="B40" s="24" t="s">
        <v>743</v>
      </c>
      <c r="C40" s="24" t="s">
        <v>700</v>
      </c>
      <c r="D40" s="28">
        <v>780</v>
      </c>
      <c r="E40" s="26">
        <v>7814.6873999999998</v>
      </c>
      <c r="F40" s="27">
        <v>0.71274788577760995</v>
      </c>
    </row>
    <row r="41" spans="1:6" x14ac:dyDescent="0.2">
      <c r="A41" s="24" t="s">
        <v>744</v>
      </c>
      <c r="B41" s="24" t="s">
        <v>745</v>
      </c>
      <c r="C41" s="24" t="s">
        <v>714</v>
      </c>
      <c r="D41" s="28">
        <v>750</v>
      </c>
      <c r="E41" s="26">
        <v>7610.1674999999996</v>
      </c>
      <c r="F41" s="27">
        <v>0.69409440434411696</v>
      </c>
    </row>
    <row r="42" spans="1:6" x14ac:dyDescent="0.2">
      <c r="A42" s="24" t="s">
        <v>746</v>
      </c>
      <c r="B42" s="24" t="s">
        <v>747</v>
      </c>
      <c r="C42" s="24" t="s">
        <v>673</v>
      </c>
      <c r="D42" s="28">
        <v>750</v>
      </c>
      <c r="E42" s="26">
        <v>7506.2775000000001</v>
      </c>
      <c r="F42" s="27">
        <v>0.68461899297277595</v>
      </c>
    </row>
    <row r="43" spans="1:6" x14ac:dyDescent="0.2">
      <c r="A43" s="24" t="s">
        <v>748</v>
      </c>
      <c r="B43" s="24" t="s">
        <v>749</v>
      </c>
      <c r="C43" s="24" t="s">
        <v>720</v>
      </c>
      <c r="D43" s="28">
        <v>750</v>
      </c>
      <c r="E43" s="26">
        <v>7485.2624999999998</v>
      </c>
      <c r="F43" s="27">
        <v>0.68270229483081102</v>
      </c>
    </row>
    <row r="44" spans="1:6" x14ac:dyDescent="0.2">
      <c r="A44" s="24" t="s">
        <v>750</v>
      </c>
      <c r="B44" s="24" t="s">
        <v>751</v>
      </c>
      <c r="C44" s="24" t="s">
        <v>697</v>
      </c>
      <c r="D44" s="28">
        <v>750</v>
      </c>
      <c r="E44" s="26">
        <v>7420.6424999999999</v>
      </c>
      <c r="F44" s="27">
        <v>0.67680855065123602</v>
      </c>
    </row>
    <row r="45" spans="1:6" x14ac:dyDescent="0.2">
      <c r="A45" s="24" t="s">
        <v>752</v>
      </c>
      <c r="B45" s="24" t="s">
        <v>753</v>
      </c>
      <c r="C45" s="24" t="s">
        <v>689</v>
      </c>
      <c r="D45" s="28">
        <v>670</v>
      </c>
      <c r="E45" s="26">
        <v>6999.5436</v>
      </c>
      <c r="F45" s="27">
        <v>0.63840172318449995</v>
      </c>
    </row>
    <row r="46" spans="1:6" x14ac:dyDescent="0.2">
      <c r="A46" s="24" t="s">
        <v>754</v>
      </c>
      <c r="B46" s="24" t="s">
        <v>755</v>
      </c>
      <c r="C46" s="24" t="s">
        <v>697</v>
      </c>
      <c r="D46" s="28">
        <v>700</v>
      </c>
      <c r="E46" s="26">
        <v>6992.2719999999999</v>
      </c>
      <c r="F46" s="27">
        <v>0.63773850823284095</v>
      </c>
    </row>
    <row r="47" spans="1:6" x14ac:dyDescent="0.2">
      <c r="A47" s="24" t="s">
        <v>756</v>
      </c>
      <c r="B47" s="24" t="s">
        <v>757</v>
      </c>
      <c r="C47" s="24" t="s">
        <v>697</v>
      </c>
      <c r="D47" s="28">
        <v>700</v>
      </c>
      <c r="E47" s="26">
        <v>6896.75</v>
      </c>
      <c r="F47" s="27">
        <v>0.62902631028295897</v>
      </c>
    </row>
    <row r="48" spans="1:6" x14ac:dyDescent="0.2">
      <c r="A48" s="24" t="s">
        <v>758</v>
      </c>
      <c r="B48" s="24" t="s">
        <v>759</v>
      </c>
      <c r="C48" s="24" t="s">
        <v>673</v>
      </c>
      <c r="D48" s="28">
        <v>650</v>
      </c>
      <c r="E48" s="26">
        <v>6509.3209999999999</v>
      </c>
      <c r="F48" s="27">
        <v>0.59369038620761705</v>
      </c>
    </row>
    <row r="49" spans="1:6" x14ac:dyDescent="0.2">
      <c r="A49" s="24" t="s">
        <v>760</v>
      </c>
      <c r="B49" s="24" t="s">
        <v>761</v>
      </c>
      <c r="C49" s="24" t="s">
        <v>711</v>
      </c>
      <c r="D49" s="28">
        <v>500</v>
      </c>
      <c r="E49" s="26">
        <v>6175.52</v>
      </c>
      <c r="F49" s="27">
        <v>0.56324566784045005</v>
      </c>
    </row>
    <row r="50" spans="1:6" x14ac:dyDescent="0.2">
      <c r="A50" s="24" t="s">
        <v>762</v>
      </c>
      <c r="B50" s="24" t="s">
        <v>763</v>
      </c>
      <c r="C50" s="24" t="s">
        <v>697</v>
      </c>
      <c r="D50" s="28">
        <v>590</v>
      </c>
      <c r="E50" s="26">
        <v>6114.7422999999999</v>
      </c>
      <c r="F50" s="27">
        <v>0.55770236521551997</v>
      </c>
    </row>
    <row r="51" spans="1:6" x14ac:dyDescent="0.2">
      <c r="A51" s="24" t="s">
        <v>764</v>
      </c>
      <c r="B51" s="24" t="s">
        <v>765</v>
      </c>
      <c r="C51" s="24" t="s">
        <v>766</v>
      </c>
      <c r="D51" s="28">
        <v>550</v>
      </c>
      <c r="E51" s="26">
        <v>5403.7280000000001</v>
      </c>
      <c r="F51" s="27">
        <v>0.49285345787693002</v>
      </c>
    </row>
    <row r="52" spans="1:6" x14ac:dyDescent="0.2">
      <c r="A52" s="24" t="s">
        <v>767</v>
      </c>
      <c r="B52" s="24" t="s">
        <v>768</v>
      </c>
      <c r="C52" s="24" t="s">
        <v>697</v>
      </c>
      <c r="D52" s="28">
        <v>550</v>
      </c>
      <c r="E52" s="26">
        <v>5334.6975000000002</v>
      </c>
      <c r="F52" s="27">
        <v>0.48655744878395302</v>
      </c>
    </row>
    <row r="53" spans="1:6" x14ac:dyDescent="0.2">
      <c r="A53" s="24" t="s">
        <v>769</v>
      </c>
      <c r="B53" s="24" t="s">
        <v>770</v>
      </c>
      <c r="C53" s="24" t="s">
        <v>679</v>
      </c>
      <c r="D53" s="28">
        <v>500</v>
      </c>
      <c r="E53" s="26">
        <v>5333.3450000000003</v>
      </c>
      <c r="F53" s="27">
        <v>0.48643409240817298</v>
      </c>
    </row>
    <row r="54" spans="1:6" x14ac:dyDescent="0.2">
      <c r="A54" s="24" t="s">
        <v>771</v>
      </c>
      <c r="B54" s="24" t="s">
        <v>772</v>
      </c>
      <c r="C54" s="24" t="s">
        <v>673</v>
      </c>
      <c r="D54" s="28">
        <v>502</v>
      </c>
      <c r="E54" s="26">
        <v>5018.3032400000002</v>
      </c>
      <c r="F54" s="27">
        <v>0.457700332901471</v>
      </c>
    </row>
    <row r="55" spans="1:6" x14ac:dyDescent="0.2">
      <c r="A55" s="24" t="s">
        <v>773</v>
      </c>
      <c r="B55" s="24" t="s">
        <v>774</v>
      </c>
      <c r="C55" s="24" t="s">
        <v>673</v>
      </c>
      <c r="D55" s="28">
        <v>500</v>
      </c>
      <c r="E55" s="26">
        <v>5008.1949999999997</v>
      </c>
      <c r="F55" s="27">
        <v>0.45677839881503102</v>
      </c>
    </row>
    <row r="56" spans="1:6" x14ac:dyDescent="0.2">
      <c r="A56" s="24" t="s">
        <v>775</v>
      </c>
      <c r="B56" s="24" t="s">
        <v>776</v>
      </c>
      <c r="C56" s="24" t="s">
        <v>777</v>
      </c>
      <c r="D56" s="28">
        <v>500</v>
      </c>
      <c r="E56" s="26">
        <v>5002.7849999999999</v>
      </c>
      <c r="F56" s="27">
        <v>0.45628497331191298</v>
      </c>
    </row>
    <row r="57" spans="1:6" x14ac:dyDescent="0.2">
      <c r="A57" s="24" t="s">
        <v>778</v>
      </c>
      <c r="B57" s="24" t="s">
        <v>779</v>
      </c>
      <c r="C57" s="24" t="s">
        <v>700</v>
      </c>
      <c r="D57" s="28">
        <v>500</v>
      </c>
      <c r="E57" s="26">
        <v>3718.0762500000001</v>
      </c>
      <c r="F57" s="27">
        <v>0.33911157935088299</v>
      </c>
    </row>
    <row r="58" spans="1:6" x14ac:dyDescent="0.2">
      <c r="A58" s="24" t="s">
        <v>780</v>
      </c>
      <c r="B58" s="24" t="s">
        <v>781</v>
      </c>
      <c r="C58" s="24" t="s">
        <v>766</v>
      </c>
      <c r="D58" s="28">
        <v>300000</v>
      </c>
      <c r="E58" s="26">
        <v>2959.1880000000001</v>
      </c>
      <c r="F58" s="27">
        <v>0.26989627129787402</v>
      </c>
    </row>
    <row r="59" spans="1:6" x14ac:dyDescent="0.2">
      <c r="A59" s="24" t="s">
        <v>782</v>
      </c>
      <c r="B59" s="24" t="s">
        <v>783</v>
      </c>
      <c r="C59" s="24" t="s">
        <v>697</v>
      </c>
      <c r="D59" s="28">
        <v>283</v>
      </c>
      <c r="E59" s="26">
        <v>2939.76721</v>
      </c>
      <c r="F59" s="27">
        <v>0.26812497498055299</v>
      </c>
    </row>
    <row r="60" spans="1:6" x14ac:dyDescent="0.2">
      <c r="A60" s="24" t="s">
        <v>784</v>
      </c>
      <c r="B60" s="24" t="s">
        <v>785</v>
      </c>
      <c r="C60" s="24" t="s">
        <v>677</v>
      </c>
      <c r="D60" s="28">
        <v>280</v>
      </c>
      <c r="E60" s="26">
        <v>2790.3960000000002</v>
      </c>
      <c r="F60" s="27">
        <v>0.25450139560058399</v>
      </c>
    </row>
    <row r="61" spans="1:6" x14ac:dyDescent="0.2">
      <c r="A61" s="24" t="s">
        <v>786</v>
      </c>
      <c r="B61" s="24" t="s">
        <v>787</v>
      </c>
      <c r="C61" s="24" t="s">
        <v>717</v>
      </c>
      <c r="D61" s="28">
        <v>250</v>
      </c>
      <c r="E61" s="26">
        <v>2551.29</v>
      </c>
      <c r="F61" s="27">
        <v>0.232693447661842</v>
      </c>
    </row>
    <row r="62" spans="1:6" x14ac:dyDescent="0.2">
      <c r="A62" s="24" t="s">
        <v>788</v>
      </c>
      <c r="B62" s="24" t="s">
        <v>789</v>
      </c>
      <c r="C62" s="24" t="s">
        <v>665</v>
      </c>
      <c r="D62" s="28">
        <v>250</v>
      </c>
      <c r="E62" s="26">
        <v>2500.7775000000001</v>
      </c>
      <c r="F62" s="27">
        <v>0.228086394847376</v>
      </c>
    </row>
    <row r="63" spans="1:6" x14ac:dyDescent="0.2">
      <c r="A63" s="24" t="s">
        <v>790</v>
      </c>
      <c r="B63" s="24" t="s">
        <v>791</v>
      </c>
      <c r="C63" s="24" t="s">
        <v>673</v>
      </c>
      <c r="D63" s="28">
        <v>250</v>
      </c>
      <c r="E63" s="26">
        <v>2493.6174999999998</v>
      </c>
      <c r="F63" s="27">
        <v>0.22743335850683499</v>
      </c>
    </row>
    <row r="64" spans="1:6" x14ac:dyDescent="0.2">
      <c r="A64" s="24" t="s">
        <v>792</v>
      </c>
      <c r="B64" s="24" t="s">
        <v>793</v>
      </c>
      <c r="C64" s="24" t="s">
        <v>794</v>
      </c>
      <c r="D64" s="28">
        <v>200</v>
      </c>
      <c r="E64" s="26">
        <v>1992.36</v>
      </c>
      <c r="F64" s="27">
        <v>0.18171557031287999</v>
      </c>
    </row>
    <row r="65" spans="1:9" x14ac:dyDescent="0.2">
      <c r="A65" s="24" t="s">
        <v>795</v>
      </c>
      <c r="B65" s="24" t="s">
        <v>796</v>
      </c>
      <c r="C65" s="24" t="s">
        <v>766</v>
      </c>
      <c r="D65" s="28">
        <v>200</v>
      </c>
      <c r="E65" s="26">
        <v>1975.7539999999999</v>
      </c>
      <c r="F65" s="27">
        <v>0.180201000275028</v>
      </c>
    </row>
    <row r="66" spans="1:9" x14ac:dyDescent="0.2">
      <c r="A66" s="24" t="s">
        <v>797</v>
      </c>
      <c r="B66" s="24" t="s">
        <v>798</v>
      </c>
      <c r="C66" s="24" t="s">
        <v>673</v>
      </c>
      <c r="D66" s="28">
        <v>192500</v>
      </c>
      <c r="E66" s="26">
        <v>1921.37715</v>
      </c>
      <c r="F66" s="27">
        <v>0.17524149480936499</v>
      </c>
    </row>
    <row r="67" spans="1:9" x14ac:dyDescent="0.2">
      <c r="A67" s="24" t="s">
        <v>799</v>
      </c>
      <c r="B67" s="24" t="s">
        <v>800</v>
      </c>
      <c r="C67" s="24" t="s">
        <v>801</v>
      </c>
      <c r="D67" s="28">
        <v>100</v>
      </c>
      <c r="E67" s="26">
        <v>1017.6420000000001</v>
      </c>
      <c r="F67" s="27">
        <v>9.2815252466592404E-2</v>
      </c>
    </row>
    <row r="68" spans="1:9" x14ac:dyDescent="0.2">
      <c r="A68" s="24" t="s">
        <v>802</v>
      </c>
      <c r="B68" s="24" t="s">
        <v>803</v>
      </c>
      <c r="C68" s="24" t="s">
        <v>804</v>
      </c>
      <c r="D68" s="28">
        <v>70</v>
      </c>
      <c r="E68" s="26">
        <v>711.09360000000004</v>
      </c>
      <c r="F68" s="27">
        <v>6.4856139989680095E-2</v>
      </c>
    </row>
    <row r="69" spans="1:9" x14ac:dyDescent="0.2">
      <c r="A69" s="24" t="s">
        <v>805</v>
      </c>
      <c r="B69" s="24" t="s">
        <v>806</v>
      </c>
      <c r="C69" s="24" t="s">
        <v>697</v>
      </c>
      <c r="D69" s="28">
        <v>70</v>
      </c>
      <c r="E69" s="26">
        <v>696.28719999999998</v>
      </c>
      <c r="F69" s="27">
        <v>6.3505704616413999E-2</v>
      </c>
    </row>
    <row r="70" spans="1:9" x14ac:dyDescent="0.2">
      <c r="A70" s="24" t="s">
        <v>807</v>
      </c>
      <c r="B70" s="24" t="s">
        <v>808</v>
      </c>
      <c r="C70" s="24" t="s">
        <v>677</v>
      </c>
      <c r="D70" s="28">
        <v>70</v>
      </c>
      <c r="E70" s="26">
        <v>687.84659999999997</v>
      </c>
      <c r="F70" s="27">
        <v>6.2735869625356697E-2</v>
      </c>
    </row>
    <row r="71" spans="1:9" x14ac:dyDescent="0.2">
      <c r="A71" s="24" t="s">
        <v>809</v>
      </c>
      <c r="B71" s="24" t="s">
        <v>810</v>
      </c>
      <c r="C71" s="24" t="s">
        <v>692</v>
      </c>
      <c r="D71" s="28">
        <v>61</v>
      </c>
      <c r="E71" s="26">
        <v>597.79633999999999</v>
      </c>
      <c r="F71" s="27">
        <v>5.4522728248937197E-2</v>
      </c>
    </row>
    <row r="72" spans="1:9" x14ac:dyDescent="0.2">
      <c r="A72" s="24" t="s">
        <v>811</v>
      </c>
      <c r="B72" s="24" t="s">
        <v>812</v>
      </c>
      <c r="C72" s="24" t="s">
        <v>697</v>
      </c>
      <c r="D72" s="28">
        <v>50</v>
      </c>
      <c r="E72" s="26">
        <v>499.29450000000003</v>
      </c>
      <c r="F72" s="27">
        <v>4.5538750437463298E-2</v>
      </c>
    </row>
    <row r="73" spans="1:9" x14ac:dyDescent="0.2">
      <c r="A73" s="24" t="s">
        <v>813</v>
      </c>
      <c r="B73" s="24" t="s">
        <v>814</v>
      </c>
      <c r="C73" s="24" t="s">
        <v>815</v>
      </c>
      <c r="D73" s="28">
        <v>22</v>
      </c>
      <c r="E73" s="26">
        <v>226.07838000000001</v>
      </c>
      <c r="F73" s="27">
        <v>2.0619748317127502E-2</v>
      </c>
    </row>
    <row r="74" spans="1:9" x14ac:dyDescent="0.2">
      <c r="A74" s="24" t="s">
        <v>816</v>
      </c>
      <c r="B74" s="24" t="s">
        <v>817</v>
      </c>
      <c r="C74" s="24" t="s">
        <v>815</v>
      </c>
      <c r="D74" s="28">
        <v>10</v>
      </c>
      <c r="E74" s="26">
        <v>98.669799999999995</v>
      </c>
      <c r="F74" s="27">
        <v>8.9992968036187396E-3</v>
      </c>
    </row>
    <row r="75" spans="1:9" ht="10.5" x14ac:dyDescent="0.25">
      <c r="A75" s="23" t="s">
        <v>24</v>
      </c>
      <c r="B75" s="23"/>
      <c r="C75" s="23"/>
      <c r="D75" s="29"/>
      <c r="E75" s="30">
        <f>SUM(E6:E74)</f>
        <v>860516.91743000015</v>
      </c>
      <c r="F75" s="31">
        <f>SUM(F6:F74)</f>
        <v>78.48447188995668</v>
      </c>
      <c r="G75" s="15"/>
      <c r="H75" s="15"/>
      <c r="I75" s="15"/>
    </row>
    <row r="76" spans="1:9" x14ac:dyDescent="0.2">
      <c r="A76" s="24"/>
      <c r="B76" s="24"/>
      <c r="C76" s="24"/>
      <c r="D76" s="25"/>
      <c r="E76" s="26"/>
      <c r="F76" s="27"/>
    </row>
    <row r="77" spans="1:9" ht="10.5" x14ac:dyDescent="0.25">
      <c r="A77" s="23" t="s">
        <v>818</v>
      </c>
      <c r="B77" s="24"/>
      <c r="C77" s="24"/>
      <c r="D77" s="25"/>
      <c r="E77" s="26"/>
      <c r="F77" s="27"/>
    </row>
    <row r="78" spans="1:9" x14ac:dyDescent="0.2">
      <c r="A78" s="24" t="s">
        <v>819</v>
      </c>
      <c r="B78" s="24" t="s">
        <v>820</v>
      </c>
      <c r="C78" s="24" t="s">
        <v>673</v>
      </c>
      <c r="D78" s="28">
        <v>3900</v>
      </c>
      <c r="E78" s="26">
        <v>39020.514000000003</v>
      </c>
      <c r="F78" s="27">
        <v>3.5589125235458101</v>
      </c>
    </row>
    <row r="79" spans="1:9" x14ac:dyDescent="0.2">
      <c r="A79" s="24" t="s">
        <v>821</v>
      </c>
      <c r="B79" s="24" t="s">
        <v>822</v>
      </c>
      <c r="C79" s="24" t="s">
        <v>766</v>
      </c>
      <c r="D79" s="28">
        <v>2400</v>
      </c>
      <c r="E79" s="26">
        <v>28722.240000000002</v>
      </c>
      <c r="F79" s="27">
        <v>2.6196461594608502</v>
      </c>
    </row>
    <row r="80" spans="1:9" x14ac:dyDescent="0.2">
      <c r="A80" s="24" t="s">
        <v>823</v>
      </c>
      <c r="B80" s="24" t="s">
        <v>824</v>
      </c>
      <c r="C80" s="24" t="s">
        <v>673</v>
      </c>
      <c r="D80" s="28">
        <v>2350</v>
      </c>
      <c r="E80" s="26">
        <v>23529.562999999998</v>
      </c>
      <c r="F80" s="27">
        <v>2.1460418597832902</v>
      </c>
    </row>
    <row r="81" spans="1:6" x14ac:dyDescent="0.2">
      <c r="A81" s="24" t="s">
        <v>825</v>
      </c>
      <c r="B81" s="24" t="s">
        <v>826</v>
      </c>
      <c r="C81" s="24" t="s">
        <v>827</v>
      </c>
      <c r="D81" s="28">
        <v>1700</v>
      </c>
      <c r="E81" s="26">
        <v>23204.966</v>
      </c>
      <c r="F81" s="27">
        <v>2.1164366032147801</v>
      </c>
    </row>
    <row r="82" spans="1:6" x14ac:dyDescent="0.2">
      <c r="A82" s="24" t="s">
        <v>828</v>
      </c>
      <c r="B82" s="24" t="s">
        <v>829</v>
      </c>
      <c r="C82" s="24" t="s">
        <v>668</v>
      </c>
      <c r="D82" s="28">
        <v>2000</v>
      </c>
      <c r="E82" s="26">
        <v>21631.759999999998</v>
      </c>
      <c r="F82" s="27">
        <v>1.97295047344423</v>
      </c>
    </row>
    <row r="83" spans="1:6" x14ac:dyDescent="0.2">
      <c r="A83" s="24" t="s">
        <v>830</v>
      </c>
      <c r="B83" s="24" t="s">
        <v>831</v>
      </c>
      <c r="C83" s="24" t="s">
        <v>673</v>
      </c>
      <c r="D83" s="28">
        <v>2000</v>
      </c>
      <c r="E83" s="26">
        <v>20017.759999999998</v>
      </c>
      <c r="F83" s="27">
        <v>1.8257436782440699</v>
      </c>
    </row>
    <row r="84" spans="1:6" x14ac:dyDescent="0.2">
      <c r="A84" s="24" t="s">
        <v>832</v>
      </c>
      <c r="B84" s="24" t="s">
        <v>833</v>
      </c>
      <c r="C84" s="24" t="s">
        <v>827</v>
      </c>
      <c r="D84" s="28">
        <v>20127</v>
      </c>
      <c r="E84" s="26">
        <v>19374.628290000001</v>
      </c>
      <c r="F84" s="27">
        <v>1.76708608349767</v>
      </c>
    </row>
    <row r="85" spans="1:6" x14ac:dyDescent="0.2">
      <c r="A85" s="24" t="s">
        <v>834</v>
      </c>
      <c r="B85" s="24" t="s">
        <v>835</v>
      </c>
      <c r="C85" s="24" t="s">
        <v>827</v>
      </c>
      <c r="D85" s="28">
        <v>1150</v>
      </c>
      <c r="E85" s="26">
        <v>15697.477000000001</v>
      </c>
      <c r="F85" s="27">
        <v>1.43170711393941</v>
      </c>
    </row>
    <row r="86" spans="1:6" x14ac:dyDescent="0.2">
      <c r="A86" s="24" t="s">
        <v>836</v>
      </c>
      <c r="B86" s="24" t="s">
        <v>837</v>
      </c>
      <c r="C86" s="24" t="s">
        <v>827</v>
      </c>
      <c r="D86" s="28">
        <v>890</v>
      </c>
      <c r="E86" s="26">
        <v>12696.1793</v>
      </c>
      <c r="F86" s="27">
        <v>1.1579701772240401</v>
      </c>
    </row>
    <row r="87" spans="1:6" x14ac:dyDescent="0.2">
      <c r="A87" s="24" t="s">
        <v>838</v>
      </c>
      <c r="B87" s="24" t="s">
        <v>839</v>
      </c>
      <c r="C87" s="24" t="s">
        <v>827</v>
      </c>
      <c r="D87" s="28">
        <v>1190</v>
      </c>
      <c r="E87" s="26">
        <v>11790.8532</v>
      </c>
      <c r="F87" s="27">
        <v>1.07539883038881</v>
      </c>
    </row>
    <row r="88" spans="1:6" x14ac:dyDescent="0.2">
      <c r="A88" s="24" t="s">
        <v>840</v>
      </c>
      <c r="B88" s="24" t="s">
        <v>841</v>
      </c>
      <c r="C88" s="24" t="s">
        <v>842</v>
      </c>
      <c r="D88" s="28">
        <v>650</v>
      </c>
      <c r="E88" s="26">
        <v>11543.272000000001</v>
      </c>
      <c r="F88" s="27">
        <v>1.0528178917247399</v>
      </c>
    </row>
    <row r="89" spans="1:6" x14ac:dyDescent="0.2">
      <c r="A89" s="24" t="s">
        <v>843</v>
      </c>
      <c r="B89" s="24" t="s">
        <v>844</v>
      </c>
      <c r="C89" s="24" t="s">
        <v>673</v>
      </c>
      <c r="D89" s="28">
        <v>1000</v>
      </c>
      <c r="E89" s="26">
        <v>10024.469999999999</v>
      </c>
      <c r="F89" s="27">
        <v>0.91429374366799099</v>
      </c>
    </row>
    <row r="90" spans="1:6" x14ac:dyDescent="0.2">
      <c r="A90" s="24" t="s">
        <v>845</v>
      </c>
      <c r="B90" s="24" t="s">
        <v>846</v>
      </c>
      <c r="C90" s="24" t="s">
        <v>673</v>
      </c>
      <c r="D90" s="28">
        <v>1000</v>
      </c>
      <c r="E90" s="26">
        <v>10013.34</v>
      </c>
      <c r="F90" s="27">
        <v>0.91327861874198202</v>
      </c>
    </row>
    <row r="91" spans="1:6" x14ac:dyDescent="0.2">
      <c r="A91" s="24" t="s">
        <v>847</v>
      </c>
      <c r="B91" s="24" t="s">
        <v>848</v>
      </c>
      <c r="C91" s="24" t="s">
        <v>673</v>
      </c>
      <c r="D91" s="28">
        <v>1000</v>
      </c>
      <c r="E91" s="26">
        <v>10011.23</v>
      </c>
      <c r="F91" s="27">
        <v>0.91308617367514699</v>
      </c>
    </row>
    <row r="92" spans="1:6" x14ac:dyDescent="0.2">
      <c r="A92" s="24" t="s">
        <v>849</v>
      </c>
      <c r="B92" s="24" t="s">
        <v>850</v>
      </c>
      <c r="C92" s="24" t="s">
        <v>673</v>
      </c>
      <c r="D92" s="28">
        <v>1000</v>
      </c>
      <c r="E92" s="26">
        <v>10006.32</v>
      </c>
      <c r="F92" s="27">
        <v>0.91263835126843496</v>
      </c>
    </row>
    <row r="93" spans="1:6" x14ac:dyDescent="0.2">
      <c r="A93" s="24" t="s">
        <v>851</v>
      </c>
      <c r="B93" s="24" t="s">
        <v>852</v>
      </c>
      <c r="C93" s="24" t="s">
        <v>673</v>
      </c>
      <c r="D93" s="28">
        <v>900</v>
      </c>
      <c r="E93" s="26">
        <v>9013.9320000000007</v>
      </c>
      <c r="F93" s="27">
        <v>0.82212641999514202</v>
      </c>
    </row>
    <row r="94" spans="1:6" x14ac:dyDescent="0.2">
      <c r="A94" s="24" t="s">
        <v>853</v>
      </c>
      <c r="B94" s="24" t="s">
        <v>854</v>
      </c>
      <c r="C94" s="24" t="s">
        <v>684</v>
      </c>
      <c r="D94" s="28">
        <v>850</v>
      </c>
      <c r="E94" s="26">
        <v>8640.2584999999999</v>
      </c>
      <c r="F94" s="27">
        <v>0.78804508270503903</v>
      </c>
    </row>
    <row r="95" spans="1:6" x14ac:dyDescent="0.2">
      <c r="A95" s="24" t="s">
        <v>855</v>
      </c>
      <c r="B95" s="24" t="s">
        <v>856</v>
      </c>
      <c r="C95" s="24" t="s">
        <v>737</v>
      </c>
      <c r="D95" s="28">
        <v>836</v>
      </c>
      <c r="E95" s="26">
        <v>8359.2057999999997</v>
      </c>
      <c r="F95" s="27">
        <v>0.76241133595822896</v>
      </c>
    </row>
    <row r="96" spans="1:6" x14ac:dyDescent="0.2">
      <c r="A96" s="24" t="s">
        <v>857</v>
      </c>
      <c r="B96" s="24" t="s">
        <v>858</v>
      </c>
      <c r="C96" s="24" t="s">
        <v>827</v>
      </c>
      <c r="D96" s="28">
        <v>2500</v>
      </c>
      <c r="E96" s="26">
        <v>1410.555713</v>
      </c>
      <c r="F96" s="27">
        <v>0.12865141633333699</v>
      </c>
    </row>
    <row r="97" spans="1:9" x14ac:dyDescent="0.2">
      <c r="A97" s="24" t="s">
        <v>859</v>
      </c>
      <c r="B97" s="24" t="s">
        <v>860</v>
      </c>
      <c r="C97" s="24" t="s">
        <v>665</v>
      </c>
      <c r="D97" s="28">
        <v>7</v>
      </c>
      <c r="E97" s="26">
        <v>904.27189999999996</v>
      </c>
      <c r="F97" s="27">
        <v>8.2475197266764902E-2</v>
      </c>
    </row>
    <row r="98" spans="1:9" ht="10.5" x14ac:dyDescent="0.25">
      <c r="A98" s="23" t="s">
        <v>24</v>
      </c>
      <c r="B98" s="23"/>
      <c r="C98" s="23"/>
      <c r="D98" s="29"/>
      <c r="E98" s="30">
        <f>SUM(E77:E97)</f>
        <v>295612.79670300003</v>
      </c>
      <c r="F98" s="31">
        <f>SUM(F77:F97)</f>
        <v>26.961717734079766</v>
      </c>
      <c r="G98" s="15"/>
      <c r="H98" s="15"/>
      <c r="I98" s="15"/>
    </row>
    <row r="99" spans="1:9" x14ac:dyDescent="0.2">
      <c r="A99" s="24"/>
      <c r="B99" s="24"/>
      <c r="C99" s="24"/>
      <c r="D99" s="25"/>
      <c r="E99" s="26"/>
      <c r="F99" s="27"/>
    </row>
    <row r="100" spans="1:9" ht="10.5" x14ac:dyDescent="0.25">
      <c r="A100" s="23" t="s">
        <v>861</v>
      </c>
      <c r="B100" s="24"/>
      <c r="C100" s="24"/>
      <c r="D100" s="25"/>
      <c r="E100" s="26"/>
      <c r="F100" s="27"/>
    </row>
    <row r="101" spans="1:9" ht="10.5" x14ac:dyDescent="0.25">
      <c r="A101" s="23" t="s">
        <v>862</v>
      </c>
      <c r="B101" s="24"/>
      <c r="C101" s="24"/>
      <c r="D101" s="25"/>
      <c r="E101" s="26"/>
      <c r="F101" s="27"/>
    </row>
    <row r="102" spans="1:9" x14ac:dyDescent="0.2">
      <c r="A102" s="24" t="s">
        <v>863</v>
      </c>
      <c r="B102" s="24" t="s">
        <v>864</v>
      </c>
      <c r="C102" s="24" t="s">
        <v>865</v>
      </c>
      <c r="D102" s="28">
        <v>3000</v>
      </c>
      <c r="E102" s="26">
        <v>14769.09</v>
      </c>
      <c r="F102" s="27">
        <v>1.34703247021234</v>
      </c>
    </row>
    <row r="103" spans="1:9" x14ac:dyDescent="0.2">
      <c r="A103" s="24" t="s">
        <v>866</v>
      </c>
      <c r="B103" s="24" t="s">
        <v>867</v>
      </c>
      <c r="C103" s="24" t="s">
        <v>868</v>
      </c>
      <c r="D103" s="28">
        <v>700</v>
      </c>
      <c r="E103" s="26">
        <v>3372.915</v>
      </c>
      <c r="F103" s="27">
        <v>0.307630735831812</v>
      </c>
    </row>
    <row r="104" spans="1:9" x14ac:dyDescent="0.2">
      <c r="A104" s="24" t="s">
        <v>869</v>
      </c>
      <c r="B104" s="24" t="s">
        <v>870</v>
      </c>
      <c r="C104" s="24" t="s">
        <v>868</v>
      </c>
      <c r="D104" s="28">
        <v>100</v>
      </c>
      <c r="E104" s="26">
        <v>481.21699999999998</v>
      </c>
      <c r="F104" s="27">
        <v>4.3889970486886497E-2</v>
      </c>
    </row>
    <row r="105" spans="1:9" ht="10.5" x14ac:dyDescent="0.25">
      <c r="A105" s="23" t="s">
        <v>24</v>
      </c>
      <c r="B105" s="23"/>
      <c r="C105" s="23"/>
      <c r="D105" s="29"/>
      <c r="E105" s="30">
        <f>SUM(E101:E104)</f>
        <v>18623.222000000002</v>
      </c>
      <c r="F105" s="31">
        <f>SUM(F101:F104)</f>
        <v>1.6985531765310384</v>
      </c>
      <c r="G105" s="15"/>
      <c r="H105" s="15"/>
      <c r="I105" s="15"/>
    </row>
    <row r="106" spans="1:9" x14ac:dyDescent="0.2">
      <c r="A106" s="24"/>
      <c r="B106" s="24"/>
      <c r="C106" s="24"/>
      <c r="D106" s="25"/>
      <c r="E106" s="26"/>
      <c r="F106" s="27"/>
    </row>
    <row r="107" spans="1:9" ht="10.5" x14ac:dyDescent="0.25">
      <c r="A107" s="23" t="s">
        <v>25</v>
      </c>
      <c r="B107" s="23"/>
      <c r="C107" s="23"/>
      <c r="D107" s="29"/>
      <c r="E107" s="30">
        <f>E75+E98+E105</f>
        <v>1174752.9361330003</v>
      </c>
      <c r="F107" s="31">
        <f>F75+F98+F105</f>
        <v>107.14474280056749</v>
      </c>
      <c r="G107" s="15"/>
      <c r="H107" s="15"/>
      <c r="I107" s="15"/>
    </row>
    <row r="108" spans="1:9" ht="10.5" x14ac:dyDescent="0.25">
      <c r="A108" s="23"/>
      <c r="B108" s="23"/>
      <c r="C108" s="23"/>
      <c r="D108" s="29"/>
      <c r="E108" s="30"/>
      <c r="F108" s="31"/>
      <c r="G108" s="15"/>
      <c r="H108" s="15"/>
      <c r="I108" s="15"/>
    </row>
    <row r="109" spans="1:9" ht="10.5" x14ac:dyDescent="0.25">
      <c r="A109" s="23" t="s">
        <v>27</v>
      </c>
      <c r="B109" s="23"/>
      <c r="C109" s="23"/>
      <c r="D109" s="29"/>
      <c r="E109" s="79">
        <f>E111-(E75+E98+E105)</f>
        <v>-78336.158765200293</v>
      </c>
      <c r="F109" s="80">
        <f>F111-(F75+F98+F105)</f>
        <v>-7.1447428005674851</v>
      </c>
      <c r="G109" s="15"/>
      <c r="H109" s="15"/>
      <c r="I109" s="15"/>
    </row>
    <row r="110" spans="1:9" ht="10.5" x14ac:dyDescent="0.25">
      <c r="A110" s="23"/>
      <c r="B110" s="23"/>
      <c r="C110" s="23"/>
      <c r="D110" s="29"/>
      <c r="E110" s="30"/>
      <c r="F110" s="31"/>
      <c r="G110" s="15"/>
      <c r="H110" s="15"/>
      <c r="I110" s="15"/>
    </row>
    <row r="111" spans="1:9" ht="10.5" x14ac:dyDescent="0.25">
      <c r="A111" s="32" t="s">
        <v>26</v>
      </c>
      <c r="B111" s="32"/>
      <c r="C111" s="32"/>
      <c r="D111" s="33"/>
      <c r="E111" s="34">
        <v>1096416.7773678</v>
      </c>
      <c r="F111" s="35">
        <v>100</v>
      </c>
      <c r="G111" s="15"/>
      <c r="H111" s="15"/>
      <c r="I111" s="15"/>
    </row>
    <row r="112" spans="1:9" ht="10.5" x14ac:dyDescent="0.25">
      <c r="A112" s="15" t="s">
        <v>871</v>
      </c>
    </row>
    <row r="113" spans="1:4" ht="10.5" x14ac:dyDescent="0.25">
      <c r="A113" s="15" t="s">
        <v>872</v>
      </c>
    </row>
    <row r="114" spans="1:4" ht="10.5" x14ac:dyDescent="0.25">
      <c r="A114" s="15" t="s">
        <v>1818</v>
      </c>
    </row>
    <row r="115" spans="1:4" ht="10.5" x14ac:dyDescent="0.25">
      <c r="A115" s="15"/>
    </row>
    <row r="116" spans="1:4" ht="10.5" x14ac:dyDescent="0.25">
      <c r="A116" s="15" t="s">
        <v>28</v>
      </c>
    </row>
    <row r="117" spans="1:4" ht="10.5" x14ac:dyDescent="0.25">
      <c r="A117" s="15" t="s">
        <v>29</v>
      </c>
    </row>
    <row r="118" spans="1:4" ht="10.5" x14ac:dyDescent="0.25">
      <c r="A118" s="15" t="s">
        <v>30</v>
      </c>
      <c r="B118" s="15"/>
      <c r="C118" s="36" t="s">
        <v>32</v>
      </c>
      <c r="D118" s="16" t="s">
        <v>31</v>
      </c>
    </row>
    <row r="119" spans="1:4" x14ac:dyDescent="0.2">
      <c r="A119" s="66" t="s">
        <v>1801</v>
      </c>
      <c r="C119" s="37">
        <v>25.973099999999999</v>
      </c>
      <c r="D119" s="37">
        <v>25.980899999999998</v>
      </c>
    </row>
    <row r="120" spans="1:4" x14ac:dyDescent="0.2">
      <c r="A120" s="66" t="s">
        <v>1802</v>
      </c>
      <c r="C120" s="37">
        <v>10.058</v>
      </c>
      <c r="D120" s="37">
        <v>9.7951999999999995</v>
      </c>
    </row>
    <row r="121" spans="1:4" x14ac:dyDescent="0.2">
      <c r="A121" s="66" t="s">
        <v>1803</v>
      </c>
      <c r="C121" s="37">
        <v>10.1295</v>
      </c>
      <c r="D121" s="37">
        <v>9.8763000000000005</v>
      </c>
    </row>
    <row r="122" spans="1:4" x14ac:dyDescent="0.2">
      <c r="A122" s="66" t="s">
        <v>1804</v>
      </c>
      <c r="C122" s="37">
        <v>26.591799999999999</v>
      </c>
      <c r="D122" s="37">
        <v>26.626300000000001</v>
      </c>
    </row>
    <row r="123" spans="1:4" x14ac:dyDescent="0.2">
      <c r="A123" s="66" t="s">
        <v>1805</v>
      </c>
      <c r="C123" s="37">
        <v>10</v>
      </c>
      <c r="D123" s="37">
        <v>9.7514000000000003</v>
      </c>
    </row>
    <row r="124" spans="1:4" x14ac:dyDescent="0.2">
      <c r="A124" s="9" t="s">
        <v>876</v>
      </c>
      <c r="C124" s="37">
        <v>27.450800000000001</v>
      </c>
      <c r="D124" s="37">
        <v>27.505700000000001</v>
      </c>
    </row>
    <row r="125" spans="1:4" x14ac:dyDescent="0.2">
      <c r="A125" s="9" t="s">
        <v>877</v>
      </c>
      <c r="C125" s="37">
        <v>10.087</v>
      </c>
      <c r="D125" s="37">
        <v>9.8312000000000008</v>
      </c>
    </row>
    <row r="126" spans="1:4" x14ac:dyDescent="0.2">
      <c r="A126" s="9" t="s">
        <v>878</v>
      </c>
      <c r="C126" s="37">
        <v>10.1021</v>
      </c>
      <c r="D126" s="37">
        <v>9.8567</v>
      </c>
    </row>
    <row r="127" spans="1:4" x14ac:dyDescent="0.2">
      <c r="A127" s="9" t="s">
        <v>879</v>
      </c>
      <c r="C127" s="37">
        <v>27.582999999999998</v>
      </c>
      <c r="D127" s="37">
        <v>27.653500000000001</v>
      </c>
    </row>
    <row r="128" spans="1:4" x14ac:dyDescent="0.2">
      <c r="A128" s="9" t="s">
        <v>880</v>
      </c>
      <c r="C128" s="37">
        <v>10.068300000000001</v>
      </c>
      <c r="D128" s="37">
        <v>9.8150999999999993</v>
      </c>
    </row>
    <row r="129" spans="1:5" x14ac:dyDescent="0.2">
      <c r="A129" s="9" t="s">
        <v>881</v>
      </c>
      <c r="C129" s="37">
        <v>10.0946</v>
      </c>
      <c r="D129" s="37">
        <v>9.8513000000000002</v>
      </c>
    </row>
    <row r="131" spans="1:5" ht="10.5" x14ac:dyDescent="0.25">
      <c r="A131" s="15" t="s">
        <v>1882</v>
      </c>
    </row>
    <row r="132" spans="1:5" ht="10.5" x14ac:dyDescent="0.25">
      <c r="A132" s="90" t="s">
        <v>33</v>
      </c>
      <c r="B132" s="91"/>
      <c r="C132" s="92" t="s">
        <v>1883</v>
      </c>
      <c r="D132" s="93"/>
    </row>
    <row r="133" spans="1:5" ht="10.5" x14ac:dyDescent="0.25">
      <c r="A133" s="90"/>
      <c r="B133" s="91"/>
      <c r="C133" s="38" t="s">
        <v>34</v>
      </c>
      <c r="D133" s="39" t="s">
        <v>35</v>
      </c>
    </row>
    <row r="134" spans="1:5" x14ac:dyDescent="0.2">
      <c r="A134" s="94" t="s">
        <v>1802</v>
      </c>
      <c r="B134" s="95"/>
      <c r="C134" s="40">
        <v>0.19391735609999999</v>
      </c>
      <c r="D134" s="40">
        <v>0.179568438</v>
      </c>
    </row>
    <row r="135" spans="1:5" x14ac:dyDescent="0.2">
      <c r="A135" s="94" t="s">
        <v>1803</v>
      </c>
      <c r="B135" s="95"/>
      <c r="C135" s="40">
        <v>0.18728390210000001</v>
      </c>
      <c r="D135" s="40">
        <v>0.17342582649999999</v>
      </c>
    </row>
    <row r="136" spans="1:5" x14ac:dyDescent="0.2">
      <c r="A136" s="94" t="s">
        <v>1805</v>
      </c>
      <c r="B136" s="95"/>
      <c r="C136" s="40">
        <v>0.19137728579999999</v>
      </c>
      <c r="D136" s="40">
        <v>0.17721632070000001</v>
      </c>
    </row>
    <row r="137" spans="1:5" x14ac:dyDescent="0.2">
      <c r="A137" s="96" t="s">
        <v>877</v>
      </c>
      <c r="B137" s="97"/>
      <c r="C137" s="40">
        <v>0.20117670469999999</v>
      </c>
      <c r="D137" s="40">
        <v>0.1862906308</v>
      </c>
    </row>
    <row r="138" spans="1:5" x14ac:dyDescent="0.2">
      <c r="A138" s="96" t="s">
        <v>878</v>
      </c>
      <c r="B138" s="97"/>
      <c r="C138" s="40">
        <v>0.19369477409999999</v>
      </c>
      <c r="D138" s="40">
        <v>0.1793623261</v>
      </c>
    </row>
    <row r="139" spans="1:5" x14ac:dyDescent="0.2">
      <c r="A139" s="96" t="s">
        <v>880</v>
      </c>
      <c r="B139" s="97"/>
      <c r="C139" s="40">
        <v>0.20300940910000001</v>
      </c>
      <c r="D139" s="40">
        <v>0.18798772450000001</v>
      </c>
    </row>
    <row r="140" spans="1:5" x14ac:dyDescent="0.2">
      <c r="A140" s="96" t="s">
        <v>881</v>
      </c>
      <c r="B140" s="97"/>
      <c r="C140" s="40">
        <v>0.1959277744</v>
      </c>
      <c r="D140" s="40">
        <v>0.18143009569999999</v>
      </c>
    </row>
    <row r="142" spans="1:5" ht="10.5" x14ac:dyDescent="0.25">
      <c r="A142" s="15" t="s">
        <v>882</v>
      </c>
      <c r="D142" s="11">
        <v>0.61621963445355199</v>
      </c>
      <c r="E142" s="11" t="s">
        <v>883</v>
      </c>
    </row>
    <row r="144" spans="1:5" ht="10.5" x14ac:dyDescent="0.25">
      <c r="A144" s="15" t="s">
        <v>884</v>
      </c>
      <c r="D144" s="41" t="s">
        <v>36</v>
      </c>
    </row>
    <row r="145" spans="1:9" x14ac:dyDescent="0.2">
      <c r="A145" s="9" t="s">
        <v>885</v>
      </c>
    </row>
    <row r="146" spans="1:9" ht="14.5" x14ac:dyDescent="0.35">
      <c r="A146" s="49" t="s">
        <v>1898</v>
      </c>
    </row>
    <row r="150" spans="1:9" s="1" customFormat="1" ht="14" x14ac:dyDescent="0.25">
      <c r="A150" s="88" t="s">
        <v>887</v>
      </c>
      <c r="B150" s="89"/>
      <c r="C150" s="89"/>
      <c r="D150" s="89"/>
      <c r="E150" s="89"/>
      <c r="F150" s="89"/>
    </row>
    <row r="151" spans="1:9" ht="10.5" x14ac:dyDescent="0.25">
      <c r="A151" s="15" t="s">
        <v>888</v>
      </c>
    </row>
    <row r="152" spans="1:9" ht="10.5" x14ac:dyDescent="0.25">
      <c r="A152" s="15" t="s">
        <v>4</v>
      </c>
    </row>
    <row r="153" spans="1:9" s="1" customFormat="1" ht="23.25" customHeight="1" x14ac:dyDescent="0.25">
      <c r="A153" s="8" t="s">
        <v>2</v>
      </c>
      <c r="B153" s="8" t="s">
        <v>0</v>
      </c>
      <c r="C153" s="8" t="s">
        <v>661</v>
      </c>
      <c r="D153" s="71" t="s">
        <v>1</v>
      </c>
      <c r="E153" s="64" t="s">
        <v>1820</v>
      </c>
      <c r="F153" s="63" t="s">
        <v>3</v>
      </c>
    </row>
    <row r="154" spans="1:9" ht="10.5" x14ac:dyDescent="0.25">
      <c r="A154" s="18" t="s">
        <v>662</v>
      </c>
      <c r="B154" s="19"/>
      <c r="C154" s="19"/>
      <c r="D154" s="20"/>
      <c r="E154" s="21"/>
      <c r="F154" s="22"/>
    </row>
    <row r="155" spans="1:9" ht="10.5" x14ac:dyDescent="0.25">
      <c r="A155" s="23" t="s">
        <v>1799</v>
      </c>
      <c r="B155" s="24"/>
      <c r="C155" s="24"/>
      <c r="D155" s="25"/>
      <c r="E155" s="26"/>
      <c r="F155" s="27"/>
    </row>
    <row r="156" spans="1:9" x14ac:dyDescent="0.2">
      <c r="A156" s="24" t="s">
        <v>889</v>
      </c>
      <c r="B156" s="24" t="s">
        <v>890</v>
      </c>
      <c r="C156" s="24" t="s">
        <v>891</v>
      </c>
      <c r="D156" s="28">
        <v>7990</v>
      </c>
      <c r="E156" s="27">
        <v>0</v>
      </c>
      <c r="F156" s="27">
        <v>100</v>
      </c>
    </row>
    <row r="157" spans="1:9" ht="10.5" x14ac:dyDescent="0.25">
      <c r="A157" s="23" t="s">
        <v>24</v>
      </c>
      <c r="B157" s="23"/>
      <c r="C157" s="23"/>
      <c r="D157" s="29"/>
      <c r="E157" s="30">
        <f>SUM(E155:E156)</f>
        <v>0</v>
      </c>
      <c r="F157" s="31">
        <f>SUM(F155:F156)</f>
        <v>100</v>
      </c>
      <c r="G157" s="15"/>
      <c r="H157" s="15"/>
      <c r="I157" s="15"/>
    </row>
    <row r="158" spans="1:9" x14ac:dyDescent="0.2">
      <c r="A158" s="24"/>
      <c r="B158" s="24"/>
      <c r="C158" s="24"/>
      <c r="D158" s="25"/>
      <c r="E158" s="26"/>
      <c r="F158" s="27"/>
    </row>
    <row r="159" spans="1:9" ht="10.5" x14ac:dyDescent="0.25">
      <c r="A159" s="23" t="s">
        <v>25</v>
      </c>
      <c r="B159" s="23"/>
      <c r="C159" s="23"/>
      <c r="D159" s="29"/>
      <c r="E159" s="30">
        <f>E157</f>
        <v>0</v>
      </c>
      <c r="F159" s="31">
        <f>F157</f>
        <v>100</v>
      </c>
      <c r="G159" s="15"/>
      <c r="H159" s="15"/>
      <c r="I159" s="15"/>
    </row>
    <row r="160" spans="1:9" ht="10.5" x14ac:dyDescent="0.25">
      <c r="A160" s="23"/>
      <c r="B160" s="23"/>
      <c r="C160" s="23"/>
      <c r="D160" s="29"/>
      <c r="E160" s="30"/>
      <c r="F160" s="31"/>
      <c r="G160" s="15"/>
      <c r="H160" s="15"/>
      <c r="I160" s="15"/>
    </row>
    <row r="161" spans="1:9" ht="10.5" x14ac:dyDescent="0.25">
      <c r="A161" s="23" t="s">
        <v>27</v>
      </c>
      <c r="B161" s="23"/>
      <c r="C161" s="23"/>
      <c r="D161" s="29"/>
      <c r="E161" s="30">
        <v>0</v>
      </c>
      <c r="F161" s="85" t="s">
        <v>1896</v>
      </c>
      <c r="G161" s="15"/>
      <c r="H161" s="15"/>
      <c r="I161" s="15"/>
    </row>
    <row r="162" spans="1:9" ht="10.5" x14ac:dyDescent="0.25">
      <c r="A162" s="23"/>
      <c r="B162" s="23"/>
      <c r="C162" s="23"/>
      <c r="D162" s="29"/>
      <c r="E162" s="30"/>
      <c r="F162" s="31"/>
      <c r="G162" s="15"/>
      <c r="H162" s="15"/>
      <c r="I162" s="15"/>
    </row>
    <row r="163" spans="1:9" ht="10.5" x14ac:dyDescent="0.25">
      <c r="A163" s="32" t="s">
        <v>26</v>
      </c>
      <c r="B163" s="32"/>
      <c r="C163" s="32"/>
      <c r="D163" s="33"/>
      <c r="E163" s="34">
        <v>1.1000000000000001E-6</v>
      </c>
      <c r="F163" s="35">
        <v>100</v>
      </c>
      <c r="G163" s="15"/>
      <c r="H163" s="15"/>
      <c r="I163" s="15"/>
    </row>
    <row r="164" spans="1:9" ht="10.5" x14ac:dyDescent="0.25">
      <c r="A164" s="15" t="s">
        <v>872</v>
      </c>
      <c r="E164" s="86"/>
      <c r="F164" s="87" t="s">
        <v>37</v>
      </c>
    </row>
    <row r="165" spans="1:9" ht="10.5" x14ac:dyDescent="0.25">
      <c r="A165" s="61" t="s">
        <v>1795</v>
      </c>
    </row>
    <row r="166" spans="1:9" ht="10.5" x14ac:dyDescent="0.25">
      <c r="A166" s="62" t="s">
        <v>1798</v>
      </c>
    </row>
    <row r="167" spans="1:9" ht="10.5" x14ac:dyDescent="0.25">
      <c r="A167" s="59"/>
    </row>
    <row r="168" spans="1:9" ht="10.5" x14ac:dyDescent="0.25">
      <c r="A168" s="15" t="s">
        <v>28</v>
      </c>
    </row>
    <row r="169" spans="1:9" ht="10.5" x14ac:dyDescent="0.25">
      <c r="A169" s="15" t="s">
        <v>29</v>
      </c>
    </row>
    <row r="170" spans="1:9" ht="10.5" x14ac:dyDescent="0.25">
      <c r="A170" s="15" t="s">
        <v>30</v>
      </c>
      <c r="B170" s="15"/>
      <c r="C170" s="36" t="s">
        <v>32</v>
      </c>
      <c r="D170" s="16" t="s">
        <v>31</v>
      </c>
    </row>
    <row r="171" spans="1:9" x14ac:dyDescent="0.2">
      <c r="A171" s="66" t="s">
        <v>1801</v>
      </c>
      <c r="C171" s="58" t="s">
        <v>1794</v>
      </c>
      <c r="D171" s="37">
        <v>0</v>
      </c>
    </row>
    <row r="172" spans="1:9" x14ac:dyDescent="0.2">
      <c r="A172" s="66" t="s">
        <v>1802</v>
      </c>
      <c r="C172" s="58" t="s">
        <v>1794</v>
      </c>
      <c r="D172" s="37">
        <v>0</v>
      </c>
    </row>
    <row r="173" spans="1:9" x14ac:dyDescent="0.2">
      <c r="A173" s="66" t="s">
        <v>1803</v>
      </c>
      <c r="C173" s="58" t="s">
        <v>1794</v>
      </c>
      <c r="D173" s="37">
        <v>0</v>
      </c>
    </row>
    <row r="174" spans="1:9" x14ac:dyDescent="0.2">
      <c r="A174" s="66" t="s">
        <v>1804</v>
      </c>
      <c r="C174" s="58" t="s">
        <v>1794</v>
      </c>
      <c r="D174" s="37">
        <v>0</v>
      </c>
    </row>
    <row r="175" spans="1:9" x14ac:dyDescent="0.2">
      <c r="A175" s="66" t="s">
        <v>1805</v>
      </c>
      <c r="C175" s="58" t="s">
        <v>1794</v>
      </c>
      <c r="D175" s="37">
        <v>0</v>
      </c>
    </row>
    <row r="176" spans="1:9" x14ac:dyDescent="0.2">
      <c r="A176" s="9" t="s">
        <v>876</v>
      </c>
      <c r="C176" s="58" t="s">
        <v>1794</v>
      </c>
      <c r="D176" s="37">
        <v>0</v>
      </c>
    </row>
    <row r="177" spans="1:4" x14ac:dyDescent="0.2">
      <c r="A177" s="9" t="s">
        <v>877</v>
      </c>
      <c r="C177" s="58" t="s">
        <v>1794</v>
      </c>
      <c r="D177" s="37">
        <v>0</v>
      </c>
    </row>
    <row r="178" spans="1:4" x14ac:dyDescent="0.2">
      <c r="A178" s="9" t="s">
        <v>878</v>
      </c>
      <c r="C178" s="58" t="s">
        <v>1794</v>
      </c>
      <c r="D178" s="37">
        <v>0</v>
      </c>
    </row>
    <row r="179" spans="1:4" x14ac:dyDescent="0.2">
      <c r="A179" s="9" t="s">
        <v>879</v>
      </c>
      <c r="C179" s="58" t="s">
        <v>1794</v>
      </c>
      <c r="D179" s="37">
        <v>0</v>
      </c>
    </row>
    <row r="180" spans="1:4" x14ac:dyDescent="0.2">
      <c r="A180" s="9" t="s">
        <v>880</v>
      </c>
      <c r="C180" s="58" t="s">
        <v>1794</v>
      </c>
      <c r="D180" s="37">
        <v>0</v>
      </c>
    </row>
    <row r="181" spans="1:4" x14ac:dyDescent="0.2">
      <c r="A181" s="9" t="s">
        <v>881</v>
      </c>
      <c r="C181" s="58" t="s">
        <v>1794</v>
      </c>
      <c r="D181" s="37">
        <v>0</v>
      </c>
    </row>
    <row r="183" spans="1:4" ht="10.5" x14ac:dyDescent="0.25">
      <c r="A183" s="15" t="s">
        <v>1863</v>
      </c>
    </row>
    <row r="184" spans="1:4" ht="10.5" x14ac:dyDescent="0.25">
      <c r="A184" s="15"/>
    </row>
    <row r="185" spans="1:4" ht="10.5" x14ac:dyDescent="0.25">
      <c r="A185" s="15" t="s">
        <v>1797</v>
      </c>
      <c r="D185" s="41" t="s">
        <v>36</v>
      </c>
    </row>
    <row r="186" spans="1:4" x14ac:dyDescent="0.2">
      <c r="A186" s="9" t="s">
        <v>885</v>
      </c>
    </row>
    <row r="187" spans="1:4" ht="14.5" x14ac:dyDescent="0.35">
      <c r="A187" s="49" t="s">
        <v>1898</v>
      </c>
    </row>
  </sheetData>
  <mergeCells count="12">
    <mergeCell ref="A150:F150"/>
    <mergeCell ref="A1:F1"/>
    <mergeCell ref="A132:B132"/>
    <mergeCell ref="C132:D132"/>
    <mergeCell ref="A133:B133"/>
    <mergeCell ref="A134:B134"/>
    <mergeCell ref="A135:B135"/>
    <mergeCell ref="A136:B136"/>
    <mergeCell ref="A137:B137"/>
    <mergeCell ref="A138:B138"/>
    <mergeCell ref="A139:B139"/>
    <mergeCell ref="A140:B140"/>
  </mergeCells>
  <conditionalFormatting sqref="F2:F3 F151:F152 F165:F182 F188:F65536 F5:F73 F75:F149">
    <cfRule type="cellIs" dxfId="136" priority="5" stopIfTrue="1" operator="between">
      <formula>0.009</formula>
      <formula>-0.009</formula>
    </cfRule>
  </conditionalFormatting>
  <conditionalFormatting sqref="F154:F160 F162:F163">
    <cfRule type="cellIs" dxfId="135" priority="4" stopIfTrue="1" operator="between">
      <formula>0.009</formula>
      <formula>-0.009</formula>
    </cfRule>
  </conditionalFormatting>
  <conditionalFormatting sqref="F183:F187">
    <cfRule type="cellIs" dxfId="134" priority="3" stopIfTrue="1" operator="between">
      <formula>0.009</formula>
      <formula>-0.009</formula>
    </cfRule>
  </conditionalFormatting>
  <conditionalFormatting sqref="E164">
    <cfRule type="cellIs" dxfId="133" priority="2" stopIfTrue="1" operator="between">
      <formula>0.009</formula>
      <formula>-0.009</formula>
    </cfRule>
  </conditionalFormatting>
  <conditionalFormatting sqref="F164">
    <cfRule type="cellIs" dxfId="132" priority="1" stopIfTrue="1" operator="between">
      <formula>0.009</formula>
      <formula>-0.009</formula>
    </cfRule>
  </conditionalFormatting>
  <hyperlinks>
    <hyperlink ref="A146" r:id="rId1" xr:uid="{00000000-0004-0000-0000-000000000000}"/>
    <hyperlink ref="A187" r:id="rId2" xr:uid="{00000000-0004-0000-0000-000001000000}"/>
  </hyperlinks>
  <pageMargins left="0.7" right="0.7" top="0.75" bottom="0.75" header="0.3" footer="0.3"/>
  <pageSetup paperSize="9" scale="44" orientation="portrait" r:id="rId3"/>
  <headerFooter>
    <evenFooter>&amp;LPUBLIC</evenFooter>
    <firstFooter>&amp;LPUBLIC</firstFooter>
  </headerFooter>
  <rowBreaks count="1" manualBreakCount="1">
    <brk id="147" max="5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2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69.1796875" style="9" bestFit="1" customWidth="1"/>
    <col min="3" max="3" width="15.453125" style="9" bestFit="1" customWidth="1"/>
    <col min="4" max="4" width="15.453125" style="10" bestFit="1" customWidth="1"/>
    <col min="5" max="5" width="13" style="11" customWidth="1"/>
    <col min="6" max="6" width="13.26953125" style="14" bestFit="1" customWidth="1"/>
    <col min="7" max="7" width="6.1796875" style="9" bestFit="1" customWidth="1"/>
    <col min="8" max="16384" width="9.1796875" style="9"/>
  </cols>
  <sheetData>
    <row r="1" spans="1:6" s="1" customFormat="1" ht="14" x14ac:dyDescent="0.25">
      <c r="A1" s="88" t="s">
        <v>1857</v>
      </c>
      <c r="B1" s="89"/>
      <c r="C1" s="89"/>
      <c r="D1" s="89"/>
      <c r="E1" s="89"/>
      <c r="F1" s="89"/>
    </row>
    <row r="2" spans="1:6" s="1" customFormat="1" ht="11.5" x14ac:dyDescent="0.25">
      <c r="A2" s="48" t="s">
        <v>660</v>
      </c>
      <c r="D2" s="6"/>
      <c r="E2" s="7"/>
      <c r="F2" s="14"/>
    </row>
    <row r="3" spans="1:6" s="1" customFormat="1" ht="11.5" x14ac:dyDescent="0.25">
      <c r="A3" s="12" t="s">
        <v>4</v>
      </c>
      <c r="B3" s="2"/>
      <c r="C3" s="3"/>
      <c r="D3" s="4"/>
      <c r="E3" s="5"/>
      <c r="F3" s="14"/>
    </row>
    <row r="4" spans="1:6" s="1" customFormat="1" ht="21" x14ac:dyDescent="0.25">
      <c r="A4" s="8" t="s">
        <v>2</v>
      </c>
      <c r="B4" s="8" t="s">
        <v>0</v>
      </c>
      <c r="C4" s="8" t="s">
        <v>661</v>
      </c>
      <c r="D4" s="71" t="s">
        <v>1</v>
      </c>
      <c r="E4" s="64" t="s">
        <v>1820</v>
      </c>
      <c r="F4" s="63" t="s">
        <v>3</v>
      </c>
    </row>
    <row r="5" spans="1:6" ht="10.5" x14ac:dyDescent="0.25">
      <c r="A5" s="18" t="s">
        <v>662</v>
      </c>
      <c r="B5" s="19"/>
      <c r="C5" s="19"/>
      <c r="D5" s="20"/>
      <c r="E5" s="21"/>
      <c r="F5" s="22"/>
    </row>
    <row r="6" spans="1:6" ht="10.5" x14ac:dyDescent="0.25">
      <c r="A6" s="23" t="s">
        <v>23</v>
      </c>
      <c r="B6" s="24"/>
      <c r="C6" s="24"/>
      <c r="D6" s="25"/>
      <c r="E6" s="26"/>
      <c r="F6" s="27"/>
    </row>
    <row r="7" spans="1:6" x14ac:dyDescent="0.2">
      <c r="A7" s="24" t="s">
        <v>892</v>
      </c>
      <c r="B7" s="24" t="s">
        <v>893</v>
      </c>
      <c r="C7" s="24" t="s">
        <v>766</v>
      </c>
      <c r="D7" s="28">
        <v>7200</v>
      </c>
      <c r="E7" s="26">
        <v>70009.775999999998</v>
      </c>
      <c r="F7" s="27">
        <v>9.8695767892072599</v>
      </c>
    </row>
    <row r="8" spans="1:6" x14ac:dyDescent="0.2">
      <c r="A8" s="24" t="s">
        <v>894</v>
      </c>
      <c r="B8" s="24" t="s">
        <v>895</v>
      </c>
      <c r="C8" s="24" t="s">
        <v>689</v>
      </c>
      <c r="D8" s="28">
        <v>4813</v>
      </c>
      <c r="E8" s="26">
        <v>36968.036939999998</v>
      </c>
      <c r="F8" s="27">
        <v>5.2115418756029204</v>
      </c>
    </row>
    <row r="9" spans="1:6" x14ac:dyDescent="0.2">
      <c r="A9" s="24" t="s">
        <v>807</v>
      </c>
      <c r="B9" s="24" t="s">
        <v>808</v>
      </c>
      <c r="C9" s="24" t="s">
        <v>677</v>
      </c>
      <c r="D9" s="28">
        <v>3100</v>
      </c>
      <c r="E9" s="26">
        <v>30461.777999999998</v>
      </c>
      <c r="F9" s="27">
        <v>4.2943267966859997</v>
      </c>
    </row>
    <row r="10" spans="1:6" x14ac:dyDescent="0.2">
      <c r="A10" s="24" t="s">
        <v>896</v>
      </c>
      <c r="B10" s="24" t="s">
        <v>897</v>
      </c>
      <c r="C10" s="24" t="s">
        <v>692</v>
      </c>
      <c r="D10" s="28">
        <v>11135</v>
      </c>
      <c r="E10" s="26">
        <v>22265.211950000001</v>
      </c>
      <c r="F10" s="27">
        <v>3.1388219135067699</v>
      </c>
    </row>
    <row r="11" spans="1:6" x14ac:dyDescent="0.2">
      <c r="A11" s="24" t="s">
        <v>898</v>
      </c>
      <c r="B11" s="24" t="s">
        <v>899</v>
      </c>
      <c r="C11" s="24" t="s">
        <v>692</v>
      </c>
      <c r="D11" s="28">
        <v>10675</v>
      </c>
      <c r="E11" s="26">
        <v>21347.096399999999</v>
      </c>
      <c r="F11" s="27">
        <v>3.0093912476796101</v>
      </c>
    </row>
    <row r="12" spans="1:6" x14ac:dyDescent="0.2">
      <c r="A12" s="24" t="s">
        <v>900</v>
      </c>
      <c r="B12" s="24" t="s">
        <v>901</v>
      </c>
      <c r="C12" s="24" t="s">
        <v>902</v>
      </c>
      <c r="D12" s="28">
        <v>2100</v>
      </c>
      <c r="E12" s="26">
        <v>21132.468000000001</v>
      </c>
      <c r="F12" s="27">
        <v>2.97913416651219</v>
      </c>
    </row>
    <row r="13" spans="1:6" x14ac:dyDescent="0.2">
      <c r="A13" s="24" t="s">
        <v>678</v>
      </c>
      <c r="B13" s="24" t="s">
        <v>1870</v>
      </c>
      <c r="C13" s="24" t="s">
        <v>679</v>
      </c>
      <c r="D13" s="28">
        <v>2020</v>
      </c>
      <c r="E13" s="26">
        <v>20034.763999999999</v>
      </c>
      <c r="F13" s="27">
        <v>2.8243861507519399</v>
      </c>
    </row>
    <row r="14" spans="1:6" x14ac:dyDescent="0.2">
      <c r="A14" s="24" t="s">
        <v>792</v>
      </c>
      <c r="B14" s="24" t="s">
        <v>793</v>
      </c>
      <c r="C14" s="24" t="s">
        <v>794</v>
      </c>
      <c r="D14" s="28">
        <v>1390</v>
      </c>
      <c r="E14" s="26">
        <v>13846.902</v>
      </c>
      <c r="F14" s="27">
        <v>1.95205684676991</v>
      </c>
    </row>
    <row r="15" spans="1:6" x14ac:dyDescent="0.2">
      <c r="A15" s="24" t="s">
        <v>727</v>
      </c>
      <c r="B15" s="24" t="s">
        <v>728</v>
      </c>
      <c r="C15" s="24" t="s">
        <v>692</v>
      </c>
      <c r="D15" s="28">
        <v>1349</v>
      </c>
      <c r="E15" s="26">
        <v>13333.43506</v>
      </c>
      <c r="F15" s="27">
        <v>1.87967122175306</v>
      </c>
    </row>
    <row r="16" spans="1:6" x14ac:dyDescent="0.2">
      <c r="A16" s="24" t="s">
        <v>903</v>
      </c>
      <c r="B16" s="24" t="s">
        <v>904</v>
      </c>
      <c r="C16" s="24" t="s">
        <v>766</v>
      </c>
      <c r="D16" s="28">
        <v>1300</v>
      </c>
      <c r="E16" s="26">
        <v>12506.455</v>
      </c>
      <c r="F16" s="27">
        <v>1.76308831474143</v>
      </c>
    </row>
    <row r="17" spans="1:6" x14ac:dyDescent="0.2">
      <c r="A17" s="24" t="s">
        <v>905</v>
      </c>
      <c r="B17" s="24" t="s">
        <v>906</v>
      </c>
      <c r="C17" s="24" t="s">
        <v>700</v>
      </c>
      <c r="D17" s="28">
        <v>12500</v>
      </c>
      <c r="E17" s="26">
        <v>12081.85</v>
      </c>
      <c r="F17" s="27">
        <v>1.7032299364974901</v>
      </c>
    </row>
    <row r="18" spans="1:6" x14ac:dyDescent="0.2">
      <c r="A18" s="24" t="s">
        <v>907</v>
      </c>
      <c r="B18" s="24" t="s">
        <v>908</v>
      </c>
      <c r="C18" s="24" t="s">
        <v>697</v>
      </c>
      <c r="D18" s="28">
        <v>1250</v>
      </c>
      <c r="E18" s="26">
        <v>11850.8375</v>
      </c>
      <c r="F18" s="27">
        <v>1.6706631188573899</v>
      </c>
    </row>
    <row r="19" spans="1:6" x14ac:dyDescent="0.2">
      <c r="A19" s="24" t="s">
        <v>909</v>
      </c>
      <c r="B19" s="24" t="s">
        <v>910</v>
      </c>
      <c r="C19" s="24" t="s">
        <v>677</v>
      </c>
      <c r="D19" s="28">
        <v>1180</v>
      </c>
      <c r="E19" s="26">
        <v>11712.4912</v>
      </c>
      <c r="F19" s="27">
        <v>1.6511598507516201</v>
      </c>
    </row>
    <row r="20" spans="1:6" x14ac:dyDescent="0.2">
      <c r="A20" s="24" t="s">
        <v>911</v>
      </c>
      <c r="B20" s="24" t="s">
        <v>912</v>
      </c>
      <c r="C20" s="24" t="s">
        <v>827</v>
      </c>
      <c r="D20" s="28">
        <v>1150</v>
      </c>
      <c r="E20" s="26">
        <v>11476.459500000001</v>
      </c>
      <c r="F20" s="27">
        <v>1.6178854550752599</v>
      </c>
    </row>
    <row r="21" spans="1:6" x14ac:dyDescent="0.2">
      <c r="A21" s="24" t="s">
        <v>790</v>
      </c>
      <c r="B21" s="24" t="s">
        <v>791</v>
      </c>
      <c r="C21" s="24" t="s">
        <v>673</v>
      </c>
      <c r="D21" s="28">
        <v>1050</v>
      </c>
      <c r="E21" s="26">
        <v>10473.193499999999</v>
      </c>
      <c r="F21" s="27">
        <v>1.4764507670539699</v>
      </c>
    </row>
    <row r="22" spans="1:6" x14ac:dyDescent="0.2">
      <c r="A22" s="24" t="s">
        <v>913</v>
      </c>
      <c r="B22" s="24" t="s">
        <v>914</v>
      </c>
      <c r="C22" s="24" t="s">
        <v>665</v>
      </c>
      <c r="D22" s="28">
        <v>1000</v>
      </c>
      <c r="E22" s="26">
        <v>9975.66</v>
      </c>
      <c r="F22" s="27">
        <v>1.4063113470470601</v>
      </c>
    </row>
    <row r="23" spans="1:6" x14ac:dyDescent="0.2">
      <c r="A23" s="24" t="s">
        <v>915</v>
      </c>
      <c r="B23" s="24" t="s">
        <v>916</v>
      </c>
      <c r="C23" s="24" t="s">
        <v>917</v>
      </c>
      <c r="D23" s="28">
        <v>1000</v>
      </c>
      <c r="E23" s="26">
        <v>9920.1299999999992</v>
      </c>
      <c r="F23" s="27">
        <v>1.3984830460522899</v>
      </c>
    </row>
    <row r="24" spans="1:6" x14ac:dyDescent="0.2">
      <c r="A24" s="24" t="s">
        <v>918</v>
      </c>
      <c r="B24" s="24" t="s">
        <v>808</v>
      </c>
      <c r="C24" s="24" t="s">
        <v>677</v>
      </c>
      <c r="D24" s="28">
        <v>1000</v>
      </c>
      <c r="E24" s="26">
        <v>9829.75</v>
      </c>
      <c r="F24" s="27">
        <v>1.3857417918850401</v>
      </c>
    </row>
    <row r="25" spans="1:6" x14ac:dyDescent="0.2">
      <c r="A25" s="24" t="s">
        <v>809</v>
      </c>
      <c r="B25" s="24" t="s">
        <v>810</v>
      </c>
      <c r="C25" s="24" t="s">
        <v>692</v>
      </c>
      <c r="D25" s="28">
        <v>879</v>
      </c>
      <c r="E25" s="26">
        <v>8614.1472599999997</v>
      </c>
      <c r="F25" s="27">
        <v>1.2143730877829</v>
      </c>
    </row>
    <row r="26" spans="1:6" x14ac:dyDescent="0.2">
      <c r="A26" s="24" t="s">
        <v>919</v>
      </c>
      <c r="B26" s="24" t="s">
        <v>920</v>
      </c>
      <c r="C26" s="24" t="s">
        <v>700</v>
      </c>
      <c r="D26" s="28">
        <v>8500</v>
      </c>
      <c r="E26" s="26">
        <v>8221.7440000000006</v>
      </c>
      <c r="F26" s="27">
        <v>1.15905432620159</v>
      </c>
    </row>
    <row r="27" spans="1:6" x14ac:dyDescent="0.2">
      <c r="A27" s="24" t="s">
        <v>921</v>
      </c>
      <c r="B27" s="24" t="s">
        <v>922</v>
      </c>
      <c r="C27" s="24" t="s">
        <v>692</v>
      </c>
      <c r="D27" s="28">
        <v>822</v>
      </c>
      <c r="E27" s="26">
        <v>7966.88976</v>
      </c>
      <c r="F27" s="27">
        <v>1.1231264367631899</v>
      </c>
    </row>
    <row r="28" spans="1:6" x14ac:dyDescent="0.2">
      <c r="A28" s="24" t="s">
        <v>923</v>
      </c>
      <c r="B28" s="24" t="s">
        <v>924</v>
      </c>
      <c r="C28" s="24" t="s">
        <v>692</v>
      </c>
      <c r="D28" s="28">
        <v>822</v>
      </c>
      <c r="E28" s="26">
        <v>7901.6887200000001</v>
      </c>
      <c r="F28" s="27">
        <v>1.1139347680023</v>
      </c>
    </row>
    <row r="29" spans="1:6" x14ac:dyDescent="0.2">
      <c r="A29" s="24" t="s">
        <v>729</v>
      </c>
      <c r="B29" s="24" t="s">
        <v>730</v>
      </c>
      <c r="C29" s="24" t="s">
        <v>677</v>
      </c>
      <c r="D29" s="28">
        <v>730</v>
      </c>
      <c r="E29" s="26">
        <v>7721.7502000000004</v>
      </c>
      <c r="F29" s="27">
        <v>1.0885680672078799</v>
      </c>
    </row>
    <row r="30" spans="1:6" x14ac:dyDescent="0.2">
      <c r="A30" s="24" t="s">
        <v>925</v>
      </c>
      <c r="B30" s="24" t="s">
        <v>926</v>
      </c>
      <c r="C30" s="24" t="s">
        <v>677</v>
      </c>
      <c r="D30" s="28">
        <v>760</v>
      </c>
      <c r="E30" s="26">
        <v>7564.4319999999998</v>
      </c>
      <c r="F30" s="27">
        <v>1.0663902494236901</v>
      </c>
    </row>
    <row r="31" spans="1:6" x14ac:dyDescent="0.2">
      <c r="A31" s="24" t="s">
        <v>927</v>
      </c>
      <c r="B31" s="24" t="s">
        <v>928</v>
      </c>
      <c r="C31" s="24" t="s">
        <v>827</v>
      </c>
      <c r="D31" s="28">
        <v>750</v>
      </c>
      <c r="E31" s="26">
        <v>7483.7475000000004</v>
      </c>
      <c r="F31" s="27">
        <v>1.0550158112531001</v>
      </c>
    </row>
    <row r="32" spans="1:6" x14ac:dyDescent="0.2">
      <c r="A32" s="24" t="s">
        <v>929</v>
      </c>
      <c r="B32" s="24" t="s">
        <v>930</v>
      </c>
      <c r="C32" s="24" t="s">
        <v>692</v>
      </c>
      <c r="D32" s="28">
        <v>754</v>
      </c>
      <c r="E32" s="26">
        <v>7085.1495000000004</v>
      </c>
      <c r="F32" s="27">
        <v>0.99882375074680196</v>
      </c>
    </row>
    <row r="33" spans="1:6" x14ac:dyDescent="0.2">
      <c r="A33" s="24" t="s">
        <v>931</v>
      </c>
      <c r="B33" s="24" t="s">
        <v>932</v>
      </c>
      <c r="C33" s="24" t="s">
        <v>697</v>
      </c>
      <c r="D33" s="28">
        <v>700</v>
      </c>
      <c r="E33" s="26">
        <v>6679.8339999999998</v>
      </c>
      <c r="F33" s="27">
        <v>0.94168469560818902</v>
      </c>
    </row>
    <row r="34" spans="1:6" x14ac:dyDescent="0.2">
      <c r="A34" s="24" t="s">
        <v>933</v>
      </c>
      <c r="B34" s="24" t="s">
        <v>934</v>
      </c>
      <c r="C34" s="24" t="s">
        <v>794</v>
      </c>
      <c r="D34" s="28">
        <v>690</v>
      </c>
      <c r="E34" s="26">
        <v>6641.3328000000001</v>
      </c>
      <c r="F34" s="27">
        <v>0.93625701719543897</v>
      </c>
    </row>
    <row r="35" spans="1:6" x14ac:dyDescent="0.2">
      <c r="A35" s="24" t="s">
        <v>690</v>
      </c>
      <c r="B35" s="24" t="s">
        <v>691</v>
      </c>
      <c r="C35" s="24" t="s">
        <v>692</v>
      </c>
      <c r="D35" s="28">
        <v>650</v>
      </c>
      <c r="E35" s="26">
        <v>6489.2685000000001</v>
      </c>
      <c r="F35" s="27">
        <v>0.91481986410774696</v>
      </c>
    </row>
    <row r="36" spans="1:6" x14ac:dyDescent="0.2">
      <c r="A36" s="24" t="s">
        <v>935</v>
      </c>
      <c r="B36" s="24" t="s">
        <v>936</v>
      </c>
      <c r="C36" s="24" t="s">
        <v>697</v>
      </c>
      <c r="D36" s="28">
        <v>570</v>
      </c>
      <c r="E36" s="26">
        <v>5935.1990999999998</v>
      </c>
      <c r="F36" s="27">
        <v>0.83671033709183396</v>
      </c>
    </row>
    <row r="37" spans="1:6" x14ac:dyDescent="0.2">
      <c r="A37" s="24" t="s">
        <v>698</v>
      </c>
      <c r="B37" s="24" t="s">
        <v>699</v>
      </c>
      <c r="C37" s="24" t="s">
        <v>700</v>
      </c>
      <c r="D37" s="28">
        <v>11</v>
      </c>
      <c r="E37" s="26">
        <v>5576.4830000000002</v>
      </c>
      <c r="F37" s="27">
        <v>0.78614059816744497</v>
      </c>
    </row>
    <row r="38" spans="1:6" x14ac:dyDescent="0.2">
      <c r="A38" s="24" t="s">
        <v>937</v>
      </c>
      <c r="B38" s="24" t="s">
        <v>938</v>
      </c>
      <c r="C38" s="24" t="s">
        <v>700</v>
      </c>
      <c r="D38" s="28">
        <v>11</v>
      </c>
      <c r="E38" s="26">
        <v>5576.4830000000002</v>
      </c>
      <c r="F38" s="27">
        <v>0.78614059816744497</v>
      </c>
    </row>
    <row r="39" spans="1:6" x14ac:dyDescent="0.2">
      <c r="A39" s="24" t="s">
        <v>939</v>
      </c>
      <c r="B39" s="24" t="s">
        <v>940</v>
      </c>
      <c r="C39" s="24" t="s">
        <v>673</v>
      </c>
      <c r="D39" s="28">
        <v>550</v>
      </c>
      <c r="E39" s="26">
        <v>5476.4544999999998</v>
      </c>
      <c r="F39" s="27">
        <v>0.77203915379403099</v>
      </c>
    </row>
    <row r="40" spans="1:6" x14ac:dyDescent="0.2">
      <c r="A40" s="24" t="s">
        <v>941</v>
      </c>
      <c r="B40" s="24" t="s">
        <v>942</v>
      </c>
      <c r="C40" s="24" t="s">
        <v>827</v>
      </c>
      <c r="D40" s="28">
        <v>500</v>
      </c>
      <c r="E40" s="26">
        <v>4989.7650000000003</v>
      </c>
      <c r="F40" s="27">
        <v>0.70342845872837501</v>
      </c>
    </row>
    <row r="41" spans="1:6" x14ac:dyDescent="0.2">
      <c r="A41" s="24" t="s">
        <v>943</v>
      </c>
      <c r="B41" s="24" t="s">
        <v>944</v>
      </c>
      <c r="C41" s="24" t="s">
        <v>737</v>
      </c>
      <c r="D41" s="28">
        <v>460</v>
      </c>
      <c r="E41" s="26">
        <v>4938.4588000000003</v>
      </c>
      <c r="F41" s="27">
        <v>0.69619560483862097</v>
      </c>
    </row>
    <row r="42" spans="1:6" x14ac:dyDescent="0.2">
      <c r="A42" s="24" t="s">
        <v>945</v>
      </c>
      <c r="B42" s="24" t="s">
        <v>946</v>
      </c>
      <c r="C42" s="24" t="s">
        <v>777</v>
      </c>
      <c r="D42" s="28">
        <v>500</v>
      </c>
      <c r="E42" s="26">
        <v>4912.1499999999996</v>
      </c>
      <c r="F42" s="27">
        <v>0.69248674106748198</v>
      </c>
    </row>
    <row r="43" spans="1:6" x14ac:dyDescent="0.2">
      <c r="A43" s="24" t="s">
        <v>947</v>
      </c>
      <c r="B43" s="24" t="s">
        <v>946</v>
      </c>
      <c r="C43" s="24" t="s">
        <v>777</v>
      </c>
      <c r="D43" s="28">
        <v>500</v>
      </c>
      <c r="E43" s="26">
        <v>4906.45</v>
      </c>
      <c r="F43" s="27">
        <v>0.69168318775089299</v>
      </c>
    </row>
    <row r="44" spans="1:6" x14ac:dyDescent="0.2">
      <c r="A44" s="24" t="s">
        <v>725</v>
      </c>
      <c r="B44" s="24" t="s">
        <v>726</v>
      </c>
      <c r="C44" s="24" t="s">
        <v>697</v>
      </c>
      <c r="D44" s="28">
        <v>500</v>
      </c>
      <c r="E44" s="26">
        <v>4831.8999999999996</v>
      </c>
      <c r="F44" s="27">
        <v>0.68117355621550002</v>
      </c>
    </row>
    <row r="45" spans="1:6" x14ac:dyDescent="0.2">
      <c r="A45" s="24" t="s">
        <v>948</v>
      </c>
      <c r="B45" s="24" t="s">
        <v>949</v>
      </c>
      <c r="C45" s="24" t="s">
        <v>777</v>
      </c>
      <c r="D45" s="28">
        <v>500</v>
      </c>
      <c r="E45" s="26">
        <v>4826.665</v>
      </c>
      <c r="F45" s="27">
        <v>0.68043555593263205</v>
      </c>
    </row>
    <row r="46" spans="1:6" x14ac:dyDescent="0.2">
      <c r="A46" s="24" t="s">
        <v>950</v>
      </c>
      <c r="B46" s="24" t="s">
        <v>949</v>
      </c>
      <c r="C46" s="24" t="s">
        <v>777</v>
      </c>
      <c r="D46" s="28">
        <v>500</v>
      </c>
      <c r="E46" s="26">
        <v>4822.2250000000004</v>
      </c>
      <c r="F46" s="27">
        <v>0.67980963019128904</v>
      </c>
    </row>
    <row r="47" spans="1:6" x14ac:dyDescent="0.2">
      <c r="A47" s="24" t="s">
        <v>687</v>
      </c>
      <c r="B47" s="24" t="s">
        <v>688</v>
      </c>
      <c r="C47" s="24" t="s">
        <v>689</v>
      </c>
      <c r="D47" s="28">
        <v>450</v>
      </c>
      <c r="E47" s="26">
        <v>4498.5959999999995</v>
      </c>
      <c r="F47" s="27">
        <v>0.63418626943786605</v>
      </c>
    </row>
    <row r="48" spans="1:6" x14ac:dyDescent="0.2">
      <c r="A48" s="24" t="s">
        <v>951</v>
      </c>
      <c r="B48" s="24" t="s">
        <v>952</v>
      </c>
      <c r="C48" s="24" t="s">
        <v>692</v>
      </c>
      <c r="D48" s="28">
        <v>2125</v>
      </c>
      <c r="E48" s="26">
        <v>4184.3162499999999</v>
      </c>
      <c r="F48" s="27">
        <v>0.58988091234148199</v>
      </c>
    </row>
    <row r="49" spans="1:6" x14ac:dyDescent="0.2">
      <c r="A49" s="24" t="s">
        <v>778</v>
      </c>
      <c r="B49" s="24" t="s">
        <v>779</v>
      </c>
      <c r="C49" s="24" t="s">
        <v>700</v>
      </c>
      <c r="D49" s="28">
        <v>500</v>
      </c>
      <c r="E49" s="26">
        <v>3718.0762500000001</v>
      </c>
      <c r="F49" s="27">
        <v>0.52415307052978999</v>
      </c>
    </row>
    <row r="50" spans="1:6" x14ac:dyDescent="0.2">
      <c r="A50" s="24" t="s">
        <v>953</v>
      </c>
      <c r="B50" s="24" t="s">
        <v>954</v>
      </c>
      <c r="C50" s="24" t="s">
        <v>677</v>
      </c>
      <c r="D50" s="28">
        <v>370</v>
      </c>
      <c r="E50" s="26">
        <v>3694.9828000000002</v>
      </c>
      <c r="F50" s="27">
        <v>0.52089748836505401</v>
      </c>
    </row>
    <row r="51" spans="1:6" x14ac:dyDescent="0.2">
      <c r="A51" s="24" t="s">
        <v>955</v>
      </c>
      <c r="B51" s="24" t="s">
        <v>956</v>
      </c>
      <c r="C51" s="24" t="s">
        <v>692</v>
      </c>
      <c r="D51" s="28">
        <v>350</v>
      </c>
      <c r="E51" s="26">
        <v>3457.1424999999999</v>
      </c>
      <c r="F51" s="27">
        <v>0.48736812663108597</v>
      </c>
    </row>
    <row r="52" spans="1:6" x14ac:dyDescent="0.2">
      <c r="A52" s="24" t="s">
        <v>957</v>
      </c>
      <c r="B52" s="24" t="s">
        <v>958</v>
      </c>
      <c r="C52" s="24" t="s">
        <v>777</v>
      </c>
      <c r="D52" s="28">
        <v>350</v>
      </c>
      <c r="E52" s="26">
        <v>3401.0864999999999</v>
      </c>
      <c r="F52" s="27">
        <v>0.47946567317236</v>
      </c>
    </row>
    <row r="53" spans="1:6" x14ac:dyDescent="0.2">
      <c r="A53" s="24" t="s">
        <v>959</v>
      </c>
      <c r="B53" s="24" t="s">
        <v>960</v>
      </c>
      <c r="C53" s="24" t="s">
        <v>684</v>
      </c>
      <c r="D53" s="28">
        <v>272</v>
      </c>
      <c r="E53" s="26">
        <v>2728.9188800000002</v>
      </c>
      <c r="F53" s="27">
        <v>0.38470733626797299</v>
      </c>
    </row>
    <row r="54" spans="1:6" x14ac:dyDescent="0.2">
      <c r="A54" s="24" t="s">
        <v>703</v>
      </c>
      <c r="B54" s="24" t="s">
        <v>704</v>
      </c>
      <c r="C54" s="24" t="s">
        <v>689</v>
      </c>
      <c r="D54" s="28">
        <v>150</v>
      </c>
      <c r="E54" s="26">
        <v>2457.4395</v>
      </c>
      <c r="F54" s="27">
        <v>0.34643572991979099</v>
      </c>
    </row>
    <row r="55" spans="1:6" x14ac:dyDescent="0.2">
      <c r="A55" s="24" t="s">
        <v>701</v>
      </c>
      <c r="B55" s="24" t="s">
        <v>702</v>
      </c>
      <c r="C55" s="24" t="s">
        <v>697</v>
      </c>
      <c r="D55" s="28">
        <v>250</v>
      </c>
      <c r="E55" s="26">
        <v>2432.0625</v>
      </c>
      <c r="F55" s="27">
        <v>0.342858225969776</v>
      </c>
    </row>
    <row r="56" spans="1:6" x14ac:dyDescent="0.2">
      <c r="A56" s="24" t="s">
        <v>961</v>
      </c>
      <c r="B56" s="24" t="s">
        <v>962</v>
      </c>
      <c r="C56" s="24" t="s">
        <v>677</v>
      </c>
      <c r="D56" s="28">
        <v>250</v>
      </c>
      <c r="E56" s="26">
        <v>2428.1475</v>
      </c>
      <c r="F56" s="27">
        <v>0.34230631171811798</v>
      </c>
    </row>
    <row r="57" spans="1:6" x14ac:dyDescent="0.2">
      <c r="A57" s="24" t="s">
        <v>963</v>
      </c>
      <c r="B57" s="24" t="s">
        <v>964</v>
      </c>
      <c r="C57" s="24" t="s">
        <v>711</v>
      </c>
      <c r="D57" s="28">
        <v>240</v>
      </c>
      <c r="E57" s="26">
        <v>2330.1864</v>
      </c>
      <c r="F57" s="27">
        <v>0.32849631754237302</v>
      </c>
    </row>
    <row r="58" spans="1:6" x14ac:dyDescent="0.2">
      <c r="A58" s="24" t="s">
        <v>965</v>
      </c>
      <c r="B58" s="24" t="s">
        <v>966</v>
      </c>
      <c r="C58" s="24" t="s">
        <v>665</v>
      </c>
      <c r="D58" s="28">
        <v>200</v>
      </c>
      <c r="E58" s="26">
        <v>2008.18</v>
      </c>
      <c r="F58" s="27">
        <v>0.28310170163307202</v>
      </c>
    </row>
    <row r="59" spans="1:6" x14ac:dyDescent="0.2">
      <c r="A59" s="24" t="s">
        <v>967</v>
      </c>
      <c r="B59" s="24" t="s">
        <v>968</v>
      </c>
      <c r="C59" s="24" t="s">
        <v>677</v>
      </c>
      <c r="D59" s="28">
        <v>200</v>
      </c>
      <c r="E59" s="26">
        <v>1938.51</v>
      </c>
      <c r="F59" s="27">
        <v>0.27328002451609301</v>
      </c>
    </row>
    <row r="60" spans="1:6" x14ac:dyDescent="0.2">
      <c r="A60" s="24" t="s">
        <v>969</v>
      </c>
      <c r="B60" s="24" t="s">
        <v>970</v>
      </c>
      <c r="C60" s="24" t="s">
        <v>827</v>
      </c>
      <c r="D60" s="28">
        <v>150</v>
      </c>
      <c r="E60" s="26">
        <v>1496.4735000000001</v>
      </c>
      <c r="F60" s="27">
        <v>0.210964253353185</v>
      </c>
    </row>
    <row r="61" spans="1:6" x14ac:dyDescent="0.2">
      <c r="A61" s="24" t="s">
        <v>971</v>
      </c>
      <c r="B61" s="24" t="s">
        <v>972</v>
      </c>
      <c r="C61" s="24" t="s">
        <v>673</v>
      </c>
      <c r="D61" s="28">
        <v>150</v>
      </c>
      <c r="E61" s="26">
        <v>1485.9390000000001</v>
      </c>
      <c r="F61" s="27">
        <v>0.209479159947289</v>
      </c>
    </row>
    <row r="62" spans="1:6" x14ac:dyDescent="0.2">
      <c r="A62" s="24" t="s">
        <v>973</v>
      </c>
      <c r="B62" s="24" t="s">
        <v>974</v>
      </c>
      <c r="C62" s="24" t="s">
        <v>700</v>
      </c>
      <c r="D62" s="28">
        <v>1400</v>
      </c>
      <c r="E62" s="26">
        <v>1382.171</v>
      </c>
      <c r="F62" s="27">
        <v>0.19485054230591201</v>
      </c>
    </row>
    <row r="63" spans="1:6" x14ac:dyDescent="0.2">
      <c r="A63" s="24" t="s">
        <v>975</v>
      </c>
      <c r="B63" s="24" t="s">
        <v>976</v>
      </c>
      <c r="C63" s="24" t="s">
        <v>673</v>
      </c>
      <c r="D63" s="28">
        <v>100</v>
      </c>
      <c r="E63" s="26">
        <v>1013.545</v>
      </c>
      <c r="F63" s="27">
        <v>0.14288376250221199</v>
      </c>
    </row>
    <row r="64" spans="1:6" x14ac:dyDescent="0.2">
      <c r="A64" s="24" t="s">
        <v>977</v>
      </c>
      <c r="B64" s="24" t="s">
        <v>978</v>
      </c>
      <c r="C64" s="24" t="s">
        <v>665</v>
      </c>
      <c r="D64" s="28">
        <v>100</v>
      </c>
      <c r="E64" s="26">
        <v>1001.36</v>
      </c>
      <c r="F64" s="27">
        <v>0.14116599107017</v>
      </c>
    </row>
    <row r="65" spans="1:6" x14ac:dyDescent="0.2">
      <c r="A65" s="24" t="s">
        <v>979</v>
      </c>
      <c r="B65" s="24" t="s">
        <v>980</v>
      </c>
      <c r="C65" s="24" t="s">
        <v>714</v>
      </c>
      <c r="D65" s="28">
        <v>100</v>
      </c>
      <c r="E65" s="26">
        <v>1000.475</v>
      </c>
      <c r="F65" s="27">
        <v>0.141041228844699</v>
      </c>
    </row>
    <row r="66" spans="1:6" x14ac:dyDescent="0.2">
      <c r="A66" s="24" t="s">
        <v>981</v>
      </c>
      <c r="B66" s="24" t="s">
        <v>982</v>
      </c>
      <c r="C66" s="24" t="s">
        <v>692</v>
      </c>
      <c r="D66" s="28">
        <v>62</v>
      </c>
      <c r="E66" s="26">
        <v>576.78165999999999</v>
      </c>
      <c r="F66" s="27">
        <v>8.1311371200165405E-2</v>
      </c>
    </row>
    <row r="67" spans="1:6" x14ac:dyDescent="0.2">
      <c r="A67" s="24" t="s">
        <v>983</v>
      </c>
      <c r="B67" s="24" t="s">
        <v>984</v>
      </c>
      <c r="C67" s="24" t="s">
        <v>692</v>
      </c>
      <c r="D67" s="28">
        <v>62</v>
      </c>
      <c r="E67" s="26">
        <v>570.75091999999995</v>
      </c>
      <c r="F67" s="27">
        <v>8.0461192054816597E-2</v>
      </c>
    </row>
    <row r="68" spans="1:6" x14ac:dyDescent="0.2">
      <c r="A68" s="24" t="s">
        <v>705</v>
      </c>
      <c r="B68" s="24" t="s">
        <v>706</v>
      </c>
      <c r="C68" s="24" t="s">
        <v>692</v>
      </c>
      <c r="D68" s="28">
        <v>76</v>
      </c>
      <c r="E68" s="26">
        <v>568.91414999999995</v>
      </c>
      <c r="F68" s="27">
        <v>8.0202254752130303E-2</v>
      </c>
    </row>
    <row r="69" spans="1:6" x14ac:dyDescent="0.2">
      <c r="A69" s="24" t="s">
        <v>985</v>
      </c>
      <c r="B69" s="24" t="s">
        <v>986</v>
      </c>
      <c r="C69" s="24" t="s">
        <v>689</v>
      </c>
      <c r="D69" s="28">
        <v>55</v>
      </c>
      <c r="E69" s="26">
        <v>543.91975000000002</v>
      </c>
      <c r="F69" s="27">
        <v>7.6678687556312394E-2</v>
      </c>
    </row>
    <row r="70" spans="1:6" x14ac:dyDescent="0.2">
      <c r="A70" s="24" t="s">
        <v>987</v>
      </c>
      <c r="B70" s="24" t="s">
        <v>988</v>
      </c>
      <c r="C70" s="24" t="s">
        <v>665</v>
      </c>
      <c r="D70" s="28">
        <v>50</v>
      </c>
      <c r="E70" s="26">
        <v>500.25299999999999</v>
      </c>
      <c r="F70" s="27">
        <v>7.0522799523473706E-2</v>
      </c>
    </row>
    <row r="71" spans="1:6" x14ac:dyDescent="0.2">
      <c r="A71" s="24" t="s">
        <v>784</v>
      </c>
      <c r="B71" s="24" t="s">
        <v>785</v>
      </c>
      <c r="C71" s="24" t="s">
        <v>677</v>
      </c>
      <c r="D71" s="28">
        <v>50</v>
      </c>
      <c r="E71" s="26">
        <v>498.28500000000003</v>
      </c>
      <c r="F71" s="27">
        <v>7.0245362167851197E-2</v>
      </c>
    </row>
    <row r="72" spans="1:6" x14ac:dyDescent="0.2">
      <c r="A72" s="24" t="s">
        <v>989</v>
      </c>
      <c r="B72" s="24" t="s">
        <v>964</v>
      </c>
      <c r="C72" s="24" t="s">
        <v>711</v>
      </c>
      <c r="D72" s="28">
        <v>50</v>
      </c>
      <c r="E72" s="26">
        <v>487.42500000000001</v>
      </c>
      <c r="F72" s="27">
        <v>6.8714381638349295E-2</v>
      </c>
    </row>
    <row r="73" spans="1:6" x14ac:dyDescent="0.2">
      <c r="A73" s="24" t="s">
        <v>990</v>
      </c>
      <c r="B73" s="24" t="s">
        <v>991</v>
      </c>
      <c r="C73" s="24" t="s">
        <v>700</v>
      </c>
      <c r="D73" s="28">
        <v>500</v>
      </c>
      <c r="E73" s="26">
        <v>485.76400000000001</v>
      </c>
      <c r="F73" s="27">
        <v>6.8480223382409805E-2</v>
      </c>
    </row>
    <row r="74" spans="1:6" x14ac:dyDescent="0.2">
      <c r="A74" s="24" t="s">
        <v>992</v>
      </c>
      <c r="B74" s="24" t="s">
        <v>993</v>
      </c>
      <c r="C74" s="24" t="s">
        <v>815</v>
      </c>
      <c r="D74" s="28">
        <v>30</v>
      </c>
      <c r="E74" s="26">
        <v>301.86599999999999</v>
      </c>
      <c r="F74" s="27">
        <v>4.2555337800978497E-2</v>
      </c>
    </row>
    <row r="75" spans="1:6" x14ac:dyDescent="0.2">
      <c r="A75" s="24" t="s">
        <v>994</v>
      </c>
      <c r="B75" s="24" t="s">
        <v>995</v>
      </c>
      <c r="C75" s="24" t="s">
        <v>815</v>
      </c>
      <c r="D75" s="28">
        <v>28</v>
      </c>
      <c r="E75" s="26">
        <v>281.99052</v>
      </c>
      <c r="F75" s="27">
        <v>3.9753406595223001E-2</v>
      </c>
    </row>
    <row r="76" spans="1:6" x14ac:dyDescent="0.2">
      <c r="A76" s="24" t="s">
        <v>996</v>
      </c>
      <c r="B76" s="24" t="s">
        <v>997</v>
      </c>
      <c r="C76" s="24" t="s">
        <v>998</v>
      </c>
      <c r="D76" s="28">
        <v>18</v>
      </c>
      <c r="E76" s="26">
        <v>212.01462000000001</v>
      </c>
      <c r="F76" s="27">
        <v>2.9888605450253101E-2</v>
      </c>
    </row>
    <row r="77" spans="1:6" x14ac:dyDescent="0.2">
      <c r="A77" s="24" t="s">
        <v>999</v>
      </c>
      <c r="B77" s="24" t="s">
        <v>1000</v>
      </c>
      <c r="C77" s="24" t="s">
        <v>815</v>
      </c>
      <c r="D77" s="28">
        <v>12</v>
      </c>
      <c r="E77" s="26">
        <v>123.26964</v>
      </c>
      <c r="F77" s="27">
        <v>1.73778470275056E-2</v>
      </c>
    </row>
    <row r="78" spans="1:6" x14ac:dyDescent="0.2">
      <c r="A78" s="24" t="s">
        <v>1001</v>
      </c>
      <c r="B78" s="24" t="s">
        <v>1002</v>
      </c>
      <c r="C78" s="24" t="s">
        <v>815</v>
      </c>
      <c r="D78" s="28">
        <v>12</v>
      </c>
      <c r="E78" s="26">
        <v>122.13312000000001</v>
      </c>
      <c r="F78" s="27">
        <v>1.7217626954633702E-2</v>
      </c>
    </row>
    <row r="79" spans="1:6" x14ac:dyDescent="0.2">
      <c r="A79" s="24" t="s">
        <v>1003</v>
      </c>
      <c r="B79" s="24" t="s">
        <v>1004</v>
      </c>
      <c r="C79" s="24" t="s">
        <v>689</v>
      </c>
      <c r="D79" s="28">
        <v>9</v>
      </c>
      <c r="E79" s="26">
        <v>91.649609999999996</v>
      </c>
      <c r="F79" s="27">
        <v>1.29202365051975E-2</v>
      </c>
    </row>
    <row r="80" spans="1:6" x14ac:dyDescent="0.2">
      <c r="A80" s="24" t="s">
        <v>780</v>
      </c>
      <c r="B80" s="24" t="s">
        <v>781</v>
      </c>
      <c r="C80" s="24" t="s">
        <v>766</v>
      </c>
      <c r="D80" s="28">
        <v>4000</v>
      </c>
      <c r="E80" s="26">
        <v>39.455840000000002</v>
      </c>
      <c r="F80" s="27">
        <v>5.5622580861089399E-3</v>
      </c>
    </row>
    <row r="81" spans="1:9" x14ac:dyDescent="0.2">
      <c r="A81" s="24" t="s">
        <v>771</v>
      </c>
      <c r="B81" s="24" t="s">
        <v>772</v>
      </c>
      <c r="C81" s="24" t="s">
        <v>673</v>
      </c>
      <c r="D81" s="28">
        <v>3</v>
      </c>
      <c r="E81" s="26">
        <v>29.98986</v>
      </c>
      <c r="F81" s="27">
        <v>4.2277985029915699E-3</v>
      </c>
      <c r="H81" s="11"/>
    </row>
    <row r="82" spans="1:9" ht="10.5" x14ac:dyDescent="0.25">
      <c r="A82" s="23" t="s">
        <v>24</v>
      </c>
      <c r="B82" s="23"/>
      <c r="C82" s="23"/>
      <c r="D82" s="29"/>
      <c r="E82" s="30">
        <f>SUM(E6:E81)</f>
        <v>540480.58395999984</v>
      </c>
      <c r="F82" s="31">
        <f>SUM(F6:F81)</f>
        <v>76.19385364793628</v>
      </c>
      <c r="G82" s="15"/>
      <c r="H82" s="15"/>
      <c r="I82" s="15"/>
    </row>
    <row r="83" spans="1:9" x14ac:dyDescent="0.2">
      <c r="A83" s="24"/>
      <c r="B83" s="24"/>
      <c r="C83" s="24"/>
      <c r="D83" s="25"/>
      <c r="E83" s="26"/>
      <c r="F83" s="27"/>
    </row>
    <row r="84" spans="1:9" ht="10.5" x14ac:dyDescent="0.25">
      <c r="A84" s="23" t="s">
        <v>818</v>
      </c>
      <c r="B84" s="24"/>
      <c r="C84" s="24"/>
      <c r="D84" s="25"/>
      <c r="E84" s="26"/>
      <c r="F84" s="27"/>
    </row>
    <row r="85" spans="1:9" x14ac:dyDescent="0.2">
      <c r="A85" s="24" t="s">
        <v>1005</v>
      </c>
      <c r="B85" s="24" t="s">
        <v>1006</v>
      </c>
      <c r="C85" s="24" t="s">
        <v>1007</v>
      </c>
      <c r="D85" s="28">
        <v>480</v>
      </c>
      <c r="E85" s="26">
        <v>56532</v>
      </c>
      <c r="F85" s="27">
        <v>7.9695572093740896</v>
      </c>
    </row>
    <row r="86" spans="1:9" x14ac:dyDescent="0.2">
      <c r="A86" s="24" t="s">
        <v>1008</v>
      </c>
      <c r="B86" s="24" t="s">
        <v>1009</v>
      </c>
      <c r="C86" s="24" t="s">
        <v>1010</v>
      </c>
      <c r="D86" s="28">
        <v>350</v>
      </c>
      <c r="E86" s="26">
        <v>35258.79</v>
      </c>
      <c r="F86" s="27">
        <v>4.9705820427069103</v>
      </c>
    </row>
    <row r="87" spans="1:9" x14ac:dyDescent="0.2">
      <c r="A87" s="24" t="s">
        <v>1011</v>
      </c>
      <c r="B87" s="24" t="s">
        <v>1012</v>
      </c>
      <c r="C87" s="24" t="s">
        <v>684</v>
      </c>
      <c r="D87" s="28">
        <v>2560</v>
      </c>
      <c r="E87" s="26">
        <v>24556.006399999998</v>
      </c>
      <c r="F87" s="27">
        <v>3.4617649798088901</v>
      </c>
    </row>
    <row r="88" spans="1:9" x14ac:dyDescent="0.2">
      <c r="A88" s="24" t="s">
        <v>1013</v>
      </c>
      <c r="B88" s="24" t="s">
        <v>1014</v>
      </c>
      <c r="C88" s="24" t="s">
        <v>737</v>
      </c>
      <c r="D88" s="28">
        <v>2450</v>
      </c>
      <c r="E88" s="26">
        <v>24187.184000000001</v>
      </c>
      <c r="F88" s="27">
        <v>3.4097705126593301</v>
      </c>
    </row>
    <row r="89" spans="1:9" x14ac:dyDescent="0.2">
      <c r="A89" s="24" t="s">
        <v>1015</v>
      </c>
      <c r="B89" s="24" t="s">
        <v>1016</v>
      </c>
      <c r="C89" s="24" t="s">
        <v>1017</v>
      </c>
      <c r="D89" s="28">
        <v>1660</v>
      </c>
      <c r="E89" s="26">
        <v>14474.05596</v>
      </c>
      <c r="F89" s="27">
        <v>2.0404694159927499</v>
      </c>
    </row>
    <row r="90" spans="1:9" x14ac:dyDescent="0.2">
      <c r="A90" s="24" t="s">
        <v>1018</v>
      </c>
      <c r="B90" s="24" t="s">
        <v>1019</v>
      </c>
      <c r="C90" s="24" t="s">
        <v>902</v>
      </c>
      <c r="D90" s="28">
        <v>1480</v>
      </c>
      <c r="E90" s="26">
        <v>14301.772800000001</v>
      </c>
      <c r="F90" s="27">
        <v>2.0161819239558199</v>
      </c>
    </row>
    <row r="91" spans="1:9" x14ac:dyDescent="0.2">
      <c r="A91" s="24" t="s">
        <v>853</v>
      </c>
      <c r="B91" s="24" t="s">
        <v>854</v>
      </c>
      <c r="C91" s="24" t="s">
        <v>684</v>
      </c>
      <c r="D91" s="28">
        <v>1150</v>
      </c>
      <c r="E91" s="26">
        <v>11689.761500000001</v>
      </c>
      <c r="F91" s="27">
        <v>1.6479555479761701</v>
      </c>
    </row>
    <row r="92" spans="1:9" x14ac:dyDescent="0.2">
      <c r="A92" s="24" t="s">
        <v>1020</v>
      </c>
      <c r="B92" s="24" t="s">
        <v>1021</v>
      </c>
      <c r="C92" s="24" t="s">
        <v>1017</v>
      </c>
      <c r="D92" s="28">
        <v>1280</v>
      </c>
      <c r="E92" s="26">
        <v>11261.74604</v>
      </c>
      <c r="F92" s="27">
        <v>1.58761638263677</v>
      </c>
    </row>
    <row r="93" spans="1:9" x14ac:dyDescent="0.2">
      <c r="A93" s="24" t="s">
        <v>1022</v>
      </c>
      <c r="B93" s="24" t="s">
        <v>1023</v>
      </c>
      <c r="C93" s="24" t="s">
        <v>827</v>
      </c>
      <c r="D93" s="28">
        <v>1000</v>
      </c>
      <c r="E93" s="26">
        <v>9977.2800000000007</v>
      </c>
      <c r="F93" s="27">
        <v>1.4065397253581</v>
      </c>
    </row>
    <row r="94" spans="1:9" x14ac:dyDescent="0.2">
      <c r="A94" s="24" t="s">
        <v>1024</v>
      </c>
      <c r="B94" s="24" t="s">
        <v>1025</v>
      </c>
      <c r="C94" s="24" t="s">
        <v>1026</v>
      </c>
      <c r="D94" s="28">
        <v>1000</v>
      </c>
      <c r="E94" s="26">
        <v>9964.51</v>
      </c>
      <c r="F94" s="27">
        <v>1.4047394839803999</v>
      </c>
    </row>
    <row r="95" spans="1:9" x14ac:dyDescent="0.2">
      <c r="A95" s="24" t="s">
        <v>1027</v>
      </c>
      <c r="B95" s="24" t="s">
        <v>1028</v>
      </c>
      <c r="C95" s="24" t="s">
        <v>1026</v>
      </c>
      <c r="D95" s="28">
        <v>800</v>
      </c>
      <c r="E95" s="26">
        <v>7874.72</v>
      </c>
      <c r="F95" s="27">
        <v>1.1101328724935</v>
      </c>
    </row>
    <row r="96" spans="1:9" x14ac:dyDescent="0.2">
      <c r="A96" s="24" t="s">
        <v>1029</v>
      </c>
      <c r="B96" s="24" t="s">
        <v>1030</v>
      </c>
      <c r="C96" s="24" t="s">
        <v>1031</v>
      </c>
      <c r="D96" s="28">
        <v>15</v>
      </c>
      <c r="E96" s="26">
        <v>7519.32</v>
      </c>
      <c r="F96" s="27">
        <v>1.0600306183328201</v>
      </c>
    </row>
    <row r="97" spans="1:6" x14ac:dyDescent="0.2">
      <c r="A97" s="24" t="s">
        <v>1032</v>
      </c>
      <c r="B97" s="24" t="s">
        <v>1033</v>
      </c>
      <c r="C97" s="24" t="s">
        <v>737</v>
      </c>
      <c r="D97" s="28">
        <v>650</v>
      </c>
      <c r="E97" s="26">
        <v>6403.3774999999996</v>
      </c>
      <c r="F97" s="27">
        <v>0.90271144342087295</v>
      </c>
    </row>
    <row r="98" spans="1:6" x14ac:dyDescent="0.2">
      <c r="A98" s="24" t="s">
        <v>1034</v>
      </c>
      <c r="B98" s="24" t="s">
        <v>1035</v>
      </c>
      <c r="C98" s="24" t="s">
        <v>1036</v>
      </c>
      <c r="D98" s="28">
        <v>636</v>
      </c>
      <c r="E98" s="26">
        <v>6306.5251200000002</v>
      </c>
      <c r="F98" s="27">
        <v>0.88905775023340305</v>
      </c>
    </row>
    <row r="99" spans="1:6" x14ac:dyDescent="0.2">
      <c r="A99" s="24" t="s">
        <v>1037</v>
      </c>
      <c r="B99" s="24" t="s">
        <v>1038</v>
      </c>
      <c r="C99" s="24" t="s">
        <v>1026</v>
      </c>
      <c r="D99" s="28">
        <v>600</v>
      </c>
      <c r="E99" s="26">
        <v>5958.1019999999999</v>
      </c>
      <c r="F99" s="27">
        <v>0.83993905661016999</v>
      </c>
    </row>
    <row r="100" spans="1:6" x14ac:dyDescent="0.2">
      <c r="A100" s="24" t="s">
        <v>1039</v>
      </c>
      <c r="B100" s="24" t="s">
        <v>1040</v>
      </c>
      <c r="C100" s="24" t="s">
        <v>1041</v>
      </c>
      <c r="D100" s="28">
        <v>500</v>
      </c>
      <c r="E100" s="26">
        <v>4982.1499999999996</v>
      </c>
      <c r="F100" s="27">
        <v>0.70235493969226503</v>
      </c>
    </row>
    <row r="101" spans="1:6" x14ac:dyDescent="0.2">
      <c r="A101" s="24" t="s">
        <v>1042</v>
      </c>
      <c r="B101" s="24" t="s">
        <v>1043</v>
      </c>
      <c r="C101" s="24" t="s">
        <v>1026</v>
      </c>
      <c r="D101" s="28">
        <v>375</v>
      </c>
      <c r="E101" s="26">
        <v>3744.03</v>
      </c>
      <c r="F101" s="27">
        <v>0.52781188138776003</v>
      </c>
    </row>
    <row r="102" spans="1:6" x14ac:dyDescent="0.2">
      <c r="A102" s="24" t="s">
        <v>1044</v>
      </c>
      <c r="B102" s="24" t="s">
        <v>1045</v>
      </c>
      <c r="C102" s="24" t="s">
        <v>1046</v>
      </c>
      <c r="D102" s="28">
        <v>371</v>
      </c>
      <c r="E102" s="26">
        <v>3599.2342400000002</v>
      </c>
      <c r="F102" s="27">
        <v>0.50739940539195605</v>
      </c>
    </row>
    <row r="103" spans="1:6" x14ac:dyDescent="0.2">
      <c r="A103" s="24" t="s">
        <v>1047</v>
      </c>
      <c r="B103" s="24" t="s">
        <v>1048</v>
      </c>
      <c r="C103" s="24" t="s">
        <v>1017</v>
      </c>
      <c r="D103" s="28">
        <v>385</v>
      </c>
      <c r="E103" s="26">
        <v>3535.613374</v>
      </c>
      <c r="F103" s="27">
        <v>0.49843050050097498</v>
      </c>
    </row>
    <row r="104" spans="1:6" x14ac:dyDescent="0.2">
      <c r="A104" s="24" t="s">
        <v>1049</v>
      </c>
      <c r="B104" s="24" t="s">
        <v>1050</v>
      </c>
      <c r="C104" s="24" t="s">
        <v>1026</v>
      </c>
      <c r="D104" s="28">
        <v>350</v>
      </c>
      <c r="E104" s="26">
        <v>3489.1115</v>
      </c>
      <c r="F104" s="27">
        <v>0.49187493294302398</v>
      </c>
    </row>
    <row r="105" spans="1:6" x14ac:dyDescent="0.2">
      <c r="A105" s="24" t="s">
        <v>1051</v>
      </c>
      <c r="B105" s="24" t="s">
        <v>1052</v>
      </c>
      <c r="C105" s="24" t="s">
        <v>1053</v>
      </c>
      <c r="D105" s="28">
        <v>394</v>
      </c>
      <c r="E105" s="26">
        <v>3293.0876709999998</v>
      </c>
      <c r="F105" s="27">
        <v>0.46424061751784801</v>
      </c>
    </row>
    <row r="106" spans="1:6" x14ac:dyDescent="0.2">
      <c r="A106" s="24" t="s">
        <v>1054</v>
      </c>
      <c r="B106" s="24" t="s">
        <v>1055</v>
      </c>
      <c r="C106" s="24" t="s">
        <v>1041</v>
      </c>
      <c r="D106" s="28">
        <v>300</v>
      </c>
      <c r="E106" s="26">
        <v>2995.752</v>
      </c>
      <c r="F106" s="27">
        <v>0.42232393952269198</v>
      </c>
    </row>
    <row r="107" spans="1:6" x14ac:dyDescent="0.2">
      <c r="A107" s="24" t="s">
        <v>1056</v>
      </c>
      <c r="B107" s="24" t="s">
        <v>1057</v>
      </c>
      <c r="C107" s="24" t="s">
        <v>794</v>
      </c>
      <c r="D107" s="28">
        <v>300</v>
      </c>
      <c r="E107" s="26">
        <v>2954.49</v>
      </c>
      <c r="F107" s="27">
        <v>0.41650705935618099</v>
      </c>
    </row>
    <row r="108" spans="1:6" x14ac:dyDescent="0.2">
      <c r="A108" s="24" t="s">
        <v>1058</v>
      </c>
      <c r="B108" s="24" t="s">
        <v>1059</v>
      </c>
      <c r="C108" s="24" t="s">
        <v>1026</v>
      </c>
      <c r="D108" s="28">
        <v>250</v>
      </c>
      <c r="E108" s="26">
        <v>2513.58</v>
      </c>
      <c r="F108" s="27">
        <v>0.354350095704</v>
      </c>
    </row>
    <row r="109" spans="1:6" x14ac:dyDescent="0.2">
      <c r="A109" s="24" t="s">
        <v>1060</v>
      </c>
      <c r="B109" s="24" t="s">
        <v>1061</v>
      </c>
      <c r="C109" s="24" t="s">
        <v>1062</v>
      </c>
      <c r="D109" s="28">
        <v>80</v>
      </c>
      <c r="E109" s="26">
        <v>2116.12</v>
      </c>
      <c r="F109" s="27">
        <v>0.29831846391248701</v>
      </c>
    </row>
    <row r="110" spans="1:6" x14ac:dyDescent="0.2">
      <c r="A110" s="24" t="s">
        <v>1063</v>
      </c>
      <c r="B110" s="24" t="s">
        <v>1064</v>
      </c>
      <c r="C110" s="24" t="s">
        <v>1041</v>
      </c>
      <c r="D110" s="28">
        <v>200</v>
      </c>
      <c r="E110" s="26">
        <v>2002.318</v>
      </c>
      <c r="F110" s="27">
        <v>0.28227531048538002</v>
      </c>
    </row>
    <row r="111" spans="1:6" x14ac:dyDescent="0.2">
      <c r="A111" s="24" t="s">
        <v>859</v>
      </c>
      <c r="B111" s="24" t="s">
        <v>860</v>
      </c>
      <c r="C111" s="24" t="s">
        <v>665</v>
      </c>
      <c r="D111" s="28">
        <v>15</v>
      </c>
      <c r="E111" s="26">
        <v>1937.7255</v>
      </c>
      <c r="F111" s="27">
        <v>0.27316943020436202</v>
      </c>
    </row>
    <row r="112" spans="1:6" x14ac:dyDescent="0.2">
      <c r="A112" s="24" t="s">
        <v>1065</v>
      </c>
      <c r="B112" s="24" t="s">
        <v>1066</v>
      </c>
      <c r="C112" s="24" t="s">
        <v>1017</v>
      </c>
      <c r="D112" s="28">
        <v>150</v>
      </c>
      <c r="E112" s="26">
        <v>1371.42165</v>
      </c>
      <c r="F112" s="27">
        <v>0.19333516057895</v>
      </c>
    </row>
    <row r="113" spans="1:9" x14ac:dyDescent="0.2">
      <c r="A113" s="24" t="s">
        <v>1067</v>
      </c>
      <c r="B113" s="24" t="s">
        <v>1068</v>
      </c>
      <c r="C113" s="24" t="s">
        <v>1041</v>
      </c>
      <c r="D113" s="28">
        <v>250</v>
      </c>
      <c r="E113" s="26">
        <v>1251.42</v>
      </c>
      <c r="F113" s="27">
        <v>0.176418016043213</v>
      </c>
    </row>
    <row r="114" spans="1:9" x14ac:dyDescent="0.2">
      <c r="A114" s="24" t="s">
        <v>1069</v>
      </c>
      <c r="B114" s="24" t="s">
        <v>1070</v>
      </c>
      <c r="C114" s="24" t="s">
        <v>1071</v>
      </c>
      <c r="D114" s="28">
        <v>468</v>
      </c>
      <c r="E114" s="26">
        <v>1250.9639999999999</v>
      </c>
      <c r="F114" s="27">
        <v>0.17635373177788599</v>
      </c>
    </row>
    <row r="115" spans="1:9" x14ac:dyDescent="0.2">
      <c r="A115" s="24" t="s">
        <v>1072</v>
      </c>
      <c r="B115" s="24" t="s">
        <v>1073</v>
      </c>
      <c r="C115" s="24" t="s">
        <v>1074</v>
      </c>
      <c r="D115" s="28">
        <v>102</v>
      </c>
      <c r="E115" s="26">
        <v>1042.75926</v>
      </c>
      <c r="F115" s="27">
        <v>0.14700222136444099</v>
      </c>
    </row>
    <row r="116" spans="1:9" x14ac:dyDescent="0.2">
      <c r="A116" s="24" t="s">
        <v>851</v>
      </c>
      <c r="B116" s="24" t="s">
        <v>852</v>
      </c>
      <c r="C116" s="24" t="s">
        <v>673</v>
      </c>
      <c r="D116" s="28">
        <v>100</v>
      </c>
      <c r="E116" s="26">
        <v>1001.548</v>
      </c>
      <c r="F116" s="27">
        <v>0.14119249423219099</v>
      </c>
    </row>
    <row r="117" spans="1:9" x14ac:dyDescent="0.2">
      <c r="A117" s="24" t="s">
        <v>1075</v>
      </c>
      <c r="B117" s="24" t="s">
        <v>1076</v>
      </c>
      <c r="C117" s="24" t="s">
        <v>1077</v>
      </c>
      <c r="D117" s="28">
        <v>1678</v>
      </c>
      <c r="E117" s="26">
        <v>839</v>
      </c>
      <c r="F117" s="27">
        <v>0.11827740923131801</v>
      </c>
    </row>
    <row r="118" spans="1:9" x14ac:dyDescent="0.2">
      <c r="A118" s="24" t="s">
        <v>1078</v>
      </c>
      <c r="B118" s="24" t="s">
        <v>1079</v>
      </c>
      <c r="C118" s="24" t="s">
        <v>1062</v>
      </c>
      <c r="D118" s="28">
        <v>31</v>
      </c>
      <c r="E118" s="26">
        <v>811.63890000000004</v>
      </c>
      <c r="F118" s="27">
        <v>0.114420198239996</v>
      </c>
    </row>
    <row r="119" spans="1:9" x14ac:dyDescent="0.2">
      <c r="A119" s="24" t="s">
        <v>1080</v>
      </c>
      <c r="B119" s="24" t="s">
        <v>1081</v>
      </c>
      <c r="C119" s="24" t="s">
        <v>1041</v>
      </c>
      <c r="D119" s="28">
        <v>100</v>
      </c>
      <c r="E119" s="26">
        <v>751.49699999999996</v>
      </c>
      <c r="F119" s="27">
        <v>0.105941738027542</v>
      </c>
    </row>
    <row r="120" spans="1:9" x14ac:dyDescent="0.2">
      <c r="A120" s="24" t="s">
        <v>834</v>
      </c>
      <c r="B120" s="24" t="s">
        <v>835</v>
      </c>
      <c r="C120" s="24" t="s">
        <v>827</v>
      </c>
      <c r="D120" s="28">
        <v>50</v>
      </c>
      <c r="E120" s="26">
        <v>682.49900000000002</v>
      </c>
      <c r="F120" s="27">
        <v>9.6214795617360099E-2</v>
      </c>
    </row>
    <row r="121" spans="1:9" x14ac:dyDescent="0.2">
      <c r="A121" s="24" t="s">
        <v>825</v>
      </c>
      <c r="B121" s="24" t="s">
        <v>826</v>
      </c>
      <c r="C121" s="24" t="s">
        <v>827</v>
      </c>
      <c r="D121" s="28">
        <v>50</v>
      </c>
      <c r="E121" s="26">
        <v>682.49900000000002</v>
      </c>
      <c r="F121" s="27">
        <v>9.6214795617360099E-2</v>
      </c>
    </row>
    <row r="122" spans="1:9" x14ac:dyDescent="0.2">
      <c r="A122" s="24" t="s">
        <v>1082</v>
      </c>
      <c r="B122" s="24" t="s">
        <v>1083</v>
      </c>
      <c r="C122" s="24" t="s">
        <v>1041</v>
      </c>
      <c r="D122" s="28">
        <v>200</v>
      </c>
      <c r="E122" s="26">
        <v>667.548</v>
      </c>
      <c r="F122" s="27">
        <v>9.4107089365372695E-2</v>
      </c>
    </row>
    <row r="123" spans="1:9" x14ac:dyDescent="0.2">
      <c r="A123" s="24" t="s">
        <v>1084</v>
      </c>
      <c r="B123" s="24" t="s">
        <v>1085</v>
      </c>
      <c r="C123" s="24" t="s">
        <v>1077</v>
      </c>
      <c r="D123" s="28">
        <v>786</v>
      </c>
      <c r="E123" s="26">
        <v>393</v>
      </c>
      <c r="F123" s="27">
        <v>5.54028865648485E-2</v>
      </c>
    </row>
    <row r="124" spans="1:9" x14ac:dyDescent="0.2">
      <c r="A124" s="24" t="s">
        <v>1086</v>
      </c>
      <c r="B124" s="24" t="s">
        <v>1087</v>
      </c>
      <c r="C124" s="24" t="s">
        <v>815</v>
      </c>
      <c r="D124" s="28">
        <v>13</v>
      </c>
      <c r="E124" s="26">
        <v>129.77601000000001</v>
      </c>
      <c r="F124" s="27">
        <v>1.8295077763024501E-2</v>
      </c>
    </row>
    <row r="125" spans="1:9" x14ac:dyDescent="0.2">
      <c r="A125" s="24" t="s">
        <v>838</v>
      </c>
      <c r="B125" s="24" t="s">
        <v>839</v>
      </c>
      <c r="C125" s="24" t="s">
        <v>827</v>
      </c>
      <c r="D125" s="28">
        <v>10</v>
      </c>
      <c r="E125" s="26">
        <v>99.082800000000006</v>
      </c>
      <c r="F125" s="27">
        <v>1.3968125009993801E-2</v>
      </c>
    </row>
    <row r="126" spans="1:9" x14ac:dyDescent="0.2">
      <c r="A126" s="24" t="s">
        <v>1088</v>
      </c>
      <c r="B126" s="24" t="s">
        <v>1089</v>
      </c>
      <c r="C126" s="24" t="s">
        <v>1077</v>
      </c>
      <c r="D126" s="28">
        <v>28</v>
      </c>
      <c r="E126" s="26">
        <v>14</v>
      </c>
      <c r="F126" s="27">
        <v>1.9736397249564401E-3</v>
      </c>
    </row>
    <row r="127" spans="1:9" ht="10.5" x14ac:dyDescent="0.25">
      <c r="A127" s="23" t="s">
        <v>24</v>
      </c>
      <c r="B127" s="23"/>
      <c r="C127" s="23"/>
      <c r="D127" s="29"/>
      <c r="E127" s="30">
        <f>SUM(E84:E126)</f>
        <v>294417.01722499996</v>
      </c>
      <c r="F127" s="31">
        <f>SUM(F84:F126)</f>
        <v>41.505222921317376</v>
      </c>
      <c r="G127" s="15"/>
      <c r="H127" s="15"/>
      <c r="I127" s="15"/>
    </row>
    <row r="128" spans="1:9" x14ac:dyDescent="0.2">
      <c r="A128" s="24"/>
      <c r="B128" s="24"/>
      <c r="C128" s="24"/>
      <c r="D128" s="25"/>
      <c r="E128" s="26"/>
      <c r="F128" s="27"/>
    </row>
    <row r="129" spans="1:9" ht="10.5" x14ac:dyDescent="0.25">
      <c r="A129" s="23" t="s">
        <v>25</v>
      </c>
      <c r="B129" s="23"/>
      <c r="C129" s="23"/>
      <c r="D129" s="29"/>
      <c r="E129" s="30">
        <f>E82+E127</f>
        <v>834897.6011849998</v>
      </c>
      <c r="F129" s="31">
        <f>F82+F127</f>
        <v>117.69907656925366</v>
      </c>
      <c r="G129" s="15"/>
      <c r="H129" s="15"/>
      <c r="I129" s="15"/>
    </row>
    <row r="130" spans="1:9" ht="10.5" x14ac:dyDescent="0.25">
      <c r="A130" s="23"/>
      <c r="B130" s="23"/>
      <c r="C130" s="23"/>
      <c r="D130" s="29"/>
      <c r="E130" s="30"/>
      <c r="F130" s="31"/>
      <c r="G130" s="15"/>
      <c r="H130" s="15"/>
      <c r="I130" s="15"/>
    </row>
    <row r="131" spans="1:9" ht="10.5" x14ac:dyDescent="0.25">
      <c r="A131" s="23" t="s">
        <v>27</v>
      </c>
      <c r="B131" s="23"/>
      <c r="C131" s="23"/>
      <c r="D131" s="29"/>
      <c r="E131" s="79">
        <f>E133-(E82+E127)</f>
        <v>-125548.27957519982</v>
      </c>
      <c r="F131" s="80">
        <f>F133-(F82+F127)</f>
        <v>-17.699076569253663</v>
      </c>
      <c r="G131" s="15"/>
      <c r="H131" s="15"/>
      <c r="I131" s="15"/>
    </row>
    <row r="132" spans="1:9" ht="10.5" x14ac:dyDescent="0.25">
      <c r="A132" s="23"/>
      <c r="B132" s="23"/>
      <c r="C132" s="23"/>
      <c r="D132" s="29"/>
      <c r="E132" s="30"/>
      <c r="F132" s="31"/>
      <c r="G132" s="15"/>
      <c r="H132" s="15"/>
      <c r="I132" s="15"/>
    </row>
    <row r="133" spans="1:9" ht="10.5" x14ac:dyDescent="0.25">
      <c r="A133" s="32" t="s">
        <v>26</v>
      </c>
      <c r="B133" s="32"/>
      <c r="C133" s="32"/>
      <c r="D133" s="33"/>
      <c r="E133" s="34">
        <v>709349.32160979998</v>
      </c>
      <c r="F133" s="35">
        <v>100</v>
      </c>
      <c r="G133" s="15"/>
      <c r="H133" s="15"/>
      <c r="I133" s="15"/>
    </row>
    <row r="134" spans="1:9" ht="10.5" x14ac:dyDescent="0.25">
      <c r="A134" s="15" t="s">
        <v>872</v>
      </c>
      <c r="E134" s="98" t="s">
        <v>37</v>
      </c>
      <c r="F134" s="98"/>
    </row>
    <row r="135" spans="1:9" ht="10.5" x14ac:dyDescent="0.25">
      <c r="A135" s="15" t="s">
        <v>1795</v>
      </c>
    </row>
    <row r="136" spans="1:9" ht="10.5" x14ac:dyDescent="0.25">
      <c r="A136" s="59" t="s">
        <v>1798</v>
      </c>
    </row>
    <row r="137" spans="1:9" ht="10.5" x14ac:dyDescent="0.25">
      <c r="A137" s="15" t="s">
        <v>1818</v>
      </c>
    </row>
    <row r="138" spans="1:9" ht="10.5" x14ac:dyDescent="0.25">
      <c r="A138" s="15" t="s">
        <v>1819</v>
      </c>
    </row>
    <row r="140" spans="1:9" ht="10.5" x14ac:dyDescent="0.25">
      <c r="A140" s="15" t="s">
        <v>28</v>
      </c>
    </row>
    <row r="141" spans="1:9" ht="10.5" x14ac:dyDescent="0.25">
      <c r="A141" s="15" t="s">
        <v>29</v>
      </c>
    </row>
    <row r="142" spans="1:9" ht="10.5" x14ac:dyDescent="0.25">
      <c r="A142" s="15" t="s">
        <v>30</v>
      </c>
      <c r="B142" s="15"/>
      <c r="C142" s="36" t="s">
        <v>32</v>
      </c>
      <c r="D142" s="16" t="s">
        <v>31</v>
      </c>
    </row>
    <row r="143" spans="1:9" x14ac:dyDescent="0.2">
      <c r="A143" s="9" t="s">
        <v>873</v>
      </c>
      <c r="C143" s="37">
        <v>4069.7556</v>
      </c>
      <c r="D143" s="37">
        <v>3831.5502000000001</v>
      </c>
    </row>
    <row r="144" spans="1:9" x14ac:dyDescent="0.2">
      <c r="A144" s="9" t="s">
        <v>875</v>
      </c>
      <c r="C144" s="37">
        <v>1067.1012000000001</v>
      </c>
      <c r="D144" s="37">
        <v>968.404</v>
      </c>
    </row>
    <row r="145" spans="1:4" x14ac:dyDescent="0.2">
      <c r="A145" s="9" t="s">
        <v>1090</v>
      </c>
      <c r="C145" s="37">
        <v>1190.1107</v>
      </c>
      <c r="D145" s="37">
        <v>1075.1237000000001</v>
      </c>
    </row>
    <row r="146" spans="1:4" x14ac:dyDescent="0.2">
      <c r="A146" s="9" t="s">
        <v>1091</v>
      </c>
      <c r="C146" s="37">
        <v>1230.5356999999999</v>
      </c>
      <c r="D146" s="37">
        <v>1112.2629999999999</v>
      </c>
    </row>
    <row r="147" spans="1:4" x14ac:dyDescent="0.2">
      <c r="A147" s="66" t="s">
        <v>1804</v>
      </c>
      <c r="C147" s="37">
        <v>3365.3681999999999</v>
      </c>
      <c r="D147" s="37">
        <v>3173.3708999999999</v>
      </c>
    </row>
    <row r="148" spans="1:4" x14ac:dyDescent="0.2">
      <c r="A148" s="9" t="s">
        <v>1092</v>
      </c>
      <c r="C148" s="37">
        <v>4288.5146999999997</v>
      </c>
      <c r="D148" s="37">
        <v>4052.2534999999998</v>
      </c>
    </row>
    <row r="149" spans="1:4" x14ac:dyDescent="0.2">
      <c r="A149" s="9" t="s">
        <v>1093</v>
      </c>
      <c r="C149" s="37">
        <v>1069.8998999999999</v>
      </c>
      <c r="D149" s="37">
        <v>972.40959999999995</v>
      </c>
    </row>
    <row r="150" spans="1:4" x14ac:dyDescent="0.2">
      <c r="A150" s="9" t="s">
        <v>1094</v>
      </c>
      <c r="C150" s="37">
        <v>1270.3309999999999</v>
      </c>
      <c r="D150" s="37">
        <v>1155.0958000000001</v>
      </c>
    </row>
    <row r="151" spans="1:4" x14ac:dyDescent="0.2">
      <c r="A151" s="9" t="s">
        <v>1095</v>
      </c>
      <c r="C151" s="37">
        <v>1315.7247</v>
      </c>
      <c r="D151" s="37">
        <v>1197.0929000000001</v>
      </c>
    </row>
    <row r="153" spans="1:4" ht="10.5" x14ac:dyDescent="0.25">
      <c r="A153" s="15" t="s">
        <v>1882</v>
      </c>
    </row>
    <row r="154" spans="1:4" ht="10.5" x14ac:dyDescent="0.25">
      <c r="A154" s="90" t="s">
        <v>33</v>
      </c>
      <c r="B154" s="91"/>
      <c r="C154" s="92" t="s">
        <v>1883</v>
      </c>
      <c r="D154" s="93"/>
    </row>
    <row r="155" spans="1:4" ht="10.5" x14ac:dyDescent="0.25">
      <c r="A155" s="90"/>
      <c r="B155" s="91"/>
      <c r="C155" s="38" t="s">
        <v>34</v>
      </c>
      <c r="D155" s="39" t="s">
        <v>35</v>
      </c>
    </row>
    <row r="156" spans="1:4" x14ac:dyDescent="0.2">
      <c r="A156" s="96" t="s">
        <v>875</v>
      </c>
      <c r="B156" s="97"/>
      <c r="C156" s="40">
        <v>27.386669052999999</v>
      </c>
      <c r="D156" s="40">
        <v>25.360192028</v>
      </c>
    </row>
    <row r="157" spans="1:4" x14ac:dyDescent="0.2">
      <c r="A157" s="96" t="s">
        <v>1090</v>
      </c>
      <c r="B157" s="97"/>
      <c r="C157" s="40">
        <v>33.8551669</v>
      </c>
      <c r="D157" s="40">
        <v>31.350053272</v>
      </c>
    </row>
    <row r="158" spans="1:4" x14ac:dyDescent="0.2">
      <c r="A158" s="96" t="s">
        <v>1091</v>
      </c>
      <c r="B158" s="97"/>
      <c r="C158" s="40">
        <v>33.8551669</v>
      </c>
      <c r="D158" s="40">
        <v>31.35005327</v>
      </c>
    </row>
    <row r="159" spans="1:4" x14ac:dyDescent="0.2">
      <c r="A159" s="96" t="s">
        <v>1093</v>
      </c>
      <c r="B159" s="97"/>
      <c r="C159" s="40">
        <v>29.317782179999998</v>
      </c>
      <c r="D159" s="40">
        <v>27.148412406999999</v>
      </c>
    </row>
    <row r="160" spans="1:4" x14ac:dyDescent="0.2">
      <c r="A160" s="96" t="s">
        <v>1094</v>
      </c>
      <c r="B160" s="97"/>
      <c r="C160" s="40">
        <v>33.8551669</v>
      </c>
      <c r="D160" s="40">
        <v>31.350053272</v>
      </c>
    </row>
    <row r="161" spans="1:6" x14ac:dyDescent="0.2">
      <c r="A161" s="96" t="s">
        <v>1095</v>
      </c>
      <c r="B161" s="97"/>
      <c r="C161" s="40">
        <v>33.8551669</v>
      </c>
      <c r="D161" s="40">
        <v>31.35005327</v>
      </c>
    </row>
    <row r="163" spans="1:6" ht="10.5" x14ac:dyDescent="0.25">
      <c r="A163" s="15" t="s">
        <v>882</v>
      </c>
      <c r="D163" s="11">
        <v>2.7491401139070999</v>
      </c>
      <c r="E163" s="11" t="s">
        <v>883</v>
      </c>
    </row>
    <row r="165" spans="1:6" ht="10.5" x14ac:dyDescent="0.25">
      <c r="A165" s="15" t="s">
        <v>884</v>
      </c>
      <c r="D165" s="41">
        <v>5</v>
      </c>
    </row>
    <row r="166" spans="1:6" x14ac:dyDescent="0.2">
      <c r="A166" s="9" t="s">
        <v>885</v>
      </c>
    </row>
    <row r="167" spans="1:6" ht="14.5" x14ac:dyDescent="0.35">
      <c r="A167" s="49" t="s">
        <v>1898</v>
      </c>
    </row>
    <row r="171" spans="1:6" s="1" customFormat="1" ht="14" x14ac:dyDescent="0.25">
      <c r="A171" s="88" t="s">
        <v>1096</v>
      </c>
      <c r="B171" s="89"/>
      <c r="C171" s="89"/>
      <c r="D171" s="89"/>
      <c r="E171" s="89"/>
      <c r="F171" s="89"/>
    </row>
    <row r="172" spans="1:6" ht="10.5" x14ac:dyDescent="0.25">
      <c r="A172" s="15" t="s">
        <v>888</v>
      </c>
    </row>
    <row r="173" spans="1:6" ht="10.5" x14ac:dyDescent="0.25">
      <c r="A173" s="15" t="s">
        <v>4</v>
      </c>
    </row>
    <row r="174" spans="1:6" s="1" customFormat="1" ht="25.5" customHeight="1" x14ac:dyDescent="0.25">
      <c r="A174" s="8" t="s">
        <v>2</v>
      </c>
      <c r="B174" s="8" t="s">
        <v>0</v>
      </c>
      <c r="C174" s="8" t="s">
        <v>661</v>
      </c>
      <c r="D174" s="13" t="s">
        <v>1</v>
      </c>
      <c r="E174" s="64" t="s">
        <v>1820</v>
      </c>
      <c r="F174" s="63" t="s">
        <v>3</v>
      </c>
    </row>
    <row r="175" spans="1:6" ht="10.5" x14ac:dyDescent="0.25">
      <c r="A175" s="18" t="s">
        <v>662</v>
      </c>
      <c r="B175" s="19"/>
      <c r="C175" s="19"/>
      <c r="D175" s="20"/>
      <c r="E175" s="21"/>
      <c r="F175" s="22"/>
    </row>
    <row r="176" spans="1:6" ht="10.5" x14ac:dyDescent="0.25">
      <c r="A176" s="23" t="s">
        <v>1799</v>
      </c>
      <c r="B176" s="24"/>
      <c r="C176" s="24"/>
      <c r="D176" s="25"/>
      <c r="E176" s="26"/>
      <c r="F176" s="27"/>
    </row>
    <row r="177" spans="1:9" x14ac:dyDescent="0.2">
      <c r="A177" s="24" t="s">
        <v>889</v>
      </c>
      <c r="B177" s="24" t="s">
        <v>890</v>
      </c>
      <c r="C177" s="24" t="s">
        <v>891</v>
      </c>
      <c r="D177" s="28">
        <v>850</v>
      </c>
      <c r="E177" s="26">
        <v>8.4999999999999999E-6</v>
      </c>
      <c r="F177" s="26">
        <v>100</v>
      </c>
    </row>
    <row r="178" spans="1:9" ht="10.5" x14ac:dyDescent="0.25">
      <c r="A178" s="23" t="s">
        <v>24</v>
      </c>
      <c r="B178" s="23"/>
      <c r="C178" s="23"/>
      <c r="D178" s="29"/>
      <c r="E178" s="30">
        <f>SUM(E176:E177)</f>
        <v>8.4999999999999999E-6</v>
      </c>
      <c r="F178" s="31">
        <f>SUM(F176:F177)</f>
        <v>100</v>
      </c>
      <c r="G178" s="15"/>
      <c r="H178" s="15"/>
      <c r="I178" s="15"/>
    </row>
    <row r="179" spans="1:9" x14ac:dyDescent="0.2">
      <c r="A179" s="24"/>
      <c r="B179" s="24"/>
      <c r="C179" s="24"/>
      <c r="D179" s="25"/>
      <c r="E179" s="26"/>
      <c r="F179" s="27"/>
    </row>
    <row r="180" spans="1:9" ht="10.5" x14ac:dyDescent="0.25">
      <c r="A180" s="23" t="s">
        <v>25</v>
      </c>
      <c r="B180" s="23"/>
      <c r="C180" s="23"/>
      <c r="D180" s="29"/>
      <c r="E180" s="30">
        <f>E178</f>
        <v>8.4999999999999999E-6</v>
      </c>
      <c r="F180" s="31">
        <f>F178</f>
        <v>100</v>
      </c>
      <c r="G180" s="15"/>
      <c r="H180" s="15"/>
      <c r="I180" s="15"/>
    </row>
    <row r="181" spans="1:9" ht="10.5" x14ac:dyDescent="0.25">
      <c r="A181" s="23"/>
      <c r="B181" s="23"/>
      <c r="C181" s="23"/>
      <c r="D181" s="29"/>
      <c r="E181" s="30"/>
      <c r="F181" s="31"/>
      <c r="G181" s="15"/>
      <c r="H181" s="15"/>
      <c r="I181" s="15"/>
    </row>
    <row r="182" spans="1:9" ht="10.5" x14ac:dyDescent="0.25">
      <c r="A182" s="23" t="s">
        <v>27</v>
      </c>
      <c r="B182" s="23"/>
      <c r="C182" s="23"/>
      <c r="D182" s="29"/>
      <c r="E182" s="30">
        <f>E184-(E178)</f>
        <v>-7.6000000000000001E-6</v>
      </c>
      <c r="F182" s="85" t="s">
        <v>1896</v>
      </c>
      <c r="G182" s="15"/>
      <c r="H182" s="15"/>
      <c r="I182" s="15"/>
    </row>
    <row r="183" spans="1:9" ht="10.5" x14ac:dyDescent="0.25">
      <c r="A183" s="23"/>
      <c r="B183" s="23"/>
      <c r="C183" s="23"/>
      <c r="D183" s="29"/>
      <c r="E183" s="30"/>
      <c r="F183" s="31"/>
      <c r="G183" s="15"/>
      <c r="H183" s="15"/>
      <c r="I183" s="15"/>
    </row>
    <row r="184" spans="1:9" ht="10.5" x14ac:dyDescent="0.25">
      <c r="A184" s="32" t="s">
        <v>26</v>
      </c>
      <c r="B184" s="32"/>
      <c r="C184" s="32"/>
      <c r="D184" s="33"/>
      <c r="E184" s="34">
        <v>8.9999999999999996E-7</v>
      </c>
      <c r="F184" s="35">
        <v>100</v>
      </c>
      <c r="G184" s="15"/>
      <c r="H184" s="15"/>
      <c r="I184" s="15"/>
    </row>
    <row r="185" spans="1:9" ht="10.5" x14ac:dyDescent="0.25">
      <c r="A185" s="15" t="s">
        <v>872</v>
      </c>
      <c r="F185" s="86" t="s">
        <v>37</v>
      </c>
    </row>
    <row r="186" spans="1:9" ht="10.5" x14ac:dyDescent="0.25">
      <c r="A186" s="15" t="s">
        <v>1795</v>
      </c>
    </row>
    <row r="187" spans="1:9" ht="10.5" x14ac:dyDescent="0.25">
      <c r="A187" s="15" t="s">
        <v>1798</v>
      </c>
    </row>
    <row r="189" spans="1:9" ht="10.5" x14ac:dyDescent="0.25">
      <c r="A189" s="15" t="s">
        <v>28</v>
      </c>
    </row>
    <row r="190" spans="1:9" ht="10.5" x14ac:dyDescent="0.25">
      <c r="A190" s="15" t="s">
        <v>29</v>
      </c>
    </row>
    <row r="191" spans="1:9" ht="10.5" x14ac:dyDescent="0.25">
      <c r="A191" s="15" t="s">
        <v>30</v>
      </c>
      <c r="B191" s="15"/>
      <c r="C191" s="36" t="s">
        <v>32</v>
      </c>
      <c r="D191" s="16" t="s">
        <v>31</v>
      </c>
    </row>
    <row r="192" spans="1:9" x14ac:dyDescent="0.2">
      <c r="A192" s="9" t="s">
        <v>873</v>
      </c>
      <c r="C192" s="58" t="s">
        <v>1794</v>
      </c>
      <c r="D192" s="37">
        <v>0</v>
      </c>
    </row>
    <row r="193" spans="1:4" x14ac:dyDescent="0.2">
      <c r="A193" s="9" t="s">
        <v>875</v>
      </c>
      <c r="C193" s="58" t="s">
        <v>1794</v>
      </c>
      <c r="D193" s="37">
        <v>0</v>
      </c>
    </row>
    <row r="194" spans="1:4" x14ac:dyDescent="0.2">
      <c r="A194" s="9" t="s">
        <v>1090</v>
      </c>
      <c r="C194" s="58" t="s">
        <v>1794</v>
      </c>
      <c r="D194" s="37">
        <v>0</v>
      </c>
    </row>
    <row r="195" spans="1:4" x14ac:dyDescent="0.2">
      <c r="A195" s="9" t="s">
        <v>1091</v>
      </c>
      <c r="C195" s="58" t="s">
        <v>1794</v>
      </c>
      <c r="D195" s="37">
        <v>0</v>
      </c>
    </row>
    <row r="196" spans="1:4" x14ac:dyDescent="0.2">
      <c r="A196" s="66" t="s">
        <v>1806</v>
      </c>
      <c r="C196" s="58" t="s">
        <v>1794</v>
      </c>
      <c r="D196" s="37">
        <v>0</v>
      </c>
    </row>
    <row r="197" spans="1:4" x14ac:dyDescent="0.2">
      <c r="A197" s="9" t="s">
        <v>1092</v>
      </c>
      <c r="C197" s="58" t="s">
        <v>1794</v>
      </c>
      <c r="D197" s="37">
        <v>0</v>
      </c>
    </row>
    <row r="198" spans="1:4" x14ac:dyDescent="0.2">
      <c r="A198" s="9" t="s">
        <v>1093</v>
      </c>
      <c r="C198" s="58" t="s">
        <v>1794</v>
      </c>
      <c r="D198" s="37">
        <v>0</v>
      </c>
    </row>
    <row r="199" spans="1:4" x14ac:dyDescent="0.2">
      <c r="A199" s="9" t="s">
        <v>1094</v>
      </c>
      <c r="C199" s="58" t="s">
        <v>1794</v>
      </c>
      <c r="D199" s="37">
        <v>0</v>
      </c>
    </row>
    <row r="200" spans="1:4" x14ac:dyDescent="0.2">
      <c r="A200" s="9" t="s">
        <v>1095</v>
      </c>
      <c r="C200" s="58" t="s">
        <v>1794</v>
      </c>
      <c r="D200" s="37">
        <v>0</v>
      </c>
    </row>
    <row r="202" spans="1:4" ht="10.5" x14ac:dyDescent="0.25">
      <c r="A202" s="15" t="s">
        <v>1863</v>
      </c>
      <c r="C202" s="58"/>
      <c r="D202" s="37"/>
    </row>
    <row r="204" spans="1:4" ht="10.5" x14ac:dyDescent="0.25">
      <c r="A204" s="15" t="s">
        <v>1797</v>
      </c>
      <c r="D204" s="60" t="s">
        <v>36</v>
      </c>
    </row>
    <row r="205" spans="1:4" x14ac:dyDescent="0.2">
      <c r="A205" s="9" t="s">
        <v>885</v>
      </c>
    </row>
    <row r="206" spans="1:4" ht="14.5" x14ac:dyDescent="0.35">
      <c r="A206" s="49" t="s">
        <v>1898</v>
      </c>
    </row>
    <row r="207" spans="1:4" ht="14.5" x14ac:dyDescent="0.35">
      <c r="A207" s="49"/>
    </row>
    <row r="208" spans="1:4" ht="14.5" x14ac:dyDescent="0.35">
      <c r="A208" s="49"/>
    </row>
    <row r="209" spans="1:9" s="1" customFormat="1" ht="14" x14ac:dyDescent="0.25">
      <c r="A209" s="88" t="s">
        <v>1097</v>
      </c>
      <c r="B209" s="89"/>
      <c r="C209" s="89"/>
      <c r="D209" s="89"/>
      <c r="E209" s="89"/>
      <c r="F209" s="89"/>
    </row>
    <row r="210" spans="1:9" ht="10.5" x14ac:dyDescent="0.25">
      <c r="A210" s="15" t="s">
        <v>1098</v>
      </c>
    </row>
    <row r="211" spans="1:9" ht="10.5" x14ac:dyDescent="0.25">
      <c r="A211" s="15" t="s">
        <v>4</v>
      </c>
    </row>
    <row r="212" spans="1:9" s="1" customFormat="1" ht="29.25" customHeight="1" x14ac:dyDescent="0.25">
      <c r="A212" s="8" t="s">
        <v>2</v>
      </c>
      <c r="B212" s="8" t="s">
        <v>0</v>
      </c>
      <c r="C212" s="8" t="s">
        <v>661</v>
      </c>
      <c r="D212" s="13" t="s">
        <v>1</v>
      </c>
      <c r="E212" s="64" t="s">
        <v>1820</v>
      </c>
      <c r="F212" s="63" t="s">
        <v>3</v>
      </c>
    </row>
    <row r="213" spans="1:9" ht="10.5" x14ac:dyDescent="0.25">
      <c r="A213" s="18" t="s">
        <v>662</v>
      </c>
      <c r="B213" s="19"/>
      <c r="C213" s="19"/>
      <c r="D213" s="20"/>
      <c r="E213" s="21"/>
      <c r="F213" s="22"/>
    </row>
    <row r="214" spans="1:9" ht="10.5" x14ac:dyDescent="0.25">
      <c r="A214" s="23" t="s">
        <v>23</v>
      </c>
      <c r="B214" s="24"/>
      <c r="C214" s="24"/>
      <c r="D214" s="25"/>
      <c r="E214" s="26"/>
      <c r="F214" s="27"/>
    </row>
    <row r="215" spans="1:9" x14ac:dyDescent="0.2">
      <c r="A215" s="24" t="s">
        <v>1099</v>
      </c>
      <c r="B215" s="24" t="s">
        <v>1100</v>
      </c>
      <c r="C215" s="24" t="s">
        <v>1101</v>
      </c>
      <c r="D215" s="28">
        <v>5230</v>
      </c>
      <c r="E215" s="26">
        <v>8.4999999999999999E-6</v>
      </c>
      <c r="F215" s="26">
        <v>100</v>
      </c>
    </row>
    <row r="216" spans="1:9" ht="10.5" x14ac:dyDescent="0.25">
      <c r="A216" s="23" t="s">
        <v>24</v>
      </c>
      <c r="B216" s="23"/>
      <c r="C216" s="23"/>
      <c r="D216" s="29"/>
      <c r="E216" s="30">
        <f>SUM(E214:E215)</f>
        <v>8.4999999999999999E-6</v>
      </c>
      <c r="F216" s="31">
        <f>SUM(F214:F215)</f>
        <v>100</v>
      </c>
      <c r="G216" s="15"/>
      <c r="H216" s="15"/>
      <c r="I216" s="15"/>
    </row>
    <row r="217" spans="1:9" x14ac:dyDescent="0.2">
      <c r="A217" s="24"/>
      <c r="B217" s="24"/>
      <c r="C217" s="24"/>
      <c r="D217" s="25"/>
      <c r="E217" s="26"/>
      <c r="F217" s="27"/>
    </row>
    <row r="218" spans="1:9" ht="10.5" x14ac:dyDescent="0.25">
      <c r="A218" s="23" t="s">
        <v>25</v>
      </c>
      <c r="B218" s="23"/>
      <c r="C218" s="23"/>
      <c r="D218" s="29"/>
      <c r="E218" s="30">
        <f>E216</f>
        <v>8.4999999999999999E-6</v>
      </c>
      <c r="F218" s="31">
        <f>F216</f>
        <v>100</v>
      </c>
      <c r="G218" s="15"/>
      <c r="H218" s="15"/>
      <c r="I218" s="15"/>
    </row>
    <row r="219" spans="1:9" ht="10.5" x14ac:dyDescent="0.25">
      <c r="A219" s="23"/>
      <c r="B219" s="23"/>
      <c r="C219" s="23"/>
      <c r="D219" s="29"/>
      <c r="E219" s="30"/>
      <c r="F219" s="31"/>
      <c r="G219" s="15"/>
      <c r="H219" s="15"/>
      <c r="I219" s="15"/>
    </row>
    <row r="220" spans="1:9" ht="10.5" x14ac:dyDescent="0.25">
      <c r="A220" s="23" t="s">
        <v>27</v>
      </c>
      <c r="B220" s="23"/>
      <c r="C220" s="23"/>
      <c r="D220" s="29"/>
      <c r="E220" s="30">
        <f>E222-(E216)</f>
        <v>-7.6000000000000001E-6</v>
      </c>
      <c r="F220" s="85" t="s">
        <v>1896</v>
      </c>
      <c r="G220" s="15"/>
      <c r="H220" s="15"/>
      <c r="I220" s="15"/>
    </row>
    <row r="221" spans="1:9" ht="10.5" x14ac:dyDescent="0.25">
      <c r="A221" s="23"/>
      <c r="B221" s="23"/>
      <c r="C221" s="23"/>
      <c r="D221" s="29"/>
      <c r="E221" s="30"/>
      <c r="F221" s="31"/>
      <c r="G221" s="15"/>
      <c r="H221" s="15"/>
      <c r="I221" s="15"/>
    </row>
    <row r="222" spans="1:9" ht="10.5" x14ac:dyDescent="0.25">
      <c r="A222" s="32" t="s">
        <v>26</v>
      </c>
      <c r="B222" s="32"/>
      <c r="C222" s="32"/>
      <c r="D222" s="33"/>
      <c r="E222" s="34">
        <v>8.9999999999999996E-7</v>
      </c>
      <c r="F222" s="35">
        <v>100</v>
      </c>
      <c r="G222" s="15"/>
      <c r="H222" s="15"/>
      <c r="I222" s="15"/>
    </row>
    <row r="223" spans="1:9" ht="10.5" x14ac:dyDescent="0.25">
      <c r="A223" s="61" t="s">
        <v>872</v>
      </c>
      <c r="F223" s="86" t="s">
        <v>37</v>
      </c>
    </row>
    <row r="224" spans="1:9" ht="10.5" x14ac:dyDescent="0.25">
      <c r="A224" s="61" t="s">
        <v>1795</v>
      </c>
    </row>
    <row r="225" spans="1:4" ht="10.5" x14ac:dyDescent="0.25">
      <c r="A225" s="62" t="s">
        <v>1798</v>
      </c>
    </row>
    <row r="227" spans="1:4" ht="10.5" x14ac:dyDescent="0.25">
      <c r="A227" s="15" t="s">
        <v>28</v>
      </c>
    </row>
    <row r="228" spans="1:4" ht="10.5" x14ac:dyDescent="0.25">
      <c r="A228" s="15" t="s">
        <v>29</v>
      </c>
    </row>
    <row r="229" spans="1:4" ht="10.5" x14ac:dyDescent="0.25">
      <c r="A229" s="15" t="s">
        <v>30</v>
      </c>
      <c r="B229" s="15"/>
      <c r="C229" s="36" t="s">
        <v>32</v>
      </c>
      <c r="D229" s="16" t="s">
        <v>31</v>
      </c>
    </row>
    <row r="230" spans="1:4" x14ac:dyDescent="0.2">
      <c r="A230" s="9" t="s">
        <v>873</v>
      </c>
      <c r="C230" s="58" t="s">
        <v>1794</v>
      </c>
      <c r="D230" s="37">
        <v>0</v>
      </c>
    </row>
    <row r="231" spans="1:4" x14ac:dyDescent="0.2">
      <c r="A231" s="9" t="s">
        <v>875</v>
      </c>
      <c r="C231" s="58" t="s">
        <v>1794</v>
      </c>
      <c r="D231" s="37">
        <v>0</v>
      </c>
    </row>
    <row r="232" spans="1:4" x14ac:dyDescent="0.2">
      <c r="A232" s="9" t="s">
        <v>1090</v>
      </c>
      <c r="C232" s="58" t="s">
        <v>1794</v>
      </c>
      <c r="D232" s="37">
        <v>0</v>
      </c>
    </row>
    <row r="233" spans="1:4" x14ac:dyDescent="0.2">
      <c r="A233" s="9" t="s">
        <v>1091</v>
      </c>
      <c r="C233" s="58" t="s">
        <v>1794</v>
      </c>
      <c r="D233" s="37">
        <v>0</v>
      </c>
    </row>
    <row r="234" spans="1:4" x14ac:dyDescent="0.2">
      <c r="A234" s="66" t="s">
        <v>1806</v>
      </c>
      <c r="C234" s="58" t="s">
        <v>1794</v>
      </c>
      <c r="D234" s="37">
        <v>0</v>
      </c>
    </row>
    <row r="235" spans="1:4" x14ac:dyDescent="0.2">
      <c r="A235" s="9" t="s">
        <v>1092</v>
      </c>
      <c r="C235" s="58" t="s">
        <v>1794</v>
      </c>
      <c r="D235" s="37">
        <v>0</v>
      </c>
    </row>
    <row r="236" spans="1:4" x14ac:dyDescent="0.2">
      <c r="A236" s="9" t="s">
        <v>1093</v>
      </c>
      <c r="C236" s="58" t="s">
        <v>1794</v>
      </c>
      <c r="D236" s="37">
        <v>0</v>
      </c>
    </row>
    <row r="237" spans="1:4" x14ac:dyDescent="0.2">
      <c r="A237" s="9" t="s">
        <v>1094</v>
      </c>
      <c r="C237" s="58" t="s">
        <v>1794</v>
      </c>
      <c r="D237" s="37">
        <v>0</v>
      </c>
    </row>
    <row r="238" spans="1:4" x14ac:dyDescent="0.2">
      <c r="A238" s="9" t="s">
        <v>1095</v>
      </c>
      <c r="C238" s="58" t="s">
        <v>1794</v>
      </c>
      <c r="D238" s="37">
        <v>0</v>
      </c>
    </row>
    <row r="239" spans="1:4" x14ac:dyDescent="0.2">
      <c r="C239" s="58"/>
      <c r="D239" s="37"/>
    </row>
    <row r="240" spans="1:4" ht="10.5" x14ac:dyDescent="0.25">
      <c r="A240" s="15" t="s">
        <v>1863</v>
      </c>
      <c r="C240" s="58"/>
      <c r="D240" s="37"/>
    </row>
    <row r="242" spans="1:9" ht="10.5" x14ac:dyDescent="0.25">
      <c r="A242" s="15" t="s">
        <v>1797</v>
      </c>
      <c r="D242" s="41" t="s">
        <v>36</v>
      </c>
    </row>
    <row r="243" spans="1:9" x14ac:dyDescent="0.2">
      <c r="A243" s="9" t="s">
        <v>885</v>
      </c>
    </row>
    <row r="244" spans="1:9" ht="14.5" x14ac:dyDescent="0.35">
      <c r="A244" s="49" t="s">
        <v>1898</v>
      </c>
    </row>
    <row r="248" spans="1:9" s="1" customFormat="1" ht="14" x14ac:dyDescent="0.25">
      <c r="A248" s="88" t="s">
        <v>1102</v>
      </c>
      <c r="B248" s="89"/>
      <c r="C248" s="89"/>
      <c r="D248" s="89"/>
      <c r="E248" s="89"/>
      <c r="F248" s="89"/>
    </row>
    <row r="249" spans="1:9" ht="10.5" x14ac:dyDescent="0.25">
      <c r="A249" s="15" t="s">
        <v>1103</v>
      </c>
    </row>
    <row r="250" spans="1:9" ht="10.5" x14ac:dyDescent="0.25">
      <c r="A250" s="15" t="s">
        <v>4</v>
      </c>
    </row>
    <row r="251" spans="1:9" s="1" customFormat="1" ht="26.25" customHeight="1" x14ac:dyDescent="0.25">
      <c r="A251" s="8" t="s">
        <v>2</v>
      </c>
      <c r="B251" s="8" t="s">
        <v>0</v>
      </c>
      <c r="C251" s="8" t="s">
        <v>661</v>
      </c>
      <c r="D251" s="13" t="s">
        <v>1</v>
      </c>
      <c r="E251" s="64" t="s">
        <v>1820</v>
      </c>
      <c r="F251" s="63" t="s">
        <v>3</v>
      </c>
    </row>
    <row r="252" spans="1:9" ht="10.5" x14ac:dyDescent="0.25">
      <c r="A252" s="18" t="s">
        <v>662</v>
      </c>
      <c r="B252" s="19"/>
      <c r="C252" s="19"/>
      <c r="D252" s="20"/>
      <c r="E252" s="21"/>
      <c r="F252" s="22"/>
    </row>
    <row r="253" spans="1:9" ht="10.5" x14ac:dyDescent="0.25">
      <c r="A253" s="23" t="s">
        <v>23</v>
      </c>
      <c r="B253" s="24"/>
      <c r="C253" s="24"/>
      <c r="D253" s="25"/>
      <c r="E253" s="26"/>
      <c r="F253" s="27"/>
    </row>
    <row r="254" spans="1:9" x14ac:dyDescent="0.2">
      <c r="A254" s="24" t="s">
        <v>1104</v>
      </c>
      <c r="B254" s="24" t="s">
        <v>1105</v>
      </c>
      <c r="C254" s="24" t="s">
        <v>1071</v>
      </c>
      <c r="D254" s="28">
        <v>3523</v>
      </c>
      <c r="E254" s="26">
        <v>8.4999999999999999E-6</v>
      </c>
      <c r="F254" s="26">
        <v>100</v>
      </c>
    </row>
    <row r="255" spans="1:9" ht="10.5" x14ac:dyDescent="0.25">
      <c r="A255" s="23" t="s">
        <v>24</v>
      </c>
      <c r="B255" s="23"/>
      <c r="C255" s="23"/>
      <c r="D255" s="29"/>
      <c r="E255" s="30">
        <f>SUM(E253:E254)</f>
        <v>8.4999999999999999E-6</v>
      </c>
      <c r="F255" s="31">
        <f>SUM(F253:F254)</f>
        <v>100</v>
      </c>
      <c r="G255" s="15"/>
      <c r="H255" s="15"/>
      <c r="I255" s="15"/>
    </row>
    <row r="256" spans="1:9" x14ac:dyDescent="0.2">
      <c r="A256" s="24"/>
      <c r="B256" s="24"/>
      <c r="C256" s="24"/>
      <c r="D256" s="25"/>
      <c r="E256" s="26"/>
      <c r="F256" s="27"/>
    </row>
    <row r="257" spans="1:9" ht="10.5" x14ac:dyDescent="0.25">
      <c r="A257" s="23" t="s">
        <v>25</v>
      </c>
      <c r="B257" s="23"/>
      <c r="C257" s="23"/>
      <c r="D257" s="29"/>
      <c r="E257" s="30">
        <f>E255</f>
        <v>8.4999999999999999E-6</v>
      </c>
      <c r="F257" s="31">
        <f>F255</f>
        <v>100</v>
      </c>
      <c r="G257" s="15"/>
      <c r="H257" s="15"/>
      <c r="I257" s="15"/>
    </row>
    <row r="258" spans="1:9" ht="10.5" x14ac:dyDescent="0.25">
      <c r="A258" s="23"/>
      <c r="B258" s="23"/>
      <c r="C258" s="23"/>
      <c r="D258" s="29"/>
      <c r="E258" s="30"/>
      <c r="F258" s="31"/>
      <c r="G258" s="15"/>
      <c r="H258" s="15"/>
      <c r="I258" s="15"/>
    </row>
    <row r="259" spans="1:9" ht="10.5" x14ac:dyDescent="0.25">
      <c r="A259" s="23" t="s">
        <v>27</v>
      </c>
      <c r="B259" s="23"/>
      <c r="C259" s="23"/>
      <c r="D259" s="29"/>
      <c r="E259" s="30">
        <f>E261-(E255)</f>
        <v>-7.6000000000000001E-6</v>
      </c>
      <c r="F259" s="31">
        <f>F261-(F255)</f>
        <v>0</v>
      </c>
      <c r="G259" s="15"/>
      <c r="H259" s="15"/>
      <c r="I259" s="15"/>
    </row>
    <row r="260" spans="1:9" ht="10.5" x14ac:dyDescent="0.25">
      <c r="A260" s="23"/>
      <c r="B260" s="23"/>
      <c r="C260" s="23"/>
      <c r="D260" s="29"/>
      <c r="E260" s="30"/>
      <c r="F260" s="31"/>
      <c r="G260" s="15"/>
      <c r="H260" s="15"/>
      <c r="I260" s="15"/>
    </row>
    <row r="261" spans="1:9" ht="10.5" x14ac:dyDescent="0.25">
      <c r="A261" s="32" t="s">
        <v>26</v>
      </c>
      <c r="B261" s="32"/>
      <c r="C261" s="32"/>
      <c r="D261" s="33"/>
      <c r="E261" s="34">
        <v>8.9999999999999996E-7</v>
      </c>
      <c r="F261" s="35">
        <v>100</v>
      </c>
      <c r="G261" s="15"/>
      <c r="H261" s="15"/>
      <c r="I261" s="15"/>
    </row>
    <row r="262" spans="1:9" ht="10.5" x14ac:dyDescent="0.25">
      <c r="A262" s="15" t="s">
        <v>872</v>
      </c>
    </row>
    <row r="263" spans="1:9" ht="10.5" x14ac:dyDescent="0.25">
      <c r="A263" s="61" t="s">
        <v>1795</v>
      </c>
    </row>
    <row r="264" spans="1:9" ht="10.5" x14ac:dyDescent="0.25">
      <c r="A264" s="61"/>
    </row>
    <row r="265" spans="1:9" ht="10.5" x14ac:dyDescent="0.25">
      <c r="A265" s="15" t="s">
        <v>28</v>
      </c>
    </row>
    <row r="266" spans="1:9" ht="10.5" x14ac:dyDescent="0.25">
      <c r="A266" s="15" t="s">
        <v>29</v>
      </c>
    </row>
    <row r="267" spans="1:9" ht="10.5" x14ac:dyDescent="0.25">
      <c r="A267" s="15" t="s">
        <v>30</v>
      </c>
      <c r="B267" s="15"/>
      <c r="C267" s="36" t="s">
        <v>32</v>
      </c>
      <c r="D267" s="16" t="s">
        <v>31</v>
      </c>
    </row>
    <row r="268" spans="1:9" x14ac:dyDescent="0.2">
      <c r="A268" s="9" t="s">
        <v>873</v>
      </c>
      <c r="C268" s="58" t="s">
        <v>1794</v>
      </c>
      <c r="D268" s="37">
        <v>0</v>
      </c>
    </row>
    <row r="269" spans="1:9" x14ac:dyDescent="0.2">
      <c r="A269" s="9" t="s">
        <v>875</v>
      </c>
      <c r="C269" s="58" t="s">
        <v>1794</v>
      </c>
      <c r="D269" s="37">
        <v>0</v>
      </c>
    </row>
    <row r="270" spans="1:9" x14ac:dyDescent="0.2">
      <c r="A270" s="9" t="s">
        <v>1090</v>
      </c>
      <c r="C270" s="58" t="s">
        <v>1794</v>
      </c>
      <c r="D270" s="37">
        <v>0</v>
      </c>
    </row>
    <row r="271" spans="1:9" x14ac:dyDescent="0.2">
      <c r="A271" s="9" t="s">
        <v>1091</v>
      </c>
      <c r="C271" s="58" t="s">
        <v>1794</v>
      </c>
      <c r="D271" s="37">
        <v>0</v>
      </c>
    </row>
    <row r="272" spans="1:9" x14ac:dyDescent="0.2">
      <c r="A272" s="66" t="s">
        <v>1806</v>
      </c>
      <c r="C272" s="58" t="s">
        <v>1794</v>
      </c>
      <c r="D272" s="37">
        <v>0</v>
      </c>
    </row>
    <row r="273" spans="1:4" x14ac:dyDescent="0.2">
      <c r="A273" s="9" t="s">
        <v>1092</v>
      </c>
      <c r="C273" s="58" t="s">
        <v>1794</v>
      </c>
      <c r="D273" s="37">
        <v>0</v>
      </c>
    </row>
    <row r="274" spans="1:4" x14ac:dyDescent="0.2">
      <c r="A274" s="9" t="s">
        <v>1093</v>
      </c>
      <c r="C274" s="58" t="s">
        <v>1794</v>
      </c>
      <c r="D274" s="37">
        <v>0</v>
      </c>
    </row>
    <row r="275" spans="1:4" x14ac:dyDescent="0.2">
      <c r="A275" s="9" t="s">
        <v>1094</v>
      </c>
      <c r="C275" s="58" t="s">
        <v>1794</v>
      </c>
      <c r="D275" s="37">
        <v>0</v>
      </c>
    </row>
    <row r="276" spans="1:4" x14ac:dyDescent="0.2">
      <c r="A276" s="9" t="s">
        <v>1095</v>
      </c>
      <c r="C276" s="58" t="s">
        <v>1794</v>
      </c>
      <c r="D276" s="37">
        <v>0</v>
      </c>
    </row>
    <row r="277" spans="1:4" x14ac:dyDescent="0.2">
      <c r="C277" s="58"/>
      <c r="D277" s="37"/>
    </row>
    <row r="278" spans="1:4" ht="10.5" x14ac:dyDescent="0.25">
      <c r="A278" s="15" t="s">
        <v>1864</v>
      </c>
      <c r="C278" s="58"/>
      <c r="D278" s="37"/>
    </row>
    <row r="280" spans="1:4" ht="10.5" x14ac:dyDescent="0.25">
      <c r="A280" s="15" t="s">
        <v>1797</v>
      </c>
      <c r="D280" s="41" t="s">
        <v>36</v>
      </c>
    </row>
    <row r="281" spans="1:4" x14ac:dyDescent="0.2">
      <c r="A281" s="9" t="s">
        <v>885</v>
      </c>
    </row>
    <row r="282" spans="1:4" ht="14.5" x14ac:dyDescent="0.35">
      <c r="A282" s="49" t="s">
        <v>1898</v>
      </c>
    </row>
  </sheetData>
  <mergeCells count="14">
    <mergeCell ref="A248:F248"/>
    <mergeCell ref="A158:B158"/>
    <mergeCell ref="A159:B159"/>
    <mergeCell ref="A160:B160"/>
    <mergeCell ref="A161:B161"/>
    <mergeCell ref="A171:F171"/>
    <mergeCell ref="A209:F209"/>
    <mergeCell ref="A157:B157"/>
    <mergeCell ref="E134:F134"/>
    <mergeCell ref="A1:F1"/>
    <mergeCell ref="A154:B154"/>
    <mergeCell ref="C154:D154"/>
    <mergeCell ref="A155:B155"/>
    <mergeCell ref="A156:B156"/>
  </mergeCells>
  <conditionalFormatting sqref="F2:F3 F5:F79 F172:F173 F210:F211 F224:F238 F249:F250 F245:F247 F262:F276 F283:F65536 F81:F133 E134 F186:F208 F135:F170">
    <cfRule type="cellIs" dxfId="131" priority="12" stopIfTrue="1" operator="between">
      <formula>0.009</formula>
      <formula>-0.009</formula>
    </cfRule>
  </conditionalFormatting>
  <conditionalFormatting sqref="F175:F176 F178:F181 F183:F184">
    <cfRule type="cellIs" dxfId="130" priority="10" stopIfTrue="1" operator="between">
      <formula>0.009</formula>
      <formula>-0.009</formula>
    </cfRule>
  </conditionalFormatting>
  <conditionalFormatting sqref="F216:F219">
    <cfRule type="cellIs" dxfId="129" priority="8" stopIfTrue="1" operator="between">
      <formula>0.009</formula>
      <formula>-0.009</formula>
    </cfRule>
  </conditionalFormatting>
  <conditionalFormatting sqref="F213:F214">
    <cfRule type="cellIs" dxfId="128" priority="9" stopIfTrue="1" operator="between">
      <formula>0.009</formula>
      <formula>-0.009</formula>
    </cfRule>
  </conditionalFormatting>
  <conditionalFormatting sqref="F239:F244">
    <cfRule type="cellIs" dxfId="127" priority="7" stopIfTrue="1" operator="between">
      <formula>0.009</formula>
      <formula>-0.009</formula>
    </cfRule>
  </conditionalFormatting>
  <conditionalFormatting sqref="F255:F258 F260:F261">
    <cfRule type="cellIs" dxfId="126" priority="5" stopIfTrue="1" operator="between">
      <formula>0.009</formula>
      <formula>-0.009</formula>
    </cfRule>
  </conditionalFormatting>
  <conditionalFormatting sqref="F252:F253">
    <cfRule type="cellIs" dxfId="125" priority="6" stopIfTrue="1" operator="between">
      <formula>0.009</formula>
      <formula>-0.009</formula>
    </cfRule>
  </conditionalFormatting>
  <conditionalFormatting sqref="F277:F282">
    <cfRule type="cellIs" dxfId="124" priority="4" stopIfTrue="1" operator="between">
      <formula>0.009</formula>
      <formula>-0.009</formula>
    </cfRule>
  </conditionalFormatting>
  <conditionalFormatting sqref="F185">
    <cfRule type="cellIs" dxfId="123" priority="3" stopIfTrue="1" operator="between">
      <formula>0.009</formula>
      <formula>-0.009</formula>
    </cfRule>
  </conditionalFormatting>
  <conditionalFormatting sqref="F221:F222">
    <cfRule type="cellIs" dxfId="122" priority="2" stopIfTrue="1" operator="between">
      <formula>0.009</formula>
      <formula>-0.009</formula>
    </cfRule>
  </conditionalFormatting>
  <conditionalFormatting sqref="F223">
    <cfRule type="cellIs" dxfId="121" priority="1" stopIfTrue="1" operator="between">
      <formula>0.009</formula>
      <formula>-0.009</formula>
    </cfRule>
  </conditionalFormatting>
  <hyperlinks>
    <hyperlink ref="A167" r:id="rId1" xr:uid="{00000000-0004-0000-0100-000000000000}"/>
    <hyperlink ref="A206" r:id="rId2" xr:uid="{00000000-0004-0000-0100-000001000000}"/>
    <hyperlink ref="A244" r:id="rId3" xr:uid="{00000000-0004-0000-0100-000002000000}"/>
    <hyperlink ref="A282" r:id="rId4" xr:uid="{00000000-0004-0000-0100-000003000000}"/>
  </hyperlinks>
  <pageMargins left="0.7" right="0.7" top="0.75" bottom="0.75" header="0.3" footer="0.3"/>
  <pageSetup paperSize="9" scale="39" orientation="portrait" r:id="rId5"/>
  <headerFooter>
    <evenFooter>&amp;LPUBLIC</evenFooter>
    <firstFooter>&amp;LPUBLIC</firstFooter>
  </headerFooter>
  <rowBreaks count="1" manualBreakCount="1">
    <brk id="168" max="5" man="1"/>
  </rowBreaks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3.453125" style="9" bestFit="1" customWidth="1"/>
    <col min="2" max="2" width="49.26953125" style="9" bestFit="1" customWidth="1"/>
    <col min="3" max="3" width="15.453125" style="9" bestFit="1" customWidth="1"/>
    <col min="4" max="4" width="15.453125" style="10" bestFit="1" customWidth="1"/>
    <col min="5" max="5" width="13.81640625" style="11" customWidth="1"/>
    <col min="6" max="6" width="11.54296875" style="14" customWidth="1"/>
    <col min="7" max="7" width="4.54296875" style="9" bestFit="1" customWidth="1"/>
    <col min="8" max="16384" width="9.1796875" style="9"/>
  </cols>
  <sheetData>
    <row r="1" spans="1:6" s="1" customFormat="1" ht="14" x14ac:dyDescent="0.25">
      <c r="A1" s="88" t="s">
        <v>1821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4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861</v>
      </c>
      <c r="B4" s="19"/>
      <c r="C4" s="19"/>
      <c r="D4" s="20"/>
      <c r="E4" s="21"/>
      <c r="F4" s="22"/>
    </row>
    <row r="5" spans="1:6" ht="10.5" x14ac:dyDescent="0.25">
      <c r="A5" s="23" t="s">
        <v>1106</v>
      </c>
      <c r="B5" s="24"/>
      <c r="C5" s="24"/>
      <c r="D5" s="25"/>
      <c r="E5" s="26"/>
      <c r="F5" s="27"/>
    </row>
    <row r="6" spans="1:6" x14ac:dyDescent="0.2">
      <c r="A6" s="24" t="s">
        <v>1107</v>
      </c>
      <c r="B6" s="24" t="s">
        <v>1108</v>
      </c>
      <c r="C6" s="24" t="s">
        <v>868</v>
      </c>
      <c r="D6" s="28">
        <v>17500</v>
      </c>
      <c r="E6" s="26">
        <v>17226.055</v>
      </c>
      <c r="F6" s="27">
        <v>5.1318706057342602</v>
      </c>
    </row>
    <row r="7" spans="1:6" x14ac:dyDescent="0.2">
      <c r="A7" s="24" t="s">
        <v>1109</v>
      </c>
      <c r="B7" s="24" t="s">
        <v>1110</v>
      </c>
      <c r="C7" s="24" t="s">
        <v>1111</v>
      </c>
      <c r="D7" s="28">
        <v>15000</v>
      </c>
      <c r="E7" s="26">
        <v>14380.844999999999</v>
      </c>
      <c r="F7" s="27">
        <v>4.2842447525635103</v>
      </c>
    </row>
    <row r="8" spans="1:6" x14ac:dyDescent="0.2">
      <c r="A8" s="24" t="s">
        <v>1112</v>
      </c>
      <c r="B8" s="24" t="s">
        <v>1113</v>
      </c>
      <c r="C8" s="24" t="s">
        <v>1114</v>
      </c>
      <c r="D8" s="28">
        <v>12500</v>
      </c>
      <c r="E8" s="26">
        <v>12096.35</v>
      </c>
      <c r="F8" s="27">
        <v>3.6036633461157299</v>
      </c>
    </row>
    <row r="9" spans="1:6" x14ac:dyDescent="0.2">
      <c r="A9" s="24" t="s">
        <v>1115</v>
      </c>
      <c r="B9" s="24" t="s">
        <v>1116</v>
      </c>
      <c r="C9" s="24" t="s">
        <v>1114</v>
      </c>
      <c r="D9" s="28">
        <v>10000</v>
      </c>
      <c r="E9" s="26">
        <v>9581.06</v>
      </c>
      <c r="F9" s="27">
        <v>2.8543250434168601</v>
      </c>
    </row>
    <row r="10" spans="1:6" x14ac:dyDescent="0.2">
      <c r="A10" s="24" t="s">
        <v>1117</v>
      </c>
      <c r="B10" s="24" t="s">
        <v>1118</v>
      </c>
      <c r="C10" s="24" t="s">
        <v>1114</v>
      </c>
      <c r="D10" s="28">
        <v>10000</v>
      </c>
      <c r="E10" s="26">
        <v>9567.48</v>
      </c>
      <c r="F10" s="27">
        <v>2.8502793810277698</v>
      </c>
    </row>
    <row r="11" spans="1:6" x14ac:dyDescent="0.2">
      <c r="A11" s="24" t="s">
        <v>1119</v>
      </c>
      <c r="B11" s="24" t="s">
        <v>1120</v>
      </c>
      <c r="C11" s="24" t="s">
        <v>1111</v>
      </c>
      <c r="D11" s="28">
        <v>10000</v>
      </c>
      <c r="E11" s="26">
        <v>9544.93</v>
      </c>
      <c r="F11" s="27">
        <v>2.84356143648625</v>
      </c>
    </row>
    <row r="12" spans="1:6" x14ac:dyDescent="0.2">
      <c r="A12" s="24" t="s">
        <v>1121</v>
      </c>
      <c r="B12" s="24" t="s">
        <v>1122</v>
      </c>
      <c r="C12" s="24" t="s">
        <v>1111</v>
      </c>
      <c r="D12" s="28">
        <v>10000</v>
      </c>
      <c r="E12" s="26">
        <v>9543.51</v>
      </c>
      <c r="F12" s="27">
        <v>2.84313839962376</v>
      </c>
    </row>
    <row r="13" spans="1:6" x14ac:dyDescent="0.2">
      <c r="A13" s="24" t="s">
        <v>1123</v>
      </c>
      <c r="B13" s="24" t="s">
        <v>1124</v>
      </c>
      <c r="C13" s="24" t="s">
        <v>1114</v>
      </c>
      <c r="D13" s="28">
        <v>10000</v>
      </c>
      <c r="E13" s="26">
        <v>9520.9</v>
      </c>
      <c r="F13" s="27">
        <v>2.8364025802852302</v>
      </c>
    </row>
    <row r="14" spans="1:6" x14ac:dyDescent="0.2">
      <c r="A14" s="24" t="s">
        <v>1125</v>
      </c>
      <c r="B14" s="24" t="s">
        <v>1126</v>
      </c>
      <c r="C14" s="24" t="s">
        <v>1114</v>
      </c>
      <c r="D14" s="28">
        <v>10000</v>
      </c>
      <c r="E14" s="26">
        <v>9472.58</v>
      </c>
      <c r="F14" s="27">
        <v>2.8220074104294999</v>
      </c>
    </row>
    <row r="15" spans="1:6" x14ac:dyDescent="0.2">
      <c r="A15" s="24" t="s">
        <v>1127</v>
      </c>
      <c r="B15" s="24" t="s">
        <v>1128</v>
      </c>
      <c r="C15" s="24" t="s">
        <v>1114</v>
      </c>
      <c r="D15" s="28">
        <v>7500</v>
      </c>
      <c r="E15" s="26">
        <v>7142.8725000000004</v>
      </c>
      <c r="F15" s="27">
        <v>2.1279565996542802</v>
      </c>
    </row>
    <row r="16" spans="1:6" x14ac:dyDescent="0.2">
      <c r="A16" s="24" t="s">
        <v>1129</v>
      </c>
      <c r="B16" s="24" t="s">
        <v>1130</v>
      </c>
      <c r="C16" s="24" t="s">
        <v>1114</v>
      </c>
      <c r="D16" s="28">
        <v>6022</v>
      </c>
      <c r="E16" s="26">
        <v>5722.5921820000003</v>
      </c>
      <c r="F16" s="27">
        <v>1.7048362267164701</v>
      </c>
    </row>
    <row r="17" spans="1:9" x14ac:dyDescent="0.2">
      <c r="A17" s="24" t="s">
        <v>1131</v>
      </c>
      <c r="B17" s="24" t="s">
        <v>1132</v>
      </c>
      <c r="C17" s="24" t="s">
        <v>1114</v>
      </c>
      <c r="D17" s="28">
        <v>5000</v>
      </c>
      <c r="E17" s="26">
        <v>4901.5950000000003</v>
      </c>
      <c r="F17" s="27">
        <v>1.4602502605334799</v>
      </c>
    </row>
    <row r="18" spans="1:9" x14ac:dyDescent="0.2">
      <c r="A18" s="24" t="s">
        <v>1133</v>
      </c>
      <c r="B18" s="24" t="s">
        <v>1134</v>
      </c>
      <c r="C18" s="24" t="s">
        <v>868</v>
      </c>
      <c r="D18" s="28">
        <v>5000</v>
      </c>
      <c r="E18" s="26">
        <v>4878.7849999999999</v>
      </c>
      <c r="F18" s="27">
        <v>1.4534548585382601</v>
      </c>
    </row>
    <row r="19" spans="1:9" x14ac:dyDescent="0.2">
      <c r="A19" s="24" t="s">
        <v>1135</v>
      </c>
      <c r="B19" s="24" t="s">
        <v>1136</v>
      </c>
      <c r="C19" s="24" t="s">
        <v>1111</v>
      </c>
      <c r="D19" s="28">
        <v>5000</v>
      </c>
      <c r="E19" s="26">
        <v>4781.6499999999996</v>
      </c>
      <c r="F19" s="27">
        <v>1.4245170517515</v>
      </c>
    </row>
    <row r="20" spans="1:9" x14ac:dyDescent="0.2">
      <c r="A20" s="24" t="s">
        <v>1137</v>
      </c>
      <c r="B20" s="24" t="s">
        <v>1138</v>
      </c>
      <c r="C20" s="24" t="s">
        <v>1114</v>
      </c>
      <c r="D20" s="28">
        <v>5000</v>
      </c>
      <c r="E20" s="26">
        <v>4753.8999999999996</v>
      </c>
      <c r="F20" s="27">
        <v>1.4162499581361001</v>
      </c>
    </row>
    <row r="21" spans="1:9" x14ac:dyDescent="0.2">
      <c r="A21" s="24" t="s">
        <v>1139</v>
      </c>
      <c r="B21" s="24" t="s">
        <v>1140</v>
      </c>
      <c r="C21" s="24" t="s">
        <v>1111</v>
      </c>
      <c r="D21" s="28">
        <v>2500</v>
      </c>
      <c r="E21" s="26">
        <v>2486.2249999999999</v>
      </c>
      <c r="F21" s="27">
        <v>0.74067945311574002</v>
      </c>
    </row>
    <row r="22" spans="1:9" x14ac:dyDescent="0.2">
      <c r="A22" s="24" t="s">
        <v>1141</v>
      </c>
      <c r="B22" s="24" t="s">
        <v>1142</v>
      </c>
      <c r="C22" s="24" t="s">
        <v>1114</v>
      </c>
      <c r="D22" s="28">
        <v>2500</v>
      </c>
      <c r="E22" s="26">
        <v>2473.39</v>
      </c>
      <c r="F22" s="27">
        <v>0.73685573612281197</v>
      </c>
    </row>
    <row r="23" spans="1:9" x14ac:dyDescent="0.2">
      <c r="A23" s="24" t="s">
        <v>1143</v>
      </c>
      <c r="B23" s="24" t="s">
        <v>1144</v>
      </c>
      <c r="C23" s="24" t="s">
        <v>1114</v>
      </c>
      <c r="D23" s="28">
        <v>2500</v>
      </c>
      <c r="E23" s="26">
        <v>2453.835</v>
      </c>
      <c r="F23" s="27">
        <v>0.73103004186518095</v>
      </c>
    </row>
    <row r="24" spans="1:9" x14ac:dyDescent="0.2">
      <c r="A24" s="24" t="s">
        <v>1145</v>
      </c>
      <c r="B24" s="24" t="s">
        <v>1146</v>
      </c>
      <c r="C24" s="24" t="s">
        <v>1114</v>
      </c>
      <c r="D24" s="28">
        <v>475</v>
      </c>
      <c r="E24" s="26">
        <v>472.36660000000001</v>
      </c>
      <c r="F24" s="27">
        <v>0.14072428479246299</v>
      </c>
    </row>
    <row r="25" spans="1:9" x14ac:dyDescent="0.2">
      <c r="A25" s="24" t="s">
        <v>1147</v>
      </c>
      <c r="B25" s="24" t="s">
        <v>1866</v>
      </c>
      <c r="C25" s="24" t="s">
        <v>1114</v>
      </c>
      <c r="D25" s="28">
        <v>400</v>
      </c>
      <c r="E25" s="26">
        <v>397.78</v>
      </c>
      <c r="F25" s="27">
        <v>0.11850394588598299</v>
      </c>
    </row>
    <row r="26" spans="1:9" x14ac:dyDescent="0.2">
      <c r="A26" s="24" t="s">
        <v>1148</v>
      </c>
      <c r="B26" s="24" t="s">
        <v>1867</v>
      </c>
      <c r="C26" s="24" t="s">
        <v>1114</v>
      </c>
      <c r="D26" s="28">
        <v>200</v>
      </c>
      <c r="E26" s="26">
        <v>199.13560000000001</v>
      </c>
      <c r="F26" s="27">
        <v>5.9325140445403997E-2</v>
      </c>
    </row>
    <row r="27" spans="1:9" ht="10.5" x14ac:dyDescent="0.25">
      <c r="A27" s="23" t="s">
        <v>24</v>
      </c>
      <c r="B27" s="23"/>
      <c r="C27" s="23"/>
      <c r="D27" s="29"/>
      <c r="E27" s="30">
        <f>SUM(E5:E26)</f>
        <v>141597.836882</v>
      </c>
      <c r="F27" s="31">
        <f>SUM(F5:F26)</f>
        <v>42.183876513240541</v>
      </c>
      <c r="G27" s="15"/>
      <c r="H27" s="15"/>
      <c r="I27" s="15"/>
    </row>
    <row r="28" spans="1:9" x14ac:dyDescent="0.2">
      <c r="A28" s="24"/>
      <c r="B28" s="24"/>
      <c r="C28" s="24"/>
      <c r="D28" s="25"/>
      <c r="E28" s="26"/>
      <c r="F28" s="27"/>
    </row>
    <row r="29" spans="1:9" ht="10.5" x14ac:dyDescent="0.25">
      <c r="A29" s="23" t="s">
        <v>862</v>
      </c>
      <c r="B29" s="24"/>
      <c r="C29" s="24"/>
      <c r="D29" s="25"/>
      <c r="E29" s="26"/>
      <c r="F29" s="27"/>
    </row>
    <row r="30" spans="1:9" x14ac:dyDescent="0.2">
      <c r="A30" s="24" t="s">
        <v>1149</v>
      </c>
      <c r="B30" s="24" t="s">
        <v>1150</v>
      </c>
      <c r="C30" s="24" t="s">
        <v>868</v>
      </c>
      <c r="D30" s="28">
        <v>4000</v>
      </c>
      <c r="E30" s="26">
        <v>19058.02</v>
      </c>
      <c r="F30" s="27">
        <v>5.6776373140278196</v>
      </c>
    </row>
    <row r="31" spans="1:9" x14ac:dyDescent="0.2">
      <c r="A31" s="24" t="s">
        <v>1151</v>
      </c>
      <c r="B31" s="24" t="s">
        <v>1152</v>
      </c>
      <c r="C31" s="24" t="s">
        <v>1114</v>
      </c>
      <c r="D31" s="28">
        <v>3600</v>
      </c>
      <c r="E31" s="26">
        <v>17289.54</v>
      </c>
      <c r="F31" s="27">
        <v>5.1507836305333203</v>
      </c>
    </row>
    <row r="32" spans="1:9" x14ac:dyDescent="0.2">
      <c r="A32" s="24" t="s">
        <v>1153</v>
      </c>
      <c r="B32" s="24" t="s">
        <v>1154</v>
      </c>
      <c r="C32" s="24" t="s">
        <v>868</v>
      </c>
      <c r="D32" s="28">
        <v>3500</v>
      </c>
      <c r="E32" s="26">
        <v>16737.857499999998</v>
      </c>
      <c r="F32" s="27">
        <v>4.9864300855430104</v>
      </c>
    </row>
    <row r="33" spans="1:6" x14ac:dyDescent="0.2">
      <c r="A33" s="24" t="s">
        <v>1155</v>
      </c>
      <c r="B33" s="24" t="s">
        <v>1156</v>
      </c>
      <c r="C33" s="24" t="s">
        <v>868</v>
      </c>
      <c r="D33" s="28">
        <v>3400</v>
      </c>
      <c r="E33" s="26">
        <v>16028.415999999999</v>
      </c>
      <c r="F33" s="27">
        <v>4.7750780388708103</v>
      </c>
    </row>
    <row r="34" spans="1:6" x14ac:dyDescent="0.2">
      <c r="A34" s="24" t="s">
        <v>1157</v>
      </c>
      <c r="B34" s="24" t="s">
        <v>1158</v>
      </c>
      <c r="C34" s="24" t="s">
        <v>868</v>
      </c>
      <c r="D34" s="28">
        <v>3000</v>
      </c>
      <c r="E34" s="26">
        <v>14368.71</v>
      </c>
      <c r="F34" s="27">
        <v>4.28062957486899</v>
      </c>
    </row>
    <row r="35" spans="1:6" x14ac:dyDescent="0.2">
      <c r="A35" s="24" t="s">
        <v>1159</v>
      </c>
      <c r="B35" s="24" t="s">
        <v>1160</v>
      </c>
      <c r="C35" s="24" t="s">
        <v>868</v>
      </c>
      <c r="D35" s="28">
        <v>2000</v>
      </c>
      <c r="E35" s="26">
        <v>9827.68</v>
      </c>
      <c r="F35" s="27">
        <v>2.9277964173783499</v>
      </c>
    </row>
    <row r="36" spans="1:6" x14ac:dyDescent="0.2">
      <c r="A36" s="24" t="s">
        <v>1161</v>
      </c>
      <c r="B36" s="24" t="s">
        <v>1162</v>
      </c>
      <c r="C36" s="24" t="s">
        <v>868</v>
      </c>
      <c r="D36" s="28">
        <v>2000</v>
      </c>
      <c r="E36" s="26">
        <v>9802.61</v>
      </c>
      <c r="F36" s="27">
        <v>2.9203277313625602</v>
      </c>
    </row>
    <row r="37" spans="1:6" x14ac:dyDescent="0.2">
      <c r="A37" s="24" t="s">
        <v>1163</v>
      </c>
      <c r="B37" s="24" t="s">
        <v>1164</v>
      </c>
      <c r="C37" s="24" t="s">
        <v>1165</v>
      </c>
      <c r="D37" s="28">
        <v>2000</v>
      </c>
      <c r="E37" s="26">
        <v>9536.0300000000007</v>
      </c>
      <c r="F37" s="27">
        <v>2.8409100082636498</v>
      </c>
    </row>
    <row r="38" spans="1:6" x14ac:dyDescent="0.2">
      <c r="A38" s="24" t="s">
        <v>1166</v>
      </c>
      <c r="B38" s="24" t="s">
        <v>1167</v>
      </c>
      <c r="C38" s="24" t="s">
        <v>868</v>
      </c>
      <c r="D38" s="28">
        <v>2000</v>
      </c>
      <c r="E38" s="26">
        <v>9520.44</v>
      </c>
      <c r="F38" s="27">
        <v>2.8362655401748502</v>
      </c>
    </row>
    <row r="39" spans="1:6" x14ac:dyDescent="0.2">
      <c r="A39" s="24" t="s">
        <v>1168</v>
      </c>
      <c r="B39" s="24" t="s">
        <v>1169</v>
      </c>
      <c r="C39" s="24" t="s">
        <v>1114</v>
      </c>
      <c r="D39" s="28">
        <v>2000</v>
      </c>
      <c r="E39" s="26">
        <v>9503.01</v>
      </c>
      <c r="F39" s="27">
        <v>2.8310729116445201</v>
      </c>
    </row>
    <row r="40" spans="1:6" x14ac:dyDescent="0.2">
      <c r="A40" s="24" t="s">
        <v>1170</v>
      </c>
      <c r="B40" s="24" t="s">
        <v>1171</v>
      </c>
      <c r="C40" s="24" t="s">
        <v>1114</v>
      </c>
      <c r="D40" s="28">
        <v>2000</v>
      </c>
      <c r="E40" s="26">
        <v>9496.7900000000009</v>
      </c>
      <c r="F40" s="27">
        <v>2.8292198910215398</v>
      </c>
    </row>
    <row r="41" spans="1:6" x14ac:dyDescent="0.2">
      <c r="A41" s="24" t="s">
        <v>1172</v>
      </c>
      <c r="B41" s="24" t="s">
        <v>1173</v>
      </c>
      <c r="C41" s="24" t="s">
        <v>1165</v>
      </c>
      <c r="D41" s="28">
        <v>2000</v>
      </c>
      <c r="E41" s="26">
        <v>9486.31</v>
      </c>
      <c r="F41" s="27">
        <v>2.8260977598111099</v>
      </c>
    </row>
    <row r="42" spans="1:6" x14ac:dyDescent="0.2">
      <c r="A42" s="24" t="s">
        <v>1174</v>
      </c>
      <c r="B42" s="24" t="s">
        <v>1175</v>
      </c>
      <c r="C42" s="24" t="s">
        <v>1165</v>
      </c>
      <c r="D42" s="28">
        <v>2000</v>
      </c>
      <c r="E42" s="26">
        <v>9485.9</v>
      </c>
      <c r="F42" s="27">
        <v>2.8259756153649001</v>
      </c>
    </row>
    <row r="43" spans="1:6" x14ac:dyDescent="0.2">
      <c r="A43" s="24" t="s">
        <v>1176</v>
      </c>
      <c r="B43" s="24" t="s">
        <v>1177</v>
      </c>
      <c r="C43" s="24" t="s">
        <v>1165</v>
      </c>
      <c r="D43" s="28">
        <v>2000</v>
      </c>
      <c r="E43" s="26">
        <v>9474.69</v>
      </c>
      <c r="F43" s="27">
        <v>2.82263600745756</v>
      </c>
    </row>
    <row r="44" spans="1:6" x14ac:dyDescent="0.2">
      <c r="A44" s="24" t="s">
        <v>1178</v>
      </c>
      <c r="B44" s="24" t="s">
        <v>1179</v>
      </c>
      <c r="C44" s="24" t="s">
        <v>868</v>
      </c>
      <c r="D44" s="28">
        <v>2000</v>
      </c>
      <c r="E44" s="26">
        <v>9432.32</v>
      </c>
      <c r="F44" s="27">
        <v>2.8100134216382902</v>
      </c>
    </row>
    <row r="45" spans="1:6" x14ac:dyDescent="0.2">
      <c r="A45" s="24" t="s">
        <v>1180</v>
      </c>
      <c r="B45" s="24" t="s">
        <v>1181</v>
      </c>
      <c r="C45" s="24" t="s">
        <v>1114</v>
      </c>
      <c r="D45" s="28">
        <v>1500</v>
      </c>
      <c r="E45" s="26">
        <v>7327.8225000000002</v>
      </c>
      <c r="F45" s="27">
        <v>2.18305566142614</v>
      </c>
    </row>
    <row r="46" spans="1:6" x14ac:dyDescent="0.2">
      <c r="A46" s="24" t="s">
        <v>1182</v>
      </c>
      <c r="B46" s="24" t="s">
        <v>1183</v>
      </c>
      <c r="C46" s="24" t="s">
        <v>1114</v>
      </c>
      <c r="D46" s="28">
        <v>1000</v>
      </c>
      <c r="E46" s="26">
        <v>4891.92</v>
      </c>
      <c r="F46" s="27">
        <v>1.45736794951621</v>
      </c>
    </row>
    <row r="47" spans="1:6" x14ac:dyDescent="0.2">
      <c r="A47" s="24" t="s">
        <v>1184</v>
      </c>
      <c r="B47" s="24" t="s">
        <v>1185</v>
      </c>
      <c r="C47" s="24" t="s">
        <v>868</v>
      </c>
      <c r="D47" s="28">
        <v>1000</v>
      </c>
      <c r="E47" s="26">
        <v>4746.2250000000004</v>
      </c>
      <c r="F47" s="27">
        <v>1.4139634736857101</v>
      </c>
    </row>
    <row r="48" spans="1:6" x14ac:dyDescent="0.2">
      <c r="A48" s="24" t="s">
        <v>1186</v>
      </c>
      <c r="B48" s="24" t="s">
        <v>1187</v>
      </c>
      <c r="C48" s="24" t="s">
        <v>1114</v>
      </c>
      <c r="D48" s="28">
        <v>1000</v>
      </c>
      <c r="E48" s="26">
        <v>4732.09</v>
      </c>
      <c r="F48" s="27">
        <v>1.40975246942431</v>
      </c>
    </row>
    <row r="49" spans="1:9" x14ac:dyDescent="0.2">
      <c r="A49" s="24" t="s">
        <v>1188</v>
      </c>
      <c r="B49" s="24" t="s">
        <v>1189</v>
      </c>
      <c r="C49" s="24" t="s">
        <v>868</v>
      </c>
      <c r="D49" s="28">
        <v>1000</v>
      </c>
      <c r="E49" s="26">
        <v>4706.96</v>
      </c>
      <c r="F49" s="27">
        <v>1.4022659086115099</v>
      </c>
    </row>
    <row r="50" spans="1:9" x14ac:dyDescent="0.2">
      <c r="A50" s="24" t="s">
        <v>1190</v>
      </c>
      <c r="B50" s="24" t="s">
        <v>1191</v>
      </c>
      <c r="C50" s="24" t="s">
        <v>868</v>
      </c>
      <c r="D50" s="28">
        <v>500</v>
      </c>
      <c r="E50" s="26">
        <v>2482.5050000000001</v>
      </c>
      <c r="F50" s="27">
        <v>0.73957121570134998</v>
      </c>
    </row>
    <row r="51" spans="1:9" x14ac:dyDescent="0.2">
      <c r="A51" s="24" t="s">
        <v>1192</v>
      </c>
      <c r="B51" s="24" t="s">
        <v>1193</v>
      </c>
      <c r="C51" s="24" t="s">
        <v>1165</v>
      </c>
      <c r="D51" s="28">
        <v>500</v>
      </c>
      <c r="E51" s="26">
        <v>2474.4274999999998</v>
      </c>
      <c r="F51" s="27">
        <v>0.73716482115437898</v>
      </c>
    </row>
    <row r="52" spans="1:9" ht="10.5" x14ac:dyDescent="0.25">
      <c r="A52" s="23" t="s">
        <v>24</v>
      </c>
      <c r="B52" s="23"/>
      <c r="C52" s="23"/>
      <c r="D52" s="29"/>
      <c r="E52" s="30">
        <f>SUM(E29:E51)</f>
        <v>210410.27350000001</v>
      </c>
      <c r="F52" s="31">
        <f>SUM(F29:F51)</f>
        <v>62.684015447480888</v>
      </c>
      <c r="G52" s="15"/>
      <c r="H52" s="15"/>
      <c r="I52" s="15"/>
    </row>
    <row r="53" spans="1:9" x14ac:dyDescent="0.2">
      <c r="A53" s="24"/>
      <c r="B53" s="24"/>
      <c r="C53" s="24"/>
      <c r="D53" s="25"/>
      <c r="E53" s="26"/>
      <c r="F53" s="27"/>
    </row>
    <row r="54" spans="1:9" ht="10.5" x14ac:dyDescent="0.25">
      <c r="A54" s="23" t="s">
        <v>25</v>
      </c>
      <c r="B54" s="23"/>
      <c r="C54" s="23"/>
      <c r="D54" s="29"/>
      <c r="E54" s="30">
        <f>E27+E52</f>
        <v>352008.11038199998</v>
      </c>
      <c r="F54" s="31">
        <f>F27+F52</f>
        <v>104.86789196072144</v>
      </c>
      <c r="G54" s="15"/>
      <c r="H54" s="15"/>
      <c r="I54" s="15"/>
    </row>
    <row r="55" spans="1:9" ht="10.5" x14ac:dyDescent="0.25">
      <c r="A55" s="23"/>
      <c r="B55" s="23"/>
      <c r="C55" s="23"/>
      <c r="D55" s="29"/>
      <c r="E55" s="30"/>
      <c r="F55" s="31"/>
      <c r="G55" s="15"/>
      <c r="H55" s="15"/>
      <c r="I55" s="15"/>
    </row>
    <row r="56" spans="1:9" ht="10.5" x14ac:dyDescent="0.25">
      <c r="A56" s="23" t="s">
        <v>27</v>
      </c>
      <c r="B56" s="23"/>
      <c r="C56" s="23"/>
      <c r="D56" s="29"/>
      <c r="E56" s="79">
        <f>E58-(E27+E52)</f>
        <v>-16339.9627722</v>
      </c>
      <c r="F56" s="80">
        <f>F58-(F27+F52)</f>
        <v>-4.8678919607214368</v>
      </c>
      <c r="G56" s="15"/>
      <c r="H56" s="15"/>
      <c r="I56" s="15"/>
    </row>
    <row r="57" spans="1:9" ht="10.5" x14ac:dyDescent="0.25">
      <c r="A57" s="23"/>
      <c r="B57" s="23"/>
      <c r="C57" s="23"/>
      <c r="D57" s="29"/>
      <c r="E57" s="30"/>
      <c r="F57" s="31"/>
      <c r="G57" s="15"/>
      <c r="H57" s="15"/>
      <c r="I57" s="15"/>
    </row>
    <row r="58" spans="1:9" ht="10.5" x14ac:dyDescent="0.25">
      <c r="A58" s="32" t="s">
        <v>26</v>
      </c>
      <c r="B58" s="32"/>
      <c r="C58" s="32"/>
      <c r="D58" s="33"/>
      <c r="E58" s="34">
        <v>335668.14760979998</v>
      </c>
      <c r="F58" s="35">
        <v>100</v>
      </c>
      <c r="G58" s="15"/>
      <c r="H58" s="15"/>
      <c r="I58" s="15"/>
    </row>
    <row r="59" spans="1:9" ht="10.5" x14ac:dyDescent="0.25">
      <c r="A59" s="15" t="s">
        <v>871</v>
      </c>
    </row>
    <row r="60" spans="1:9" ht="10.5" x14ac:dyDescent="0.25">
      <c r="A60" s="15" t="s">
        <v>872</v>
      </c>
    </row>
    <row r="61" spans="1:9" ht="10.5" x14ac:dyDescent="0.25">
      <c r="A61" s="15" t="s">
        <v>1817</v>
      </c>
    </row>
    <row r="63" spans="1:9" ht="10.5" x14ac:dyDescent="0.25">
      <c r="A63" s="15" t="s">
        <v>28</v>
      </c>
    </row>
    <row r="64" spans="1:9" ht="10.5" x14ac:dyDescent="0.25">
      <c r="A64" s="15" t="s">
        <v>29</v>
      </c>
    </row>
    <row r="65" spans="1:4" ht="10.5" x14ac:dyDescent="0.25">
      <c r="A65" s="15" t="s">
        <v>30</v>
      </c>
      <c r="B65" s="15"/>
      <c r="C65" s="36" t="s">
        <v>32</v>
      </c>
      <c r="D65" s="16" t="s">
        <v>31</v>
      </c>
    </row>
    <row r="66" spans="1:4" x14ac:dyDescent="0.2">
      <c r="A66" s="9" t="s">
        <v>873</v>
      </c>
      <c r="C66" s="37">
        <v>35.816400000000002</v>
      </c>
      <c r="D66" s="37">
        <v>37.000900000000001</v>
      </c>
    </row>
    <row r="67" spans="1:4" x14ac:dyDescent="0.2">
      <c r="A67" s="9" t="s">
        <v>874</v>
      </c>
      <c r="C67" s="37">
        <v>10.0631</v>
      </c>
      <c r="D67" s="37">
        <v>10.0646</v>
      </c>
    </row>
    <row r="68" spans="1:4" x14ac:dyDescent="0.2">
      <c r="A68" s="9" t="s">
        <v>1090</v>
      </c>
      <c r="C68" s="37">
        <v>10.242800000000001</v>
      </c>
      <c r="D68" s="37">
        <v>10.1851</v>
      </c>
    </row>
    <row r="69" spans="1:4" x14ac:dyDescent="0.2">
      <c r="A69" s="9" t="s">
        <v>1091</v>
      </c>
      <c r="C69" s="37">
        <v>10.892899999999999</v>
      </c>
      <c r="D69" s="37">
        <v>10.806100000000001</v>
      </c>
    </row>
    <row r="70" spans="1:4" x14ac:dyDescent="0.2">
      <c r="A70" s="66" t="s">
        <v>1807</v>
      </c>
      <c r="C70" s="37">
        <v>10.3726</v>
      </c>
      <c r="D70" s="37">
        <v>10.323</v>
      </c>
    </row>
    <row r="71" spans="1:4" x14ac:dyDescent="0.2">
      <c r="A71" s="9" t="s">
        <v>1092</v>
      </c>
      <c r="C71" s="37">
        <v>36.669699999999999</v>
      </c>
      <c r="D71" s="37">
        <v>37.912999999999997</v>
      </c>
    </row>
    <row r="72" spans="1:4" x14ac:dyDescent="0.2">
      <c r="A72" s="9" t="s">
        <v>1194</v>
      </c>
      <c r="C72" s="37">
        <v>10.0688</v>
      </c>
      <c r="D72" s="37">
        <v>10.072699999999999</v>
      </c>
    </row>
    <row r="73" spans="1:4" x14ac:dyDescent="0.2">
      <c r="A73" s="9" t="s">
        <v>1094</v>
      </c>
      <c r="C73" s="37">
        <v>10.538399999999999</v>
      </c>
      <c r="D73" s="37">
        <v>10.498799999999999</v>
      </c>
    </row>
    <row r="74" spans="1:4" x14ac:dyDescent="0.2">
      <c r="A74" s="9" t="s">
        <v>1095</v>
      </c>
      <c r="C74" s="37">
        <v>11.2324</v>
      </c>
      <c r="D74" s="37">
        <v>11.1661</v>
      </c>
    </row>
    <row r="76" spans="1:4" ht="10.5" x14ac:dyDescent="0.25">
      <c r="A76" s="15" t="s">
        <v>1882</v>
      </c>
    </row>
    <row r="77" spans="1:4" ht="10.5" x14ac:dyDescent="0.25">
      <c r="A77" s="90" t="s">
        <v>33</v>
      </c>
      <c r="B77" s="91"/>
      <c r="C77" s="92" t="s">
        <v>1883</v>
      </c>
      <c r="D77" s="93"/>
    </row>
    <row r="78" spans="1:4" ht="10.5" x14ac:dyDescent="0.25">
      <c r="A78" s="90"/>
      <c r="B78" s="91"/>
      <c r="C78" s="38" t="s">
        <v>34</v>
      </c>
      <c r="D78" s="39" t="s">
        <v>35</v>
      </c>
    </row>
    <row r="79" spans="1:4" x14ac:dyDescent="0.2">
      <c r="A79" s="96" t="s">
        <v>874</v>
      </c>
      <c r="B79" s="97"/>
      <c r="C79" s="40">
        <v>0.2349640154</v>
      </c>
      <c r="D79" s="40">
        <v>0.21757785020000001</v>
      </c>
    </row>
    <row r="80" spans="1:4" x14ac:dyDescent="0.2">
      <c r="A80" s="96" t="s">
        <v>1090</v>
      </c>
      <c r="B80" s="97"/>
      <c r="C80" s="40">
        <v>0.280925853</v>
      </c>
      <c r="D80" s="40">
        <v>0.2601387402</v>
      </c>
    </row>
    <row r="81" spans="1:5" x14ac:dyDescent="0.2">
      <c r="A81" s="96" t="s">
        <v>1091</v>
      </c>
      <c r="B81" s="97"/>
      <c r="C81" s="40">
        <v>0.31694198800000001</v>
      </c>
      <c r="D81" s="40">
        <v>0.29348986040000002</v>
      </c>
    </row>
    <row r="82" spans="1:5" x14ac:dyDescent="0.2">
      <c r="A82" s="94" t="s">
        <v>1808</v>
      </c>
      <c r="B82" s="95"/>
      <c r="C82" s="40">
        <v>0.25938820429999998</v>
      </c>
      <c r="D82" s="40">
        <v>0.24019476989999999</v>
      </c>
    </row>
    <row r="83" spans="1:5" x14ac:dyDescent="0.2">
      <c r="A83" s="96" t="s">
        <v>1194</v>
      </c>
      <c r="B83" s="97"/>
      <c r="C83" s="40">
        <v>0.23900013179999999</v>
      </c>
      <c r="D83" s="40">
        <v>0.22131531360000001</v>
      </c>
    </row>
    <row r="84" spans="1:5" x14ac:dyDescent="0.2">
      <c r="A84" s="96" t="s">
        <v>1094</v>
      </c>
      <c r="B84" s="97"/>
      <c r="C84" s="40">
        <v>0.280925853</v>
      </c>
      <c r="D84" s="40">
        <v>0.2601387402</v>
      </c>
    </row>
    <row r="85" spans="1:5" x14ac:dyDescent="0.2">
      <c r="A85" s="96" t="s">
        <v>1095</v>
      </c>
      <c r="B85" s="97"/>
      <c r="C85" s="40">
        <v>0.31694198800000001</v>
      </c>
      <c r="D85" s="40">
        <v>0.29348986040000002</v>
      </c>
    </row>
    <row r="87" spans="1:5" ht="10.5" x14ac:dyDescent="0.25">
      <c r="A87" s="15" t="s">
        <v>882</v>
      </c>
      <c r="D87" s="11">
        <v>0.71457818576502696</v>
      </c>
      <c r="E87" s="11" t="s">
        <v>883</v>
      </c>
    </row>
    <row r="89" spans="1:5" ht="10.5" x14ac:dyDescent="0.25">
      <c r="A89" s="15" t="s">
        <v>884</v>
      </c>
      <c r="D89" s="41" t="s">
        <v>36</v>
      </c>
    </row>
    <row r="90" spans="1:5" ht="10.5" x14ac:dyDescent="0.25">
      <c r="A90" s="15"/>
      <c r="D90" s="41"/>
    </row>
    <row r="91" spans="1:5" ht="10.5" x14ac:dyDescent="0.25">
      <c r="A91" s="15" t="s">
        <v>1822</v>
      </c>
      <c r="D91" s="41"/>
    </row>
  </sheetData>
  <mergeCells count="11">
    <mergeCell ref="A85:B85"/>
    <mergeCell ref="A1:F1"/>
    <mergeCell ref="A77:B77"/>
    <mergeCell ref="C77:D77"/>
    <mergeCell ref="A78:B78"/>
    <mergeCell ref="A79:B79"/>
    <mergeCell ref="A80:B80"/>
    <mergeCell ref="A81:B81"/>
    <mergeCell ref="A82:B82"/>
    <mergeCell ref="A83:B83"/>
    <mergeCell ref="A84:B84"/>
  </mergeCells>
  <conditionalFormatting sqref="F2 F4:F65536">
    <cfRule type="cellIs" dxfId="12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62" style="9" bestFit="1" customWidth="1"/>
    <col min="3" max="3" width="15.453125" style="9" bestFit="1" customWidth="1"/>
    <col min="4" max="4" width="15.453125" style="10" bestFit="1" customWidth="1"/>
    <col min="5" max="5" width="13" style="11" customWidth="1"/>
    <col min="6" max="6" width="13.26953125" style="14" bestFit="1" customWidth="1"/>
    <col min="7" max="7" width="5.7265625" style="9" bestFit="1" customWidth="1"/>
    <col min="8" max="16384" width="9.1796875" style="9"/>
  </cols>
  <sheetData>
    <row r="1" spans="1:6" s="1" customFormat="1" ht="14" x14ac:dyDescent="0.25">
      <c r="A1" s="88" t="s">
        <v>1858</v>
      </c>
      <c r="B1" s="89"/>
      <c r="C1" s="89"/>
      <c r="D1" s="89"/>
      <c r="E1" s="89"/>
      <c r="F1" s="89"/>
    </row>
    <row r="2" spans="1:6" s="1" customFormat="1" ht="11.5" x14ac:dyDescent="0.25">
      <c r="A2" s="48" t="s">
        <v>660</v>
      </c>
      <c r="D2" s="6"/>
      <c r="E2" s="7"/>
      <c r="F2" s="14"/>
    </row>
    <row r="3" spans="1:6" s="1" customFormat="1" ht="11.5" x14ac:dyDescent="0.25">
      <c r="A3" s="12" t="s">
        <v>4</v>
      </c>
      <c r="B3" s="2"/>
      <c r="C3" s="3"/>
      <c r="D3" s="4"/>
      <c r="E3" s="5"/>
      <c r="F3" s="14"/>
    </row>
    <row r="4" spans="1:6" s="1" customFormat="1" ht="24" customHeight="1" x14ac:dyDescent="0.25">
      <c r="A4" s="8" t="s">
        <v>2</v>
      </c>
      <c r="B4" s="8" t="s">
        <v>0</v>
      </c>
      <c r="C4" s="8" t="s">
        <v>661</v>
      </c>
      <c r="D4" s="71" t="s">
        <v>1</v>
      </c>
      <c r="E4" s="64" t="s">
        <v>1820</v>
      </c>
      <c r="F4" s="63" t="s">
        <v>3</v>
      </c>
    </row>
    <row r="5" spans="1:6" ht="10.5" x14ac:dyDescent="0.25">
      <c r="A5" s="18" t="s">
        <v>662</v>
      </c>
      <c r="B5" s="19"/>
      <c r="C5" s="19"/>
      <c r="D5" s="20"/>
      <c r="E5" s="21"/>
      <c r="F5" s="22"/>
    </row>
    <row r="6" spans="1:6" ht="10.5" x14ac:dyDescent="0.25">
      <c r="A6" s="23" t="s">
        <v>23</v>
      </c>
      <c r="B6" s="24"/>
      <c r="C6" s="24"/>
      <c r="D6" s="25"/>
      <c r="E6" s="26"/>
      <c r="F6" s="27"/>
    </row>
    <row r="7" spans="1:6" x14ac:dyDescent="0.2">
      <c r="A7" s="24" t="s">
        <v>682</v>
      </c>
      <c r="B7" s="24" t="s">
        <v>683</v>
      </c>
      <c r="C7" s="24" t="s">
        <v>684</v>
      </c>
      <c r="D7" s="28">
        <v>2170</v>
      </c>
      <c r="E7" s="26">
        <v>21700</v>
      </c>
      <c r="F7" s="27">
        <v>7.9275800512454602</v>
      </c>
    </row>
    <row r="8" spans="1:6" x14ac:dyDescent="0.2">
      <c r="A8" s="24" t="s">
        <v>915</v>
      </c>
      <c r="B8" s="24" t="s">
        <v>916</v>
      </c>
      <c r="C8" s="24" t="s">
        <v>917</v>
      </c>
      <c r="D8" s="28">
        <v>2000</v>
      </c>
      <c r="E8" s="26">
        <v>19840.259999999998</v>
      </c>
      <c r="F8" s="27">
        <v>7.2481681745402504</v>
      </c>
    </row>
    <row r="9" spans="1:6" x14ac:dyDescent="0.2">
      <c r="A9" s="24" t="s">
        <v>900</v>
      </c>
      <c r="B9" s="24" t="s">
        <v>901</v>
      </c>
      <c r="C9" s="24" t="s">
        <v>902</v>
      </c>
      <c r="D9" s="28">
        <v>1450</v>
      </c>
      <c r="E9" s="26">
        <v>14591.466</v>
      </c>
      <c r="F9" s="27">
        <v>5.33064584239753</v>
      </c>
    </row>
    <row r="10" spans="1:6" x14ac:dyDescent="0.2">
      <c r="A10" s="24" t="s">
        <v>1195</v>
      </c>
      <c r="B10" s="24" t="s">
        <v>1196</v>
      </c>
      <c r="C10" s="24" t="s">
        <v>677</v>
      </c>
      <c r="D10" s="28">
        <v>1500</v>
      </c>
      <c r="E10" s="26">
        <v>14559.69</v>
      </c>
      <c r="F10" s="27">
        <v>5.3190372348533703</v>
      </c>
    </row>
    <row r="11" spans="1:6" x14ac:dyDescent="0.2">
      <c r="A11" s="24" t="s">
        <v>967</v>
      </c>
      <c r="B11" s="24" t="s">
        <v>968</v>
      </c>
      <c r="C11" s="24" t="s">
        <v>677</v>
      </c>
      <c r="D11" s="28">
        <v>1300</v>
      </c>
      <c r="E11" s="26">
        <v>12600.315000000001</v>
      </c>
      <c r="F11" s="27">
        <v>4.6032260752722998</v>
      </c>
    </row>
    <row r="12" spans="1:6" x14ac:dyDescent="0.2">
      <c r="A12" s="24" t="s">
        <v>690</v>
      </c>
      <c r="B12" s="24" t="s">
        <v>691</v>
      </c>
      <c r="C12" s="24" t="s">
        <v>692</v>
      </c>
      <c r="D12" s="28">
        <v>1102</v>
      </c>
      <c r="E12" s="26">
        <v>11001.805979999999</v>
      </c>
      <c r="F12" s="27">
        <v>4.0192487380055804</v>
      </c>
    </row>
    <row r="13" spans="1:6" x14ac:dyDescent="0.2">
      <c r="A13" s="24" t="s">
        <v>748</v>
      </c>
      <c r="B13" s="24" t="s">
        <v>749</v>
      </c>
      <c r="C13" s="24" t="s">
        <v>720</v>
      </c>
      <c r="D13" s="28">
        <v>1000</v>
      </c>
      <c r="E13" s="26">
        <v>9980.35</v>
      </c>
      <c r="F13" s="27">
        <v>3.6460840352280002</v>
      </c>
    </row>
    <row r="14" spans="1:6" x14ac:dyDescent="0.2">
      <c r="A14" s="24" t="s">
        <v>676</v>
      </c>
      <c r="B14" s="24" t="s">
        <v>1869</v>
      </c>
      <c r="C14" s="24" t="s">
        <v>677</v>
      </c>
      <c r="D14" s="28">
        <v>2000</v>
      </c>
      <c r="E14" s="26">
        <v>9943.32</v>
      </c>
      <c r="F14" s="27">
        <v>3.6325560034631401</v>
      </c>
    </row>
    <row r="15" spans="1:6" x14ac:dyDescent="0.2">
      <c r="A15" s="24" t="s">
        <v>707</v>
      </c>
      <c r="B15" s="24" t="s">
        <v>708</v>
      </c>
      <c r="C15" s="24" t="s">
        <v>679</v>
      </c>
      <c r="D15" s="28">
        <v>915</v>
      </c>
      <c r="E15" s="26">
        <v>9162.9472499999993</v>
      </c>
      <c r="F15" s="27">
        <v>3.3474653377748602</v>
      </c>
    </row>
    <row r="16" spans="1:6" x14ac:dyDescent="0.2">
      <c r="A16" s="24" t="s">
        <v>769</v>
      </c>
      <c r="B16" s="24" t="s">
        <v>770</v>
      </c>
      <c r="C16" s="24" t="s">
        <v>679</v>
      </c>
      <c r="D16" s="28">
        <v>780</v>
      </c>
      <c r="E16" s="26">
        <v>8320.0182000000004</v>
      </c>
      <c r="F16" s="27">
        <v>3.03952121236494</v>
      </c>
    </row>
    <row r="17" spans="1:6" x14ac:dyDescent="0.2">
      <c r="A17" s="24" t="s">
        <v>746</v>
      </c>
      <c r="B17" s="24" t="s">
        <v>747</v>
      </c>
      <c r="C17" s="24" t="s">
        <v>673</v>
      </c>
      <c r="D17" s="28">
        <v>684</v>
      </c>
      <c r="E17" s="26">
        <v>6845.7250800000002</v>
      </c>
      <c r="F17" s="27">
        <v>2.50092320647552</v>
      </c>
    </row>
    <row r="18" spans="1:6" x14ac:dyDescent="0.2">
      <c r="A18" s="24" t="s">
        <v>666</v>
      </c>
      <c r="B18" s="24" t="s">
        <v>667</v>
      </c>
      <c r="C18" s="24" t="s">
        <v>668</v>
      </c>
      <c r="D18" s="28">
        <v>500</v>
      </c>
      <c r="E18" s="26">
        <v>5001.8850000000002</v>
      </c>
      <c r="F18" s="27">
        <v>1.8273199882315201</v>
      </c>
    </row>
    <row r="19" spans="1:6" x14ac:dyDescent="0.2">
      <c r="A19" s="24" t="s">
        <v>1197</v>
      </c>
      <c r="B19" s="24" t="s">
        <v>1198</v>
      </c>
      <c r="C19" s="24" t="s">
        <v>766</v>
      </c>
      <c r="D19" s="28">
        <v>500</v>
      </c>
      <c r="E19" s="26">
        <v>4844.42</v>
      </c>
      <c r="F19" s="27">
        <v>1.7697938871822401</v>
      </c>
    </row>
    <row r="20" spans="1:6" x14ac:dyDescent="0.2">
      <c r="A20" s="24" t="s">
        <v>663</v>
      </c>
      <c r="B20" s="24" t="s">
        <v>664</v>
      </c>
      <c r="C20" s="24" t="s">
        <v>665</v>
      </c>
      <c r="D20" s="28">
        <v>450</v>
      </c>
      <c r="E20" s="26">
        <v>4516.8209999999999</v>
      </c>
      <c r="F20" s="27">
        <v>1.6501133665735801</v>
      </c>
    </row>
    <row r="21" spans="1:6" x14ac:dyDescent="0.2">
      <c r="A21" s="24" t="s">
        <v>709</v>
      </c>
      <c r="B21" s="24" t="s">
        <v>710</v>
      </c>
      <c r="C21" s="24" t="s">
        <v>711</v>
      </c>
      <c r="D21" s="28">
        <v>430</v>
      </c>
      <c r="E21" s="26">
        <v>4314.4135999999999</v>
      </c>
      <c r="F21" s="27">
        <v>1.5761686261835099</v>
      </c>
    </row>
    <row r="22" spans="1:6" x14ac:dyDescent="0.2">
      <c r="A22" s="24" t="s">
        <v>680</v>
      </c>
      <c r="B22" s="24" t="s">
        <v>681</v>
      </c>
      <c r="C22" s="24" t="s">
        <v>668</v>
      </c>
      <c r="D22" s="28">
        <v>350</v>
      </c>
      <c r="E22" s="26">
        <v>3506.72</v>
      </c>
      <c r="F22" s="27">
        <v>1.2810969362812701</v>
      </c>
    </row>
    <row r="23" spans="1:6" x14ac:dyDescent="0.2">
      <c r="A23" s="24" t="s">
        <v>1199</v>
      </c>
      <c r="B23" s="24" t="s">
        <v>1200</v>
      </c>
      <c r="C23" s="24" t="s">
        <v>665</v>
      </c>
      <c r="D23" s="28">
        <v>324</v>
      </c>
      <c r="E23" s="26">
        <v>3278.50416</v>
      </c>
      <c r="F23" s="27">
        <v>1.1977236947807</v>
      </c>
    </row>
    <row r="24" spans="1:6" x14ac:dyDescent="0.2">
      <c r="A24" s="24" t="s">
        <v>955</v>
      </c>
      <c r="B24" s="24" t="s">
        <v>956</v>
      </c>
      <c r="C24" s="24" t="s">
        <v>692</v>
      </c>
      <c r="D24" s="28">
        <v>300</v>
      </c>
      <c r="E24" s="26">
        <v>2963.2649999999999</v>
      </c>
      <c r="F24" s="27">
        <v>1.0825585484126199</v>
      </c>
    </row>
    <row r="25" spans="1:6" x14ac:dyDescent="0.2">
      <c r="A25" s="24" t="s">
        <v>1201</v>
      </c>
      <c r="B25" s="24" t="s">
        <v>1202</v>
      </c>
      <c r="C25" s="24" t="s">
        <v>711</v>
      </c>
      <c r="D25" s="28">
        <v>300</v>
      </c>
      <c r="E25" s="26">
        <v>2948.625</v>
      </c>
      <c r="F25" s="27">
        <v>1.07721017182505</v>
      </c>
    </row>
    <row r="26" spans="1:6" x14ac:dyDescent="0.2">
      <c r="A26" s="24" t="s">
        <v>1203</v>
      </c>
      <c r="B26" s="24" t="s">
        <v>1204</v>
      </c>
      <c r="C26" s="24" t="s">
        <v>766</v>
      </c>
      <c r="D26" s="28">
        <v>250</v>
      </c>
      <c r="E26" s="26">
        <v>2898.1424999999999</v>
      </c>
      <c r="F26" s="27">
        <v>1.05876758841782</v>
      </c>
    </row>
    <row r="27" spans="1:6" x14ac:dyDescent="0.2">
      <c r="A27" s="24" t="s">
        <v>1205</v>
      </c>
      <c r="B27" s="24" t="s">
        <v>1206</v>
      </c>
      <c r="C27" s="24" t="s">
        <v>1207</v>
      </c>
      <c r="D27" s="28">
        <v>232</v>
      </c>
      <c r="E27" s="26">
        <v>2785.0347200000001</v>
      </c>
      <c r="F27" s="27">
        <v>1.0174463450828599</v>
      </c>
    </row>
    <row r="28" spans="1:6" x14ac:dyDescent="0.2">
      <c r="A28" s="24" t="s">
        <v>969</v>
      </c>
      <c r="B28" s="24" t="s">
        <v>970</v>
      </c>
      <c r="C28" s="24" t="s">
        <v>827</v>
      </c>
      <c r="D28" s="28">
        <v>250</v>
      </c>
      <c r="E28" s="26">
        <v>2494.1224999999999</v>
      </c>
      <c r="F28" s="27">
        <v>0.91116846895679604</v>
      </c>
    </row>
    <row r="29" spans="1:6" x14ac:dyDescent="0.2">
      <c r="A29" s="24" t="s">
        <v>784</v>
      </c>
      <c r="B29" s="24" t="s">
        <v>785</v>
      </c>
      <c r="C29" s="24" t="s">
        <v>677</v>
      </c>
      <c r="D29" s="28">
        <v>250</v>
      </c>
      <c r="E29" s="26">
        <v>2491.4250000000002</v>
      </c>
      <c r="F29" s="27">
        <v>0.91018300134443497</v>
      </c>
    </row>
    <row r="30" spans="1:6" x14ac:dyDescent="0.2">
      <c r="A30" s="24" t="s">
        <v>1208</v>
      </c>
      <c r="B30" s="24" t="s">
        <v>1209</v>
      </c>
      <c r="C30" s="24" t="s">
        <v>766</v>
      </c>
      <c r="D30" s="28">
        <v>250</v>
      </c>
      <c r="E30" s="26">
        <v>2486.0749999999998</v>
      </c>
      <c r="F30" s="27">
        <v>0.908228505801846</v>
      </c>
    </row>
    <row r="31" spans="1:6" x14ac:dyDescent="0.2">
      <c r="A31" s="24" t="s">
        <v>903</v>
      </c>
      <c r="B31" s="24" t="s">
        <v>904</v>
      </c>
      <c r="C31" s="24" t="s">
        <v>766</v>
      </c>
      <c r="D31" s="28">
        <v>250</v>
      </c>
      <c r="E31" s="26">
        <v>2405.0875000000001</v>
      </c>
      <c r="F31" s="27">
        <v>0.87864164453916205</v>
      </c>
    </row>
    <row r="32" spans="1:6" x14ac:dyDescent="0.2">
      <c r="A32" s="24" t="s">
        <v>925</v>
      </c>
      <c r="B32" s="24" t="s">
        <v>926</v>
      </c>
      <c r="C32" s="24" t="s">
        <v>677</v>
      </c>
      <c r="D32" s="28">
        <v>240</v>
      </c>
      <c r="E32" s="26">
        <v>2388.768</v>
      </c>
      <c r="F32" s="27">
        <v>0.87267970248172899</v>
      </c>
    </row>
    <row r="33" spans="1:9" x14ac:dyDescent="0.2">
      <c r="A33" s="24" t="s">
        <v>738</v>
      </c>
      <c r="B33" s="24" t="s">
        <v>739</v>
      </c>
      <c r="C33" s="24" t="s">
        <v>700</v>
      </c>
      <c r="D33" s="28">
        <v>400</v>
      </c>
      <c r="E33" s="26">
        <v>1983.02</v>
      </c>
      <c r="F33" s="27">
        <v>0.72444929922676404</v>
      </c>
    </row>
    <row r="34" spans="1:9" x14ac:dyDescent="0.2">
      <c r="A34" s="24" t="s">
        <v>807</v>
      </c>
      <c r="B34" s="24" t="s">
        <v>808</v>
      </c>
      <c r="C34" s="24" t="s">
        <v>677</v>
      </c>
      <c r="D34" s="28">
        <v>200</v>
      </c>
      <c r="E34" s="26">
        <v>1965.2760000000001</v>
      </c>
      <c r="F34" s="27">
        <v>0.71796694989822496</v>
      </c>
    </row>
    <row r="35" spans="1:9" x14ac:dyDescent="0.2">
      <c r="A35" s="24" t="s">
        <v>727</v>
      </c>
      <c r="B35" s="24" t="s">
        <v>728</v>
      </c>
      <c r="C35" s="24" t="s">
        <v>692</v>
      </c>
      <c r="D35" s="28">
        <v>176</v>
      </c>
      <c r="E35" s="26">
        <v>1739.5734399999999</v>
      </c>
      <c r="F35" s="27">
        <v>0.63551187560462896</v>
      </c>
    </row>
    <row r="36" spans="1:9" x14ac:dyDescent="0.2">
      <c r="A36" s="24" t="s">
        <v>963</v>
      </c>
      <c r="B36" s="24" t="s">
        <v>964</v>
      </c>
      <c r="C36" s="24" t="s">
        <v>711</v>
      </c>
      <c r="D36" s="28">
        <v>150</v>
      </c>
      <c r="E36" s="26">
        <v>1456.3665000000001</v>
      </c>
      <c r="F36" s="27">
        <v>0.53204894067751995</v>
      </c>
    </row>
    <row r="37" spans="1:9" x14ac:dyDescent="0.2">
      <c r="A37" s="24" t="s">
        <v>705</v>
      </c>
      <c r="B37" s="24" t="s">
        <v>706</v>
      </c>
      <c r="C37" s="24" t="s">
        <v>692</v>
      </c>
      <c r="D37" s="28">
        <v>174</v>
      </c>
      <c r="E37" s="26">
        <v>1302.5139750000001</v>
      </c>
      <c r="F37" s="27">
        <v>0.47584257164416699</v>
      </c>
    </row>
    <row r="38" spans="1:9" x14ac:dyDescent="0.2">
      <c r="A38" s="24" t="s">
        <v>1210</v>
      </c>
      <c r="B38" s="24" t="s">
        <v>1211</v>
      </c>
      <c r="C38" s="24" t="s">
        <v>689</v>
      </c>
      <c r="D38" s="28">
        <v>150</v>
      </c>
      <c r="E38" s="26">
        <v>1151.7911999999999</v>
      </c>
      <c r="F38" s="27">
        <v>0.420779582503229</v>
      </c>
    </row>
    <row r="39" spans="1:9" x14ac:dyDescent="0.2">
      <c r="A39" s="24" t="s">
        <v>1212</v>
      </c>
      <c r="B39" s="24" t="s">
        <v>1213</v>
      </c>
      <c r="C39" s="24" t="s">
        <v>766</v>
      </c>
      <c r="D39" s="28">
        <v>115</v>
      </c>
      <c r="E39" s="26">
        <v>969.40515000000005</v>
      </c>
      <c r="F39" s="27">
        <v>0.35414916722187201</v>
      </c>
    </row>
    <row r="40" spans="1:9" x14ac:dyDescent="0.2">
      <c r="A40" s="24" t="s">
        <v>1214</v>
      </c>
      <c r="B40" s="24" t="s">
        <v>1215</v>
      </c>
      <c r="C40" s="24" t="s">
        <v>815</v>
      </c>
      <c r="D40" s="28">
        <v>73</v>
      </c>
      <c r="E40" s="26">
        <v>735.05744000000004</v>
      </c>
      <c r="F40" s="27">
        <v>0.26853579252827497</v>
      </c>
    </row>
    <row r="41" spans="1:9" x14ac:dyDescent="0.2">
      <c r="A41" s="24" t="s">
        <v>921</v>
      </c>
      <c r="B41" s="24" t="s">
        <v>922</v>
      </c>
      <c r="C41" s="24" t="s">
        <v>692</v>
      </c>
      <c r="D41" s="28">
        <v>62</v>
      </c>
      <c r="E41" s="26">
        <v>600.90895999999998</v>
      </c>
      <c r="F41" s="27">
        <v>0.21952782875164301</v>
      </c>
    </row>
    <row r="42" spans="1:9" x14ac:dyDescent="0.2">
      <c r="A42" s="24" t="s">
        <v>923</v>
      </c>
      <c r="B42" s="24" t="s">
        <v>924</v>
      </c>
      <c r="C42" s="24" t="s">
        <v>692</v>
      </c>
      <c r="D42" s="28">
        <v>62</v>
      </c>
      <c r="E42" s="26">
        <v>595.99112000000002</v>
      </c>
      <c r="F42" s="27">
        <v>0.21773121260974401</v>
      </c>
    </row>
    <row r="43" spans="1:9" x14ac:dyDescent="0.2">
      <c r="A43" s="24" t="s">
        <v>809</v>
      </c>
      <c r="B43" s="24" t="s">
        <v>810</v>
      </c>
      <c r="C43" s="24" t="s">
        <v>692</v>
      </c>
      <c r="D43" s="28">
        <v>55</v>
      </c>
      <c r="E43" s="26">
        <v>538.99670000000003</v>
      </c>
      <c r="F43" s="27">
        <v>0.196909653760697</v>
      </c>
    </row>
    <row r="44" spans="1:9" ht="10.5" x14ac:dyDescent="0.25">
      <c r="A44" s="23" t="s">
        <v>24</v>
      </c>
      <c r="B44" s="23"/>
      <c r="C44" s="23"/>
      <c r="D44" s="29"/>
      <c r="E44" s="30">
        <f>SUM(E6:E43)</f>
        <v>200908.10697500006</v>
      </c>
      <c r="F44" s="31">
        <f>SUM(F6:F43)</f>
        <v>73.397009262142888</v>
      </c>
      <c r="G44" s="15"/>
      <c r="H44" s="15"/>
      <c r="I44" s="15"/>
    </row>
    <row r="45" spans="1:9" x14ac:dyDescent="0.2">
      <c r="A45" s="24"/>
      <c r="B45" s="24"/>
      <c r="C45" s="24"/>
      <c r="D45" s="25"/>
      <c r="E45" s="26"/>
      <c r="F45" s="27"/>
    </row>
    <row r="46" spans="1:9" ht="10.5" x14ac:dyDescent="0.25">
      <c r="A46" s="23" t="s">
        <v>818</v>
      </c>
      <c r="B46" s="24"/>
      <c r="C46" s="24"/>
      <c r="D46" s="25"/>
      <c r="E46" s="26"/>
      <c r="F46" s="27"/>
    </row>
    <row r="47" spans="1:9" x14ac:dyDescent="0.2">
      <c r="A47" s="24" t="s">
        <v>1216</v>
      </c>
      <c r="B47" s="24" t="s">
        <v>1217</v>
      </c>
      <c r="C47" s="24" t="s">
        <v>1017</v>
      </c>
      <c r="D47" s="28">
        <v>30000</v>
      </c>
      <c r="E47" s="26">
        <v>30140.37</v>
      </c>
      <c r="F47" s="27">
        <v>11.011068937749201</v>
      </c>
    </row>
    <row r="48" spans="1:9" x14ac:dyDescent="0.2">
      <c r="A48" s="24" t="s">
        <v>838</v>
      </c>
      <c r="B48" s="24" t="s">
        <v>839</v>
      </c>
      <c r="C48" s="24" t="s">
        <v>827</v>
      </c>
      <c r="D48" s="28">
        <v>1750</v>
      </c>
      <c r="E48" s="26">
        <v>17339.490000000002</v>
      </c>
      <c r="F48" s="27">
        <v>6.3345711992059996</v>
      </c>
    </row>
    <row r="49" spans="1:9" x14ac:dyDescent="0.2">
      <c r="A49" s="24" t="s">
        <v>1072</v>
      </c>
      <c r="B49" s="24" t="s">
        <v>1073</v>
      </c>
      <c r="C49" s="24" t="s">
        <v>1074</v>
      </c>
      <c r="D49" s="28">
        <v>1498</v>
      </c>
      <c r="E49" s="26">
        <v>15314.248740000001</v>
      </c>
      <c r="F49" s="27">
        <v>5.5946973645638201</v>
      </c>
    </row>
    <row r="50" spans="1:9" x14ac:dyDescent="0.2">
      <c r="A50" s="24" t="s">
        <v>823</v>
      </c>
      <c r="B50" s="24" t="s">
        <v>824</v>
      </c>
      <c r="C50" s="24" t="s">
        <v>673</v>
      </c>
      <c r="D50" s="28">
        <v>650</v>
      </c>
      <c r="E50" s="26">
        <v>6508.1769999999997</v>
      </c>
      <c r="F50" s="27">
        <v>2.3776080255840801</v>
      </c>
    </row>
    <row r="51" spans="1:9" x14ac:dyDescent="0.2">
      <c r="A51" s="24" t="s">
        <v>1029</v>
      </c>
      <c r="B51" s="24" t="s">
        <v>1030</v>
      </c>
      <c r="C51" s="24" t="s">
        <v>1031</v>
      </c>
      <c r="D51" s="28">
        <v>12</v>
      </c>
      <c r="E51" s="26">
        <v>6015.4560000000001</v>
      </c>
      <c r="F51" s="27">
        <v>2.1976041006794902</v>
      </c>
    </row>
    <row r="52" spans="1:9" x14ac:dyDescent="0.2">
      <c r="A52" s="24" t="s">
        <v>1013</v>
      </c>
      <c r="B52" s="24" t="s">
        <v>1014</v>
      </c>
      <c r="C52" s="24" t="s">
        <v>737</v>
      </c>
      <c r="D52" s="28">
        <v>600</v>
      </c>
      <c r="E52" s="26">
        <v>5923.3919999999998</v>
      </c>
      <c r="F52" s="27">
        <v>2.1639707029910999</v>
      </c>
    </row>
    <row r="53" spans="1:9" x14ac:dyDescent="0.2">
      <c r="A53" s="24" t="s">
        <v>832</v>
      </c>
      <c r="B53" s="24" t="s">
        <v>833</v>
      </c>
      <c r="C53" s="24" t="s">
        <v>827</v>
      </c>
      <c r="D53" s="28">
        <v>5150</v>
      </c>
      <c r="E53" s="26">
        <v>4957.4867430000004</v>
      </c>
      <c r="F53" s="27">
        <v>1.8111001386230701</v>
      </c>
    </row>
    <row r="54" spans="1:9" x14ac:dyDescent="0.2">
      <c r="A54" s="24" t="s">
        <v>836</v>
      </c>
      <c r="B54" s="24" t="s">
        <v>837</v>
      </c>
      <c r="C54" s="24" t="s">
        <v>827</v>
      </c>
      <c r="D54" s="28">
        <v>310</v>
      </c>
      <c r="E54" s="26">
        <v>4422.2646999999997</v>
      </c>
      <c r="F54" s="27">
        <v>1.61556946622336</v>
      </c>
    </row>
    <row r="55" spans="1:9" x14ac:dyDescent="0.2">
      <c r="A55" s="24" t="s">
        <v>819</v>
      </c>
      <c r="B55" s="24" t="s">
        <v>820</v>
      </c>
      <c r="C55" s="24" t="s">
        <v>673</v>
      </c>
      <c r="D55" s="28">
        <v>350</v>
      </c>
      <c r="E55" s="26">
        <v>3501.8409999999999</v>
      </c>
      <c r="F55" s="27">
        <v>1.27931450941168</v>
      </c>
    </row>
    <row r="56" spans="1:9" x14ac:dyDescent="0.2">
      <c r="A56" s="24" t="s">
        <v>1078</v>
      </c>
      <c r="B56" s="24" t="s">
        <v>1079</v>
      </c>
      <c r="C56" s="24" t="s">
        <v>1062</v>
      </c>
      <c r="D56" s="28">
        <v>110</v>
      </c>
      <c r="E56" s="26">
        <v>2880.009</v>
      </c>
      <c r="F56" s="27">
        <v>1.0521429445072501</v>
      </c>
    </row>
    <row r="57" spans="1:9" x14ac:dyDescent="0.2">
      <c r="A57" s="24" t="s">
        <v>1020</v>
      </c>
      <c r="B57" s="24" t="s">
        <v>1021</v>
      </c>
      <c r="C57" s="24" t="s">
        <v>1017</v>
      </c>
      <c r="D57" s="28">
        <v>180</v>
      </c>
      <c r="E57" s="26">
        <v>1583.683037</v>
      </c>
      <c r="F57" s="27">
        <v>0.57856101620355005</v>
      </c>
    </row>
    <row r="58" spans="1:9" x14ac:dyDescent="0.2">
      <c r="A58" s="24" t="s">
        <v>1060</v>
      </c>
      <c r="B58" s="24" t="s">
        <v>1061</v>
      </c>
      <c r="C58" s="24" t="s">
        <v>1062</v>
      </c>
      <c r="D58" s="28">
        <v>57</v>
      </c>
      <c r="E58" s="26">
        <v>1507.7355</v>
      </c>
      <c r="F58" s="27">
        <v>0.55081538582279299</v>
      </c>
    </row>
    <row r="59" spans="1:9" x14ac:dyDescent="0.2">
      <c r="A59" s="24" t="s">
        <v>1065</v>
      </c>
      <c r="B59" s="24" t="s">
        <v>1066</v>
      </c>
      <c r="C59" s="24" t="s">
        <v>1017</v>
      </c>
      <c r="D59" s="28">
        <v>120</v>
      </c>
      <c r="E59" s="26">
        <v>1097.13732</v>
      </c>
      <c r="F59" s="27">
        <v>0.40081308440133201</v>
      </c>
    </row>
    <row r="60" spans="1:9" x14ac:dyDescent="0.2">
      <c r="A60" s="24" t="s">
        <v>1075</v>
      </c>
      <c r="B60" s="24" t="s">
        <v>1076</v>
      </c>
      <c r="C60" s="24" t="s">
        <v>1077</v>
      </c>
      <c r="D60" s="28">
        <v>1088</v>
      </c>
      <c r="E60" s="26">
        <v>544</v>
      </c>
      <c r="F60" s="27">
        <v>0.19873749068560101</v>
      </c>
    </row>
    <row r="61" spans="1:9" x14ac:dyDescent="0.2">
      <c r="A61" s="24" t="s">
        <v>1015</v>
      </c>
      <c r="B61" s="24" t="s">
        <v>1016</v>
      </c>
      <c r="C61" s="24" t="s">
        <v>1017</v>
      </c>
      <c r="D61" s="28">
        <v>40</v>
      </c>
      <c r="E61" s="26">
        <v>348.77243270000002</v>
      </c>
      <c r="F61" s="27">
        <v>0.127415731792483</v>
      </c>
    </row>
    <row r="62" spans="1:9" x14ac:dyDescent="0.2">
      <c r="A62" s="24" t="s">
        <v>1088</v>
      </c>
      <c r="B62" s="24" t="s">
        <v>1089</v>
      </c>
      <c r="C62" s="24" t="s">
        <v>1077</v>
      </c>
      <c r="D62" s="28">
        <v>327</v>
      </c>
      <c r="E62" s="26">
        <v>163.5</v>
      </c>
      <c r="F62" s="27">
        <v>5.9730845086573003E-2</v>
      </c>
    </row>
    <row r="63" spans="1:9" ht="10.5" x14ac:dyDescent="0.25">
      <c r="A63" s="23" t="s">
        <v>24</v>
      </c>
      <c r="B63" s="23"/>
      <c r="C63" s="23"/>
      <c r="D63" s="29"/>
      <c r="E63" s="30">
        <f>SUM(E46:E62)</f>
        <v>102247.56347270001</v>
      </c>
      <c r="F63" s="31">
        <f>SUM(F46:F62)</f>
        <v>37.353720943531393</v>
      </c>
      <c r="G63" s="15"/>
      <c r="H63" s="15"/>
      <c r="I63" s="15"/>
    </row>
    <row r="64" spans="1:9" x14ac:dyDescent="0.2">
      <c r="A64" s="24"/>
      <c r="B64" s="24"/>
      <c r="C64" s="24"/>
      <c r="D64" s="25"/>
      <c r="E64" s="26"/>
      <c r="F64" s="27"/>
    </row>
    <row r="65" spans="1:9" ht="10.5" x14ac:dyDescent="0.25">
      <c r="A65" s="23" t="s">
        <v>861</v>
      </c>
      <c r="B65" s="24"/>
      <c r="C65" s="24"/>
      <c r="D65" s="25"/>
      <c r="E65" s="26"/>
      <c r="F65" s="27"/>
    </row>
    <row r="66" spans="1:9" ht="10.5" x14ac:dyDescent="0.25">
      <c r="A66" s="23" t="s">
        <v>862</v>
      </c>
      <c r="B66" s="24"/>
      <c r="C66" s="24"/>
      <c r="D66" s="25"/>
      <c r="E66" s="26"/>
      <c r="F66" s="27"/>
    </row>
    <row r="67" spans="1:9" x14ac:dyDescent="0.2">
      <c r="A67" s="24" t="s">
        <v>866</v>
      </c>
      <c r="B67" s="24" t="s">
        <v>867</v>
      </c>
      <c r="C67" s="24" t="s">
        <v>868</v>
      </c>
      <c r="D67" s="28">
        <v>800</v>
      </c>
      <c r="E67" s="26">
        <v>3854.76</v>
      </c>
      <c r="F67" s="27">
        <v>1.40824509116769</v>
      </c>
    </row>
    <row r="68" spans="1:9" x14ac:dyDescent="0.2">
      <c r="A68" s="24" t="s">
        <v>1149</v>
      </c>
      <c r="B68" s="24" t="s">
        <v>1150</v>
      </c>
      <c r="C68" s="24" t="s">
        <v>868</v>
      </c>
      <c r="D68" s="28">
        <v>300</v>
      </c>
      <c r="E68" s="26">
        <v>1429.3515</v>
      </c>
      <c r="F68" s="27">
        <v>0.52217965150312395</v>
      </c>
    </row>
    <row r="69" spans="1:9" ht="10.5" x14ac:dyDescent="0.25">
      <c r="A69" s="23" t="s">
        <v>24</v>
      </c>
      <c r="B69" s="23"/>
      <c r="C69" s="23"/>
      <c r="D69" s="29"/>
      <c r="E69" s="30">
        <f>SUM(E66:E68)</f>
        <v>5284.1115</v>
      </c>
      <c r="F69" s="31">
        <f>SUM(F66:F68)</f>
        <v>1.9304247426708141</v>
      </c>
      <c r="G69" s="15"/>
      <c r="H69" s="15"/>
      <c r="I69" s="15"/>
    </row>
    <row r="70" spans="1:9" x14ac:dyDescent="0.2">
      <c r="A70" s="24"/>
      <c r="B70" s="24"/>
      <c r="C70" s="24"/>
      <c r="D70" s="25"/>
      <c r="E70" s="26"/>
      <c r="F70" s="27"/>
    </row>
    <row r="71" spans="1:9" ht="10.5" x14ac:dyDescent="0.25">
      <c r="A71" s="23" t="s">
        <v>25</v>
      </c>
      <c r="B71" s="23"/>
      <c r="C71" s="23"/>
      <c r="D71" s="29"/>
      <c r="E71" s="30">
        <f>E44+E63+E69</f>
        <v>308439.78194770007</v>
      </c>
      <c r="F71" s="31">
        <f>F44+F63+F69</f>
        <v>112.68115494834508</v>
      </c>
      <c r="G71" s="15"/>
      <c r="H71" s="15"/>
      <c r="I71" s="15"/>
    </row>
    <row r="72" spans="1:9" ht="10.5" x14ac:dyDescent="0.25">
      <c r="A72" s="23"/>
      <c r="B72" s="23"/>
      <c r="C72" s="23"/>
      <c r="D72" s="29"/>
      <c r="E72" s="30"/>
      <c r="F72" s="31"/>
      <c r="G72" s="15"/>
      <c r="H72" s="15"/>
      <c r="I72" s="15"/>
    </row>
    <row r="73" spans="1:9" ht="10.5" x14ac:dyDescent="0.25">
      <c r="A73" s="23" t="s">
        <v>27</v>
      </c>
      <c r="B73" s="23"/>
      <c r="C73" s="23"/>
      <c r="D73" s="29"/>
      <c r="E73" s="79">
        <f>E75-(E44+E63+E69)</f>
        <v>-34711.86170310009</v>
      </c>
      <c r="F73" s="80">
        <f>F75-(F44+F63+F69)</f>
        <v>-12.681154948345082</v>
      </c>
      <c r="G73" s="15"/>
      <c r="H73" s="15"/>
      <c r="I73" s="15"/>
    </row>
    <row r="74" spans="1:9" ht="10.5" x14ac:dyDescent="0.25">
      <c r="A74" s="23"/>
      <c r="B74" s="23"/>
      <c r="C74" s="23"/>
      <c r="D74" s="29"/>
      <c r="E74" s="30"/>
      <c r="F74" s="31"/>
      <c r="G74" s="15"/>
      <c r="H74" s="15"/>
      <c r="I74" s="15"/>
    </row>
    <row r="75" spans="1:9" ht="10.5" x14ac:dyDescent="0.25">
      <c r="A75" s="32" t="s">
        <v>26</v>
      </c>
      <c r="B75" s="32"/>
      <c r="C75" s="32"/>
      <c r="D75" s="33"/>
      <c r="E75" s="34">
        <v>273727.92024459998</v>
      </c>
      <c r="F75" s="35">
        <v>100</v>
      </c>
      <c r="G75" s="15"/>
      <c r="H75" s="15"/>
      <c r="I75" s="15"/>
    </row>
    <row r="76" spans="1:9" ht="10.5" x14ac:dyDescent="0.25">
      <c r="A76" s="15" t="s">
        <v>871</v>
      </c>
    </row>
    <row r="77" spans="1:9" ht="10.5" x14ac:dyDescent="0.25">
      <c r="A77" s="15" t="s">
        <v>872</v>
      </c>
    </row>
    <row r="78" spans="1:9" ht="10.5" x14ac:dyDescent="0.25">
      <c r="A78" s="15" t="s">
        <v>1795</v>
      </c>
    </row>
    <row r="79" spans="1:9" ht="10.5" x14ac:dyDescent="0.25">
      <c r="A79" s="15" t="s">
        <v>1798</v>
      </c>
    </row>
    <row r="80" spans="1:9" ht="10.5" x14ac:dyDescent="0.25">
      <c r="A80" s="15" t="s">
        <v>1818</v>
      </c>
    </row>
    <row r="81" spans="1:4" ht="10.5" x14ac:dyDescent="0.25">
      <c r="A81" s="15"/>
    </row>
    <row r="82" spans="1:4" ht="10.5" x14ac:dyDescent="0.25">
      <c r="A82" s="15" t="s">
        <v>28</v>
      </c>
    </row>
    <row r="83" spans="1:4" ht="10.5" x14ac:dyDescent="0.25">
      <c r="A83" s="15" t="s">
        <v>29</v>
      </c>
    </row>
    <row r="84" spans="1:4" ht="10.5" x14ac:dyDescent="0.25">
      <c r="A84" s="15" t="s">
        <v>30</v>
      </c>
      <c r="B84" s="15"/>
      <c r="C84" s="36" t="s">
        <v>32</v>
      </c>
      <c r="D84" s="16" t="s">
        <v>31</v>
      </c>
    </row>
    <row r="85" spans="1:4" x14ac:dyDescent="0.2">
      <c r="A85" s="9" t="s">
        <v>38</v>
      </c>
      <c r="C85" s="37">
        <v>22.4496</v>
      </c>
      <c r="D85" s="37">
        <v>20.619299999999999</v>
      </c>
    </row>
    <row r="86" spans="1:4" x14ac:dyDescent="0.2">
      <c r="A86" s="9" t="s">
        <v>1218</v>
      </c>
      <c r="C86" s="37">
        <v>10.5618</v>
      </c>
      <c r="D86" s="37">
        <v>9.5076000000000001</v>
      </c>
    </row>
    <row r="87" spans="1:4" x14ac:dyDescent="0.2">
      <c r="A87" s="9" t="s">
        <v>1219</v>
      </c>
      <c r="C87" s="37">
        <v>10.3178</v>
      </c>
      <c r="D87" s="37">
        <v>9.3376999999999999</v>
      </c>
    </row>
    <row r="88" spans="1:4" x14ac:dyDescent="0.2">
      <c r="A88" s="9" t="s">
        <v>39</v>
      </c>
      <c r="C88" s="37">
        <v>22.9361</v>
      </c>
      <c r="D88" s="37">
        <v>21.104399999999998</v>
      </c>
    </row>
    <row r="89" spans="1:4" x14ac:dyDescent="0.2">
      <c r="A89" s="9" t="s">
        <v>1220</v>
      </c>
      <c r="C89" s="37">
        <v>10.8696</v>
      </c>
      <c r="D89" s="37">
        <v>9.8081999999999994</v>
      </c>
    </row>
    <row r="90" spans="1:4" x14ac:dyDescent="0.2">
      <c r="A90" s="9" t="s">
        <v>1221</v>
      </c>
      <c r="C90" s="37">
        <v>10.626099999999999</v>
      </c>
      <c r="D90" s="37">
        <v>9.6384000000000007</v>
      </c>
    </row>
    <row r="92" spans="1:4" ht="10.5" x14ac:dyDescent="0.25">
      <c r="A92" s="15" t="s">
        <v>1882</v>
      </c>
    </row>
    <row r="93" spans="1:4" ht="10.5" x14ac:dyDescent="0.25">
      <c r="A93" s="90" t="s">
        <v>33</v>
      </c>
      <c r="B93" s="91"/>
      <c r="C93" s="92" t="s">
        <v>1883</v>
      </c>
      <c r="D93" s="93"/>
    </row>
    <row r="94" spans="1:4" ht="10.5" x14ac:dyDescent="0.25">
      <c r="A94" s="90"/>
      <c r="B94" s="91"/>
      <c r="C94" s="38" t="s">
        <v>34</v>
      </c>
      <c r="D94" s="39" t="s">
        <v>35</v>
      </c>
    </row>
    <row r="95" spans="1:4" x14ac:dyDescent="0.2">
      <c r="A95" s="96" t="s">
        <v>1218</v>
      </c>
      <c r="B95" s="97"/>
      <c r="C95" s="40">
        <v>0.151267767</v>
      </c>
      <c r="D95" s="40">
        <v>0.1400747061</v>
      </c>
    </row>
    <row r="96" spans="1:4" x14ac:dyDescent="0.2">
      <c r="A96" s="96" t="s">
        <v>1219</v>
      </c>
      <c r="B96" s="97"/>
      <c r="C96" s="40">
        <v>0.108048405</v>
      </c>
      <c r="D96" s="40">
        <v>0.10005336149999999</v>
      </c>
    </row>
    <row r="97" spans="1:6" x14ac:dyDescent="0.2">
      <c r="A97" s="96" t="s">
        <v>1220</v>
      </c>
      <c r="B97" s="97"/>
      <c r="C97" s="40">
        <v>0.151267767</v>
      </c>
      <c r="D97" s="40">
        <v>0.1400747061</v>
      </c>
    </row>
    <row r="98" spans="1:6" x14ac:dyDescent="0.2">
      <c r="A98" s="96" t="s">
        <v>1221</v>
      </c>
      <c r="B98" s="97"/>
      <c r="C98" s="40">
        <v>0.108048405</v>
      </c>
      <c r="D98" s="40">
        <v>0.10005336149999999</v>
      </c>
    </row>
    <row r="100" spans="1:6" ht="10.5" x14ac:dyDescent="0.25">
      <c r="A100" s="15" t="s">
        <v>882</v>
      </c>
      <c r="D100" s="11">
        <v>1.4571834334426199</v>
      </c>
      <c r="E100" s="11" t="s">
        <v>883</v>
      </c>
    </row>
    <row r="102" spans="1:6" ht="10.5" x14ac:dyDescent="0.25">
      <c r="A102" s="15" t="s">
        <v>884</v>
      </c>
      <c r="D102" s="60">
        <v>4</v>
      </c>
    </row>
    <row r="103" spans="1:6" x14ac:dyDescent="0.2">
      <c r="A103" s="9" t="s">
        <v>885</v>
      </c>
    </row>
    <row r="104" spans="1:6" ht="14.5" x14ac:dyDescent="0.35">
      <c r="A104" s="49" t="s">
        <v>1898</v>
      </c>
    </row>
    <row r="107" spans="1:6" s="1" customFormat="1" ht="14" x14ac:dyDescent="0.25">
      <c r="A107" s="88" t="s">
        <v>1222</v>
      </c>
      <c r="B107" s="89"/>
      <c r="C107" s="89"/>
      <c r="D107" s="89"/>
      <c r="E107" s="89"/>
      <c r="F107" s="89"/>
    </row>
    <row r="108" spans="1:6" ht="10.5" x14ac:dyDescent="0.25">
      <c r="A108" s="15" t="s">
        <v>888</v>
      </c>
    </row>
    <row r="109" spans="1:6" ht="10.5" x14ac:dyDescent="0.25">
      <c r="A109" s="15" t="s">
        <v>4</v>
      </c>
    </row>
    <row r="110" spans="1:6" s="1" customFormat="1" ht="25.5" customHeight="1" x14ac:dyDescent="0.25">
      <c r="A110" s="8" t="s">
        <v>2</v>
      </c>
      <c r="B110" s="8" t="s">
        <v>0</v>
      </c>
      <c r="C110" s="8" t="s">
        <v>661</v>
      </c>
      <c r="D110" s="71" t="s">
        <v>1</v>
      </c>
      <c r="E110" s="64" t="s">
        <v>1820</v>
      </c>
      <c r="F110" s="63" t="s">
        <v>3</v>
      </c>
    </row>
    <row r="111" spans="1:6" ht="10.5" x14ac:dyDescent="0.25">
      <c r="A111" s="18" t="s">
        <v>662</v>
      </c>
      <c r="B111" s="19"/>
      <c r="C111" s="19"/>
      <c r="D111" s="20"/>
      <c r="E111" s="21"/>
      <c r="F111" s="22"/>
    </row>
    <row r="112" spans="1:6" ht="10.5" x14ac:dyDescent="0.25">
      <c r="A112" s="23" t="s">
        <v>1799</v>
      </c>
      <c r="B112" s="24"/>
      <c r="C112" s="24"/>
      <c r="D112" s="25"/>
      <c r="E112" s="26"/>
      <c r="F112" s="27"/>
    </row>
    <row r="113" spans="1:9" x14ac:dyDescent="0.2">
      <c r="A113" s="24" t="s">
        <v>889</v>
      </c>
      <c r="B113" s="24" t="s">
        <v>890</v>
      </c>
      <c r="C113" s="24" t="s">
        <v>891</v>
      </c>
      <c r="D113" s="28">
        <v>1970</v>
      </c>
      <c r="E113" s="26">
        <v>8.4999999999999999E-6</v>
      </c>
      <c r="F113" s="26">
        <v>100</v>
      </c>
    </row>
    <row r="114" spans="1:9" ht="10.5" x14ac:dyDescent="0.25">
      <c r="A114" s="23" t="s">
        <v>24</v>
      </c>
      <c r="B114" s="23"/>
      <c r="C114" s="23"/>
      <c r="D114" s="29"/>
      <c r="E114" s="30">
        <f>SUM(E112:E113)</f>
        <v>8.4999999999999999E-6</v>
      </c>
      <c r="F114" s="31">
        <f>SUM(F112:F113)</f>
        <v>100</v>
      </c>
      <c r="G114" s="15"/>
      <c r="H114" s="15"/>
      <c r="I114" s="15"/>
    </row>
    <row r="115" spans="1:9" x14ac:dyDescent="0.2">
      <c r="A115" s="24"/>
      <c r="B115" s="24"/>
      <c r="C115" s="24"/>
      <c r="D115" s="25"/>
      <c r="E115" s="26"/>
      <c r="F115" s="27"/>
    </row>
    <row r="116" spans="1:9" ht="10.5" x14ac:dyDescent="0.25">
      <c r="A116" s="23" t="s">
        <v>25</v>
      </c>
      <c r="B116" s="23"/>
      <c r="C116" s="23"/>
      <c r="D116" s="29"/>
      <c r="E116" s="30">
        <f>E114</f>
        <v>8.4999999999999999E-6</v>
      </c>
      <c r="F116" s="31">
        <f>F114</f>
        <v>100</v>
      </c>
      <c r="G116" s="15"/>
      <c r="H116" s="15"/>
      <c r="I116" s="15"/>
    </row>
    <row r="117" spans="1:9" ht="10.5" x14ac:dyDescent="0.25">
      <c r="A117" s="23"/>
      <c r="B117" s="23"/>
      <c r="C117" s="23"/>
      <c r="D117" s="29"/>
      <c r="E117" s="30"/>
      <c r="F117" s="31"/>
      <c r="G117" s="15"/>
      <c r="H117" s="15"/>
      <c r="I117" s="15"/>
    </row>
    <row r="118" spans="1:9" ht="10.5" x14ac:dyDescent="0.25">
      <c r="A118" s="23" t="s">
        <v>27</v>
      </c>
      <c r="B118" s="23"/>
      <c r="C118" s="23"/>
      <c r="D118" s="29"/>
      <c r="E118" s="30">
        <f>E120-(E114)</f>
        <v>-7.6000000000000001E-6</v>
      </c>
      <c r="F118" s="85" t="s">
        <v>1896</v>
      </c>
      <c r="G118" s="15"/>
      <c r="H118" s="15"/>
      <c r="I118" s="15"/>
    </row>
    <row r="119" spans="1:9" ht="10.5" x14ac:dyDescent="0.25">
      <c r="A119" s="23"/>
      <c r="B119" s="23"/>
      <c r="C119" s="23"/>
      <c r="D119" s="29"/>
      <c r="E119" s="30"/>
      <c r="F119" s="31"/>
      <c r="G119" s="15"/>
      <c r="H119" s="15"/>
      <c r="I119" s="15"/>
    </row>
    <row r="120" spans="1:9" ht="10.5" x14ac:dyDescent="0.25">
      <c r="A120" s="32" t="s">
        <v>26</v>
      </c>
      <c r="B120" s="32"/>
      <c r="C120" s="32"/>
      <c r="D120" s="33"/>
      <c r="E120" s="34">
        <v>8.9999999999999996E-7</v>
      </c>
      <c r="F120" s="35">
        <v>100</v>
      </c>
      <c r="G120" s="15"/>
      <c r="H120" s="15"/>
      <c r="I120" s="15"/>
    </row>
    <row r="121" spans="1:9" ht="10.5" x14ac:dyDescent="0.25">
      <c r="A121" s="61" t="s">
        <v>872</v>
      </c>
      <c r="F121" s="86" t="s">
        <v>37</v>
      </c>
    </row>
    <row r="122" spans="1:9" ht="10.5" x14ac:dyDescent="0.25">
      <c r="A122" s="61" t="s">
        <v>1795</v>
      </c>
    </row>
    <row r="123" spans="1:9" ht="10.5" x14ac:dyDescent="0.25">
      <c r="A123" s="62" t="s">
        <v>1798</v>
      </c>
    </row>
    <row r="125" spans="1:9" ht="10.5" x14ac:dyDescent="0.25">
      <c r="A125" s="15" t="s">
        <v>28</v>
      </c>
    </row>
    <row r="126" spans="1:9" ht="10.5" x14ac:dyDescent="0.25">
      <c r="A126" s="15" t="s">
        <v>29</v>
      </c>
    </row>
    <row r="127" spans="1:9" ht="10.5" x14ac:dyDescent="0.25">
      <c r="A127" s="15" t="s">
        <v>30</v>
      </c>
      <c r="B127" s="15"/>
      <c r="C127" s="36" t="s">
        <v>32</v>
      </c>
      <c r="D127" s="16" t="s">
        <v>31</v>
      </c>
    </row>
    <row r="128" spans="1:9" x14ac:dyDescent="0.2">
      <c r="A128" s="9" t="s">
        <v>38</v>
      </c>
      <c r="C128" s="58" t="s">
        <v>1794</v>
      </c>
      <c r="D128" s="37">
        <v>0</v>
      </c>
    </row>
    <row r="129" spans="1:6" x14ac:dyDescent="0.2">
      <c r="A129" s="9" t="s">
        <v>1218</v>
      </c>
      <c r="C129" s="58" t="s">
        <v>1794</v>
      </c>
      <c r="D129" s="37">
        <v>0</v>
      </c>
    </row>
    <row r="130" spans="1:6" x14ac:dyDescent="0.2">
      <c r="A130" s="9" t="s">
        <v>1219</v>
      </c>
      <c r="C130" s="58" t="s">
        <v>1794</v>
      </c>
      <c r="D130" s="37">
        <v>0</v>
      </c>
    </row>
    <row r="131" spans="1:6" x14ac:dyDescent="0.2">
      <c r="A131" s="9" t="s">
        <v>39</v>
      </c>
      <c r="C131" s="58" t="s">
        <v>1794</v>
      </c>
      <c r="D131" s="37">
        <v>0</v>
      </c>
    </row>
    <row r="132" spans="1:6" x14ac:dyDescent="0.2">
      <c r="A132" s="9" t="s">
        <v>1220</v>
      </c>
      <c r="C132" s="58" t="s">
        <v>1794</v>
      </c>
      <c r="D132" s="37">
        <v>0</v>
      </c>
    </row>
    <row r="133" spans="1:6" x14ac:dyDescent="0.2">
      <c r="A133" s="9" t="s">
        <v>1221</v>
      </c>
      <c r="C133" s="58" t="s">
        <v>1794</v>
      </c>
      <c r="D133" s="37">
        <v>0</v>
      </c>
    </row>
    <row r="135" spans="1:6" ht="10.5" x14ac:dyDescent="0.25">
      <c r="A135" s="15" t="s">
        <v>1863</v>
      </c>
      <c r="C135" s="58"/>
      <c r="D135" s="37"/>
    </row>
    <row r="137" spans="1:6" ht="10.5" x14ac:dyDescent="0.25">
      <c r="A137" s="15" t="s">
        <v>1797</v>
      </c>
      <c r="D137" s="41" t="s">
        <v>36</v>
      </c>
    </row>
    <row r="138" spans="1:6" x14ac:dyDescent="0.2">
      <c r="A138" s="9" t="s">
        <v>885</v>
      </c>
    </row>
    <row r="139" spans="1:6" ht="14.5" x14ac:dyDescent="0.35">
      <c r="A139" s="49" t="s">
        <v>1898</v>
      </c>
    </row>
    <row r="140" spans="1:6" ht="14.5" x14ac:dyDescent="0.35">
      <c r="A140" s="49"/>
    </row>
    <row r="141" spans="1:6" ht="14.5" x14ac:dyDescent="0.35">
      <c r="A141" s="49"/>
    </row>
    <row r="142" spans="1:6" ht="14.5" x14ac:dyDescent="0.35">
      <c r="A142" s="49"/>
    </row>
    <row r="143" spans="1:6" s="1" customFormat="1" ht="14" x14ac:dyDescent="0.25">
      <c r="A143" s="88" t="s">
        <v>1223</v>
      </c>
      <c r="B143" s="89"/>
      <c r="C143" s="89"/>
      <c r="D143" s="89"/>
      <c r="E143" s="89"/>
      <c r="F143" s="89"/>
    </row>
    <row r="144" spans="1:6" ht="10.5" x14ac:dyDescent="0.25">
      <c r="A144" s="15" t="s">
        <v>1098</v>
      </c>
    </row>
    <row r="145" spans="1:9" ht="10.5" x14ac:dyDescent="0.25">
      <c r="A145" s="15" t="s">
        <v>4</v>
      </c>
    </row>
    <row r="146" spans="1:9" s="1" customFormat="1" ht="24.75" customHeight="1" x14ac:dyDescent="0.25">
      <c r="A146" s="8" t="s">
        <v>2</v>
      </c>
      <c r="B146" s="8" t="s">
        <v>0</v>
      </c>
      <c r="C146" s="8" t="s">
        <v>661</v>
      </c>
      <c r="D146" s="71" t="s">
        <v>1</v>
      </c>
      <c r="E146" s="64" t="s">
        <v>1820</v>
      </c>
      <c r="F146" s="63" t="s">
        <v>3</v>
      </c>
    </row>
    <row r="147" spans="1:9" ht="10.5" x14ac:dyDescent="0.25">
      <c r="A147" s="18" t="s">
        <v>662</v>
      </c>
      <c r="B147" s="19"/>
      <c r="C147" s="19"/>
      <c r="D147" s="20"/>
      <c r="E147" s="21"/>
      <c r="F147" s="22"/>
    </row>
    <row r="148" spans="1:9" ht="10.5" x14ac:dyDescent="0.25">
      <c r="A148" s="23" t="s">
        <v>23</v>
      </c>
      <c r="B148" s="24"/>
      <c r="C148" s="24"/>
      <c r="D148" s="25"/>
      <c r="E148" s="26"/>
      <c r="F148" s="27"/>
    </row>
    <row r="149" spans="1:9" x14ac:dyDescent="0.2">
      <c r="A149" s="24" t="s">
        <v>1099</v>
      </c>
      <c r="B149" s="24" t="s">
        <v>1100</v>
      </c>
      <c r="C149" s="24" t="s">
        <v>1101</v>
      </c>
      <c r="D149" s="28">
        <v>1510</v>
      </c>
      <c r="E149" s="26">
        <v>8.4999999999999999E-6</v>
      </c>
      <c r="F149" s="26">
        <v>100</v>
      </c>
    </row>
    <row r="150" spans="1:9" ht="10.5" x14ac:dyDescent="0.25">
      <c r="A150" s="23" t="s">
        <v>24</v>
      </c>
      <c r="B150" s="23"/>
      <c r="C150" s="23"/>
      <c r="D150" s="29"/>
      <c r="E150" s="30">
        <f>SUM(E148:E149)</f>
        <v>8.4999999999999999E-6</v>
      </c>
      <c r="F150" s="31">
        <f>SUM(F148:F149)</f>
        <v>100</v>
      </c>
      <c r="G150" s="15"/>
      <c r="H150" s="15"/>
      <c r="I150" s="15"/>
    </row>
    <row r="151" spans="1:9" x14ac:dyDescent="0.2">
      <c r="A151" s="24"/>
      <c r="B151" s="24"/>
      <c r="C151" s="24"/>
      <c r="D151" s="25"/>
      <c r="E151" s="26"/>
      <c r="F151" s="27"/>
    </row>
    <row r="152" spans="1:9" ht="10.5" x14ac:dyDescent="0.25">
      <c r="A152" s="23" t="s">
        <v>25</v>
      </c>
      <c r="B152" s="23"/>
      <c r="C152" s="23"/>
      <c r="D152" s="29"/>
      <c r="E152" s="30">
        <f>E150</f>
        <v>8.4999999999999999E-6</v>
      </c>
      <c r="F152" s="31">
        <f>F150</f>
        <v>100</v>
      </c>
      <c r="G152" s="15"/>
      <c r="H152" s="15"/>
      <c r="I152" s="15"/>
    </row>
    <row r="153" spans="1:9" ht="10.5" x14ac:dyDescent="0.25">
      <c r="A153" s="23"/>
      <c r="B153" s="23"/>
      <c r="C153" s="23"/>
      <c r="D153" s="29"/>
      <c r="E153" s="30"/>
      <c r="F153" s="31"/>
      <c r="G153" s="15"/>
      <c r="H153" s="15"/>
      <c r="I153" s="15"/>
    </row>
    <row r="154" spans="1:9" ht="10.5" x14ac:dyDescent="0.25">
      <c r="A154" s="23" t="s">
        <v>27</v>
      </c>
      <c r="B154" s="23"/>
      <c r="C154" s="23"/>
      <c r="D154" s="29"/>
      <c r="E154" s="30">
        <f>E156-(E150)</f>
        <v>-7.6000000000000001E-6</v>
      </c>
      <c r="F154" s="85" t="s">
        <v>1896</v>
      </c>
      <c r="G154" s="15"/>
      <c r="H154" s="15"/>
      <c r="I154" s="15"/>
    </row>
    <row r="155" spans="1:9" ht="10.5" x14ac:dyDescent="0.25">
      <c r="A155" s="23"/>
      <c r="B155" s="23"/>
      <c r="C155" s="23"/>
      <c r="D155" s="29"/>
      <c r="E155" s="30"/>
      <c r="F155" s="31"/>
      <c r="G155" s="15"/>
      <c r="H155" s="15"/>
      <c r="I155" s="15"/>
    </row>
    <row r="156" spans="1:9" ht="10.5" x14ac:dyDescent="0.25">
      <c r="A156" s="32" t="s">
        <v>26</v>
      </c>
      <c r="B156" s="32"/>
      <c r="C156" s="32"/>
      <c r="D156" s="33"/>
      <c r="E156" s="34">
        <v>8.9999999999999996E-7</v>
      </c>
      <c r="F156" s="35">
        <v>100</v>
      </c>
      <c r="G156" s="15"/>
      <c r="H156" s="15"/>
      <c r="I156" s="15"/>
    </row>
    <row r="157" spans="1:9" ht="10.5" x14ac:dyDescent="0.25">
      <c r="A157" s="61" t="s">
        <v>872</v>
      </c>
      <c r="F157" s="86" t="s">
        <v>37</v>
      </c>
    </row>
    <row r="158" spans="1:9" ht="10.5" x14ac:dyDescent="0.25">
      <c r="A158" s="61" t="s">
        <v>1795</v>
      </c>
    </row>
    <row r="159" spans="1:9" ht="10.5" x14ac:dyDescent="0.25">
      <c r="A159" s="62" t="s">
        <v>1798</v>
      </c>
    </row>
    <row r="161" spans="1:4" ht="10.5" x14ac:dyDescent="0.25">
      <c r="A161" s="15" t="s">
        <v>28</v>
      </c>
    </row>
    <row r="162" spans="1:4" ht="10.5" x14ac:dyDescent="0.25">
      <c r="A162" s="15" t="s">
        <v>29</v>
      </c>
    </row>
    <row r="163" spans="1:4" ht="10.5" x14ac:dyDescent="0.25">
      <c r="A163" s="15" t="s">
        <v>30</v>
      </c>
      <c r="B163" s="15"/>
      <c r="C163" s="36" t="s">
        <v>32</v>
      </c>
      <c r="D163" s="16" t="s">
        <v>31</v>
      </c>
    </row>
    <row r="164" spans="1:4" x14ac:dyDescent="0.2">
      <c r="A164" s="9" t="s">
        <v>38</v>
      </c>
      <c r="C164" s="58" t="s">
        <v>1794</v>
      </c>
      <c r="D164" s="37">
        <v>0</v>
      </c>
    </row>
    <row r="165" spans="1:4" x14ac:dyDescent="0.2">
      <c r="A165" s="9" t="s">
        <v>1218</v>
      </c>
      <c r="C165" s="58" t="s">
        <v>1794</v>
      </c>
      <c r="D165" s="37">
        <v>0</v>
      </c>
    </row>
    <row r="166" spans="1:4" x14ac:dyDescent="0.2">
      <c r="A166" s="9" t="s">
        <v>1219</v>
      </c>
      <c r="C166" s="58" t="s">
        <v>1794</v>
      </c>
      <c r="D166" s="37">
        <v>0</v>
      </c>
    </row>
    <row r="167" spans="1:4" x14ac:dyDescent="0.2">
      <c r="A167" s="9" t="s">
        <v>39</v>
      </c>
      <c r="C167" s="58" t="s">
        <v>1794</v>
      </c>
      <c r="D167" s="37">
        <v>0</v>
      </c>
    </row>
    <row r="168" spans="1:4" x14ac:dyDescent="0.2">
      <c r="A168" s="9" t="s">
        <v>1220</v>
      </c>
      <c r="C168" s="58" t="s">
        <v>1794</v>
      </c>
      <c r="D168" s="37">
        <v>0</v>
      </c>
    </row>
    <row r="169" spans="1:4" x14ac:dyDescent="0.2">
      <c r="A169" s="9" t="s">
        <v>1221</v>
      </c>
      <c r="C169" s="58" t="s">
        <v>1794</v>
      </c>
      <c r="D169" s="37">
        <v>0</v>
      </c>
    </row>
    <row r="170" spans="1:4" x14ac:dyDescent="0.2">
      <c r="C170" s="58"/>
      <c r="D170" s="37"/>
    </row>
    <row r="171" spans="1:4" ht="10.5" x14ac:dyDescent="0.25">
      <c r="A171" s="15" t="s">
        <v>1863</v>
      </c>
      <c r="C171" s="58"/>
      <c r="D171" s="37"/>
    </row>
    <row r="172" spans="1:4" x14ac:dyDescent="0.2">
      <c r="C172" s="58"/>
    </row>
    <row r="173" spans="1:4" ht="10.5" x14ac:dyDescent="0.25">
      <c r="A173" s="15" t="s">
        <v>1797</v>
      </c>
      <c r="D173" s="41" t="s">
        <v>36</v>
      </c>
    </row>
    <row r="174" spans="1:4" x14ac:dyDescent="0.2">
      <c r="A174" s="9" t="s">
        <v>885</v>
      </c>
    </row>
    <row r="175" spans="1:4" ht="14.5" x14ac:dyDescent="0.35">
      <c r="A175" s="49" t="s">
        <v>1898</v>
      </c>
    </row>
  </sheetData>
  <mergeCells count="10">
    <mergeCell ref="A97:B97"/>
    <mergeCell ref="A98:B98"/>
    <mergeCell ref="A107:F107"/>
    <mergeCell ref="A143:F143"/>
    <mergeCell ref="A1:F1"/>
    <mergeCell ref="A93:B93"/>
    <mergeCell ref="C93:D93"/>
    <mergeCell ref="A94:B94"/>
    <mergeCell ref="A95:B95"/>
    <mergeCell ref="A96:B96"/>
  </mergeCells>
  <conditionalFormatting sqref="F2:F3 F108:F109 F122:F134 F144:F145 F158:F169 F177:F65536 F5:F106">
    <cfRule type="cellIs" dxfId="119" priority="12" stopIfTrue="1" operator="between">
      <formula>0.009</formula>
      <formula>-0.009</formula>
    </cfRule>
  </conditionalFormatting>
  <conditionalFormatting sqref="F111:F112">
    <cfRule type="cellIs" dxfId="118" priority="11" stopIfTrue="1" operator="between">
      <formula>0.009</formula>
      <formula>-0.009</formula>
    </cfRule>
  </conditionalFormatting>
  <conditionalFormatting sqref="F114:F117">
    <cfRule type="cellIs" dxfId="117" priority="10" stopIfTrue="1" operator="between">
      <formula>0.009</formula>
      <formula>-0.009</formula>
    </cfRule>
  </conditionalFormatting>
  <conditionalFormatting sqref="F135:F142">
    <cfRule type="cellIs" dxfId="116" priority="9" stopIfTrue="1" operator="between">
      <formula>0.009</formula>
      <formula>-0.009</formula>
    </cfRule>
  </conditionalFormatting>
  <conditionalFormatting sqref="F147:F148">
    <cfRule type="cellIs" dxfId="115" priority="8" stopIfTrue="1" operator="between">
      <formula>0.009</formula>
      <formula>-0.009</formula>
    </cfRule>
  </conditionalFormatting>
  <conditionalFormatting sqref="F150:F153">
    <cfRule type="cellIs" dxfId="114" priority="7" stopIfTrue="1" operator="between">
      <formula>0.009</formula>
      <formula>-0.009</formula>
    </cfRule>
  </conditionalFormatting>
  <conditionalFormatting sqref="F171">
    <cfRule type="cellIs" dxfId="113" priority="5" stopIfTrue="1" operator="between">
      <formula>0.009</formula>
      <formula>-0.009</formula>
    </cfRule>
  </conditionalFormatting>
  <conditionalFormatting sqref="F170 F172:F176">
    <cfRule type="cellIs" dxfId="112" priority="6" stopIfTrue="1" operator="between">
      <formula>0.009</formula>
      <formula>-0.009</formula>
    </cfRule>
  </conditionalFormatting>
  <conditionalFormatting sqref="F155:F156">
    <cfRule type="cellIs" dxfId="111" priority="4" stopIfTrue="1" operator="between">
      <formula>0.009</formula>
      <formula>-0.009</formula>
    </cfRule>
  </conditionalFormatting>
  <conditionalFormatting sqref="F157">
    <cfRule type="cellIs" dxfId="110" priority="3" stopIfTrue="1" operator="between">
      <formula>0.009</formula>
      <formula>-0.009</formula>
    </cfRule>
  </conditionalFormatting>
  <conditionalFormatting sqref="F119:F120">
    <cfRule type="cellIs" dxfId="109" priority="2" stopIfTrue="1" operator="between">
      <formula>0.009</formula>
      <formula>-0.009</formula>
    </cfRule>
  </conditionalFormatting>
  <conditionalFormatting sqref="F121">
    <cfRule type="cellIs" dxfId="108" priority="1" stopIfTrue="1" operator="between">
      <formula>0.009</formula>
      <formula>-0.009</formula>
    </cfRule>
  </conditionalFormatting>
  <hyperlinks>
    <hyperlink ref="A104" r:id="rId1" xr:uid="{00000000-0004-0000-0300-000000000000}"/>
    <hyperlink ref="A139" r:id="rId2" xr:uid="{00000000-0004-0000-0300-000001000000}"/>
    <hyperlink ref="A175" r:id="rId3" xr:uid="{00000000-0004-0000-0300-000002000000}"/>
  </hyperlinks>
  <pageMargins left="0.7" right="0.7" top="0.75" bottom="0.75" header="0.3" footer="0.3"/>
  <pageSetup paperSize="9" scale="56" orientation="portrait" r:id="rId4"/>
  <headerFooter>
    <evenFooter>&amp;LPUBLIC</evenFooter>
    <firstFooter>&amp;LPUBLIC</firstFooter>
  </headerFooter>
  <rowBreaks count="1" manualBreakCount="1">
    <brk id="105" max="5" man="1"/>
  </rowBreaks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69.1796875" style="9" bestFit="1" customWidth="1"/>
    <col min="3" max="3" width="15.453125" style="9" bestFit="1" customWidth="1"/>
    <col min="4" max="4" width="15.453125" style="10" bestFit="1" customWidth="1"/>
    <col min="5" max="5" width="14.1796875" style="11" customWidth="1"/>
    <col min="6" max="6" width="13.26953125" style="14" bestFit="1" customWidth="1"/>
    <col min="7" max="7" width="5.1796875" style="9" bestFit="1" customWidth="1"/>
    <col min="8" max="16384" width="9.1796875" style="9"/>
  </cols>
  <sheetData>
    <row r="1" spans="1:6" s="1" customFormat="1" ht="14" x14ac:dyDescent="0.25">
      <c r="A1" s="88" t="s">
        <v>1859</v>
      </c>
      <c r="B1" s="89"/>
      <c r="C1" s="89"/>
      <c r="D1" s="89"/>
      <c r="E1" s="89"/>
      <c r="F1" s="89"/>
    </row>
    <row r="2" spans="1:6" s="1" customFormat="1" ht="11.5" x14ac:dyDescent="0.25">
      <c r="A2" s="48" t="s">
        <v>660</v>
      </c>
      <c r="D2" s="6"/>
      <c r="E2" s="7"/>
      <c r="F2" s="14"/>
    </row>
    <row r="3" spans="1:6" s="1" customFormat="1" ht="11.5" x14ac:dyDescent="0.25">
      <c r="A3" s="12" t="s">
        <v>4</v>
      </c>
      <c r="B3" s="2"/>
      <c r="C3" s="3"/>
      <c r="D3" s="4"/>
      <c r="E3" s="5"/>
      <c r="F3" s="14"/>
    </row>
    <row r="4" spans="1:6" s="1" customFormat="1" ht="27" customHeight="1" x14ac:dyDescent="0.25">
      <c r="A4" s="8" t="s">
        <v>2</v>
      </c>
      <c r="B4" s="8" t="s">
        <v>0</v>
      </c>
      <c r="C4" s="8" t="s">
        <v>661</v>
      </c>
      <c r="D4" s="71" t="s">
        <v>1</v>
      </c>
      <c r="E4" s="64" t="s">
        <v>1820</v>
      </c>
      <c r="F4" s="63" t="s">
        <v>3</v>
      </c>
    </row>
    <row r="5" spans="1:6" ht="10.5" x14ac:dyDescent="0.25">
      <c r="A5" s="18" t="s">
        <v>662</v>
      </c>
      <c r="B5" s="19"/>
      <c r="C5" s="19"/>
      <c r="D5" s="20"/>
      <c r="E5" s="21"/>
      <c r="F5" s="22"/>
    </row>
    <row r="6" spans="1:6" ht="10.5" x14ac:dyDescent="0.25">
      <c r="A6" s="23" t="s">
        <v>23</v>
      </c>
      <c r="B6" s="24"/>
      <c r="C6" s="24"/>
      <c r="D6" s="25"/>
      <c r="E6" s="26"/>
      <c r="F6" s="27"/>
    </row>
    <row r="7" spans="1:6" x14ac:dyDescent="0.2">
      <c r="A7" s="24" t="s">
        <v>1224</v>
      </c>
      <c r="B7" s="24" t="s">
        <v>1225</v>
      </c>
      <c r="C7" s="24" t="s">
        <v>689</v>
      </c>
      <c r="D7" s="28">
        <v>2797</v>
      </c>
      <c r="E7" s="26">
        <v>23720.042409999998</v>
      </c>
      <c r="F7" s="27">
        <v>9.4665275440340206</v>
      </c>
    </row>
    <row r="8" spans="1:6" x14ac:dyDescent="0.2">
      <c r="A8" s="24" t="s">
        <v>943</v>
      </c>
      <c r="B8" s="24" t="s">
        <v>944</v>
      </c>
      <c r="C8" s="24" t="s">
        <v>737</v>
      </c>
      <c r="D8" s="28">
        <v>1910</v>
      </c>
      <c r="E8" s="26">
        <v>20505.339800000002</v>
      </c>
      <c r="F8" s="27">
        <v>8.1835588934124992</v>
      </c>
    </row>
    <row r="9" spans="1:6" x14ac:dyDescent="0.2">
      <c r="A9" s="24" t="s">
        <v>903</v>
      </c>
      <c r="B9" s="24" t="s">
        <v>904</v>
      </c>
      <c r="C9" s="24" t="s">
        <v>766</v>
      </c>
      <c r="D9" s="28">
        <v>1550</v>
      </c>
      <c r="E9" s="26">
        <v>14911.5425</v>
      </c>
      <c r="F9" s="27">
        <v>5.9511077324538402</v>
      </c>
    </row>
    <row r="10" spans="1:6" x14ac:dyDescent="0.2">
      <c r="A10" s="24" t="s">
        <v>1226</v>
      </c>
      <c r="B10" s="24" t="s">
        <v>1227</v>
      </c>
      <c r="C10" s="24" t="s">
        <v>679</v>
      </c>
      <c r="D10" s="28">
        <v>12100</v>
      </c>
      <c r="E10" s="26">
        <v>11860.4442</v>
      </c>
      <c r="F10" s="27">
        <v>4.73343258680028</v>
      </c>
    </row>
    <row r="11" spans="1:6" x14ac:dyDescent="0.2">
      <c r="A11" s="24" t="s">
        <v>1228</v>
      </c>
      <c r="B11" s="24" t="s">
        <v>1229</v>
      </c>
      <c r="C11" s="24" t="s">
        <v>692</v>
      </c>
      <c r="D11" s="28">
        <v>5858</v>
      </c>
      <c r="E11" s="26">
        <v>11452.425149999999</v>
      </c>
      <c r="F11" s="27">
        <v>4.5705946159167503</v>
      </c>
    </row>
    <row r="12" spans="1:6" x14ac:dyDescent="0.2">
      <c r="A12" s="24" t="s">
        <v>1230</v>
      </c>
      <c r="B12" s="24" t="s">
        <v>1231</v>
      </c>
      <c r="C12" s="24" t="s">
        <v>673</v>
      </c>
      <c r="D12" s="28">
        <v>1000</v>
      </c>
      <c r="E12" s="26">
        <v>9448.9</v>
      </c>
      <c r="F12" s="27">
        <v>3.7709996704353701</v>
      </c>
    </row>
    <row r="13" spans="1:6" x14ac:dyDescent="0.2">
      <c r="A13" s="24" t="s">
        <v>678</v>
      </c>
      <c r="B13" s="24" t="s">
        <v>1870</v>
      </c>
      <c r="C13" s="24" t="s">
        <v>679</v>
      </c>
      <c r="D13" s="28">
        <v>780</v>
      </c>
      <c r="E13" s="26">
        <v>7736.1959999999999</v>
      </c>
      <c r="F13" s="27">
        <v>3.0874697124981201</v>
      </c>
    </row>
    <row r="14" spans="1:6" x14ac:dyDescent="0.2">
      <c r="A14" s="24" t="s">
        <v>909</v>
      </c>
      <c r="B14" s="24" t="s">
        <v>910</v>
      </c>
      <c r="C14" s="24" t="s">
        <v>677</v>
      </c>
      <c r="D14" s="28">
        <v>700</v>
      </c>
      <c r="E14" s="26">
        <v>6948.0879999999997</v>
      </c>
      <c r="F14" s="27">
        <v>2.7729405071654898</v>
      </c>
    </row>
    <row r="15" spans="1:6" x14ac:dyDescent="0.2">
      <c r="A15" s="24" t="s">
        <v>977</v>
      </c>
      <c r="B15" s="24" t="s">
        <v>978</v>
      </c>
      <c r="C15" s="24" t="s">
        <v>665</v>
      </c>
      <c r="D15" s="28">
        <v>650</v>
      </c>
      <c r="E15" s="26">
        <v>6508.84</v>
      </c>
      <c r="F15" s="27">
        <v>2.5976392484751201</v>
      </c>
    </row>
    <row r="16" spans="1:6" x14ac:dyDescent="0.2">
      <c r="A16" s="24" t="s">
        <v>892</v>
      </c>
      <c r="B16" s="24" t="s">
        <v>893</v>
      </c>
      <c r="C16" s="24" t="s">
        <v>766</v>
      </c>
      <c r="D16" s="28">
        <v>620</v>
      </c>
      <c r="E16" s="26">
        <v>6028.6196</v>
      </c>
      <c r="F16" s="27">
        <v>2.4059861491581298</v>
      </c>
    </row>
    <row r="17" spans="1:6" x14ac:dyDescent="0.2">
      <c r="A17" s="24" t="s">
        <v>983</v>
      </c>
      <c r="B17" s="24" t="s">
        <v>984</v>
      </c>
      <c r="C17" s="24" t="s">
        <v>692</v>
      </c>
      <c r="D17" s="28">
        <v>646</v>
      </c>
      <c r="E17" s="26">
        <v>5946.8563599999998</v>
      </c>
      <c r="F17" s="27">
        <v>2.3733549274187</v>
      </c>
    </row>
    <row r="18" spans="1:6" x14ac:dyDescent="0.2">
      <c r="A18" s="24" t="s">
        <v>769</v>
      </c>
      <c r="B18" s="24" t="s">
        <v>770</v>
      </c>
      <c r="C18" s="24" t="s">
        <v>679</v>
      </c>
      <c r="D18" s="28">
        <v>554</v>
      </c>
      <c r="E18" s="26">
        <v>5909.3462600000003</v>
      </c>
      <c r="F18" s="27">
        <v>2.3583848700852501</v>
      </c>
    </row>
    <row r="19" spans="1:6" x14ac:dyDescent="0.2">
      <c r="A19" s="24" t="s">
        <v>900</v>
      </c>
      <c r="B19" s="24" t="s">
        <v>901</v>
      </c>
      <c r="C19" s="24" t="s">
        <v>902</v>
      </c>
      <c r="D19" s="28">
        <v>550</v>
      </c>
      <c r="E19" s="26">
        <v>5534.6940000000004</v>
      </c>
      <c r="F19" s="27">
        <v>2.2088633862100999</v>
      </c>
    </row>
    <row r="20" spans="1:6" x14ac:dyDescent="0.2">
      <c r="A20" s="24" t="s">
        <v>969</v>
      </c>
      <c r="B20" s="24" t="s">
        <v>970</v>
      </c>
      <c r="C20" s="24" t="s">
        <v>827</v>
      </c>
      <c r="D20" s="28">
        <v>500</v>
      </c>
      <c r="E20" s="26">
        <v>4988.2449999999999</v>
      </c>
      <c r="F20" s="27">
        <v>1.9907788473844501</v>
      </c>
    </row>
    <row r="21" spans="1:6" x14ac:dyDescent="0.2">
      <c r="A21" s="24" t="s">
        <v>809</v>
      </c>
      <c r="B21" s="24" t="s">
        <v>810</v>
      </c>
      <c r="C21" s="24" t="s">
        <v>692</v>
      </c>
      <c r="D21" s="28">
        <v>501</v>
      </c>
      <c r="E21" s="26">
        <v>4909.7699400000001</v>
      </c>
      <c r="F21" s="27">
        <v>1.95945991868403</v>
      </c>
    </row>
    <row r="22" spans="1:6" x14ac:dyDescent="0.2">
      <c r="A22" s="24" t="s">
        <v>1232</v>
      </c>
      <c r="B22" s="24" t="s">
        <v>1233</v>
      </c>
      <c r="C22" s="24" t="s">
        <v>827</v>
      </c>
      <c r="D22" s="28">
        <v>400</v>
      </c>
      <c r="E22" s="26">
        <v>4541.7640000000001</v>
      </c>
      <c r="F22" s="27">
        <v>1.81259094150592</v>
      </c>
    </row>
    <row r="23" spans="1:6" x14ac:dyDescent="0.2">
      <c r="A23" s="24" t="s">
        <v>1234</v>
      </c>
      <c r="B23" s="24" t="s">
        <v>1235</v>
      </c>
      <c r="C23" s="24" t="s">
        <v>737</v>
      </c>
      <c r="D23" s="28">
        <v>400</v>
      </c>
      <c r="E23" s="26">
        <v>4030.3319999999999</v>
      </c>
      <c r="F23" s="27">
        <v>1.6084814786636701</v>
      </c>
    </row>
    <row r="24" spans="1:6" x14ac:dyDescent="0.2">
      <c r="A24" s="24" t="s">
        <v>1236</v>
      </c>
      <c r="B24" s="24" t="s">
        <v>958</v>
      </c>
      <c r="C24" s="24" t="s">
        <v>777</v>
      </c>
      <c r="D24" s="28">
        <v>400</v>
      </c>
      <c r="E24" s="26">
        <v>3887.9479999999999</v>
      </c>
      <c r="F24" s="27">
        <v>1.5516568729344</v>
      </c>
    </row>
    <row r="25" spans="1:6" x14ac:dyDescent="0.2">
      <c r="A25" s="24" t="s">
        <v>919</v>
      </c>
      <c r="B25" s="24" t="s">
        <v>920</v>
      </c>
      <c r="C25" s="24" t="s">
        <v>700</v>
      </c>
      <c r="D25" s="28">
        <v>4000</v>
      </c>
      <c r="E25" s="26">
        <v>3869.056</v>
      </c>
      <c r="F25" s="27">
        <v>1.5441171883389599</v>
      </c>
    </row>
    <row r="26" spans="1:6" x14ac:dyDescent="0.2">
      <c r="A26" s="24" t="s">
        <v>981</v>
      </c>
      <c r="B26" s="24" t="s">
        <v>982</v>
      </c>
      <c r="C26" s="24" t="s">
        <v>692</v>
      </c>
      <c r="D26" s="28">
        <v>350</v>
      </c>
      <c r="E26" s="26">
        <v>3256.0255000000002</v>
      </c>
      <c r="F26" s="27">
        <v>1.29946036971808</v>
      </c>
    </row>
    <row r="27" spans="1:6" x14ac:dyDescent="0.2">
      <c r="A27" s="24" t="s">
        <v>727</v>
      </c>
      <c r="B27" s="24" t="s">
        <v>728</v>
      </c>
      <c r="C27" s="24" t="s">
        <v>692</v>
      </c>
      <c r="D27" s="28">
        <v>240</v>
      </c>
      <c r="E27" s="26">
        <v>2372.1455999999998</v>
      </c>
      <c r="F27" s="27">
        <v>0.94670916993774101</v>
      </c>
    </row>
    <row r="28" spans="1:6" x14ac:dyDescent="0.2">
      <c r="A28" s="24" t="s">
        <v>1237</v>
      </c>
      <c r="B28" s="24" t="s">
        <v>1238</v>
      </c>
      <c r="C28" s="24" t="s">
        <v>815</v>
      </c>
      <c r="D28" s="28">
        <v>220</v>
      </c>
      <c r="E28" s="26">
        <v>2368.3748000000001</v>
      </c>
      <c r="F28" s="27">
        <v>0.94520426613335395</v>
      </c>
    </row>
    <row r="29" spans="1:6" x14ac:dyDescent="0.2">
      <c r="A29" s="24" t="s">
        <v>971</v>
      </c>
      <c r="B29" s="24" t="s">
        <v>972</v>
      </c>
      <c r="C29" s="24" t="s">
        <v>673</v>
      </c>
      <c r="D29" s="28">
        <v>200</v>
      </c>
      <c r="E29" s="26">
        <v>1981.252</v>
      </c>
      <c r="F29" s="27">
        <v>0.79070586407406396</v>
      </c>
    </row>
    <row r="30" spans="1:6" x14ac:dyDescent="0.2">
      <c r="A30" s="24" t="s">
        <v>1239</v>
      </c>
      <c r="B30" s="24" t="s">
        <v>1240</v>
      </c>
      <c r="C30" s="24" t="s">
        <v>700</v>
      </c>
      <c r="D30" s="28">
        <v>2000</v>
      </c>
      <c r="E30" s="26">
        <v>1941.5419999999999</v>
      </c>
      <c r="F30" s="27">
        <v>0.77485783976298195</v>
      </c>
    </row>
    <row r="31" spans="1:6" x14ac:dyDescent="0.2">
      <c r="A31" s="24" t="s">
        <v>894</v>
      </c>
      <c r="B31" s="24" t="s">
        <v>895</v>
      </c>
      <c r="C31" s="24" t="s">
        <v>689</v>
      </c>
      <c r="D31" s="28">
        <v>250</v>
      </c>
      <c r="E31" s="26">
        <v>1920.2180000000001</v>
      </c>
      <c r="F31" s="27">
        <v>0.76634755846332103</v>
      </c>
    </row>
    <row r="32" spans="1:6" x14ac:dyDescent="0.2">
      <c r="A32" s="24" t="s">
        <v>1241</v>
      </c>
      <c r="B32" s="24" t="s">
        <v>1242</v>
      </c>
      <c r="C32" s="24" t="s">
        <v>665</v>
      </c>
      <c r="D32" s="28">
        <v>150</v>
      </c>
      <c r="E32" s="26">
        <v>1504.0170000000001</v>
      </c>
      <c r="F32" s="27">
        <v>0.600244220102784</v>
      </c>
    </row>
    <row r="33" spans="1:9" x14ac:dyDescent="0.2">
      <c r="A33" s="24" t="s">
        <v>1243</v>
      </c>
      <c r="B33" s="24" t="s">
        <v>1244</v>
      </c>
      <c r="C33" s="24" t="s">
        <v>692</v>
      </c>
      <c r="D33" s="28">
        <v>150</v>
      </c>
      <c r="E33" s="26">
        <v>1462.9829999999999</v>
      </c>
      <c r="F33" s="27">
        <v>0.583867795283319</v>
      </c>
    </row>
    <row r="34" spans="1:9" x14ac:dyDescent="0.2">
      <c r="A34" s="24" t="s">
        <v>957</v>
      </c>
      <c r="B34" s="24" t="s">
        <v>958</v>
      </c>
      <c r="C34" s="24" t="s">
        <v>777</v>
      </c>
      <c r="D34" s="28">
        <v>150</v>
      </c>
      <c r="E34" s="26">
        <v>1457.6085</v>
      </c>
      <c r="F34" s="27">
        <v>0.58172286436768295</v>
      </c>
    </row>
    <row r="35" spans="1:9" x14ac:dyDescent="0.2">
      <c r="A35" s="24" t="s">
        <v>1245</v>
      </c>
      <c r="B35" s="24" t="s">
        <v>1246</v>
      </c>
      <c r="C35" s="24" t="s">
        <v>673</v>
      </c>
      <c r="D35" s="28">
        <v>150</v>
      </c>
      <c r="E35" s="26">
        <v>1371.2294999999999</v>
      </c>
      <c r="F35" s="27">
        <v>0.54724952032419305</v>
      </c>
    </row>
    <row r="36" spans="1:9" x14ac:dyDescent="0.2">
      <c r="A36" s="24" t="s">
        <v>1247</v>
      </c>
      <c r="B36" s="24" t="s">
        <v>958</v>
      </c>
      <c r="C36" s="24" t="s">
        <v>777</v>
      </c>
      <c r="D36" s="28">
        <v>40</v>
      </c>
      <c r="E36" s="26">
        <v>388.94479999999999</v>
      </c>
      <c r="F36" s="27">
        <v>0.15522555139937499</v>
      </c>
    </row>
    <row r="37" spans="1:9" x14ac:dyDescent="0.2">
      <c r="A37" s="24" t="s">
        <v>752</v>
      </c>
      <c r="B37" s="24" t="s">
        <v>753</v>
      </c>
      <c r="C37" s="24" t="s">
        <v>689</v>
      </c>
      <c r="D37" s="28">
        <v>30</v>
      </c>
      <c r="E37" s="26">
        <v>313.41239999999999</v>
      </c>
      <c r="F37" s="27">
        <v>0.12508102076541799</v>
      </c>
    </row>
    <row r="38" spans="1:9" x14ac:dyDescent="0.2">
      <c r="A38" s="24" t="s">
        <v>1248</v>
      </c>
      <c r="B38" s="24" t="s">
        <v>1249</v>
      </c>
      <c r="C38" s="24" t="s">
        <v>697</v>
      </c>
      <c r="D38" s="28">
        <v>25</v>
      </c>
      <c r="E38" s="26">
        <v>247.25649999999999</v>
      </c>
      <c r="F38" s="27">
        <v>9.8678595393432503E-2</v>
      </c>
    </row>
    <row r="39" spans="1:9" ht="10.5" x14ac:dyDescent="0.25">
      <c r="A39" s="23" t="s">
        <v>24</v>
      </c>
      <c r="B39" s="23"/>
      <c r="C39" s="23"/>
      <c r="D39" s="29"/>
      <c r="E39" s="30">
        <f>SUM(E6:E38)</f>
        <v>183323.45881999991</v>
      </c>
      <c r="F39" s="31">
        <f>SUM(F6:F38)</f>
        <v>73.163299727300867</v>
      </c>
      <c r="G39" s="15"/>
      <c r="H39" s="15"/>
      <c r="I39" s="15"/>
    </row>
    <row r="40" spans="1:9" x14ac:dyDescent="0.2">
      <c r="A40" s="24"/>
      <c r="B40" s="24"/>
      <c r="C40" s="24"/>
      <c r="D40" s="25"/>
      <c r="E40" s="26"/>
      <c r="F40" s="27"/>
    </row>
    <row r="41" spans="1:9" ht="10.5" x14ac:dyDescent="0.25">
      <c r="A41" s="23" t="s">
        <v>818</v>
      </c>
      <c r="B41" s="24"/>
      <c r="C41" s="24"/>
      <c r="D41" s="25"/>
      <c r="E41" s="26"/>
      <c r="F41" s="27"/>
    </row>
    <row r="42" spans="1:9" x14ac:dyDescent="0.2">
      <c r="A42" s="24" t="s">
        <v>1250</v>
      </c>
      <c r="B42" s="24" t="s">
        <v>1251</v>
      </c>
      <c r="C42" s="24" t="s">
        <v>1026</v>
      </c>
      <c r="D42" s="28">
        <v>1400</v>
      </c>
      <c r="E42" s="26">
        <v>13696.13</v>
      </c>
      <c r="F42" s="27">
        <v>5.4660438480923697</v>
      </c>
    </row>
    <row r="43" spans="1:9" x14ac:dyDescent="0.2">
      <c r="A43" s="24" t="s">
        <v>1005</v>
      </c>
      <c r="B43" s="24" t="s">
        <v>1006</v>
      </c>
      <c r="C43" s="24" t="s">
        <v>1007</v>
      </c>
      <c r="D43" s="28">
        <v>100</v>
      </c>
      <c r="E43" s="26">
        <v>11777.5</v>
      </c>
      <c r="F43" s="27">
        <v>4.7003300509638803</v>
      </c>
    </row>
    <row r="44" spans="1:9" x14ac:dyDescent="0.2">
      <c r="A44" s="24" t="s">
        <v>1252</v>
      </c>
      <c r="B44" s="24" t="s">
        <v>1253</v>
      </c>
      <c r="C44" s="24" t="s">
        <v>1207</v>
      </c>
      <c r="D44" s="28">
        <v>889</v>
      </c>
      <c r="E44" s="26">
        <v>10537.74372</v>
      </c>
      <c r="F44" s="27">
        <v>4.2055507091039601</v>
      </c>
    </row>
    <row r="45" spans="1:9" x14ac:dyDescent="0.2">
      <c r="A45" s="24" t="s">
        <v>1032</v>
      </c>
      <c r="B45" s="24" t="s">
        <v>1033</v>
      </c>
      <c r="C45" s="24" t="s">
        <v>737</v>
      </c>
      <c r="D45" s="28">
        <v>1000</v>
      </c>
      <c r="E45" s="26">
        <v>9851.35</v>
      </c>
      <c r="F45" s="27">
        <v>3.9316150666578702</v>
      </c>
    </row>
    <row r="46" spans="1:9" x14ac:dyDescent="0.2">
      <c r="A46" s="24" t="s">
        <v>1254</v>
      </c>
      <c r="B46" s="24" t="s">
        <v>1255</v>
      </c>
      <c r="C46" s="24" t="s">
        <v>1041</v>
      </c>
      <c r="D46" s="28">
        <v>688</v>
      </c>
      <c r="E46" s="26">
        <v>6783.7625600000001</v>
      </c>
      <c r="F46" s="27">
        <v>2.70735920351277</v>
      </c>
    </row>
    <row r="47" spans="1:9" x14ac:dyDescent="0.2">
      <c r="A47" s="24" t="s">
        <v>1020</v>
      </c>
      <c r="B47" s="24" t="s">
        <v>1021</v>
      </c>
      <c r="C47" s="24" t="s">
        <v>1017</v>
      </c>
      <c r="D47" s="28">
        <v>770</v>
      </c>
      <c r="E47" s="26">
        <v>6774.644104</v>
      </c>
      <c r="F47" s="27">
        <v>2.7037200820731502</v>
      </c>
    </row>
    <row r="48" spans="1:9" x14ac:dyDescent="0.2">
      <c r="A48" s="24" t="s">
        <v>1256</v>
      </c>
      <c r="B48" s="24" t="s">
        <v>1257</v>
      </c>
      <c r="C48" s="24" t="s">
        <v>1041</v>
      </c>
      <c r="D48" s="28">
        <v>400</v>
      </c>
      <c r="E48" s="26">
        <v>3994.4119999999998</v>
      </c>
      <c r="F48" s="27">
        <v>1.59414602076253</v>
      </c>
    </row>
    <row r="49" spans="1:9" x14ac:dyDescent="0.2">
      <c r="A49" s="24" t="s">
        <v>1018</v>
      </c>
      <c r="B49" s="24" t="s">
        <v>1019</v>
      </c>
      <c r="C49" s="24" t="s">
        <v>902</v>
      </c>
      <c r="D49" s="28">
        <v>370</v>
      </c>
      <c r="E49" s="26">
        <v>3575.4432000000002</v>
      </c>
      <c r="F49" s="27">
        <v>1.42693806991929</v>
      </c>
    </row>
    <row r="50" spans="1:9" x14ac:dyDescent="0.2">
      <c r="A50" s="24" t="s">
        <v>1258</v>
      </c>
      <c r="B50" s="24" t="s">
        <v>833</v>
      </c>
      <c r="C50" s="24" t="s">
        <v>827</v>
      </c>
      <c r="D50" s="28">
        <v>3559</v>
      </c>
      <c r="E50" s="26">
        <v>3425.9602559999998</v>
      </c>
      <c r="F50" s="27">
        <v>1.36728031795243</v>
      </c>
    </row>
    <row r="51" spans="1:9" x14ac:dyDescent="0.2">
      <c r="A51" s="24" t="s">
        <v>832</v>
      </c>
      <c r="B51" s="24" t="s">
        <v>833</v>
      </c>
      <c r="C51" s="24" t="s">
        <v>827</v>
      </c>
      <c r="D51" s="28">
        <v>3473</v>
      </c>
      <c r="E51" s="26">
        <v>3343.175041</v>
      </c>
      <c r="F51" s="27">
        <v>1.3342412320819099</v>
      </c>
    </row>
    <row r="52" spans="1:9" x14ac:dyDescent="0.2">
      <c r="A52" s="24" t="s">
        <v>1056</v>
      </c>
      <c r="B52" s="24" t="s">
        <v>1057</v>
      </c>
      <c r="C52" s="24" t="s">
        <v>794</v>
      </c>
      <c r="D52" s="28">
        <v>300</v>
      </c>
      <c r="E52" s="26">
        <v>2954.49</v>
      </c>
      <c r="F52" s="27">
        <v>1.17911934895116</v>
      </c>
    </row>
    <row r="53" spans="1:9" x14ac:dyDescent="0.2">
      <c r="A53" s="24" t="s">
        <v>1065</v>
      </c>
      <c r="B53" s="24" t="s">
        <v>1066</v>
      </c>
      <c r="C53" s="24" t="s">
        <v>1017</v>
      </c>
      <c r="D53" s="28">
        <v>250</v>
      </c>
      <c r="E53" s="26">
        <v>2285.7027499999999</v>
      </c>
      <c r="F53" s="27">
        <v>0.91221034373982501</v>
      </c>
    </row>
    <row r="54" spans="1:9" x14ac:dyDescent="0.2">
      <c r="A54" s="24" t="s">
        <v>1072</v>
      </c>
      <c r="B54" s="24" t="s">
        <v>1073</v>
      </c>
      <c r="C54" s="24" t="s">
        <v>1074</v>
      </c>
      <c r="D54" s="28">
        <v>100</v>
      </c>
      <c r="E54" s="26">
        <v>1022.313</v>
      </c>
      <c r="F54" s="27">
        <v>0.40799902486869299</v>
      </c>
    </row>
    <row r="55" spans="1:9" x14ac:dyDescent="0.2">
      <c r="A55" s="24" t="s">
        <v>1047</v>
      </c>
      <c r="B55" s="24" t="s">
        <v>1048</v>
      </c>
      <c r="C55" s="24" t="s">
        <v>1017</v>
      </c>
      <c r="D55" s="28">
        <v>110</v>
      </c>
      <c r="E55" s="26">
        <v>1010.17525</v>
      </c>
      <c r="F55" s="27">
        <v>0.40315492118997698</v>
      </c>
    </row>
    <row r="56" spans="1:9" x14ac:dyDescent="0.2">
      <c r="A56" s="24" t="s">
        <v>1008</v>
      </c>
      <c r="B56" s="24" t="s">
        <v>1009</v>
      </c>
      <c r="C56" s="24" t="s">
        <v>1010</v>
      </c>
      <c r="D56" s="28">
        <v>10</v>
      </c>
      <c r="E56" s="26">
        <v>1007.394</v>
      </c>
      <c r="F56" s="27">
        <v>0.40204494089243997</v>
      </c>
    </row>
    <row r="57" spans="1:9" x14ac:dyDescent="0.2">
      <c r="A57" s="24" t="s">
        <v>1011</v>
      </c>
      <c r="B57" s="24" t="s">
        <v>1012</v>
      </c>
      <c r="C57" s="24" t="s">
        <v>684</v>
      </c>
      <c r="D57" s="28">
        <v>50</v>
      </c>
      <c r="E57" s="26">
        <v>479.60950000000003</v>
      </c>
      <c r="F57" s="27">
        <v>0.19140929276822399</v>
      </c>
    </row>
    <row r="58" spans="1:9" x14ac:dyDescent="0.2">
      <c r="A58" s="24" t="s">
        <v>1259</v>
      </c>
      <c r="B58" s="24" t="s">
        <v>1260</v>
      </c>
      <c r="C58" s="24" t="s">
        <v>1077</v>
      </c>
      <c r="D58" s="28">
        <v>607</v>
      </c>
      <c r="E58" s="26">
        <v>303.5</v>
      </c>
      <c r="F58" s="27">
        <v>0.121125041007645</v>
      </c>
    </row>
    <row r="59" spans="1:9" ht="10.5" x14ac:dyDescent="0.25">
      <c r="A59" s="23" t="s">
        <v>24</v>
      </c>
      <c r="B59" s="23"/>
      <c r="C59" s="23"/>
      <c r="D59" s="29"/>
      <c r="E59" s="30">
        <f>SUM(E41:E58)</f>
        <v>82823.305380999998</v>
      </c>
      <c r="F59" s="31">
        <f>SUM(F41:F58)</f>
        <v>33.054287514538125</v>
      </c>
      <c r="G59" s="15"/>
      <c r="H59" s="15"/>
      <c r="I59" s="15"/>
    </row>
    <row r="60" spans="1:9" x14ac:dyDescent="0.2">
      <c r="A60" s="24"/>
      <c r="B60" s="24"/>
      <c r="C60" s="24"/>
      <c r="D60" s="25"/>
      <c r="E60" s="26"/>
      <c r="F60" s="27"/>
    </row>
    <row r="61" spans="1:9" ht="10.5" x14ac:dyDescent="0.25">
      <c r="A61" s="23" t="s">
        <v>25</v>
      </c>
      <c r="B61" s="23"/>
      <c r="C61" s="23"/>
      <c r="D61" s="29"/>
      <c r="E61" s="30">
        <f>E39+E59</f>
        <v>266146.76420099993</v>
      </c>
      <c r="F61" s="31">
        <f>F39+F59</f>
        <v>106.217587241839</v>
      </c>
      <c r="G61" s="15"/>
      <c r="H61" s="15"/>
      <c r="I61" s="15"/>
    </row>
    <row r="62" spans="1:9" ht="10.5" x14ac:dyDescent="0.25">
      <c r="A62" s="23"/>
      <c r="B62" s="23"/>
      <c r="C62" s="23"/>
      <c r="D62" s="29"/>
      <c r="E62" s="30"/>
      <c r="F62" s="31"/>
      <c r="G62" s="15"/>
      <c r="H62" s="15"/>
      <c r="I62" s="15"/>
    </row>
    <row r="63" spans="1:9" ht="10.5" x14ac:dyDescent="0.25">
      <c r="A63" s="23" t="s">
        <v>27</v>
      </c>
      <c r="B63" s="23"/>
      <c r="C63" s="23"/>
      <c r="D63" s="29"/>
      <c r="E63" s="79">
        <f>E65-(E39+E59)</f>
        <v>-15579.253572999936</v>
      </c>
      <c r="F63" s="80">
        <f>F65-(F39+F59)</f>
        <v>-6.2175872418389986</v>
      </c>
      <c r="G63" s="15"/>
      <c r="H63" s="15"/>
      <c r="I63" s="15"/>
    </row>
    <row r="64" spans="1:9" ht="10.5" x14ac:dyDescent="0.25">
      <c r="A64" s="23"/>
      <c r="B64" s="23"/>
      <c r="C64" s="23"/>
      <c r="D64" s="29"/>
      <c r="E64" s="30"/>
      <c r="F64" s="31"/>
      <c r="G64" s="15"/>
      <c r="H64" s="15"/>
      <c r="I64" s="15"/>
    </row>
    <row r="65" spans="1:9" ht="10.5" x14ac:dyDescent="0.25">
      <c r="A65" s="32" t="s">
        <v>26</v>
      </c>
      <c r="B65" s="32"/>
      <c r="C65" s="32"/>
      <c r="D65" s="33"/>
      <c r="E65" s="34">
        <v>250567.51062799999</v>
      </c>
      <c r="F65" s="35">
        <v>100</v>
      </c>
      <c r="G65" s="15"/>
      <c r="H65" s="15"/>
      <c r="I65" s="15"/>
    </row>
    <row r="66" spans="1:9" ht="10.5" x14ac:dyDescent="0.25">
      <c r="A66" s="61" t="s">
        <v>872</v>
      </c>
    </row>
    <row r="67" spans="1:9" ht="10.5" x14ac:dyDescent="0.25">
      <c r="A67" s="61" t="s">
        <v>1795</v>
      </c>
    </row>
    <row r="68" spans="1:9" ht="10.5" x14ac:dyDescent="0.25">
      <c r="A68" s="62" t="s">
        <v>1798</v>
      </c>
    </row>
    <row r="69" spans="1:9" ht="10.5" x14ac:dyDescent="0.25">
      <c r="A69" s="62" t="s">
        <v>1818</v>
      </c>
    </row>
    <row r="71" spans="1:9" ht="10.5" x14ac:dyDescent="0.25">
      <c r="A71" s="15" t="s">
        <v>28</v>
      </c>
    </row>
    <row r="72" spans="1:9" ht="10.5" x14ac:dyDescent="0.25">
      <c r="A72" s="15" t="s">
        <v>29</v>
      </c>
    </row>
    <row r="73" spans="1:9" ht="10.5" x14ac:dyDescent="0.25">
      <c r="A73" s="15" t="s">
        <v>30</v>
      </c>
      <c r="B73" s="15"/>
      <c r="C73" s="36" t="s">
        <v>32</v>
      </c>
      <c r="D73" s="16" t="s">
        <v>31</v>
      </c>
    </row>
    <row r="74" spans="1:9" x14ac:dyDescent="0.2">
      <c r="A74" s="9" t="s">
        <v>38</v>
      </c>
      <c r="C74" s="37">
        <v>22.750800000000002</v>
      </c>
      <c r="D74" s="37">
        <v>22.407399999999999</v>
      </c>
    </row>
    <row r="75" spans="1:9" x14ac:dyDescent="0.2">
      <c r="A75" s="9" t="s">
        <v>40</v>
      </c>
      <c r="C75" s="37">
        <v>10.7658</v>
      </c>
      <c r="D75" s="37">
        <v>10.388199999999999</v>
      </c>
    </row>
    <row r="76" spans="1:9" x14ac:dyDescent="0.2">
      <c r="A76" s="9" t="s">
        <v>39</v>
      </c>
      <c r="C76" s="37">
        <v>23.9907</v>
      </c>
      <c r="D76" s="37">
        <v>23.724699999999999</v>
      </c>
    </row>
    <row r="77" spans="1:9" x14ac:dyDescent="0.2">
      <c r="A77" s="9" t="s">
        <v>41</v>
      </c>
      <c r="C77" s="37">
        <v>11.4839</v>
      </c>
      <c r="D77" s="37">
        <v>11.1416</v>
      </c>
    </row>
    <row r="79" spans="1:9" ht="10.5" x14ac:dyDescent="0.25">
      <c r="A79" s="15" t="s">
        <v>1882</v>
      </c>
    </row>
    <row r="80" spans="1:9" ht="10.5" x14ac:dyDescent="0.25">
      <c r="A80" s="90" t="s">
        <v>33</v>
      </c>
      <c r="B80" s="91"/>
      <c r="C80" s="92" t="s">
        <v>1883</v>
      </c>
      <c r="D80" s="93"/>
    </row>
    <row r="81" spans="1:6" ht="10.5" x14ac:dyDescent="0.25">
      <c r="A81" s="90"/>
      <c r="B81" s="91"/>
      <c r="C81" s="38" t="s">
        <v>34</v>
      </c>
      <c r="D81" s="39" t="s">
        <v>35</v>
      </c>
    </row>
    <row r="82" spans="1:6" x14ac:dyDescent="0.2">
      <c r="A82" s="96" t="s">
        <v>40</v>
      </c>
      <c r="B82" s="97"/>
      <c r="C82" s="40">
        <v>0.158470994</v>
      </c>
      <c r="D82" s="40">
        <v>0.14674493020000001</v>
      </c>
    </row>
    <row r="83" spans="1:6" x14ac:dyDescent="0.2">
      <c r="A83" s="96" t="s">
        <v>41</v>
      </c>
      <c r="B83" s="97"/>
      <c r="C83" s="40">
        <v>0.158470994</v>
      </c>
      <c r="D83" s="40">
        <v>0.14674493020000001</v>
      </c>
    </row>
    <row r="85" spans="1:6" ht="10.5" x14ac:dyDescent="0.25">
      <c r="A85" s="15" t="s">
        <v>882</v>
      </c>
      <c r="D85" s="11">
        <v>4.2815544422950804</v>
      </c>
      <c r="E85" s="11" t="s">
        <v>883</v>
      </c>
    </row>
    <row r="87" spans="1:6" ht="10.5" x14ac:dyDescent="0.25">
      <c r="A87" s="15" t="s">
        <v>884</v>
      </c>
      <c r="D87" s="60">
        <v>1</v>
      </c>
    </row>
    <row r="88" spans="1:6" x14ac:dyDescent="0.2">
      <c r="A88" s="9" t="s">
        <v>885</v>
      </c>
    </row>
    <row r="89" spans="1:6" ht="14.5" x14ac:dyDescent="0.35">
      <c r="A89" s="49" t="s">
        <v>1898</v>
      </c>
    </row>
    <row r="93" spans="1:6" s="1" customFormat="1" ht="14" x14ac:dyDescent="0.25">
      <c r="A93" s="88" t="s">
        <v>1261</v>
      </c>
      <c r="B93" s="89"/>
      <c r="C93" s="89"/>
      <c r="D93" s="89"/>
      <c r="E93" s="89"/>
      <c r="F93" s="89"/>
    </row>
    <row r="94" spans="1:6" ht="10.5" x14ac:dyDescent="0.25">
      <c r="A94" s="15" t="s">
        <v>888</v>
      </c>
    </row>
    <row r="95" spans="1:6" ht="10.5" x14ac:dyDescent="0.25">
      <c r="A95" s="15" t="s">
        <v>4</v>
      </c>
    </row>
    <row r="96" spans="1:6" s="1" customFormat="1" ht="21.75" customHeight="1" x14ac:dyDescent="0.25">
      <c r="A96" s="8" t="s">
        <v>2</v>
      </c>
      <c r="B96" s="8" t="s">
        <v>0</v>
      </c>
      <c r="C96" s="8" t="s">
        <v>661</v>
      </c>
      <c r="D96" s="71" t="s">
        <v>1</v>
      </c>
      <c r="E96" s="64" t="s">
        <v>1820</v>
      </c>
      <c r="F96" s="63" t="s">
        <v>3</v>
      </c>
    </row>
    <row r="97" spans="1:9" ht="10.5" x14ac:dyDescent="0.25">
      <c r="A97" s="18" t="s">
        <v>662</v>
      </c>
      <c r="B97" s="19"/>
      <c r="C97" s="19"/>
      <c r="D97" s="20"/>
      <c r="E97" s="21"/>
      <c r="F97" s="22"/>
    </row>
    <row r="98" spans="1:9" ht="10.5" x14ac:dyDescent="0.25">
      <c r="A98" s="23" t="s">
        <v>1799</v>
      </c>
      <c r="B98" s="24"/>
      <c r="C98" s="24"/>
      <c r="D98" s="25"/>
      <c r="E98" s="26"/>
      <c r="F98" s="27"/>
    </row>
    <row r="99" spans="1:9" x14ac:dyDescent="0.2">
      <c r="A99" s="24" t="s">
        <v>889</v>
      </c>
      <c r="B99" s="24" t="s">
        <v>890</v>
      </c>
      <c r="C99" s="24" t="s">
        <v>891</v>
      </c>
      <c r="D99" s="28">
        <v>470</v>
      </c>
      <c r="E99" s="26">
        <v>8.4999999999999999E-6</v>
      </c>
      <c r="F99" s="26">
        <v>100</v>
      </c>
    </row>
    <row r="100" spans="1:9" ht="10.5" x14ac:dyDescent="0.25">
      <c r="A100" s="23" t="s">
        <v>24</v>
      </c>
      <c r="B100" s="23"/>
      <c r="C100" s="23"/>
      <c r="D100" s="29"/>
      <c r="E100" s="30">
        <f>SUM(E98:E99)</f>
        <v>8.4999999999999999E-6</v>
      </c>
      <c r="F100" s="31">
        <f>SUM(F98:F99)</f>
        <v>100</v>
      </c>
      <c r="G100" s="15"/>
      <c r="H100" s="15"/>
      <c r="I100" s="15"/>
    </row>
    <row r="101" spans="1:9" x14ac:dyDescent="0.2">
      <c r="A101" s="24"/>
      <c r="B101" s="24"/>
      <c r="C101" s="24"/>
      <c r="D101" s="25"/>
      <c r="E101" s="26"/>
      <c r="F101" s="27"/>
    </row>
    <row r="102" spans="1:9" ht="10.5" x14ac:dyDescent="0.25">
      <c r="A102" s="23" t="s">
        <v>25</v>
      </c>
      <c r="B102" s="23"/>
      <c r="C102" s="23"/>
      <c r="D102" s="29"/>
      <c r="E102" s="30">
        <f>E100</f>
        <v>8.4999999999999999E-6</v>
      </c>
      <c r="F102" s="31">
        <f>F100</f>
        <v>100</v>
      </c>
      <c r="G102" s="15"/>
      <c r="H102" s="15"/>
      <c r="I102" s="15"/>
    </row>
    <row r="103" spans="1:9" ht="10.5" x14ac:dyDescent="0.25">
      <c r="A103" s="23"/>
      <c r="B103" s="23"/>
      <c r="C103" s="23"/>
      <c r="D103" s="29"/>
      <c r="E103" s="30"/>
      <c r="F103" s="31"/>
      <c r="G103" s="15"/>
      <c r="H103" s="15"/>
      <c r="I103" s="15"/>
    </row>
    <row r="104" spans="1:9" ht="10.5" x14ac:dyDescent="0.25">
      <c r="A104" s="23" t="s">
        <v>27</v>
      </c>
      <c r="B104" s="23"/>
      <c r="C104" s="23"/>
      <c r="D104" s="29"/>
      <c r="E104" s="30">
        <f>E106-(E100)</f>
        <v>-7.6000000000000001E-6</v>
      </c>
      <c r="F104" s="85" t="s">
        <v>1896</v>
      </c>
      <c r="G104" s="15"/>
      <c r="H104" s="15"/>
      <c r="I104" s="15"/>
    </row>
    <row r="105" spans="1:9" ht="10.5" x14ac:dyDescent="0.25">
      <c r="A105" s="23"/>
      <c r="B105" s="23"/>
      <c r="C105" s="23"/>
      <c r="D105" s="29"/>
      <c r="E105" s="30"/>
      <c r="F105" s="31"/>
      <c r="G105" s="15"/>
      <c r="H105" s="15"/>
      <c r="I105" s="15"/>
    </row>
    <row r="106" spans="1:9" ht="10.5" x14ac:dyDescent="0.25">
      <c r="A106" s="32" t="s">
        <v>26</v>
      </c>
      <c r="B106" s="32"/>
      <c r="C106" s="32"/>
      <c r="D106" s="33"/>
      <c r="E106" s="34">
        <v>8.9999999999999996E-7</v>
      </c>
      <c r="F106" s="35">
        <v>100</v>
      </c>
      <c r="G106" s="15"/>
      <c r="H106" s="15"/>
      <c r="I106" s="15"/>
    </row>
    <row r="107" spans="1:9" ht="10.5" x14ac:dyDescent="0.25">
      <c r="A107" s="61" t="s">
        <v>872</v>
      </c>
      <c r="F107" s="86" t="s">
        <v>37</v>
      </c>
    </row>
    <row r="108" spans="1:9" ht="10.5" x14ac:dyDescent="0.25">
      <c r="A108" s="61" t="s">
        <v>1795</v>
      </c>
    </row>
    <row r="109" spans="1:9" ht="10.5" x14ac:dyDescent="0.25">
      <c r="A109" s="62" t="s">
        <v>1798</v>
      </c>
    </row>
    <row r="111" spans="1:9" ht="10.5" x14ac:dyDescent="0.25">
      <c r="A111" s="15" t="s">
        <v>28</v>
      </c>
    </row>
    <row r="112" spans="1:9" ht="10.5" x14ac:dyDescent="0.25">
      <c r="A112" s="15" t="s">
        <v>29</v>
      </c>
    </row>
    <row r="113" spans="1:6" ht="10.5" x14ac:dyDescent="0.25">
      <c r="A113" s="15" t="s">
        <v>30</v>
      </c>
      <c r="B113" s="15"/>
      <c r="C113" s="36" t="s">
        <v>32</v>
      </c>
      <c r="D113" s="16" t="s">
        <v>31</v>
      </c>
    </row>
    <row r="114" spans="1:6" x14ac:dyDescent="0.2">
      <c r="A114" s="9" t="s">
        <v>38</v>
      </c>
      <c r="C114" s="58" t="s">
        <v>1794</v>
      </c>
      <c r="D114" s="37">
        <v>0</v>
      </c>
    </row>
    <row r="115" spans="1:6" x14ac:dyDescent="0.2">
      <c r="A115" s="9" t="s">
        <v>40</v>
      </c>
      <c r="C115" s="58" t="s">
        <v>1794</v>
      </c>
      <c r="D115" s="37">
        <v>0</v>
      </c>
    </row>
    <row r="116" spans="1:6" x14ac:dyDescent="0.2">
      <c r="A116" s="9" t="s">
        <v>39</v>
      </c>
      <c r="C116" s="58" t="s">
        <v>1794</v>
      </c>
      <c r="D116" s="37">
        <v>0</v>
      </c>
    </row>
    <row r="117" spans="1:6" x14ac:dyDescent="0.2">
      <c r="A117" s="9" t="s">
        <v>41</v>
      </c>
      <c r="C117" s="58" t="s">
        <v>1794</v>
      </c>
      <c r="D117" s="37">
        <v>0</v>
      </c>
    </row>
    <row r="118" spans="1:6" x14ac:dyDescent="0.2">
      <c r="C118" s="58"/>
      <c r="D118" s="37"/>
    </row>
    <row r="119" spans="1:6" ht="10.5" x14ac:dyDescent="0.25">
      <c r="A119" s="15" t="s">
        <v>1863</v>
      </c>
      <c r="C119" s="58"/>
      <c r="D119" s="37"/>
    </row>
    <row r="121" spans="1:6" ht="10.5" x14ac:dyDescent="0.25">
      <c r="A121" s="15" t="s">
        <v>1797</v>
      </c>
      <c r="D121" s="41" t="s">
        <v>36</v>
      </c>
    </row>
    <row r="122" spans="1:6" x14ac:dyDescent="0.2">
      <c r="A122" s="9" t="s">
        <v>885</v>
      </c>
    </row>
    <row r="123" spans="1:6" ht="14.5" x14ac:dyDescent="0.35">
      <c r="A123" s="49" t="s">
        <v>1898</v>
      </c>
    </row>
    <row r="124" spans="1:6" ht="14.5" x14ac:dyDescent="0.35">
      <c r="A124" s="49"/>
    </row>
    <row r="125" spans="1:6" ht="14.5" x14ac:dyDescent="0.35">
      <c r="A125" s="49"/>
    </row>
    <row r="126" spans="1:6" s="1" customFormat="1" ht="14" x14ac:dyDescent="0.25">
      <c r="A126" s="88" t="s">
        <v>1262</v>
      </c>
      <c r="B126" s="89"/>
      <c r="C126" s="89"/>
      <c r="D126" s="89"/>
      <c r="E126" s="89"/>
      <c r="F126" s="89"/>
    </row>
    <row r="127" spans="1:6" ht="10.5" x14ac:dyDescent="0.25">
      <c r="A127" s="15" t="s">
        <v>1098</v>
      </c>
    </row>
    <row r="128" spans="1:6" ht="10.5" x14ac:dyDescent="0.25">
      <c r="A128" s="15" t="s">
        <v>4</v>
      </c>
    </row>
    <row r="129" spans="1:9" s="1" customFormat="1" ht="26.25" customHeight="1" x14ac:dyDescent="0.25">
      <c r="A129" s="8" t="s">
        <v>2</v>
      </c>
      <c r="B129" s="8" t="s">
        <v>0</v>
      </c>
      <c r="C129" s="8" t="s">
        <v>661</v>
      </c>
      <c r="D129" s="71" t="s">
        <v>1</v>
      </c>
      <c r="E129" s="64" t="s">
        <v>1820</v>
      </c>
      <c r="F129" s="63" t="s">
        <v>3</v>
      </c>
    </row>
    <row r="130" spans="1:9" ht="10.5" x14ac:dyDescent="0.25">
      <c r="A130" s="18" t="s">
        <v>662</v>
      </c>
      <c r="B130" s="19"/>
      <c r="C130" s="19"/>
      <c r="D130" s="20"/>
      <c r="E130" s="21"/>
      <c r="F130" s="22"/>
    </row>
    <row r="131" spans="1:9" ht="10.5" x14ac:dyDescent="0.25">
      <c r="A131" s="23" t="s">
        <v>23</v>
      </c>
      <c r="B131" s="24"/>
      <c r="C131" s="24"/>
      <c r="D131" s="25"/>
      <c r="E131" s="26"/>
      <c r="F131" s="27"/>
    </row>
    <row r="132" spans="1:9" x14ac:dyDescent="0.2">
      <c r="A132" s="24" t="s">
        <v>1099</v>
      </c>
      <c r="B132" s="24" t="s">
        <v>1100</v>
      </c>
      <c r="C132" s="24" t="s">
        <v>1101</v>
      </c>
      <c r="D132" s="28">
        <v>1450</v>
      </c>
      <c r="E132" s="26">
        <v>8.4999999999999999E-6</v>
      </c>
      <c r="F132" s="26">
        <v>100</v>
      </c>
    </row>
    <row r="133" spans="1:9" ht="10.5" x14ac:dyDescent="0.25">
      <c r="A133" s="23" t="s">
        <v>24</v>
      </c>
      <c r="B133" s="23"/>
      <c r="C133" s="23"/>
      <c r="D133" s="29"/>
      <c r="E133" s="30">
        <f>SUM(E131:E132)</f>
        <v>8.4999999999999999E-6</v>
      </c>
      <c r="F133" s="31">
        <f>SUM(F131:F132)</f>
        <v>100</v>
      </c>
      <c r="G133" s="15"/>
      <c r="H133" s="15"/>
      <c r="I133" s="15"/>
    </row>
    <row r="134" spans="1:9" x14ac:dyDescent="0.2">
      <c r="A134" s="24"/>
      <c r="B134" s="24"/>
      <c r="C134" s="24"/>
      <c r="D134" s="25"/>
      <c r="E134" s="26"/>
      <c r="F134" s="27"/>
    </row>
    <row r="135" spans="1:9" ht="10.5" x14ac:dyDescent="0.25">
      <c r="A135" s="23" t="s">
        <v>25</v>
      </c>
      <c r="B135" s="23"/>
      <c r="C135" s="23"/>
      <c r="D135" s="29"/>
      <c r="E135" s="30">
        <f>E133</f>
        <v>8.4999999999999999E-6</v>
      </c>
      <c r="F135" s="31">
        <f>F133</f>
        <v>100</v>
      </c>
      <c r="G135" s="15"/>
      <c r="H135" s="15"/>
      <c r="I135" s="15"/>
    </row>
    <row r="136" spans="1:9" ht="10.5" x14ac:dyDescent="0.25">
      <c r="A136" s="23"/>
      <c r="B136" s="23"/>
      <c r="C136" s="23"/>
      <c r="D136" s="29"/>
      <c r="E136" s="30"/>
      <c r="F136" s="31"/>
      <c r="G136" s="15"/>
      <c r="H136" s="15"/>
      <c r="I136" s="15"/>
    </row>
    <row r="137" spans="1:9" ht="10.5" x14ac:dyDescent="0.25">
      <c r="A137" s="23" t="s">
        <v>27</v>
      </c>
      <c r="B137" s="23"/>
      <c r="C137" s="23"/>
      <c r="D137" s="29"/>
      <c r="E137" s="30">
        <f>E139-(E133)</f>
        <v>-7.6000000000000001E-6</v>
      </c>
      <c r="F137" s="85" t="s">
        <v>1896</v>
      </c>
      <c r="G137" s="15"/>
      <c r="H137" s="15"/>
      <c r="I137" s="15"/>
    </row>
    <row r="138" spans="1:9" ht="10.5" x14ac:dyDescent="0.25">
      <c r="A138" s="23"/>
      <c r="B138" s="23"/>
      <c r="C138" s="23"/>
      <c r="D138" s="29"/>
      <c r="E138" s="30"/>
      <c r="F138" s="31"/>
      <c r="G138" s="15"/>
      <c r="H138" s="15"/>
      <c r="I138" s="15"/>
    </row>
    <row r="139" spans="1:9" ht="10.5" x14ac:dyDescent="0.25">
      <c r="A139" s="32" t="s">
        <v>26</v>
      </c>
      <c r="B139" s="32"/>
      <c r="C139" s="32"/>
      <c r="D139" s="33"/>
      <c r="E139" s="34">
        <v>8.9999999999999996E-7</v>
      </c>
      <c r="F139" s="35">
        <v>100</v>
      </c>
      <c r="G139" s="15"/>
      <c r="H139" s="15"/>
      <c r="I139" s="15"/>
    </row>
    <row r="140" spans="1:9" ht="10.5" x14ac:dyDescent="0.25">
      <c r="A140" s="61" t="s">
        <v>872</v>
      </c>
      <c r="F140" s="86" t="s">
        <v>37</v>
      </c>
    </row>
    <row r="141" spans="1:9" ht="10.5" x14ac:dyDescent="0.25">
      <c r="A141" s="61" t="s">
        <v>1795</v>
      </c>
    </row>
    <row r="142" spans="1:9" ht="10.5" x14ac:dyDescent="0.25">
      <c r="A142" s="62" t="s">
        <v>1798</v>
      </c>
    </row>
    <row r="144" spans="1:9" ht="10.5" x14ac:dyDescent="0.25">
      <c r="A144" s="15" t="s">
        <v>28</v>
      </c>
    </row>
    <row r="145" spans="1:4" ht="10.5" x14ac:dyDescent="0.25">
      <c r="A145" s="15" t="s">
        <v>29</v>
      </c>
    </row>
    <row r="146" spans="1:4" ht="10.5" x14ac:dyDescent="0.25">
      <c r="A146" s="15" t="s">
        <v>30</v>
      </c>
      <c r="B146" s="15"/>
      <c r="C146" s="36" t="s">
        <v>32</v>
      </c>
      <c r="D146" s="16" t="s">
        <v>31</v>
      </c>
    </row>
    <row r="147" spans="1:4" x14ac:dyDescent="0.2">
      <c r="A147" s="9" t="s">
        <v>38</v>
      </c>
      <c r="C147" s="58" t="s">
        <v>1794</v>
      </c>
      <c r="D147" s="37">
        <v>0</v>
      </c>
    </row>
    <row r="148" spans="1:4" x14ac:dyDescent="0.2">
      <c r="A148" s="9" t="s">
        <v>40</v>
      </c>
      <c r="C148" s="58" t="s">
        <v>1794</v>
      </c>
      <c r="D148" s="37">
        <v>0</v>
      </c>
    </row>
    <row r="149" spans="1:4" x14ac:dyDescent="0.2">
      <c r="A149" s="9" t="s">
        <v>39</v>
      </c>
      <c r="C149" s="58" t="s">
        <v>1794</v>
      </c>
      <c r="D149" s="37">
        <v>0</v>
      </c>
    </row>
    <row r="150" spans="1:4" x14ac:dyDescent="0.2">
      <c r="A150" s="9" t="s">
        <v>41</v>
      </c>
      <c r="C150" s="58" t="s">
        <v>1794</v>
      </c>
      <c r="D150" s="37">
        <v>0</v>
      </c>
    </row>
    <row r="152" spans="1:4" ht="10.5" x14ac:dyDescent="0.25">
      <c r="A152" s="15" t="s">
        <v>1863</v>
      </c>
      <c r="C152" s="58"/>
      <c r="D152" s="37"/>
    </row>
    <row r="153" spans="1:4" x14ac:dyDescent="0.2">
      <c r="C153" s="58"/>
    </row>
    <row r="154" spans="1:4" ht="10.5" x14ac:dyDescent="0.25">
      <c r="A154" s="15" t="s">
        <v>1797</v>
      </c>
      <c r="D154" s="41" t="s">
        <v>36</v>
      </c>
    </row>
    <row r="155" spans="1:4" x14ac:dyDescent="0.2">
      <c r="A155" s="9" t="s">
        <v>885</v>
      </c>
    </row>
    <row r="156" spans="1:4" ht="14.5" x14ac:dyDescent="0.35">
      <c r="A156" s="49" t="s">
        <v>1898</v>
      </c>
    </row>
  </sheetData>
  <mergeCells count="8">
    <mergeCell ref="A93:F93"/>
    <mergeCell ref="A126:F126"/>
    <mergeCell ref="A1:F1"/>
    <mergeCell ref="A80:B80"/>
    <mergeCell ref="C80:D80"/>
    <mergeCell ref="A81:B81"/>
    <mergeCell ref="A82:B82"/>
    <mergeCell ref="A83:B83"/>
  </mergeCells>
  <conditionalFormatting sqref="F2:F3 F94:F95 F127:F128 F141:F151 F157:F65536 F108:F125 F5:F92">
    <cfRule type="cellIs" dxfId="107" priority="11" stopIfTrue="1" operator="between">
      <formula>0.009</formula>
      <formula>-0.009</formula>
    </cfRule>
  </conditionalFormatting>
  <conditionalFormatting sqref="F97:F98">
    <cfRule type="cellIs" dxfId="106" priority="10" stopIfTrue="1" operator="between">
      <formula>0.009</formula>
      <formula>-0.009</formula>
    </cfRule>
  </conditionalFormatting>
  <conditionalFormatting sqref="F100:F103">
    <cfRule type="cellIs" dxfId="105" priority="9" stopIfTrue="1" operator="between">
      <formula>0.009</formula>
      <formula>-0.009</formula>
    </cfRule>
  </conditionalFormatting>
  <conditionalFormatting sqref="F130:F131">
    <cfRule type="cellIs" dxfId="104" priority="7" stopIfTrue="1" operator="between">
      <formula>0.009</formula>
      <formula>-0.009</formula>
    </cfRule>
  </conditionalFormatting>
  <conditionalFormatting sqref="F133:F136">
    <cfRule type="cellIs" dxfId="103" priority="6" stopIfTrue="1" operator="between">
      <formula>0.009</formula>
      <formula>-0.009</formula>
    </cfRule>
  </conditionalFormatting>
  <conditionalFormatting sqref="F152:F156">
    <cfRule type="cellIs" dxfId="102" priority="5" stopIfTrue="1" operator="between">
      <formula>0.009</formula>
      <formula>-0.009</formula>
    </cfRule>
  </conditionalFormatting>
  <conditionalFormatting sqref="F105:F106">
    <cfRule type="cellIs" dxfId="101" priority="4" stopIfTrue="1" operator="between">
      <formula>0.009</formula>
      <formula>-0.009</formula>
    </cfRule>
  </conditionalFormatting>
  <conditionalFormatting sqref="F107">
    <cfRule type="cellIs" dxfId="100" priority="3" stopIfTrue="1" operator="between">
      <formula>0.009</formula>
      <formula>-0.009</formula>
    </cfRule>
  </conditionalFormatting>
  <conditionalFormatting sqref="F138:F139">
    <cfRule type="cellIs" dxfId="99" priority="2" stopIfTrue="1" operator="between">
      <formula>0.009</formula>
      <formula>-0.009</formula>
    </cfRule>
  </conditionalFormatting>
  <conditionalFormatting sqref="F140">
    <cfRule type="cellIs" dxfId="98" priority="1" stopIfTrue="1" operator="between">
      <formula>0.009</formula>
      <formula>-0.009</formula>
    </cfRule>
  </conditionalFormatting>
  <hyperlinks>
    <hyperlink ref="A89" r:id="rId1" xr:uid="{00000000-0004-0000-0400-000000000000}"/>
    <hyperlink ref="A123" r:id="rId2" xr:uid="{00000000-0004-0000-0400-000001000000}"/>
    <hyperlink ref="A156" r:id="rId3" xr:uid="{00000000-0004-0000-0400-000002000000}"/>
  </hyperlinks>
  <pageMargins left="0.7" right="0.7" top="0.75" bottom="0.75" header="0.3" footer="0.3"/>
  <pageSetup paperSize="9" scale="53" orientation="portrait" r:id="rId4"/>
  <headerFooter>
    <evenFooter>&amp;LPUBLIC</evenFooter>
    <firstFooter>&amp;LPUBLIC</firstFooter>
  </headerFooter>
  <rowBreaks count="1" manualBreakCount="1">
    <brk id="90" max="5" man="1"/>
  </rowBreaks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48.7265625" style="9" customWidth="1"/>
    <col min="2" max="2" width="27.7265625" style="9" customWidth="1"/>
    <col min="3" max="3" width="21.7265625" style="9" customWidth="1"/>
    <col min="4" max="4" width="15.453125" style="10" bestFit="1" customWidth="1"/>
    <col min="5" max="5" width="13" style="11" customWidth="1"/>
    <col min="6" max="6" width="8.81640625" style="14" customWidth="1"/>
    <col min="7" max="7" width="5.81640625" style="9" bestFit="1" customWidth="1"/>
    <col min="8" max="16384" width="9.1796875" style="9"/>
  </cols>
  <sheetData>
    <row r="1" spans="1:9" s="1" customFormat="1" ht="14" x14ac:dyDescent="0.25">
      <c r="A1" s="88" t="s">
        <v>1823</v>
      </c>
      <c r="B1" s="89"/>
      <c r="C1" s="89"/>
      <c r="D1" s="89"/>
      <c r="E1" s="89"/>
      <c r="F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9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9" ht="10.5" x14ac:dyDescent="0.25">
      <c r="A4" s="18" t="s">
        <v>1263</v>
      </c>
      <c r="B4" s="19"/>
      <c r="C4" s="19"/>
      <c r="D4" s="20"/>
      <c r="E4" s="21"/>
      <c r="F4" s="22"/>
    </row>
    <row r="5" spans="1:9" x14ac:dyDescent="0.2">
      <c r="A5" s="24" t="s">
        <v>1264</v>
      </c>
      <c r="B5" s="24" t="s">
        <v>1265</v>
      </c>
      <c r="C5" s="24" t="s">
        <v>1266</v>
      </c>
      <c r="D5" s="28">
        <v>12700000</v>
      </c>
      <c r="E5" s="26">
        <v>13662.9648</v>
      </c>
      <c r="F5" s="27">
        <v>49.420448772634302</v>
      </c>
    </row>
    <row r="6" spans="1:9" x14ac:dyDescent="0.2">
      <c r="A6" s="24" t="s">
        <v>1267</v>
      </c>
      <c r="B6" s="24" t="s">
        <v>1268</v>
      </c>
      <c r="C6" s="24" t="s">
        <v>1266</v>
      </c>
      <c r="D6" s="28">
        <v>9100000</v>
      </c>
      <c r="E6" s="26">
        <v>9311.8844000000008</v>
      </c>
      <c r="F6" s="27">
        <v>33.6821116575586</v>
      </c>
    </row>
    <row r="7" spans="1:9" x14ac:dyDescent="0.2">
      <c r="A7" s="24" t="s">
        <v>1269</v>
      </c>
      <c r="B7" s="24" t="s">
        <v>1881</v>
      </c>
      <c r="C7" s="24" t="s">
        <v>1266</v>
      </c>
      <c r="D7" s="28">
        <v>1900000</v>
      </c>
      <c r="E7" s="26">
        <v>1991.1012000000001</v>
      </c>
      <c r="F7" s="27">
        <v>7.2020323770233698</v>
      </c>
    </row>
    <row r="8" spans="1:9" x14ac:dyDescent="0.2">
      <c r="A8" s="24" t="s">
        <v>1270</v>
      </c>
      <c r="B8" s="24" t="s">
        <v>1271</v>
      </c>
      <c r="C8" s="24" t="s">
        <v>1266</v>
      </c>
      <c r="D8" s="28">
        <v>1000000</v>
      </c>
      <c r="E8" s="26">
        <v>1049.242</v>
      </c>
      <c r="F8" s="27">
        <v>3.7952238968731198</v>
      </c>
    </row>
    <row r="9" spans="1:9" ht="10.5" x14ac:dyDescent="0.25">
      <c r="A9" s="23" t="s">
        <v>24</v>
      </c>
      <c r="B9" s="23"/>
      <c r="C9" s="23"/>
      <c r="D9" s="29"/>
      <c r="E9" s="30">
        <f>SUM(E5:E8)</f>
        <v>26015.1924</v>
      </c>
      <c r="F9" s="31">
        <f>SUM(F5:F8)</f>
        <v>94.099816704089406</v>
      </c>
      <c r="G9" s="15"/>
      <c r="H9" s="15"/>
      <c r="I9" s="15"/>
    </row>
    <row r="10" spans="1:9" x14ac:dyDescent="0.2">
      <c r="A10" s="24"/>
      <c r="B10" s="24"/>
      <c r="C10" s="24"/>
      <c r="D10" s="25"/>
      <c r="E10" s="26"/>
      <c r="F10" s="27"/>
    </row>
    <row r="11" spans="1:9" ht="10.5" x14ac:dyDescent="0.25">
      <c r="A11" s="23" t="s">
        <v>25</v>
      </c>
      <c r="B11" s="23"/>
      <c r="C11" s="23"/>
      <c r="D11" s="29"/>
      <c r="E11" s="30">
        <f>E9</f>
        <v>26015.1924</v>
      </c>
      <c r="F11" s="31">
        <f>F9</f>
        <v>94.099816704089406</v>
      </c>
      <c r="G11" s="15"/>
      <c r="H11" s="15"/>
      <c r="I11" s="15"/>
    </row>
    <row r="12" spans="1:9" ht="10.5" x14ac:dyDescent="0.25">
      <c r="A12" s="23"/>
      <c r="B12" s="23"/>
      <c r="C12" s="23"/>
      <c r="D12" s="29"/>
      <c r="E12" s="30"/>
      <c r="F12" s="31"/>
      <c r="G12" s="15"/>
      <c r="H12" s="15"/>
      <c r="I12" s="15"/>
    </row>
    <row r="13" spans="1:9" ht="10.5" x14ac:dyDescent="0.25">
      <c r="A13" s="23" t="s">
        <v>27</v>
      </c>
      <c r="B13" s="23"/>
      <c r="C13" s="23"/>
      <c r="D13" s="29"/>
      <c r="E13" s="30">
        <f>E15-(E9)</f>
        <v>1631.1870630000012</v>
      </c>
      <c r="F13" s="31">
        <f>F15-(F9)</f>
        <v>5.900183295910594</v>
      </c>
      <c r="G13" s="15"/>
      <c r="H13" s="15"/>
      <c r="I13" s="15"/>
    </row>
    <row r="14" spans="1:9" ht="10.5" x14ac:dyDescent="0.25">
      <c r="A14" s="23"/>
      <c r="B14" s="23"/>
      <c r="C14" s="23"/>
      <c r="D14" s="29"/>
      <c r="E14" s="30"/>
      <c r="F14" s="31"/>
      <c r="G14" s="15"/>
      <c r="H14" s="15"/>
      <c r="I14" s="15"/>
    </row>
    <row r="15" spans="1:9" ht="10.5" x14ac:dyDescent="0.25">
      <c r="A15" s="32" t="s">
        <v>26</v>
      </c>
      <c r="B15" s="32"/>
      <c r="C15" s="32"/>
      <c r="D15" s="33"/>
      <c r="E15" s="34">
        <v>27646.379463000001</v>
      </c>
      <c r="F15" s="35">
        <v>100</v>
      </c>
      <c r="G15" s="15"/>
      <c r="H15" s="15"/>
      <c r="I15" s="15"/>
    </row>
    <row r="16" spans="1:9" ht="10.5" x14ac:dyDescent="0.25">
      <c r="A16" s="76" t="s">
        <v>1855</v>
      </c>
      <c r="B16" s="72"/>
      <c r="C16" s="72"/>
      <c r="D16" s="73"/>
      <c r="E16" s="74"/>
      <c r="F16" s="17"/>
      <c r="G16" s="15"/>
      <c r="H16" s="15"/>
      <c r="I16" s="15"/>
    </row>
    <row r="18" spans="1:5" ht="10.5" x14ac:dyDescent="0.25">
      <c r="A18" s="15" t="s">
        <v>28</v>
      </c>
    </row>
    <row r="19" spans="1:5" ht="10.5" x14ac:dyDescent="0.25">
      <c r="A19" s="15" t="s">
        <v>29</v>
      </c>
    </row>
    <row r="20" spans="1:5" ht="10.5" x14ac:dyDescent="0.25">
      <c r="A20" s="15" t="s">
        <v>30</v>
      </c>
      <c r="B20" s="15"/>
      <c r="C20" s="36" t="s">
        <v>32</v>
      </c>
      <c r="D20" s="16" t="s">
        <v>31</v>
      </c>
    </row>
    <row r="21" spans="1:5" x14ac:dyDescent="0.2">
      <c r="A21" s="9" t="s">
        <v>42</v>
      </c>
      <c r="C21" s="37">
        <v>43.413800000000002</v>
      </c>
      <c r="D21" s="37">
        <v>45.561900000000001</v>
      </c>
    </row>
    <row r="22" spans="1:5" x14ac:dyDescent="0.2">
      <c r="A22" s="9" t="s">
        <v>1272</v>
      </c>
      <c r="C22" s="37">
        <v>10.8222</v>
      </c>
      <c r="D22" s="37">
        <v>10.9056</v>
      </c>
    </row>
    <row r="23" spans="1:5" x14ac:dyDescent="0.2">
      <c r="A23" s="9" t="s">
        <v>43</v>
      </c>
      <c r="C23" s="37">
        <v>46.260199999999998</v>
      </c>
      <c r="D23" s="37">
        <v>48.6768</v>
      </c>
    </row>
    <row r="24" spans="1:5" x14ac:dyDescent="0.2">
      <c r="A24" s="9" t="s">
        <v>1273</v>
      </c>
      <c r="C24" s="37">
        <v>11.7563</v>
      </c>
      <c r="D24" s="37">
        <v>11.9175</v>
      </c>
    </row>
    <row r="26" spans="1:5" ht="10.5" x14ac:dyDescent="0.25">
      <c r="A26" s="15" t="s">
        <v>1882</v>
      </c>
    </row>
    <row r="27" spans="1:5" ht="10.5" x14ac:dyDescent="0.25">
      <c r="A27" s="90" t="s">
        <v>33</v>
      </c>
      <c r="B27" s="91"/>
      <c r="C27" s="92" t="s">
        <v>1883</v>
      </c>
      <c r="D27" s="93"/>
    </row>
    <row r="28" spans="1:5" ht="10.5" x14ac:dyDescent="0.25">
      <c r="A28" s="90"/>
      <c r="B28" s="91"/>
      <c r="C28" s="38" t="s">
        <v>34</v>
      </c>
      <c r="D28" s="39" t="s">
        <v>35</v>
      </c>
    </row>
    <row r="29" spans="1:5" x14ac:dyDescent="0.2">
      <c r="A29" s="96" t="s">
        <v>1272</v>
      </c>
      <c r="B29" s="97"/>
      <c r="C29" s="40">
        <v>0.31694198800000001</v>
      </c>
      <c r="D29" s="40">
        <v>0.29348986040000002</v>
      </c>
    </row>
    <row r="30" spans="1:5" x14ac:dyDescent="0.2">
      <c r="A30" s="96" t="s">
        <v>1273</v>
      </c>
      <c r="B30" s="97"/>
      <c r="C30" s="40">
        <v>0.31694198800000001</v>
      </c>
      <c r="D30" s="40">
        <v>0.29348986040000002</v>
      </c>
    </row>
    <row r="32" spans="1:5" ht="10.5" x14ac:dyDescent="0.25">
      <c r="A32" s="15" t="s">
        <v>882</v>
      </c>
      <c r="D32" s="11">
        <v>10.4819541784153</v>
      </c>
      <c r="E32" s="11" t="s">
        <v>883</v>
      </c>
    </row>
    <row r="34" spans="1:4" ht="10.5" x14ac:dyDescent="0.25">
      <c r="A34" s="15" t="s">
        <v>884</v>
      </c>
      <c r="D34" s="41" t="s">
        <v>36</v>
      </c>
    </row>
    <row r="36" spans="1:4" ht="10.5" x14ac:dyDescent="0.25">
      <c r="A36" s="15" t="s">
        <v>1824</v>
      </c>
    </row>
  </sheetData>
  <mergeCells count="6">
    <mergeCell ref="A30:B30"/>
    <mergeCell ref="A1:F1"/>
    <mergeCell ref="A27:B27"/>
    <mergeCell ref="C27:D27"/>
    <mergeCell ref="A28:B28"/>
    <mergeCell ref="A29:B29"/>
  </mergeCells>
  <conditionalFormatting sqref="F2 F4:F65536">
    <cfRule type="cellIs" dxfId="9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4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5.453125" style="9" bestFit="1" customWidth="1"/>
    <col min="3" max="3" width="15.453125" style="9" bestFit="1" customWidth="1"/>
    <col min="4" max="4" width="15.453125" style="10" bestFit="1" customWidth="1"/>
    <col min="5" max="5" width="13.7265625" style="11" customWidth="1"/>
    <col min="6" max="6" width="10.453125" style="14" customWidth="1"/>
    <col min="7" max="7" width="5.7265625" style="9" bestFit="1" customWidth="1"/>
    <col min="8" max="16384" width="9.1796875" style="9"/>
  </cols>
  <sheetData>
    <row r="1" spans="1:6" s="1" customFormat="1" ht="14" x14ac:dyDescent="0.25">
      <c r="A1" s="88" t="s">
        <v>1877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9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1274</v>
      </c>
      <c r="B6" s="24" t="s">
        <v>1275</v>
      </c>
      <c r="C6" s="24" t="s">
        <v>815</v>
      </c>
      <c r="D6" s="28">
        <v>400</v>
      </c>
      <c r="E6" s="26">
        <v>3913.4560000000001</v>
      </c>
      <c r="F6" s="27">
        <v>9.6073459528436107</v>
      </c>
    </row>
    <row r="7" spans="1:6" x14ac:dyDescent="0.2">
      <c r="A7" s="24" t="s">
        <v>1276</v>
      </c>
      <c r="B7" s="24" t="s">
        <v>1277</v>
      </c>
      <c r="C7" s="24" t="s">
        <v>1278</v>
      </c>
      <c r="D7" s="28">
        <v>250</v>
      </c>
      <c r="E7" s="26">
        <v>2440.1675</v>
      </c>
      <c r="F7" s="27">
        <v>5.9904936596669298</v>
      </c>
    </row>
    <row r="8" spans="1:6" x14ac:dyDescent="0.2">
      <c r="A8" s="24" t="s">
        <v>816</v>
      </c>
      <c r="B8" s="24" t="s">
        <v>817</v>
      </c>
      <c r="C8" s="24" t="s">
        <v>815</v>
      </c>
      <c r="D8" s="28">
        <v>240</v>
      </c>
      <c r="E8" s="26">
        <v>2368.0752000000002</v>
      </c>
      <c r="F8" s="27">
        <v>5.81351053614741</v>
      </c>
    </row>
    <row r="9" spans="1:6" x14ac:dyDescent="0.2">
      <c r="A9" s="24" t="s">
        <v>802</v>
      </c>
      <c r="B9" s="24" t="s">
        <v>803</v>
      </c>
      <c r="C9" s="24" t="s">
        <v>804</v>
      </c>
      <c r="D9" s="28">
        <v>180</v>
      </c>
      <c r="E9" s="26">
        <v>1828.5264</v>
      </c>
      <c r="F9" s="27">
        <v>4.4889442244164002</v>
      </c>
    </row>
    <row r="10" spans="1:6" x14ac:dyDescent="0.2">
      <c r="A10" s="24" t="s">
        <v>813</v>
      </c>
      <c r="B10" s="24" t="s">
        <v>814</v>
      </c>
      <c r="C10" s="24" t="s">
        <v>815</v>
      </c>
      <c r="D10" s="28">
        <v>170</v>
      </c>
      <c r="E10" s="26">
        <v>1746.9693</v>
      </c>
      <c r="F10" s="27">
        <v>4.2887254728549502</v>
      </c>
    </row>
    <row r="11" spans="1:6" x14ac:dyDescent="0.2">
      <c r="A11" s="24" t="s">
        <v>715</v>
      </c>
      <c r="B11" s="24" t="s">
        <v>716</v>
      </c>
      <c r="C11" s="24" t="s">
        <v>717</v>
      </c>
      <c r="D11" s="28">
        <v>150</v>
      </c>
      <c r="E11" s="26">
        <v>1529.3879999999999</v>
      </c>
      <c r="F11" s="27">
        <v>3.7545738631346799</v>
      </c>
    </row>
    <row r="12" spans="1:6" x14ac:dyDescent="0.2">
      <c r="A12" s="24" t="s">
        <v>735</v>
      </c>
      <c r="B12" s="24" t="s">
        <v>736</v>
      </c>
      <c r="C12" s="24" t="s">
        <v>737</v>
      </c>
      <c r="D12" s="28">
        <v>120</v>
      </c>
      <c r="E12" s="26">
        <v>1259.9724000000001</v>
      </c>
      <c r="F12" s="27">
        <v>3.0931715439843099</v>
      </c>
    </row>
    <row r="13" spans="1:6" x14ac:dyDescent="0.2">
      <c r="A13" s="24" t="s">
        <v>742</v>
      </c>
      <c r="B13" s="24" t="s">
        <v>743</v>
      </c>
      <c r="C13" s="24" t="s">
        <v>700</v>
      </c>
      <c r="D13" s="28">
        <v>120</v>
      </c>
      <c r="E13" s="26">
        <v>1202.2596000000001</v>
      </c>
      <c r="F13" s="27">
        <v>2.9514894002455598</v>
      </c>
    </row>
    <row r="14" spans="1:6" x14ac:dyDescent="0.2">
      <c r="A14" s="24" t="s">
        <v>1279</v>
      </c>
      <c r="B14" s="24" t="s">
        <v>1280</v>
      </c>
      <c r="C14" s="24" t="s">
        <v>679</v>
      </c>
      <c r="D14" s="28">
        <v>100</v>
      </c>
      <c r="E14" s="26">
        <v>1048.788</v>
      </c>
      <c r="F14" s="27">
        <v>2.5747240155992399</v>
      </c>
    </row>
    <row r="15" spans="1:6" x14ac:dyDescent="0.2">
      <c r="A15" s="24" t="s">
        <v>666</v>
      </c>
      <c r="B15" s="24" t="s">
        <v>667</v>
      </c>
      <c r="C15" s="24" t="s">
        <v>668</v>
      </c>
      <c r="D15" s="28">
        <v>100</v>
      </c>
      <c r="E15" s="26">
        <v>1000.377</v>
      </c>
      <c r="F15" s="27">
        <v>2.4558773427548002</v>
      </c>
    </row>
    <row r="16" spans="1:6" x14ac:dyDescent="0.2">
      <c r="A16" s="24" t="s">
        <v>671</v>
      </c>
      <c r="B16" s="24" t="s">
        <v>672</v>
      </c>
      <c r="C16" s="24" t="s">
        <v>673</v>
      </c>
      <c r="D16" s="28">
        <v>100</v>
      </c>
      <c r="E16" s="26">
        <v>999.476</v>
      </c>
      <c r="F16" s="27">
        <v>2.4536654311596502</v>
      </c>
    </row>
    <row r="17" spans="1:9" x14ac:dyDescent="0.2">
      <c r="A17" s="24" t="s">
        <v>756</v>
      </c>
      <c r="B17" s="24" t="s">
        <v>757</v>
      </c>
      <c r="C17" s="24" t="s">
        <v>697</v>
      </c>
      <c r="D17" s="28">
        <v>100</v>
      </c>
      <c r="E17" s="26">
        <v>985.25</v>
      </c>
      <c r="F17" s="27">
        <v>2.4187412864841602</v>
      </c>
    </row>
    <row r="18" spans="1:9" x14ac:dyDescent="0.2">
      <c r="A18" s="24" t="s">
        <v>701</v>
      </c>
      <c r="B18" s="24" t="s">
        <v>702</v>
      </c>
      <c r="C18" s="24" t="s">
        <v>697</v>
      </c>
      <c r="D18" s="28">
        <v>90</v>
      </c>
      <c r="E18" s="26">
        <v>875.54250000000002</v>
      </c>
      <c r="F18" s="27">
        <v>2.1494146590424399</v>
      </c>
    </row>
    <row r="19" spans="1:9" x14ac:dyDescent="0.2">
      <c r="A19" s="24" t="s">
        <v>707</v>
      </c>
      <c r="B19" s="24" t="s">
        <v>708</v>
      </c>
      <c r="C19" s="24" t="s">
        <v>679</v>
      </c>
      <c r="D19" s="28">
        <v>85</v>
      </c>
      <c r="E19" s="26">
        <v>851.20275000000004</v>
      </c>
      <c r="F19" s="27">
        <v>2.0896617453375899</v>
      </c>
    </row>
    <row r="20" spans="1:9" ht="10.5" x14ac:dyDescent="0.25">
      <c r="A20" s="23" t="s">
        <v>24</v>
      </c>
      <c r="B20" s="23"/>
      <c r="C20" s="23"/>
      <c r="D20" s="29"/>
      <c r="E20" s="30">
        <f>SUM(E5:E19)</f>
        <v>22049.450650000002</v>
      </c>
      <c r="F20" s="31">
        <f>SUM(F5:F19)</f>
        <v>54.130339133671733</v>
      </c>
      <c r="G20" s="15"/>
      <c r="H20" s="15"/>
      <c r="I20" s="15"/>
    </row>
    <row r="21" spans="1:9" x14ac:dyDescent="0.2">
      <c r="A21" s="24"/>
      <c r="B21" s="24"/>
      <c r="C21" s="24"/>
      <c r="D21" s="25"/>
      <c r="E21" s="26"/>
      <c r="F21" s="27"/>
    </row>
    <row r="22" spans="1:9" ht="10.5" x14ac:dyDescent="0.25">
      <c r="A22" s="23" t="s">
        <v>861</v>
      </c>
      <c r="B22" s="24"/>
      <c r="C22" s="24"/>
      <c r="D22" s="25"/>
      <c r="E22" s="26"/>
      <c r="F22" s="27"/>
    </row>
    <row r="23" spans="1:9" ht="10.5" x14ac:dyDescent="0.25">
      <c r="A23" s="23" t="s">
        <v>1106</v>
      </c>
      <c r="B23" s="24"/>
      <c r="C23" s="24"/>
      <c r="D23" s="25"/>
      <c r="E23" s="26"/>
      <c r="F23" s="27"/>
    </row>
    <row r="24" spans="1:9" x14ac:dyDescent="0.2">
      <c r="A24" s="24" t="s">
        <v>1147</v>
      </c>
      <c r="B24" s="24" t="s">
        <v>1866</v>
      </c>
      <c r="C24" s="24" t="s">
        <v>1114</v>
      </c>
      <c r="D24" s="28">
        <v>4600</v>
      </c>
      <c r="E24" s="26">
        <v>4574.47</v>
      </c>
      <c r="F24" s="27">
        <v>11.230103479099901</v>
      </c>
    </row>
    <row r="25" spans="1:9" x14ac:dyDescent="0.2">
      <c r="A25" s="24" t="s">
        <v>1148</v>
      </c>
      <c r="B25" s="24" t="s">
        <v>1867</v>
      </c>
      <c r="C25" s="24" t="s">
        <v>1114</v>
      </c>
      <c r="D25" s="28">
        <v>2300</v>
      </c>
      <c r="E25" s="26">
        <v>2290.0594000000001</v>
      </c>
      <c r="F25" s="27">
        <v>5.6219855054870802</v>
      </c>
    </row>
    <row r="26" spans="1:9" ht="10.5" x14ac:dyDescent="0.25">
      <c r="A26" s="23" t="s">
        <v>24</v>
      </c>
      <c r="B26" s="23"/>
      <c r="C26" s="23"/>
      <c r="D26" s="29"/>
      <c r="E26" s="30">
        <f>SUM(E23:E25)</f>
        <v>6864.5294000000004</v>
      </c>
      <c r="F26" s="31">
        <f>SUM(F23:F25)</f>
        <v>16.852088984586981</v>
      </c>
      <c r="G26" s="15"/>
      <c r="H26" s="15"/>
      <c r="I26" s="15"/>
    </row>
    <row r="27" spans="1:9" x14ac:dyDescent="0.2">
      <c r="A27" s="24"/>
      <c r="B27" s="24"/>
      <c r="C27" s="24"/>
      <c r="D27" s="25"/>
      <c r="E27" s="26"/>
      <c r="F27" s="27"/>
    </row>
    <row r="28" spans="1:9" ht="10.5" x14ac:dyDescent="0.25">
      <c r="A28" s="23" t="s">
        <v>1263</v>
      </c>
      <c r="B28" s="24"/>
      <c r="C28" s="24"/>
      <c r="D28" s="25"/>
      <c r="E28" s="26"/>
      <c r="F28" s="27"/>
    </row>
    <row r="29" spans="1:9" x14ac:dyDescent="0.2">
      <c r="A29" s="24" t="s">
        <v>1281</v>
      </c>
      <c r="B29" s="24" t="s">
        <v>1282</v>
      </c>
      <c r="C29" s="24" t="s">
        <v>1266</v>
      </c>
      <c r="D29" s="28">
        <v>7500000</v>
      </c>
      <c r="E29" s="26">
        <v>7487.8125</v>
      </c>
      <c r="F29" s="27">
        <v>18.382218968994898</v>
      </c>
    </row>
    <row r="30" spans="1:9" x14ac:dyDescent="0.2">
      <c r="A30" s="24" t="s">
        <v>1283</v>
      </c>
      <c r="B30" s="24" t="s">
        <v>1284</v>
      </c>
      <c r="C30" s="24" t="s">
        <v>1266</v>
      </c>
      <c r="D30" s="28">
        <v>2500000</v>
      </c>
      <c r="E30" s="26">
        <v>2513.1</v>
      </c>
      <c r="F30" s="27">
        <v>6.1695394337105798</v>
      </c>
    </row>
    <row r="31" spans="1:9" ht="10.5" x14ac:dyDescent="0.25">
      <c r="A31" s="23" t="s">
        <v>24</v>
      </c>
      <c r="B31" s="23"/>
      <c r="C31" s="23"/>
      <c r="D31" s="29"/>
      <c r="E31" s="30">
        <f>SUM(E29:E30)</f>
        <v>10000.9125</v>
      </c>
      <c r="F31" s="31">
        <f>SUM(F29:F30)</f>
        <v>24.551758402705477</v>
      </c>
      <c r="G31" s="15"/>
      <c r="H31" s="15"/>
      <c r="I31" s="15"/>
    </row>
    <row r="32" spans="1:9" x14ac:dyDescent="0.2">
      <c r="A32" s="24"/>
      <c r="B32" s="24"/>
      <c r="C32" s="24"/>
      <c r="D32" s="25"/>
      <c r="E32" s="26"/>
      <c r="F32" s="27"/>
    </row>
    <row r="33" spans="1:9" ht="10.5" x14ac:dyDescent="0.25">
      <c r="A33" s="23" t="s">
        <v>25</v>
      </c>
      <c r="B33" s="23"/>
      <c r="C33" s="23"/>
      <c r="D33" s="29"/>
      <c r="E33" s="30">
        <f>E20+E26+E31</f>
        <v>38914.892550000004</v>
      </c>
      <c r="F33" s="31">
        <f>F20+F26+F31</f>
        <v>95.534186520964184</v>
      </c>
      <c r="G33" s="15"/>
      <c r="H33" s="15"/>
      <c r="I33" s="15"/>
    </row>
    <row r="34" spans="1:9" ht="10.5" x14ac:dyDescent="0.25">
      <c r="A34" s="23"/>
      <c r="B34" s="23"/>
      <c r="C34" s="23"/>
      <c r="D34" s="29"/>
      <c r="E34" s="30"/>
      <c r="F34" s="31"/>
      <c r="G34" s="15"/>
      <c r="H34" s="15"/>
      <c r="I34" s="15"/>
    </row>
    <row r="35" spans="1:9" ht="10.5" x14ac:dyDescent="0.25">
      <c r="A35" s="23" t="s">
        <v>27</v>
      </c>
      <c r="B35" s="23"/>
      <c r="C35" s="23"/>
      <c r="D35" s="29"/>
      <c r="E35" s="30">
        <f>E37-(E20+E26+E31)</f>
        <v>1819.1043228999988</v>
      </c>
      <c r="F35" s="31">
        <f>F37-(F20+F26+F31)</f>
        <v>4.4658134790358162</v>
      </c>
      <c r="G35" s="15"/>
      <c r="H35" s="15"/>
      <c r="I35" s="15"/>
    </row>
    <row r="36" spans="1:9" ht="10.5" x14ac:dyDescent="0.25">
      <c r="A36" s="23"/>
      <c r="B36" s="23"/>
      <c r="C36" s="23"/>
      <c r="D36" s="29"/>
      <c r="E36" s="30"/>
      <c r="F36" s="31"/>
      <c r="G36" s="15"/>
      <c r="H36" s="15"/>
      <c r="I36" s="15"/>
    </row>
    <row r="37" spans="1:9" ht="10.5" x14ac:dyDescent="0.25">
      <c r="A37" s="32" t="s">
        <v>26</v>
      </c>
      <c r="B37" s="32"/>
      <c r="C37" s="32"/>
      <c r="D37" s="33"/>
      <c r="E37" s="34">
        <v>40733.996872900003</v>
      </c>
      <c r="F37" s="35">
        <v>100</v>
      </c>
      <c r="G37" s="15"/>
      <c r="H37" s="15"/>
      <c r="I37" s="15"/>
    </row>
    <row r="38" spans="1:9" ht="10.5" x14ac:dyDescent="0.25">
      <c r="A38" s="15" t="s">
        <v>872</v>
      </c>
    </row>
    <row r="39" spans="1:9" ht="10.5" x14ac:dyDescent="0.25">
      <c r="A39" s="15" t="s">
        <v>1818</v>
      </c>
    </row>
    <row r="40" spans="1:9" ht="10.5" x14ac:dyDescent="0.25">
      <c r="A40" s="15" t="s">
        <v>1817</v>
      </c>
    </row>
    <row r="42" spans="1:9" ht="10.5" x14ac:dyDescent="0.25">
      <c r="A42" s="15" t="s">
        <v>28</v>
      </c>
    </row>
    <row r="43" spans="1:9" ht="10.5" x14ac:dyDescent="0.25">
      <c r="A43" s="15" t="s">
        <v>29</v>
      </c>
    </row>
    <row r="44" spans="1:9" ht="10.5" x14ac:dyDescent="0.25">
      <c r="A44" s="15" t="s">
        <v>30</v>
      </c>
      <c r="B44" s="15"/>
      <c r="C44" s="36" t="s">
        <v>32</v>
      </c>
      <c r="D44" s="16" t="s">
        <v>31</v>
      </c>
    </row>
    <row r="45" spans="1:9" x14ac:dyDescent="0.2">
      <c r="A45" s="9" t="s">
        <v>38</v>
      </c>
      <c r="C45" s="37">
        <v>28.881</v>
      </c>
      <c r="D45" s="37">
        <v>29.8429</v>
      </c>
    </row>
    <row r="46" spans="1:9" x14ac:dyDescent="0.2">
      <c r="A46" s="9" t="s">
        <v>1285</v>
      </c>
      <c r="C46" s="37">
        <v>10.0168</v>
      </c>
      <c r="D46" s="37">
        <v>10</v>
      </c>
    </row>
    <row r="47" spans="1:9" x14ac:dyDescent="0.2">
      <c r="A47" s="9" t="s">
        <v>39</v>
      </c>
      <c r="C47" s="37">
        <v>30.290400000000002</v>
      </c>
      <c r="D47" s="37">
        <v>31.385000000000002</v>
      </c>
    </row>
    <row r="48" spans="1:9" x14ac:dyDescent="0.2">
      <c r="A48" s="9" t="s">
        <v>1286</v>
      </c>
      <c r="C48" s="37">
        <v>10.032400000000001</v>
      </c>
      <c r="D48" s="37">
        <v>10</v>
      </c>
    </row>
    <row r="50" spans="1:5" ht="10.5" x14ac:dyDescent="0.25">
      <c r="A50" s="15" t="s">
        <v>1882</v>
      </c>
    </row>
    <row r="51" spans="1:5" ht="10.5" x14ac:dyDescent="0.25">
      <c r="A51" s="90" t="s">
        <v>33</v>
      </c>
      <c r="B51" s="91"/>
      <c r="C51" s="92" t="s">
        <v>1883</v>
      </c>
      <c r="D51" s="93"/>
    </row>
    <row r="52" spans="1:5" ht="10.5" x14ac:dyDescent="0.25">
      <c r="A52" s="90"/>
      <c r="B52" s="91"/>
      <c r="C52" s="38" t="s">
        <v>34</v>
      </c>
      <c r="D52" s="39" t="s">
        <v>35</v>
      </c>
    </row>
    <row r="53" spans="1:5" x14ac:dyDescent="0.2">
      <c r="A53" s="96" t="s">
        <v>1285</v>
      </c>
      <c r="B53" s="97"/>
      <c r="C53" s="40">
        <v>0.24901656790000001</v>
      </c>
      <c r="D53" s="40">
        <v>0.23059058330000001</v>
      </c>
    </row>
    <row r="54" spans="1:5" x14ac:dyDescent="0.2">
      <c r="A54" s="96" t="s">
        <v>1286</v>
      </c>
      <c r="B54" s="97"/>
      <c r="C54" s="40">
        <v>0.27992042369999998</v>
      </c>
      <c r="D54" s="40">
        <v>0.25920770789999997</v>
      </c>
    </row>
    <row r="56" spans="1:5" ht="10.5" x14ac:dyDescent="0.25">
      <c r="A56" s="15" t="s">
        <v>882</v>
      </c>
      <c r="D56" s="11">
        <v>2.13832389948087</v>
      </c>
      <c r="E56" s="11" t="s">
        <v>883</v>
      </c>
    </row>
    <row r="58" spans="1:5" ht="10.5" x14ac:dyDescent="0.25">
      <c r="A58" s="15" t="s">
        <v>884</v>
      </c>
      <c r="D58" s="41" t="s">
        <v>36</v>
      </c>
    </row>
    <row r="60" spans="1:5" ht="10.5" x14ac:dyDescent="0.25">
      <c r="A60" s="15" t="s">
        <v>1878</v>
      </c>
    </row>
  </sheetData>
  <mergeCells count="6">
    <mergeCell ref="A54:B54"/>
    <mergeCell ref="A1:F1"/>
    <mergeCell ref="A51:B51"/>
    <mergeCell ref="C51:D51"/>
    <mergeCell ref="A52:B52"/>
    <mergeCell ref="A53:B53"/>
  </mergeCells>
  <conditionalFormatting sqref="F2 F4:F65536">
    <cfRule type="cellIs" dxfId="9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4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9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69.1796875" style="9" bestFit="1" customWidth="1"/>
    <col min="3" max="3" width="15.453125" style="9" bestFit="1" customWidth="1"/>
    <col min="4" max="4" width="15.453125" style="10" bestFit="1" customWidth="1"/>
    <col min="5" max="5" width="13.54296875" style="11" customWidth="1"/>
    <col min="6" max="6" width="12.7265625" style="14" customWidth="1"/>
    <col min="7" max="7" width="4.7265625" style="9" bestFit="1" customWidth="1"/>
    <col min="8" max="16384" width="9.1796875" style="9"/>
  </cols>
  <sheetData>
    <row r="1" spans="1:6" s="1" customFormat="1" ht="14" x14ac:dyDescent="0.25">
      <c r="A1" s="88" t="s">
        <v>1860</v>
      </c>
      <c r="B1" s="89"/>
      <c r="C1" s="89"/>
      <c r="D1" s="89"/>
      <c r="E1" s="89"/>
      <c r="F1" s="89"/>
    </row>
    <row r="2" spans="1:6" s="1" customFormat="1" ht="11.5" x14ac:dyDescent="0.25">
      <c r="A2" s="48" t="s">
        <v>660</v>
      </c>
      <c r="D2" s="6"/>
      <c r="E2" s="7"/>
      <c r="F2" s="14"/>
    </row>
    <row r="3" spans="1:6" s="1" customFormat="1" ht="11.5" x14ac:dyDescent="0.25">
      <c r="A3" s="12" t="s">
        <v>4</v>
      </c>
      <c r="B3" s="2"/>
      <c r="C3" s="3"/>
      <c r="D3" s="4"/>
      <c r="E3" s="5"/>
      <c r="F3" s="14"/>
    </row>
    <row r="4" spans="1:6" s="1" customFormat="1" ht="30" customHeight="1" x14ac:dyDescent="0.25">
      <c r="A4" s="8" t="s">
        <v>2</v>
      </c>
      <c r="B4" s="8" t="s">
        <v>0</v>
      </c>
      <c r="C4" s="8" t="s">
        <v>661</v>
      </c>
      <c r="D4" s="71" t="s">
        <v>1</v>
      </c>
      <c r="E4" s="64" t="s">
        <v>1820</v>
      </c>
      <c r="F4" s="63" t="s">
        <v>3</v>
      </c>
    </row>
    <row r="5" spans="1:6" ht="10.5" x14ac:dyDescent="0.25">
      <c r="A5" s="18" t="s">
        <v>662</v>
      </c>
      <c r="B5" s="19"/>
      <c r="C5" s="19"/>
      <c r="D5" s="20"/>
      <c r="E5" s="21"/>
      <c r="F5" s="22"/>
    </row>
    <row r="6" spans="1:6" ht="10.5" x14ac:dyDescent="0.25">
      <c r="A6" s="23" t="s">
        <v>23</v>
      </c>
      <c r="B6" s="24"/>
      <c r="C6" s="24"/>
      <c r="D6" s="25"/>
      <c r="E6" s="26"/>
      <c r="F6" s="27"/>
    </row>
    <row r="7" spans="1:6" x14ac:dyDescent="0.2">
      <c r="A7" s="24" t="s">
        <v>892</v>
      </c>
      <c r="B7" s="24" t="s">
        <v>893</v>
      </c>
      <c r="C7" s="24" t="s">
        <v>766</v>
      </c>
      <c r="D7" s="28">
        <v>2750</v>
      </c>
      <c r="E7" s="26">
        <v>26739.845000000001</v>
      </c>
      <c r="F7" s="27">
        <v>8.5725999657654093</v>
      </c>
    </row>
    <row r="8" spans="1:6" x14ac:dyDescent="0.2">
      <c r="A8" s="24" t="s">
        <v>809</v>
      </c>
      <c r="B8" s="24" t="s">
        <v>810</v>
      </c>
      <c r="C8" s="24" t="s">
        <v>692</v>
      </c>
      <c r="D8" s="28">
        <v>1112</v>
      </c>
      <c r="E8" s="26">
        <v>10897.53328</v>
      </c>
      <c r="F8" s="27">
        <v>3.4936699679095198</v>
      </c>
    </row>
    <row r="9" spans="1:6" x14ac:dyDescent="0.2">
      <c r="A9" s="24" t="s">
        <v>1279</v>
      </c>
      <c r="B9" s="24" t="s">
        <v>1280</v>
      </c>
      <c r="C9" s="24" t="s">
        <v>679</v>
      </c>
      <c r="D9" s="28">
        <v>950</v>
      </c>
      <c r="E9" s="26">
        <v>9963.4860000000008</v>
      </c>
      <c r="F9" s="27">
        <v>3.1942211984588602</v>
      </c>
    </row>
    <row r="10" spans="1:6" x14ac:dyDescent="0.2">
      <c r="A10" s="24" t="s">
        <v>1287</v>
      </c>
      <c r="B10" s="24" t="s">
        <v>1288</v>
      </c>
      <c r="C10" s="24" t="s">
        <v>827</v>
      </c>
      <c r="D10" s="28">
        <v>1000</v>
      </c>
      <c r="E10" s="26">
        <v>9940.75</v>
      </c>
      <c r="F10" s="27">
        <v>3.1869322021007398</v>
      </c>
    </row>
    <row r="11" spans="1:6" x14ac:dyDescent="0.2">
      <c r="A11" s="24" t="s">
        <v>678</v>
      </c>
      <c r="B11" s="24" t="s">
        <v>1870</v>
      </c>
      <c r="C11" s="24" t="s">
        <v>679</v>
      </c>
      <c r="D11" s="28">
        <v>1000</v>
      </c>
      <c r="E11" s="26">
        <v>9918.2000000000007</v>
      </c>
      <c r="F11" s="27">
        <v>3.1797028359907999</v>
      </c>
    </row>
    <row r="12" spans="1:6" x14ac:dyDescent="0.2">
      <c r="A12" s="24" t="s">
        <v>1289</v>
      </c>
      <c r="B12" s="24" t="s">
        <v>1290</v>
      </c>
      <c r="C12" s="24" t="s">
        <v>677</v>
      </c>
      <c r="D12" s="28">
        <v>1000</v>
      </c>
      <c r="E12" s="26">
        <v>9836.2099999999991</v>
      </c>
      <c r="F12" s="27">
        <v>3.1534174378819899</v>
      </c>
    </row>
    <row r="13" spans="1:6" x14ac:dyDescent="0.2">
      <c r="A13" s="24" t="s">
        <v>1291</v>
      </c>
      <c r="B13" s="24" t="s">
        <v>1292</v>
      </c>
      <c r="C13" s="24" t="s">
        <v>692</v>
      </c>
      <c r="D13" s="28">
        <v>4810</v>
      </c>
      <c r="E13" s="26">
        <v>9434.8823400000001</v>
      </c>
      <c r="F13" s="27">
        <v>3.0247547068760001</v>
      </c>
    </row>
    <row r="14" spans="1:6" x14ac:dyDescent="0.2">
      <c r="A14" s="24" t="s">
        <v>1224</v>
      </c>
      <c r="B14" s="24" t="s">
        <v>1225</v>
      </c>
      <c r="C14" s="24" t="s">
        <v>689</v>
      </c>
      <c r="D14" s="28">
        <v>990</v>
      </c>
      <c r="E14" s="26">
        <v>8395.7247000000007</v>
      </c>
      <c r="F14" s="27">
        <v>2.69160831993588</v>
      </c>
    </row>
    <row r="15" spans="1:6" x14ac:dyDescent="0.2">
      <c r="A15" s="24" t="s">
        <v>977</v>
      </c>
      <c r="B15" s="24" t="s">
        <v>978</v>
      </c>
      <c r="C15" s="24" t="s">
        <v>665</v>
      </c>
      <c r="D15" s="28">
        <v>800</v>
      </c>
      <c r="E15" s="26">
        <v>8010.88</v>
      </c>
      <c r="F15" s="27">
        <v>2.5682299061101799</v>
      </c>
    </row>
    <row r="16" spans="1:6" x14ac:dyDescent="0.2">
      <c r="A16" s="24" t="s">
        <v>894</v>
      </c>
      <c r="B16" s="24" t="s">
        <v>895</v>
      </c>
      <c r="C16" s="24" t="s">
        <v>689</v>
      </c>
      <c r="D16" s="28">
        <v>937</v>
      </c>
      <c r="E16" s="26">
        <v>7196.9770639999997</v>
      </c>
      <c r="F16" s="27">
        <v>2.30729854015462</v>
      </c>
    </row>
    <row r="17" spans="1:6" x14ac:dyDescent="0.2">
      <c r="A17" s="24" t="s">
        <v>900</v>
      </c>
      <c r="B17" s="24" t="s">
        <v>901</v>
      </c>
      <c r="C17" s="24" t="s">
        <v>902</v>
      </c>
      <c r="D17" s="28">
        <v>650</v>
      </c>
      <c r="E17" s="26">
        <v>6541.0020000000004</v>
      </c>
      <c r="F17" s="27">
        <v>2.0969977021658699</v>
      </c>
    </row>
    <row r="18" spans="1:6" x14ac:dyDescent="0.2">
      <c r="A18" s="24" t="s">
        <v>771</v>
      </c>
      <c r="B18" s="24" t="s">
        <v>772</v>
      </c>
      <c r="C18" s="24" t="s">
        <v>673</v>
      </c>
      <c r="D18" s="28">
        <v>600</v>
      </c>
      <c r="E18" s="26">
        <v>5997.9719999999998</v>
      </c>
      <c r="F18" s="27">
        <v>1.92290623082751</v>
      </c>
    </row>
    <row r="19" spans="1:6" x14ac:dyDescent="0.2">
      <c r="A19" s="24" t="s">
        <v>927</v>
      </c>
      <c r="B19" s="24" t="s">
        <v>928</v>
      </c>
      <c r="C19" s="24" t="s">
        <v>827</v>
      </c>
      <c r="D19" s="28">
        <v>560</v>
      </c>
      <c r="E19" s="26">
        <v>5587.8648000000003</v>
      </c>
      <c r="F19" s="27">
        <v>1.79142884310592</v>
      </c>
    </row>
    <row r="20" spans="1:6" x14ac:dyDescent="0.2">
      <c r="A20" s="24" t="s">
        <v>1247</v>
      </c>
      <c r="B20" s="24" t="s">
        <v>958</v>
      </c>
      <c r="C20" s="24" t="s">
        <v>777</v>
      </c>
      <c r="D20" s="28">
        <v>560</v>
      </c>
      <c r="E20" s="26">
        <v>5445.2272000000003</v>
      </c>
      <c r="F20" s="27">
        <v>1.7457002652148801</v>
      </c>
    </row>
    <row r="21" spans="1:6" x14ac:dyDescent="0.2">
      <c r="A21" s="24" t="s">
        <v>1293</v>
      </c>
      <c r="B21" s="24" t="s">
        <v>1294</v>
      </c>
      <c r="C21" s="24" t="s">
        <v>777</v>
      </c>
      <c r="D21" s="28">
        <v>500</v>
      </c>
      <c r="E21" s="26">
        <v>4906.45</v>
      </c>
      <c r="F21" s="27">
        <v>1.5729722106478099</v>
      </c>
    </row>
    <row r="22" spans="1:6" x14ac:dyDescent="0.2">
      <c r="A22" s="24" t="s">
        <v>918</v>
      </c>
      <c r="B22" s="24" t="s">
        <v>808</v>
      </c>
      <c r="C22" s="24" t="s">
        <v>677</v>
      </c>
      <c r="D22" s="28">
        <v>450</v>
      </c>
      <c r="E22" s="26">
        <v>4423.3874999999998</v>
      </c>
      <c r="F22" s="27">
        <v>1.41810588397454</v>
      </c>
    </row>
    <row r="23" spans="1:6" x14ac:dyDescent="0.2">
      <c r="A23" s="24" t="s">
        <v>1295</v>
      </c>
      <c r="B23" s="24" t="s">
        <v>1296</v>
      </c>
      <c r="C23" s="24" t="s">
        <v>673</v>
      </c>
      <c r="D23" s="28">
        <v>450</v>
      </c>
      <c r="E23" s="26">
        <v>4156.2</v>
      </c>
      <c r="F23" s="27">
        <v>1.3324475133537299</v>
      </c>
    </row>
    <row r="24" spans="1:6" x14ac:dyDescent="0.2">
      <c r="A24" s="24" t="s">
        <v>786</v>
      </c>
      <c r="B24" s="24" t="s">
        <v>787</v>
      </c>
      <c r="C24" s="24" t="s">
        <v>717</v>
      </c>
      <c r="D24" s="28">
        <v>400</v>
      </c>
      <c r="E24" s="26">
        <v>4082.0639999999999</v>
      </c>
      <c r="F24" s="27">
        <v>1.3086800505631999</v>
      </c>
    </row>
    <row r="25" spans="1:6" x14ac:dyDescent="0.2">
      <c r="A25" s="24" t="s">
        <v>937</v>
      </c>
      <c r="B25" s="24" t="s">
        <v>938</v>
      </c>
      <c r="C25" s="24" t="s">
        <v>700</v>
      </c>
      <c r="D25" s="28">
        <v>8</v>
      </c>
      <c r="E25" s="26">
        <v>4055.6239999999998</v>
      </c>
      <c r="F25" s="27">
        <v>1.30020357872521</v>
      </c>
    </row>
    <row r="26" spans="1:6" x14ac:dyDescent="0.2">
      <c r="A26" s="24" t="s">
        <v>680</v>
      </c>
      <c r="B26" s="24" t="s">
        <v>681</v>
      </c>
      <c r="C26" s="24" t="s">
        <v>668</v>
      </c>
      <c r="D26" s="28">
        <v>400</v>
      </c>
      <c r="E26" s="26">
        <v>4007.68</v>
      </c>
      <c r="F26" s="27">
        <v>1.2848330807751001</v>
      </c>
    </row>
    <row r="27" spans="1:6" x14ac:dyDescent="0.2">
      <c r="A27" s="24" t="s">
        <v>1210</v>
      </c>
      <c r="B27" s="24" t="s">
        <v>1211</v>
      </c>
      <c r="C27" s="24" t="s">
        <v>689</v>
      </c>
      <c r="D27" s="28">
        <v>475</v>
      </c>
      <c r="E27" s="26">
        <v>3647.3388</v>
      </c>
      <c r="F27" s="27">
        <v>1.1693103109616001</v>
      </c>
    </row>
    <row r="28" spans="1:6" x14ac:dyDescent="0.2">
      <c r="A28" s="24" t="s">
        <v>769</v>
      </c>
      <c r="B28" s="24" t="s">
        <v>770</v>
      </c>
      <c r="C28" s="24" t="s">
        <v>679</v>
      </c>
      <c r="D28" s="28">
        <v>290</v>
      </c>
      <c r="E28" s="26">
        <v>3093.3400999999999</v>
      </c>
      <c r="F28" s="27">
        <v>0.99170235412212704</v>
      </c>
    </row>
    <row r="29" spans="1:6" x14ac:dyDescent="0.2">
      <c r="A29" s="24" t="s">
        <v>1243</v>
      </c>
      <c r="B29" s="24" t="s">
        <v>1244</v>
      </c>
      <c r="C29" s="24" t="s">
        <v>692</v>
      </c>
      <c r="D29" s="28">
        <v>300</v>
      </c>
      <c r="E29" s="26">
        <v>2925.9659999999999</v>
      </c>
      <c r="F29" s="27">
        <v>0.93804343411230495</v>
      </c>
    </row>
    <row r="30" spans="1:6" x14ac:dyDescent="0.2">
      <c r="A30" s="24" t="s">
        <v>735</v>
      </c>
      <c r="B30" s="24" t="s">
        <v>736</v>
      </c>
      <c r="C30" s="24" t="s">
        <v>737</v>
      </c>
      <c r="D30" s="28">
        <v>250</v>
      </c>
      <c r="E30" s="26">
        <v>2624.9425000000001</v>
      </c>
      <c r="F30" s="27">
        <v>0.84153748780653603</v>
      </c>
    </row>
    <row r="31" spans="1:6" x14ac:dyDescent="0.2">
      <c r="A31" s="24" t="s">
        <v>1297</v>
      </c>
      <c r="B31" s="24" t="s">
        <v>1298</v>
      </c>
      <c r="C31" s="24" t="s">
        <v>692</v>
      </c>
      <c r="D31" s="28">
        <v>270</v>
      </c>
      <c r="E31" s="26">
        <v>2603.4047999999998</v>
      </c>
      <c r="F31" s="27">
        <v>0.83463265771935102</v>
      </c>
    </row>
    <row r="32" spans="1:6" x14ac:dyDescent="0.2">
      <c r="A32" s="24" t="s">
        <v>1241</v>
      </c>
      <c r="B32" s="24" t="s">
        <v>1242</v>
      </c>
      <c r="C32" s="24" t="s">
        <v>665</v>
      </c>
      <c r="D32" s="28">
        <v>250</v>
      </c>
      <c r="E32" s="26">
        <v>2506.6950000000002</v>
      </c>
      <c r="F32" s="27">
        <v>0.80362819871185998</v>
      </c>
    </row>
    <row r="33" spans="1:6" x14ac:dyDescent="0.2">
      <c r="A33" s="24" t="s">
        <v>911</v>
      </c>
      <c r="B33" s="24" t="s">
        <v>912</v>
      </c>
      <c r="C33" s="24" t="s">
        <v>827</v>
      </c>
      <c r="D33" s="28">
        <v>250</v>
      </c>
      <c r="E33" s="26">
        <v>2494.8825000000002</v>
      </c>
      <c r="F33" s="27">
        <v>0.79984119706336099</v>
      </c>
    </row>
    <row r="34" spans="1:6" x14ac:dyDescent="0.2">
      <c r="A34" s="24" t="s">
        <v>913</v>
      </c>
      <c r="B34" s="24" t="s">
        <v>914</v>
      </c>
      <c r="C34" s="24" t="s">
        <v>665</v>
      </c>
      <c r="D34" s="28">
        <v>250</v>
      </c>
      <c r="E34" s="26">
        <v>2493.915</v>
      </c>
      <c r="F34" s="27">
        <v>0.79953102359500805</v>
      </c>
    </row>
    <row r="35" spans="1:6" x14ac:dyDescent="0.2">
      <c r="A35" s="24" t="s">
        <v>807</v>
      </c>
      <c r="B35" s="24" t="s">
        <v>808</v>
      </c>
      <c r="C35" s="24" t="s">
        <v>677</v>
      </c>
      <c r="D35" s="28">
        <v>250</v>
      </c>
      <c r="E35" s="26">
        <v>2456.5949999999998</v>
      </c>
      <c r="F35" s="27">
        <v>0.78756650283124197</v>
      </c>
    </row>
    <row r="36" spans="1:6" x14ac:dyDescent="0.2">
      <c r="A36" s="24" t="s">
        <v>945</v>
      </c>
      <c r="B36" s="24" t="s">
        <v>946</v>
      </c>
      <c r="C36" s="24" t="s">
        <v>777</v>
      </c>
      <c r="D36" s="28">
        <v>250</v>
      </c>
      <c r="E36" s="26">
        <v>2456.0749999999998</v>
      </c>
      <c r="F36" s="27">
        <v>0.78739979461052501</v>
      </c>
    </row>
    <row r="37" spans="1:6" x14ac:dyDescent="0.2">
      <c r="A37" s="24" t="s">
        <v>729</v>
      </c>
      <c r="B37" s="24" t="s">
        <v>730</v>
      </c>
      <c r="C37" s="24" t="s">
        <v>677</v>
      </c>
      <c r="D37" s="28">
        <v>211</v>
      </c>
      <c r="E37" s="26">
        <v>2231.9031399999999</v>
      </c>
      <c r="F37" s="27">
        <v>0.71553192554241496</v>
      </c>
    </row>
    <row r="38" spans="1:6" x14ac:dyDescent="0.2">
      <c r="A38" s="24" t="s">
        <v>939</v>
      </c>
      <c r="B38" s="24" t="s">
        <v>940</v>
      </c>
      <c r="C38" s="24" t="s">
        <v>673</v>
      </c>
      <c r="D38" s="28">
        <v>200</v>
      </c>
      <c r="E38" s="26">
        <v>1991.4380000000001</v>
      </c>
      <c r="F38" s="27">
        <v>0.63844054932345096</v>
      </c>
    </row>
    <row r="39" spans="1:6" x14ac:dyDescent="0.2">
      <c r="A39" s="24" t="s">
        <v>943</v>
      </c>
      <c r="B39" s="24" t="s">
        <v>944</v>
      </c>
      <c r="C39" s="24" t="s">
        <v>737</v>
      </c>
      <c r="D39" s="28">
        <v>170</v>
      </c>
      <c r="E39" s="26">
        <v>1825.0826</v>
      </c>
      <c r="F39" s="27">
        <v>0.58510821712986905</v>
      </c>
    </row>
    <row r="40" spans="1:6" x14ac:dyDescent="0.2">
      <c r="A40" s="24" t="s">
        <v>1205</v>
      </c>
      <c r="B40" s="24" t="s">
        <v>1206</v>
      </c>
      <c r="C40" s="24" t="s">
        <v>1207</v>
      </c>
      <c r="D40" s="28">
        <v>150</v>
      </c>
      <c r="E40" s="26">
        <v>1800.6690000000001</v>
      </c>
      <c r="F40" s="27">
        <v>0.57728139440430004</v>
      </c>
    </row>
    <row r="41" spans="1:6" x14ac:dyDescent="0.2">
      <c r="A41" s="24" t="s">
        <v>727</v>
      </c>
      <c r="B41" s="24" t="s">
        <v>728</v>
      </c>
      <c r="C41" s="24" t="s">
        <v>692</v>
      </c>
      <c r="D41" s="28">
        <v>160</v>
      </c>
      <c r="E41" s="26">
        <v>1581.4304</v>
      </c>
      <c r="F41" s="27">
        <v>0.50699509263798603</v>
      </c>
    </row>
    <row r="42" spans="1:6" x14ac:dyDescent="0.2">
      <c r="A42" s="24" t="s">
        <v>663</v>
      </c>
      <c r="B42" s="24" t="s">
        <v>664</v>
      </c>
      <c r="C42" s="24" t="s">
        <v>665</v>
      </c>
      <c r="D42" s="28">
        <v>150</v>
      </c>
      <c r="E42" s="26">
        <v>1505.607</v>
      </c>
      <c r="F42" s="27">
        <v>0.48268666167123098</v>
      </c>
    </row>
    <row r="43" spans="1:6" x14ac:dyDescent="0.2">
      <c r="A43" s="24" t="s">
        <v>953</v>
      </c>
      <c r="B43" s="24" t="s">
        <v>954</v>
      </c>
      <c r="C43" s="24" t="s">
        <v>677</v>
      </c>
      <c r="D43" s="28">
        <v>140</v>
      </c>
      <c r="E43" s="26">
        <v>1398.1016</v>
      </c>
      <c r="F43" s="27">
        <v>0.44822121176456198</v>
      </c>
    </row>
    <row r="44" spans="1:6" x14ac:dyDescent="0.2">
      <c r="A44" s="24" t="s">
        <v>698</v>
      </c>
      <c r="B44" s="24" t="s">
        <v>699</v>
      </c>
      <c r="C44" s="24" t="s">
        <v>700</v>
      </c>
      <c r="D44" s="28">
        <v>2</v>
      </c>
      <c r="E44" s="26">
        <v>1013.9059999999999</v>
      </c>
      <c r="F44" s="27">
        <v>0.32505089468130199</v>
      </c>
    </row>
    <row r="45" spans="1:6" x14ac:dyDescent="0.2">
      <c r="A45" s="24" t="s">
        <v>1299</v>
      </c>
      <c r="B45" s="24" t="s">
        <v>1300</v>
      </c>
      <c r="C45" s="24" t="s">
        <v>815</v>
      </c>
      <c r="D45" s="28">
        <v>100</v>
      </c>
      <c r="E45" s="26">
        <v>1008.612</v>
      </c>
      <c r="F45" s="27">
        <v>0.32335367675731003</v>
      </c>
    </row>
    <row r="46" spans="1:6" x14ac:dyDescent="0.2">
      <c r="A46" s="24" t="s">
        <v>992</v>
      </c>
      <c r="B46" s="24" t="s">
        <v>993</v>
      </c>
      <c r="C46" s="24" t="s">
        <v>815</v>
      </c>
      <c r="D46" s="28">
        <v>100</v>
      </c>
      <c r="E46" s="26">
        <v>1006.22</v>
      </c>
      <c r="F46" s="27">
        <v>0.32258681894201202</v>
      </c>
    </row>
    <row r="47" spans="1:6" x14ac:dyDescent="0.2">
      <c r="A47" s="24" t="s">
        <v>746</v>
      </c>
      <c r="B47" s="24" t="s">
        <v>747</v>
      </c>
      <c r="C47" s="24" t="s">
        <v>673</v>
      </c>
      <c r="D47" s="28">
        <v>100</v>
      </c>
      <c r="E47" s="26">
        <v>1000.837</v>
      </c>
      <c r="F47" s="27">
        <v>0.320861068264859</v>
      </c>
    </row>
    <row r="48" spans="1:6" x14ac:dyDescent="0.2">
      <c r="A48" s="24" t="s">
        <v>971</v>
      </c>
      <c r="B48" s="24" t="s">
        <v>972</v>
      </c>
      <c r="C48" s="24" t="s">
        <v>673</v>
      </c>
      <c r="D48" s="28">
        <v>100</v>
      </c>
      <c r="E48" s="26">
        <v>990.62599999999998</v>
      </c>
      <c r="F48" s="27">
        <v>0.317587495876896</v>
      </c>
    </row>
    <row r="49" spans="1:9" x14ac:dyDescent="0.2">
      <c r="A49" s="24" t="s">
        <v>1237</v>
      </c>
      <c r="B49" s="24" t="s">
        <v>1238</v>
      </c>
      <c r="C49" s="24" t="s">
        <v>815</v>
      </c>
      <c r="D49" s="28">
        <v>80</v>
      </c>
      <c r="E49" s="26">
        <v>861.22720000000004</v>
      </c>
      <c r="F49" s="27">
        <v>0.27610318104821602</v>
      </c>
    </row>
    <row r="50" spans="1:9" x14ac:dyDescent="0.2">
      <c r="A50" s="24" t="s">
        <v>762</v>
      </c>
      <c r="B50" s="24" t="s">
        <v>763</v>
      </c>
      <c r="C50" s="24" t="s">
        <v>697</v>
      </c>
      <c r="D50" s="28">
        <v>50</v>
      </c>
      <c r="E50" s="26">
        <v>518.19849999999997</v>
      </c>
      <c r="F50" s="27">
        <v>0.16613067291002201</v>
      </c>
    </row>
    <row r="51" spans="1:9" x14ac:dyDescent="0.2">
      <c r="A51" s="24" t="s">
        <v>975</v>
      </c>
      <c r="B51" s="24" t="s">
        <v>976</v>
      </c>
      <c r="C51" s="24" t="s">
        <v>673</v>
      </c>
      <c r="D51" s="28">
        <v>50</v>
      </c>
      <c r="E51" s="26">
        <v>506.77249999999998</v>
      </c>
      <c r="F51" s="27">
        <v>0.162467580352498</v>
      </c>
    </row>
    <row r="52" spans="1:9" x14ac:dyDescent="0.2">
      <c r="A52" s="24" t="s">
        <v>987</v>
      </c>
      <c r="B52" s="24" t="s">
        <v>988</v>
      </c>
      <c r="C52" s="24" t="s">
        <v>665</v>
      </c>
      <c r="D52" s="28">
        <v>50</v>
      </c>
      <c r="E52" s="26">
        <v>500.25299999999999</v>
      </c>
      <c r="F52" s="27">
        <v>0.16037747603525901</v>
      </c>
    </row>
    <row r="53" spans="1:9" x14ac:dyDescent="0.2">
      <c r="A53" s="24" t="s">
        <v>752</v>
      </c>
      <c r="B53" s="24" t="s">
        <v>753</v>
      </c>
      <c r="C53" s="24" t="s">
        <v>689</v>
      </c>
      <c r="D53" s="28">
        <v>20</v>
      </c>
      <c r="E53" s="26">
        <v>208.94159999999999</v>
      </c>
      <c r="F53" s="27">
        <v>6.69851584033853E-2</v>
      </c>
    </row>
    <row r="54" spans="1:9" x14ac:dyDescent="0.2">
      <c r="A54" s="24" t="s">
        <v>1301</v>
      </c>
      <c r="B54" s="24" t="s">
        <v>1302</v>
      </c>
      <c r="C54" s="24" t="s">
        <v>815</v>
      </c>
      <c r="D54" s="28">
        <v>5</v>
      </c>
      <c r="E54" s="26">
        <v>54.214849999999998</v>
      </c>
      <c r="F54" s="27">
        <v>1.73808868844968E-2</v>
      </c>
    </row>
    <row r="55" spans="1:9" ht="10.5" x14ac:dyDescent="0.25">
      <c r="A55" s="23" t="s">
        <v>24</v>
      </c>
      <c r="B55" s="23"/>
      <c r="C55" s="23"/>
      <c r="D55" s="29"/>
      <c r="E55" s="30">
        <f>SUM(E6:E54)</f>
        <v>206845.154974</v>
      </c>
      <c r="F55" s="31">
        <f>SUM(F6:F54)</f>
        <v>66.313053364701744</v>
      </c>
      <c r="G55" s="15"/>
      <c r="H55" s="15"/>
      <c r="I55" s="15"/>
    </row>
    <row r="56" spans="1:9" x14ac:dyDescent="0.2">
      <c r="A56" s="24"/>
      <c r="B56" s="24"/>
      <c r="C56" s="24"/>
      <c r="D56" s="25"/>
      <c r="E56" s="26"/>
      <c r="F56" s="27"/>
    </row>
    <row r="57" spans="1:9" ht="10.5" x14ac:dyDescent="0.25">
      <c r="A57" s="23" t="s">
        <v>818</v>
      </c>
      <c r="B57" s="24"/>
      <c r="C57" s="24"/>
      <c r="D57" s="25"/>
      <c r="E57" s="26"/>
      <c r="F57" s="27"/>
    </row>
    <row r="58" spans="1:9" x14ac:dyDescent="0.2">
      <c r="A58" s="24" t="s">
        <v>1005</v>
      </c>
      <c r="B58" s="24" t="s">
        <v>1006</v>
      </c>
      <c r="C58" s="24" t="s">
        <v>1007</v>
      </c>
      <c r="D58" s="28">
        <v>120</v>
      </c>
      <c r="E58" s="26">
        <v>14133</v>
      </c>
      <c r="F58" s="27">
        <v>4.5309370834484097</v>
      </c>
    </row>
    <row r="59" spans="1:9" x14ac:dyDescent="0.2">
      <c r="A59" s="24" t="s">
        <v>1303</v>
      </c>
      <c r="B59" s="24" t="s">
        <v>1304</v>
      </c>
      <c r="C59" s="24" t="s">
        <v>827</v>
      </c>
      <c r="D59" s="28">
        <v>1000</v>
      </c>
      <c r="E59" s="26">
        <v>9905.73</v>
      </c>
      <c r="F59" s="27">
        <v>3.1757050446209201</v>
      </c>
    </row>
    <row r="60" spans="1:9" x14ac:dyDescent="0.2">
      <c r="A60" s="24" t="s">
        <v>1029</v>
      </c>
      <c r="B60" s="24" t="s">
        <v>1030</v>
      </c>
      <c r="C60" s="24" t="s">
        <v>1031</v>
      </c>
      <c r="D60" s="28">
        <v>18</v>
      </c>
      <c r="E60" s="26">
        <v>9023.1839999999993</v>
      </c>
      <c r="F60" s="27">
        <v>2.8927672112345801</v>
      </c>
    </row>
    <row r="61" spans="1:9" x14ac:dyDescent="0.2">
      <c r="A61" s="24" t="s">
        <v>832</v>
      </c>
      <c r="B61" s="24" t="s">
        <v>833</v>
      </c>
      <c r="C61" s="24" t="s">
        <v>827</v>
      </c>
      <c r="D61" s="28">
        <v>6878</v>
      </c>
      <c r="E61" s="26">
        <v>6620.8920040000003</v>
      </c>
      <c r="F61" s="27">
        <v>2.1226098568195502</v>
      </c>
    </row>
    <row r="62" spans="1:9" x14ac:dyDescent="0.2">
      <c r="A62" s="24" t="s">
        <v>1250</v>
      </c>
      <c r="B62" s="24" t="s">
        <v>1251</v>
      </c>
      <c r="C62" s="24" t="s">
        <v>1026</v>
      </c>
      <c r="D62" s="28">
        <v>600</v>
      </c>
      <c r="E62" s="26">
        <v>5869.77</v>
      </c>
      <c r="F62" s="27">
        <v>1.8818056013806701</v>
      </c>
    </row>
    <row r="63" spans="1:9" x14ac:dyDescent="0.2">
      <c r="A63" s="24" t="s">
        <v>1032</v>
      </c>
      <c r="B63" s="24" t="s">
        <v>1033</v>
      </c>
      <c r="C63" s="24" t="s">
        <v>737</v>
      </c>
      <c r="D63" s="28">
        <v>550</v>
      </c>
      <c r="E63" s="26">
        <v>5418.2425000000003</v>
      </c>
      <c r="F63" s="27">
        <v>1.73704916651569</v>
      </c>
    </row>
    <row r="64" spans="1:9" x14ac:dyDescent="0.2">
      <c r="A64" s="24" t="s">
        <v>1252</v>
      </c>
      <c r="B64" s="24" t="s">
        <v>1253</v>
      </c>
      <c r="C64" s="24" t="s">
        <v>1207</v>
      </c>
      <c r="D64" s="28">
        <v>385</v>
      </c>
      <c r="E64" s="26">
        <v>4563.5897999999997</v>
      </c>
      <c r="F64" s="27">
        <v>1.46305372238498</v>
      </c>
    </row>
    <row r="65" spans="1:6" x14ac:dyDescent="0.2">
      <c r="A65" s="24" t="s">
        <v>1013</v>
      </c>
      <c r="B65" s="24" t="s">
        <v>1014</v>
      </c>
      <c r="C65" s="24" t="s">
        <v>737</v>
      </c>
      <c r="D65" s="28">
        <v>450</v>
      </c>
      <c r="E65" s="26">
        <v>4442.5439999999999</v>
      </c>
      <c r="F65" s="27">
        <v>1.4242473186479301</v>
      </c>
    </row>
    <row r="66" spans="1:6" x14ac:dyDescent="0.2">
      <c r="A66" s="24" t="s">
        <v>1034</v>
      </c>
      <c r="B66" s="24" t="s">
        <v>1035</v>
      </c>
      <c r="C66" s="24" t="s">
        <v>1036</v>
      </c>
      <c r="D66" s="28">
        <v>427</v>
      </c>
      <c r="E66" s="26">
        <v>4234.0978400000004</v>
      </c>
      <c r="F66" s="27">
        <v>1.35742099470776</v>
      </c>
    </row>
    <row r="67" spans="1:6" x14ac:dyDescent="0.2">
      <c r="A67" s="24" t="s">
        <v>1047</v>
      </c>
      <c r="B67" s="24" t="s">
        <v>1048</v>
      </c>
      <c r="C67" s="24" t="s">
        <v>1017</v>
      </c>
      <c r="D67" s="28">
        <v>440</v>
      </c>
      <c r="E67" s="26">
        <v>4040.7009979999998</v>
      </c>
      <c r="F67" s="27">
        <v>1.2954193727421801</v>
      </c>
    </row>
    <row r="68" spans="1:6" x14ac:dyDescent="0.2">
      <c r="A68" s="24" t="s">
        <v>1020</v>
      </c>
      <c r="B68" s="24" t="s">
        <v>1021</v>
      </c>
      <c r="C68" s="24" t="s">
        <v>1017</v>
      </c>
      <c r="D68" s="28">
        <v>450</v>
      </c>
      <c r="E68" s="26">
        <v>3959.2075930000001</v>
      </c>
      <c r="F68" s="27">
        <v>1.2692931793811799</v>
      </c>
    </row>
    <row r="69" spans="1:6" x14ac:dyDescent="0.2">
      <c r="A69" s="24" t="s">
        <v>1011</v>
      </c>
      <c r="B69" s="24" t="s">
        <v>1012</v>
      </c>
      <c r="C69" s="24" t="s">
        <v>684</v>
      </c>
      <c r="D69" s="28">
        <v>400</v>
      </c>
      <c r="E69" s="26">
        <v>3836.8760000000002</v>
      </c>
      <c r="F69" s="27">
        <v>1.2300745597532901</v>
      </c>
    </row>
    <row r="70" spans="1:6" x14ac:dyDescent="0.2">
      <c r="A70" s="24" t="s">
        <v>1305</v>
      </c>
      <c r="B70" s="24" t="s">
        <v>1306</v>
      </c>
      <c r="C70" s="24" t="s">
        <v>902</v>
      </c>
      <c r="D70" s="28">
        <v>390</v>
      </c>
      <c r="E70" s="26">
        <v>3759.2177999999999</v>
      </c>
      <c r="F70" s="27">
        <v>1.2051779052415901</v>
      </c>
    </row>
    <row r="71" spans="1:6" x14ac:dyDescent="0.2">
      <c r="A71" s="24" t="s">
        <v>1307</v>
      </c>
      <c r="B71" s="24" t="s">
        <v>1308</v>
      </c>
      <c r="C71" s="24" t="s">
        <v>1074</v>
      </c>
      <c r="D71" s="28">
        <v>400</v>
      </c>
      <c r="E71" s="26">
        <v>3136.017308</v>
      </c>
      <c r="F71" s="27">
        <v>1.0053843568353</v>
      </c>
    </row>
    <row r="72" spans="1:6" x14ac:dyDescent="0.2">
      <c r="A72" s="24" t="s">
        <v>1024</v>
      </c>
      <c r="B72" s="24" t="s">
        <v>1025</v>
      </c>
      <c r="C72" s="24" t="s">
        <v>1026</v>
      </c>
      <c r="D72" s="28">
        <v>250</v>
      </c>
      <c r="E72" s="26">
        <v>2491.1275000000001</v>
      </c>
      <c r="F72" s="27">
        <v>0.79863737135414503</v>
      </c>
    </row>
    <row r="73" spans="1:6" x14ac:dyDescent="0.2">
      <c r="A73" s="24" t="s">
        <v>1254</v>
      </c>
      <c r="B73" s="24" t="s">
        <v>1255</v>
      </c>
      <c r="C73" s="24" t="s">
        <v>1041</v>
      </c>
      <c r="D73" s="28">
        <v>250</v>
      </c>
      <c r="E73" s="26">
        <v>2465.0300000000002</v>
      </c>
      <c r="F73" s="27">
        <v>0.79027070252691101</v>
      </c>
    </row>
    <row r="74" spans="1:6" x14ac:dyDescent="0.2">
      <c r="A74" s="24" t="s">
        <v>1051</v>
      </c>
      <c r="B74" s="24" t="s">
        <v>1052</v>
      </c>
      <c r="C74" s="24" t="s">
        <v>1053</v>
      </c>
      <c r="D74" s="28">
        <v>250</v>
      </c>
      <c r="E74" s="26">
        <v>2089.5226339999999</v>
      </c>
      <c r="F74" s="27">
        <v>0.66988577011925299</v>
      </c>
    </row>
    <row r="75" spans="1:6" x14ac:dyDescent="0.2">
      <c r="A75" s="24" t="s">
        <v>857</v>
      </c>
      <c r="B75" s="24" t="s">
        <v>858</v>
      </c>
      <c r="C75" s="24" t="s">
        <v>827</v>
      </c>
      <c r="D75" s="28">
        <v>2500</v>
      </c>
      <c r="E75" s="26">
        <v>1410.555713</v>
      </c>
      <c r="F75" s="27">
        <v>0.45221390987771298</v>
      </c>
    </row>
    <row r="76" spans="1:6" x14ac:dyDescent="0.2">
      <c r="A76" s="24" t="s">
        <v>1309</v>
      </c>
      <c r="B76" s="24" t="s">
        <v>1310</v>
      </c>
      <c r="C76" s="24" t="s">
        <v>1041</v>
      </c>
      <c r="D76" s="28">
        <v>230</v>
      </c>
      <c r="E76" s="26">
        <v>1152.1987999999999</v>
      </c>
      <c r="F76" s="27">
        <v>0.36938656126970598</v>
      </c>
    </row>
    <row r="77" spans="1:6" x14ac:dyDescent="0.2">
      <c r="A77" s="24" t="s">
        <v>1044</v>
      </c>
      <c r="B77" s="24" t="s">
        <v>1045</v>
      </c>
      <c r="C77" s="24" t="s">
        <v>1046</v>
      </c>
      <c r="D77" s="28">
        <v>113</v>
      </c>
      <c r="E77" s="26">
        <v>1096.2627199999999</v>
      </c>
      <c r="F77" s="27">
        <v>0.35145386055685401</v>
      </c>
    </row>
    <row r="78" spans="1:6" x14ac:dyDescent="0.2">
      <c r="A78" s="24" t="s">
        <v>1072</v>
      </c>
      <c r="B78" s="24" t="s">
        <v>1073</v>
      </c>
      <c r="C78" s="24" t="s">
        <v>1074</v>
      </c>
      <c r="D78" s="28">
        <v>100</v>
      </c>
      <c r="E78" s="26">
        <v>1022.313</v>
      </c>
      <c r="F78" s="27">
        <v>0.32774611778047102</v>
      </c>
    </row>
    <row r="79" spans="1:6" x14ac:dyDescent="0.2">
      <c r="A79" s="24" t="s">
        <v>1008</v>
      </c>
      <c r="B79" s="24" t="s">
        <v>1009</v>
      </c>
      <c r="C79" s="24" t="s">
        <v>1010</v>
      </c>
      <c r="D79" s="28">
        <v>10</v>
      </c>
      <c r="E79" s="26">
        <v>1007.394</v>
      </c>
      <c r="F79" s="27">
        <v>0.32296319480955399</v>
      </c>
    </row>
    <row r="80" spans="1:6" x14ac:dyDescent="0.2">
      <c r="A80" s="24" t="s">
        <v>1018</v>
      </c>
      <c r="B80" s="24" t="s">
        <v>1019</v>
      </c>
      <c r="C80" s="24" t="s">
        <v>902</v>
      </c>
      <c r="D80" s="28">
        <v>100</v>
      </c>
      <c r="E80" s="26">
        <v>966.33600000000001</v>
      </c>
      <c r="F80" s="27">
        <v>0.30980029841301898</v>
      </c>
    </row>
    <row r="81" spans="1:9" x14ac:dyDescent="0.2">
      <c r="A81" s="24" t="s">
        <v>1082</v>
      </c>
      <c r="B81" s="24" t="s">
        <v>1083</v>
      </c>
      <c r="C81" s="24" t="s">
        <v>1041</v>
      </c>
      <c r="D81" s="28">
        <v>230</v>
      </c>
      <c r="E81" s="26">
        <v>767.68020000000001</v>
      </c>
      <c r="F81" s="27">
        <v>0.246112692733963</v>
      </c>
    </row>
    <row r="82" spans="1:9" x14ac:dyDescent="0.2">
      <c r="A82" s="24" t="s">
        <v>834</v>
      </c>
      <c r="B82" s="24" t="s">
        <v>835</v>
      </c>
      <c r="C82" s="24" t="s">
        <v>827</v>
      </c>
      <c r="D82" s="28">
        <v>50</v>
      </c>
      <c r="E82" s="26">
        <v>682.49900000000002</v>
      </c>
      <c r="F82" s="27">
        <v>0.21880421909831299</v>
      </c>
    </row>
    <row r="83" spans="1:9" x14ac:dyDescent="0.2">
      <c r="A83" s="24" t="s">
        <v>1311</v>
      </c>
      <c r="B83" s="24" t="s">
        <v>1312</v>
      </c>
      <c r="C83" s="24" t="s">
        <v>1074</v>
      </c>
      <c r="D83" s="28">
        <v>200</v>
      </c>
      <c r="E83" s="26">
        <v>621.64981320000004</v>
      </c>
      <c r="F83" s="27">
        <v>0.19929641205311399</v>
      </c>
    </row>
    <row r="84" spans="1:9" x14ac:dyDescent="0.2">
      <c r="A84" s="24" t="s">
        <v>1065</v>
      </c>
      <c r="B84" s="24" t="s">
        <v>1066</v>
      </c>
      <c r="C84" s="24" t="s">
        <v>1017</v>
      </c>
      <c r="D84" s="28">
        <v>50</v>
      </c>
      <c r="E84" s="26">
        <v>457.14055000000002</v>
      </c>
      <c r="F84" s="27">
        <v>0.146555937900163</v>
      </c>
    </row>
    <row r="85" spans="1:9" x14ac:dyDescent="0.2">
      <c r="A85" s="24" t="s">
        <v>1078</v>
      </c>
      <c r="B85" s="24" t="s">
        <v>1079</v>
      </c>
      <c r="C85" s="24" t="s">
        <v>1062</v>
      </c>
      <c r="D85" s="28">
        <v>14</v>
      </c>
      <c r="E85" s="26">
        <v>366.54660000000001</v>
      </c>
      <c r="F85" s="27">
        <v>0.117512175953579</v>
      </c>
    </row>
    <row r="86" spans="1:9" x14ac:dyDescent="0.2">
      <c r="A86" s="24" t="s">
        <v>1259</v>
      </c>
      <c r="B86" s="24" t="s">
        <v>1260</v>
      </c>
      <c r="C86" s="24" t="s">
        <v>1077</v>
      </c>
      <c r="D86" s="28">
        <v>321</v>
      </c>
      <c r="E86" s="26">
        <v>160.5</v>
      </c>
      <c r="F86" s="27">
        <v>5.1455133509762302E-2</v>
      </c>
    </row>
    <row r="87" spans="1:9" ht="10.5" x14ac:dyDescent="0.25">
      <c r="A87" s="23" t="s">
        <v>24</v>
      </c>
      <c r="B87" s="23"/>
      <c r="C87" s="23"/>
      <c r="D87" s="29"/>
      <c r="E87" s="30">
        <f>SUM(E57:E86)</f>
        <v>99699.826373199976</v>
      </c>
      <c r="F87" s="31">
        <f>SUM(F57:F86)</f>
        <v>31.963039731670555</v>
      </c>
      <c r="G87" s="15"/>
      <c r="H87" s="15"/>
      <c r="I87" s="15"/>
    </row>
    <row r="88" spans="1:9" x14ac:dyDescent="0.2">
      <c r="A88" s="24"/>
      <c r="B88" s="24"/>
      <c r="C88" s="24"/>
      <c r="D88" s="25"/>
      <c r="E88" s="26"/>
      <c r="F88" s="27"/>
    </row>
    <row r="89" spans="1:9" ht="10.5" x14ac:dyDescent="0.25">
      <c r="A89" s="23" t="s">
        <v>25</v>
      </c>
      <c r="B89" s="23"/>
      <c r="C89" s="23"/>
      <c r="D89" s="29"/>
      <c r="E89" s="30">
        <f>E55+E87</f>
        <v>306544.9813472</v>
      </c>
      <c r="F89" s="31">
        <f>F55+F87</f>
        <v>98.276093096372307</v>
      </c>
      <c r="G89" s="15"/>
      <c r="H89" s="15"/>
      <c r="I89" s="15"/>
    </row>
    <row r="90" spans="1:9" ht="10.5" x14ac:dyDescent="0.25">
      <c r="A90" s="23"/>
      <c r="B90" s="23"/>
      <c r="C90" s="23"/>
      <c r="D90" s="29"/>
      <c r="E90" s="30"/>
      <c r="F90" s="31"/>
      <c r="G90" s="15"/>
      <c r="H90" s="15"/>
      <c r="I90" s="15"/>
    </row>
    <row r="91" spans="1:9" ht="10.5" x14ac:dyDescent="0.25">
      <c r="A91" s="23" t="s">
        <v>27</v>
      </c>
      <c r="B91" s="23"/>
      <c r="C91" s="23"/>
      <c r="D91" s="29"/>
      <c r="E91" s="30">
        <f>E93-(E55+E87)</f>
        <v>5377.2488604999962</v>
      </c>
      <c r="F91" s="31">
        <f>F93-(F55+F87)</f>
        <v>1.7239069036276931</v>
      </c>
      <c r="G91" s="15"/>
      <c r="H91" s="15"/>
      <c r="I91" s="15"/>
    </row>
    <row r="92" spans="1:9" ht="10.5" x14ac:dyDescent="0.25">
      <c r="A92" s="23"/>
      <c r="B92" s="23"/>
      <c r="C92" s="23"/>
      <c r="D92" s="29"/>
      <c r="E92" s="30"/>
      <c r="F92" s="31"/>
      <c r="G92" s="15"/>
      <c r="H92" s="15"/>
      <c r="I92" s="15"/>
    </row>
    <row r="93" spans="1:9" ht="10.5" x14ac:dyDescent="0.25">
      <c r="A93" s="32" t="s">
        <v>26</v>
      </c>
      <c r="B93" s="32"/>
      <c r="C93" s="32"/>
      <c r="D93" s="33"/>
      <c r="E93" s="34">
        <v>311922.23020769999</v>
      </c>
      <c r="F93" s="35">
        <v>100</v>
      </c>
      <c r="G93" s="15"/>
      <c r="H93" s="15"/>
      <c r="I93" s="15"/>
    </row>
    <row r="94" spans="1:9" ht="10.5" x14ac:dyDescent="0.25">
      <c r="A94" s="15" t="s">
        <v>872</v>
      </c>
    </row>
    <row r="95" spans="1:9" ht="10.5" x14ac:dyDescent="0.25">
      <c r="A95" s="15" t="s">
        <v>1795</v>
      </c>
    </row>
    <row r="96" spans="1:9" ht="10.5" x14ac:dyDescent="0.25">
      <c r="A96" s="62" t="s">
        <v>1798</v>
      </c>
    </row>
    <row r="97" spans="1:4" ht="10.5" x14ac:dyDescent="0.25">
      <c r="A97" s="62" t="s">
        <v>1818</v>
      </c>
    </row>
    <row r="98" spans="1:4" ht="10.5" x14ac:dyDescent="0.25">
      <c r="A98" s="62" t="s">
        <v>1819</v>
      </c>
    </row>
    <row r="99" spans="1:4" ht="10.5" x14ac:dyDescent="0.25">
      <c r="A99" s="15"/>
    </row>
    <row r="100" spans="1:4" ht="10.5" x14ac:dyDescent="0.25">
      <c r="A100" s="15" t="s">
        <v>28</v>
      </c>
    </row>
    <row r="101" spans="1:4" ht="10.5" x14ac:dyDescent="0.25">
      <c r="A101" s="15" t="s">
        <v>29</v>
      </c>
    </row>
    <row r="102" spans="1:4" ht="10.5" x14ac:dyDescent="0.25">
      <c r="A102" s="15" t="s">
        <v>30</v>
      </c>
      <c r="B102" s="15"/>
      <c r="C102" s="36" t="s">
        <v>32</v>
      </c>
      <c r="D102" s="16" t="s">
        <v>31</v>
      </c>
    </row>
    <row r="103" spans="1:4" x14ac:dyDescent="0.2">
      <c r="A103" s="9" t="s">
        <v>38</v>
      </c>
      <c r="C103" s="37">
        <v>68.399600000000007</v>
      </c>
      <c r="D103" s="37">
        <v>66.9602</v>
      </c>
    </row>
    <row r="104" spans="1:4" x14ac:dyDescent="0.2">
      <c r="A104" s="9" t="s">
        <v>40</v>
      </c>
      <c r="C104" s="37">
        <v>11.7584</v>
      </c>
      <c r="D104" s="37">
        <v>11.0678</v>
      </c>
    </row>
    <row r="105" spans="1:4" x14ac:dyDescent="0.2">
      <c r="A105" s="9" t="s">
        <v>39</v>
      </c>
      <c r="C105" s="37">
        <v>72.244699999999995</v>
      </c>
      <c r="D105" s="37">
        <v>71.031599999999997</v>
      </c>
    </row>
    <row r="106" spans="1:4" x14ac:dyDescent="0.2">
      <c r="A106" s="9" t="s">
        <v>41</v>
      </c>
      <c r="C106" s="37">
        <v>12.6279</v>
      </c>
      <c r="D106" s="37">
        <v>11.972099999999999</v>
      </c>
    </row>
    <row r="108" spans="1:4" ht="10.5" x14ac:dyDescent="0.25">
      <c r="A108" s="15" t="s">
        <v>1882</v>
      </c>
    </row>
    <row r="109" spans="1:4" ht="10.5" x14ac:dyDescent="0.25">
      <c r="A109" s="90" t="s">
        <v>33</v>
      </c>
      <c r="B109" s="91"/>
      <c r="C109" s="92" t="s">
        <v>1883</v>
      </c>
      <c r="D109" s="93"/>
    </row>
    <row r="110" spans="1:4" ht="10.5" x14ac:dyDescent="0.25">
      <c r="A110" s="90"/>
      <c r="B110" s="91"/>
      <c r="C110" s="38" t="s">
        <v>34</v>
      </c>
      <c r="D110" s="39" t="s">
        <v>35</v>
      </c>
    </row>
    <row r="111" spans="1:4" x14ac:dyDescent="0.2">
      <c r="A111" s="96" t="s">
        <v>40</v>
      </c>
      <c r="B111" s="97"/>
      <c r="C111" s="40">
        <v>0.3205436015</v>
      </c>
      <c r="D111" s="40">
        <v>0.29682497250000001</v>
      </c>
    </row>
    <row r="112" spans="1:4" x14ac:dyDescent="0.2">
      <c r="A112" s="96" t="s">
        <v>41</v>
      </c>
      <c r="B112" s="97"/>
      <c r="C112" s="40">
        <v>0.3205436015</v>
      </c>
      <c r="D112" s="40">
        <v>0.29682497250000001</v>
      </c>
    </row>
    <row r="114" spans="1:6" ht="10.5" x14ac:dyDescent="0.25">
      <c r="A114" s="15" t="s">
        <v>882</v>
      </c>
      <c r="D114" s="11">
        <v>2.5487596647814201</v>
      </c>
      <c r="E114" s="11" t="s">
        <v>883</v>
      </c>
    </row>
    <row r="116" spans="1:6" ht="10.5" x14ac:dyDescent="0.25">
      <c r="A116" s="15" t="s">
        <v>884</v>
      </c>
      <c r="D116" s="60">
        <v>2</v>
      </c>
    </row>
    <row r="117" spans="1:6" x14ac:dyDescent="0.2">
      <c r="A117" s="9" t="s">
        <v>885</v>
      </c>
    </row>
    <row r="118" spans="1:6" ht="14.5" x14ac:dyDescent="0.35">
      <c r="A118" s="49" t="s">
        <v>1898</v>
      </c>
    </row>
    <row r="122" spans="1:6" s="1" customFormat="1" ht="14" x14ac:dyDescent="0.25">
      <c r="A122" s="88" t="s">
        <v>1313</v>
      </c>
      <c r="B122" s="89"/>
      <c r="C122" s="89"/>
      <c r="D122" s="89"/>
      <c r="E122" s="89"/>
      <c r="F122" s="89"/>
    </row>
    <row r="123" spans="1:6" ht="10.5" x14ac:dyDescent="0.25">
      <c r="A123" s="15" t="s">
        <v>888</v>
      </c>
    </row>
    <row r="124" spans="1:6" ht="10.5" x14ac:dyDescent="0.25">
      <c r="A124" s="15" t="s">
        <v>4</v>
      </c>
    </row>
    <row r="125" spans="1:6" s="1" customFormat="1" ht="30.75" customHeight="1" x14ac:dyDescent="0.25">
      <c r="A125" s="8" t="s">
        <v>2</v>
      </c>
      <c r="B125" s="8" t="s">
        <v>0</v>
      </c>
      <c r="C125" s="8" t="s">
        <v>661</v>
      </c>
      <c r="D125" s="13" t="s">
        <v>1</v>
      </c>
      <c r="E125" s="64" t="s">
        <v>1820</v>
      </c>
      <c r="F125" s="63" t="s">
        <v>3</v>
      </c>
    </row>
    <row r="126" spans="1:6" ht="10.5" x14ac:dyDescent="0.25">
      <c r="A126" s="18" t="s">
        <v>662</v>
      </c>
      <c r="B126" s="19"/>
      <c r="C126" s="19"/>
      <c r="D126" s="20"/>
      <c r="E126" s="21"/>
      <c r="F126" s="22"/>
    </row>
    <row r="127" spans="1:6" ht="10.5" x14ac:dyDescent="0.25">
      <c r="A127" s="23" t="s">
        <v>1799</v>
      </c>
      <c r="B127" s="24"/>
      <c r="C127" s="24"/>
      <c r="D127" s="25"/>
      <c r="E127" s="26"/>
      <c r="F127" s="27"/>
    </row>
    <row r="128" spans="1:6" x14ac:dyDescent="0.2">
      <c r="A128" s="24" t="s">
        <v>889</v>
      </c>
      <c r="B128" s="24" t="s">
        <v>890</v>
      </c>
      <c r="C128" s="24" t="s">
        <v>891</v>
      </c>
      <c r="D128" s="28">
        <v>950</v>
      </c>
      <c r="E128" s="26">
        <v>8.4999999999999999E-6</v>
      </c>
      <c r="F128" s="26">
        <v>100</v>
      </c>
    </row>
    <row r="129" spans="1:9" ht="10.5" x14ac:dyDescent="0.25">
      <c r="A129" s="23" t="s">
        <v>24</v>
      </c>
      <c r="B129" s="23"/>
      <c r="C129" s="23"/>
      <c r="D129" s="29"/>
      <c r="E129" s="30">
        <f>SUM(E127:E128)</f>
        <v>8.4999999999999999E-6</v>
      </c>
      <c r="F129" s="31">
        <f>SUM(F127:F128)</f>
        <v>100</v>
      </c>
      <c r="G129" s="15"/>
      <c r="H129" s="15"/>
      <c r="I129" s="15"/>
    </row>
    <row r="130" spans="1:9" x14ac:dyDescent="0.2">
      <c r="A130" s="24"/>
      <c r="B130" s="24"/>
      <c r="C130" s="24"/>
      <c r="D130" s="25"/>
      <c r="E130" s="26"/>
      <c r="F130" s="27"/>
    </row>
    <row r="131" spans="1:9" ht="10.5" x14ac:dyDescent="0.25">
      <c r="A131" s="23" t="s">
        <v>25</v>
      </c>
      <c r="B131" s="23"/>
      <c r="C131" s="23"/>
      <c r="D131" s="29"/>
      <c r="E131" s="30">
        <f>E129</f>
        <v>8.4999999999999999E-6</v>
      </c>
      <c r="F131" s="31">
        <f>F129</f>
        <v>100</v>
      </c>
      <c r="G131" s="15"/>
      <c r="H131" s="15"/>
      <c r="I131" s="15"/>
    </row>
    <row r="132" spans="1:9" ht="10.5" x14ac:dyDescent="0.25">
      <c r="A132" s="23"/>
      <c r="B132" s="23"/>
      <c r="C132" s="23"/>
      <c r="D132" s="29"/>
      <c r="E132" s="30"/>
      <c r="F132" s="31"/>
      <c r="G132" s="15"/>
      <c r="H132" s="15"/>
      <c r="I132" s="15"/>
    </row>
    <row r="133" spans="1:9" ht="10.5" x14ac:dyDescent="0.25">
      <c r="A133" s="23" t="s">
        <v>27</v>
      </c>
      <c r="B133" s="23"/>
      <c r="C133" s="23"/>
      <c r="D133" s="29"/>
      <c r="E133" s="30">
        <f>E135-(E129)</f>
        <v>-7.6000000000000001E-6</v>
      </c>
      <c r="F133" s="85" t="s">
        <v>1896</v>
      </c>
      <c r="G133" s="15"/>
      <c r="H133" s="15"/>
      <c r="I133" s="15"/>
    </row>
    <row r="134" spans="1:9" ht="10.5" x14ac:dyDescent="0.25">
      <c r="A134" s="23"/>
      <c r="B134" s="23"/>
      <c r="C134" s="23"/>
      <c r="D134" s="29"/>
      <c r="E134" s="30"/>
      <c r="F134" s="31"/>
      <c r="G134" s="15"/>
      <c r="H134" s="15"/>
      <c r="I134" s="15"/>
    </row>
    <row r="135" spans="1:9" ht="10.5" x14ac:dyDescent="0.25">
      <c r="A135" s="32" t="s">
        <v>26</v>
      </c>
      <c r="B135" s="32"/>
      <c r="C135" s="32"/>
      <c r="D135" s="33"/>
      <c r="E135" s="34">
        <v>8.9999999999999996E-7</v>
      </c>
      <c r="F135" s="35">
        <v>100</v>
      </c>
      <c r="G135" s="15"/>
      <c r="H135" s="15"/>
      <c r="I135" s="15"/>
    </row>
    <row r="136" spans="1:9" ht="10.5" x14ac:dyDescent="0.25">
      <c r="A136" s="61" t="s">
        <v>872</v>
      </c>
      <c r="F136" s="86" t="s">
        <v>37</v>
      </c>
    </row>
    <row r="137" spans="1:9" ht="10.5" x14ac:dyDescent="0.25">
      <c r="A137" s="61" t="s">
        <v>1795</v>
      </c>
    </row>
    <row r="138" spans="1:9" ht="10.5" x14ac:dyDescent="0.25">
      <c r="A138" s="62" t="s">
        <v>1798</v>
      </c>
    </row>
    <row r="140" spans="1:9" ht="10.5" x14ac:dyDescent="0.25">
      <c r="A140" s="15" t="s">
        <v>28</v>
      </c>
    </row>
    <row r="141" spans="1:9" ht="10.5" x14ac:dyDescent="0.25">
      <c r="A141" s="15" t="s">
        <v>29</v>
      </c>
    </row>
    <row r="142" spans="1:9" ht="10.5" x14ac:dyDescent="0.25">
      <c r="A142" s="15" t="s">
        <v>30</v>
      </c>
      <c r="B142" s="15"/>
      <c r="C142" s="36" t="s">
        <v>32</v>
      </c>
      <c r="D142" s="16" t="s">
        <v>31</v>
      </c>
    </row>
    <row r="143" spans="1:9" x14ac:dyDescent="0.2">
      <c r="A143" s="9" t="s">
        <v>38</v>
      </c>
      <c r="C143" s="58" t="s">
        <v>1794</v>
      </c>
      <c r="D143" s="37">
        <v>0</v>
      </c>
    </row>
    <row r="144" spans="1:9" x14ac:dyDescent="0.2">
      <c r="A144" s="9" t="s">
        <v>40</v>
      </c>
      <c r="C144" s="58" t="s">
        <v>1794</v>
      </c>
      <c r="D144" s="37">
        <v>0</v>
      </c>
    </row>
    <row r="145" spans="1:6" x14ac:dyDescent="0.2">
      <c r="A145" s="9" t="s">
        <v>39</v>
      </c>
      <c r="C145" s="58" t="s">
        <v>1794</v>
      </c>
      <c r="D145" s="37">
        <v>0</v>
      </c>
    </row>
    <row r="146" spans="1:6" x14ac:dyDescent="0.2">
      <c r="A146" s="9" t="s">
        <v>41</v>
      </c>
      <c r="C146" s="58" t="s">
        <v>1794</v>
      </c>
      <c r="D146" s="37">
        <v>0</v>
      </c>
    </row>
    <row r="148" spans="1:6" ht="10.5" x14ac:dyDescent="0.25">
      <c r="A148" s="15" t="s">
        <v>1863</v>
      </c>
    </row>
    <row r="150" spans="1:6" ht="10.5" x14ac:dyDescent="0.25">
      <c r="A150" s="15" t="s">
        <v>1797</v>
      </c>
      <c r="D150" s="41" t="s">
        <v>36</v>
      </c>
    </row>
    <row r="151" spans="1:6" x14ac:dyDescent="0.2">
      <c r="A151" s="9" t="s">
        <v>885</v>
      </c>
    </row>
    <row r="152" spans="1:6" ht="14.5" x14ac:dyDescent="0.35">
      <c r="A152" s="49" t="s">
        <v>1898</v>
      </c>
    </row>
    <row r="156" spans="1:6" s="1" customFormat="1" ht="14" x14ac:dyDescent="0.25">
      <c r="A156" s="88" t="s">
        <v>1314</v>
      </c>
      <c r="B156" s="89"/>
      <c r="C156" s="89"/>
      <c r="D156" s="89"/>
      <c r="E156" s="89"/>
      <c r="F156" s="89"/>
    </row>
    <row r="157" spans="1:6" ht="10.5" x14ac:dyDescent="0.25">
      <c r="A157" s="15" t="s">
        <v>1098</v>
      </c>
    </row>
    <row r="158" spans="1:6" ht="10.5" x14ac:dyDescent="0.25">
      <c r="A158" s="15" t="s">
        <v>4</v>
      </c>
    </row>
    <row r="159" spans="1:6" s="1" customFormat="1" ht="33" customHeight="1" x14ac:dyDescent="0.25">
      <c r="A159" s="8" t="s">
        <v>2</v>
      </c>
      <c r="B159" s="8" t="s">
        <v>0</v>
      </c>
      <c r="C159" s="8" t="s">
        <v>661</v>
      </c>
      <c r="D159" s="13" t="s">
        <v>1</v>
      </c>
      <c r="E159" s="64" t="s">
        <v>1820</v>
      </c>
      <c r="F159" s="63" t="s">
        <v>3</v>
      </c>
    </row>
    <row r="160" spans="1:6" ht="10.5" x14ac:dyDescent="0.25">
      <c r="A160" s="18" t="s">
        <v>662</v>
      </c>
      <c r="B160" s="19"/>
      <c r="C160" s="19"/>
      <c r="D160" s="20"/>
      <c r="E160" s="21"/>
      <c r="F160" s="22"/>
    </row>
    <row r="161" spans="1:9" ht="10.5" x14ac:dyDescent="0.25">
      <c r="A161" s="23" t="s">
        <v>23</v>
      </c>
      <c r="B161" s="24"/>
      <c r="C161" s="24"/>
      <c r="D161" s="25"/>
      <c r="E161" s="26"/>
      <c r="F161" s="27"/>
    </row>
    <row r="162" spans="1:9" x14ac:dyDescent="0.2">
      <c r="A162" s="24" t="s">
        <v>1099</v>
      </c>
      <c r="B162" s="24" t="s">
        <v>1100</v>
      </c>
      <c r="C162" s="24" t="s">
        <v>1101</v>
      </c>
      <c r="D162" s="28">
        <v>940</v>
      </c>
      <c r="E162" s="26">
        <v>8.4999999999999999E-6</v>
      </c>
      <c r="F162" s="26">
        <v>100</v>
      </c>
    </row>
    <row r="163" spans="1:9" ht="10.5" x14ac:dyDescent="0.25">
      <c r="A163" s="23" t="s">
        <v>24</v>
      </c>
      <c r="B163" s="23"/>
      <c r="C163" s="23"/>
      <c r="D163" s="29"/>
      <c r="E163" s="30">
        <f>SUM(E161:E162)</f>
        <v>8.4999999999999999E-6</v>
      </c>
      <c r="F163" s="31">
        <f>SUM(F161:F162)</f>
        <v>100</v>
      </c>
      <c r="G163" s="15"/>
      <c r="H163" s="15"/>
      <c r="I163" s="15"/>
    </row>
    <row r="164" spans="1:9" x14ac:dyDescent="0.2">
      <c r="A164" s="24"/>
      <c r="B164" s="24"/>
      <c r="C164" s="24"/>
      <c r="D164" s="25"/>
      <c r="E164" s="26"/>
      <c r="F164" s="27"/>
    </row>
    <row r="165" spans="1:9" ht="10.5" x14ac:dyDescent="0.25">
      <c r="A165" s="23" t="s">
        <v>25</v>
      </c>
      <c r="B165" s="23"/>
      <c r="C165" s="23"/>
      <c r="D165" s="29"/>
      <c r="E165" s="30">
        <f>E163</f>
        <v>8.4999999999999999E-6</v>
      </c>
      <c r="F165" s="31">
        <f>F163</f>
        <v>100</v>
      </c>
      <c r="G165" s="15"/>
      <c r="H165" s="15"/>
      <c r="I165" s="15"/>
    </row>
    <row r="166" spans="1:9" ht="10.5" x14ac:dyDescent="0.25">
      <c r="A166" s="23"/>
      <c r="B166" s="23"/>
      <c r="C166" s="23"/>
      <c r="D166" s="29"/>
      <c r="E166" s="30"/>
      <c r="F166" s="31"/>
      <c r="G166" s="15"/>
      <c r="H166" s="15"/>
      <c r="I166" s="15"/>
    </row>
    <row r="167" spans="1:9" ht="10.5" x14ac:dyDescent="0.25">
      <c r="A167" s="23" t="s">
        <v>27</v>
      </c>
      <c r="B167" s="23"/>
      <c r="C167" s="23"/>
      <c r="D167" s="29"/>
      <c r="E167" s="30">
        <f>E169-(E163)</f>
        <v>-7.6000000000000001E-6</v>
      </c>
      <c r="F167" s="85" t="s">
        <v>1896</v>
      </c>
      <c r="G167" s="15"/>
      <c r="H167" s="15"/>
      <c r="I167" s="15"/>
    </row>
    <row r="168" spans="1:9" ht="10.5" x14ac:dyDescent="0.25">
      <c r="A168" s="23"/>
      <c r="B168" s="23"/>
      <c r="C168" s="23"/>
      <c r="D168" s="29"/>
      <c r="E168" s="30"/>
      <c r="F168" s="31"/>
      <c r="G168" s="15"/>
      <c r="H168" s="15"/>
      <c r="I168" s="15"/>
    </row>
    <row r="169" spans="1:9" ht="10.5" x14ac:dyDescent="0.25">
      <c r="A169" s="32" t="s">
        <v>26</v>
      </c>
      <c r="B169" s="32"/>
      <c r="C169" s="32"/>
      <c r="D169" s="33"/>
      <c r="E169" s="34">
        <v>8.9999999999999996E-7</v>
      </c>
      <c r="F169" s="35">
        <v>100</v>
      </c>
      <c r="G169" s="15"/>
      <c r="H169" s="15"/>
      <c r="I169" s="15"/>
    </row>
    <row r="170" spans="1:9" ht="10.5" x14ac:dyDescent="0.25">
      <c r="A170" s="61" t="s">
        <v>872</v>
      </c>
      <c r="F170" s="86" t="s">
        <v>37</v>
      </c>
    </row>
    <row r="171" spans="1:9" ht="10.5" x14ac:dyDescent="0.25">
      <c r="A171" s="61" t="s">
        <v>1795</v>
      </c>
    </row>
    <row r="172" spans="1:9" ht="10.5" x14ac:dyDescent="0.25">
      <c r="A172" s="62" t="s">
        <v>1798</v>
      </c>
    </row>
    <row r="174" spans="1:9" ht="10.5" x14ac:dyDescent="0.25">
      <c r="A174" s="15" t="s">
        <v>28</v>
      </c>
    </row>
    <row r="175" spans="1:9" ht="10.5" x14ac:dyDescent="0.25">
      <c r="A175" s="15" t="s">
        <v>29</v>
      </c>
    </row>
    <row r="176" spans="1:9" ht="10.5" x14ac:dyDescent="0.25">
      <c r="A176" s="15" t="s">
        <v>30</v>
      </c>
      <c r="B176" s="15"/>
      <c r="C176" s="36" t="s">
        <v>32</v>
      </c>
      <c r="D176" s="16" t="s">
        <v>31</v>
      </c>
    </row>
    <row r="177" spans="1:6" x14ac:dyDescent="0.2">
      <c r="A177" s="9" t="s">
        <v>38</v>
      </c>
      <c r="C177" s="58" t="s">
        <v>1794</v>
      </c>
      <c r="D177" s="37">
        <v>0</v>
      </c>
    </row>
    <row r="178" spans="1:6" x14ac:dyDescent="0.2">
      <c r="A178" s="9" t="s">
        <v>40</v>
      </c>
      <c r="C178" s="58" t="s">
        <v>1794</v>
      </c>
      <c r="D178" s="37">
        <v>0</v>
      </c>
    </row>
    <row r="179" spans="1:6" x14ac:dyDescent="0.2">
      <c r="A179" s="9" t="s">
        <v>39</v>
      </c>
      <c r="C179" s="58" t="s">
        <v>1794</v>
      </c>
      <c r="D179" s="37">
        <v>0</v>
      </c>
    </row>
    <row r="180" spans="1:6" x14ac:dyDescent="0.2">
      <c r="A180" s="9" t="s">
        <v>41</v>
      </c>
      <c r="C180" s="58" t="s">
        <v>1794</v>
      </c>
      <c r="D180" s="37">
        <v>0</v>
      </c>
    </row>
    <row r="181" spans="1:6" x14ac:dyDescent="0.2">
      <c r="C181" s="58"/>
      <c r="D181" s="37"/>
    </row>
    <row r="182" spans="1:6" ht="10.5" x14ac:dyDescent="0.25">
      <c r="A182" s="15" t="s">
        <v>1863</v>
      </c>
      <c r="C182" s="58"/>
      <c r="D182" s="37"/>
    </row>
    <row r="184" spans="1:6" ht="10.5" x14ac:dyDescent="0.25">
      <c r="A184" s="15" t="s">
        <v>1797</v>
      </c>
      <c r="D184" s="41" t="s">
        <v>36</v>
      </c>
    </row>
    <row r="185" spans="1:6" x14ac:dyDescent="0.2">
      <c r="A185" s="9" t="s">
        <v>885</v>
      </c>
    </row>
    <row r="186" spans="1:6" ht="14.5" x14ac:dyDescent="0.35">
      <c r="A186" s="49" t="s">
        <v>1898</v>
      </c>
    </row>
    <row r="190" spans="1:6" s="1" customFormat="1" ht="14" x14ac:dyDescent="0.25">
      <c r="A190" s="88" t="s">
        <v>1315</v>
      </c>
      <c r="B190" s="89"/>
      <c r="C190" s="89"/>
      <c r="D190" s="89"/>
      <c r="E190" s="89"/>
      <c r="F190" s="89"/>
    </row>
    <row r="191" spans="1:6" ht="10.5" x14ac:dyDescent="0.25">
      <c r="A191" s="15" t="s">
        <v>1103</v>
      </c>
    </row>
    <row r="192" spans="1:6" ht="10.5" x14ac:dyDescent="0.25">
      <c r="A192" s="15" t="s">
        <v>4</v>
      </c>
    </row>
    <row r="193" spans="1:9" s="1" customFormat="1" ht="26.25" customHeight="1" x14ac:dyDescent="0.25">
      <c r="A193" s="8" t="s">
        <v>2</v>
      </c>
      <c r="B193" s="8" t="s">
        <v>0</v>
      </c>
      <c r="C193" s="8" t="s">
        <v>661</v>
      </c>
      <c r="D193" s="13" t="s">
        <v>1</v>
      </c>
      <c r="E193" s="64" t="s">
        <v>1820</v>
      </c>
      <c r="F193" s="63" t="s">
        <v>3</v>
      </c>
    </row>
    <row r="194" spans="1:9" ht="10.5" x14ac:dyDescent="0.25">
      <c r="A194" s="18" t="s">
        <v>662</v>
      </c>
      <c r="B194" s="19"/>
      <c r="C194" s="19"/>
      <c r="D194" s="20"/>
      <c r="E194" s="21"/>
      <c r="F194" s="22"/>
    </row>
    <row r="195" spans="1:9" ht="10.5" x14ac:dyDescent="0.25">
      <c r="A195" s="23" t="s">
        <v>23</v>
      </c>
      <c r="B195" s="24"/>
      <c r="C195" s="24"/>
      <c r="D195" s="25"/>
      <c r="E195" s="26"/>
      <c r="F195" s="27"/>
    </row>
    <row r="196" spans="1:9" x14ac:dyDescent="0.2">
      <c r="A196" s="24" t="s">
        <v>1104</v>
      </c>
      <c r="B196" s="24" t="s">
        <v>1105</v>
      </c>
      <c r="C196" s="24" t="s">
        <v>1071</v>
      </c>
      <c r="D196" s="28">
        <v>682</v>
      </c>
      <c r="E196" s="26">
        <v>8.4999999999999999E-6</v>
      </c>
      <c r="F196" s="26">
        <v>100</v>
      </c>
    </row>
    <row r="197" spans="1:9" ht="10.5" x14ac:dyDescent="0.25">
      <c r="A197" s="23" t="s">
        <v>24</v>
      </c>
      <c r="B197" s="23"/>
      <c r="C197" s="23"/>
      <c r="D197" s="29"/>
      <c r="E197" s="30">
        <f>SUM(E195:E196)</f>
        <v>8.4999999999999999E-6</v>
      </c>
      <c r="F197" s="31">
        <f>SUM(F195:F196)</f>
        <v>100</v>
      </c>
      <c r="G197" s="15"/>
      <c r="H197" s="15"/>
      <c r="I197" s="15"/>
    </row>
    <row r="198" spans="1:9" x14ac:dyDescent="0.2">
      <c r="A198" s="24"/>
      <c r="B198" s="24"/>
      <c r="C198" s="24"/>
      <c r="D198" s="25"/>
      <c r="E198" s="26"/>
      <c r="F198" s="27"/>
    </row>
    <row r="199" spans="1:9" ht="10.5" x14ac:dyDescent="0.25">
      <c r="A199" s="23" t="s">
        <v>25</v>
      </c>
      <c r="B199" s="23"/>
      <c r="C199" s="23"/>
      <c r="D199" s="29"/>
      <c r="E199" s="30">
        <f>E197</f>
        <v>8.4999999999999999E-6</v>
      </c>
      <c r="F199" s="31">
        <f>F197</f>
        <v>100</v>
      </c>
      <c r="G199" s="15"/>
      <c r="H199" s="15"/>
      <c r="I199" s="15"/>
    </row>
    <row r="200" spans="1:9" ht="10.5" x14ac:dyDescent="0.25">
      <c r="A200" s="23"/>
      <c r="B200" s="23"/>
      <c r="C200" s="23"/>
      <c r="D200" s="29"/>
      <c r="E200" s="30"/>
      <c r="F200" s="31"/>
      <c r="G200" s="15"/>
      <c r="H200" s="15"/>
      <c r="I200" s="15"/>
    </row>
    <row r="201" spans="1:9" ht="10.5" x14ac:dyDescent="0.25">
      <c r="A201" s="23" t="s">
        <v>27</v>
      </c>
      <c r="B201" s="23"/>
      <c r="C201" s="23"/>
      <c r="D201" s="29"/>
      <c r="E201" s="30">
        <f>E203-(E197)</f>
        <v>-7.6000000000000001E-6</v>
      </c>
      <c r="F201" s="85" t="s">
        <v>1896</v>
      </c>
      <c r="G201" s="15"/>
      <c r="H201" s="15"/>
      <c r="I201" s="15"/>
    </row>
    <row r="202" spans="1:9" ht="10.5" x14ac:dyDescent="0.25">
      <c r="A202" s="23"/>
      <c r="B202" s="23"/>
      <c r="C202" s="23"/>
      <c r="D202" s="29"/>
      <c r="E202" s="30"/>
      <c r="F202" s="31"/>
      <c r="G202" s="15"/>
      <c r="H202" s="15"/>
      <c r="I202" s="15"/>
    </row>
    <row r="203" spans="1:9" ht="10.5" x14ac:dyDescent="0.25">
      <c r="A203" s="32" t="s">
        <v>26</v>
      </c>
      <c r="B203" s="32"/>
      <c r="C203" s="32"/>
      <c r="D203" s="33"/>
      <c r="E203" s="34">
        <v>8.9999999999999996E-7</v>
      </c>
      <c r="F203" s="35">
        <v>100</v>
      </c>
      <c r="G203" s="15"/>
      <c r="H203" s="15"/>
      <c r="I203" s="15"/>
    </row>
    <row r="204" spans="1:9" ht="10.5" x14ac:dyDescent="0.25">
      <c r="A204" s="15" t="s">
        <v>872</v>
      </c>
      <c r="F204" s="86" t="s">
        <v>37</v>
      </c>
    </row>
    <row r="205" spans="1:9" ht="10.5" x14ac:dyDescent="0.25">
      <c r="A205" s="61" t="s">
        <v>1795</v>
      </c>
    </row>
    <row r="206" spans="1:9" ht="10.5" x14ac:dyDescent="0.25">
      <c r="A206" s="61"/>
    </row>
    <row r="207" spans="1:9" ht="10.5" x14ac:dyDescent="0.25">
      <c r="A207" s="15" t="s">
        <v>28</v>
      </c>
    </row>
    <row r="208" spans="1:9" ht="10.5" x14ac:dyDescent="0.25">
      <c r="A208" s="15" t="s">
        <v>29</v>
      </c>
    </row>
    <row r="209" spans="1:4" ht="10.5" x14ac:dyDescent="0.25">
      <c r="A209" s="15" t="s">
        <v>30</v>
      </c>
      <c r="B209" s="15"/>
      <c r="C209" s="36" t="s">
        <v>32</v>
      </c>
      <c r="D209" s="16" t="s">
        <v>31</v>
      </c>
    </row>
    <row r="210" spans="1:4" x14ac:dyDescent="0.2">
      <c r="A210" s="9" t="s">
        <v>38</v>
      </c>
      <c r="C210" s="58" t="s">
        <v>1794</v>
      </c>
      <c r="D210" s="37">
        <v>0</v>
      </c>
    </row>
    <row r="211" spans="1:4" x14ac:dyDescent="0.2">
      <c r="A211" s="9" t="s">
        <v>40</v>
      </c>
      <c r="C211" s="58" t="s">
        <v>1794</v>
      </c>
      <c r="D211" s="37">
        <v>0</v>
      </c>
    </row>
    <row r="212" spans="1:4" x14ac:dyDescent="0.2">
      <c r="A212" s="9" t="s">
        <v>39</v>
      </c>
      <c r="C212" s="58" t="s">
        <v>1794</v>
      </c>
      <c r="D212" s="37">
        <v>0</v>
      </c>
    </row>
    <row r="213" spans="1:4" x14ac:dyDescent="0.2">
      <c r="A213" s="9" t="s">
        <v>41</v>
      </c>
      <c r="C213" s="58" t="s">
        <v>1794</v>
      </c>
      <c r="D213" s="37">
        <v>0</v>
      </c>
    </row>
    <row r="214" spans="1:4" x14ac:dyDescent="0.2">
      <c r="C214" s="58"/>
      <c r="D214" s="37"/>
    </row>
    <row r="215" spans="1:4" ht="10.5" x14ac:dyDescent="0.25">
      <c r="A215" s="15" t="s">
        <v>1864</v>
      </c>
      <c r="C215" s="58"/>
      <c r="D215" s="37"/>
    </row>
    <row r="217" spans="1:4" ht="10.5" x14ac:dyDescent="0.25">
      <c r="A217" s="15" t="s">
        <v>1797</v>
      </c>
      <c r="D217" s="41" t="s">
        <v>36</v>
      </c>
    </row>
    <row r="218" spans="1:4" x14ac:dyDescent="0.2">
      <c r="A218" s="9" t="s">
        <v>885</v>
      </c>
    </row>
    <row r="219" spans="1:4" ht="14.5" x14ac:dyDescent="0.35">
      <c r="A219" s="49" t="s">
        <v>1898</v>
      </c>
    </row>
  </sheetData>
  <mergeCells count="9">
    <mergeCell ref="A122:F122"/>
    <mergeCell ref="A156:F156"/>
    <mergeCell ref="A190:F190"/>
    <mergeCell ref="A1:F1"/>
    <mergeCell ref="A109:B109"/>
    <mergeCell ref="C109:D109"/>
    <mergeCell ref="A110:B110"/>
    <mergeCell ref="A111:B111"/>
    <mergeCell ref="A112:B112"/>
  </mergeCells>
  <conditionalFormatting sqref="F2:F3 F123:F124 F137:F146 F157:F158 F171:F180 F191:F192 F155 F187:F189 F205:F213 F220:F65536 F5:F121">
    <cfRule type="cellIs" dxfId="95" priority="17" stopIfTrue="1" operator="between">
      <formula>0.009</formula>
      <formula>-0.009</formula>
    </cfRule>
  </conditionalFormatting>
  <conditionalFormatting sqref="F126:F127">
    <cfRule type="cellIs" dxfId="94" priority="16" stopIfTrue="1" operator="between">
      <formula>0.009</formula>
      <formula>-0.009</formula>
    </cfRule>
  </conditionalFormatting>
  <conditionalFormatting sqref="F129:F132">
    <cfRule type="cellIs" dxfId="93" priority="15" stopIfTrue="1" operator="between">
      <formula>0.009</formula>
      <formula>-0.009</formula>
    </cfRule>
  </conditionalFormatting>
  <conditionalFormatting sqref="F147:F154">
    <cfRule type="cellIs" dxfId="92" priority="14" stopIfTrue="1" operator="between">
      <formula>0.009</formula>
      <formula>-0.009</formula>
    </cfRule>
  </conditionalFormatting>
  <conditionalFormatting sqref="F160:F161">
    <cfRule type="cellIs" dxfId="91" priority="13" stopIfTrue="1" operator="between">
      <formula>0.009</formula>
      <formula>-0.009</formula>
    </cfRule>
  </conditionalFormatting>
  <conditionalFormatting sqref="F163:F166">
    <cfRule type="cellIs" dxfId="90" priority="12" stopIfTrue="1" operator="between">
      <formula>0.009</formula>
      <formula>-0.009</formula>
    </cfRule>
  </conditionalFormatting>
  <conditionalFormatting sqref="F181:F186">
    <cfRule type="cellIs" dxfId="89" priority="11" stopIfTrue="1" operator="between">
      <formula>0.009</formula>
      <formula>-0.009</formula>
    </cfRule>
  </conditionalFormatting>
  <conditionalFormatting sqref="F194:F195">
    <cfRule type="cellIs" dxfId="88" priority="10" stopIfTrue="1" operator="between">
      <formula>0.009</formula>
      <formula>-0.009</formula>
    </cfRule>
  </conditionalFormatting>
  <conditionalFormatting sqref="F197:F200">
    <cfRule type="cellIs" dxfId="87" priority="9" stopIfTrue="1" operator="between">
      <formula>0.009</formula>
      <formula>-0.009</formula>
    </cfRule>
  </conditionalFormatting>
  <conditionalFormatting sqref="F214:F219">
    <cfRule type="cellIs" dxfId="86" priority="7" stopIfTrue="1" operator="between">
      <formula>0.009</formula>
      <formula>-0.009</formula>
    </cfRule>
  </conditionalFormatting>
  <conditionalFormatting sqref="F134:F135">
    <cfRule type="cellIs" dxfId="85" priority="6" stopIfTrue="1" operator="between">
      <formula>0.009</formula>
      <formula>-0.009</formula>
    </cfRule>
  </conditionalFormatting>
  <conditionalFormatting sqref="F136">
    <cfRule type="cellIs" dxfId="84" priority="5" stopIfTrue="1" operator="between">
      <formula>0.009</formula>
      <formula>-0.009</formula>
    </cfRule>
  </conditionalFormatting>
  <conditionalFormatting sqref="F168:F169">
    <cfRule type="cellIs" dxfId="83" priority="4" stopIfTrue="1" operator="between">
      <formula>0.009</formula>
      <formula>-0.009</formula>
    </cfRule>
  </conditionalFormatting>
  <conditionalFormatting sqref="F170">
    <cfRule type="cellIs" dxfId="82" priority="3" stopIfTrue="1" operator="between">
      <formula>0.009</formula>
      <formula>-0.009</formula>
    </cfRule>
  </conditionalFormatting>
  <conditionalFormatting sqref="F202:F203">
    <cfRule type="cellIs" dxfId="81" priority="2" stopIfTrue="1" operator="between">
      <formula>0.009</formula>
      <formula>-0.009</formula>
    </cfRule>
  </conditionalFormatting>
  <conditionalFormatting sqref="F204">
    <cfRule type="cellIs" dxfId="80" priority="1" stopIfTrue="1" operator="between">
      <formula>0.009</formula>
      <formula>-0.009</formula>
    </cfRule>
  </conditionalFormatting>
  <hyperlinks>
    <hyperlink ref="A118" r:id="rId1" xr:uid="{00000000-0004-0000-0700-000000000000}"/>
    <hyperlink ref="A152" r:id="rId2" xr:uid="{00000000-0004-0000-0700-000001000000}"/>
    <hyperlink ref="A186" r:id="rId3" xr:uid="{00000000-0004-0000-0700-000002000000}"/>
    <hyperlink ref="A219" r:id="rId4" xr:uid="{00000000-0004-0000-0700-000003000000}"/>
  </hyperlinks>
  <pageMargins left="0.7" right="0.7" top="0.75" bottom="0.75" header="0.3" footer="0.3"/>
  <pageSetup paperSize="9" scale="49" orientation="portrait" r:id="rId5"/>
  <headerFooter>
    <evenFooter>&amp;LPUBLIC</evenFooter>
    <firstFooter>&amp;LPUBLIC</firstFooter>
  </headerFooter>
  <rowBreaks count="1" manualBreakCount="1">
    <brk id="119" max="5" man="1"/>
  </rowBreaks>
  <colBreaks count="1" manualBreakCount="1"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69.1796875" style="9" bestFit="1" customWidth="1"/>
    <col min="3" max="3" width="15.453125" style="9" bestFit="1" customWidth="1"/>
    <col min="4" max="4" width="15.453125" style="10" bestFit="1" customWidth="1"/>
    <col min="5" max="5" width="15.81640625" style="11" customWidth="1"/>
    <col min="6" max="6" width="13.26953125" style="14" bestFit="1" customWidth="1"/>
    <col min="7" max="7" width="6" style="9" bestFit="1" customWidth="1"/>
    <col min="8" max="16384" width="9.1796875" style="9"/>
  </cols>
  <sheetData>
    <row r="1" spans="1:6" s="1" customFormat="1" ht="14" x14ac:dyDescent="0.25">
      <c r="A1" s="88" t="s">
        <v>1861</v>
      </c>
      <c r="B1" s="89"/>
      <c r="C1" s="89"/>
      <c r="D1" s="89"/>
      <c r="E1" s="89"/>
      <c r="F1" s="89"/>
    </row>
    <row r="2" spans="1:6" s="1" customFormat="1" ht="11.5" x14ac:dyDescent="0.25">
      <c r="A2" s="48" t="s">
        <v>660</v>
      </c>
      <c r="D2" s="6"/>
      <c r="E2" s="7"/>
      <c r="F2" s="14"/>
    </row>
    <row r="3" spans="1:6" s="1" customFormat="1" ht="11.5" x14ac:dyDescent="0.25">
      <c r="A3" s="12" t="s">
        <v>4</v>
      </c>
      <c r="B3" s="2"/>
      <c r="C3" s="3"/>
      <c r="D3" s="4"/>
      <c r="E3" s="5"/>
      <c r="F3" s="14"/>
    </row>
    <row r="4" spans="1:6" s="1" customFormat="1" ht="25.5" customHeight="1" x14ac:dyDescent="0.25">
      <c r="A4" s="8" t="s">
        <v>2</v>
      </c>
      <c r="B4" s="8" t="s">
        <v>0</v>
      </c>
      <c r="C4" s="8" t="s">
        <v>661</v>
      </c>
      <c r="D4" s="71" t="s">
        <v>1</v>
      </c>
      <c r="E4" s="64" t="s">
        <v>1820</v>
      </c>
      <c r="F4" s="63" t="s">
        <v>3</v>
      </c>
    </row>
    <row r="5" spans="1:6" ht="10.5" x14ac:dyDescent="0.25">
      <c r="A5" s="18" t="s">
        <v>662</v>
      </c>
      <c r="B5" s="19"/>
      <c r="C5" s="19"/>
      <c r="D5" s="20"/>
      <c r="E5" s="21"/>
      <c r="F5" s="22"/>
    </row>
    <row r="6" spans="1:6" ht="10.5" x14ac:dyDescent="0.25">
      <c r="A6" s="23" t="s">
        <v>23</v>
      </c>
      <c r="B6" s="24"/>
      <c r="C6" s="24"/>
      <c r="D6" s="25"/>
      <c r="E6" s="26"/>
      <c r="F6" s="27"/>
    </row>
    <row r="7" spans="1:6" x14ac:dyDescent="0.2">
      <c r="A7" s="24" t="s">
        <v>892</v>
      </c>
      <c r="B7" s="24" t="s">
        <v>893</v>
      </c>
      <c r="C7" s="24" t="s">
        <v>766</v>
      </c>
      <c r="D7" s="28">
        <v>3930</v>
      </c>
      <c r="E7" s="26">
        <v>38213.669399999999</v>
      </c>
      <c r="F7" s="27">
        <v>8.6183607508584394</v>
      </c>
    </row>
    <row r="8" spans="1:6" x14ac:dyDescent="0.2">
      <c r="A8" s="24" t="s">
        <v>685</v>
      </c>
      <c r="B8" s="24" t="s">
        <v>686</v>
      </c>
      <c r="C8" s="24" t="s">
        <v>668</v>
      </c>
      <c r="D8" s="28">
        <v>2300</v>
      </c>
      <c r="E8" s="26">
        <v>23034.661</v>
      </c>
      <c r="F8" s="27">
        <v>5.1950263188211299</v>
      </c>
    </row>
    <row r="9" spans="1:6" x14ac:dyDescent="0.2">
      <c r="A9" s="24" t="s">
        <v>951</v>
      </c>
      <c r="B9" s="24" t="s">
        <v>952</v>
      </c>
      <c r="C9" s="24" t="s">
        <v>692</v>
      </c>
      <c r="D9" s="28">
        <v>10140</v>
      </c>
      <c r="E9" s="26">
        <v>19966.5726</v>
      </c>
      <c r="F9" s="27">
        <v>4.5030777815073</v>
      </c>
    </row>
    <row r="10" spans="1:6" x14ac:dyDescent="0.2">
      <c r="A10" s="24" t="s">
        <v>894</v>
      </c>
      <c r="B10" s="24" t="s">
        <v>895</v>
      </c>
      <c r="C10" s="24" t="s">
        <v>689</v>
      </c>
      <c r="D10" s="28">
        <v>2125</v>
      </c>
      <c r="E10" s="26">
        <v>16321.852999999999</v>
      </c>
      <c r="F10" s="27">
        <v>3.6810811284320399</v>
      </c>
    </row>
    <row r="11" spans="1:6" x14ac:dyDescent="0.2">
      <c r="A11" s="24" t="s">
        <v>943</v>
      </c>
      <c r="B11" s="24" t="s">
        <v>944</v>
      </c>
      <c r="C11" s="24" t="s">
        <v>737</v>
      </c>
      <c r="D11" s="28">
        <v>1150</v>
      </c>
      <c r="E11" s="26">
        <v>12346.147000000001</v>
      </c>
      <c r="F11" s="27">
        <v>2.7844368363413099</v>
      </c>
    </row>
    <row r="12" spans="1:6" x14ac:dyDescent="0.2">
      <c r="A12" s="24" t="s">
        <v>680</v>
      </c>
      <c r="B12" s="24" t="s">
        <v>681</v>
      </c>
      <c r="C12" s="24" t="s">
        <v>668</v>
      </c>
      <c r="D12" s="28">
        <v>1150</v>
      </c>
      <c r="E12" s="26">
        <v>11522.08</v>
      </c>
      <c r="F12" s="27">
        <v>2.5985843181092401</v>
      </c>
    </row>
    <row r="13" spans="1:6" x14ac:dyDescent="0.2">
      <c r="A13" s="24" t="s">
        <v>663</v>
      </c>
      <c r="B13" s="24" t="s">
        <v>664</v>
      </c>
      <c r="C13" s="24" t="s">
        <v>665</v>
      </c>
      <c r="D13" s="28">
        <v>1100</v>
      </c>
      <c r="E13" s="26">
        <v>11041.118</v>
      </c>
      <c r="F13" s="27">
        <v>2.49011255686418</v>
      </c>
    </row>
    <row r="14" spans="1:6" x14ac:dyDescent="0.2">
      <c r="A14" s="24" t="s">
        <v>1291</v>
      </c>
      <c r="B14" s="24" t="s">
        <v>1292</v>
      </c>
      <c r="C14" s="24" t="s">
        <v>692</v>
      </c>
      <c r="D14" s="28">
        <v>5580</v>
      </c>
      <c r="E14" s="26">
        <v>10945.24812</v>
      </c>
      <c r="F14" s="27">
        <v>2.4684909428199302</v>
      </c>
    </row>
    <row r="15" spans="1:6" x14ac:dyDescent="0.2">
      <c r="A15" s="24" t="s">
        <v>1279</v>
      </c>
      <c r="B15" s="24" t="s">
        <v>1280</v>
      </c>
      <c r="C15" s="24" t="s">
        <v>679</v>
      </c>
      <c r="D15" s="28">
        <v>950</v>
      </c>
      <c r="E15" s="26">
        <v>9963.4860000000008</v>
      </c>
      <c r="F15" s="27">
        <v>2.2470733125703801</v>
      </c>
    </row>
    <row r="16" spans="1:6" x14ac:dyDescent="0.2">
      <c r="A16" s="24" t="s">
        <v>903</v>
      </c>
      <c r="B16" s="24" t="s">
        <v>904</v>
      </c>
      <c r="C16" s="24" t="s">
        <v>766</v>
      </c>
      <c r="D16" s="28">
        <v>1000</v>
      </c>
      <c r="E16" s="26">
        <v>9620.35</v>
      </c>
      <c r="F16" s="27">
        <v>2.1696855641275001</v>
      </c>
    </row>
    <row r="17" spans="1:6" x14ac:dyDescent="0.2">
      <c r="A17" s="24" t="s">
        <v>786</v>
      </c>
      <c r="B17" s="24" t="s">
        <v>787</v>
      </c>
      <c r="C17" s="24" t="s">
        <v>717</v>
      </c>
      <c r="D17" s="28">
        <v>850</v>
      </c>
      <c r="E17" s="26">
        <v>8674.3860000000004</v>
      </c>
      <c r="F17" s="27">
        <v>1.9563415137567499</v>
      </c>
    </row>
    <row r="18" spans="1:6" x14ac:dyDescent="0.2">
      <c r="A18" s="24" t="s">
        <v>1245</v>
      </c>
      <c r="B18" s="24" t="s">
        <v>1246</v>
      </c>
      <c r="C18" s="24" t="s">
        <v>673</v>
      </c>
      <c r="D18" s="28">
        <v>850</v>
      </c>
      <c r="E18" s="26">
        <v>7770.3005000000003</v>
      </c>
      <c r="F18" s="27">
        <v>1.75244235644054</v>
      </c>
    </row>
    <row r="19" spans="1:6" x14ac:dyDescent="0.2">
      <c r="A19" s="24" t="s">
        <v>900</v>
      </c>
      <c r="B19" s="24" t="s">
        <v>901</v>
      </c>
      <c r="C19" s="24" t="s">
        <v>902</v>
      </c>
      <c r="D19" s="28">
        <v>750</v>
      </c>
      <c r="E19" s="26">
        <v>7547.31</v>
      </c>
      <c r="F19" s="27">
        <v>1.70215112287964</v>
      </c>
    </row>
    <row r="20" spans="1:6" x14ac:dyDescent="0.2">
      <c r="A20" s="24" t="s">
        <v>1232</v>
      </c>
      <c r="B20" s="24" t="s">
        <v>1233</v>
      </c>
      <c r="C20" s="24" t="s">
        <v>827</v>
      </c>
      <c r="D20" s="28">
        <v>600</v>
      </c>
      <c r="E20" s="26">
        <v>6812.6459999999997</v>
      </c>
      <c r="F20" s="27">
        <v>1.5364617378485199</v>
      </c>
    </row>
    <row r="21" spans="1:6" x14ac:dyDescent="0.2">
      <c r="A21" s="24" t="s">
        <v>931</v>
      </c>
      <c r="B21" s="24" t="s">
        <v>932</v>
      </c>
      <c r="C21" s="24" t="s">
        <v>697</v>
      </c>
      <c r="D21" s="28">
        <v>700</v>
      </c>
      <c r="E21" s="26">
        <v>6679.8339999999998</v>
      </c>
      <c r="F21" s="27">
        <v>1.50650853665075</v>
      </c>
    </row>
    <row r="22" spans="1:6" x14ac:dyDescent="0.2">
      <c r="A22" s="24" t="s">
        <v>1316</v>
      </c>
      <c r="B22" s="24" t="s">
        <v>1317</v>
      </c>
      <c r="C22" s="24" t="s">
        <v>794</v>
      </c>
      <c r="D22" s="28">
        <v>650</v>
      </c>
      <c r="E22" s="26">
        <v>6411.7560000000003</v>
      </c>
      <c r="F22" s="27">
        <v>1.44604868158725</v>
      </c>
    </row>
    <row r="23" spans="1:6" x14ac:dyDescent="0.2">
      <c r="A23" s="24" t="s">
        <v>1318</v>
      </c>
      <c r="B23" s="24" t="s">
        <v>1319</v>
      </c>
      <c r="C23" s="24" t="s">
        <v>794</v>
      </c>
      <c r="D23" s="28">
        <v>650</v>
      </c>
      <c r="E23" s="26">
        <v>6341.0619999999999</v>
      </c>
      <c r="F23" s="27">
        <v>1.43010500476984</v>
      </c>
    </row>
    <row r="24" spans="1:6" x14ac:dyDescent="0.2">
      <c r="A24" s="24" t="s">
        <v>1320</v>
      </c>
      <c r="B24" s="24" t="s">
        <v>964</v>
      </c>
      <c r="C24" s="24" t="s">
        <v>711</v>
      </c>
      <c r="D24" s="28">
        <v>650</v>
      </c>
      <c r="E24" s="26">
        <v>6337.4025000000001</v>
      </c>
      <c r="F24" s="27">
        <v>1.4292796746808101</v>
      </c>
    </row>
    <row r="25" spans="1:6" x14ac:dyDescent="0.2">
      <c r="A25" s="24" t="s">
        <v>1321</v>
      </c>
      <c r="B25" s="24" t="s">
        <v>964</v>
      </c>
      <c r="C25" s="24" t="s">
        <v>711</v>
      </c>
      <c r="D25" s="28">
        <v>650</v>
      </c>
      <c r="E25" s="26">
        <v>6284.9735000000001</v>
      </c>
      <c r="F25" s="27">
        <v>1.4174553185563801</v>
      </c>
    </row>
    <row r="26" spans="1:6" x14ac:dyDescent="0.2">
      <c r="A26" s="24" t="s">
        <v>909</v>
      </c>
      <c r="B26" s="24" t="s">
        <v>910</v>
      </c>
      <c r="C26" s="24" t="s">
        <v>677</v>
      </c>
      <c r="D26" s="28">
        <v>620</v>
      </c>
      <c r="E26" s="26">
        <v>6154.0208000000002</v>
      </c>
      <c r="F26" s="27">
        <v>1.38792144683929</v>
      </c>
    </row>
    <row r="27" spans="1:6" x14ac:dyDescent="0.2">
      <c r="A27" s="24" t="s">
        <v>1205</v>
      </c>
      <c r="B27" s="24" t="s">
        <v>1206</v>
      </c>
      <c r="C27" s="24" t="s">
        <v>1207</v>
      </c>
      <c r="D27" s="28">
        <v>510</v>
      </c>
      <c r="E27" s="26">
        <v>6122.2745999999997</v>
      </c>
      <c r="F27" s="27">
        <v>1.3807616998596199</v>
      </c>
    </row>
    <row r="28" spans="1:6" x14ac:dyDescent="0.2">
      <c r="A28" s="24" t="s">
        <v>981</v>
      </c>
      <c r="B28" s="24" t="s">
        <v>982</v>
      </c>
      <c r="C28" s="24" t="s">
        <v>692</v>
      </c>
      <c r="D28" s="28">
        <v>648</v>
      </c>
      <c r="E28" s="26">
        <v>6028.29864</v>
      </c>
      <c r="F28" s="27">
        <v>1.3595672231735301</v>
      </c>
    </row>
    <row r="29" spans="1:6" x14ac:dyDescent="0.2">
      <c r="A29" s="24" t="s">
        <v>969</v>
      </c>
      <c r="B29" s="24" t="s">
        <v>970</v>
      </c>
      <c r="C29" s="24" t="s">
        <v>827</v>
      </c>
      <c r="D29" s="28">
        <v>600</v>
      </c>
      <c r="E29" s="26">
        <v>5985.8940000000002</v>
      </c>
      <c r="F29" s="27">
        <v>1.35000366932569</v>
      </c>
    </row>
    <row r="30" spans="1:6" x14ac:dyDescent="0.2">
      <c r="A30" s="24" t="s">
        <v>809</v>
      </c>
      <c r="B30" s="24" t="s">
        <v>810</v>
      </c>
      <c r="C30" s="24" t="s">
        <v>692</v>
      </c>
      <c r="D30" s="28">
        <v>606</v>
      </c>
      <c r="E30" s="26">
        <v>5938.7636400000001</v>
      </c>
      <c r="F30" s="27">
        <v>1.3393743199024299</v>
      </c>
    </row>
    <row r="31" spans="1:6" x14ac:dyDescent="0.2">
      <c r="A31" s="24" t="s">
        <v>735</v>
      </c>
      <c r="B31" s="24" t="s">
        <v>736</v>
      </c>
      <c r="C31" s="24" t="s">
        <v>737</v>
      </c>
      <c r="D31" s="28">
        <v>520</v>
      </c>
      <c r="E31" s="26">
        <v>5459.8804</v>
      </c>
      <c r="F31" s="27">
        <v>1.2313713831349899</v>
      </c>
    </row>
    <row r="32" spans="1:6" x14ac:dyDescent="0.2">
      <c r="A32" s="24" t="s">
        <v>678</v>
      </c>
      <c r="B32" s="24" t="s">
        <v>1870</v>
      </c>
      <c r="C32" s="24" t="s">
        <v>679</v>
      </c>
      <c r="D32" s="28">
        <v>550</v>
      </c>
      <c r="E32" s="26">
        <v>5455.01</v>
      </c>
      <c r="F32" s="27">
        <v>1.2302729577584199</v>
      </c>
    </row>
    <row r="33" spans="1:6" x14ac:dyDescent="0.2">
      <c r="A33" s="24" t="s">
        <v>918</v>
      </c>
      <c r="B33" s="24" t="s">
        <v>808</v>
      </c>
      <c r="C33" s="24" t="s">
        <v>677</v>
      </c>
      <c r="D33" s="28">
        <v>550</v>
      </c>
      <c r="E33" s="26">
        <v>5406.3625000000002</v>
      </c>
      <c r="F33" s="27">
        <v>1.21930144648483</v>
      </c>
    </row>
    <row r="34" spans="1:6" x14ac:dyDescent="0.2">
      <c r="A34" s="24" t="s">
        <v>1322</v>
      </c>
      <c r="B34" s="24" t="s">
        <v>1323</v>
      </c>
      <c r="C34" s="24" t="s">
        <v>700</v>
      </c>
      <c r="D34" s="28">
        <v>5500</v>
      </c>
      <c r="E34" s="26">
        <v>5374.9465</v>
      </c>
      <c r="F34" s="27">
        <v>1.21221616978672</v>
      </c>
    </row>
    <row r="35" spans="1:6" x14ac:dyDescent="0.2">
      <c r="A35" s="24" t="s">
        <v>1243</v>
      </c>
      <c r="B35" s="24" t="s">
        <v>1244</v>
      </c>
      <c r="C35" s="24" t="s">
        <v>692</v>
      </c>
      <c r="D35" s="28">
        <v>550</v>
      </c>
      <c r="E35" s="26">
        <v>5364.2709999999997</v>
      </c>
      <c r="F35" s="27">
        <v>1.20980851536252</v>
      </c>
    </row>
    <row r="36" spans="1:6" x14ac:dyDescent="0.2">
      <c r="A36" s="24" t="s">
        <v>1295</v>
      </c>
      <c r="B36" s="24" t="s">
        <v>1296</v>
      </c>
      <c r="C36" s="24" t="s">
        <v>673</v>
      </c>
      <c r="D36" s="28">
        <v>550</v>
      </c>
      <c r="E36" s="26">
        <v>5079.8</v>
      </c>
      <c r="F36" s="27">
        <v>1.1456515333282999</v>
      </c>
    </row>
    <row r="37" spans="1:6" x14ac:dyDescent="0.2">
      <c r="A37" s="24" t="s">
        <v>1289</v>
      </c>
      <c r="B37" s="24" t="s">
        <v>1290</v>
      </c>
      <c r="C37" s="24" t="s">
        <v>677</v>
      </c>
      <c r="D37" s="28">
        <v>500</v>
      </c>
      <c r="E37" s="26">
        <v>4918.1049999999996</v>
      </c>
      <c r="F37" s="27">
        <v>1.10918432503633</v>
      </c>
    </row>
    <row r="38" spans="1:6" x14ac:dyDescent="0.2">
      <c r="A38" s="24" t="s">
        <v>1324</v>
      </c>
      <c r="B38" s="24" t="s">
        <v>1325</v>
      </c>
      <c r="C38" s="24" t="s">
        <v>700</v>
      </c>
      <c r="D38" s="28">
        <v>5000</v>
      </c>
      <c r="E38" s="26">
        <v>4839.8149999999996</v>
      </c>
      <c r="F38" s="27">
        <v>1.0915275159997</v>
      </c>
    </row>
    <row r="39" spans="1:6" x14ac:dyDescent="0.2">
      <c r="A39" s="24" t="s">
        <v>1201</v>
      </c>
      <c r="B39" s="24" t="s">
        <v>1202</v>
      </c>
      <c r="C39" s="24" t="s">
        <v>711</v>
      </c>
      <c r="D39" s="28">
        <v>450</v>
      </c>
      <c r="E39" s="26">
        <v>4422.9375</v>
      </c>
      <c r="F39" s="27">
        <v>0.99750878552112898</v>
      </c>
    </row>
    <row r="40" spans="1:6" x14ac:dyDescent="0.2">
      <c r="A40" s="24" t="s">
        <v>792</v>
      </c>
      <c r="B40" s="24" t="s">
        <v>793</v>
      </c>
      <c r="C40" s="24" t="s">
        <v>794</v>
      </c>
      <c r="D40" s="28">
        <v>400</v>
      </c>
      <c r="E40" s="26">
        <v>3984.72</v>
      </c>
      <c r="F40" s="27">
        <v>0.89867722703333597</v>
      </c>
    </row>
    <row r="41" spans="1:6" x14ac:dyDescent="0.2">
      <c r="A41" s="24" t="s">
        <v>807</v>
      </c>
      <c r="B41" s="24" t="s">
        <v>808</v>
      </c>
      <c r="C41" s="24" t="s">
        <v>677</v>
      </c>
      <c r="D41" s="28">
        <v>380</v>
      </c>
      <c r="E41" s="26">
        <v>3734.0243999999998</v>
      </c>
      <c r="F41" s="27">
        <v>0.84213763914825002</v>
      </c>
    </row>
    <row r="42" spans="1:6" x14ac:dyDescent="0.2">
      <c r="A42" s="24" t="s">
        <v>727</v>
      </c>
      <c r="B42" s="24" t="s">
        <v>728</v>
      </c>
      <c r="C42" s="24" t="s">
        <v>692</v>
      </c>
      <c r="D42" s="28">
        <v>351</v>
      </c>
      <c r="E42" s="26">
        <v>3469.2629400000001</v>
      </c>
      <c r="F42" s="27">
        <v>0.78242576611875303</v>
      </c>
    </row>
    <row r="43" spans="1:6" x14ac:dyDescent="0.2">
      <c r="A43" s="24" t="s">
        <v>955</v>
      </c>
      <c r="B43" s="24" t="s">
        <v>956</v>
      </c>
      <c r="C43" s="24" t="s">
        <v>692</v>
      </c>
      <c r="D43" s="28">
        <v>350</v>
      </c>
      <c r="E43" s="26">
        <v>3457.1424999999999</v>
      </c>
      <c r="F43" s="27">
        <v>0.77969223317048497</v>
      </c>
    </row>
    <row r="44" spans="1:6" x14ac:dyDescent="0.2">
      <c r="A44" s="24" t="s">
        <v>769</v>
      </c>
      <c r="B44" s="24" t="s">
        <v>770</v>
      </c>
      <c r="C44" s="24" t="s">
        <v>679</v>
      </c>
      <c r="D44" s="28">
        <v>310</v>
      </c>
      <c r="E44" s="26">
        <v>3306.6738999999998</v>
      </c>
      <c r="F44" s="27">
        <v>0.74575692423947104</v>
      </c>
    </row>
    <row r="45" spans="1:6" x14ac:dyDescent="0.2">
      <c r="A45" s="24" t="s">
        <v>983</v>
      </c>
      <c r="B45" s="24" t="s">
        <v>984</v>
      </c>
      <c r="C45" s="24" t="s">
        <v>692</v>
      </c>
      <c r="D45" s="28">
        <v>352</v>
      </c>
      <c r="E45" s="26">
        <v>3240.3923199999999</v>
      </c>
      <c r="F45" s="27">
        <v>0.73080838418702398</v>
      </c>
    </row>
    <row r="46" spans="1:6" x14ac:dyDescent="0.2">
      <c r="A46" s="24" t="s">
        <v>913</v>
      </c>
      <c r="B46" s="24" t="s">
        <v>914</v>
      </c>
      <c r="C46" s="24" t="s">
        <v>665</v>
      </c>
      <c r="D46" s="28">
        <v>300</v>
      </c>
      <c r="E46" s="26">
        <v>2992.6979999999999</v>
      </c>
      <c r="F46" s="27">
        <v>0.67494567748504497</v>
      </c>
    </row>
    <row r="47" spans="1:6" x14ac:dyDescent="0.2">
      <c r="A47" s="24" t="s">
        <v>929</v>
      </c>
      <c r="B47" s="24" t="s">
        <v>930</v>
      </c>
      <c r="C47" s="24" t="s">
        <v>692</v>
      </c>
      <c r="D47" s="28">
        <v>306</v>
      </c>
      <c r="E47" s="26">
        <v>2875.4054999999998</v>
      </c>
      <c r="F47" s="27">
        <v>0.64849260207402304</v>
      </c>
    </row>
    <row r="48" spans="1:6" x14ac:dyDescent="0.2">
      <c r="A48" s="24" t="s">
        <v>784</v>
      </c>
      <c r="B48" s="24" t="s">
        <v>785</v>
      </c>
      <c r="C48" s="24" t="s">
        <v>677</v>
      </c>
      <c r="D48" s="28">
        <v>270</v>
      </c>
      <c r="E48" s="26">
        <v>2690.739</v>
      </c>
      <c r="F48" s="27">
        <v>0.60684461221627894</v>
      </c>
    </row>
    <row r="49" spans="1:6" x14ac:dyDescent="0.2">
      <c r="A49" s="24" t="s">
        <v>963</v>
      </c>
      <c r="B49" s="24" t="s">
        <v>964</v>
      </c>
      <c r="C49" s="24" t="s">
        <v>711</v>
      </c>
      <c r="D49" s="28">
        <v>260</v>
      </c>
      <c r="E49" s="26">
        <v>2524.3685999999998</v>
      </c>
      <c r="F49" s="27">
        <v>0.56932295706047698</v>
      </c>
    </row>
    <row r="50" spans="1:6" x14ac:dyDescent="0.2">
      <c r="A50" s="24" t="s">
        <v>939</v>
      </c>
      <c r="B50" s="24" t="s">
        <v>940</v>
      </c>
      <c r="C50" s="24" t="s">
        <v>673</v>
      </c>
      <c r="D50" s="28">
        <v>250</v>
      </c>
      <c r="E50" s="26">
        <v>2489.2975000000001</v>
      </c>
      <c r="F50" s="27">
        <v>0.56141334260901998</v>
      </c>
    </row>
    <row r="51" spans="1:6" x14ac:dyDescent="0.2">
      <c r="A51" s="24" t="s">
        <v>947</v>
      </c>
      <c r="B51" s="24" t="s">
        <v>946</v>
      </c>
      <c r="C51" s="24" t="s">
        <v>777</v>
      </c>
      <c r="D51" s="28">
        <v>250</v>
      </c>
      <c r="E51" s="26">
        <v>2453.2249999999999</v>
      </c>
      <c r="F51" s="27">
        <v>0.55327788157984903</v>
      </c>
    </row>
    <row r="52" spans="1:6" x14ac:dyDescent="0.2">
      <c r="A52" s="24" t="s">
        <v>729</v>
      </c>
      <c r="B52" s="24" t="s">
        <v>730</v>
      </c>
      <c r="C52" s="24" t="s">
        <v>677</v>
      </c>
      <c r="D52" s="28">
        <v>219</v>
      </c>
      <c r="E52" s="26">
        <v>2316.5250599999999</v>
      </c>
      <c r="F52" s="27">
        <v>0.52244783002921902</v>
      </c>
    </row>
    <row r="53" spans="1:6" x14ac:dyDescent="0.2">
      <c r="A53" s="24" t="s">
        <v>990</v>
      </c>
      <c r="B53" s="24" t="s">
        <v>991</v>
      </c>
      <c r="C53" s="24" t="s">
        <v>700</v>
      </c>
      <c r="D53" s="28">
        <v>2000</v>
      </c>
      <c r="E53" s="26">
        <v>1943.056</v>
      </c>
      <c r="F53" s="27">
        <v>0.43821904125019701</v>
      </c>
    </row>
    <row r="54" spans="1:6" x14ac:dyDescent="0.2">
      <c r="A54" s="24" t="s">
        <v>927</v>
      </c>
      <c r="B54" s="24" t="s">
        <v>928</v>
      </c>
      <c r="C54" s="24" t="s">
        <v>827</v>
      </c>
      <c r="D54" s="28">
        <v>190</v>
      </c>
      <c r="E54" s="26">
        <v>1895.8827000000001</v>
      </c>
      <c r="F54" s="27">
        <v>0.42758000753289399</v>
      </c>
    </row>
    <row r="55" spans="1:6" x14ac:dyDescent="0.2">
      <c r="A55" s="24" t="s">
        <v>921</v>
      </c>
      <c r="B55" s="24" t="s">
        <v>922</v>
      </c>
      <c r="C55" s="24" t="s">
        <v>692</v>
      </c>
      <c r="D55" s="28">
        <v>176</v>
      </c>
      <c r="E55" s="26">
        <v>1705.8060800000001</v>
      </c>
      <c r="F55" s="27">
        <v>0.384711868796554</v>
      </c>
    </row>
    <row r="56" spans="1:6" x14ac:dyDescent="0.2">
      <c r="A56" s="24" t="s">
        <v>923</v>
      </c>
      <c r="B56" s="24" t="s">
        <v>924</v>
      </c>
      <c r="C56" s="24" t="s">
        <v>692</v>
      </c>
      <c r="D56" s="28">
        <v>176</v>
      </c>
      <c r="E56" s="26">
        <v>1691.8457599999999</v>
      </c>
      <c r="F56" s="27">
        <v>0.38156338617641999</v>
      </c>
    </row>
    <row r="57" spans="1:6" x14ac:dyDescent="0.2">
      <c r="A57" s="24" t="s">
        <v>971</v>
      </c>
      <c r="B57" s="24" t="s">
        <v>972</v>
      </c>
      <c r="C57" s="24" t="s">
        <v>673</v>
      </c>
      <c r="D57" s="28">
        <v>150</v>
      </c>
      <c r="E57" s="26">
        <v>1485.9390000000001</v>
      </c>
      <c r="F57" s="27">
        <v>0.33512506275489601</v>
      </c>
    </row>
    <row r="58" spans="1:6" x14ac:dyDescent="0.2">
      <c r="A58" s="24" t="s">
        <v>715</v>
      </c>
      <c r="B58" s="24" t="s">
        <v>716</v>
      </c>
      <c r="C58" s="24" t="s">
        <v>717</v>
      </c>
      <c r="D58" s="28">
        <v>100</v>
      </c>
      <c r="E58" s="26">
        <v>1019.592</v>
      </c>
      <c r="F58" s="27">
        <v>0.22994943465673201</v>
      </c>
    </row>
    <row r="59" spans="1:6" x14ac:dyDescent="0.2">
      <c r="A59" s="24" t="s">
        <v>1241</v>
      </c>
      <c r="B59" s="24" t="s">
        <v>1242</v>
      </c>
      <c r="C59" s="24" t="s">
        <v>665</v>
      </c>
      <c r="D59" s="28">
        <v>100</v>
      </c>
      <c r="E59" s="26">
        <v>1002.678</v>
      </c>
      <c r="F59" s="27">
        <v>0.226134806121216</v>
      </c>
    </row>
    <row r="60" spans="1:6" x14ac:dyDescent="0.2">
      <c r="A60" s="24" t="s">
        <v>911</v>
      </c>
      <c r="B60" s="24" t="s">
        <v>912</v>
      </c>
      <c r="C60" s="24" t="s">
        <v>827</v>
      </c>
      <c r="D60" s="28">
        <v>100</v>
      </c>
      <c r="E60" s="26">
        <v>997.95299999999997</v>
      </c>
      <c r="F60" s="27">
        <v>0.22506917292798401</v>
      </c>
    </row>
    <row r="61" spans="1:6" x14ac:dyDescent="0.2">
      <c r="A61" s="24" t="s">
        <v>953</v>
      </c>
      <c r="B61" s="24" t="s">
        <v>954</v>
      </c>
      <c r="C61" s="24" t="s">
        <v>677</v>
      </c>
      <c r="D61" s="28">
        <v>90</v>
      </c>
      <c r="E61" s="26">
        <v>898.77959999999996</v>
      </c>
      <c r="F61" s="27">
        <v>0.20270251326118999</v>
      </c>
    </row>
    <row r="62" spans="1:6" x14ac:dyDescent="0.2">
      <c r="A62" s="24" t="s">
        <v>1224</v>
      </c>
      <c r="B62" s="24" t="s">
        <v>1225</v>
      </c>
      <c r="C62" s="24" t="s">
        <v>689</v>
      </c>
      <c r="D62" s="28">
        <v>95</v>
      </c>
      <c r="E62" s="26">
        <v>805.65035</v>
      </c>
      <c r="F62" s="27">
        <v>0.18169899578801901</v>
      </c>
    </row>
    <row r="63" spans="1:6" x14ac:dyDescent="0.2">
      <c r="A63" s="24" t="s">
        <v>1326</v>
      </c>
      <c r="B63" s="24" t="s">
        <v>1327</v>
      </c>
      <c r="C63" s="24" t="s">
        <v>1328</v>
      </c>
      <c r="D63" s="28">
        <v>74</v>
      </c>
      <c r="E63" s="26">
        <v>745.13189999999997</v>
      </c>
      <c r="F63" s="27">
        <v>0.16805021925407099</v>
      </c>
    </row>
    <row r="64" spans="1:6" x14ac:dyDescent="0.2">
      <c r="A64" s="24" t="s">
        <v>975</v>
      </c>
      <c r="B64" s="24" t="s">
        <v>976</v>
      </c>
      <c r="C64" s="24" t="s">
        <v>673</v>
      </c>
      <c r="D64" s="28">
        <v>50</v>
      </c>
      <c r="E64" s="26">
        <v>506.77249999999998</v>
      </c>
      <c r="F64" s="27">
        <v>0.11429282485011499</v>
      </c>
    </row>
    <row r="65" spans="1:9" x14ac:dyDescent="0.2">
      <c r="A65" s="24" t="s">
        <v>752</v>
      </c>
      <c r="B65" s="24" t="s">
        <v>753</v>
      </c>
      <c r="C65" s="24" t="s">
        <v>689</v>
      </c>
      <c r="D65" s="28">
        <v>40</v>
      </c>
      <c r="E65" s="26">
        <v>417.88319999999999</v>
      </c>
      <c r="F65" s="27">
        <v>9.4245546838878702E-2</v>
      </c>
    </row>
    <row r="66" spans="1:9" x14ac:dyDescent="0.2">
      <c r="A66" s="24" t="s">
        <v>1226</v>
      </c>
      <c r="B66" s="24" t="s">
        <v>1227</v>
      </c>
      <c r="C66" s="24" t="s">
        <v>679</v>
      </c>
      <c r="D66" s="28">
        <v>400</v>
      </c>
      <c r="E66" s="26">
        <v>392.08080000000001</v>
      </c>
      <c r="F66" s="27">
        <v>8.8426310033581201E-2</v>
      </c>
    </row>
    <row r="67" spans="1:9" x14ac:dyDescent="0.2">
      <c r="A67" s="24" t="s">
        <v>1329</v>
      </c>
      <c r="B67" s="24" t="s">
        <v>1330</v>
      </c>
      <c r="C67" s="24" t="s">
        <v>815</v>
      </c>
      <c r="D67" s="28">
        <v>3</v>
      </c>
      <c r="E67" s="26">
        <v>305.0967</v>
      </c>
      <c r="F67" s="27">
        <v>6.8808713368322394E-2</v>
      </c>
    </row>
    <row r="68" spans="1:9" ht="10.5" x14ac:dyDescent="0.25">
      <c r="A68" s="23" t="s">
        <v>24</v>
      </c>
      <c r="B68" s="23"/>
      <c r="C68" s="23"/>
      <c r="D68" s="29"/>
      <c r="E68" s="30">
        <f>SUM(E6:E67)</f>
        <v>357733.85750999989</v>
      </c>
      <c r="F68" s="31">
        <f>SUM(F6:F67)</f>
        <v>80.680015429697718</v>
      </c>
      <c r="G68" s="15"/>
      <c r="H68" s="15"/>
      <c r="I68" s="15"/>
    </row>
    <row r="69" spans="1:9" x14ac:dyDescent="0.2">
      <c r="A69" s="24"/>
      <c r="B69" s="24"/>
      <c r="C69" s="24"/>
      <c r="D69" s="25"/>
      <c r="E69" s="26"/>
      <c r="F69" s="27"/>
    </row>
    <row r="70" spans="1:9" ht="10.5" x14ac:dyDescent="0.25">
      <c r="A70" s="23" t="s">
        <v>818</v>
      </c>
      <c r="B70" s="24"/>
      <c r="C70" s="24"/>
      <c r="D70" s="25"/>
      <c r="E70" s="26"/>
      <c r="F70" s="27"/>
    </row>
    <row r="71" spans="1:9" x14ac:dyDescent="0.2">
      <c r="A71" s="24" t="s">
        <v>1005</v>
      </c>
      <c r="B71" s="24" t="s">
        <v>1006</v>
      </c>
      <c r="C71" s="24" t="s">
        <v>1007</v>
      </c>
      <c r="D71" s="28">
        <v>300</v>
      </c>
      <c r="E71" s="26">
        <v>35332.5</v>
      </c>
      <c r="F71" s="27">
        <v>7.9685682116071703</v>
      </c>
    </row>
    <row r="72" spans="1:9" x14ac:dyDescent="0.2">
      <c r="A72" s="24" t="s">
        <v>1008</v>
      </c>
      <c r="B72" s="24" t="s">
        <v>1009</v>
      </c>
      <c r="C72" s="24" t="s">
        <v>1010</v>
      </c>
      <c r="D72" s="28">
        <v>230</v>
      </c>
      <c r="E72" s="26">
        <v>23170.062000000002</v>
      </c>
      <c r="F72" s="27">
        <v>5.2255634193495304</v>
      </c>
    </row>
    <row r="73" spans="1:9" x14ac:dyDescent="0.2">
      <c r="A73" s="24" t="s">
        <v>1029</v>
      </c>
      <c r="B73" s="24" t="s">
        <v>1030</v>
      </c>
      <c r="C73" s="24" t="s">
        <v>1031</v>
      </c>
      <c r="D73" s="28">
        <v>30</v>
      </c>
      <c r="E73" s="26">
        <v>15038.64</v>
      </c>
      <c r="F73" s="27">
        <v>3.3916770296413801</v>
      </c>
    </row>
    <row r="74" spans="1:9" x14ac:dyDescent="0.2">
      <c r="A74" s="24" t="s">
        <v>1331</v>
      </c>
      <c r="B74" s="24" t="s">
        <v>1014</v>
      </c>
      <c r="C74" s="24" t="s">
        <v>737</v>
      </c>
      <c r="D74" s="28">
        <v>1250</v>
      </c>
      <c r="E74" s="26">
        <v>12338</v>
      </c>
      <c r="F74" s="27">
        <v>2.7825994366322599</v>
      </c>
    </row>
    <row r="75" spans="1:9" x14ac:dyDescent="0.2">
      <c r="A75" s="24" t="s">
        <v>1307</v>
      </c>
      <c r="B75" s="24" t="s">
        <v>1308</v>
      </c>
      <c r="C75" s="24" t="s">
        <v>1074</v>
      </c>
      <c r="D75" s="28">
        <v>1000</v>
      </c>
      <c r="E75" s="26">
        <v>7840.0432700000001</v>
      </c>
      <c r="F75" s="27">
        <v>1.7681715015622099</v>
      </c>
    </row>
    <row r="76" spans="1:9" x14ac:dyDescent="0.2">
      <c r="A76" s="24" t="s">
        <v>1332</v>
      </c>
      <c r="B76" s="24" t="s">
        <v>1333</v>
      </c>
      <c r="C76" s="24" t="s">
        <v>1041</v>
      </c>
      <c r="D76" s="28">
        <v>750</v>
      </c>
      <c r="E76" s="26">
        <v>7426.5150000000003</v>
      </c>
      <c r="F76" s="27">
        <v>1.67490812572062</v>
      </c>
    </row>
    <row r="77" spans="1:9" x14ac:dyDescent="0.2">
      <c r="A77" s="24" t="s">
        <v>1032</v>
      </c>
      <c r="B77" s="24" t="s">
        <v>1033</v>
      </c>
      <c r="C77" s="24" t="s">
        <v>737</v>
      </c>
      <c r="D77" s="28">
        <v>550</v>
      </c>
      <c r="E77" s="26">
        <v>5418.2425000000003</v>
      </c>
      <c r="F77" s="27">
        <v>1.2219807527992399</v>
      </c>
    </row>
    <row r="78" spans="1:9" x14ac:dyDescent="0.2">
      <c r="A78" s="24" t="s">
        <v>1047</v>
      </c>
      <c r="B78" s="24" t="s">
        <v>1048</v>
      </c>
      <c r="C78" s="24" t="s">
        <v>1017</v>
      </c>
      <c r="D78" s="28">
        <v>580</v>
      </c>
      <c r="E78" s="26">
        <v>5326.3785889999999</v>
      </c>
      <c r="F78" s="27">
        <v>1.2012626082867199</v>
      </c>
    </row>
    <row r="79" spans="1:9" x14ac:dyDescent="0.2">
      <c r="A79" s="24" t="s">
        <v>1034</v>
      </c>
      <c r="B79" s="24" t="s">
        <v>1035</v>
      </c>
      <c r="C79" s="24" t="s">
        <v>1036</v>
      </c>
      <c r="D79" s="28">
        <v>527</v>
      </c>
      <c r="E79" s="26">
        <v>5225.68984</v>
      </c>
      <c r="F79" s="27">
        <v>1.1785541906953201</v>
      </c>
    </row>
    <row r="80" spans="1:9" x14ac:dyDescent="0.2">
      <c r="A80" s="24" t="s">
        <v>1072</v>
      </c>
      <c r="B80" s="24" t="s">
        <v>1073</v>
      </c>
      <c r="C80" s="24" t="s">
        <v>1074</v>
      </c>
      <c r="D80" s="28">
        <v>200</v>
      </c>
      <c r="E80" s="26">
        <v>2044.626</v>
      </c>
      <c r="F80" s="27">
        <v>0.46112620811506499</v>
      </c>
    </row>
    <row r="81" spans="1:9" x14ac:dyDescent="0.2">
      <c r="A81" s="24" t="s">
        <v>1011</v>
      </c>
      <c r="B81" s="24" t="s">
        <v>1012</v>
      </c>
      <c r="C81" s="24" t="s">
        <v>684</v>
      </c>
      <c r="D81" s="28">
        <v>200</v>
      </c>
      <c r="E81" s="26">
        <v>1918.4380000000001</v>
      </c>
      <c r="F81" s="27">
        <v>0.432666923165336</v>
      </c>
    </row>
    <row r="82" spans="1:9" x14ac:dyDescent="0.2">
      <c r="A82" s="24" t="s">
        <v>1309</v>
      </c>
      <c r="B82" s="24" t="s">
        <v>1310</v>
      </c>
      <c r="C82" s="24" t="s">
        <v>1041</v>
      </c>
      <c r="D82" s="28">
        <v>370</v>
      </c>
      <c r="E82" s="26">
        <v>1853.5372</v>
      </c>
      <c r="F82" s="27">
        <v>0.41802979157861397</v>
      </c>
    </row>
    <row r="83" spans="1:9" x14ac:dyDescent="0.2">
      <c r="A83" s="24" t="s">
        <v>1049</v>
      </c>
      <c r="B83" s="24" t="s">
        <v>1050</v>
      </c>
      <c r="C83" s="24" t="s">
        <v>1026</v>
      </c>
      <c r="D83" s="28">
        <v>150</v>
      </c>
      <c r="E83" s="26">
        <v>1495.3335</v>
      </c>
      <c r="F83" s="27">
        <v>0.33724381218004101</v>
      </c>
    </row>
    <row r="84" spans="1:9" x14ac:dyDescent="0.2">
      <c r="A84" s="24" t="s">
        <v>1311</v>
      </c>
      <c r="B84" s="24" t="s">
        <v>1312</v>
      </c>
      <c r="C84" s="24" t="s">
        <v>1074</v>
      </c>
      <c r="D84" s="28">
        <v>422</v>
      </c>
      <c r="E84" s="26">
        <v>1311.681106</v>
      </c>
      <c r="F84" s="27">
        <v>0.29582453449479501</v>
      </c>
    </row>
    <row r="85" spans="1:9" x14ac:dyDescent="0.2">
      <c r="A85" s="24" t="s">
        <v>1065</v>
      </c>
      <c r="B85" s="24" t="s">
        <v>1066</v>
      </c>
      <c r="C85" s="24" t="s">
        <v>1017</v>
      </c>
      <c r="D85" s="28">
        <v>130</v>
      </c>
      <c r="E85" s="26">
        <v>1188.5654300000001</v>
      </c>
      <c r="F85" s="27">
        <v>0.26805815334078298</v>
      </c>
    </row>
    <row r="86" spans="1:9" x14ac:dyDescent="0.2">
      <c r="A86" s="24" t="s">
        <v>1082</v>
      </c>
      <c r="B86" s="24" t="s">
        <v>1083</v>
      </c>
      <c r="C86" s="24" t="s">
        <v>1041</v>
      </c>
      <c r="D86" s="28">
        <v>320</v>
      </c>
      <c r="E86" s="26">
        <v>1068.0768</v>
      </c>
      <c r="F86" s="27">
        <v>0.240884252063542</v>
      </c>
    </row>
    <row r="87" spans="1:9" x14ac:dyDescent="0.2">
      <c r="A87" s="24" t="s">
        <v>1305</v>
      </c>
      <c r="B87" s="24" t="s">
        <v>1306</v>
      </c>
      <c r="C87" s="24" t="s">
        <v>902</v>
      </c>
      <c r="D87" s="28">
        <v>110</v>
      </c>
      <c r="E87" s="26">
        <v>1060.2922000000001</v>
      </c>
      <c r="F87" s="27">
        <v>0.239128584728933</v>
      </c>
    </row>
    <row r="88" spans="1:9" x14ac:dyDescent="0.2">
      <c r="A88" s="24" t="s">
        <v>1078</v>
      </c>
      <c r="B88" s="24" t="s">
        <v>1079</v>
      </c>
      <c r="C88" s="24" t="s">
        <v>1062</v>
      </c>
      <c r="D88" s="28">
        <v>31</v>
      </c>
      <c r="E88" s="26">
        <v>811.63890000000004</v>
      </c>
      <c r="F88" s="27">
        <v>0.183049598467242</v>
      </c>
    </row>
    <row r="89" spans="1:9" x14ac:dyDescent="0.2">
      <c r="A89" s="24" t="s">
        <v>1060</v>
      </c>
      <c r="B89" s="24" t="s">
        <v>1061</v>
      </c>
      <c r="C89" s="24" t="s">
        <v>1062</v>
      </c>
      <c r="D89" s="28">
        <v>28</v>
      </c>
      <c r="E89" s="26">
        <v>740.64200000000005</v>
      </c>
      <c r="F89" s="27">
        <v>0.167037608360041</v>
      </c>
    </row>
    <row r="90" spans="1:9" x14ac:dyDescent="0.2">
      <c r="A90" s="24" t="s">
        <v>1075</v>
      </c>
      <c r="B90" s="24" t="s">
        <v>1076</v>
      </c>
      <c r="C90" s="24" t="s">
        <v>1077</v>
      </c>
      <c r="D90" s="28">
        <v>979</v>
      </c>
      <c r="E90" s="26">
        <v>489.5</v>
      </c>
      <c r="F90" s="27">
        <v>0.110397343510414</v>
      </c>
    </row>
    <row r="91" spans="1:9" x14ac:dyDescent="0.2">
      <c r="A91" s="24" t="s">
        <v>1018</v>
      </c>
      <c r="B91" s="24" t="s">
        <v>1019</v>
      </c>
      <c r="C91" s="24" t="s">
        <v>902</v>
      </c>
      <c r="D91" s="28">
        <v>50</v>
      </c>
      <c r="E91" s="26">
        <v>483.16800000000001</v>
      </c>
      <c r="F91" s="27">
        <v>0.108969282266067</v>
      </c>
    </row>
    <row r="92" spans="1:9" x14ac:dyDescent="0.2">
      <c r="A92" s="24" t="s">
        <v>1259</v>
      </c>
      <c r="B92" s="24" t="s">
        <v>1260</v>
      </c>
      <c r="C92" s="24" t="s">
        <v>1077</v>
      </c>
      <c r="D92" s="28">
        <v>855</v>
      </c>
      <c r="E92" s="26">
        <v>427.5</v>
      </c>
      <c r="F92" s="27">
        <v>9.6414431768543599E-2</v>
      </c>
    </row>
    <row r="93" spans="1:9" x14ac:dyDescent="0.2">
      <c r="A93" s="24" t="s">
        <v>1084</v>
      </c>
      <c r="B93" s="24" t="s">
        <v>1085</v>
      </c>
      <c r="C93" s="24" t="s">
        <v>1077</v>
      </c>
      <c r="D93" s="28">
        <v>641</v>
      </c>
      <c r="E93" s="26">
        <v>320.5</v>
      </c>
      <c r="F93" s="27">
        <v>7.2282632472089395E-2</v>
      </c>
    </row>
    <row r="94" spans="1:9" ht="10.5" x14ac:dyDescent="0.25">
      <c r="A94" s="23" t="s">
        <v>24</v>
      </c>
      <c r="B94" s="23"/>
      <c r="C94" s="23"/>
      <c r="D94" s="29"/>
      <c r="E94" s="30">
        <f>SUM(E70:E93)</f>
        <v>132329.570335</v>
      </c>
      <c r="F94" s="31">
        <f>SUM(F70:F93)</f>
        <v>29.844398432805953</v>
      </c>
      <c r="G94" s="15"/>
      <c r="H94" s="15"/>
      <c r="I94" s="15"/>
    </row>
    <row r="95" spans="1:9" x14ac:dyDescent="0.2">
      <c r="A95" s="24"/>
      <c r="B95" s="24"/>
      <c r="C95" s="24"/>
      <c r="D95" s="25"/>
      <c r="E95" s="26"/>
      <c r="F95" s="27"/>
    </row>
    <row r="96" spans="1:9" ht="10.5" x14ac:dyDescent="0.25">
      <c r="A96" s="23" t="s">
        <v>25</v>
      </c>
      <c r="B96" s="23"/>
      <c r="C96" s="23"/>
      <c r="D96" s="29"/>
      <c r="E96" s="30">
        <f>E68+E94</f>
        <v>490063.42784499988</v>
      </c>
      <c r="F96" s="31">
        <f>F68+F94</f>
        <v>110.52441386250368</v>
      </c>
      <c r="G96" s="15"/>
      <c r="H96" s="15"/>
      <c r="I96" s="15"/>
    </row>
    <row r="97" spans="1:9" ht="10.5" x14ac:dyDescent="0.25">
      <c r="A97" s="23"/>
      <c r="B97" s="23"/>
      <c r="C97" s="23"/>
      <c r="D97" s="29"/>
      <c r="E97" s="30"/>
      <c r="F97" s="31"/>
      <c r="G97" s="15"/>
      <c r="H97" s="15"/>
      <c r="I97" s="15"/>
    </row>
    <row r="98" spans="1:9" ht="10.5" x14ac:dyDescent="0.25">
      <c r="A98" s="23" t="s">
        <v>27</v>
      </c>
      <c r="B98" s="23"/>
      <c r="C98" s="23"/>
      <c r="D98" s="29"/>
      <c r="E98" s="79">
        <f>E100-(E68+E94)</f>
        <v>-46665.077454599901</v>
      </c>
      <c r="F98" s="80">
        <f>F100-(F68+F94)</f>
        <v>-10.524413862503678</v>
      </c>
      <c r="G98" s="15"/>
      <c r="H98" s="15"/>
      <c r="I98" s="15"/>
    </row>
    <row r="99" spans="1:9" ht="10.5" x14ac:dyDescent="0.25">
      <c r="A99" s="23"/>
      <c r="B99" s="23"/>
      <c r="C99" s="23"/>
      <c r="D99" s="29"/>
      <c r="E99" s="30"/>
      <c r="F99" s="31"/>
      <c r="G99" s="15"/>
      <c r="H99" s="15"/>
      <c r="I99" s="15"/>
    </row>
    <row r="100" spans="1:9" ht="10.5" x14ac:dyDescent="0.25">
      <c r="A100" s="32" t="s">
        <v>26</v>
      </c>
      <c r="B100" s="32"/>
      <c r="C100" s="32"/>
      <c r="D100" s="33"/>
      <c r="E100" s="34">
        <v>443398.35039039998</v>
      </c>
      <c r="F100" s="35">
        <v>100</v>
      </c>
      <c r="G100" s="15"/>
      <c r="H100" s="15"/>
      <c r="I100" s="15"/>
    </row>
    <row r="101" spans="1:9" ht="10.5" x14ac:dyDescent="0.25">
      <c r="A101" s="61" t="s">
        <v>872</v>
      </c>
    </row>
    <row r="102" spans="1:9" ht="10.5" x14ac:dyDescent="0.25">
      <c r="A102" s="61" t="s">
        <v>1795</v>
      </c>
    </row>
    <row r="103" spans="1:9" ht="10.5" x14ac:dyDescent="0.25">
      <c r="A103" s="62" t="s">
        <v>1798</v>
      </c>
    </row>
    <row r="104" spans="1:9" ht="10.5" x14ac:dyDescent="0.25">
      <c r="A104" s="62" t="s">
        <v>1818</v>
      </c>
    </row>
    <row r="106" spans="1:9" ht="10.5" x14ac:dyDescent="0.25">
      <c r="A106" s="15" t="s">
        <v>28</v>
      </c>
    </row>
    <row r="107" spans="1:9" ht="10.5" x14ac:dyDescent="0.25">
      <c r="A107" s="15" t="s">
        <v>29</v>
      </c>
    </row>
    <row r="108" spans="1:9" ht="10.5" x14ac:dyDescent="0.25">
      <c r="A108" s="15" t="s">
        <v>30</v>
      </c>
      <c r="B108" s="15"/>
      <c r="C108" s="36" t="s">
        <v>32</v>
      </c>
      <c r="D108" s="16" t="s">
        <v>31</v>
      </c>
    </row>
    <row r="109" spans="1:9" x14ac:dyDescent="0.2">
      <c r="A109" s="9" t="s">
        <v>38</v>
      </c>
      <c r="C109" s="37">
        <v>19.8201</v>
      </c>
      <c r="D109" s="37">
        <v>18.697099999999999</v>
      </c>
    </row>
    <row r="110" spans="1:9" x14ac:dyDescent="0.2">
      <c r="A110" s="9" t="s">
        <v>40</v>
      </c>
      <c r="C110" s="37">
        <v>10.8477</v>
      </c>
      <c r="D110" s="37">
        <v>10.026400000000001</v>
      </c>
    </row>
    <row r="111" spans="1:9" x14ac:dyDescent="0.2">
      <c r="A111" s="9" t="s">
        <v>39</v>
      </c>
      <c r="C111" s="37">
        <v>20.924099999999999</v>
      </c>
      <c r="D111" s="37">
        <v>19.804300000000001</v>
      </c>
    </row>
    <row r="112" spans="1:9" x14ac:dyDescent="0.2">
      <c r="A112" s="9" t="s">
        <v>41</v>
      </c>
      <c r="C112" s="37">
        <v>11.685</v>
      </c>
      <c r="D112" s="37">
        <v>10.853300000000001</v>
      </c>
    </row>
    <row r="114" spans="1:5" ht="10.5" x14ac:dyDescent="0.25">
      <c r="A114" s="15" t="s">
        <v>1882</v>
      </c>
    </row>
    <row r="115" spans="1:5" ht="10.5" x14ac:dyDescent="0.25">
      <c r="A115" s="90" t="s">
        <v>33</v>
      </c>
      <c r="B115" s="91"/>
      <c r="C115" s="92" t="s">
        <v>1883</v>
      </c>
      <c r="D115" s="93"/>
    </row>
    <row r="116" spans="1:5" ht="10.5" x14ac:dyDescent="0.25">
      <c r="A116" s="90"/>
      <c r="B116" s="91"/>
      <c r="C116" s="38" t="s">
        <v>34</v>
      </c>
      <c r="D116" s="39" t="s">
        <v>35</v>
      </c>
    </row>
    <row r="117" spans="1:5" x14ac:dyDescent="0.2">
      <c r="A117" s="96" t="s">
        <v>40</v>
      </c>
      <c r="B117" s="97"/>
      <c r="C117" s="40">
        <v>0.158470994</v>
      </c>
      <c r="D117" s="40">
        <v>0.14674493020000001</v>
      </c>
    </row>
    <row r="118" spans="1:5" x14ac:dyDescent="0.2">
      <c r="A118" s="96" t="s">
        <v>41</v>
      </c>
      <c r="B118" s="97"/>
      <c r="C118" s="40">
        <v>0.158470994</v>
      </c>
      <c r="D118" s="40">
        <v>0.14674493020000001</v>
      </c>
    </row>
    <row r="120" spans="1:5" ht="10.5" x14ac:dyDescent="0.25">
      <c r="A120" s="15" t="s">
        <v>882</v>
      </c>
      <c r="D120" s="11">
        <v>3.0773922381967198</v>
      </c>
      <c r="E120" s="11" t="s">
        <v>883</v>
      </c>
    </row>
    <row r="122" spans="1:5" ht="10.5" x14ac:dyDescent="0.25">
      <c r="A122" s="15" t="s">
        <v>884</v>
      </c>
      <c r="D122" s="60">
        <v>5</v>
      </c>
    </row>
    <row r="123" spans="1:5" x14ac:dyDescent="0.2">
      <c r="A123" s="9" t="s">
        <v>885</v>
      </c>
    </row>
    <row r="124" spans="1:5" ht="14.5" x14ac:dyDescent="0.35">
      <c r="A124" s="49" t="s">
        <v>1898</v>
      </c>
    </row>
    <row r="126" spans="1:5" ht="10.5" x14ac:dyDescent="0.25">
      <c r="A126" s="15" t="s">
        <v>1825</v>
      </c>
    </row>
    <row r="127" spans="1:5" ht="10.5" x14ac:dyDescent="0.25">
      <c r="A127" s="15"/>
    </row>
    <row r="129" spans="1:9" s="1" customFormat="1" ht="14" x14ac:dyDescent="0.25">
      <c r="A129" s="88" t="s">
        <v>1334</v>
      </c>
      <c r="B129" s="89"/>
      <c r="C129" s="89"/>
      <c r="D129" s="89"/>
      <c r="E129" s="89"/>
      <c r="F129" s="89"/>
    </row>
    <row r="130" spans="1:9" ht="10.5" x14ac:dyDescent="0.25">
      <c r="A130" s="15" t="s">
        <v>888</v>
      </c>
    </row>
    <row r="131" spans="1:9" ht="10.5" x14ac:dyDescent="0.25">
      <c r="A131" s="15" t="s">
        <v>4</v>
      </c>
    </row>
    <row r="132" spans="1:9" s="1" customFormat="1" ht="22.5" customHeight="1" x14ac:dyDescent="0.25">
      <c r="A132" s="8" t="s">
        <v>2</v>
      </c>
      <c r="B132" s="8" t="s">
        <v>0</v>
      </c>
      <c r="C132" s="8" t="s">
        <v>661</v>
      </c>
      <c r="D132" s="13" t="s">
        <v>1</v>
      </c>
      <c r="E132" s="64" t="s">
        <v>1820</v>
      </c>
      <c r="F132" s="63" t="s">
        <v>3</v>
      </c>
    </row>
    <row r="133" spans="1:9" ht="10.5" x14ac:dyDescent="0.25">
      <c r="A133" s="18" t="s">
        <v>662</v>
      </c>
      <c r="B133" s="19"/>
      <c r="C133" s="19"/>
      <c r="D133" s="20"/>
      <c r="E133" s="21"/>
      <c r="F133" s="22"/>
    </row>
    <row r="134" spans="1:9" ht="10.5" x14ac:dyDescent="0.25">
      <c r="A134" s="23" t="s">
        <v>1799</v>
      </c>
      <c r="B134" s="24"/>
      <c r="C134" s="24"/>
      <c r="D134" s="25"/>
      <c r="E134" s="26"/>
      <c r="F134" s="27"/>
    </row>
    <row r="135" spans="1:9" x14ac:dyDescent="0.2">
      <c r="A135" s="24" t="s">
        <v>889</v>
      </c>
      <c r="B135" s="24" t="s">
        <v>890</v>
      </c>
      <c r="C135" s="24" t="s">
        <v>891</v>
      </c>
      <c r="D135" s="28">
        <v>220</v>
      </c>
      <c r="E135" s="26">
        <v>8.4999999999999999E-6</v>
      </c>
      <c r="F135" s="26">
        <v>100</v>
      </c>
    </row>
    <row r="136" spans="1:9" ht="10.5" x14ac:dyDescent="0.25">
      <c r="A136" s="23" t="s">
        <v>24</v>
      </c>
      <c r="B136" s="23"/>
      <c r="C136" s="23"/>
      <c r="D136" s="29"/>
      <c r="E136" s="30">
        <f>SUM(E134:E135)</f>
        <v>8.4999999999999999E-6</v>
      </c>
      <c r="F136" s="31">
        <f>SUM(F134:F135)</f>
        <v>100</v>
      </c>
      <c r="G136" s="15"/>
      <c r="H136" s="15"/>
      <c r="I136" s="15"/>
    </row>
    <row r="137" spans="1:9" x14ac:dyDescent="0.2">
      <c r="A137" s="24"/>
      <c r="B137" s="24"/>
      <c r="C137" s="24"/>
      <c r="D137" s="25"/>
      <c r="E137" s="26"/>
      <c r="F137" s="27"/>
    </row>
    <row r="138" spans="1:9" ht="10.5" x14ac:dyDescent="0.25">
      <c r="A138" s="23" t="s">
        <v>25</v>
      </c>
      <c r="B138" s="23"/>
      <c r="C138" s="23"/>
      <c r="D138" s="29"/>
      <c r="E138" s="30">
        <f>E136</f>
        <v>8.4999999999999999E-6</v>
      </c>
      <c r="F138" s="31">
        <f>F136</f>
        <v>100</v>
      </c>
      <c r="G138" s="15"/>
      <c r="H138" s="15"/>
      <c r="I138" s="15"/>
    </row>
    <row r="139" spans="1:9" ht="10.5" x14ac:dyDescent="0.25">
      <c r="A139" s="23"/>
      <c r="B139" s="23"/>
      <c r="C139" s="23"/>
      <c r="D139" s="29"/>
      <c r="E139" s="30"/>
      <c r="F139" s="31"/>
      <c r="G139" s="15"/>
      <c r="H139" s="15"/>
      <c r="I139" s="15"/>
    </row>
    <row r="140" spans="1:9" ht="10.5" x14ac:dyDescent="0.25">
      <c r="A140" s="23" t="s">
        <v>27</v>
      </c>
      <c r="B140" s="23"/>
      <c r="C140" s="23"/>
      <c r="D140" s="29"/>
      <c r="E140" s="30">
        <f>E142-(E136)</f>
        <v>-7.6000000000000001E-6</v>
      </c>
      <c r="F140" s="85" t="s">
        <v>1896</v>
      </c>
      <c r="G140" s="15"/>
      <c r="H140" s="15"/>
      <c r="I140" s="15"/>
    </row>
    <row r="141" spans="1:9" ht="10.5" x14ac:dyDescent="0.25">
      <c r="A141" s="23"/>
      <c r="B141" s="23"/>
      <c r="C141" s="23"/>
      <c r="D141" s="29"/>
      <c r="E141" s="30"/>
      <c r="F141" s="31"/>
      <c r="G141" s="15"/>
      <c r="H141" s="15"/>
      <c r="I141" s="15"/>
    </row>
    <row r="142" spans="1:9" ht="10.5" x14ac:dyDescent="0.25">
      <c r="A142" s="32" t="s">
        <v>26</v>
      </c>
      <c r="B142" s="32"/>
      <c r="C142" s="32"/>
      <c r="D142" s="33"/>
      <c r="E142" s="34">
        <v>8.9999999999999996E-7</v>
      </c>
      <c r="F142" s="35">
        <v>100</v>
      </c>
      <c r="G142" s="15"/>
      <c r="H142" s="15"/>
      <c r="I142" s="15"/>
    </row>
    <row r="143" spans="1:9" ht="10.5" x14ac:dyDescent="0.25">
      <c r="A143" s="61" t="s">
        <v>872</v>
      </c>
      <c r="F143" s="86" t="s">
        <v>37</v>
      </c>
    </row>
    <row r="144" spans="1:9" ht="10.5" x14ac:dyDescent="0.25">
      <c r="A144" s="61" t="s">
        <v>1795</v>
      </c>
    </row>
    <row r="145" spans="1:4" ht="10.5" x14ac:dyDescent="0.25">
      <c r="A145" s="62" t="s">
        <v>1798</v>
      </c>
    </row>
    <row r="147" spans="1:4" ht="10.5" x14ac:dyDescent="0.25">
      <c r="A147" s="15" t="s">
        <v>28</v>
      </c>
    </row>
    <row r="148" spans="1:4" ht="10.5" x14ac:dyDescent="0.25">
      <c r="A148" s="15" t="s">
        <v>29</v>
      </c>
    </row>
    <row r="149" spans="1:4" ht="10.5" x14ac:dyDescent="0.25">
      <c r="A149" s="15" t="s">
        <v>30</v>
      </c>
      <c r="B149" s="15"/>
      <c r="C149" s="36" t="s">
        <v>32</v>
      </c>
      <c r="D149" s="16" t="s">
        <v>31</v>
      </c>
    </row>
    <row r="150" spans="1:4" x14ac:dyDescent="0.2">
      <c r="A150" s="9" t="s">
        <v>38</v>
      </c>
      <c r="C150" s="58" t="s">
        <v>1794</v>
      </c>
      <c r="D150" s="37">
        <v>0</v>
      </c>
    </row>
    <row r="151" spans="1:4" x14ac:dyDescent="0.2">
      <c r="A151" s="9" t="s">
        <v>40</v>
      </c>
      <c r="C151" s="58" t="s">
        <v>1794</v>
      </c>
      <c r="D151" s="37">
        <v>0</v>
      </c>
    </row>
    <row r="152" spans="1:4" x14ac:dyDescent="0.2">
      <c r="A152" s="9" t="s">
        <v>39</v>
      </c>
      <c r="C152" s="58" t="s">
        <v>1794</v>
      </c>
      <c r="D152" s="37">
        <v>0</v>
      </c>
    </row>
    <row r="153" spans="1:4" x14ac:dyDescent="0.2">
      <c r="A153" s="9" t="s">
        <v>41</v>
      </c>
      <c r="C153" s="58" t="s">
        <v>1794</v>
      </c>
      <c r="D153" s="37">
        <v>0</v>
      </c>
    </row>
    <row r="155" spans="1:4" ht="10.5" x14ac:dyDescent="0.25">
      <c r="A155" s="15" t="s">
        <v>1863</v>
      </c>
      <c r="C155" s="58"/>
      <c r="D155" s="37"/>
    </row>
    <row r="156" spans="1:4" x14ac:dyDescent="0.2">
      <c r="C156" s="58"/>
    </row>
    <row r="157" spans="1:4" ht="10.5" x14ac:dyDescent="0.25">
      <c r="A157" s="15" t="s">
        <v>1797</v>
      </c>
      <c r="D157" s="41" t="s">
        <v>36</v>
      </c>
    </row>
    <row r="158" spans="1:4" x14ac:dyDescent="0.2">
      <c r="A158" s="9" t="s">
        <v>885</v>
      </c>
    </row>
    <row r="159" spans="1:4" ht="14.5" x14ac:dyDescent="0.35">
      <c r="A159" s="49" t="s">
        <v>1898</v>
      </c>
    </row>
    <row r="160" spans="1:4" ht="10.5" x14ac:dyDescent="0.25">
      <c r="A160" s="15"/>
      <c r="D160" s="41"/>
    </row>
    <row r="163" spans="1:9" s="1" customFormat="1" ht="14" x14ac:dyDescent="0.25">
      <c r="A163" s="88" t="s">
        <v>1335</v>
      </c>
      <c r="B163" s="89"/>
      <c r="C163" s="89"/>
      <c r="D163" s="89"/>
      <c r="E163" s="89"/>
      <c r="F163" s="89"/>
    </row>
    <row r="164" spans="1:9" ht="10.5" x14ac:dyDescent="0.25">
      <c r="A164" s="15" t="s">
        <v>1098</v>
      </c>
    </row>
    <row r="165" spans="1:9" ht="10.5" x14ac:dyDescent="0.25">
      <c r="A165" s="15" t="s">
        <v>4</v>
      </c>
    </row>
    <row r="166" spans="1:9" s="1" customFormat="1" ht="30.75" customHeight="1" x14ac:dyDescent="0.25">
      <c r="A166" s="8" t="s">
        <v>2</v>
      </c>
      <c r="B166" s="8" t="s">
        <v>0</v>
      </c>
      <c r="C166" s="8" t="s">
        <v>661</v>
      </c>
      <c r="D166" s="13" t="s">
        <v>1</v>
      </c>
      <c r="E166" s="64" t="s">
        <v>1820</v>
      </c>
      <c r="F166" s="63" t="s">
        <v>3</v>
      </c>
    </row>
    <row r="167" spans="1:9" ht="10.5" x14ac:dyDescent="0.25">
      <c r="A167" s="18" t="s">
        <v>662</v>
      </c>
      <c r="B167" s="19"/>
      <c r="C167" s="19"/>
      <c r="D167" s="20"/>
      <c r="E167" s="21"/>
      <c r="F167" s="22"/>
    </row>
    <row r="168" spans="1:9" ht="10.5" x14ac:dyDescent="0.25">
      <c r="A168" s="23" t="s">
        <v>23</v>
      </c>
      <c r="B168" s="24"/>
      <c r="C168" s="24"/>
      <c r="D168" s="25"/>
      <c r="E168" s="26"/>
      <c r="F168" s="27"/>
    </row>
    <row r="169" spans="1:9" x14ac:dyDescent="0.2">
      <c r="A169" s="24" t="s">
        <v>1099</v>
      </c>
      <c r="B169" s="24" t="s">
        <v>1100</v>
      </c>
      <c r="C169" s="24" t="s">
        <v>1101</v>
      </c>
      <c r="D169" s="28">
        <v>3370</v>
      </c>
      <c r="E169" s="26">
        <v>8.4999999999999999E-6</v>
      </c>
      <c r="F169" s="26">
        <v>100</v>
      </c>
    </row>
    <row r="170" spans="1:9" ht="10.5" x14ac:dyDescent="0.25">
      <c r="A170" s="23" t="s">
        <v>24</v>
      </c>
      <c r="B170" s="23"/>
      <c r="C170" s="23"/>
      <c r="D170" s="29"/>
      <c r="E170" s="30">
        <f>SUM(E168:E169)</f>
        <v>8.4999999999999999E-6</v>
      </c>
      <c r="F170" s="31">
        <f>SUM(F168:F169)</f>
        <v>100</v>
      </c>
      <c r="G170" s="15"/>
      <c r="H170" s="15"/>
      <c r="I170" s="15"/>
    </row>
    <row r="171" spans="1:9" x14ac:dyDescent="0.2">
      <c r="A171" s="24"/>
      <c r="B171" s="24"/>
      <c r="C171" s="24"/>
      <c r="D171" s="25"/>
      <c r="E171" s="26"/>
      <c r="F171" s="27"/>
    </row>
    <row r="172" spans="1:9" ht="10.5" x14ac:dyDescent="0.25">
      <c r="A172" s="23" t="s">
        <v>25</v>
      </c>
      <c r="B172" s="23"/>
      <c r="C172" s="23"/>
      <c r="D172" s="29"/>
      <c r="E172" s="30">
        <f>E170</f>
        <v>8.4999999999999999E-6</v>
      </c>
      <c r="F172" s="31">
        <f>F170</f>
        <v>100</v>
      </c>
      <c r="G172" s="15"/>
      <c r="H172" s="15"/>
      <c r="I172" s="15"/>
    </row>
    <row r="173" spans="1:9" ht="10.5" x14ac:dyDescent="0.25">
      <c r="A173" s="23"/>
      <c r="B173" s="23"/>
      <c r="C173" s="23"/>
      <c r="D173" s="29"/>
      <c r="E173" s="30"/>
      <c r="F173" s="31"/>
      <c r="G173" s="15"/>
      <c r="H173" s="15"/>
      <c r="I173" s="15"/>
    </row>
    <row r="174" spans="1:9" ht="10.5" x14ac:dyDescent="0.25">
      <c r="A174" s="23" t="s">
        <v>27</v>
      </c>
      <c r="B174" s="23"/>
      <c r="C174" s="23"/>
      <c r="D174" s="29"/>
      <c r="E174" s="30">
        <f>E176-(E170)</f>
        <v>-7.6000000000000001E-6</v>
      </c>
      <c r="F174" s="85" t="s">
        <v>1896</v>
      </c>
      <c r="G174" s="15"/>
      <c r="H174" s="15"/>
      <c r="I174" s="15"/>
    </row>
    <row r="175" spans="1:9" ht="10.5" x14ac:dyDescent="0.25">
      <c r="A175" s="23"/>
      <c r="B175" s="23"/>
      <c r="C175" s="23"/>
      <c r="D175" s="29"/>
      <c r="E175" s="30"/>
      <c r="F175" s="31"/>
      <c r="G175" s="15"/>
      <c r="H175" s="15"/>
      <c r="I175" s="15"/>
    </row>
    <row r="176" spans="1:9" ht="10.5" x14ac:dyDescent="0.25">
      <c r="A176" s="32" t="s">
        <v>26</v>
      </c>
      <c r="B176" s="32"/>
      <c r="C176" s="32"/>
      <c r="D176" s="33"/>
      <c r="E176" s="34">
        <v>8.9999999999999996E-7</v>
      </c>
      <c r="F176" s="35">
        <v>100</v>
      </c>
      <c r="G176" s="15"/>
      <c r="H176" s="15"/>
      <c r="I176" s="15"/>
    </row>
    <row r="177" spans="1:6" ht="10.5" x14ac:dyDescent="0.25">
      <c r="A177" s="61" t="s">
        <v>872</v>
      </c>
      <c r="F177" s="86" t="s">
        <v>37</v>
      </c>
    </row>
    <row r="178" spans="1:6" ht="10.5" x14ac:dyDescent="0.25">
      <c r="A178" s="61" t="s">
        <v>1795</v>
      </c>
    </row>
    <row r="179" spans="1:6" ht="10.5" x14ac:dyDescent="0.25">
      <c r="A179" s="62" t="s">
        <v>1798</v>
      </c>
    </row>
    <row r="181" spans="1:6" ht="10.5" x14ac:dyDescent="0.25">
      <c r="A181" s="15" t="s">
        <v>28</v>
      </c>
    </row>
    <row r="182" spans="1:6" ht="10.5" x14ac:dyDescent="0.25">
      <c r="A182" s="15" t="s">
        <v>29</v>
      </c>
    </row>
    <row r="183" spans="1:6" ht="10.5" x14ac:dyDescent="0.25">
      <c r="A183" s="15" t="s">
        <v>30</v>
      </c>
      <c r="B183" s="15"/>
      <c r="C183" s="36" t="s">
        <v>32</v>
      </c>
      <c r="D183" s="16" t="s">
        <v>31</v>
      </c>
    </row>
    <row r="184" spans="1:6" x14ac:dyDescent="0.2">
      <c r="A184" s="9" t="s">
        <v>38</v>
      </c>
      <c r="C184" s="58" t="s">
        <v>1794</v>
      </c>
      <c r="D184" s="37">
        <v>0</v>
      </c>
    </row>
    <row r="185" spans="1:6" x14ac:dyDescent="0.2">
      <c r="A185" s="9" t="s">
        <v>40</v>
      </c>
      <c r="C185" s="58" t="s">
        <v>1794</v>
      </c>
      <c r="D185" s="37">
        <v>0</v>
      </c>
    </row>
    <row r="186" spans="1:6" x14ac:dyDescent="0.2">
      <c r="A186" s="9" t="s">
        <v>39</v>
      </c>
      <c r="C186" s="58" t="s">
        <v>1794</v>
      </c>
      <c r="D186" s="37">
        <v>0</v>
      </c>
    </row>
    <row r="187" spans="1:6" x14ac:dyDescent="0.2">
      <c r="A187" s="9" t="s">
        <v>41</v>
      </c>
      <c r="C187" s="58" t="s">
        <v>1794</v>
      </c>
      <c r="D187" s="37">
        <v>0</v>
      </c>
    </row>
    <row r="188" spans="1:6" x14ac:dyDescent="0.2">
      <c r="C188" s="58"/>
      <c r="D188" s="37"/>
    </row>
    <row r="189" spans="1:6" ht="10.5" x14ac:dyDescent="0.25">
      <c r="A189" s="15" t="s">
        <v>1863</v>
      </c>
      <c r="C189" s="58"/>
      <c r="D189" s="37"/>
    </row>
    <row r="191" spans="1:6" ht="10.5" x14ac:dyDescent="0.25">
      <c r="A191" s="15" t="s">
        <v>1797</v>
      </c>
      <c r="D191" s="41" t="s">
        <v>36</v>
      </c>
    </row>
    <row r="192" spans="1:6" x14ac:dyDescent="0.2">
      <c r="A192" s="9" t="s">
        <v>885</v>
      </c>
    </row>
    <row r="193" spans="1:9" ht="14.5" x14ac:dyDescent="0.35">
      <c r="A193" s="49" t="s">
        <v>1898</v>
      </c>
    </row>
    <row r="196" spans="1:9" s="1" customFormat="1" ht="14" x14ac:dyDescent="0.25">
      <c r="A196" s="88" t="s">
        <v>1336</v>
      </c>
      <c r="B196" s="89"/>
      <c r="C196" s="89"/>
      <c r="D196" s="89"/>
      <c r="E196" s="89"/>
      <c r="F196" s="89"/>
    </row>
    <row r="197" spans="1:9" ht="10.5" x14ac:dyDescent="0.25">
      <c r="A197" s="15" t="s">
        <v>1103</v>
      </c>
    </row>
    <row r="198" spans="1:9" ht="10.5" x14ac:dyDescent="0.25">
      <c r="A198" s="15" t="s">
        <v>4</v>
      </c>
    </row>
    <row r="199" spans="1:9" s="1" customFormat="1" ht="30" customHeight="1" x14ac:dyDescent="0.25">
      <c r="A199" s="8" t="s">
        <v>2</v>
      </c>
      <c r="B199" s="8" t="s">
        <v>0</v>
      </c>
      <c r="C199" s="8" t="s">
        <v>661</v>
      </c>
      <c r="D199" s="13" t="s">
        <v>1</v>
      </c>
      <c r="E199" s="64" t="s">
        <v>1820</v>
      </c>
      <c r="F199" s="63" t="s">
        <v>3</v>
      </c>
    </row>
    <row r="200" spans="1:9" ht="10.5" x14ac:dyDescent="0.25">
      <c r="A200" s="18" t="s">
        <v>662</v>
      </c>
      <c r="B200" s="19"/>
      <c r="C200" s="19"/>
      <c r="D200" s="20"/>
      <c r="E200" s="21"/>
      <c r="F200" s="22"/>
    </row>
    <row r="201" spans="1:9" ht="10.5" x14ac:dyDescent="0.25">
      <c r="A201" s="23" t="s">
        <v>23</v>
      </c>
      <c r="B201" s="24"/>
      <c r="C201" s="24"/>
      <c r="D201" s="25"/>
      <c r="E201" s="26"/>
      <c r="F201" s="27"/>
    </row>
    <row r="202" spans="1:9" x14ac:dyDescent="0.2">
      <c r="A202" s="24" t="s">
        <v>1104</v>
      </c>
      <c r="B202" s="24" t="s">
        <v>1105</v>
      </c>
      <c r="C202" s="24" t="s">
        <v>1071</v>
      </c>
      <c r="D202" s="28">
        <v>1695</v>
      </c>
      <c r="E202" s="26">
        <v>8.4999999999999999E-6</v>
      </c>
      <c r="F202" s="26">
        <v>100</v>
      </c>
    </row>
    <row r="203" spans="1:9" ht="10.5" x14ac:dyDescent="0.25">
      <c r="A203" s="23" t="s">
        <v>24</v>
      </c>
      <c r="B203" s="23"/>
      <c r="C203" s="23"/>
      <c r="D203" s="29"/>
      <c r="E203" s="30">
        <f>SUM(E201:E202)</f>
        <v>8.4999999999999999E-6</v>
      </c>
      <c r="F203" s="31">
        <f>SUM(F201:F202)</f>
        <v>100</v>
      </c>
      <c r="G203" s="15"/>
      <c r="H203" s="15"/>
      <c r="I203" s="15"/>
    </row>
    <row r="204" spans="1:9" x14ac:dyDescent="0.2">
      <c r="A204" s="24"/>
      <c r="B204" s="24"/>
      <c r="C204" s="24"/>
      <c r="D204" s="25"/>
      <c r="E204" s="26"/>
      <c r="F204" s="27"/>
    </row>
    <row r="205" spans="1:9" ht="10.5" x14ac:dyDescent="0.25">
      <c r="A205" s="23" t="s">
        <v>25</v>
      </c>
      <c r="B205" s="23"/>
      <c r="C205" s="23"/>
      <c r="D205" s="29"/>
      <c r="E205" s="30">
        <f>E203</f>
        <v>8.4999999999999999E-6</v>
      </c>
      <c r="F205" s="31">
        <f>F203</f>
        <v>100</v>
      </c>
      <c r="G205" s="15"/>
      <c r="H205" s="15"/>
      <c r="I205" s="15"/>
    </row>
    <row r="206" spans="1:9" ht="10.5" x14ac:dyDescent="0.25">
      <c r="A206" s="23"/>
      <c r="B206" s="23"/>
      <c r="C206" s="23"/>
      <c r="D206" s="29"/>
      <c r="E206" s="30"/>
      <c r="F206" s="31"/>
      <c r="G206" s="15"/>
      <c r="H206" s="15"/>
      <c r="I206" s="15"/>
    </row>
    <row r="207" spans="1:9" ht="10.5" x14ac:dyDescent="0.25">
      <c r="A207" s="23" t="s">
        <v>27</v>
      </c>
      <c r="B207" s="23"/>
      <c r="C207" s="23"/>
      <c r="D207" s="29"/>
      <c r="E207" s="30">
        <f>E209-(E203)</f>
        <v>-7.6000000000000001E-6</v>
      </c>
      <c r="F207" s="85" t="s">
        <v>1896</v>
      </c>
      <c r="G207" s="15"/>
      <c r="H207" s="15"/>
      <c r="I207" s="15"/>
    </row>
    <row r="208" spans="1:9" ht="10.5" x14ac:dyDescent="0.25">
      <c r="A208" s="23"/>
      <c r="B208" s="23"/>
      <c r="C208" s="23"/>
      <c r="D208" s="29"/>
      <c r="E208" s="30"/>
      <c r="F208" s="31"/>
      <c r="G208" s="15"/>
      <c r="H208" s="15"/>
      <c r="I208" s="15"/>
    </row>
    <row r="209" spans="1:9" ht="10.5" x14ac:dyDescent="0.25">
      <c r="A209" s="32" t="s">
        <v>26</v>
      </c>
      <c r="B209" s="32"/>
      <c r="C209" s="32"/>
      <c r="D209" s="33"/>
      <c r="E209" s="34">
        <v>8.9999999999999996E-7</v>
      </c>
      <c r="F209" s="35">
        <v>100</v>
      </c>
      <c r="G209" s="15"/>
      <c r="H209" s="15"/>
      <c r="I209" s="15"/>
    </row>
    <row r="210" spans="1:9" ht="10.5" x14ac:dyDescent="0.25">
      <c r="A210" s="15" t="s">
        <v>872</v>
      </c>
      <c r="F210" s="86" t="s">
        <v>37</v>
      </c>
    </row>
    <row r="211" spans="1:9" ht="10.5" x14ac:dyDescent="0.25">
      <c r="A211" s="61" t="s">
        <v>1795</v>
      </c>
    </row>
    <row r="213" spans="1:9" ht="10.5" x14ac:dyDescent="0.25">
      <c r="A213" s="15" t="s">
        <v>28</v>
      </c>
    </row>
    <row r="214" spans="1:9" ht="10.5" x14ac:dyDescent="0.25">
      <c r="A214" s="15" t="s">
        <v>29</v>
      </c>
    </row>
    <row r="215" spans="1:9" ht="10.5" x14ac:dyDescent="0.25">
      <c r="A215" s="15" t="s">
        <v>30</v>
      </c>
      <c r="B215" s="15"/>
      <c r="C215" s="36" t="s">
        <v>32</v>
      </c>
      <c r="D215" s="16" t="s">
        <v>31</v>
      </c>
    </row>
    <row r="216" spans="1:9" x14ac:dyDescent="0.2">
      <c r="A216" s="9" t="s">
        <v>38</v>
      </c>
      <c r="C216" s="58" t="s">
        <v>1794</v>
      </c>
      <c r="D216" s="37">
        <v>0</v>
      </c>
    </row>
    <row r="217" spans="1:9" x14ac:dyDescent="0.2">
      <c r="A217" s="9" t="s">
        <v>40</v>
      </c>
      <c r="C217" s="58" t="s">
        <v>1794</v>
      </c>
      <c r="D217" s="37">
        <v>0</v>
      </c>
    </row>
    <row r="218" spans="1:9" x14ac:dyDescent="0.2">
      <c r="A218" s="9" t="s">
        <v>39</v>
      </c>
      <c r="C218" s="58" t="s">
        <v>1794</v>
      </c>
      <c r="D218" s="37">
        <v>0</v>
      </c>
    </row>
    <row r="219" spans="1:9" x14ac:dyDescent="0.2">
      <c r="A219" s="9" t="s">
        <v>41</v>
      </c>
      <c r="C219" s="58" t="s">
        <v>1794</v>
      </c>
      <c r="D219" s="37">
        <v>0</v>
      </c>
    </row>
    <row r="221" spans="1:9" x14ac:dyDescent="0.2">
      <c r="C221" s="58"/>
      <c r="D221" s="37"/>
    </row>
    <row r="222" spans="1:9" ht="10.5" x14ac:dyDescent="0.25">
      <c r="A222" s="15" t="s">
        <v>1864</v>
      </c>
      <c r="C222" s="58"/>
      <c r="D222" s="37"/>
    </row>
    <row r="224" spans="1:9" ht="10.5" x14ac:dyDescent="0.25">
      <c r="A224" s="15" t="s">
        <v>1797</v>
      </c>
      <c r="D224" s="41" t="s">
        <v>36</v>
      </c>
    </row>
    <row r="225" spans="1:1" x14ac:dyDescent="0.2">
      <c r="A225" s="9" t="s">
        <v>885</v>
      </c>
    </row>
    <row r="226" spans="1:1" ht="14.5" x14ac:dyDescent="0.35">
      <c r="A226" s="49" t="s">
        <v>1898</v>
      </c>
    </row>
  </sheetData>
  <mergeCells count="9">
    <mergeCell ref="A129:F129"/>
    <mergeCell ref="A163:F163"/>
    <mergeCell ref="A196:F196"/>
    <mergeCell ref="A1:F1"/>
    <mergeCell ref="A115:B115"/>
    <mergeCell ref="C115:D115"/>
    <mergeCell ref="A116:B116"/>
    <mergeCell ref="A117:B117"/>
    <mergeCell ref="A118:B118"/>
  </mergeCells>
  <conditionalFormatting sqref="F2:F3 F130:F131 F144:F154 F164:F165 F178:F187 F197:F198 F211:F220 F160:F162 F227:F65536 F194:F195 F5:F128">
    <cfRule type="cellIs" dxfId="79" priority="16" stopIfTrue="1" operator="between">
      <formula>0.009</formula>
      <formula>-0.009</formula>
    </cfRule>
  </conditionalFormatting>
  <conditionalFormatting sqref="F133:F134">
    <cfRule type="cellIs" dxfId="78" priority="15" stopIfTrue="1" operator="between">
      <formula>0.009</formula>
      <formula>-0.009</formula>
    </cfRule>
  </conditionalFormatting>
  <conditionalFormatting sqref="F136:F139">
    <cfRule type="cellIs" dxfId="77" priority="14" stopIfTrue="1" operator="between">
      <formula>0.009</formula>
      <formula>-0.009</formula>
    </cfRule>
  </conditionalFormatting>
  <conditionalFormatting sqref="F155:F159">
    <cfRule type="cellIs" dxfId="76" priority="11" stopIfTrue="1" operator="between">
      <formula>0.009</formula>
      <formula>-0.009</formula>
    </cfRule>
  </conditionalFormatting>
  <conditionalFormatting sqref="F167:F168">
    <cfRule type="cellIs" dxfId="75" priority="13" stopIfTrue="1" operator="between">
      <formula>0.009</formula>
      <formula>-0.009</formula>
    </cfRule>
  </conditionalFormatting>
  <conditionalFormatting sqref="F170:F173">
    <cfRule type="cellIs" dxfId="74" priority="12" stopIfTrue="1" operator="between">
      <formula>0.009</formula>
      <formula>-0.009</formula>
    </cfRule>
  </conditionalFormatting>
  <conditionalFormatting sqref="F188:F193">
    <cfRule type="cellIs" dxfId="73" priority="10" stopIfTrue="1" operator="between">
      <formula>0.009</formula>
      <formula>-0.009</formula>
    </cfRule>
  </conditionalFormatting>
  <conditionalFormatting sqref="F200:F201">
    <cfRule type="cellIs" dxfId="72" priority="9" stopIfTrue="1" operator="between">
      <formula>0.009</formula>
      <formula>-0.009</formula>
    </cfRule>
  </conditionalFormatting>
  <conditionalFormatting sqref="F203:F206">
    <cfRule type="cellIs" dxfId="71" priority="8" stopIfTrue="1" operator="between">
      <formula>0.009</formula>
      <formula>-0.009</formula>
    </cfRule>
  </conditionalFormatting>
  <conditionalFormatting sqref="F221:F226">
    <cfRule type="cellIs" dxfId="70" priority="7" stopIfTrue="1" operator="between">
      <formula>0.009</formula>
      <formula>-0.009</formula>
    </cfRule>
  </conditionalFormatting>
  <conditionalFormatting sqref="F141:F142">
    <cfRule type="cellIs" dxfId="69" priority="6" stopIfTrue="1" operator="between">
      <formula>0.009</formula>
      <formula>-0.009</formula>
    </cfRule>
  </conditionalFormatting>
  <conditionalFormatting sqref="F143">
    <cfRule type="cellIs" dxfId="68" priority="5" stopIfTrue="1" operator="between">
      <formula>0.009</formula>
      <formula>-0.009</formula>
    </cfRule>
  </conditionalFormatting>
  <conditionalFormatting sqref="F175:F176">
    <cfRule type="cellIs" dxfId="67" priority="4" stopIfTrue="1" operator="between">
      <formula>0.009</formula>
      <formula>-0.009</formula>
    </cfRule>
  </conditionalFormatting>
  <conditionalFormatting sqref="F177">
    <cfRule type="cellIs" dxfId="66" priority="3" stopIfTrue="1" operator="between">
      <formula>0.009</formula>
      <formula>-0.009</formula>
    </cfRule>
  </conditionalFormatting>
  <conditionalFormatting sqref="F208:F209">
    <cfRule type="cellIs" dxfId="65" priority="2" stopIfTrue="1" operator="between">
      <formula>0.009</formula>
      <formula>-0.009</formula>
    </cfRule>
  </conditionalFormatting>
  <conditionalFormatting sqref="F210">
    <cfRule type="cellIs" dxfId="64" priority="1" stopIfTrue="1" operator="between">
      <formula>0.009</formula>
      <formula>-0.009</formula>
    </cfRule>
  </conditionalFormatting>
  <hyperlinks>
    <hyperlink ref="A124" r:id="rId1" xr:uid="{00000000-0004-0000-0800-000000000000}"/>
    <hyperlink ref="A159" r:id="rId2" xr:uid="{00000000-0004-0000-0800-000001000000}"/>
    <hyperlink ref="A193" r:id="rId3" xr:uid="{00000000-0004-0000-0800-000002000000}"/>
    <hyperlink ref="A226" r:id="rId4" xr:uid="{00000000-0004-0000-0800-000003000000}"/>
  </hyperlinks>
  <pageMargins left="0.7" right="0.7" top="0.75" bottom="0.75" header="0.3" footer="0.3"/>
  <pageSetup paperSize="9" scale="52" orientation="portrait" r:id="rId5"/>
  <headerFooter>
    <evenFooter>&amp;LPUBLIC</evenFooter>
    <firstFooter>&amp;LPUBLIC</firstFooter>
  </headerFooter>
  <rowBreaks count="1" manualBreakCount="1">
    <brk id="126" max="16383" man="1"/>
  </rowBreaks>
  <colBreaks count="1" manualBreakCount="1"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1.81640625" style="11" customWidth="1"/>
    <col min="6" max="6" width="11.26953125" style="14" customWidth="1"/>
    <col min="7" max="7" width="6" style="9" bestFit="1" customWidth="1"/>
    <col min="8" max="16384" width="9.1796875" style="9"/>
  </cols>
  <sheetData>
    <row r="1" spans="1:6" s="1" customFormat="1" ht="14" x14ac:dyDescent="0.25">
      <c r="A1" s="88" t="s">
        <v>1826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6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1274</v>
      </c>
      <c r="B6" s="24" t="s">
        <v>1275</v>
      </c>
      <c r="C6" s="24" t="s">
        <v>815</v>
      </c>
      <c r="D6" s="28">
        <v>1420</v>
      </c>
      <c r="E6" s="26">
        <v>13892.7688</v>
      </c>
      <c r="F6" s="27">
        <v>9.4762690791237301</v>
      </c>
    </row>
    <row r="7" spans="1:6" x14ac:dyDescent="0.2">
      <c r="A7" s="24" t="s">
        <v>813</v>
      </c>
      <c r="B7" s="24" t="s">
        <v>814</v>
      </c>
      <c r="C7" s="24" t="s">
        <v>815</v>
      </c>
      <c r="D7" s="28">
        <v>767</v>
      </c>
      <c r="E7" s="26">
        <v>7881.9144299999998</v>
      </c>
      <c r="F7" s="27">
        <v>5.37626034612396</v>
      </c>
    </row>
    <row r="8" spans="1:6" x14ac:dyDescent="0.2">
      <c r="A8" s="24" t="s">
        <v>1337</v>
      </c>
      <c r="B8" s="24" t="s">
        <v>1338</v>
      </c>
      <c r="C8" s="24" t="s">
        <v>1328</v>
      </c>
      <c r="D8" s="28">
        <v>610</v>
      </c>
      <c r="E8" s="26">
        <v>6595.6554999999998</v>
      </c>
      <c r="F8" s="27">
        <v>4.4989020670380899</v>
      </c>
    </row>
    <row r="9" spans="1:6" x14ac:dyDescent="0.2">
      <c r="A9" s="24" t="s">
        <v>1339</v>
      </c>
      <c r="B9" s="24" t="s">
        <v>1340</v>
      </c>
      <c r="C9" s="24" t="s">
        <v>815</v>
      </c>
      <c r="D9" s="28">
        <v>500</v>
      </c>
      <c r="E9" s="26">
        <v>5139.7700000000004</v>
      </c>
      <c r="F9" s="27">
        <v>3.5058413643799899</v>
      </c>
    </row>
    <row r="10" spans="1:6" x14ac:dyDescent="0.2">
      <c r="A10" s="24" t="s">
        <v>802</v>
      </c>
      <c r="B10" s="24" t="s">
        <v>803</v>
      </c>
      <c r="C10" s="24" t="s">
        <v>804</v>
      </c>
      <c r="D10" s="28">
        <v>500</v>
      </c>
      <c r="E10" s="26">
        <v>5079.24</v>
      </c>
      <c r="F10" s="27">
        <v>3.4645538013594801</v>
      </c>
    </row>
    <row r="11" spans="1:6" x14ac:dyDescent="0.2">
      <c r="A11" s="24" t="s">
        <v>1241</v>
      </c>
      <c r="B11" s="24" t="s">
        <v>1242</v>
      </c>
      <c r="C11" s="24" t="s">
        <v>665</v>
      </c>
      <c r="D11" s="28">
        <v>500</v>
      </c>
      <c r="E11" s="26">
        <v>5013.3900000000003</v>
      </c>
      <c r="F11" s="27">
        <v>3.4196374619426502</v>
      </c>
    </row>
    <row r="12" spans="1:6" x14ac:dyDescent="0.2">
      <c r="A12" s="24" t="s">
        <v>1341</v>
      </c>
      <c r="B12" s="24" t="s">
        <v>1342</v>
      </c>
      <c r="C12" s="24" t="s">
        <v>815</v>
      </c>
      <c r="D12" s="28">
        <v>500</v>
      </c>
      <c r="E12" s="26">
        <v>4958.9549999999999</v>
      </c>
      <c r="F12" s="27">
        <v>3.3825073034589002</v>
      </c>
    </row>
    <row r="13" spans="1:6" x14ac:dyDescent="0.2">
      <c r="A13" s="24" t="s">
        <v>892</v>
      </c>
      <c r="B13" s="24" t="s">
        <v>893</v>
      </c>
      <c r="C13" s="24" t="s">
        <v>766</v>
      </c>
      <c r="D13" s="28">
        <v>500</v>
      </c>
      <c r="E13" s="26">
        <v>4861.79</v>
      </c>
      <c r="F13" s="27">
        <v>3.31623097666413</v>
      </c>
    </row>
    <row r="14" spans="1:6" x14ac:dyDescent="0.2">
      <c r="A14" s="24" t="s">
        <v>1343</v>
      </c>
      <c r="B14" s="24" t="s">
        <v>1344</v>
      </c>
      <c r="C14" s="24" t="s">
        <v>815</v>
      </c>
      <c r="D14" s="28">
        <v>430</v>
      </c>
      <c r="E14" s="26">
        <v>4627.2858999999999</v>
      </c>
      <c r="F14" s="27">
        <v>3.15627553626569</v>
      </c>
    </row>
    <row r="15" spans="1:6" x14ac:dyDescent="0.2">
      <c r="A15" s="24" t="s">
        <v>1345</v>
      </c>
      <c r="B15" s="24" t="s">
        <v>1346</v>
      </c>
      <c r="C15" s="24" t="s">
        <v>804</v>
      </c>
      <c r="D15" s="28">
        <v>430</v>
      </c>
      <c r="E15" s="26">
        <v>4362.6896999999999</v>
      </c>
      <c r="F15" s="27">
        <v>2.9757942495898702</v>
      </c>
    </row>
    <row r="16" spans="1:6" x14ac:dyDescent="0.2">
      <c r="A16" s="24" t="s">
        <v>805</v>
      </c>
      <c r="B16" s="24" t="s">
        <v>806</v>
      </c>
      <c r="C16" s="24" t="s">
        <v>697</v>
      </c>
      <c r="D16" s="28">
        <v>430</v>
      </c>
      <c r="E16" s="26">
        <v>4277.1927999999998</v>
      </c>
      <c r="F16" s="27">
        <v>2.9174767434473301</v>
      </c>
    </row>
    <row r="17" spans="1:6" x14ac:dyDescent="0.2">
      <c r="A17" s="24" t="s">
        <v>1347</v>
      </c>
      <c r="B17" s="24" t="s">
        <v>1348</v>
      </c>
      <c r="C17" s="24" t="s">
        <v>679</v>
      </c>
      <c r="D17" s="28">
        <v>409</v>
      </c>
      <c r="E17" s="26">
        <v>4151.4727000000003</v>
      </c>
      <c r="F17" s="27">
        <v>2.8317229593453201</v>
      </c>
    </row>
    <row r="18" spans="1:6" x14ac:dyDescent="0.2">
      <c r="A18" s="24" t="s">
        <v>943</v>
      </c>
      <c r="B18" s="24" t="s">
        <v>944</v>
      </c>
      <c r="C18" s="24" t="s">
        <v>737</v>
      </c>
      <c r="D18" s="28">
        <v>310</v>
      </c>
      <c r="E18" s="26">
        <v>3328.0918000000001</v>
      </c>
      <c r="F18" s="27">
        <v>2.2700941670335202</v>
      </c>
    </row>
    <row r="19" spans="1:6" x14ac:dyDescent="0.2">
      <c r="A19" s="24" t="s">
        <v>1248</v>
      </c>
      <c r="B19" s="24" t="s">
        <v>1249</v>
      </c>
      <c r="C19" s="24" t="s">
        <v>697</v>
      </c>
      <c r="D19" s="28">
        <v>315</v>
      </c>
      <c r="E19" s="26">
        <v>3115.4319</v>
      </c>
      <c r="F19" s="27">
        <v>2.12503867350659</v>
      </c>
    </row>
    <row r="20" spans="1:6" x14ac:dyDescent="0.2">
      <c r="A20" s="24" t="s">
        <v>1349</v>
      </c>
      <c r="B20" s="24" t="s">
        <v>1350</v>
      </c>
      <c r="C20" s="24" t="s">
        <v>766</v>
      </c>
      <c r="D20" s="28">
        <v>300</v>
      </c>
      <c r="E20" s="26">
        <v>2951.085</v>
      </c>
      <c r="F20" s="27">
        <v>2.01293751720433</v>
      </c>
    </row>
    <row r="21" spans="1:6" x14ac:dyDescent="0.2">
      <c r="A21" s="24" t="s">
        <v>1351</v>
      </c>
      <c r="B21" s="24" t="s">
        <v>1352</v>
      </c>
      <c r="C21" s="24" t="s">
        <v>1278</v>
      </c>
      <c r="D21" s="28">
        <v>264</v>
      </c>
      <c r="E21" s="26">
        <v>2693.3095199999998</v>
      </c>
      <c r="F21" s="27">
        <v>1.8371086492769899</v>
      </c>
    </row>
    <row r="22" spans="1:6" x14ac:dyDescent="0.2">
      <c r="A22" s="24" t="s">
        <v>1353</v>
      </c>
      <c r="B22" s="24" t="s">
        <v>1354</v>
      </c>
      <c r="C22" s="24" t="s">
        <v>1328</v>
      </c>
      <c r="D22" s="28">
        <v>250</v>
      </c>
      <c r="E22" s="26">
        <v>2525.6574999999998</v>
      </c>
      <c r="F22" s="27">
        <v>1.72275306789147</v>
      </c>
    </row>
    <row r="23" spans="1:6" x14ac:dyDescent="0.2">
      <c r="A23" s="24" t="s">
        <v>1355</v>
      </c>
      <c r="B23" s="24" t="s">
        <v>1356</v>
      </c>
      <c r="C23" s="24" t="s">
        <v>815</v>
      </c>
      <c r="D23" s="28">
        <v>250</v>
      </c>
      <c r="E23" s="26">
        <v>2518.9575</v>
      </c>
      <c r="F23" s="27">
        <v>1.71818299235476</v>
      </c>
    </row>
    <row r="24" spans="1:6" x14ac:dyDescent="0.2">
      <c r="A24" s="24" t="s">
        <v>1357</v>
      </c>
      <c r="B24" s="24" t="s">
        <v>1358</v>
      </c>
      <c r="C24" s="24" t="s">
        <v>815</v>
      </c>
      <c r="D24" s="28">
        <v>250</v>
      </c>
      <c r="E24" s="26">
        <v>2514.6275000000001</v>
      </c>
      <c r="F24" s="27">
        <v>1.7152294957765499</v>
      </c>
    </row>
    <row r="25" spans="1:6" x14ac:dyDescent="0.2">
      <c r="A25" s="24" t="s">
        <v>1359</v>
      </c>
      <c r="B25" s="24" t="s">
        <v>1360</v>
      </c>
      <c r="C25" s="24" t="s">
        <v>815</v>
      </c>
      <c r="D25" s="28">
        <v>250</v>
      </c>
      <c r="E25" s="26">
        <v>2511.3525</v>
      </c>
      <c r="F25" s="27">
        <v>1.71299561557017</v>
      </c>
    </row>
    <row r="26" spans="1:6" x14ac:dyDescent="0.2">
      <c r="A26" s="24" t="s">
        <v>1361</v>
      </c>
      <c r="B26" s="24" t="s">
        <v>1362</v>
      </c>
      <c r="C26" s="24" t="s">
        <v>815</v>
      </c>
      <c r="D26" s="28">
        <v>250</v>
      </c>
      <c r="E26" s="26">
        <v>2508.38</v>
      </c>
      <c r="F26" s="27">
        <v>1.71096807086377</v>
      </c>
    </row>
    <row r="27" spans="1:6" x14ac:dyDescent="0.2">
      <c r="A27" s="24" t="s">
        <v>1363</v>
      </c>
      <c r="B27" s="24" t="s">
        <v>1364</v>
      </c>
      <c r="C27" s="24" t="s">
        <v>815</v>
      </c>
      <c r="D27" s="28">
        <v>250</v>
      </c>
      <c r="E27" s="26">
        <v>2506.7725</v>
      </c>
      <c r="F27" s="27">
        <v>1.7098715937853699</v>
      </c>
    </row>
    <row r="28" spans="1:6" x14ac:dyDescent="0.2">
      <c r="A28" s="24" t="s">
        <v>1208</v>
      </c>
      <c r="B28" s="24" t="s">
        <v>1209</v>
      </c>
      <c r="C28" s="24" t="s">
        <v>766</v>
      </c>
      <c r="D28" s="28">
        <v>250</v>
      </c>
      <c r="E28" s="26">
        <v>2486.0749999999998</v>
      </c>
      <c r="F28" s="27">
        <v>1.6957538119314599</v>
      </c>
    </row>
    <row r="29" spans="1:6" x14ac:dyDescent="0.2">
      <c r="A29" s="24" t="s">
        <v>1365</v>
      </c>
      <c r="B29" s="24" t="s">
        <v>1366</v>
      </c>
      <c r="C29" s="24" t="s">
        <v>766</v>
      </c>
      <c r="D29" s="28">
        <v>250</v>
      </c>
      <c r="E29" s="26">
        <v>2428.11</v>
      </c>
      <c r="F29" s="27">
        <v>1.65621583753061</v>
      </c>
    </row>
    <row r="30" spans="1:6" x14ac:dyDescent="0.2">
      <c r="A30" s="24" t="s">
        <v>985</v>
      </c>
      <c r="B30" s="24" t="s">
        <v>986</v>
      </c>
      <c r="C30" s="24" t="s">
        <v>689</v>
      </c>
      <c r="D30" s="28">
        <v>209</v>
      </c>
      <c r="E30" s="26">
        <v>2066.8950500000001</v>
      </c>
      <c r="F30" s="27">
        <v>1.4098308216364299</v>
      </c>
    </row>
    <row r="31" spans="1:6" x14ac:dyDescent="0.2">
      <c r="A31" s="24" t="s">
        <v>1367</v>
      </c>
      <c r="B31" s="24" t="s">
        <v>1368</v>
      </c>
      <c r="C31" s="24" t="s">
        <v>815</v>
      </c>
      <c r="D31" s="28">
        <v>166</v>
      </c>
      <c r="E31" s="26">
        <v>1926.57276</v>
      </c>
      <c r="F31" s="27">
        <v>1.3141168716685201</v>
      </c>
    </row>
    <row r="32" spans="1:6" x14ac:dyDescent="0.2">
      <c r="A32" s="24" t="s">
        <v>1369</v>
      </c>
      <c r="B32" s="24" t="s">
        <v>1370</v>
      </c>
      <c r="C32" s="24" t="s">
        <v>815</v>
      </c>
      <c r="D32" s="28">
        <v>180</v>
      </c>
      <c r="E32" s="26">
        <v>1835.0532000000001</v>
      </c>
      <c r="F32" s="27">
        <v>1.251691304163</v>
      </c>
    </row>
    <row r="33" spans="1:6" x14ac:dyDescent="0.2">
      <c r="A33" s="24" t="s">
        <v>1371</v>
      </c>
      <c r="B33" s="24" t="s">
        <v>1372</v>
      </c>
      <c r="C33" s="24" t="s">
        <v>815</v>
      </c>
      <c r="D33" s="28">
        <v>140</v>
      </c>
      <c r="E33" s="26">
        <v>1504.8026</v>
      </c>
      <c r="F33" s="27">
        <v>1.026427096992</v>
      </c>
    </row>
    <row r="34" spans="1:6" x14ac:dyDescent="0.2">
      <c r="A34" s="24" t="s">
        <v>1373</v>
      </c>
      <c r="B34" s="24" t="s">
        <v>1374</v>
      </c>
      <c r="C34" s="24" t="s">
        <v>1328</v>
      </c>
      <c r="D34" s="28">
        <v>150</v>
      </c>
      <c r="E34" s="26">
        <v>1504.53</v>
      </c>
      <c r="F34" s="27">
        <v>1.02624115630673</v>
      </c>
    </row>
    <row r="35" spans="1:6" x14ac:dyDescent="0.2">
      <c r="A35" s="24" t="s">
        <v>1375</v>
      </c>
      <c r="B35" s="24" t="s">
        <v>1376</v>
      </c>
      <c r="C35" s="24" t="s">
        <v>1278</v>
      </c>
      <c r="D35" s="28">
        <v>600</v>
      </c>
      <c r="E35" s="26">
        <v>1259.9195999999999</v>
      </c>
      <c r="F35" s="27">
        <v>0.85939220032668595</v>
      </c>
    </row>
    <row r="36" spans="1:6" x14ac:dyDescent="0.2">
      <c r="A36" s="24" t="s">
        <v>999</v>
      </c>
      <c r="B36" s="24" t="s">
        <v>1000</v>
      </c>
      <c r="C36" s="24" t="s">
        <v>815</v>
      </c>
      <c r="D36" s="28">
        <v>118</v>
      </c>
      <c r="E36" s="26">
        <v>1212.15146</v>
      </c>
      <c r="F36" s="27">
        <v>0.82680951255826596</v>
      </c>
    </row>
    <row r="37" spans="1:6" x14ac:dyDescent="0.2">
      <c r="A37" s="24" t="s">
        <v>1377</v>
      </c>
      <c r="B37" s="24" t="s">
        <v>1378</v>
      </c>
      <c r="C37" s="24" t="s">
        <v>815</v>
      </c>
      <c r="D37" s="28">
        <v>100</v>
      </c>
      <c r="E37" s="26">
        <v>1047.663</v>
      </c>
      <c r="F37" s="27">
        <v>0.71461179806303299</v>
      </c>
    </row>
    <row r="38" spans="1:6" x14ac:dyDescent="0.2">
      <c r="A38" s="24" t="s">
        <v>1379</v>
      </c>
      <c r="B38" s="24" t="s">
        <v>1380</v>
      </c>
      <c r="C38" s="24" t="s">
        <v>815</v>
      </c>
      <c r="D38" s="28">
        <v>100</v>
      </c>
      <c r="E38" s="26">
        <v>1039.683</v>
      </c>
      <c r="F38" s="27">
        <v>0.70916863346855596</v>
      </c>
    </row>
    <row r="39" spans="1:6" x14ac:dyDescent="0.2">
      <c r="A39" s="24" t="s">
        <v>1381</v>
      </c>
      <c r="B39" s="24" t="s">
        <v>1382</v>
      </c>
      <c r="C39" s="24" t="s">
        <v>737</v>
      </c>
      <c r="D39" s="28">
        <v>100</v>
      </c>
      <c r="E39" s="26">
        <v>1028.979</v>
      </c>
      <c r="F39" s="27">
        <v>0.701867426223033</v>
      </c>
    </row>
    <row r="40" spans="1:6" x14ac:dyDescent="0.2">
      <c r="A40" s="24" t="s">
        <v>1383</v>
      </c>
      <c r="B40" s="24" t="s">
        <v>1384</v>
      </c>
      <c r="C40" s="24" t="s">
        <v>815</v>
      </c>
      <c r="D40" s="28">
        <v>100</v>
      </c>
      <c r="E40" s="26">
        <v>1016.379</v>
      </c>
      <c r="F40" s="27">
        <v>0.69327295581070203</v>
      </c>
    </row>
    <row r="41" spans="1:6" x14ac:dyDescent="0.2">
      <c r="A41" s="24" t="s">
        <v>1385</v>
      </c>
      <c r="B41" s="24" t="s">
        <v>1386</v>
      </c>
      <c r="C41" s="24" t="s">
        <v>1328</v>
      </c>
      <c r="D41" s="28">
        <v>100</v>
      </c>
      <c r="E41" s="26">
        <v>1015.057</v>
      </c>
      <c r="F41" s="27">
        <v>0.69237121851823302</v>
      </c>
    </row>
    <row r="42" spans="1:6" x14ac:dyDescent="0.2">
      <c r="A42" s="24" t="s">
        <v>1387</v>
      </c>
      <c r="B42" s="24" t="s">
        <v>1388</v>
      </c>
      <c r="C42" s="24" t="s">
        <v>815</v>
      </c>
      <c r="D42" s="28">
        <v>100</v>
      </c>
      <c r="E42" s="26">
        <v>1014.2430000000001</v>
      </c>
      <c r="F42" s="27">
        <v>0.69181598844556402</v>
      </c>
    </row>
    <row r="43" spans="1:6" x14ac:dyDescent="0.2">
      <c r="A43" s="24" t="s">
        <v>1389</v>
      </c>
      <c r="B43" s="24" t="s">
        <v>1390</v>
      </c>
      <c r="C43" s="24" t="s">
        <v>815</v>
      </c>
      <c r="D43" s="28">
        <v>76</v>
      </c>
      <c r="E43" s="26">
        <v>790.44863999999995</v>
      </c>
      <c r="F43" s="27">
        <v>0.53916567055138798</v>
      </c>
    </row>
    <row r="44" spans="1:6" x14ac:dyDescent="0.2">
      <c r="A44" s="24" t="s">
        <v>1391</v>
      </c>
      <c r="B44" s="24" t="s">
        <v>1392</v>
      </c>
      <c r="C44" s="24" t="s">
        <v>1278</v>
      </c>
      <c r="D44" s="28">
        <v>59</v>
      </c>
      <c r="E44" s="26">
        <v>606.61617000000001</v>
      </c>
      <c r="F44" s="27">
        <v>0.41377339084973902</v>
      </c>
    </row>
    <row r="45" spans="1:6" x14ac:dyDescent="0.2">
      <c r="A45" s="24" t="s">
        <v>1393</v>
      </c>
      <c r="B45" s="24" t="s">
        <v>1394</v>
      </c>
      <c r="C45" s="24" t="s">
        <v>684</v>
      </c>
      <c r="D45" s="28">
        <v>60</v>
      </c>
      <c r="E45" s="26">
        <v>582.88260000000002</v>
      </c>
      <c r="F45" s="27">
        <v>0.39758470313989902</v>
      </c>
    </row>
    <row r="46" spans="1:6" x14ac:dyDescent="0.2">
      <c r="A46" s="24" t="s">
        <v>1395</v>
      </c>
      <c r="B46" s="24" t="s">
        <v>1396</v>
      </c>
      <c r="C46" s="24" t="s">
        <v>1328</v>
      </c>
      <c r="D46" s="28">
        <v>53</v>
      </c>
      <c r="E46" s="26">
        <v>547.97283000000004</v>
      </c>
      <c r="F46" s="27">
        <v>0.37377272017432001</v>
      </c>
    </row>
    <row r="47" spans="1:6" x14ac:dyDescent="0.2">
      <c r="A47" s="24" t="s">
        <v>1397</v>
      </c>
      <c r="B47" s="24" t="s">
        <v>1398</v>
      </c>
      <c r="C47" s="24" t="s">
        <v>1328</v>
      </c>
      <c r="D47" s="28">
        <v>50</v>
      </c>
      <c r="E47" s="26">
        <v>545.36199999999997</v>
      </c>
      <c r="F47" s="27">
        <v>0.37199187087379398</v>
      </c>
    </row>
    <row r="48" spans="1:6" x14ac:dyDescent="0.2">
      <c r="A48" s="24" t="s">
        <v>1399</v>
      </c>
      <c r="B48" s="24" t="s">
        <v>1400</v>
      </c>
      <c r="C48" s="24" t="s">
        <v>815</v>
      </c>
      <c r="D48" s="28">
        <v>50</v>
      </c>
      <c r="E48" s="26">
        <v>526.52700000000004</v>
      </c>
      <c r="F48" s="27">
        <v>0.35914450180901197</v>
      </c>
    </row>
    <row r="49" spans="1:6" x14ac:dyDescent="0.2">
      <c r="A49" s="24" t="s">
        <v>1401</v>
      </c>
      <c r="B49" s="24" t="s">
        <v>1402</v>
      </c>
      <c r="C49" s="24" t="s">
        <v>1328</v>
      </c>
      <c r="D49" s="28">
        <v>44</v>
      </c>
      <c r="E49" s="26">
        <v>518.59191999999996</v>
      </c>
      <c r="F49" s="27">
        <v>0.35373197718365601</v>
      </c>
    </row>
    <row r="50" spans="1:6" x14ac:dyDescent="0.2">
      <c r="A50" s="24" t="s">
        <v>1403</v>
      </c>
      <c r="B50" s="24" t="s">
        <v>1404</v>
      </c>
      <c r="C50" s="24" t="s">
        <v>815</v>
      </c>
      <c r="D50" s="28">
        <v>50</v>
      </c>
      <c r="E50" s="26">
        <v>506.77550000000002</v>
      </c>
      <c r="F50" s="27">
        <v>0.345671987336856</v>
      </c>
    </row>
    <row r="51" spans="1:6" x14ac:dyDescent="0.2">
      <c r="A51" s="24" t="s">
        <v>1405</v>
      </c>
      <c r="B51" s="24" t="s">
        <v>1406</v>
      </c>
      <c r="C51" s="24" t="s">
        <v>815</v>
      </c>
      <c r="D51" s="28">
        <v>50</v>
      </c>
      <c r="E51" s="26">
        <v>497.16800000000001</v>
      </c>
      <c r="F51" s="27">
        <v>0.339118703647453</v>
      </c>
    </row>
    <row r="52" spans="1:6" x14ac:dyDescent="0.2">
      <c r="A52" s="24" t="s">
        <v>1301</v>
      </c>
      <c r="B52" s="24" t="s">
        <v>1302</v>
      </c>
      <c r="C52" s="24" t="s">
        <v>815</v>
      </c>
      <c r="D52" s="28">
        <v>45</v>
      </c>
      <c r="E52" s="26">
        <v>487.93365</v>
      </c>
      <c r="F52" s="27">
        <v>0.332819945881413</v>
      </c>
    </row>
    <row r="53" spans="1:6" x14ac:dyDescent="0.2">
      <c r="A53" s="24" t="s">
        <v>1407</v>
      </c>
      <c r="B53" s="24" t="s">
        <v>1408</v>
      </c>
      <c r="C53" s="24" t="s">
        <v>815</v>
      </c>
      <c r="D53" s="28">
        <v>42</v>
      </c>
      <c r="E53" s="26">
        <v>420.05459999999999</v>
      </c>
      <c r="F53" s="27">
        <v>0.28651958978282899</v>
      </c>
    </row>
    <row r="54" spans="1:6" x14ac:dyDescent="0.2">
      <c r="A54" s="24" t="s">
        <v>1409</v>
      </c>
      <c r="B54" s="24" t="s">
        <v>1410</v>
      </c>
      <c r="C54" s="24" t="s">
        <v>1328</v>
      </c>
      <c r="D54" s="28">
        <v>34</v>
      </c>
      <c r="E54" s="26">
        <v>355.12761999999998</v>
      </c>
      <c r="F54" s="27">
        <v>0.24223284307076401</v>
      </c>
    </row>
    <row r="55" spans="1:6" x14ac:dyDescent="0.2">
      <c r="A55" s="24" t="s">
        <v>1411</v>
      </c>
      <c r="B55" s="24" t="s">
        <v>1412</v>
      </c>
      <c r="C55" s="24" t="s">
        <v>815</v>
      </c>
      <c r="D55" s="28">
        <v>31</v>
      </c>
      <c r="E55" s="26">
        <v>349.32907999999998</v>
      </c>
      <c r="F55" s="27">
        <v>0.238277654144992</v>
      </c>
    </row>
    <row r="56" spans="1:6" x14ac:dyDescent="0.2">
      <c r="A56" s="24" t="s">
        <v>1413</v>
      </c>
      <c r="B56" s="24" t="s">
        <v>1414</v>
      </c>
      <c r="C56" s="24" t="s">
        <v>815</v>
      </c>
      <c r="D56" s="28">
        <v>33</v>
      </c>
      <c r="E56" s="26">
        <v>333.70589999999999</v>
      </c>
      <c r="F56" s="27">
        <v>0.227621070156379</v>
      </c>
    </row>
    <row r="57" spans="1:6" x14ac:dyDescent="0.2">
      <c r="A57" s="24" t="s">
        <v>1415</v>
      </c>
      <c r="B57" s="24" t="s">
        <v>1416</v>
      </c>
      <c r="C57" s="24" t="s">
        <v>815</v>
      </c>
      <c r="D57" s="28">
        <v>20</v>
      </c>
      <c r="E57" s="26">
        <v>219.40219999999999</v>
      </c>
      <c r="F57" s="27">
        <v>0.14965442192860201</v>
      </c>
    </row>
    <row r="58" spans="1:6" x14ac:dyDescent="0.2">
      <c r="A58" s="24" t="s">
        <v>1417</v>
      </c>
      <c r="B58" s="24" t="s">
        <v>1418</v>
      </c>
      <c r="C58" s="24" t="s">
        <v>815</v>
      </c>
      <c r="D58" s="28">
        <v>20</v>
      </c>
      <c r="E58" s="26">
        <v>215.9932</v>
      </c>
      <c r="F58" s="27">
        <v>0.14732914021148799</v>
      </c>
    </row>
    <row r="59" spans="1:6" x14ac:dyDescent="0.2">
      <c r="A59" s="24" t="s">
        <v>992</v>
      </c>
      <c r="B59" s="24" t="s">
        <v>993</v>
      </c>
      <c r="C59" s="24" t="s">
        <v>815</v>
      </c>
      <c r="D59" s="28">
        <v>20</v>
      </c>
      <c r="E59" s="26">
        <v>201.244</v>
      </c>
      <c r="F59" s="27">
        <v>0.13726869870311101</v>
      </c>
    </row>
    <row r="60" spans="1:6" x14ac:dyDescent="0.2">
      <c r="A60" s="24" t="s">
        <v>1419</v>
      </c>
      <c r="B60" s="24" t="s">
        <v>1420</v>
      </c>
      <c r="C60" s="24" t="s">
        <v>1328</v>
      </c>
      <c r="D60" s="28">
        <v>19</v>
      </c>
      <c r="E60" s="26">
        <v>196.52555000000001</v>
      </c>
      <c r="F60" s="27">
        <v>0.13405024005889901</v>
      </c>
    </row>
    <row r="61" spans="1:6" x14ac:dyDescent="0.2">
      <c r="A61" s="24" t="s">
        <v>1421</v>
      </c>
      <c r="B61" s="24" t="s">
        <v>1422</v>
      </c>
      <c r="C61" s="24" t="s">
        <v>815</v>
      </c>
      <c r="D61" s="28">
        <v>15</v>
      </c>
      <c r="E61" s="26">
        <v>175.59614999999999</v>
      </c>
      <c r="F61" s="27">
        <v>0.119774279023356</v>
      </c>
    </row>
    <row r="62" spans="1:6" x14ac:dyDescent="0.2">
      <c r="A62" s="24" t="s">
        <v>1423</v>
      </c>
      <c r="B62" s="24" t="s">
        <v>1424</v>
      </c>
      <c r="C62" s="24" t="s">
        <v>842</v>
      </c>
      <c r="D62" s="28">
        <v>15</v>
      </c>
      <c r="E62" s="26">
        <v>149.27295000000001</v>
      </c>
      <c r="F62" s="27">
        <v>0.101819202550508</v>
      </c>
    </row>
    <row r="63" spans="1:6" x14ac:dyDescent="0.2">
      <c r="A63" s="24" t="s">
        <v>1425</v>
      </c>
      <c r="B63" s="24" t="s">
        <v>1426</v>
      </c>
      <c r="C63" s="24" t="s">
        <v>1427</v>
      </c>
      <c r="D63" s="28">
        <v>10</v>
      </c>
      <c r="E63" s="26">
        <v>106.8211</v>
      </c>
      <c r="F63" s="27">
        <v>7.2862760584339603E-2</v>
      </c>
    </row>
    <row r="64" spans="1:6" x14ac:dyDescent="0.2">
      <c r="A64" s="24" t="s">
        <v>1428</v>
      </c>
      <c r="B64" s="24" t="s">
        <v>1429</v>
      </c>
      <c r="C64" s="24" t="s">
        <v>1328</v>
      </c>
      <c r="D64" s="28">
        <v>70</v>
      </c>
      <c r="E64" s="26">
        <v>72.111199999999997</v>
      </c>
      <c r="F64" s="27">
        <v>4.9187109110928801E-2</v>
      </c>
    </row>
    <row r="65" spans="1:9" x14ac:dyDescent="0.2">
      <c r="A65" s="24" t="s">
        <v>1430</v>
      </c>
      <c r="B65" s="24" t="s">
        <v>1431</v>
      </c>
      <c r="C65" s="24" t="s">
        <v>815</v>
      </c>
      <c r="D65" s="28">
        <v>5</v>
      </c>
      <c r="E65" s="26">
        <v>50.005000000000003</v>
      </c>
      <c r="F65" s="27">
        <v>3.4108451822906699E-2</v>
      </c>
    </row>
    <row r="66" spans="1:9" x14ac:dyDescent="0.2">
      <c r="A66" s="24" t="s">
        <v>1432</v>
      </c>
      <c r="B66" s="24" t="s">
        <v>1433</v>
      </c>
      <c r="C66" s="24" t="s">
        <v>902</v>
      </c>
      <c r="D66" s="28">
        <v>5</v>
      </c>
      <c r="E66" s="26">
        <v>49.197000000000003</v>
      </c>
      <c r="F66" s="27">
        <v>3.3557314355195302E-2</v>
      </c>
    </row>
    <row r="67" spans="1:9" x14ac:dyDescent="0.2">
      <c r="A67" s="24" t="s">
        <v>1434</v>
      </c>
      <c r="B67" s="24" t="s">
        <v>1435</v>
      </c>
      <c r="C67" s="24" t="s">
        <v>1278</v>
      </c>
      <c r="D67" s="28">
        <v>3</v>
      </c>
      <c r="E67" s="26">
        <v>34.74774</v>
      </c>
      <c r="F67" s="27">
        <v>2.3701462168680899E-2</v>
      </c>
    </row>
    <row r="68" spans="1:9" x14ac:dyDescent="0.2">
      <c r="A68" s="24" t="s">
        <v>1436</v>
      </c>
      <c r="B68" s="24" t="s">
        <v>1437</v>
      </c>
      <c r="C68" s="24" t="s">
        <v>815</v>
      </c>
      <c r="D68" s="28">
        <v>3</v>
      </c>
      <c r="E68" s="26">
        <v>30.505739999999999</v>
      </c>
      <c r="F68" s="27">
        <v>2.0807990463196101E-2</v>
      </c>
    </row>
    <row r="69" spans="1:9" x14ac:dyDescent="0.2">
      <c r="A69" s="24" t="s">
        <v>1438</v>
      </c>
      <c r="B69" s="24" t="s">
        <v>1439</v>
      </c>
      <c r="C69" s="24" t="s">
        <v>815</v>
      </c>
      <c r="D69" s="28">
        <v>3</v>
      </c>
      <c r="E69" s="26">
        <v>30.477150000000002</v>
      </c>
      <c r="F69" s="27">
        <v>2.0788489200569998E-2</v>
      </c>
    </row>
    <row r="70" spans="1:9" x14ac:dyDescent="0.2">
      <c r="A70" s="24" t="s">
        <v>1440</v>
      </c>
      <c r="B70" s="24" t="s">
        <v>1441</v>
      </c>
      <c r="C70" s="24" t="s">
        <v>815</v>
      </c>
      <c r="D70" s="28">
        <v>2</v>
      </c>
      <c r="E70" s="26">
        <v>20.821159999999999</v>
      </c>
      <c r="F70" s="27">
        <v>1.42021304420965E-2</v>
      </c>
    </row>
    <row r="71" spans="1:9" x14ac:dyDescent="0.2">
      <c r="A71" s="24" t="s">
        <v>1442</v>
      </c>
      <c r="B71" s="24" t="s">
        <v>1443</v>
      </c>
      <c r="C71" s="24" t="s">
        <v>815</v>
      </c>
      <c r="D71" s="28">
        <v>2</v>
      </c>
      <c r="E71" s="26">
        <v>20.222819999999999</v>
      </c>
      <c r="F71" s="27">
        <v>1.37940022336429E-2</v>
      </c>
    </row>
    <row r="72" spans="1:9" ht="10.5" x14ac:dyDescent="0.25">
      <c r="A72" s="23" t="s">
        <v>24</v>
      </c>
      <c r="B72" s="23"/>
      <c r="C72" s="23"/>
      <c r="D72" s="29"/>
      <c r="E72" s="30">
        <f>SUM(E5:E71)</f>
        <v>129043.34269000002</v>
      </c>
      <c r="F72" s="31">
        <f>SUM(F5:F71)</f>
        <v>88.020570687105447</v>
      </c>
      <c r="G72" s="15"/>
      <c r="H72" s="15"/>
      <c r="I72" s="15"/>
    </row>
    <row r="73" spans="1:9" x14ac:dyDescent="0.2">
      <c r="A73" s="24"/>
      <c r="B73" s="24"/>
      <c r="C73" s="24"/>
      <c r="D73" s="25"/>
      <c r="E73" s="26"/>
      <c r="F73" s="27"/>
    </row>
    <row r="74" spans="1:9" ht="10.5" x14ac:dyDescent="0.25">
      <c r="A74" s="23" t="s">
        <v>818</v>
      </c>
      <c r="B74" s="24"/>
      <c r="C74" s="24"/>
      <c r="D74" s="25"/>
      <c r="E74" s="26"/>
      <c r="F74" s="27"/>
    </row>
    <row r="75" spans="1:9" x14ac:dyDescent="0.2">
      <c r="A75" s="24" t="s">
        <v>1044</v>
      </c>
      <c r="B75" s="24" t="s">
        <v>1045</v>
      </c>
      <c r="C75" s="24" t="s">
        <v>1046</v>
      </c>
      <c r="D75" s="28">
        <v>84</v>
      </c>
      <c r="E75" s="26">
        <v>814.92096000000004</v>
      </c>
      <c r="F75" s="27">
        <v>0.55585826024671403</v>
      </c>
    </row>
    <row r="76" spans="1:9" x14ac:dyDescent="0.2">
      <c r="A76" s="24" t="s">
        <v>1069</v>
      </c>
      <c r="B76" s="24" t="s">
        <v>1070</v>
      </c>
      <c r="C76" s="24" t="s">
        <v>1071</v>
      </c>
      <c r="D76" s="28">
        <v>200</v>
      </c>
      <c r="E76" s="26">
        <v>534.6</v>
      </c>
      <c r="F76" s="27">
        <v>0.36465110178034099</v>
      </c>
    </row>
    <row r="77" spans="1:9" x14ac:dyDescent="0.2">
      <c r="A77" s="24" t="s">
        <v>1444</v>
      </c>
      <c r="B77" s="24" t="s">
        <v>1445</v>
      </c>
      <c r="C77" s="24" t="s">
        <v>815</v>
      </c>
      <c r="D77" s="28">
        <v>49</v>
      </c>
      <c r="E77" s="26">
        <v>491.23773999999997</v>
      </c>
      <c r="F77" s="27">
        <v>0.33507366840083203</v>
      </c>
    </row>
    <row r="78" spans="1:9" ht="10.5" x14ac:dyDescent="0.25">
      <c r="A78" s="23" t="s">
        <v>24</v>
      </c>
      <c r="B78" s="23"/>
      <c r="C78" s="23"/>
      <c r="D78" s="29"/>
      <c r="E78" s="30">
        <f>SUM(E74:E77)</f>
        <v>1840.7587000000001</v>
      </c>
      <c r="F78" s="31">
        <f>SUM(F74:F77)</f>
        <v>1.255583030427887</v>
      </c>
      <c r="G78" s="15"/>
      <c r="H78" s="15"/>
      <c r="I78" s="15"/>
    </row>
    <row r="79" spans="1:9" x14ac:dyDescent="0.2">
      <c r="A79" s="24"/>
      <c r="B79" s="24"/>
      <c r="C79" s="24"/>
      <c r="D79" s="25"/>
      <c r="E79" s="26"/>
      <c r="F79" s="27"/>
    </row>
    <row r="80" spans="1:9" ht="10.5" x14ac:dyDescent="0.25">
      <c r="A80" s="23" t="s">
        <v>861</v>
      </c>
      <c r="B80" s="24"/>
      <c r="C80" s="24"/>
      <c r="D80" s="25"/>
      <c r="E80" s="26"/>
      <c r="F80" s="27"/>
    </row>
    <row r="81" spans="1:9" ht="10.5" x14ac:dyDescent="0.25">
      <c r="A81" s="23" t="s">
        <v>1106</v>
      </c>
      <c r="B81" s="24"/>
      <c r="C81" s="24"/>
      <c r="D81" s="25"/>
      <c r="E81" s="26"/>
      <c r="F81" s="27"/>
    </row>
    <row r="82" spans="1:9" x14ac:dyDescent="0.2">
      <c r="A82" s="24" t="s">
        <v>1133</v>
      </c>
      <c r="B82" s="24" t="s">
        <v>1134</v>
      </c>
      <c r="C82" s="24" t="s">
        <v>868</v>
      </c>
      <c r="D82" s="28">
        <v>2500</v>
      </c>
      <c r="E82" s="26">
        <v>2439.3924999999999</v>
      </c>
      <c r="F82" s="27">
        <v>1.66391164010419</v>
      </c>
    </row>
    <row r="83" spans="1:9" ht="10.5" x14ac:dyDescent="0.25">
      <c r="A83" s="23" t="s">
        <v>24</v>
      </c>
      <c r="B83" s="23"/>
      <c r="C83" s="23"/>
      <c r="D83" s="29"/>
      <c r="E83" s="30">
        <f>SUM(E81:E82)</f>
        <v>2439.3924999999999</v>
      </c>
      <c r="F83" s="31">
        <f>SUM(F81:F82)</f>
        <v>1.66391164010419</v>
      </c>
      <c r="G83" s="15"/>
      <c r="H83" s="15"/>
      <c r="I83" s="15"/>
    </row>
    <row r="84" spans="1:9" x14ac:dyDescent="0.2">
      <c r="A84" s="24"/>
      <c r="B84" s="24"/>
      <c r="C84" s="24"/>
      <c r="D84" s="25"/>
      <c r="E84" s="26"/>
      <c r="F84" s="27"/>
    </row>
    <row r="85" spans="1:9" ht="10.5" x14ac:dyDescent="0.25">
      <c r="A85" s="23" t="s">
        <v>862</v>
      </c>
      <c r="B85" s="24"/>
      <c r="C85" s="24"/>
      <c r="D85" s="25"/>
      <c r="E85" s="26"/>
      <c r="F85" s="27"/>
    </row>
    <row r="86" spans="1:9" x14ac:dyDescent="0.2">
      <c r="A86" s="24" t="s">
        <v>1155</v>
      </c>
      <c r="B86" s="24" t="s">
        <v>1156</v>
      </c>
      <c r="C86" s="24" t="s">
        <v>868</v>
      </c>
      <c r="D86" s="28">
        <v>100</v>
      </c>
      <c r="E86" s="26">
        <v>471.42399999999998</v>
      </c>
      <c r="F86" s="27">
        <v>0.32155869997324199</v>
      </c>
    </row>
    <row r="87" spans="1:9" ht="10.5" x14ac:dyDescent="0.25">
      <c r="A87" s="23" t="s">
        <v>24</v>
      </c>
      <c r="B87" s="23"/>
      <c r="C87" s="23"/>
      <c r="D87" s="29"/>
      <c r="E87" s="30">
        <f>SUM(E85:E86)</f>
        <v>471.42399999999998</v>
      </c>
      <c r="F87" s="31">
        <f>SUM(F85:F86)</f>
        <v>0.32155869997324199</v>
      </c>
      <c r="G87" s="15"/>
      <c r="H87" s="15"/>
      <c r="I87" s="15"/>
    </row>
    <row r="88" spans="1:9" x14ac:dyDescent="0.2">
      <c r="A88" s="24"/>
      <c r="B88" s="24"/>
      <c r="C88" s="24"/>
      <c r="D88" s="25"/>
      <c r="E88" s="26"/>
      <c r="F88" s="27"/>
    </row>
    <row r="89" spans="1:9" ht="10.5" x14ac:dyDescent="0.25">
      <c r="A89" s="23" t="s">
        <v>1263</v>
      </c>
      <c r="B89" s="24"/>
      <c r="C89" s="24"/>
      <c r="D89" s="25"/>
      <c r="E89" s="26"/>
      <c r="F89" s="27"/>
    </row>
    <row r="90" spans="1:9" x14ac:dyDescent="0.2">
      <c r="A90" s="24" t="s">
        <v>1269</v>
      </c>
      <c r="B90" s="24" t="s">
        <v>1881</v>
      </c>
      <c r="C90" s="24" t="s">
        <v>1266</v>
      </c>
      <c r="D90" s="28">
        <v>4500000</v>
      </c>
      <c r="E90" s="26">
        <v>4715.7659999999996</v>
      </c>
      <c r="F90" s="27">
        <v>3.21662788559347</v>
      </c>
    </row>
    <row r="91" spans="1:9" ht="10.5" x14ac:dyDescent="0.25">
      <c r="A91" s="23" t="s">
        <v>24</v>
      </c>
      <c r="B91" s="23"/>
      <c r="C91" s="23"/>
      <c r="D91" s="29"/>
      <c r="E91" s="30">
        <f>SUM(E90:E90)</f>
        <v>4715.7659999999996</v>
      </c>
      <c r="F91" s="31">
        <f>SUM(F90:F90)</f>
        <v>3.21662788559347</v>
      </c>
      <c r="G91" s="15"/>
      <c r="H91" s="15"/>
      <c r="I91" s="15"/>
    </row>
    <row r="92" spans="1:9" x14ac:dyDescent="0.2">
      <c r="A92" s="24"/>
      <c r="B92" s="24"/>
      <c r="C92" s="24"/>
      <c r="D92" s="25"/>
      <c r="E92" s="26"/>
      <c r="F92" s="27"/>
    </row>
    <row r="93" spans="1:9" ht="10.5" x14ac:dyDescent="0.25">
      <c r="A93" s="23" t="s">
        <v>25</v>
      </c>
      <c r="B93" s="23"/>
      <c r="C93" s="23"/>
      <c r="D93" s="29"/>
      <c r="E93" s="30">
        <f>E72+E78+E83+E87+E91</f>
        <v>138510.68389000001</v>
      </c>
      <c r="F93" s="31">
        <f>F72+F78+F83+F87+F91</f>
        <v>94.478251943204228</v>
      </c>
      <c r="G93" s="15"/>
      <c r="H93" s="15"/>
      <c r="I93" s="15"/>
    </row>
    <row r="94" spans="1:9" ht="10.5" x14ac:dyDescent="0.25">
      <c r="A94" s="23"/>
      <c r="B94" s="23"/>
      <c r="C94" s="23"/>
      <c r="D94" s="29"/>
      <c r="E94" s="30"/>
      <c r="F94" s="31"/>
      <c r="G94" s="15"/>
      <c r="H94" s="15"/>
      <c r="I94" s="15"/>
    </row>
    <row r="95" spans="1:9" ht="10.5" x14ac:dyDescent="0.25">
      <c r="A95" s="23" t="s">
        <v>27</v>
      </c>
      <c r="B95" s="23"/>
      <c r="C95" s="23"/>
      <c r="D95" s="29"/>
      <c r="E95" s="30">
        <f>E97-(E72+E78+E83+E87+E91)</f>
        <v>8095.2079857999925</v>
      </c>
      <c r="F95" s="31">
        <f>F97-(F72+F78+F83+F87+F91)</f>
        <v>5.5217480567957722</v>
      </c>
      <c r="G95" s="15"/>
      <c r="H95" s="15"/>
      <c r="I95" s="15"/>
    </row>
    <row r="96" spans="1:9" ht="10.5" x14ac:dyDescent="0.25">
      <c r="A96" s="23"/>
      <c r="B96" s="23"/>
      <c r="C96" s="23"/>
      <c r="D96" s="29"/>
      <c r="E96" s="30"/>
      <c r="F96" s="31"/>
      <c r="G96" s="15"/>
      <c r="H96" s="15"/>
      <c r="I96" s="15"/>
    </row>
    <row r="97" spans="1:9" ht="10.5" x14ac:dyDescent="0.25">
      <c r="A97" s="32" t="s">
        <v>26</v>
      </c>
      <c r="B97" s="32"/>
      <c r="C97" s="32"/>
      <c r="D97" s="33"/>
      <c r="E97" s="34">
        <v>146605.89187580001</v>
      </c>
      <c r="F97" s="35">
        <v>100</v>
      </c>
      <c r="G97" s="15"/>
      <c r="H97" s="15"/>
      <c r="I97" s="15"/>
    </row>
    <row r="98" spans="1:9" ht="10.5" x14ac:dyDescent="0.25">
      <c r="A98" s="76" t="s">
        <v>1855</v>
      </c>
      <c r="B98" s="72"/>
      <c r="C98" s="72"/>
      <c r="D98" s="73"/>
      <c r="E98" s="74"/>
      <c r="F98" s="17"/>
      <c r="G98" s="15"/>
      <c r="H98" s="15"/>
      <c r="I98" s="15"/>
    </row>
    <row r="99" spans="1:9" ht="10.5" x14ac:dyDescent="0.25">
      <c r="A99" s="15" t="s">
        <v>871</v>
      </c>
    </row>
    <row r="100" spans="1:9" ht="10.5" x14ac:dyDescent="0.25">
      <c r="A100" s="15" t="s">
        <v>872</v>
      </c>
    </row>
    <row r="101" spans="1:9" ht="10.5" x14ac:dyDescent="0.25">
      <c r="A101" s="15" t="s">
        <v>1795</v>
      </c>
    </row>
    <row r="102" spans="1:9" ht="10.5" x14ac:dyDescent="0.25">
      <c r="A102" s="15" t="s">
        <v>1819</v>
      </c>
    </row>
    <row r="103" spans="1:9" ht="10.5" x14ac:dyDescent="0.25">
      <c r="A103" s="15"/>
    </row>
    <row r="104" spans="1:9" ht="10.5" x14ac:dyDescent="0.25">
      <c r="A104" s="15" t="s">
        <v>28</v>
      </c>
    </row>
    <row r="105" spans="1:9" ht="10.5" x14ac:dyDescent="0.25">
      <c r="A105" s="15" t="s">
        <v>29</v>
      </c>
    </row>
    <row r="106" spans="1:9" ht="10.5" x14ac:dyDescent="0.25">
      <c r="A106" s="15" t="s">
        <v>30</v>
      </c>
      <c r="B106" s="15"/>
      <c r="C106" s="36" t="s">
        <v>32</v>
      </c>
      <c r="D106" s="16" t="s">
        <v>31</v>
      </c>
    </row>
    <row r="107" spans="1:9" x14ac:dyDescent="0.2">
      <c r="A107" s="9" t="s">
        <v>38</v>
      </c>
      <c r="C107" s="37">
        <v>68.616399999999999</v>
      </c>
      <c r="D107" s="37">
        <v>71.638400000000004</v>
      </c>
    </row>
    <row r="108" spans="1:9" x14ac:dyDescent="0.2">
      <c r="A108" s="9" t="s">
        <v>1218</v>
      </c>
      <c r="C108" s="37">
        <v>15.9399</v>
      </c>
      <c r="D108" s="37">
        <v>16.032900000000001</v>
      </c>
    </row>
    <row r="109" spans="1:9" x14ac:dyDescent="0.2">
      <c r="A109" s="9" t="s">
        <v>1219</v>
      </c>
      <c r="C109" s="37">
        <v>13.287599999999999</v>
      </c>
      <c r="D109" s="37">
        <v>13.311400000000001</v>
      </c>
    </row>
    <row r="110" spans="1:9" x14ac:dyDescent="0.2">
      <c r="A110" s="9" t="s">
        <v>1446</v>
      </c>
      <c r="C110" s="37">
        <v>13.7494</v>
      </c>
      <c r="D110" s="37">
        <v>13.794</v>
      </c>
    </row>
    <row r="111" spans="1:9" x14ac:dyDescent="0.2">
      <c r="A111" s="9" t="s">
        <v>1447</v>
      </c>
      <c r="C111" s="37">
        <v>17.865300000000001</v>
      </c>
      <c r="D111" s="37">
        <v>17.224299999999999</v>
      </c>
    </row>
    <row r="112" spans="1:9" x14ac:dyDescent="0.2">
      <c r="A112" s="9" t="s">
        <v>39</v>
      </c>
      <c r="C112" s="37">
        <v>71.990200000000002</v>
      </c>
      <c r="D112" s="37">
        <v>75.374799999999993</v>
      </c>
    </row>
    <row r="113" spans="1:4" x14ac:dyDescent="0.2">
      <c r="A113" s="9" t="s">
        <v>1220</v>
      </c>
      <c r="C113" s="37">
        <v>17.009799999999998</v>
      </c>
      <c r="D113" s="37">
        <v>17.1996</v>
      </c>
    </row>
    <row r="114" spans="1:4" x14ac:dyDescent="0.2">
      <c r="A114" s="9" t="s">
        <v>1221</v>
      </c>
      <c r="C114" s="37">
        <v>14.2117</v>
      </c>
      <c r="D114" s="37">
        <v>14.3187</v>
      </c>
    </row>
    <row r="115" spans="1:4" x14ac:dyDescent="0.2">
      <c r="A115" s="9" t="s">
        <v>1448</v>
      </c>
      <c r="C115" s="37">
        <v>14.9801</v>
      </c>
      <c r="D115" s="37">
        <v>15.124499999999999</v>
      </c>
    </row>
    <row r="116" spans="1:4" x14ac:dyDescent="0.2">
      <c r="A116" s="9" t="s">
        <v>1449</v>
      </c>
      <c r="C116" s="37">
        <v>19.089700000000001</v>
      </c>
      <c r="D116" s="37">
        <v>18.559200000000001</v>
      </c>
    </row>
    <row r="118" spans="1:4" ht="10.5" x14ac:dyDescent="0.25">
      <c r="A118" s="15" t="s">
        <v>1882</v>
      </c>
    </row>
    <row r="119" spans="1:4" ht="10.5" x14ac:dyDescent="0.25">
      <c r="A119" s="90" t="s">
        <v>33</v>
      </c>
      <c r="B119" s="91"/>
      <c r="C119" s="92" t="s">
        <v>1883</v>
      </c>
      <c r="D119" s="93"/>
    </row>
    <row r="120" spans="1:4" ht="10.5" x14ac:dyDescent="0.25">
      <c r="A120" s="90"/>
      <c r="B120" s="91"/>
      <c r="C120" s="38" t="s">
        <v>34</v>
      </c>
      <c r="D120" s="39" t="s">
        <v>35</v>
      </c>
    </row>
    <row r="121" spans="1:4" x14ac:dyDescent="0.2">
      <c r="A121" s="96" t="s">
        <v>1218</v>
      </c>
      <c r="B121" s="97"/>
      <c r="C121" s="40">
        <v>0.43219362</v>
      </c>
      <c r="D121" s="40">
        <v>0.40021344599999997</v>
      </c>
    </row>
    <row r="122" spans="1:4" x14ac:dyDescent="0.2">
      <c r="A122" s="96" t="s">
        <v>1219</v>
      </c>
      <c r="B122" s="97"/>
      <c r="C122" s="40">
        <v>0.396177485</v>
      </c>
      <c r="D122" s="40">
        <v>0.36686232559999998</v>
      </c>
    </row>
    <row r="123" spans="1:4" x14ac:dyDescent="0.2">
      <c r="A123" s="96" t="s">
        <v>1446</v>
      </c>
      <c r="B123" s="97"/>
      <c r="C123" s="40">
        <v>0.396177485</v>
      </c>
      <c r="D123" s="40">
        <v>0.36686232549999997</v>
      </c>
    </row>
    <row r="124" spans="1:4" x14ac:dyDescent="0.2">
      <c r="A124" s="96" t="s">
        <v>1447</v>
      </c>
      <c r="B124" s="97"/>
      <c r="C124" s="40">
        <v>1.0084517799999999</v>
      </c>
      <c r="D124" s="40">
        <v>0.93383137400000005</v>
      </c>
    </row>
    <row r="125" spans="1:4" x14ac:dyDescent="0.2">
      <c r="A125" s="96" t="s">
        <v>1220</v>
      </c>
      <c r="B125" s="97"/>
      <c r="C125" s="40">
        <v>0.43219362</v>
      </c>
      <c r="D125" s="40">
        <v>0.40021344599999997</v>
      </c>
    </row>
    <row r="126" spans="1:4" x14ac:dyDescent="0.2">
      <c r="A126" s="96" t="s">
        <v>1221</v>
      </c>
      <c r="B126" s="97"/>
      <c r="C126" s="40">
        <v>0.396177485</v>
      </c>
      <c r="D126" s="40">
        <v>0.36686232559999998</v>
      </c>
    </row>
    <row r="127" spans="1:4" x14ac:dyDescent="0.2">
      <c r="A127" s="96" t="s">
        <v>1448</v>
      </c>
      <c r="B127" s="97"/>
      <c r="C127" s="40">
        <v>0.396177485</v>
      </c>
      <c r="D127" s="40">
        <v>0.36686232549999997</v>
      </c>
    </row>
    <row r="128" spans="1:4" x14ac:dyDescent="0.2">
      <c r="A128" s="96" t="s">
        <v>1449</v>
      </c>
      <c r="B128" s="97"/>
      <c r="C128" s="40">
        <v>1.0084517799999999</v>
      </c>
      <c r="D128" s="40">
        <v>0.93383137400000005</v>
      </c>
    </row>
    <row r="130" spans="1:5" ht="10.5" x14ac:dyDescent="0.25">
      <c r="A130" s="15" t="s">
        <v>882</v>
      </c>
      <c r="D130" s="11">
        <v>3.3560276506284099</v>
      </c>
      <c r="E130" s="11" t="s">
        <v>883</v>
      </c>
    </row>
    <row r="132" spans="1:5" ht="10.5" x14ac:dyDescent="0.25">
      <c r="A132" s="15" t="s">
        <v>884</v>
      </c>
      <c r="D132" s="41" t="s">
        <v>36</v>
      </c>
    </row>
    <row r="133" spans="1:5" x14ac:dyDescent="0.2">
      <c r="A133" s="9" t="s">
        <v>885</v>
      </c>
    </row>
    <row r="134" spans="1:5" ht="14.5" x14ac:dyDescent="0.35">
      <c r="A134" s="49" t="s">
        <v>886</v>
      </c>
    </row>
    <row r="136" spans="1:5" ht="10.5" x14ac:dyDescent="0.25">
      <c r="A136" s="15" t="s">
        <v>1827</v>
      </c>
    </row>
  </sheetData>
  <mergeCells count="12">
    <mergeCell ref="A128:B128"/>
    <mergeCell ref="A1:F1"/>
    <mergeCell ref="A119:B119"/>
    <mergeCell ref="C119:D119"/>
    <mergeCell ref="A120:B120"/>
    <mergeCell ref="A121:B121"/>
    <mergeCell ref="A122:B122"/>
    <mergeCell ref="A123:B123"/>
    <mergeCell ref="A124:B124"/>
    <mergeCell ref="A125:B125"/>
    <mergeCell ref="A126:B126"/>
    <mergeCell ref="A127:B127"/>
  </mergeCells>
  <conditionalFormatting sqref="F2 F4:F65536">
    <cfRule type="cellIs" dxfId="63" priority="1" stopIfTrue="1" operator="between">
      <formula>0.009</formula>
      <formula>-0.009</formula>
    </cfRule>
  </conditionalFormatting>
  <hyperlinks>
    <hyperlink ref="A134" r:id="rId1" tooltip="https://www.franklintempletonindia.com/investor/reports" xr:uid="{00000000-0004-0000-0900-000000000000}"/>
  </hyperlinks>
  <pageMargins left="0.7" right="0.7" top="0.75" bottom="0.75" header="0.3" footer="0.3"/>
  <pageSetup paperSize="9" scale="49" orientation="portrait" r:id="rId2"/>
  <headerFooter>
    <evenFooter>&amp;LPUBLIC</evenFooter>
    <firstFooter>&amp;LPUBLIC</firstFooter>
  </headerFooter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8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.1796875" style="9" bestFit="1" customWidth="1"/>
    <col min="3" max="3" width="15.453125" style="9" bestFit="1" customWidth="1"/>
    <col min="4" max="4" width="15.453125" style="10" bestFit="1" customWidth="1"/>
    <col min="5" max="5" width="14.1796875" style="11" customWidth="1"/>
    <col min="6" max="6" width="11.81640625" style="14" customWidth="1"/>
    <col min="7" max="7" width="5.26953125" style="9" bestFit="1" customWidth="1"/>
    <col min="8" max="8" width="9.1796875" style="9"/>
    <col min="9" max="9" width="10.453125" style="9" bestFit="1" customWidth="1"/>
    <col min="10" max="16384" width="9.1796875" style="9"/>
  </cols>
  <sheetData>
    <row r="1" spans="1:6" s="1" customFormat="1" ht="14" x14ac:dyDescent="0.25">
      <c r="A1" s="88" t="s">
        <v>1450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7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1375</v>
      </c>
      <c r="B6" s="24" t="s">
        <v>1376</v>
      </c>
      <c r="C6" s="24" t="s">
        <v>1278</v>
      </c>
      <c r="D6" s="28">
        <v>4150</v>
      </c>
      <c r="E6" s="26">
        <v>8714.4439000000002</v>
      </c>
      <c r="F6" s="27">
        <v>7.5396841648374497</v>
      </c>
    </row>
    <row r="7" spans="1:6" x14ac:dyDescent="0.2">
      <c r="A7" s="24" t="s">
        <v>1451</v>
      </c>
      <c r="B7" s="24" t="s">
        <v>1452</v>
      </c>
      <c r="C7" s="24" t="s">
        <v>815</v>
      </c>
      <c r="D7" s="28">
        <v>750</v>
      </c>
      <c r="E7" s="26">
        <v>7733.835</v>
      </c>
      <c r="F7" s="27">
        <v>6.6912672744345398</v>
      </c>
    </row>
    <row r="8" spans="1:6" x14ac:dyDescent="0.2">
      <c r="A8" s="24" t="s">
        <v>1343</v>
      </c>
      <c r="B8" s="24" t="s">
        <v>1344</v>
      </c>
      <c r="C8" s="24" t="s">
        <v>815</v>
      </c>
      <c r="D8" s="28">
        <v>610</v>
      </c>
      <c r="E8" s="26">
        <v>6564.2893000000004</v>
      </c>
      <c r="F8" s="27">
        <v>5.6793834071984701</v>
      </c>
    </row>
    <row r="9" spans="1:6" x14ac:dyDescent="0.2">
      <c r="A9" s="24" t="s">
        <v>1453</v>
      </c>
      <c r="B9" s="24" t="s">
        <v>1454</v>
      </c>
      <c r="C9" s="24" t="s">
        <v>1455</v>
      </c>
      <c r="D9" s="28">
        <v>500</v>
      </c>
      <c r="E9" s="26">
        <v>5187.6350000000002</v>
      </c>
      <c r="F9" s="27">
        <v>4.4883104316566396</v>
      </c>
    </row>
    <row r="10" spans="1:6" x14ac:dyDescent="0.2">
      <c r="A10" s="24" t="s">
        <v>1456</v>
      </c>
      <c r="B10" s="24" t="s">
        <v>1457</v>
      </c>
      <c r="C10" s="24" t="s">
        <v>815</v>
      </c>
      <c r="D10" s="28">
        <v>500</v>
      </c>
      <c r="E10" s="26">
        <v>5160.9750000000004</v>
      </c>
      <c r="F10" s="27">
        <v>4.4652443608733297</v>
      </c>
    </row>
    <row r="11" spans="1:6" x14ac:dyDescent="0.2">
      <c r="A11" s="24" t="s">
        <v>1458</v>
      </c>
      <c r="B11" s="24" t="s">
        <v>1459</v>
      </c>
      <c r="C11" s="24" t="s">
        <v>815</v>
      </c>
      <c r="D11" s="28">
        <v>500</v>
      </c>
      <c r="E11" s="26">
        <v>5094.4750000000004</v>
      </c>
      <c r="F11" s="27">
        <v>4.4077089630079902</v>
      </c>
    </row>
    <row r="12" spans="1:6" x14ac:dyDescent="0.2">
      <c r="A12" s="24" t="s">
        <v>1460</v>
      </c>
      <c r="B12" s="24" t="s">
        <v>1461</v>
      </c>
      <c r="C12" s="24" t="s">
        <v>1278</v>
      </c>
      <c r="D12" s="28">
        <v>500</v>
      </c>
      <c r="E12" s="26">
        <v>5017.5450000000001</v>
      </c>
      <c r="F12" s="27">
        <v>4.3411495922142898</v>
      </c>
    </row>
    <row r="13" spans="1:6" x14ac:dyDescent="0.2">
      <c r="A13" s="24" t="s">
        <v>1462</v>
      </c>
      <c r="B13" s="24" t="s">
        <v>1463</v>
      </c>
      <c r="C13" s="24" t="s">
        <v>815</v>
      </c>
      <c r="D13" s="28">
        <v>400</v>
      </c>
      <c r="E13" s="26">
        <v>4103.3360000000002</v>
      </c>
      <c r="F13" s="27">
        <v>3.55018149376204</v>
      </c>
    </row>
    <row r="14" spans="1:6" x14ac:dyDescent="0.2">
      <c r="A14" s="24" t="s">
        <v>1385</v>
      </c>
      <c r="B14" s="24" t="s">
        <v>1386</v>
      </c>
      <c r="C14" s="24" t="s">
        <v>1328</v>
      </c>
      <c r="D14" s="28">
        <v>400</v>
      </c>
      <c r="E14" s="26">
        <v>4060.2280000000001</v>
      </c>
      <c r="F14" s="27">
        <v>3.51288471284205</v>
      </c>
    </row>
    <row r="15" spans="1:6" x14ac:dyDescent="0.2">
      <c r="A15" s="24" t="s">
        <v>1274</v>
      </c>
      <c r="B15" s="24" t="s">
        <v>1275</v>
      </c>
      <c r="C15" s="24" t="s">
        <v>815</v>
      </c>
      <c r="D15" s="28">
        <v>380</v>
      </c>
      <c r="E15" s="26">
        <v>3717.7831999999999</v>
      </c>
      <c r="F15" s="27">
        <v>3.21660354269292</v>
      </c>
    </row>
    <row r="16" spans="1:6" x14ac:dyDescent="0.2">
      <c r="A16" s="24" t="s">
        <v>1464</v>
      </c>
      <c r="B16" s="24" t="s">
        <v>1465</v>
      </c>
      <c r="C16" s="24" t="s">
        <v>815</v>
      </c>
      <c r="D16" s="28">
        <v>350</v>
      </c>
      <c r="E16" s="26">
        <v>3548.72</v>
      </c>
      <c r="F16" s="27">
        <v>3.07033108440138</v>
      </c>
    </row>
    <row r="17" spans="1:6" x14ac:dyDescent="0.2">
      <c r="A17" s="24" t="s">
        <v>1373</v>
      </c>
      <c r="B17" s="24" t="s">
        <v>1374</v>
      </c>
      <c r="C17" s="24" t="s">
        <v>1328</v>
      </c>
      <c r="D17" s="28">
        <v>350</v>
      </c>
      <c r="E17" s="26">
        <v>3510.57</v>
      </c>
      <c r="F17" s="27">
        <v>3.0373239350996801</v>
      </c>
    </row>
    <row r="18" spans="1:6" x14ac:dyDescent="0.2">
      <c r="A18" s="24" t="s">
        <v>1345</v>
      </c>
      <c r="B18" s="24" t="s">
        <v>1346</v>
      </c>
      <c r="C18" s="24" t="s">
        <v>804</v>
      </c>
      <c r="D18" s="28">
        <v>300</v>
      </c>
      <c r="E18" s="26">
        <v>3043.7370000000001</v>
      </c>
      <c r="F18" s="27">
        <v>2.6334228465031302</v>
      </c>
    </row>
    <row r="19" spans="1:6" x14ac:dyDescent="0.2">
      <c r="A19" s="24" t="s">
        <v>1466</v>
      </c>
      <c r="B19" s="24" t="s">
        <v>1467</v>
      </c>
      <c r="C19" s="24" t="s">
        <v>815</v>
      </c>
      <c r="D19" s="28">
        <v>250</v>
      </c>
      <c r="E19" s="26">
        <v>2765.0349999999999</v>
      </c>
      <c r="F19" s="27">
        <v>2.39229156145251</v>
      </c>
    </row>
    <row r="20" spans="1:6" x14ac:dyDescent="0.2">
      <c r="A20" s="24" t="s">
        <v>1468</v>
      </c>
      <c r="B20" s="24" t="s">
        <v>1469</v>
      </c>
      <c r="C20" s="24" t="s">
        <v>1328</v>
      </c>
      <c r="D20" s="28">
        <v>250</v>
      </c>
      <c r="E20" s="26">
        <v>2561.85</v>
      </c>
      <c r="F20" s="27">
        <v>2.21649712814019</v>
      </c>
    </row>
    <row r="21" spans="1:6" x14ac:dyDescent="0.2">
      <c r="A21" s="24" t="s">
        <v>802</v>
      </c>
      <c r="B21" s="24" t="s">
        <v>803</v>
      </c>
      <c r="C21" s="24" t="s">
        <v>804</v>
      </c>
      <c r="D21" s="28">
        <v>250</v>
      </c>
      <c r="E21" s="26">
        <v>2539.62</v>
      </c>
      <c r="F21" s="27">
        <v>2.1972638665680702</v>
      </c>
    </row>
    <row r="22" spans="1:6" x14ac:dyDescent="0.2">
      <c r="A22" s="24" t="s">
        <v>1470</v>
      </c>
      <c r="B22" s="24" t="s">
        <v>1471</v>
      </c>
      <c r="C22" s="24" t="s">
        <v>815</v>
      </c>
      <c r="D22" s="28">
        <v>250</v>
      </c>
      <c r="E22" s="26">
        <v>2528.125</v>
      </c>
      <c r="F22" s="27">
        <v>2.1873184620799102</v>
      </c>
    </row>
    <row r="23" spans="1:6" x14ac:dyDescent="0.2">
      <c r="A23" s="24" t="s">
        <v>805</v>
      </c>
      <c r="B23" s="24" t="s">
        <v>806</v>
      </c>
      <c r="C23" s="24" t="s">
        <v>697</v>
      </c>
      <c r="D23" s="28">
        <v>250</v>
      </c>
      <c r="E23" s="26">
        <v>2486.7399999999998</v>
      </c>
      <c r="F23" s="27">
        <v>2.1515124103407102</v>
      </c>
    </row>
    <row r="24" spans="1:6" x14ac:dyDescent="0.2">
      <c r="A24" s="24" t="s">
        <v>1347</v>
      </c>
      <c r="B24" s="24" t="s">
        <v>1348</v>
      </c>
      <c r="C24" s="24" t="s">
        <v>679</v>
      </c>
      <c r="D24" s="28">
        <v>242</v>
      </c>
      <c r="E24" s="26">
        <v>2456.3726000000001</v>
      </c>
      <c r="F24" s="27">
        <v>2.1252387194965601</v>
      </c>
    </row>
    <row r="25" spans="1:6" x14ac:dyDescent="0.2">
      <c r="A25" s="24" t="s">
        <v>1365</v>
      </c>
      <c r="B25" s="24" t="s">
        <v>1366</v>
      </c>
      <c r="C25" s="24" t="s">
        <v>766</v>
      </c>
      <c r="D25" s="28">
        <v>250</v>
      </c>
      <c r="E25" s="26">
        <v>2428.11</v>
      </c>
      <c r="F25" s="27">
        <v>2.1007860888843899</v>
      </c>
    </row>
    <row r="26" spans="1:6" x14ac:dyDescent="0.2">
      <c r="A26" s="24" t="s">
        <v>1371</v>
      </c>
      <c r="B26" s="24" t="s">
        <v>1372</v>
      </c>
      <c r="C26" s="24" t="s">
        <v>815</v>
      </c>
      <c r="D26" s="28">
        <v>210</v>
      </c>
      <c r="E26" s="26">
        <v>2257.2039</v>
      </c>
      <c r="F26" s="27">
        <v>1.95291916465712</v>
      </c>
    </row>
    <row r="27" spans="1:6" x14ac:dyDescent="0.2">
      <c r="A27" s="24" t="s">
        <v>1472</v>
      </c>
      <c r="B27" s="24" t="s">
        <v>1473</v>
      </c>
      <c r="C27" s="24" t="s">
        <v>766</v>
      </c>
      <c r="D27" s="28">
        <v>200</v>
      </c>
      <c r="E27" s="26">
        <v>1992.1120000000001</v>
      </c>
      <c r="F27" s="27">
        <v>1.7235632558243501</v>
      </c>
    </row>
    <row r="28" spans="1:6" x14ac:dyDescent="0.2">
      <c r="A28" s="24" t="s">
        <v>1405</v>
      </c>
      <c r="B28" s="24" t="s">
        <v>1406</v>
      </c>
      <c r="C28" s="24" t="s">
        <v>815</v>
      </c>
      <c r="D28" s="28">
        <v>200</v>
      </c>
      <c r="E28" s="26">
        <v>1988.672</v>
      </c>
      <c r="F28" s="27">
        <v>1.7205869886265099</v>
      </c>
    </row>
    <row r="29" spans="1:6" x14ac:dyDescent="0.2">
      <c r="A29" s="24" t="s">
        <v>1474</v>
      </c>
      <c r="B29" s="24" t="s">
        <v>1475</v>
      </c>
      <c r="C29" s="24" t="s">
        <v>815</v>
      </c>
      <c r="D29" s="28">
        <v>150</v>
      </c>
      <c r="E29" s="26">
        <v>1640.559</v>
      </c>
      <c r="F29" s="27">
        <v>1.4194017261137599</v>
      </c>
    </row>
    <row r="30" spans="1:6" x14ac:dyDescent="0.2">
      <c r="A30" s="24" t="s">
        <v>1383</v>
      </c>
      <c r="B30" s="24" t="s">
        <v>1384</v>
      </c>
      <c r="C30" s="24" t="s">
        <v>815</v>
      </c>
      <c r="D30" s="28">
        <v>150</v>
      </c>
      <c r="E30" s="26">
        <v>1524.5685000000001</v>
      </c>
      <c r="F30" s="27">
        <v>1.3190474469242901</v>
      </c>
    </row>
    <row r="31" spans="1:6" x14ac:dyDescent="0.2">
      <c r="A31" s="24" t="s">
        <v>1432</v>
      </c>
      <c r="B31" s="24" t="s">
        <v>1433</v>
      </c>
      <c r="C31" s="24" t="s">
        <v>902</v>
      </c>
      <c r="D31" s="28">
        <v>145</v>
      </c>
      <c r="E31" s="26">
        <v>1426.713</v>
      </c>
      <c r="F31" s="27">
        <v>1.2343834600699799</v>
      </c>
    </row>
    <row r="32" spans="1:6" x14ac:dyDescent="0.2">
      <c r="A32" s="24" t="s">
        <v>1417</v>
      </c>
      <c r="B32" s="24" t="s">
        <v>1418</v>
      </c>
      <c r="C32" s="24" t="s">
        <v>815</v>
      </c>
      <c r="D32" s="28">
        <v>130</v>
      </c>
      <c r="E32" s="26">
        <v>1403.9558</v>
      </c>
      <c r="F32" s="27">
        <v>1.2146940682459</v>
      </c>
    </row>
    <row r="33" spans="1:6" x14ac:dyDescent="0.2">
      <c r="A33" s="24" t="s">
        <v>1395</v>
      </c>
      <c r="B33" s="24" t="s">
        <v>1396</v>
      </c>
      <c r="C33" s="24" t="s">
        <v>1328</v>
      </c>
      <c r="D33" s="28">
        <v>120</v>
      </c>
      <c r="E33" s="26">
        <v>1240.6931999999999</v>
      </c>
      <c r="F33" s="27">
        <v>1.07344025399733</v>
      </c>
    </row>
    <row r="34" spans="1:6" x14ac:dyDescent="0.2">
      <c r="A34" s="24" t="s">
        <v>1369</v>
      </c>
      <c r="B34" s="24" t="s">
        <v>1370</v>
      </c>
      <c r="C34" s="24" t="s">
        <v>815</v>
      </c>
      <c r="D34" s="28">
        <v>120</v>
      </c>
      <c r="E34" s="26">
        <v>1223.3688</v>
      </c>
      <c r="F34" s="27">
        <v>1.05845128788037</v>
      </c>
    </row>
    <row r="35" spans="1:6" x14ac:dyDescent="0.2">
      <c r="A35" s="24" t="s">
        <v>1476</v>
      </c>
      <c r="B35" s="24" t="s">
        <v>1477</v>
      </c>
      <c r="C35" s="24" t="s">
        <v>815</v>
      </c>
      <c r="D35" s="28">
        <v>100</v>
      </c>
      <c r="E35" s="26">
        <v>1045.347</v>
      </c>
      <c r="F35" s="27">
        <v>0.90442790304271004</v>
      </c>
    </row>
    <row r="36" spans="1:6" x14ac:dyDescent="0.2">
      <c r="A36" s="24" t="s">
        <v>1478</v>
      </c>
      <c r="B36" s="24" t="s">
        <v>1479</v>
      </c>
      <c r="C36" s="24" t="s">
        <v>677</v>
      </c>
      <c r="D36" s="28">
        <v>100</v>
      </c>
      <c r="E36" s="26">
        <v>1021.075</v>
      </c>
      <c r="F36" s="27">
        <v>0.88342791541883703</v>
      </c>
    </row>
    <row r="37" spans="1:6" x14ac:dyDescent="0.2">
      <c r="A37" s="24" t="s">
        <v>985</v>
      </c>
      <c r="B37" s="24" t="s">
        <v>986</v>
      </c>
      <c r="C37" s="24" t="s">
        <v>689</v>
      </c>
      <c r="D37" s="28">
        <v>95</v>
      </c>
      <c r="E37" s="26">
        <v>939.49775</v>
      </c>
      <c r="F37" s="27">
        <v>0.81284777202770397</v>
      </c>
    </row>
    <row r="38" spans="1:6" x14ac:dyDescent="0.2">
      <c r="A38" s="24" t="s">
        <v>1003</v>
      </c>
      <c r="B38" s="24" t="s">
        <v>1004</v>
      </c>
      <c r="C38" s="24" t="s">
        <v>689</v>
      </c>
      <c r="D38" s="28">
        <v>88</v>
      </c>
      <c r="E38" s="26">
        <v>896.12951999999996</v>
      </c>
      <c r="F38" s="27">
        <v>0.775325841685364</v>
      </c>
    </row>
    <row r="39" spans="1:6" x14ac:dyDescent="0.2">
      <c r="A39" s="24" t="s">
        <v>1301</v>
      </c>
      <c r="B39" s="24" t="s">
        <v>1302</v>
      </c>
      <c r="C39" s="24" t="s">
        <v>815</v>
      </c>
      <c r="D39" s="28">
        <v>70</v>
      </c>
      <c r="E39" s="26">
        <v>759.00789999999995</v>
      </c>
      <c r="F39" s="27">
        <v>0.65668904525468696</v>
      </c>
    </row>
    <row r="40" spans="1:6" x14ac:dyDescent="0.2">
      <c r="A40" s="24" t="s">
        <v>1480</v>
      </c>
      <c r="B40" s="24" t="s">
        <v>1481</v>
      </c>
      <c r="C40" s="24" t="s">
        <v>815</v>
      </c>
      <c r="D40" s="28">
        <v>50</v>
      </c>
      <c r="E40" s="26">
        <v>542.12400000000002</v>
      </c>
      <c r="F40" s="27">
        <v>0.46904240650150297</v>
      </c>
    </row>
    <row r="41" spans="1:6" x14ac:dyDescent="0.2">
      <c r="A41" s="24" t="s">
        <v>1482</v>
      </c>
      <c r="B41" s="24" t="s">
        <v>1483</v>
      </c>
      <c r="C41" s="24" t="s">
        <v>815</v>
      </c>
      <c r="D41" s="28">
        <v>50</v>
      </c>
      <c r="E41" s="26">
        <v>539.28</v>
      </c>
      <c r="F41" s="27">
        <v>0.46658179489956197</v>
      </c>
    </row>
    <row r="42" spans="1:6" x14ac:dyDescent="0.2">
      <c r="A42" s="24" t="s">
        <v>1484</v>
      </c>
      <c r="B42" s="24" t="s">
        <v>1485</v>
      </c>
      <c r="C42" s="24" t="s">
        <v>815</v>
      </c>
      <c r="D42" s="28">
        <v>50</v>
      </c>
      <c r="E42" s="26">
        <v>537.27549999999997</v>
      </c>
      <c r="F42" s="27">
        <v>0.46484751362104998</v>
      </c>
    </row>
    <row r="43" spans="1:6" x14ac:dyDescent="0.2">
      <c r="A43" s="24" t="s">
        <v>1377</v>
      </c>
      <c r="B43" s="24" t="s">
        <v>1378</v>
      </c>
      <c r="C43" s="24" t="s">
        <v>815</v>
      </c>
      <c r="D43" s="28">
        <v>50</v>
      </c>
      <c r="E43" s="26">
        <v>523.83150000000001</v>
      </c>
      <c r="F43" s="27">
        <v>0.45321584611877003</v>
      </c>
    </row>
    <row r="44" spans="1:6" x14ac:dyDescent="0.2">
      <c r="A44" s="24" t="s">
        <v>1351</v>
      </c>
      <c r="B44" s="24" t="s">
        <v>1352</v>
      </c>
      <c r="C44" s="24" t="s">
        <v>1278</v>
      </c>
      <c r="D44" s="28">
        <v>50</v>
      </c>
      <c r="E44" s="26">
        <v>510.09649999999999</v>
      </c>
      <c r="F44" s="27">
        <v>0.44133240717620598</v>
      </c>
    </row>
    <row r="45" spans="1:6" x14ac:dyDescent="0.2">
      <c r="A45" s="24" t="s">
        <v>1486</v>
      </c>
      <c r="B45" s="24" t="s">
        <v>1487</v>
      </c>
      <c r="C45" s="24" t="s">
        <v>815</v>
      </c>
      <c r="D45" s="28">
        <v>50</v>
      </c>
      <c r="E45" s="26">
        <v>508.38549999999998</v>
      </c>
      <c r="F45" s="27">
        <v>0.43985206032285901</v>
      </c>
    </row>
    <row r="46" spans="1:6" x14ac:dyDescent="0.2">
      <c r="A46" s="24" t="s">
        <v>1423</v>
      </c>
      <c r="B46" s="24" t="s">
        <v>1424</v>
      </c>
      <c r="C46" s="24" t="s">
        <v>842</v>
      </c>
      <c r="D46" s="28">
        <v>35</v>
      </c>
      <c r="E46" s="26">
        <v>348.30354999999997</v>
      </c>
      <c r="F46" s="27">
        <v>0.30135012522046001</v>
      </c>
    </row>
    <row r="47" spans="1:6" x14ac:dyDescent="0.2">
      <c r="A47" s="24" t="s">
        <v>1488</v>
      </c>
      <c r="B47" s="24" t="s">
        <v>1489</v>
      </c>
      <c r="C47" s="24" t="s">
        <v>815</v>
      </c>
      <c r="D47" s="28">
        <v>32</v>
      </c>
      <c r="E47" s="26">
        <v>329.91520000000003</v>
      </c>
      <c r="F47" s="27">
        <v>0.28544063599734498</v>
      </c>
    </row>
    <row r="48" spans="1:6" x14ac:dyDescent="0.2">
      <c r="A48" s="24" t="s">
        <v>1425</v>
      </c>
      <c r="B48" s="24" t="s">
        <v>1426</v>
      </c>
      <c r="C48" s="24" t="s">
        <v>1427</v>
      </c>
      <c r="D48" s="28">
        <v>27</v>
      </c>
      <c r="E48" s="26">
        <v>288.41696999999999</v>
      </c>
      <c r="F48" s="27">
        <v>0.249536618346857</v>
      </c>
    </row>
    <row r="49" spans="1:9" x14ac:dyDescent="0.2">
      <c r="A49" s="24" t="s">
        <v>1442</v>
      </c>
      <c r="B49" s="24" t="s">
        <v>1443</v>
      </c>
      <c r="C49" s="24" t="s">
        <v>815</v>
      </c>
      <c r="D49" s="28">
        <v>23</v>
      </c>
      <c r="E49" s="26">
        <v>232.56243000000001</v>
      </c>
      <c r="F49" s="27">
        <v>0.201211608098954</v>
      </c>
    </row>
    <row r="50" spans="1:9" x14ac:dyDescent="0.2">
      <c r="A50" s="24" t="s">
        <v>1248</v>
      </c>
      <c r="B50" s="24" t="s">
        <v>1249</v>
      </c>
      <c r="C50" s="24" t="s">
        <v>697</v>
      </c>
      <c r="D50" s="28">
        <v>10</v>
      </c>
      <c r="E50" s="26">
        <v>98.902600000000007</v>
      </c>
      <c r="F50" s="27">
        <v>8.5569931442355501E-2</v>
      </c>
    </row>
    <row r="51" spans="1:9" x14ac:dyDescent="0.2">
      <c r="A51" s="24" t="s">
        <v>1490</v>
      </c>
      <c r="B51" s="24" t="s">
        <v>1491</v>
      </c>
      <c r="C51" s="24" t="s">
        <v>1328</v>
      </c>
      <c r="D51" s="28">
        <v>5</v>
      </c>
      <c r="E51" s="26">
        <v>51.361199999999997</v>
      </c>
      <c r="F51" s="27">
        <v>4.44373996517494E-2</v>
      </c>
    </row>
    <row r="52" spans="1:9" x14ac:dyDescent="0.2">
      <c r="A52" s="24" t="s">
        <v>1436</v>
      </c>
      <c r="B52" s="24" t="s">
        <v>1437</v>
      </c>
      <c r="C52" s="24" t="s">
        <v>815</v>
      </c>
      <c r="D52" s="28">
        <v>2</v>
      </c>
      <c r="E52" s="26">
        <v>20.337160000000001</v>
      </c>
      <c r="F52" s="27">
        <v>1.7595587850392301E-2</v>
      </c>
    </row>
    <row r="53" spans="1:9" x14ac:dyDescent="0.2">
      <c r="A53" s="24" t="s">
        <v>1492</v>
      </c>
      <c r="B53" s="24" t="s">
        <v>1493</v>
      </c>
      <c r="C53" s="24" t="s">
        <v>815</v>
      </c>
      <c r="D53" s="28">
        <v>1</v>
      </c>
      <c r="E53" s="26">
        <v>10.229200000000001</v>
      </c>
      <c r="F53" s="27">
        <v>8.8502419826186791E-3</v>
      </c>
      <c r="H53" s="11"/>
      <c r="I53" s="77"/>
    </row>
    <row r="54" spans="1:9" ht="10.5" x14ac:dyDescent="0.25">
      <c r="A54" s="23" t="s">
        <v>24</v>
      </c>
      <c r="B54" s="23"/>
      <c r="C54" s="23"/>
      <c r="D54" s="29"/>
      <c r="E54" s="30">
        <f>SUM(E5:E53)</f>
        <v>107123.34967999998</v>
      </c>
      <c r="F54" s="31">
        <f>SUM(F5:F53)</f>
        <v>92.682474353485873</v>
      </c>
      <c r="G54" s="15"/>
      <c r="H54" s="15"/>
      <c r="I54" s="15"/>
    </row>
    <row r="55" spans="1:9" x14ac:dyDescent="0.2">
      <c r="A55" s="24"/>
      <c r="B55" s="24"/>
      <c r="C55" s="24"/>
      <c r="D55" s="25"/>
      <c r="E55" s="26"/>
      <c r="F55" s="27"/>
    </row>
    <row r="56" spans="1:9" ht="10.5" x14ac:dyDescent="0.25">
      <c r="A56" s="23" t="s">
        <v>861</v>
      </c>
      <c r="B56" s="24"/>
      <c r="C56" s="24"/>
      <c r="D56" s="25"/>
      <c r="E56" s="26"/>
      <c r="F56" s="27"/>
    </row>
    <row r="57" spans="1:9" ht="10.5" x14ac:dyDescent="0.25">
      <c r="A57" s="23" t="s">
        <v>1106</v>
      </c>
      <c r="B57" s="24"/>
      <c r="C57" s="24"/>
      <c r="D57" s="25"/>
      <c r="E57" s="26"/>
      <c r="F57" s="27"/>
    </row>
    <row r="58" spans="1:9" x14ac:dyDescent="0.2">
      <c r="A58" s="24" t="s">
        <v>1133</v>
      </c>
      <c r="B58" s="24" t="s">
        <v>1134</v>
      </c>
      <c r="C58" s="24" t="s">
        <v>868</v>
      </c>
      <c r="D58" s="28">
        <v>5000</v>
      </c>
      <c r="E58" s="26">
        <v>4878.7849999999999</v>
      </c>
      <c r="F58" s="27">
        <v>4.2210952793151302</v>
      </c>
    </row>
    <row r="59" spans="1:9" ht="10.5" x14ac:dyDescent="0.25">
      <c r="A59" s="23" t="s">
        <v>24</v>
      </c>
      <c r="B59" s="23"/>
      <c r="C59" s="23"/>
      <c r="D59" s="29"/>
      <c r="E59" s="30">
        <f>SUM(E57:E58)</f>
        <v>4878.7849999999999</v>
      </c>
      <c r="F59" s="31">
        <f>SUM(F57:F58)</f>
        <v>4.2210952793151302</v>
      </c>
      <c r="G59" s="15"/>
      <c r="H59" s="15"/>
      <c r="I59" s="15"/>
    </row>
    <row r="60" spans="1:9" x14ac:dyDescent="0.2">
      <c r="A60" s="24"/>
      <c r="B60" s="24"/>
      <c r="C60" s="24"/>
      <c r="D60" s="25"/>
      <c r="E60" s="26"/>
      <c r="F60" s="27"/>
    </row>
    <row r="61" spans="1:9" ht="10.5" x14ac:dyDescent="0.25">
      <c r="A61" s="23" t="s">
        <v>1263</v>
      </c>
      <c r="B61" s="24"/>
      <c r="C61" s="24"/>
      <c r="D61" s="25"/>
      <c r="E61" s="26"/>
      <c r="F61" s="27"/>
    </row>
    <row r="62" spans="1:9" x14ac:dyDescent="0.2">
      <c r="A62" s="24" t="s">
        <v>1270</v>
      </c>
      <c r="B62" s="24" t="s">
        <v>1271</v>
      </c>
      <c r="C62" s="24" t="s">
        <v>1266</v>
      </c>
      <c r="D62" s="28">
        <v>5000000</v>
      </c>
      <c r="E62" s="26">
        <v>5246.21</v>
      </c>
      <c r="F62" s="27">
        <v>4.53898916744554</v>
      </c>
    </row>
    <row r="63" spans="1:9" ht="10.5" x14ac:dyDescent="0.25">
      <c r="A63" s="23" t="s">
        <v>24</v>
      </c>
      <c r="B63" s="23"/>
      <c r="C63" s="23"/>
      <c r="D63" s="29"/>
      <c r="E63" s="30">
        <f>SUM(E62:E62)</f>
        <v>5246.21</v>
      </c>
      <c r="F63" s="31">
        <f>SUM(F62:F62)</f>
        <v>4.53898916744554</v>
      </c>
      <c r="G63" s="15"/>
      <c r="H63" s="15"/>
      <c r="I63" s="15"/>
    </row>
    <row r="64" spans="1:9" x14ac:dyDescent="0.2">
      <c r="A64" s="24"/>
      <c r="B64" s="24"/>
      <c r="C64" s="24"/>
      <c r="D64" s="25"/>
      <c r="E64" s="26"/>
      <c r="F64" s="27"/>
    </row>
    <row r="65" spans="1:9" ht="10.5" x14ac:dyDescent="0.25">
      <c r="A65" s="23" t="s">
        <v>25</v>
      </c>
      <c r="B65" s="23"/>
      <c r="C65" s="23"/>
      <c r="D65" s="29"/>
      <c r="E65" s="30">
        <f>E54+E59+E63</f>
        <v>117248.34467999999</v>
      </c>
      <c r="F65" s="31">
        <f>F54+F59+F63</f>
        <v>101.44255880024654</v>
      </c>
      <c r="G65" s="15"/>
      <c r="H65" s="15"/>
      <c r="I65" s="15"/>
    </row>
    <row r="66" spans="1:9" ht="10.5" x14ac:dyDescent="0.25">
      <c r="A66" s="23"/>
      <c r="B66" s="23"/>
      <c r="C66" s="23"/>
      <c r="D66" s="29"/>
      <c r="E66" s="30"/>
      <c r="F66" s="31"/>
      <c r="G66" s="15"/>
      <c r="H66" s="15"/>
      <c r="I66" s="15"/>
    </row>
    <row r="67" spans="1:9" ht="10.5" x14ac:dyDescent="0.25">
      <c r="A67" s="23" t="s">
        <v>27</v>
      </c>
      <c r="B67" s="23"/>
      <c r="C67" s="23"/>
      <c r="D67" s="29"/>
      <c r="E67" s="79">
        <f>E69-(E54+E59+E63)</f>
        <v>-1667.3241826000012</v>
      </c>
      <c r="F67" s="80">
        <f>F69-(F54+F59+F63)</f>
        <v>-1.4425588002465446</v>
      </c>
      <c r="G67" s="15"/>
      <c r="H67" s="15"/>
      <c r="I67" s="15"/>
    </row>
    <row r="68" spans="1:9" ht="10.5" x14ac:dyDescent="0.25">
      <c r="A68" s="23"/>
      <c r="B68" s="23"/>
      <c r="C68" s="23"/>
      <c r="D68" s="29"/>
      <c r="E68" s="30"/>
      <c r="F68" s="31"/>
      <c r="G68" s="15"/>
      <c r="H68" s="15"/>
      <c r="I68" s="15"/>
    </row>
    <row r="69" spans="1:9" ht="10.5" x14ac:dyDescent="0.25">
      <c r="A69" s="32" t="s">
        <v>26</v>
      </c>
      <c r="B69" s="32"/>
      <c r="C69" s="32"/>
      <c r="D69" s="33"/>
      <c r="E69" s="34">
        <v>115581.02049739999</v>
      </c>
      <c r="F69" s="35">
        <v>100</v>
      </c>
      <c r="G69" s="15"/>
      <c r="H69" s="15"/>
      <c r="I69" s="15"/>
    </row>
    <row r="70" spans="1:9" ht="10.5" x14ac:dyDescent="0.25">
      <c r="A70" s="15" t="s">
        <v>872</v>
      </c>
    </row>
    <row r="72" spans="1:9" ht="10.5" x14ac:dyDescent="0.25">
      <c r="A72" s="15" t="s">
        <v>28</v>
      </c>
    </row>
    <row r="73" spans="1:9" ht="10.5" x14ac:dyDescent="0.25">
      <c r="A73" s="15" t="s">
        <v>29</v>
      </c>
    </row>
    <row r="74" spans="1:9" ht="10.5" x14ac:dyDescent="0.25">
      <c r="A74" s="15" t="s">
        <v>30</v>
      </c>
      <c r="B74" s="15"/>
      <c r="C74" s="36" t="s">
        <v>32</v>
      </c>
      <c r="D74" s="16" t="s">
        <v>31</v>
      </c>
    </row>
    <row r="75" spans="1:9" x14ac:dyDescent="0.2">
      <c r="A75" s="9" t="s">
        <v>38</v>
      </c>
      <c r="C75" s="37">
        <v>15.6023</v>
      </c>
      <c r="D75" s="37">
        <v>16.4803</v>
      </c>
    </row>
    <row r="76" spans="1:9" x14ac:dyDescent="0.2">
      <c r="A76" s="9" t="s">
        <v>40</v>
      </c>
      <c r="C76" s="37">
        <v>10.5762</v>
      </c>
      <c r="D76" s="37">
        <v>10.757400000000001</v>
      </c>
    </row>
    <row r="77" spans="1:9" x14ac:dyDescent="0.2">
      <c r="A77" s="9" t="s">
        <v>39</v>
      </c>
      <c r="C77" s="37">
        <v>15.9931</v>
      </c>
      <c r="D77" s="37">
        <v>16.918900000000001</v>
      </c>
    </row>
    <row r="78" spans="1:9" x14ac:dyDescent="0.2">
      <c r="A78" s="9" t="s">
        <v>41</v>
      </c>
      <c r="C78" s="37">
        <v>10.889200000000001</v>
      </c>
      <c r="D78" s="37">
        <v>11.1068</v>
      </c>
    </row>
    <row r="80" spans="1:9" ht="10.5" x14ac:dyDescent="0.25">
      <c r="A80" s="15" t="s">
        <v>1882</v>
      </c>
    </row>
    <row r="81" spans="1:5" ht="10.5" x14ac:dyDescent="0.25">
      <c r="A81" s="90" t="s">
        <v>33</v>
      </c>
      <c r="B81" s="91"/>
      <c r="C81" s="92" t="s">
        <v>1883</v>
      </c>
      <c r="D81" s="93"/>
    </row>
    <row r="82" spans="1:5" ht="10.5" x14ac:dyDescent="0.25">
      <c r="A82" s="90"/>
      <c r="B82" s="91"/>
      <c r="C82" s="38" t="s">
        <v>34</v>
      </c>
      <c r="D82" s="39" t="s">
        <v>35</v>
      </c>
    </row>
    <row r="83" spans="1:5" x14ac:dyDescent="0.2">
      <c r="A83" s="96" t="s">
        <v>40</v>
      </c>
      <c r="B83" s="97"/>
      <c r="C83" s="40">
        <v>0.28812907999999998</v>
      </c>
      <c r="D83" s="40">
        <v>0.26680896399999998</v>
      </c>
    </row>
    <row r="84" spans="1:5" x14ac:dyDescent="0.2">
      <c r="A84" s="96" t="s">
        <v>41</v>
      </c>
      <c r="B84" s="97"/>
      <c r="C84" s="40">
        <v>0.28812907999999998</v>
      </c>
      <c r="D84" s="40">
        <v>0.26680896399999998</v>
      </c>
    </row>
    <row r="86" spans="1:5" ht="10.5" x14ac:dyDescent="0.25">
      <c r="A86" s="15" t="s">
        <v>882</v>
      </c>
      <c r="D86" s="11">
        <v>5.2854885319398903</v>
      </c>
      <c r="E86" s="11" t="s">
        <v>883</v>
      </c>
    </row>
    <row r="88" spans="1:5" ht="10.5" x14ac:dyDescent="0.25">
      <c r="A88" s="15" t="s">
        <v>884</v>
      </c>
      <c r="D88" s="41" t="s">
        <v>36</v>
      </c>
    </row>
  </sheetData>
  <mergeCells count="6">
    <mergeCell ref="A84:B84"/>
    <mergeCell ref="A1:F1"/>
    <mergeCell ref="A81:B81"/>
    <mergeCell ref="C81:D81"/>
    <mergeCell ref="A82:B82"/>
    <mergeCell ref="A83:B83"/>
  </mergeCells>
  <conditionalFormatting sqref="F4:F52 F2 F54:F65536">
    <cfRule type="cellIs" dxfId="6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3.453125" style="9" bestFit="1" customWidth="1"/>
    <col min="2" max="2" width="20" style="9" bestFit="1" customWidth="1"/>
    <col min="3" max="3" width="15.453125" style="9" bestFit="1" customWidth="1"/>
    <col min="4" max="4" width="15.453125" style="10" bestFit="1" customWidth="1"/>
    <col min="5" max="5" width="13.81640625" style="11" customWidth="1"/>
    <col min="6" max="6" width="9" style="14" customWidth="1"/>
    <col min="7" max="7" width="6" style="9" bestFit="1" customWidth="1"/>
    <col min="8" max="16384" width="9.1796875" style="9"/>
  </cols>
  <sheetData>
    <row r="1" spans="1:9" s="1" customFormat="1" ht="14" x14ac:dyDescent="0.25">
      <c r="A1" s="88" t="s">
        <v>1494</v>
      </c>
      <c r="B1" s="89"/>
      <c r="C1" s="89"/>
      <c r="D1" s="89"/>
      <c r="E1" s="89"/>
      <c r="F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4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9" ht="10.5" x14ac:dyDescent="0.25">
      <c r="A4" s="23" t="s">
        <v>27</v>
      </c>
      <c r="B4" s="23"/>
      <c r="C4" s="23"/>
      <c r="D4" s="29"/>
      <c r="E4" s="30">
        <v>107607.4602187</v>
      </c>
      <c r="F4" s="31">
        <v>100</v>
      </c>
      <c r="G4" s="15"/>
      <c r="H4" s="15"/>
      <c r="I4" s="15"/>
    </row>
    <row r="5" spans="1:9" ht="10.5" x14ac:dyDescent="0.25">
      <c r="A5" s="23"/>
      <c r="B5" s="23"/>
      <c r="C5" s="23"/>
      <c r="D5" s="29"/>
      <c r="E5" s="30"/>
      <c r="F5" s="31"/>
      <c r="G5" s="15"/>
      <c r="H5" s="15"/>
      <c r="I5" s="15"/>
    </row>
    <row r="6" spans="1:9" ht="10.5" x14ac:dyDescent="0.25">
      <c r="A6" s="32" t="s">
        <v>26</v>
      </c>
      <c r="B6" s="32"/>
      <c r="C6" s="32"/>
      <c r="D6" s="33"/>
      <c r="E6" s="34">
        <v>107607.4602187</v>
      </c>
      <c r="F6" s="35">
        <v>100</v>
      </c>
      <c r="G6" s="15"/>
      <c r="H6" s="15"/>
      <c r="I6" s="15"/>
    </row>
    <row r="8" spans="1:9" ht="10.5" x14ac:dyDescent="0.25">
      <c r="A8" s="15" t="s">
        <v>28</v>
      </c>
    </row>
    <row r="9" spans="1:9" ht="10.5" x14ac:dyDescent="0.25">
      <c r="A9" s="15" t="s">
        <v>29</v>
      </c>
    </row>
    <row r="10" spans="1:9" ht="10.5" x14ac:dyDescent="0.25">
      <c r="A10" s="15" t="s">
        <v>30</v>
      </c>
      <c r="B10" s="15"/>
      <c r="C10" s="36" t="s">
        <v>32</v>
      </c>
      <c r="D10" s="16" t="s">
        <v>31</v>
      </c>
    </row>
    <row r="11" spans="1:9" x14ac:dyDescent="0.2">
      <c r="A11" s="9" t="s">
        <v>38</v>
      </c>
      <c r="C11" s="37">
        <v>1021.4646</v>
      </c>
      <c r="D11" s="37">
        <v>1044.2829999999999</v>
      </c>
    </row>
    <row r="12" spans="1:9" x14ac:dyDescent="0.2">
      <c r="A12" s="9" t="s">
        <v>1285</v>
      </c>
      <c r="C12" s="37">
        <v>1000</v>
      </c>
      <c r="D12" s="37">
        <v>1000</v>
      </c>
    </row>
    <row r="13" spans="1:9" x14ac:dyDescent="0.2">
      <c r="A13" s="9" t="s">
        <v>1495</v>
      </c>
      <c r="C13" s="37">
        <v>1000.1419</v>
      </c>
      <c r="D13" s="37">
        <v>1000.0085</v>
      </c>
    </row>
    <row r="14" spans="1:9" x14ac:dyDescent="0.2">
      <c r="A14" s="9" t="s">
        <v>39</v>
      </c>
      <c r="C14" s="37">
        <v>1021.6874</v>
      </c>
      <c r="D14" s="37">
        <v>1044.8101999999999</v>
      </c>
    </row>
    <row r="15" spans="1:9" x14ac:dyDescent="0.2">
      <c r="A15" s="9" t="s">
        <v>1286</v>
      </c>
      <c r="C15" s="37">
        <v>1000</v>
      </c>
      <c r="D15" s="37">
        <v>1000</v>
      </c>
    </row>
    <row r="16" spans="1:9" x14ac:dyDescent="0.2">
      <c r="A16" s="9" t="s">
        <v>1496</v>
      </c>
      <c r="C16" s="37">
        <v>1000.1431</v>
      </c>
      <c r="D16" s="37">
        <v>1000.0132</v>
      </c>
    </row>
    <row r="18" spans="1:5" ht="10.5" x14ac:dyDescent="0.25">
      <c r="A18" s="15" t="s">
        <v>1882</v>
      </c>
    </row>
    <row r="19" spans="1:5" ht="10.5" x14ac:dyDescent="0.25">
      <c r="A19" s="90" t="s">
        <v>33</v>
      </c>
      <c r="B19" s="91"/>
      <c r="C19" s="92" t="s">
        <v>1883</v>
      </c>
      <c r="D19" s="93"/>
    </row>
    <row r="20" spans="1:5" ht="10.5" x14ac:dyDescent="0.25">
      <c r="A20" s="90"/>
      <c r="B20" s="91"/>
      <c r="C20" s="38" t="s">
        <v>34</v>
      </c>
      <c r="D20" s="39" t="s">
        <v>35</v>
      </c>
    </row>
    <row r="21" spans="1:5" x14ac:dyDescent="0.2">
      <c r="A21" s="96" t="s">
        <v>1285</v>
      </c>
      <c r="B21" s="97"/>
      <c r="C21" s="40">
        <v>15.914921338999999</v>
      </c>
      <c r="D21" s="40">
        <v>14.737296471000001</v>
      </c>
    </row>
    <row r="22" spans="1:5" x14ac:dyDescent="0.2">
      <c r="A22" s="96" t="s">
        <v>1495</v>
      </c>
      <c r="B22" s="97"/>
      <c r="C22" s="40">
        <v>16.063677341000002</v>
      </c>
      <c r="D22" s="40">
        <v>14.875045274</v>
      </c>
    </row>
    <row r="23" spans="1:5" x14ac:dyDescent="0.2">
      <c r="A23" s="96" t="s">
        <v>1286</v>
      </c>
      <c r="B23" s="97"/>
      <c r="C23" s="40">
        <v>16.127399280999999</v>
      </c>
      <c r="D23" s="40">
        <v>14.934052113</v>
      </c>
    </row>
    <row r="24" spans="1:5" x14ac:dyDescent="0.2">
      <c r="A24" s="96" t="s">
        <v>1496</v>
      </c>
      <c r="B24" s="97"/>
      <c r="C24" s="40">
        <v>16.215648813000001</v>
      </c>
      <c r="D24" s="40">
        <v>15.015771613</v>
      </c>
    </row>
    <row r="26" spans="1:5" ht="10.5" x14ac:dyDescent="0.25">
      <c r="A26" s="15" t="s">
        <v>882</v>
      </c>
      <c r="D26" s="11">
        <v>8.1967213114754103E-3</v>
      </c>
      <c r="E26" s="11" t="s">
        <v>883</v>
      </c>
    </row>
    <row r="28" spans="1:5" ht="10.5" x14ac:dyDescent="0.25">
      <c r="A28" s="15" t="s">
        <v>884</v>
      </c>
      <c r="D28" s="41" t="s">
        <v>36</v>
      </c>
    </row>
  </sheetData>
  <mergeCells count="8">
    <mergeCell ref="A23:B23"/>
    <mergeCell ref="A24:B24"/>
    <mergeCell ref="A1:F1"/>
    <mergeCell ref="A19:B19"/>
    <mergeCell ref="C19:D19"/>
    <mergeCell ref="A20:B20"/>
    <mergeCell ref="A21:B21"/>
    <mergeCell ref="A22:B22"/>
  </mergeCells>
  <conditionalFormatting sqref="F2 F4:F65536">
    <cfRule type="cellIs" dxfId="61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2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2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0.54296875" style="9" bestFit="1" customWidth="1"/>
    <col min="3" max="3" width="15.453125" style="9" bestFit="1" customWidth="1"/>
    <col min="4" max="4" width="15.453125" style="10" bestFit="1" customWidth="1"/>
    <col min="5" max="5" width="14.54296875" style="11" customWidth="1"/>
    <col min="6" max="6" width="8.7265625" style="14" customWidth="1"/>
    <col min="7" max="7" width="4.453125" style="9" bestFit="1" customWidth="1"/>
    <col min="8" max="16384" width="9.1796875" style="9"/>
  </cols>
  <sheetData>
    <row r="1" spans="1:9" s="1" customFormat="1" ht="14" x14ac:dyDescent="0.25">
      <c r="A1" s="88" t="s">
        <v>1816</v>
      </c>
      <c r="B1" s="89"/>
      <c r="C1" s="89"/>
      <c r="D1" s="89"/>
      <c r="E1" s="89"/>
      <c r="F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7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9" ht="10.5" x14ac:dyDescent="0.25">
      <c r="A4" s="18" t="s">
        <v>662</v>
      </c>
      <c r="B4" s="19"/>
      <c r="C4" s="19"/>
      <c r="D4" s="20"/>
      <c r="E4" s="21"/>
      <c r="F4" s="22"/>
    </row>
    <row r="5" spans="1:9" ht="10.5" x14ac:dyDescent="0.25">
      <c r="A5" s="23" t="s">
        <v>23</v>
      </c>
      <c r="B5" s="24"/>
      <c r="C5" s="24"/>
      <c r="D5" s="25"/>
      <c r="E5" s="26"/>
      <c r="F5" s="27"/>
    </row>
    <row r="6" spans="1:9" x14ac:dyDescent="0.2">
      <c r="A6" s="24" t="s">
        <v>788</v>
      </c>
      <c r="B6" s="24" t="s">
        <v>789</v>
      </c>
      <c r="C6" s="24" t="s">
        <v>665</v>
      </c>
      <c r="D6" s="28">
        <v>3750</v>
      </c>
      <c r="E6" s="26">
        <v>37511.662499999999</v>
      </c>
      <c r="F6" s="27">
        <v>5.3876274818513101</v>
      </c>
    </row>
    <row r="7" spans="1:9" x14ac:dyDescent="0.2">
      <c r="A7" s="24" t="s">
        <v>987</v>
      </c>
      <c r="B7" s="24" t="s">
        <v>988</v>
      </c>
      <c r="C7" s="24" t="s">
        <v>665</v>
      </c>
      <c r="D7" s="28">
        <v>1150</v>
      </c>
      <c r="E7" s="26">
        <v>11505.819</v>
      </c>
      <c r="F7" s="27">
        <v>1.6525278410576201</v>
      </c>
    </row>
    <row r="8" spans="1:9" x14ac:dyDescent="0.2">
      <c r="A8" s="24" t="s">
        <v>1497</v>
      </c>
      <c r="B8" s="24" t="s">
        <v>1498</v>
      </c>
      <c r="C8" s="24" t="s">
        <v>673</v>
      </c>
      <c r="D8" s="28">
        <v>800</v>
      </c>
      <c r="E8" s="26">
        <v>8056.6719999999996</v>
      </c>
      <c r="F8" s="27">
        <v>1.15714272806389</v>
      </c>
    </row>
    <row r="9" spans="1:9" x14ac:dyDescent="0.2">
      <c r="A9" s="24" t="s">
        <v>1499</v>
      </c>
      <c r="B9" s="24" t="s">
        <v>1500</v>
      </c>
      <c r="C9" s="24" t="s">
        <v>1278</v>
      </c>
      <c r="D9" s="28">
        <v>460</v>
      </c>
      <c r="E9" s="26">
        <v>5243.2593999999999</v>
      </c>
      <c r="F9" s="27">
        <v>0.75306522172711599</v>
      </c>
    </row>
    <row r="10" spans="1:9" x14ac:dyDescent="0.2">
      <c r="A10" s="24" t="s">
        <v>1501</v>
      </c>
      <c r="B10" s="24" t="s">
        <v>1502</v>
      </c>
      <c r="C10" s="24" t="s">
        <v>1278</v>
      </c>
      <c r="D10" s="28">
        <v>200</v>
      </c>
      <c r="E10" s="26">
        <v>5011.9650000000001</v>
      </c>
      <c r="F10" s="27">
        <v>0.71984547131380605</v>
      </c>
    </row>
    <row r="11" spans="1:9" x14ac:dyDescent="0.2">
      <c r="A11" s="24" t="s">
        <v>1503</v>
      </c>
      <c r="B11" s="24" t="s">
        <v>1504</v>
      </c>
      <c r="C11" s="24" t="s">
        <v>1278</v>
      </c>
      <c r="D11" s="28">
        <v>250</v>
      </c>
      <c r="E11" s="26">
        <v>3114.0749999999998</v>
      </c>
      <c r="F11" s="27">
        <v>0.44726026340597802</v>
      </c>
    </row>
    <row r="12" spans="1:9" x14ac:dyDescent="0.2">
      <c r="A12" s="24" t="s">
        <v>1505</v>
      </c>
      <c r="B12" s="24" t="s">
        <v>1506</v>
      </c>
      <c r="C12" s="24" t="s">
        <v>673</v>
      </c>
      <c r="D12" s="28">
        <v>250</v>
      </c>
      <c r="E12" s="26">
        <v>2508.8000000000002</v>
      </c>
      <c r="F12" s="27">
        <v>0.36032740021769399</v>
      </c>
    </row>
    <row r="13" spans="1:9" ht="10.5" x14ac:dyDescent="0.25">
      <c r="A13" s="23" t="s">
        <v>24</v>
      </c>
      <c r="B13" s="23"/>
      <c r="C13" s="23"/>
      <c r="D13" s="29"/>
      <c r="E13" s="30">
        <f>SUM(E5:E12)</f>
        <v>72952.252899999992</v>
      </c>
      <c r="F13" s="31">
        <f>SUM(F5:F12)</f>
        <v>10.477796407637413</v>
      </c>
      <c r="G13" s="15"/>
      <c r="H13" s="15"/>
      <c r="I13" s="15"/>
    </row>
    <row r="14" spans="1:9" x14ac:dyDescent="0.2">
      <c r="A14" s="24"/>
      <c r="B14" s="24"/>
      <c r="C14" s="24"/>
      <c r="D14" s="25"/>
      <c r="E14" s="26"/>
      <c r="F14" s="27"/>
    </row>
    <row r="15" spans="1:9" ht="10.5" x14ac:dyDescent="0.25">
      <c r="A15" s="23" t="s">
        <v>861</v>
      </c>
      <c r="B15" s="24"/>
      <c r="C15" s="24"/>
      <c r="D15" s="25"/>
      <c r="E15" s="26"/>
      <c r="F15" s="27"/>
    </row>
    <row r="16" spans="1:9" ht="10.5" x14ac:dyDescent="0.25">
      <c r="A16" s="23" t="s">
        <v>1106</v>
      </c>
      <c r="B16" s="24"/>
      <c r="C16" s="24"/>
      <c r="D16" s="25"/>
      <c r="E16" s="26"/>
      <c r="F16" s="27"/>
    </row>
    <row r="17" spans="1:9" x14ac:dyDescent="0.2">
      <c r="A17" s="24" t="s">
        <v>1507</v>
      </c>
      <c r="B17" s="24" t="s">
        <v>1508</v>
      </c>
      <c r="C17" s="24" t="s">
        <v>1111</v>
      </c>
      <c r="D17" s="28">
        <v>20000</v>
      </c>
      <c r="E17" s="26">
        <v>19849.080000000002</v>
      </c>
      <c r="F17" s="27">
        <v>2.8508320285048798</v>
      </c>
    </row>
    <row r="18" spans="1:9" x14ac:dyDescent="0.2">
      <c r="A18" s="24" t="s">
        <v>1509</v>
      </c>
      <c r="B18" s="24" t="s">
        <v>1510</v>
      </c>
      <c r="C18" s="24" t="s">
        <v>1114</v>
      </c>
      <c r="D18" s="28">
        <v>20000</v>
      </c>
      <c r="E18" s="26">
        <v>19814.740000000002</v>
      </c>
      <c r="F18" s="27">
        <v>2.8458999323140799</v>
      </c>
    </row>
    <row r="19" spans="1:9" x14ac:dyDescent="0.2">
      <c r="A19" s="24" t="s">
        <v>1511</v>
      </c>
      <c r="B19" s="24" t="s">
        <v>1512</v>
      </c>
      <c r="C19" s="24" t="s">
        <v>1114</v>
      </c>
      <c r="D19" s="28">
        <v>20000</v>
      </c>
      <c r="E19" s="26">
        <v>19808.900000000001</v>
      </c>
      <c r="F19" s="27">
        <v>2.84506115998576</v>
      </c>
    </row>
    <row r="20" spans="1:9" x14ac:dyDescent="0.2">
      <c r="A20" s="24" t="s">
        <v>1513</v>
      </c>
      <c r="B20" s="24" t="s">
        <v>1514</v>
      </c>
      <c r="C20" s="24" t="s">
        <v>1111</v>
      </c>
      <c r="D20" s="28">
        <v>15000</v>
      </c>
      <c r="E20" s="26">
        <v>14886.81</v>
      </c>
      <c r="F20" s="27">
        <v>2.1381240213786601</v>
      </c>
    </row>
    <row r="21" spans="1:9" x14ac:dyDescent="0.2">
      <c r="A21" s="24" t="s">
        <v>1515</v>
      </c>
      <c r="B21" s="24" t="s">
        <v>1516</v>
      </c>
      <c r="C21" s="24" t="s">
        <v>1114</v>
      </c>
      <c r="D21" s="28">
        <v>15000</v>
      </c>
      <c r="E21" s="26">
        <v>14863.965</v>
      </c>
      <c r="F21" s="27">
        <v>2.1348428991457302</v>
      </c>
    </row>
    <row r="22" spans="1:9" x14ac:dyDescent="0.2">
      <c r="A22" s="24" t="s">
        <v>1517</v>
      </c>
      <c r="B22" s="24" t="s">
        <v>1518</v>
      </c>
      <c r="C22" s="24" t="s">
        <v>1114</v>
      </c>
      <c r="D22" s="28">
        <v>10000</v>
      </c>
      <c r="E22" s="26">
        <v>9911.07</v>
      </c>
      <c r="F22" s="27">
        <v>1.42348138013217</v>
      </c>
    </row>
    <row r="23" spans="1:9" x14ac:dyDescent="0.2">
      <c r="A23" s="24" t="s">
        <v>1519</v>
      </c>
      <c r="B23" s="24" t="s">
        <v>1520</v>
      </c>
      <c r="C23" s="24" t="s">
        <v>1114</v>
      </c>
      <c r="D23" s="28">
        <v>10000</v>
      </c>
      <c r="E23" s="26">
        <v>9909.4</v>
      </c>
      <c r="F23" s="27">
        <v>1.42324152571637</v>
      </c>
    </row>
    <row r="24" spans="1:9" x14ac:dyDescent="0.2">
      <c r="A24" s="24" t="s">
        <v>1521</v>
      </c>
      <c r="B24" s="24" t="s">
        <v>1522</v>
      </c>
      <c r="C24" s="24" t="s">
        <v>1114</v>
      </c>
      <c r="D24" s="28">
        <v>5000</v>
      </c>
      <c r="E24" s="26">
        <v>4964.585</v>
      </c>
      <c r="F24" s="27">
        <v>0.71304049992417196</v>
      </c>
    </row>
    <row r="25" spans="1:9" x14ac:dyDescent="0.2">
      <c r="A25" s="24" t="s">
        <v>1523</v>
      </c>
      <c r="B25" s="24" t="s">
        <v>1524</v>
      </c>
      <c r="C25" s="24" t="s">
        <v>1114</v>
      </c>
      <c r="D25" s="28">
        <v>5000</v>
      </c>
      <c r="E25" s="26">
        <v>4959.78</v>
      </c>
      <c r="F25" s="27">
        <v>0.71235037988349703</v>
      </c>
    </row>
    <row r="26" spans="1:9" ht="10.5" x14ac:dyDescent="0.25">
      <c r="A26" s="23" t="s">
        <v>24</v>
      </c>
      <c r="B26" s="23"/>
      <c r="C26" s="23"/>
      <c r="D26" s="29"/>
      <c r="E26" s="30">
        <f>SUM(E16:E25)</f>
        <v>118968.33</v>
      </c>
      <c r="F26" s="31">
        <f>SUM(F16:F25)</f>
        <v>17.086873826985318</v>
      </c>
      <c r="G26" s="15"/>
      <c r="H26" s="15"/>
      <c r="I26" s="15"/>
    </row>
    <row r="27" spans="1:9" x14ac:dyDescent="0.2">
      <c r="A27" s="24"/>
      <c r="B27" s="24"/>
      <c r="C27" s="24"/>
      <c r="D27" s="25"/>
      <c r="E27" s="26"/>
      <c r="F27" s="27"/>
    </row>
    <row r="28" spans="1:9" ht="10.5" x14ac:dyDescent="0.25">
      <c r="A28" s="23" t="s">
        <v>862</v>
      </c>
      <c r="B28" s="24"/>
      <c r="C28" s="24"/>
      <c r="D28" s="25"/>
      <c r="E28" s="26"/>
      <c r="F28" s="27"/>
    </row>
    <row r="29" spans="1:9" x14ac:dyDescent="0.2">
      <c r="A29" s="24" t="s">
        <v>1525</v>
      </c>
      <c r="B29" s="24" t="s">
        <v>1526</v>
      </c>
      <c r="C29" s="24" t="s">
        <v>868</v>
      </c>
      <c r="D29" s="28">
        <v>8000</v>
      </c>
      <c r="E29" s="26">
        <v>39838.879999999997</v>
      </c>
      <c r="F29" s="27">
        <v>5.7218750231125197</v>
      </c>
    </row>
    <row r="30" spans="1:9" x14ac:dyDescent="0.2">
      <c r="A30" s="24" t="s">
        <v>1527</v>
      </c>
      <c r="B30" s="24" t="s">
        <v>1528</v>
      </c>
      <c r="C30" s="24" t="s">
        <v>868</v>
      </c>
      <c r="D30" s="28">
        <v>8000</v>
      </c>
      <c r="E30" s="26">
        <v>39667.360000000001</v>
      </c>
      <c r="F30" s="27">
        <v>5.6972403947302901</v>
      </c>
    </row>
    <row r="31" spans="1:9" x14ac:dyDescent="0.2">
      <c r="A31" s="24" t="s">
        <v>1529</v>
      </c>
      <c r="B31" s="24" t="s">
        <v>1530</v>
      </c>
      <c r="C31" s="24" t="s">
        <v>1114</v>
      </c>
      <c r="D31" s="28">
        <v>6000</v>
      </c>
      <c r="E31" s="26">
        <v>29856.93</v>
      </c>
      <c r="F31" s="27">
        <v>4.2882134747216503</v>
      </c>
    </row>
    <row r="32" spans="1:9" x14ac:dyDescent="0.2">
      <c r="A32" s="24" t="s">
        <v>1531</v>
      </c>
      <c r="B32" s="24" t="s">
        <v>1532</v>
      </c>
      <c r="C32" s="24" t="s">
        <v>1165</v>
      </c>
      <c r="D32" s="28">
        <v>6000</v>
      </c>
      <c r="E32" s="26">
        <v>29711.64</v>
      </c>
      <c r="F32" s="27">
        <v>4.2673461405469002</v>
      </c>
    </row>
    <row r="33" spans="1:6" x14ac:dyDescent="0.2">
      <c r="A33" s="24" t="s">
        <v>1533</v>
      </c>
      <c r="B33" s="24" t="s">
        <v>1534</v>
      </c>
      <c r="C33" s="24" t="s">
        <v>868</v>
      </c>
      <c r="D33" s="28">
        <v>5000</v>
      </c>
      <c r="E33" s="26">
        <v>24846.45</v>
      </c>
      <c r="F33" s="27">
        <v>3.5685812871248901</v>
      </c>
    </row>
    <row r="34" spans="1:6" x14ac:dyDescent="0.2">
      <c r="A34" s="24" t="s">
        <v>1535</v>
      </c>
      <c r="B34" s="24" t="s">
        <v>1536</v>
      </c>
      <c r="C34" s="24" t="s">
        <v>868</v>
      </c>
      <c r="D34" s="28">
        <v>5000</v>
      </c>
      <c r="E34" s="26">
        <v>24785.275000000001</v>
      </c>
      <c r="F34" s="27">
        <v>3.5597950033604202</v>
      </c>
    </row>
    <row r="35" spans="1:6" x14ac:dyDescent="0.2">
      <c r="A35" s="24" t="s">
        <v>1537</v>
      </c>
      <c r="B35" s="24" t="s">
        <v>1538</v>
      </c>
      <c r="C35" s="24" t="s">
        <v>868</v>
      </c>
      <c r="D35" s="28">
        <v>5000</v>
      </c>
      <c r="E35" s="26">
        <v>24730.674999999999</v>
      </c>
      <c r="F35" s="27">
        <v>3.5519530565922901</v>
      </c>
    </row>
    <row r="36" spans="1:6" x14ac:dyDescent="0.2">
      <c r="A36" s="24" t="s">
        <v>1539</v>
      </c>
      <c r="B36" s="24" t="s">
        <v>1540</v>
      </c>
      <c r="C36" s="24" t="s">
        <v>868</v>
      </c>
      <c r="D36" s="28">
        <v>5000</v>
      </c>
      <c r="E36" s="26">
        <v>24623.974999999999</v>
      </c>
      <c r="F36" s="27">
        <v>3.53662822655274</v>
      </c>
    </row>
    <row r="37" spans="1:6" x14ac:dyDescent="0.2">
      <c r="A37" s="24" t="s">
        <v>1541</v>
      </c>
      <c r="B37" s="24" t="s">
        <v>1542</v>
      </c>
      <c r="C37" s="24" t="s">
        <v>1114</v>
      </c>
      <c r="D37" s="28">
        <v>4000</v>
      </c>
      <c r="E37" s="26">
        <v>19883.419999999998</v>
      </c>
      <c r="F37" s="27">
        <v>2.85576412469567</v>
      </c>
    </row>
    <row r="38" spans="1:6" x14ac:dyDescent="0.2">
      <c r="A38" s="24" t="s">
        <v>1543</v>
      </c>
      <c r="B38" s="24" t="s">
        <v>1544</v>
      </c>
      <c r="C38" s="24" t="s">
        <v>1114</v>
      </c>
      <c r="D38" s="28">
        <v>4000</v>
      </c>
      <c r="E38" s="26">
        <v>19809.939999999999</v>
      </c>
      <c r="F38" s="27">
        <v>2.8452105304003998</v>
      </c>
    </row>
    <row r="39" spans="1:6" x14ac:dyDescent="0.2">
      <c r="A39" s="24" t="s">
        <v>1545</v>
      </c>
      <c r="B39" s="24" t="s">
        <v>1546</v>
      </c>
      <c r="C39" s="24" t="s">
        <v>1114</v>
      </c>
      <c r="D39" s="28">
        <v>4000</v>
      </c>
      <c r="E39" s="26">
        <v>19790.66</v>
      </c>
      <c r="F39" s="27">
        <v>2.8424414327137701</v>
      </c>
    </row>
    <row r="40" spans="1:6" x14ac:dyDescent="0.2">
      <c r="A40" s="24" t="s">
        <v>1547</v>
      </c>
      <c r="B40" s="24" t="s">
        <v>1548</v>
      </c>
      <c r="C40" s="24" t="s">
        <v>1111</v>
      </c>
      <c r="D40" s="28">
        <v>4000</v>
      </c>
      <c r="E40" s="26">
        <v>19712.38</v>
      </c>
      <c r="F40" s="27">
        <v>2.8311984365048102</v>
      </c>
    </row>
    <row r="41" spans="1:6" x14ac:dyDescent="0.2">
      <c r="A41" s="24" t="s">
        <v>1549</v>
      </c>
      <c r="B41" s="24" t="s">
        <v>1550</v>
      </c>
      <c r="C41" s="24" t="s">
        <v>868</v>
      </c>
      <c r="D41" s="28">
        <v>4000</v>
      </c>
      <c r="E41" s="26">
        <v>19708.3</v>
      </c>
      <c r="F41" s="27">
        <v>2.83061244487818</v>
      </c>
    </row>
    <row r="42" spans="1:6" x14ac:dyDescent="0.2">
      <c r="A42" s="24" t="s">
        <v>1551</v>
      </c>
      <c r="B42" s="24" t="s">
        <v>1552</v>
      </c>
      <c r="C42" s="24" t="s">
        <v>868</v>
      </c>
      <c r="D42" s="28">
        <v>3000</v>
      </c>
      <c r="E42" s="26">
        <v>14964.93</v>
      </c>
      <c r="F42" s="27">
        <v>2.14934403752383</v>
      </c>
    </row>
    <row r="43" spans="1:6" x14ac:dyDescent="0.2">
      <c r="A43" s="24" t="s">
        <v>1553</v>
      </c>
      <c r="B43" s="24" t="s">
        <v>1554</v>
      </c>
      <c r="C43" s="24" t="s">
        <v>868</v>
      </c>
      <c r="D43" s="28">
        <v>3000</v>
      </c>
      <c r="E43" s="26">
        <v>14907.014999999999</v>
      </c>
      <c r="F43" s="27">
        <v>2.1410259725590599</v>
      </c>
    </row>
    <row r="44" spans="1:6" x14ac:dyDescent="0.2">
      <c r="A44" s="24" t="s">
        <v>1555</v>
      </c>
      <c r="B44" s="24" t="s">
        <v>1556</v>
      </c>
      <c r="C44" s="24" t="s">
        <v>1114</v>
      </c>
      <c r="D44" s="28">
        <v>3000</v>
      </c>
      <c r="E44" s="26">
        <v>14842.08</v>
      </c>
      <c r="F44" s="27">
        <v>2.1316996572955298</v>
      </c>
    </row>
    <row r="45" spans="1:6" x14ac:dyDescent="0.2">
      <c r="A45" s="24" t="s">
        <v>1557</v>
      </c>
      <c r="B45" s="24" t="s">
        <v>1558</v>
      </c>
      <c r="C45" s="24" t="s">
        <v>1165</v>
      </c>
      <c r="D45" s="28">
        <v>3000</v>
      </c>
      <c r="E45" s="26">
        <v>14772.225</v>
      </c>
      <c r="F45" s="27">
        <v>2.1216667050704801</v>
      </c>
    </row>
    <row r="46" spans="1:6" x14ac:dyDescent="0.2">
      <c r="A46" s="24" t="s">
        <v>1559</v>
      </c>
      <c r="B46" s="24" t="s">
        <v>1560</v>
      </c>
      <c r="C46" s="24" t="s">
        <v>868</v>
      </c>
      <c r="D46" s="28">
        <v>2000</v>
      </c>
      <c r="E46" s="26">
        <v>9967.51</v>
      </c>
      <c r="F46" s="27">
        <v>1.4315875976338801</v>
      </c>
    </row>
    <row r="47" spans="1:6" x14ac:dyDescent="0.2">
      <c r="A47" s="24" t="s">
        <v>1561</v>
      </c>
      <c r="B47" s="24" t="s">
        <v>1562</v>
      </c>
      <c r="C47" s="24" t="s">
        <v>868</v>
      </c>
      <c r="D47" s="28">
        <v>2000</v>
      </c>
      <c r="E47" s="26">
        <v>9884.67</v>
      </c>
      <c r="F47" s="27">
        <v>1.4196896696069199</v>
      </c>
    </row>
    <row r="48" spans="1:6" x14ac:dyDescent="0.2">
      <c r="A48" s="24" t="s">
        <v>1563</v>
      </c>
      <c r="B48" s="24" t="s">
        <v>1564</v>
      </c>
      <c r="C48" s="24" t="s">
        <v>1114</v>
      </c>
      <c r="D48" s="28">
        <v>1500</v>
      </c>
      <c r="E48" s="26">
        <v>7464.7124999999996</v>
      </c>
      <c r="F48" s="27">
        <v>1.0721223088717799</v>
      </c>
    </row>
    <row r="49" spans="1:9" x14ac:dyDescent="0.2">
      <c r="A49" s="24" t="s">
        <v>1565</v>
      </c>
      <c r="B49" s="24" t="s">
        <v>1566</v>
      </c>
      <c r="C49" s="24" t="s">
        <v>868</v>
      </c>
      <c r="D49" s="28">
        <v>1500</v>
      </c>
      <c r="E49" s="26">
        <v>7418.5349999999999</v>
      </c>
      <c r="F49" s="27">
        <v>1.06549004702406</v>
      </c>
    </row>
    <row r="50" spans="1:9" x14ac:dyDescent="0.2">
      <c r="A50" s="24" t="s">
        <v>1567</v>
      </c>
      <c r="B50" s="24" t="s">
        <v>1568</v>
      </c>
      <c r="C50" s="24" t="s">
        <v>868</v>
      </c>
      <c r="D50" s="28">
        <v>1500</v>
      </c>
      <c r="E50" s="26">
        <v>7371.4575000000004</v>
      </c>
      <c r="F50" s="27">
        <v>1.05872852231753</v>
      </c>
    </row>
    <row r="51" spans="1:9" x14ac:dyDescent="0.2">
      <c r="A51" s="24" t="s">
        <v>1569</v>
      </c>
      <c r="B51" s="24" t="s">
        <v>1570</v>
      </c>
      <c r="C51" s="24" t="s">
        <v>868</v>
      </c>
      <c r="D51" s="28">
        <v>1000</v>
      </c>
      <c r="E51" s="26">
        <v>4986.3599999999997</v>
      </c>
      <c r="F51" s="27">
        <v>0.71616794298051001</v>
      </c>
    </row>
    <row r="52" spans="1:9" x14ac:dyDescent="0.2">
      <c r="A52" s="24" t="s">
        <v>1571</v>
      </c>
      <c r="B52" s="24" t="s">
        <v>1572</v>
      </c>
      <c r="C52" s="24" t="s">
        <v>1114</v>
      </c>
      <c r="D52" s="28">
        <v>1000</v>
      </c>
      <c r="E52" s="26">
        <v>4932.6450000000004</v>
      </c>
      <c r="F52" s="27">
        <v>0.70845310469021405</v>
      </c>
    </row>
    <row r="53" spans="1:9" x14ac:dyDescent="0.2">
      <c r="A53" s="24" t="s">
        <v>1573</v>
      </c>
      <c r="B53" s="24" t="s">
        <v>1574</v>
      </c>
      <c r="C53" s="24" t="s">
        <v>1114</v>
      </c>
      <c r="D53" s="28">
        <v>500</v>
      </c>
      <c r="E53" s="26">
        <v>2483.69</v>
      </c>
      <c r="F53" s="27">
        <v>0.356720966456746</v>
      </c>
    </row>
    <row r="54" spans="1:9" ht="10.5" x14ac:dyDescent="0.25">
      <c r="A54" s="23" t="s">
        <v>24</v>
      </c>
      <c r="B54" s="23"/>
      <c r="C54" s="23"/>
      <c r="D54" s="29"/>
      <c r="E54" s="30">
        <f>SUM(E28:E53)</f>
        <v>450961.71499999997</v>
      </c>
      <c r="F54" s="31">
        <f>SUM(F28:F53)</f>
        <v>64.769556107965073</v>
      </c>
      <c r="G54" s="15"/>
      <c r="H54" s="15"/>
      <c r="I54" s="15"/>
    </row>
    <row r="55" spans="1:9" x14ac:dyDescent="0.2">
      <c r="A55" s="24"/>
      <c r="B55" s="24"/>
      <c r="C55" s="24"/>
      <c r="D55" s="25"/>
      <c r="E55" s="26"/>
      <c r="F55" s="27"/>
    </row>
    <row r="56" spans="1:9" ht="10.5" x14ac:dyDescent="0.25">
      <c r="A56" s="23" t="s">
        <v>25</v>
      </c>
      <c r="B56" s="23"/>
      <c r="C56" s="23"/>
      <c r="D56" s="29"/>
      <c r="E56" s="30">
        <f>E13+E26+E54</f>
        <v>642882.29789999989</v>
      </c>
      <c r="F56" s="31">
        <f>F13+F26+F54</f>
        <v>92.334226342587812</v>
      </c>
      <c r="G56" s="15"/>
      <c r="H56" s="15"/>
      <c r="I56" s="15"/>
    </row>
    <row r="57" spans="1:9" ht="10.5" x14ac:dyDescent="0.25">
      <c r="A57" s="23"/>
      <c r="B57" s="23"/>
      <c r="C57" s="23"/>
      <c r="D57" s="29"/>
      <c r="E57" s="30"/>
      <c r="F57" s="31"/>
      <c r="G57" s="15"/>
      <c r="H57" s="15"/>
      <c r="I57" s="15"/>
    </row>
    <row r="58" spans="1:9" ht="10.5" x14ac:dyDescent="0.25">
      <c r="A58" s="23" t="s">
        <v>27</v>
      </c>
      <c r="B58" s="23"/>
      <c r="C58" s="23"/>
      <c r="D58" s="29"/>
      <c r="E58" s="30">
        <f>E60-(E13+E26+E54)</f>
        <v>53373.384705400094</v>
      </c>
      <c r="F58" s="31">
        <f>F60-(F13+F26+F54)</f>
        <v>7.6657736574121884</v>
      </c>
      <c r="G58" s="15"/>
      <c r="H58" s="15"/>
      <c r="I58" s="15"/>
    </row>
    <row r="59" spans="1:9" ht="10.5" x14ac:dyDescent="0.25">
      <c r="A59" s="23"/>
      <c r="B59" s="23"/>
      <c r="C59" s="23"/>
      <c r="D59" s="29"/>
      <c r="E59" s="30"/>
      <c r="F59" s="31"/>
      <c r="G59" s="15"/>
      <c r="H59" s="15"/>
      <c r="I59" s="15"/>
    </row>
    <row r="60" spans="1:9" ht="10.5" x14ac:dyDescent="0.25">
      <c r="A60" s="32" t="s">
        <v>26</v>
      </c>
      <c r="B60" s="32"/>
      <c r="C60" s="32"/>
      <c r="D60" s="33"/>
      <c r="E60" s="34">
        <v>696255.68260539998</v>
      </c>
      <c r="F60" s="35">
        <v>100</v>
      </c>
      <c r="G60" s="15"/>
      <c r="H60" s="15"/>
      <c r="I60" s="15"/>
    </row>
    <row r="61" spans="1:9" ht="10.5" x14ac:dyDescent="0.25">
      <c r="A61" s="15" t="s">
        <v>871</v>
      </c>
    </row>
    <row r="62" spans="1:9" ht="10.5" x14ac:dyDescent="0.25">
      <c r="A62" s="15" t="s">
        <v>872</v>
      </c>
    </row>
    <row r="64" spans="1:9" ht="10.5" x14ac:dyDescent="0.25">
      <c r="A64" s="15" t="s">
        <v>28</v>
      </c>
    </row>
    <row r="65" spans="1:4" ht="10.5" x14ac:dyDescent="0.25">
      <c r="A65" s="15" t="s">
        <v>29</v>
      </c>
    </row>
    <row r="66" spans="1:4" ht="10.5" x14ac:dyDescent="0.25">
      <c r="A66" s="15" t="s">
        <v>30</v>
      </c>
      <c r="B66" s="15"/>
      <c r="C66" s="36" t="s">
        <v>32</v>
      </c>
      <c r="D66" s="16" t="s">
        <v>31</v>
      </c>
    </row>
    <row r="67" spans="1:4" x14ac:dyDescent="0.2">
      <c r="A67" s="66" t="s">
        <v>1811</v>
      </c>
      <c r="C67" s="37">
        <v>4506.6023999999998</v>
      </c>
      <c r="D67" s="37">
        <v>4626.2708000000002</v>
      </c>
    </row>
    <row r="68" spans="1:4" x14ac:dyDescent="0.2">
      <c r="A68" s="66" t="s">
        <v>1812</v>
      </c>
      <c r="C68" s="37">
        <v>1512.2955999999999</v>
      </c>
      <c r="D68" s="37">
        <v>1510.1904999999999</v>
      </c>
    </row>
    <row r="69" spans="1:4" x14ac:dyDescent="0.2">
      <c r="A69" s="66" t="s">
        <v>1813</v>
      </c>
      <c r="C69" s="37">
        <v>1244.6489999999999</v>
      </c>
      <c r="D69" s="37">
        <v>1245.1873000000001</v>
      </c>
    </row>
    <row r="70" spans="1:4" x14ac:dyDescent="0.2">
      <c r="A70" s="66" t="s">
        <v>1806</v>
      </c>
      <c r="C70" s="37">
        <v>2925.6480999999999</v>
      </c>
      <c r="D70" s="37">
        <v>3007.0924</v>
      </c>
    </row>
    <row r="71" spans="1:4" x14ac:dyDescent="0.2">
      <c r="A71" s="66" t="s">
        <v>1809</v>
      </c>
      <c r="C71" s="37">
        <v>1000.6505</v>
      </c>
      <c r="D71" s="37">
        <v>1000</v>
      </c>
    </row>
    <row r="72" spans="1:4" x14ac:dyDescent="0.2">
      <c r="A72" s="66" t="s">
        <v>1810</v>
      </c>
      <c r="C72" s="37">
        <v>1054.9919</v>
      </c>
      <c r="D72" s="37">
        <v>1055.4888000000001</v>
      </c>
    </row>
    <row r="73" spans="1:4" x14ac:dyDescent="0.2">
      <c r="A73" s="66" t="s">
        <v>876</v>
      </c>
      <c r="C73" s="37">
        <v>2883.8150999999998</v>
      </c>
      <c r="D73" s="37">
        <v>2970.4378999999999</v>
      </c>
    </row>
    <row r="74" spans="1:4" x14ac:dyDescent="0.2">
      <c r="A74" s="66" t="s">
        <v>1579</v>
      </c>
      <c r="C74" s="37">
        <v>1000.7051</v>
      </c>
      <c r="D74" s="37">
        <v>1000</v>
      </c>
    </row>
    <row r="75" spans="1:4" x14ac:dyDescent="0.2">
      <c r="A75" s="66" t="s">
        <v>878</v>
      </c>
      <c r="C75" s="37">
        <v>1021.4102</v>
      </c>
      <c r="D75" s="37">
        <v>1022.0711</v>
      </c>
    </row>
    <row r="76" spans="1:4" x14ac:dyDescent="0.2">
      <c r="A76" s="66" t="s">
        <v>1580</v>
      </c>
      <c r="C76" s="37">
        <v>2895.3890999999999</v>
      </c>
      <c r="D76" s="37">
        <v>2983.3481000000002</v>
      </c>
    </row>
    <row r="77" spans="1:4" x14ac:dyDescent="0.2">
      <c r="A77" s="66" t="s">
        <v>1581</v>
      </c>
      <c r="C77" s="37">
        <v>1001.8422</v>
      </c>
      <c r="D77" s="37">
        <v>1001.9927</v>
      </c>
    </row>
    <row r="78" spans="1:4" x14ac:dyDescent="0.2">
      <c r="A78" s="66" t="s">
        <v>1582</v>
      </c>
      <c r="C78" s="37">
        <v>1021.6767</v>
      </c>
      <c r="D78" s="37">
        <v>1022.1614</v>
      </c>
    </row>
    <row r="79" spans="1:4" x14ac:dyDescent="0.2">
      <c r="A79" s="66" t="s">
        <v>1583</v>
      </c>
      <c r="C79" s="37">
        <v>12.223699999999999</v>
      </c>
      <c r="D79" s="37">
        <v>12.594900000000001</v>
      </c>
    </row>
    <row r="80" spans="1:4" x14ac:dyDescent="0.2">
      <c r="A80" s="66" t="s">
        <v>1584</v>
      </c>
      <c r="C80" s="37">
        <v>12.223699999999999</v>
      </c>
      <c r="D80" s="37">
        <v>12.594900000000001</v>
      </c>
    </row>
    <row r="81" spans="1:4" x14ac:dyDescent="0.2">
      <c r="A81" s="66" t="s">
        <v>1585</v>
      </c>
      <c r="C81" s="37">
        <v>10</v>
      </c>
      <c r="D81" s="37">
        <v>10</v>
      </c>
    </row>
    <row r="82" spans="1:4" x14ac:dyDescent="0.2">
      <c r="A82" s="66" t="s">
        <v>1586</v>
      </c>
      <c r="C82" s="37">
        <v>10</v>
      </c>
      <c r="D82" s="37">
        <v>10</v>
      </c>
    </row>
    <row r="84" spans="1:4" ht="10.5" x14ac:dyDescent="0.25">
      <c r="A84" s="15" t="s">
        <v>1814</v>
      </c>
    </row>
    <row r="85" spans="1:4" ht="10.5" x14ac:dyDescent="0.25">
      <c r="A85" s="15"/>
    </row>
    <row r="86" spans="1:4" ht="10.5" x14ac:dyDescent="0.25">
      <c r="A86" s="15" t="s">
        <v>1882</v>
      </c>
    </row>
    <row r="87" spans="1:4" ht="10.5" x14ac:dyDescent="0.25">
      <c r="A87" s="90" t="s">
        <v>33</v>
      </c>
      <c r="B87" s="91"/>
      <c r="C87" s="92" t="s">
        <v>1883</v>
      </c>
      <c r="D87" s="93"/>
    </row>
    <row r="88" spans="1:4" ht="10.5" x14ac:dyDescent="0.25">
      <c r="A88" s="90"/>
      <c r="B88" s="91"/>
      <c r="C88" s="38" t="s">
        <v>34</v>
      </c>
      <c r="D88" s="39" t="s">
        <v>35</v>
      </c>
    </row>
    <row r="89" spans="1:4" x14ac:dyDescent="0.2">
      <c r="A89" s="96" t="s">
        <v>1575</v>
      </c>
      <c r="B89" s="97"/>
      <c r="C89" s="40">
        <v>30.0632798</v>
      </c>
      <c r="D89" s="40">
        <v>27.838746912000001</v>
      </c>
    </row>
    <row r="90" spans="1:4" x14ac:dyDescent="0.2">
      <c r="A90" s="96" t="s">
        <v>1576</v>
      </c>
      <c r="B90" s="97"/>
      <c r="C90" s="40">
        <v>23.116651591</v>
      </c>
      <c r="D90" s="40">
        <v>21.40613458</v>
      </c>
    </row>
    <row r="91" spans="1:4" x14ac:dyDescent="0.2">
      <c r="A91" s="96" t="s">
        <v>1577</v>
      </c>
      <c r="B91" s="97"/>
      <c r="C91" s="40">
        <v>20.261606882999999</v>
      </c>
      <c r="D91" s="40">
        <v>18.762348947</v>
      </c>
    </row>
    <row r="92" spans="1:4" x14ac:dyDescent="0.2">
      <c r="A92" s="96" t="s">
        <v>1578</v>
      </c>
      <c r="B92" s="97"/>
      <c r="C92" s="40">
        <v>20.547141626999998</v>
      </c>
      <c r="D92" s="40">
        <v>19.026755548000001</v>
      </c>
    </row>
    <row r="93" spans="1:4" x14ac:dyDescent="0.2">
      <c r="A93" s="96" t="s">
        <v>1579</v>
      </c>
      <c r="B93" s="97"/>
      <c r="C93" s="40">
        <v>21.843963046999999</v>
      </c>
      <c r="D93" s="40">
        <v>20.227618641999999</v>
      </c>
    </row>
    <row r="94" spans="1:4" x14ac:dyDescent="0.2">
      <c r="A94" s="96" t="s">
        <v>878</v>
      </c>
      <c r="B94" s="97"/>
      <c r="C94" s="40">
        <v>21.306772427999999</v>
      </c>
      <c r="D94" s="40">
        <v>19.730177450999999</v>
      </c>
    </row>
    <row r="95" spans="1:4" x14ac:dyDescent="0.2">
      <c r="A95" s="96" t="s">
        <v>1581</v>
      </c>
      <c r="B95" s="97"/>
      <c r="C95" s="40">
        <v>21.470742391999998</v>
      </c>
      <c r="D95" s="40">
        <v>19.882014462000001</v>
      </c>
    </row>
    <row r="96" spans="1:4" x14ac:dyDescent="0.2">
      <c r="A96" s="96" t="s">
        <v>1582</v>
      </c>
      <c r="B96" s="97"/>
      <c r="C96" s="40">
        <v>21.662726261</v>
      </c>
      <c r="D96" s="40">
        <v>20.059792477999999</v>
      </c>
    </row>
    <row r="98" spans="1:5" ht="10.5" x14ac:dyDescent="0.25">
      <c r="A98" s="15" t="s">
        <v>882</v>
      </c>
      <c r="D98" s="11">
        <v>0.13835384530054601</v>
      </c>
      <c r="E98" s="11" t="s">
        <v>883</v>
      </c>
    </row>
    <row r="100" spans="1:5" ht="10.5" x14ac:dyDescent="0.25">
      <c r="A100" s="15" t="s">
        <v>884</v>
      </c>
      <c r="D100" s="41" t="s">
        <v>36</v>
      </c>
    </row>
    <row r="102" spans="1:5" ht="10.5" x14ac:dyDescent="0.25">
      <c r="A102" s="61" t="s">
        <v>1815</v>
      </c>
      <c r="B102" s="15"/>
      <c r="C102" s="15"/>
      <c r="D102" s="16"/>
    </row>
  </sheetData>
  <mergeCells count="12">
    <mergeCell ref="A96:B96"/>
    <mergeCell ref="A1:F1"/>
    <mergeCell ref="A87:B87"/>
    <mergeCell ref="C87:D87"/>
    <mergeCell ref="A88:B88"/>
    <mergeCell ref="A89:B89"/>
    <mergeCell ref="A90:B90"/>
    <mergeCell ref="A91:B91"/>
    <mergeCell ref="A92:B92"/>
    <mergeCell ref="A93:B93"/>
    <mergeCell ref="A94:B94"/>
    <mergeCell ref="A95:B95"/>
  </mergeCells>
  <conditionalFormatting sqref="F4:F65536 F2">
    <cfRule type="cellIs" dxfId="6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4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.81640625" style="11" customWidth="1"/>
    <col min="6" max="6" width="9.45312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1587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3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1588</v>
      </c>
      <c r="B6" s="24" t="s">
        <v>1589</v>
      </c>
      <c r="C6" s="24" t="s">
        <v>998</v>
      </c>
      <c r="D6" s="28">
        <v>40</v>
      </c>
      <c r="E6" s="26">
        <v>472.54719999999998</v>
      </c>
      <c r="F6" s="27">
        <v>9.9736011727287703</v>
      </c>
    </row>
    <row r="7" spans="1:6" x14ac:dyDescent="0.2">
      <c r="A7" s="24" t="s">
        <v>1590</v>
      </c>
      <c r="B7" s="24" t="s">
        <v>1591</v>
      </c>
      <c r="C7" s="24" t="s">
        <v>815</v>
      </c>
      <c r="D7" s="28">
        <v>40</v>
      </c>
      <c r="E7" s="26">
        <v>471.27480000000003</v>
      </c>
      <c r="F7" s="27">
        <v>9.9467458445580004</v>
      </c>
    </row>
    <row r="8" spans="1:6" x14ac:dyDescent="0.2">
      <c r="A8" s="24" t="s">
        <v>1490</v>
      </c>
      <c r="B8" s="24" t="s">
        <v>1491</v>
      </c>
      <c r="C8" s="24" t="s">
        <v>1328</v>
      </c>
      <c r="D8" s="28">
        <v>42</v>
      </c>
      <c r="E8" s="26">
        <v>431.43407999999999</v>
      </c>
      <c r="F8" s="27">
        <v>9.1058659245958005</v>
      </c>
    </row>
    <row r="9" spans="1:6" x14ac:dyDescent="0.2">
      <c r="A9" s="24" t="s">
        <v>1391</v>
      </c>
      <c r="B9" s="24" t="s">
        <v>1392</v>
      </c>
      <c r="C9" s="24" t="s">
        <v>1278</v>
      </c>
      <c r="D9" s="28">
        <v>41</v>
      </c>
      <c r="E9" s="26">
        <v>421.54683</v>
      </c>
      <c r="F9" s="27">
        <v>8.8971852082672296</v>
      </c>
    </row>
    <row r="10" spans="1:6" x14ac:dyDescent="0.2">
      <c r="A10" s="24" t="s">
        <v>813</v>
      </c>
      <c r="B10" s="24" t="s">
        <v>814</v>
      </c>
      <c r="C10" s="24" t="s">
        <v>815</v>
      </c>
      <c r="D10" s="28">
        <v>41</v>
      </c>
      <c r="E10" s="26">
        <v>421.32789000000002</v>
      </c>
      <c r="F10" s="27">
        <v>8.8925642513749708</v>
      </c>
    </row>
    <row r="11" spans="1:6" x14ac:dyDescent="0.2">
      <c r="A11" s="24" t="s">
        <v>1351</v>
      </c>
      <c r="B11" s="24" t="s">
        <v>1352</v>
      </c>
      <c r="C11" s="24" t="s">
        <v>1278</v>
      </c>
      <c r="D11" s="28">
        <v>40</v>
      </c>
      <c r="E11" s="26">
        <v>408.0772</v>
      </c>
      <c r="F11" s="27">
        <v>8.6128946282696699</v>
      </c>
    </row>
    <row r="12" spans="1:6" x14ac:dyDescent="0.2">
      <c r="A12" s="24" t="s">
        <v>1425</v>
      </c>
      <c r="B12" s="24" t="s">
        <v>1426</v>
      </c>
      <c r="C12" s="24" t="s">
        <v>1427</v>
      </c>
      <c r="D12" s="28">
        <v>37</v>
      </c>
      <c r="E12" s="26">
        <v>395.23806999999999</v>
      </c>
      <c r="F12" s="27">
        <v>8.3419114079166192</v>
      </c>
    </row>
    <row r="13" spans="1:6" x14ac:dyDescent="0.2">
      <c r="A13" s="24" t="s">
        <v>1411</v>
      </c>
      <c r="B13" s="24" t="s">
        <v>1412</v>
      </c>
      <c r="C13" s="24" t="s">
        <v>815</v>
      </c>
      <c r="D13" s="28">
        <v>30</v>
      </c>
      <c r="E13" s="26">
        <v>338.06040000000002</v>
      </c>
      <c r="F13" s="27">
        <v>7.1351170886065098</v>
      </c>
    </row>
    <row r="14" spans="1:6" x14ac:dyDescent="0.2">
      <c r="A14" s="24" t="s">
        <v>1389</v>
      </c>
      <c r="B14" s="24" t="s">
        <v>1390</v>
      </c>
      <c r="C14" s="24" t="s">
        <v>815</v>
      </c>
      <c r="D14" s="28">
        <v>30</v>
      </c>
      <c r="E14" s="26">
        <v>312.01920000000001</v>
      </c>
      <c r="F14" s="27">
        <v>6.5854904209227998</v>
      </c>
    </row>
    <row r="15" spans="1:6" x14ac:dyDescent="0.2">
      <c r="A15" s="24" t="s">
        <v>1592</v>
      </c>
      <c r="B15" s="24" t="s">
        <v>1593</v>
      </c>
      <c r="C15" s="24" t="s">
        <v>998</v>
      </c>
      <c r="D15" s="28">
        <v>21</v>
      </c>
      <c r="E15" s="26">
        <v>243.06030000000001</v>
      </c>
      <c r="F15" s="27">
        <v>5.13004096336579</v>
      </c>
    </row>
    <row r="16" spans="1:6" x14ac:dyDescent="0.2">
      <c r="A16" s="24" t="s">
        <v>1594</v>
      </c>
      <c r="B16" s="24" t="s">
        <v>1595</v>
      </c>
      <c r="C16" s="24" t="s">
        <v>815</v>
      </c>
      <c r="D16" s="28">
        <v>19</v>
      </c>
      <c r="E16" s="26">
        <v>220.98994999999999</v>
      </c>
      <c r="F16" s="27">
        <v>4.66422322358755</v>
      </c>
    </row>
    <row r="17" spans="1:9" x14ac:dyDescent="0.2">
      <c r="A17" s="24" t="s">
        <v>1596</v>
      </c>
      <c r="B17" s="24" t="s">
        <v>1597</v>
      </c>
      <c r="C17" s="24" t="s">
        <v>1278</v>
      </c>
      <c r="D17" s="28">
        <v>18</v>
      </c>
      <c r="E17" s="26">
        <v>186.27534</v>
      </c>
      <c r="F17" s="27">
        <v>3.93153519791134</v>
      </c>
    </row>
    <row r="18" spans="1:9" x14ac:dyDescent="0.2">
      <c r="A18" s="24" t="s">
        <v>1598</v>
      </c>
      <c r="B18" s="24" t="s">
        <v>1599</v>
      </c>
      <c r="C18" s="24" t="s">
        <v>815</v>
      </c>
      <c r="D18" s="28">
        <v>12</v>
      </c>
      <c r="E18" s="26">
        <v>136.79856000000001</v>
      </c>
      <c r="F18" s="27">
        <v>2.8872761883756901</v>
      </c>
    </row>
    <row r="19" spans="1:9" x14ac:dyDescent="0.2">
      <c r="A19" s="24" t="s">
        <v>1488</v>
      </c>
      <c r="B19" s="24" t="s">
        <v>1489</v>
      </c>
      <c r="C19" s="24" t="s">
        <v>815</v>
      </c>
      <c r="D19" s="28">
        <v>10</v>
      </c>
      <c r="E19" s="26">
        <v>103.0985</v>
      </c>
      <c r="F19" s="27">
        <v>2.17600129787369</v>
      </c>
    </row>
    <row r="20" spans="1:9" x14ac:dyDescent="0.2">
      <c r="A20" s="24" t="s">
        <v>1345</v>
      </c>
      <c r="B20" s="24" t="s">
        <v>1346</v>
      </c>
      <c r="C20" s="24" t="s">
        <v>804</v>
      </c>
      <c r="D20" s="28">
        <v>5</v>
      </c>
      <c r="E20" s="26">
        <v>50.728949999999998</v>
      </c>
      <c r="F20" s="27">
        <v>1.0706873624715101</v>
      </c>
    </row>
    <row r="21" spans="1:9" ht="10.5" x14ac:dyDescent="0.25">
      <c r="A21" s="23" t="s">
        <v>24</v>
      </c>
      <c r="B21" s="23"/>
      <c r="C21" s="23"/>
      <c r="D21" s="29"/>
      <c r="E21" s="30">
        <f>SUM(E5:E20)</f>
        <v>4612.4772700000003</v>
      </c>
      <c r="F21" s="31">
        <f>SUM(F5:F20)</f>
        <v>97.351140180825951</v>
      </c>
      <c r="G21" s="15"/>
      <c r="H21" s="15"/>
      <c r="I21" s="15"/>
    </row>
    <row r="22" spans="1:9" x14ac:dyDescent="0.2">
      <c r="A22" s="24"/>
      <c r="B22" s="24"/>
      <c r="C22" s="24"/>
      <c r="D22" s="25"/>
      <c r="E22" s="26"/>
      <c r="F22" s="27"/>
    </row>
    <row r="23" spans="1:9" ht="10.5" x14ac:dyDescent="0.25">
      <c r="A23" s="23" t="s">
        <v>25</v>
      </c>
      <c r="B23" s="23"/>
      <c r="C23" s="23"/>
      <c r="D23" s="29"/>
      <c r="E23" s="30">
        <f>E21</f>
        <v>4612.4772700000003</v>
      </c>
      <c r="F23" s="31">
        <f>F21</f>
        <v>97.351140180825951</v>
      </c>
      <c r="G23" s="15"/>
      <c r="H23" s="15"/>
      <c r="I23" s="15"/>
    </row>
    <row r="24" spans="1:9" ht="10.5" x14ac:dyDescent="0.25">
      <c r="A24" s="23"/>
      <c r="B24" s="23"/>
      <c r="C24" s="23"/>
      <c r="D24" s="29"/>
      <c r="E24" s="30"/>
      <c r="F24" s="31"/>
      <c r="G24" s="15"/>
      <c r="H24" s="15"/>
      <c r="I24" s="15"/>
    </row>
    <row r="25" spans="1:9" ht="10.5" x14ac:dyDescent="0.25">
      <c r="A25" s="23" t="s">
        <v>27</v>
      </c>
      <c r="B25" s="23"/>
      <c r="C25" s="23"/>
      <c r="D25" s="29"/>
      <c r="E25" s="30">
        <f>E27-(E21)</f>
        <v>125.50244079999993</v>
      </c>
      <c r="F25" s="31">
        <f>F27-(F21)</f>
        <v>2.6488598191740493</v>
      </c>
      <c r="G25" s="15"/>
      <c r="H25" s="15"/>
      <c r="I25" s="15"/>
    </row>
    <row r="26" spans="1:9" ht="10.5" x14ac:dyDescent="0.25">
      <c r="A26" s="23"/>
      <c r="B26" s="23"/>
      <c r="C26" s="23"/>
      <c r="D26" s="29"/>
      <c r="E26" s="30"/>
      <c r="F26" s="31"/>
      <c r="G26" s="15"/>
      <c r="H26" s="15"/>
      <c r="I26" s="15"/>
    </row>
    <row r="27" spans="1:9" ht="10.5" x14ac:dyDescent="0.25">
      <c r="A27" s="32" t="s">
        <v>26</v>
      </c>
      <c r="B27" s="32"/>
      <c r="C27" s="32"/>
      <c r="D27" s="33"/>
      <c r="E27" s="34">
        <v>4737.9797108000002</v>
      </c>
      <c r="F27" s="35">
        <v>100</v>
      </c>
      <c r="G27" s="15"/>
      <c r="H27" s="15"/>
      <c r="I27" s="15"/>
    </row>
    <row r="28" spans="1:9" ht="10.5" x14ac:dyDescent="0.25">
      <c r="A28" s="15" t="s">
        <v>872</v>
      </c>
    </row>
    <row r="30" spans="1:9" ht="10.5" x14ac:dyDescent="0.25">
      <c r="A30" s="15" t="s">
        <v>28</v>
      </c>
    </row>
    <row r="31" spans="1:9" ht="10.5" x14ac:dyDescent="0.25">
      <c r="A31" s="15" t="s">
        <v>29</v>
      </c>
    </row>
    <row r="32" spans="1:9" ht="10.5" x14ac:dyDescent="0.25">
      <c r="A32" s="15" t="s">
        <v>30</v>
      </c>
      <c r="B32" s="15"/>
      <c r="C32" s="36" t="s">
        <v>32</v>
      </c>
      <c r="D32" s="16" t="s">
        <v>31</v>
      </c>
    </row>
    <row r="33" spans="1:5" x14ac:dyDescent="0.2">
      <c r="A33" s="9" t="s">
        <v>38</v>
      </c>
      <c r="C33" s="37">
        <v>10.562200000000001</v>
      </c>
      <c r="D33" s="37">
        <v>11.0458</v>
      </c>
    </row>
    <row r="34" spans="1:5" x14ac:dyDescent="0.2">
      <c r="A34" s="9" t="s">
        <v>1600</v>
      </c>
      <c r="C34" s="37">
        <v>10.562200000000001</v>
      </c>
      <c r="D34" s="37">
        <v>10.2697</v>
      </c>
    </row>
    <row r="35" spans="1:5" x14ac:dyDescent="0.2">
      <c r="A35" s="9" t="s">
        <v>1219</v>
      </c>
      <c r="C35" s="37">
        <v>10.2224</v>
      </c>
      <c r="D35" s="37">
        <v>10.2654</v>
      </c>
    </row>
    <row r="36" spans="1:5" x14ac:dyDescent="0.2">
      <c r="A36" s="9" t="s">
        <v>39</v>
      </c>
      <c r="C36" s="37">
        <v>10.573499999999999</v>
      </c>
      <c r="D36" s="37">
        <v>11.0687</v>
      </c>
    </row>
    <row r="38" spans="1:5" ht="10.5" x14ac:dyDescent="0.25">
      <c r="A38" s="15" t="s">
        <v>1882</v>
      </c>
    </row>
    <row r="39" spans="1:5" ht="10.5" x14ac:dyDescent="0.25">
      <c r="A39" s="90" t="s">
        <v>33</v>
      </c>
      <c r="B39" s="91"/>
      <c r="C39" s="92" t="s">
        <v>1883</v>
      </c>
      <c r="D39" s="93"/>
    </row>
    <row r="40" spans="1:5" ht="10.5" x14ac:dyDescent="0.25">
      <c r="A40" s="90"/>
      <c r="B40" s="91"/>
      <c r="C40" s="38" t="s">
        <v>34</v>
      </c>
      <c r="D40" s="39" t="s">
        <v>35</v>
      </c>
    </row>
    <row r="41" spans="1:5" x14ac:dyDescent="0.2">
      <c r="A41" s="96" t="s">
        <v>1600</v>
      </c>
      <c r="B41" s="97"/>
      <c r="C41" s="40">
        <v>0.55825009250000002</v>
      </c>
      <c r="D41" s="40">
        <v>0.51694236780000002</v>
      </c>
    </row>
    <row r="42" spans="1:5" x14ac:dyDescent="0.2">
      <c r="A42" s="96" t="s">
        <v>1219</v>
      </c>
      <c r="B42" s="97"/>
      <c r="C42" s="40">
        <v>0.30253553399999999</v>
      </c>
      <c r="D42" s="40">
        <v>0.28014941230000001</v>
      </c>
    </row>
    <row r="44" spans="1:5" ht="10.5" x14ac:dyDescent="0.25">
      <c r="A44" s="15" t="s">
        <v>882</v>
      </c>
      <c r="D44" s="11">
        <v>1.8851430283606601</v>
      </c>
      <c r="E44" s="11" t="s">
        <v>883</v>
      </c>
    </row>
    <row r="46" spans="1:5" ht="10.5" x14ac:dyDescent="0.25">
      <c r="A46" s="15" t="s">
        <v>884</v>
      </c>
      <c r="D46" s="41" t="s">
        <v>36</v>
      </c>
    </row>
  </sheetData>
  <mergeCells count="6">
    <mergeCell ref="A42:B42"/>
    <mergeCell ref="A1:F1"/>
    <mergeCell ref="A39:B39"/>
    <mergeCell ref="C39:D39"/>
    <mergeCell ref="A40:B40"/>
    <mergeCell ref="A41:B41"/>
  </mergeCells>
  <conditionalFormatting sqref="F2 F4:F65536">
    <cfRule type="cellIs" dxfId="59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" style="11" customWidth="1"/>
    <col min="6" max="6" width="9.179687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1601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6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1411</v>
      </c>
      <c r="B6" s="24" t="s">
        <v>1412</v>
      </c>
      <c r="C6" s="24" t="s">
        <v>815</v>
      </c>
      <c r="D6" s="28">
        <v>39</v>
      </c>
      <c r="E6" s="26">
        <v>439.47852</v>
      </c>
      <c r="F6" s="27">
        <v>11.8752681463925</v>
      </c>
    </row>
    <row r="7" spans="1:6" x14ac:dyDescent="0.2">
      <c r="A7" s="24" t="s">
        <v>1602</v>
      </c>
      <c r="B7" s="24" t="s">
        <v>1603</v>
      </c>
      <c r="C7" s="24" t="s">
        <v>815</v>
      </c>
      <c r="D7" s="28">
        <v>39</v>
      </c>
      <c r="E7" s="26">
        <v>402.48273</v>
      </c>
      <c r="F7" s="27">
        <v>10.8755948824122</v>
      </c>
    </row>
    <row r="8" spans="1:6" x14ac:dyDescent="0.2">
      <c r="A8" s="24" t="s">
        <v>1604</v>
      </c>
      <c r="B8" s="24" t="s">
        <v>1605</v>
      </c>
      <c r="C8" s="24" t="s">
        <v>815</v>
      </c>
      <c r="D8" s="28">
        <v>39</v>
      </c>
      <c r="E8" s="26">
        <v>401.71715999999998</v>
      </c>
      <c r="F8" s="27">
        <v>10.854908208044501</v>
      </c>
    </row>
    <row r="9" spans="1:6" x14ac:dyDescent="0.2">
      <c r="A9" s="24" t="s">
        <v>813</v>
      </c>
      <c r="B9" s="24" t="s">
        <v>814</v>
      </c>
      <c r="C9" s="24" t="s">
        <v>815</v>
      </c>
      <c r="D9" s="28">
        <v>38</v>
      </c>
      <c r="E9" s="26">
        <v>390.49901999999997</v>
      </c>
      <c r="F9" s="27">
        <v>10.551779808040401</v>
      </c>
    </row>
    <row r="10" spans="1:6" x14ac:dyDescent="0.2">
      <c r="A10" s="24" t="s">
        <v>1596</v>
      </c>
      <c r="B10" s="24" t="s">
        <v>1597</v>
      </c>
      <c r="C10" s="24" t="s">
        <v>1278</v>
      </c>
      <c r="D10" s="28">
        <v>37</v>
      </c>
      <c r="E10" s="26">
        <v>382.89931000000001</v>
      </c>
      <c r="F10" s="27">
        <v>10.3464259853216</v>
      </c>
    </row>
    <row r="11" spans="1:6" x14ac:dyDescent="0.2">
      <c r="A11" s="24" t="s">
        <v>1345</v>
      </c>
      <c r="B11" s="24" t="s">
        <v>1346</v>
      </c>
      <c r="C11" s="24" t="s">
        <v>804</v>
      </c>
      <c r="D11" s="28">
        <v>34</v>
      </c>
      <c r="E11" s="26">
        <v>344.95686000000001</v>
      </c>
      <c r="F11" s="27">
        <v>9.3211727650251692</v>
      </c>
    </row>
    <row r="12" spans="1:6" x14ac:dyDescent="0.2">
      <c r="A12" s="24" t="s">
        <v>1592</v>
      </c>
      <c r="B12" s="24" t="s">
        <v>1593</v>
      </c>
      <c r="C12" s="24" t="s">
        <v>998</v>
      </c>
      <c r="D12" s="28">
        <v>29</v>
      </c>
      <c r="E12" s="26">
        <v>335.65469999999999</v>
      </c>
      <c r="F12" s="27">
        <v>9.0698165796520005</v>
      </c>
    </row>
    <row r="13" spans="1:6" x14ac:dyDescent="0.2">
      <c r="A13" s="24" t="s">
        <v>1421</v>
      </c>
      <c r="B13" s="24" t="s">
        <v>1422</v>
      </c>
      <c r="C13" s="24" t="s">
        <v>815</v>
      </c>
      <c r="D13" s="28">
        <v>27</v>
      </c>
      <c r="E13" s="26">
        <v>316.07306999999997</v>
      </c>
      <c r="F13" s="27">
        <v>8.5406960506362797</v>
      </c>
    </row>
    <row r="14" spans="1:6" x14ac:dyDescent="0.2">
      <c r="A14" s="24" t="s">
        <v>1598</v>
      </c>
      <c r="B14" s="24" t="s">
        <v>1599</v>
      </c>
      <c r="C14" s="24" t="s">
        <v>815</v>
      </c>
      <c r="D14" s="28">
        <v>24</v>
      </c>
      <c r="E14" s="26">
        <v>273.59712000000002</v>
      </c>
      <c r="F14" s="27">
        <v>7.3929418986864697</v>
      </c>
    </row>
    <row r="15" spans="1:6" x14ac:dyDescent="0.2">
      <c r="A15" s="24" t="s">
        <v>1389</v>
      </c>
      <c r="B15" s="24" t="s">
        <v>1390</v>
      </c>
      <c r="C15" s="24" t="s">
        <v>815</v>
      </c>
      <c r="D15" s="28">
        <v>13</v>
      </c>
      <c r="E15" s="26">
        <v>135.20831999999999</v>
      </c>
      <c r="F15" s="27">
        <v>3.6535006434973001</v>
      </c>
    </row>
    <row r="16" spans="1:6" x14ac:dyDescent="0.2">
      <c r="A16" s="24" t="s">
        <v>1488</v>
      </c>
      <c r="B16" s="24" t="s">
        <v>1489</v>
      </c>
      <c r="C16" s="24" t="s">
        <v>815</v>
      </c>
      <c r="D16" s="28">
        <v>12</v>
      </c>
      <c r="E16" s="26">
        <v>123.7182</v>
      </c>
      <c r="F16" s="27">
        <v>3.34302299823212</v>
      </c>
    </row>
    <row r="17" spans="1:9" x14ac:dyDescent="0.2">
      <c r="A17" s="24" t="s">
        <v>1590</v>
      </c>
      <c r="B17" s="24" t="s">
        <v>1591</v>
      </c>
      <c r="C17" s="24" t="s">
        <v>815</v>
      </c>
      <c r="D17" s="28">
        <v>4</v>
      </c>
      <c r="E17" s="26">
        <v>47.127479999999998</v>
      </c>
      <c r="F17" s="27">
        <v>1.27344440420831</v>
      </c>
    </row>
    <row r="18" spans="1:9" x14ac:dyDescent="0.2">
      <c r="A18" s="24" t="s">
        <v>1606</v>
      </c>
      <c r="B18" s="24" t="s">
        <v>1607</v>
      </c>
      <c r="C18" s="24" t="s">
        <v>998</v>
      </c>
      <c r="D18" s="28">
        <v>1</v>
      </c>
      <c r="E18" s="26">
        <v>11.404730000000001</v>
      </c>
      <c r="F18" s="27">
        <v>0.30817029894249798</v>
      </c>
    </row>
    <row r="19" spans="1:9" x14ac:dyDescent="0.2">
      <c r="A19" s="24" t="s">
        <v>1351</v>
      </c>
      <c r="B19" s="24" t="s">
        <v>1352</v>
      </c>
      <c r="C19" s="24" t="s">
        <v>1278</v>
      </c>
      <c r="D19" s="28">
        <v>1</v>
      </c>
      <c r="E19" s="26">
        <v>10.201930000000001</v>
      </c>
      <c r="F19" s="27">
        <v>0.275669114296475</v>
      </c>
    </row>
    <row r="20" spans="1:9" ht="10.5" x14ac:dyDescent="0.25">
      <c r="A20" s="23" t="s">
        <v>24</v>
      </c>
      <c r="B20" s="23"/>
      <c r="C20" s="23"/>
      <c r="D20" s="29"/>
      <c r="E20" s="30">
        <f>SUM(E5:E19)</f>
        <v>3615.0191500000001</v>
      </c>
      <c r="F20" s="31">
        <f>SUM(F5:F19)</f>
        <v>97.68241178338782</v>
      </c>
      <c r="G20" s="15"/>
      <c r="H20" s="15"/>
      <c r="I20" s="15"/>
    </row>
    <row r="21" spans="1:9" x14ac:dyDescent="0.2">
      <c r="A21" s="24"/>
      <c r="B21" s="24"/>
      <c r="C21" s="24"/>
      <c r="D21" s="25"/>
      <c r="E21" s="26"/>
      <c r="F21" s="27"/>
    </row>
    <row r="22" spans="1:9" ht="10.5" x14ac:dyDescent="0.25">
      <c r="A22" s="23" t="s">
        <v>25</v>
      </c>
      <c r="B22" s="23"/>
      <c r="C22" s="23"/>
      <c r="D22" s="29"/>
      <c r="E22" s="30">
        <f>E20</f>
        <v>3615.0191500000001</v>
      </c>
      <c r="F22" s="31">
        <f>F20</f>
        <v>97.68241178338782</v>
      </c>
      <c r="G22" s="15"/>
      <c r="H22" s="15"/>
      <c r="I22" s="15"/>
    </row>
    <row r="23" spans="1:9" ht="10.5" x14ac:dyDescent="0.25">
      <c r="A23" s="23"/>
      <c r="B23" s="23"/>
      <c r="C23" s="23"/>
      <c r="D23" s="29"/>
      <c r="E23" s="30"/>
      <c r="F23" s="31"/>
      <c r="G23" s="15"/>
      <c r="H23" s="15"/>
      <c r="I23" s="15"/>
    </row>
    <row r="24" spans="1:9" ht="10.5" x14ac:dyDescent="0.25">
      <c r="A24" s="23" t="s">
        <v>27</v>
      </c>
      <c r="B24" s="23"/>
      <c r="C24" s="23"/>
      <c r="D24" s="29"/>
      <c r="E24" s="30">
        <f>E26-(E20)</f>
        <v>85.76903080000011</v>
      </c>
      <c r="F24" s="31">
        <f>F26-(F20)</f>
        <v>2.3175882166121795</v>
      </c>
      <c r="G24" s="15"/>
      <c r="H24" s="15"/>
      <c r="I24" s="15"/>
    </row>
    <row r="25" spans="1:9" ht="10.5" x14ac:dyDescent="0.25">
      <c r="A25" s="23"/>
      <c r="B25" s="23"/>
      <c r="C25" s="23"/>
      <c r="D25" s="29"/>
      <c r="E25" s="30"/>
      <c r="F25" s="31"/>
      <c r="G25" s="15"/>
      <c r="H25" s="15"/>
      <c r="I25" s="15"/>
    </row>
    <row r="26" spans="1:9" ht="10.5" x14ac:dyDescent="0.25">
      <c r="A26" s="32" t="s">
        <v>26</v>
      </c>
      <c r="B26" s="32"/>
      <c r="C26" s="32"/>
      <c r="D26" s="33"/>
      <c r="E26" s="34">
        <v>3700.7881808000002</v>
      </c>
      <c r="F26" s="35">
        <v>100</v>
      </c>
      <c r="G26" s="15"/>
      <c r="H26" s="15"/>
      <c r="I26" s="15"/>
    </row>
    <row r="27" spans="1:9" ht="10.5" x14ac:dyDescent="0.25">
      <c r="A27" s="15" t="s">
        <v>872</v>
      </c>
    </row>
    <row r="29" spans="1:9" ht="10.5" x14ac:dyDescent="0.25">
      <c r="A29" s="15" t="s">
        <v>28</v>
      </c>
    </row>
    <row r="30" spans="1:9" ht="10.5" x14ac:dyDescent="0.25">
      <c r="A30" s="15" t="s">
        <v>29</v>
      </c>
    </row>
    <row r="31" spans="1:9" ht="10.5" x14ac:dyDescent="0.25">
      <c r="A31" s="15" t="s">
        <v>30</v>
      </c>
      <c r="B31" s="15"/>
      <c r="C31" s="36" t="s">
        <v>32</v>
      </c>
      <c r="D31" s="16" t="s">
        <v>31</v>
      </c>
    </row>
    <row r="32" spans="1:9" x14ac:dyDescent="0.2">
      <c r="A32" s="9" t="s">
        <v>38</v>
      </c>
      <c r="C32" s="37">
        <v>10.6708</v>
      </c>
      <c r="D32" s="37">
        <v>11.172499999999999</v>
      </c>
    </row>
    <row r="33" spans="1:5" x14ac:dyDescent="0.2">
      <c r="A33" s="9" t="s">
        <v>1600</v>
      </c>
      <c r="C33" s="37">
        <v>10.6708</v>
      </c>
      <c r="D33" s="37">
        <v>10.3712</v>
      </c>
    </row>
    <row r="34" spans="1:5" x14ac:dyDescent="0.2">
      <c r="A34" s="9" t="s">
        <v>1219</v>
      </c>
      <c r="C34" s="37">
        <v>10.3042</v>
      </c>
      <c r="D34" s="37">
        <v>10.3628</v>
      </c>
    </row>
    <row r="35" spans="1:5" x14ac:dyDescent="0.2">
      <c r="A35" s="9" t="s">
        <v>39</v>
      </c>
      <c r="C35" s="37">
        <v>10.684200000000001</v>
      </c>
      <c r="D35" s="37">
        <v>11.197699999999999</v>
      </c>
    </row>
    <row r="36" spans="1:5" x14ac:dyDescent="0.2">
      <c r="A36" s="9" t="s">
        <v>41</v>
      </c>
      <c r="C36" s="37">
        <v>10.684200000000001</v>
      </c>
      <c r="D36" s="37">
        <v>10.396000000000001</v>
      </c>
    </row>
    <row r="37" spans="1:5" x14ac:dyDescent="0.2">
      <c r="A37" s="9" t="s">
        <v>1221</v>
      </c>
      <c r="C37" s="37">
        <v>10.317299999999999</v>
      </c>
      <c r="D37" s="37">
        <v>10.3871</v>
      </c>
    </row>
    <row r="39" spans="1:5" ht="10.5" x14ac:dyDescent="0.25">
      <c r="A39" s="15" t="s">
        <v>1882</v>
      </c>
    </row>
    <row r="40" spans="1:5" ht="10.5" x14ac:dyDescent="0.25">
      <c r="A40" s="90" t="s">
        <v>33</v>
      </c>
      <c r="B40" s="91"/>
      <c r="C40" s="92" t="s">
        <v>1883</v>
      </c>
      <c r="D40" s="93"/>
    </row>
    <row r="41" spans="1:5" ht="10.5" x14ac:dyDescent="0.25">
      <c r="A41" s="90"/>
      <c r="B41" s="91"/>
      <c r="C41" s="38" t="s">
        <v>34</v>
      </c>
      <c r="D41" s="39" t="s">
        <v>35</v>
      </c>
    </row>
    <row r="42" spans="1:5" x14ac:dyDescent="0.2">
      <c r="A42" s="96" t="s">
        <v>1600</v>
      </c>
      <c r="B42" s="97"/>
      <c r="C42" s="40">
        <v>0.57625815999999996</v>
      </c>
      <c r="D42" s="40">
        <v>0.53361792799999996</v>
      </c>
    </row>
    <row r="43" spans="1:5" x14ac:dyDescent="0.2">
      <c r="A43" s="96" t="s">
        <v>1219</v>
      </c>
      <c r="B43" s="97"/>
      <c r="C43" s="40">
        <v>0.30253553399999999</v>
      </c>
      <c r="D43" s="40">
        <v>0.28014941230000001</v>
      </c>
    </row>
    <row r="44" spans="1:5" x14ac:dyDescent="0.2">
      <c r="A44" s="96" t="s">
        <v>41</v>
      </c>
      <c r="B44" s="97"/>
      <c r="C44" s="40">
        <v>0.57625815999999996</v>
      </c>
      <c r="D44" s="40">
        <v>0.53361792799999996</v>
      </c>
    </row>
    <row r="45" spans="1:5" x14ac:dyDescent="0.2">
      <c r="A45" s="96" t="s">
        <v>1221</v>
      </c>
      <c r="B45" s="97"/>
      <c r="C45" s="40">
        <v>0.30253553399999999</v>
      </c>
      <c r="D45" s="40">
        <v>0.28014941230000001</v>
      </c>
    </row>
    <row r="47" spans="1:5" ht="10.5" x14ac:dyDescent="0.25">
      <c r="A47" s="15" t="s">
        <v>882</v>
      </c>
      <c r="D47" s="11">
        <v>1.8214915434699499</v>
      </c>
      <c r="E47" s="11" t="s">
        <v>883</v>
      </c>
    </row>
    <row r="49" spans="1:4" ht="10.5" x14ac:dyDescent="0.25">
      <c r="A49" s="15" t="s">
        <v>884</v>
      </c>
      <c r="D49" s="41" t="s">
        <v>36</v>
      </c>
    </row>
  </sheetData>
  <mergeCells count="8">
    <mergeCell ref="A44:B44"/>
    <mergeCell ref="A45:B45"/>
    <mergeCell ref="A1:F1"/>
    <mergeCell ref="A40:B40"/>
    <mergeCell ref="C40:D40"/>
    <mergeCell ref="A41:B41"/>
    <mergeCell ref="A42:B42"/>
    <mergeCell ref="A43:B43"/>
  </mergeCells>
  <conditionalFormatting sqref="F2 F4:F65536">
    <cfRule type="cellIs" dxfId="58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.54296875" style="11" customWidth="1"/>
    <col min="6" max="6" width="11.54296875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1608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1609</v>
      </c>
      <c r="B6" s="24" t="s">
        <v>1610</v>
      </c>
      <c r="C6" s="24" t="s">
        <v>815</v>
      </c>
      <c r="D6" s="28">
        <v>23</v>
      </c>
      <c r="E6" s="26">
        <v>268.09053</v>
      </c>
      <c r="F6" s="27">
        <v>11.822806054918701</v>
      </c>
    </row>
    <row r="7" spans="1:6" x14ac:dyDescent="0.2">
      <c r="A7" s="24" t="s">
        <v>1611</v>
      </c>
      <c r="B7" s="24" t="s">
        <v>1612</v>
      </c>
      <c r="C7" s="24" t="s">
        <v>815</v>
      </c>
      <c r="D7" s="28">
        <v>23</v>
      </c>
      <c r="E7" s="26">
        <v>266.15485000000001</v>
      </c>
      <c r="F7" s="27">
        <v>11.7374424681318</v>
      </c>
    </row>
    <row r="8" spans="1:6" x14ac:dyDescent="0.2">
      <c r="A8" s="24" t="s">
        <v>1596</v>
      </c>
      <c r="B8" s="24" t="s">
        <v>1597</v>
      </c>
      <c r="C8" s="24" t="s">
        <v>1278</v>
      </c>
      <c r="D8" s="28">
        <v>24</v>
      </c>
      <c r="E8" s="26">
        <v>248.36712</v>
      </c>
      <c r="F8" s="27">
        <v>10.9530026673404</v>
      </c>
    </row>
    <row r="9" spans="1:6" x14ac:dyDescent="0.2">
      <c r="A9" s="24" t="s">
        <v>1604</v>
      </c>
      <c r="B9" s="24" t="s">
        <v>1605</v>
      </c>
      <c r="C9" s="24" t="s">
        <v>815</v>
      </c>
      <c r="D9" s="28">
        <v>24</v>
      </c>
      <c r="E9" s="26">
        <v>247.21055999999999</v>
      </c>
      <c r="F9" s="27">
        <v>10.901998312315699</v>
      </c>
    </row>
    <row r="10" spans="1:6" x14ac:dyDescent="0.2">
      <c r="A10" s="24" t="s">
        <v>1602</v>
      </c>
      <c r="B10" s="24" t="s">
        <v>1603</v>
      </c>
      <c r="C10" s="24" t="s">
        <v>815</v>
      </c>
      <c r="D10" s="28">
        <v>23</v>
      </c>
      <c r="E10" s="26">
        <v>237.36161000000001</v>
      </c>
      <c r="F10" s="27">
        <v>10.4676591146776</v>
      </c>
    </row>
    <row r="11" spans="1:6" x14ac:dyDescent="0.2">
      <c r="A11" s="24" t="s">
        <v>813</v>
      </c>
      <c r="B11" s="24" t="s">
        <v>814</v>
      </c>
      <c r="C11" s="24" t="s">
        <v>815</v>
      </c>
      <c r="D11" s="28">
        <v>23</v>
      </c>
      <c r="E11" s="26">
        <v>236.35467</v>
      </c>
      <c r="F11" s="27">
        <v>10.4232530092887</v>
      </c>
    </row>
    <row r="12" spans="1:6" x14ac:dyDescent="0.2">
      <c r="A12" s="24" t="s">
        <v>1345</v>
      </c>
      <c r="B12" s="24" t="s">
        <v>1346</v>
      </c>
      <c r="C12" s="24" t="s">
        <v>804</v>
      </c>
      <c r="D12" s="28">
        <v>21</v>
      </c>
      <c r="E12" s="26">
        <v>213.06159</v>
      </c>
      <c r="F12" s="27">
        <v>9.3960269925334501</v>
      </c>
    </row>
    <row r="13" spans="1:6" x14ac:dyDescent="0.2">
      <c r="A13" s="24" t="s">
        <v>1606</v>
      </c>
      <c r="B13" s="24" t="s">
        <v>1607</v>
      </c>
      <c r="C13" s="24" t="s">
        <v>998</v>
      </c>
      <c r="D13" s="28">
        <v>18</v>
      </c>
      <c r="E13" s="26">
        <v>205.28514000000001</v>
      </c>
      <c r="F13" s="27">
        <v>9.0530851506646801</v>
      </c>
    </row>
    <row r="14" spans="1:6" x14ac:dyDescent="0.2">
      <c r="A14" s="24" t="s">
        <v>1598</v>
      </c>
      <c r="B14" s="24" t="s">
        <v>1599</v>
      </c>
      <c r="C14" s="24" t="s">
        <v>815</v>
      </c>
      <c r="D14" s="28">
        <v>14</v>
      </c>
      <c r="E14" s="26">
        <v>159.59832</v>
      </c>
      <c r="F14" s="27">
        <v>7.0382940570517203</v>
      </c>
    </row>
    <row r="15" spans="1:6" x14ac:dyDescent="0.2">
      <c r="A15" s="24" t="s">
        <v>1488</v>
      </c>
      <c r="B15" s="24" t="s">
        <v>1489</v>
      </c>
      <c r="C15" s="24" t="s">
        <v>815</v>
      </c>
      <c r="D15" s="28">
        <v>6</v>
      </c>
      <c r="E15" s="26">
        <v>61.859099999999998</v>
      </c>
      <c r="F15" s="27">
        <v>2.7279894669603499</v>
      </c>
    </row>
    <row r="16" spans="1:6" x14ac:dyDescent="0.2">
      <c r="A16" s="24" t="s">
        <v>1389</v>
      </c>
      <c r="B16" s="24" t="s">
        <v>1390</v>
      </c>
      <c r="C16" s="24" t="s">
        <v>815</v>
      </c>
      <c r="D16" s="28">
        <v>3</v>
      </c>
      <c r="E16" s="26">
        <v>31.201920000000001</v>
      </c>
      <c r="F16" s="27">
        <v>1.3760062643805</v>
      </c>
    </row>
    <row r="17" spans="1:9" x14ac:dyDescent="0.2">
      <c r="A17" s="24" t="s">
        <v>1613</v>
      </c>
      <c r="B17" s="24" t="s">
        <v>1614</v>
      </c>
      <c r="C17" s="24" t="s">
        <v>815</v>
      </c>
      <c r="D17" s="28">
        <v>2</v>
      </c>
      <c r="E17" s="26">
        <v>20.56944</v>
      </c>
      <c r="F17" s="27">
        <v>0.90711335375511404</v>
      </c>
    </row>
    <row r="18" spans="1:9" x14ac:dyDescent="0.2">
      <c r="A18" s="24" t="s">
        <v>1615</v>
      </c>
      <c r="B18" s="24" t="s">
        <v>1616</v>
      </c>
      <c r="C18" s="24" t="s">
        <v>1278</v>
      </c>
      <c r="D18" s="28">
        <v>1</v>
      </c>
      <c r="E18" s="26">
        <v>10.28974</v>
      </c>
      <c r="F18" s="27">
        <v>0.45377805913375102</v>
      </c>
    </row>
    <row r="19" spans="1:9" ht="10.5" x14ac:dyDescent="0.25">
      <c r="A19" s="23" t="s">
        <v>24</v>
      </c>
      <c r="B19" s="23"/>
      <c r="C19" s="23"/>
      <c r="D19" s="29"/>
      <c r="E19" s="30">
        <f>SUM(E5:E18)</f>
        <v>2205.4045900000006</v>
      </c>
      <c r="F19" s="31">
        <f>SUM(F5:F18)</f>
        <v>97.258454971152474</v>
      </c>
      <c r="G19" s="15"/>
      <c r="H19" s="15"/>
      <c r="I19" s="15"/>
    </row>
    <row r="20" spans="1:9" x14ac:dyDescent="0.2">
      <c r="A20" s="24"/>
      <c r="B20" s="24"/>
      <c r="C20" s="24"/>
      <c r="D20" s="25"/>
      <c r="E20" s="26"/>
      <c r="F20" s="27"/>
    </row>
    <row r="21" spans="1:9" ht="10.5" x14ac:dyDescent="0.25">
      <c r="A21" s="23" t="s">
        <v>25</v>
      </c>
      <c r="B21" s="23"/>
      <c r="C21" s="23"/>
      <c r="D21" s="29"/>
      <c r="E21" s="30">
        <f>E19</f>
        <v>2205.4045900000006</v>
      </c>
      <c r="F21" s="31">
        <f>F19</f>
        <v>97.258454971152474</v>
      </c>
      <c r="G21" s="15"/>
      <c r="H21" s="15"/>
      <c r="I21" s="15"/>
    </row>
    <row r="22" spans="1:9" ht="10.5" x14ac:dyDescent="0.25">
      <c r="A22" s="23"/>
      <c r="B22" s="23"/>
      <c r="C22" s="23"/>
      <c r="D22" s="29"/>
      <c r="E22" s="30"/>
      <c r="F22" s="31"/>
      <c r="G22" s="15"/>
      <c r="H22" s="15"/>
      <c r="I22" s="15"/>
    </row>
    <row r="23" spans="1:9" ht="10.5" x14ac:dyDescent="0.25">
      <c r="A23" s="23" t="s">
        <v>27</v>
      </c>
      <c r="B23" s="23"/>
      <c r="C23" s="23"/>
      <c r="D23" s="29"/>
      <c r="E23" s="30">
        <f>E25-(E19)</f>
        <v>62.166481999999633</v>
      </c>
      <c r="F23" s="31">
        <f>F25-(F19)</f>
        <v>2.7415450288475256</v>
      </c>
      <c r="G23" s="15"/>
      <c r="H23" s="15"/>
      <c r="I23" s="15"/>
    </row>
    <row r="24" spans="1:9" ht="10.5" x14ac:dyDescent="0.25">
      <c r="A24" s="23"/>
      <c r="B24" s="23"/>
      <c r="C24" s="23"/>
      <c r="D24" s="29"/>
      <c r="E24" s="30"/>
      <c r="F24" s="31"/>
      <c r="G24" s="15"/>
      <c r="H24" s="15"/>
      <c r="I24" s="15"/>
    </row>
    <row r="25" spans="1:9" ht="10.5" x14ac:dyDescent="0.25">
      <c r="A25" s="32" t="s">
        <v>26</v>
      </c>
      <c r="B25" s="32"/>
      <c r="C25" s="32"/>
      <c r="D25" s="33"/>
      <c r="E25" s="34">
        <v>2267.5710720000002</v>
      </c>
      <c r="F25" s="35">
        <v>100</v>
      </c>
      <c r="G25" s="15"/>
      <c r="H25" s="15"/>
      <c r="I25" s="15"/>
    </row>
    <row r="26" spans="1:9" ht="10.5" x14ac:dyDescent="0.25">
      <c r="A26" s="15" t="s">
        <v>872</v>
      </c>
    </row>
    <row r="28" spans="1:9" ht="10.5" x14ac:dyDescent="0.25">
      <c r="A28" s="15" t="s">
        <v>28</v>
      </c>
    </row>
    <row r="29" spans="1:9" ht="10.5" x14ac:dyDescent="0.25">
      <c r="A29" s="15" t="s">
        <v>29</v>
      </c>
    </row>
    <row r="30" spans="1:9" ht="10.5" x14ac:dyDescent="0.25">
      <c r="A30" s="15" t="s">
        <v>30</v>
      </c>
      <c r="B30" s="15"/>
      <c r="C30" s="36" t="s">
        <v>32</v>
      </c>
      <c r="D30" s="16" t="s">
        <v>31</v>
      </c>
    </row>
    <row r="31" spans="1:9" x14ac:dyDescent="0.2">
      <c r="A31" s="9" t="s">
        <v>38</v>
      </c>
      <c r="C31" s="37">
        <v>10.7241</v>
      </c>
      <c r="D31" s="37">
        <v>11.2194</v>
      </c>
    </row>
    <row r="32" spans="1:9" x14ac:dyDescent="0.2">
      <c r="A32" s="9" t="s">
        <v>1600</v>
      </c>
      <c r="C32" s="37">
        <v>10.7241</v>
      </c>
      <c r="D32" s="37">
        <v>10.466100000000001</v>
      </c>
    </row>
    <row r="33" spans="1:5" x14ac:dyDescent="0.2">
      <c r="A33" s="9" t="s">
        <v>1219</v>
      </c>
      <c r="C33" s="37">
        <v>10.3741</v>
      </c>
      <c r="D33" s="37">
        <v>10.4572</v>
      </c>
    </row>
    <row r="34" spans="1:5" x14ac:dyDescent="0.2">
      <c r="A34" s="9" t="s">
        <v>39</v>
      </c>
      <c r="C34" s="37">
        <v>10.7424</v>
      </c>
      <c r="D34" s="37">
        <v>11.252599999999999</v>
      </c>
    </row>
    <row r="35" spans="1:5" x14ac:dyDescent="0.2">
      <c r="A35" s="9" t="s">
        <v>41</v>
      </c>
      <c r="C35" s="37">
        <v>10.7424</v>
      </c>
      <c r="D35" s="37">
        <v>10.499000000000001</v>
      </c>
    </row>
    <row r="36" spans="1:5" x14ac:dyDescent="0.2">
      <c r="A36" s="9" t="s">
        <v>1221</v>
      </c>
      <c r="C36" s="37">
        <v>10.392200000000001</v>
      </c>
      <c r="D36" s="37">
        <v>10.4894</v>
      </c>
    </row>
    <row r="38" spans="1:5" ht="10.5" x14ac:dyDescent="0.25">
      <c r="A38" s="15" t="s">
        <v>1882</v>
      </c>
    </row>
    <row r="39" spans="1:5" ht="10.5" x14ac:dyDescent="0.25">
      <c r="A39" s="90" t="s">
        <v>33</v>
      </c>
      <c r="B39" s="91"/>
      <c r="C39" s="92" t="s">
        <v>1883</v>
      </c>
      <c r="D39" s="93"/>
    </row>
    <row r="40" spans="1:5" ht="10.5" x14ac:dyDescent="0.25">
      <c r="A40" s="90"/>
      <c r="B40" s="91"/>
      <c r="C40" s="38" t="s">
        <v>34</v>
      </c>
      <c r="D40" s="39" t="s">
        <v>35</v>
      </c>
    </row>
    <row r="41" spans="1:5" x14ac:dyDescent="0.2">
      <c r="A41" s="96" t="s">
        <v>1600</v>
      </c>
      <c r="B41" s="97"/>
      <c r="C41" s="40">
        <v>0.53303879799999998</v>
      </c>
      <c r="D41" s="40">
        <v>0.49359658340000001</v>
      </c>
    </row>
    <row r="42" spans="1:5" x14ac:dyDescent="0.2">
      <c r="A42" s="96" t="s">
        <v>1219</v>
      </c>
      <c r="B42" s="97"/>
      <c r="C42" s="40">
        <v>0.27732423950000001</v>
      </c>
      <c r="D42" s="40">
        <v>0.2568036279</v>
      </c>
    </row>
    <row r="43" spans="1:5" x14ac:dyDescent="0.2">
      <c r="A43" s="96" t="s">
        <v>41</v>
      </c>
      <c r="B43" s="97"/>
      <c r="C43" s="40">
        <v>0.53303879799999998</v>
      </c>
      <c r="D43" s="40">
        <v>0.49359658340000001</v>
      </c>
    </row>
    <row r="44" spans="1:5" x14ac:dyDescent="0.2">
      <c r="A44" s="96" t="s">
        <v>1221</v>
      </c>
      <c r="B44" s="97"/>
      <c r="C44" s="40">
        <v>0.27732423950000001</v>
      </c>
      <c r="D44" s="40">
        <v>0.2568036279</v>
      </c>
    </row>
    <row r="46" spans="1:5" ht="10.5" x14ac:dyDescent="0.25">
      <c r="A46" s="15" t="s">
        <v>882</v>
      </c>
      <c r="D46" s="11">
        <v>1.85786076844262</v>
      </c>
      <c r="E46" s="11" t="s">
        <v>883</v>
      </c>
    </row>
    <row r="48" spans="1:5" ht="10.5" x14ac:dyDescent="0.25">
      <c r="A48" s="15" t="s">
        <v>884</v>
      </c>
      <c r="D48" s="41" t="s">
        <v>36</v>
      </c>
    </row>
  </sheetData>
  <mergeCells count="8">
    <mergeCell ref="A43:B43"/>
    <mergeCell ref="A44:B44"/>
    <mergeCell ref="A1:F1"/>
    <mergeCell ref="A39:B39"/>
    <mergeCell ref="C39:D39"/>
    <mergeCell ref="A40:B40"/>
    <mergeCell ref="A41:B41"/>
    <mergeCell ref="A42:B42"/>
  </mergeCells>
  <conditionalFormatting sqref="F2 F4:F65536">
    <cfRule type="cellIs" dxfId="5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7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.81640625" style="11" customWidth="1"/>
    <col min="6" max="6" width="8.5429687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1617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9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1609</v>
      </c>
      <c r="B6" s="24" t="s">
        <v>1610</v>
      </c>
      <c r="C6" s="24" t="s">
        <v>815</v>
      </c>
      <c r="D6" s="28">
        <v>68</v>
      </c>
      <c r="E6" s="26">
        <v>792.61548000000005</v>
      </c>
      <c r="F6" s="27">
        <v>11.7553097674681</v>
      </c>
    </row>
    <row r="7" spans="1:6" x14ac:dyDescent="0.2">
      <c r="A7" s="24" t="s">
        <v>1596</v>
      </c>
      <c r="B7" s="24" t="s">
        <v>1597</v>
      </c>
      <c r="C7" s="24" t="s">
        <v>1278</v>
      </c>
      <c r="D7" s="28">
        <v>71</v>
      </c>
      <c r="E7" s="26">
        <v>734.75273000000004</v>
      </c>
      <c r="F7" s="27">
        <v>10.897145162548201</v>
      </c>
    </row>
    <row r="8" spans="1:6" x14ac:dyDescent="0.2">
      <c r="A8" s="24" t="s">
        <v>1604</v>
      </c>
      <c r="B8" s="24" t="s">
        <v>1605</v>
      </c>
      <c r="C8" s="24" t="s">
        <v>815</v>
      </c>
      <c r="D8" s="28">
        <v>71</v>
      </c>
      <c r="E8" s="26">
        <v>731.33123999999998</v>
      </c>
      <c r="F8" s="27">
        <v>10.846400916654501</v>
      </c>
    </row>
    <row r="9" spans="1:6" x14ac:dyDescent="0.2">
      <c r="A9" s="24" t="s">
        <v>1602</v>
      </c>
      <c r="B9" s="24" t="s">
        <v>1603</v>
      </c>
      <c r="C9" s="24" t="s">
        <v>815</v>
      </c>
      <c r="D9" s="28">
        <v>70</v>
      </c>
      <c r="E9" s="26">
        <v>722.4049</v>
      </c>
      <c r="F9" s="27">
        <v>10.7140140349477</v>
      </c>
    </row>
    <row r="10" spans="1:6" x14ac:dyDescent="0.2">
      <c r="A10" s="24" t="s">
        <v>1618</v>
      </c>
      <c r="B10" s="24" t="s">
        <v>1619</v>
      </c>
      <c r="C10" s="24" t="s">
        <v>1328</v>
      </c>
      <c r="D10" s="28">
        <v>70000</v>
      </c>
      <c r="E10" s="26">
        <v>716.91899999999998</v>
      </c>
      <c r="F10" s="27">
        <v>10.6326524472919</v>
      </c>
    </row>
    <row r="11" spans="1:6" x14ac:dyDescent="0.2">
      <c r="A11" s="24" t="s">
        <v>1345</v>
      </c>
      <c r="B11" s="24" t="s">
        <v>1346</v>
      </c>
      <c r="C11" s="24" t="s">
        <v>804</v>
      </c>
      <c r="D11" s="28">
        <v>70</v>
      </c>
      <c r="E11" s="26">
        <v>710.20529999999997</v>
      </c>
      <c r="F11" s="27">
        <v>10.533081312009701</v>
      </c>
    </row>
    <row r="12" spans="1:6" x14ac:dyDescent="0.2">
      <c r="A12" s="24" t="s">
        <v>813</v>
      </c>
      <c r="B12" s="24" t="s">
        <v>814</v>
      </c>
      <c r="C12" s="24" t="s">
        <v>815</v>
      </c>
      <c r="D12" s="28">
        <v>69</v>
      </c>
      <c r="E12" s="26">
        <v>709.06401000000005</v>
      </c>
      <c r="F12" s="27">
        <v>10.5161547974222</v>
      </c>
    </row>
    <row r="13" spans="1:6" x14ac:dyDescent="0.2">
      <c r="A13" s="24" t="s">
        <v>1434</v>
      </c>
      <c r="B13" s="24" t="s">
        <v>1435</v>
      </c>
      <c r="C13" s="24" t="s">
        <v>1278</v>
      </c>
      <c r="D13" s="28">
        <v>47</v>
      </c>
      <c r="E13" s="26">
        <v>544.38126</v>
      </c>
      <c r="F13" s="27">
        <v>8.0737387855515603</v>
      </c>
    </row>
    <row r="14" spans="1:6" x14ac:dyDescent="0.2">
      <c r="A14" s="24" t="s">
        <v>1615</v>
      </c>
      <c r="B14" s="24" t="s">
        <v>1616</v>
      </c>
      <c r="C14" s="24" t="s">
        <v>1278</v>
      </c>
      <c r="D14" s="28">
        <v>31</v>
      </c>
      <c r="E14" s="26">
        <v>318.98194000000001</v>
      </c>
      <c r="F14" s="27">
        <v>4.7308330578250999</v>
      </c>
    </row>
    <row r="15" spans="1:6" x14ac:dyDescent="0.2">
      <c r="A15" s="24" t="s">
        <v>1606</v>
      </c>
      <c r="B15" s="24" t="s">
        <v>1607</v>
      </c>
      <c r="C15" s="24" t="s">
        <v>998</v>
      </c>
      <c r="D15" s="28">
        <v>20</v>
      </c>
      <c r="E15" s="26">
        <v>228.09460000000001</v>
      </c>
      <c r="F15" s="27">
        <v>3.3828795260051199</v>
      </c>
    </row>
    <row r="16" spans="1:6" x14ac:dyDescent="0.2">
      <c r="A16" s="24" t="s">
        <v>1488</v>
      </c>
      <c r="B16" s="24" t="s">
        <v>1489</v>
      </c>
      <c r="C16" s="24" t="s">
        <v>815</v>
      </c>
      <c r="D16" s="28">
        <v>22</v>
      </c>
      <c r="E16" s="26">
        <v>226.8167</v>
      </c>
      <c r="F16" s="27">
        <v>3.36392694340877</v>
      </c>
    </row>
    <row r="17" spans="1:9" x14ac:dyDescent="0.2">
      <c r="A17" s="24" t="s">
        <v>1594</v>
      </c>
      <c r="B17" s="24" t="s">
        <v>1595</v>
      </c>
      <c r="C17" s="24" t="s">
        <v>815</v>
      </c>
      <c r="D17" s="28">
        <v>2</v>
      </c>
      <c r="E17" s="26">
        <v>23.2621</v>
      </c>
      <c r="F17" s="27">
        <v>0.34500107333485203</v>
      </c>
    </row>
    <row r="18" spans="1:9" x14ac:dyDescent="0.2">
      <c r="A18" s="24" t="s">
        <v>1425</v>
      </c>
      <c r="B18" s="24" t="s">
        <v>1426</v>
      </c>
      <c r="C18" s="24" t="s">
        <v>1427</v>
      </c>
      <c r="D18" s="28">
        <v>1</v>
      </c>
      <c r="E18" s="26">
        <v>10.68211</v>
      </c>
      <c r="F18" s="27">
        <v>0.15842677210917999</v>
      </c>
    </row>
    <row r="19" spans="1:9" x14ac:dyDescent="0.2">
      <c r="A19" s="24" t="s">
        <v>1389</v>
      </c>
      <c r="B19" s="24" t="s">
        <v>1390</v>
      </c>
      <c r="C19" s="24" t="s">
        <v>815</v>
      </c>
      <c r="D19" s="28">
        <v>1</v>
      </c>
      <c r="E19" s="26">
        <v>10.400639999999999</v>
      </c>
      <c r="F19" s="27">
        <v>0.15425228003359101</v>
      </c>
    </row>
    <row r="20" spans="1:9" ht="10.5" x14ac:dyDescent="0.25">
      <c r="A20" s="23" t="s">
        <v>24</v>
      </c>
      <c r="B20" s="23"/>
      <c r="C20" s="23"/>
      <c r="D20" s="29"/>
      <c r="E20" s="30">
        <f>SUM(E5:E19)</f>
        <v>6479.91201</v>
      </c>
      <c r="F20" s="31">
        <f>SUM(F5:F19)</f>
        <v>96.10381687661048</v>
      </c>
      <c r="G20" s="15"/>
      <c r="H20" s="15"/>
      <c r="I20" s="15"/>
    </row>
    <row r="21" spans="1:9" x14ac:dyDescent="0.2">
      <c r="A21" s="24"/>
      <c r="B21" s="24"/>
      <c r="C21" s="24"/>
      <c r="D21" s="25"/>
      <c r="E21" s="26"/>
      <c r="F21" s="27"/>
    </row>
    <row r="22" spans="1:9" ht="10.5" x14ac:dyDescent="0.25">
      <c r="A22" s="23" t="s">
        <v>25</v>
      </c>
      <c r="B22" s="23"/>
      <c r="C22" s="23"/>
      <c r="D22" s="29"/>
      <c r="E22" s="30">
        <f>E20</f>
        <v>6479.91201</v>
      </c>
      <c r="F22" s="31">
        <f>F20</f>
        <v>96.10381687661048</v>
      </c>
      <c r="G22" s="15"/>
      <c r="H22" s="15"/>
      <c r="I22" s="15"/>
    </row>
    <row r="23" spans="1:9" ht="10.5" x14ac:dyDescent="0.25">
      <c r="A23" s="23"/>
      <c r="B23" s="23"/>
      <c r="C23" s="23"/>
      <c r="D23" s="29"/>
      <c r="E23" s="30"/>
      <c r="F23" s="31"/>
      <c r="G23" s="15"/>
      <c r="H23" s="15"/>
      <c r="I23" s="15"/>
    </row>
    <row r="24" spans="1:9" ht="10.5" x14ac:dyDescent="0.25">
      <c r="A24" s="23" t="s">
        <v>27</v>
      </c>
      <c r="B24" s="23"/>
      <c r="C24" s="23"/>
      <c r="D24" s="29"/>
      <c r="E24" s="30">
        <f>E26-(E20)</f>
        <v>262.70469409999987</v>
      </c>
      <c r="F24" s="31">
        <f>F26-(F20)</f>
        <v>3.8961831233895197</v>
      </c>
      <c r="G24" s="15"/>
      <c r="H24" s="15"/>
      <c r="I24" s="15"/>
    </row>
    <row r="25" spans="1:9" ht="10.5" x14ac:dyDescent="0.25">
      <c r="A25" s="23"/>
      <c r="B25" s="23"/>
      <c r="C25" s="23"/>
      <c r="D25" s="29"/>
      <c r="E25" s="30"/>
      <c r="F25" s="31"/>
      <c r="G25" s="15"/>
      <c r="H25" s="15"/>
      <c r="I25" s="15"/>
    </row>
    <row r="26" spans="1:9" ht="10.5" x14ac:dyDescent="0.25">
      <c r="A26" s="32" t="s">
        <v>26</v>
      </c>
      <c r="B26" s="32"/>
      <c r="C26" s="32"/>
      <c r="D26" s="33"/>
      <c r="E26" s="34">
        <v>6742.6167040999999</v>
      </c>
      <c r="F26" s="35">
        <v>100</v>
      </c>
      <c r="G26" s="15"/>
      <c r="H26" s="15"/>
      <c r="I26" s="15"/>
    </row>
    <row r="27" spans="1:9" ht="10.5" x14ac:dyDescent="0.25">
      <c r="A27" s="15" t="s">
        <v>872</v>
      </c>
    </row>
    <row r="29" spans="1:9" ht="10.5" x14ac:dyDescent="0.25">
      <c r="A29" s="15" t="s">
        <v>28</v>
      </c>
    </row>
    <row r="30" spans="1:9" ht="10.5" x14ac:dyDescent="0.25">
      <c r="A30" s="15" t="s">
        <v>29</v>
      </c>
    </row>
    <row r="31" spans="1:9" ht="10.5" x14ac:dyDescent="0.25">
      <c r="A31" s="15" t="s">
        <v>30</v>
      </c>
      <c r="B31" s="15"/>
      <c r="C31" s="36" t="s">
        <v>32</v>
      </c>
      <c r="D31" s="16" t="s">
        <v>31</v>
      </c>
    </row>
    <row r="32" spans="1:9" x14ac:dyDescent="0.2">
      <c r="A32" s="9" t="s">
        <v>38</v>
      </c>
      <c r="C32" s="37">
        <v>10.7705</v>
      </c>
      <c r="D32" s="37">
        <v>11.2446</v>
      </c>
    </row>
    <row r="33" spans="1:5" x14ac:dyDescent="0.2">
      <c r="A33" s="9" t="s">
        <v>1600</v>
      </c>
      <c r="C33" s="37">
        <v>10.7705</v>
      </c>
      <c r="D33" s="37">
        <v>10.4619</v>
      </c>
    </row>
    <row r="34" spans="1:5" x14ac:dyDescent="0.2">
      <c r="A34" s="9" t="s">
        <v>1219</v>
      </c>
      <c r="C34" s="37">
        <v>10.3941</v>
      </c>
      <c r="D34" s="37">
        <v>10.4513</v>
      </c>
    </row>
    <row r="35" spans="1:5" x14ac:dyDescent="0.2">
      <c r="A35" s="9" t="s">
        <v>39</v>
      </c>
      <c r="C35" s="37">
        <v>10.789899999999999</v>
      </c>
      <c r="D35" s="37">
        <v>11.279</v>
      </c>
    </row>
    <row r="36" spans="1:5" x14ac:dyDescent="0.2">
      <c r="A36" s="9" t="s">
        <v>41</v>
      </c>
      <c r="C36" s="37">
        <v>10.789899999999999</v>
      </c>
      <c r="D36" s="37">
        <v>10.495900000000001</v>
      </c>
    </row>
    <row r="38" spans="1:5" ht="10.5" x14ac:dyDescent="0.25">
      <c r="A38" s="15" t="s">
        <v>1882</v>
      </c>
    </row>
    <row r="39" spans="1:5" ht="10.5" x14ac:dyDescent="0.25">
      <c r="A39" s="90" t="s">
        <v>33</v>
      </c>
      <c r="B39" s="91"/>
      <c r="C39" s="92" t="s">
        <v>1883</v>
      </c>
      <c r="D39" s="93"/>
    </row>
    <row r="40" spans="1:5" ht="10.5" x14ac:dyDescent="0.25">
      <c r="A40" s="90"/>
      <c r="B40" s="91"/>
      <c r="C40" s="38" t="s">
        <v>34</v>
      </c>
      <c r="D40" s="39" t="s">
        <v>35</v>
      </c>
    </row>
    <row r="41" spans="1:5" x14ac:dyDescent="0.2">
      <c r="A41" s="96" t="s">
        <v>1600</v>
      </c>
      <c r="B41" s="97"/>
      <c r="C41" s="40">
        <v>0.55464847900000003</v>
      </c>
      <c r="D41" s="40">
        <v>0.51360725569999999</v>
      </c>
    </row>
    <row r="42" spans="1:5" x14ac:dyDescent="0.2">
      <c r="A42" s="96" t="s">
        <v>1219</v>
      </c>
      <c r="B42" s="97"/>
      <c r="C42" s="40">
        <v>0.280925853</v>
      </c>
      <c r="D42" s="40">
        <v>0.26013873990000003</v>
      </c>
    </row>
    <row r="43" spans="1:5" x14ac:dyDescent="0.2">
      <c r="A43" s="96" t="s">
        <v>41</v>
      </c>
      <c r="B43" s="97"/>
      <c r="C43" s="40">
        <v>0.55464847900000003</v>
      </c>
      <c r="D43" s="40">
        <v>0.51360725569999999</v>
      </c>
    </row>
    <row r="45" spans="1:5" ht="10.5" x14ac:dyDescent="0.25">
      <c r="A45" s="15" t="s">
        <v>882</v>
      </c>
      <c r="D45" s="11">
        <v>1.8380300231967199</v>
      </c>
      <c r="E45" s="11" t="s">
        <v>883</v>
      </c>
    </row>
    <row r="47" spans="1:5" ht="10.5" x14ac:dyDescent="0.25">
      <c r="A47" s="15" t="s">
        <v>884</v>
      </c>
      <c r="D47" s="41" t="s">
        <v>36</v>
      </c>
    </row>
  </sheetData>
  <mergeCells count="7">
    <mergeCell ref="A43:B43"/>
    <mergeCell ref="A1:F1"/>
    <mergeCell ref="A39:B39"/>
    <mergeCell ref="C39:D39"/>
    <mergeCell ref="A40:B40"/>
    <mergeCell ref="A41:B41"/>
    <mergeCell ref="A42:B42"/>
  </mergeCells>
  <conditionalFormatting sqref="F2 F4:F65536">
    <cfRule type="cellIs" dxfId="5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2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.1796875" style="11" customWidth="1"/>
    <col min="6" max="6" width="9.2695312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1620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5.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1367</v>
      </c>
      <c r="B6" s="24" t="s">
        <v>1368</v>
      </c>
      <c r="C6" s="24" t="s">
        <v>815</v>
      </c>
      <c r="D6" s="28">
        <v>37</v>
      </c>
      <c r="E6" s="26">
        <v>429.41681999999997</v>
      </c>
      <c r="F6" s="27">
        <v>11.9339051852614</v>
      </c>
    </row>
    <row r="7" spans="1:6" x14ac:dyDescent="0.2">
      <c r="A7" s="24" t="s">
        <v>1490</v>
      </c>
      <c r="B7" s="24" t="s">
        <v>1491</v>
      </c>
      <c r="C7" s="24" t="s">
        <v>1328</v>
      </c>
      <c r="D7" s="28">
        <v>37</v>
      </c>
      <c r="E7" s="26">
        <v>380.07288</v>
      </c>
      <c r="F7" s="27">
        <v>10.562589777944</v>
      </c>
    </row>
    <row r="8" spans="1:6" x14ac:dyDescent="0.2">
      <c r="A8" s="24" t="s">
        <v>1438</v>
      </c>
      <c r="B8" s="24" t="s">
        <v>1439</v>
      </c>
      <c r="C8" s="24" t="s">
        <v>815</v>
      </c>
      <c r="D8" s="28">
        <v>37</v>
      </c>
      <c r="E8" s="26">
        <v>375.88484999999997</v>
      </c>
      <c r="F8" s="27">
        <v>10.446200408442801</v>
      </c>
    </row>
    <row r="9" spans="1:6" x14ac:dyDescent="0.2">
      <c r="A9" s="24" t="s">
        <v>1615</v>
      </c>
      <c r="B9" s="24" t="s">
        <v>1616</v>
      </c>
      <c r="C9" s="24" t="s">
        <v>1278</v>
      </c>
      <c r="D9" s="28">
        <v>36</v>
      </c>
      <c r="E9" s="26">
        <v>370.43063999999998</v>
      </c>
      <c r="F9" s="27">
        <v>10.294622682631999</v>
      </c>
    </row>
    <row r="10" spans="1:6" x14ac:dyDescent="0.2">
      <c r="A10" s="24" t="s">
        <v>813</v>
      </c>
      <c r="B10" s="24" t="s">
        <v>814</v>
      </c>
      <c r="C10" s="24" t="s">
        <v>815</v>
      </c>
      <c r="D10" s="28">
        <v>36</v>
      </c>
      <c r="E10" s="26">
        <v>369.94644</v>
      </c>
      <c r="F10" s="27">
        <v>10.281166300344299</v>
      </c>
    </row>
    <row r="11" spans="1:6" x14ac:dyDescent="0.2">
      <c r="A11" s="24" t="s">
        <v>1345</v>
      </c>
      <c r="B11" s="24" t="s">
        <v>1346</v>
      </c>
      <c r="C11" s="24" t="s">
        <v>804</v>
      </c>
      <c r="D11" s="28">
        <v>33</v>
      </c>
      <c r="E11" s="26">
        <v>334.81106999999997</v>
      </c>
      <c r="F11" s="27">
        <v>9.3047206775829494</v>
      </c>
    </row>
    <row r="12" spans="1:6" x14ac:dyDescent="0.2">
      <c r="A12" s="24" t="s">
        <v>1389</v>
      </c>
      <c r="B12" s="24" t="s">
        <v>1390</v>
      </c>
      <c r="C12" s="24" t="s">
        <v>815</v>
      </c>
      <c r="D12" s="28">
        <v>27</v>
      </c>
      <c r="E12" s="26">
        <v>280.81727999999998</v>
      </c>
      <c r="F12" s="27">
        <v>7.8041814801362497</v>
      </c>
    </row>
    <row r="13" spans="1:6" x14ac:dyDescent="0.2">
      <c r="A13" s="24" t="s">
        <v>1621</v>
      </c>
      <c r="B13" s="24" t="s">
        <v>1622</v>
      </c>
      <c r="C13" s="24" t="s">
        <v>815</v>
      </c>
      <c r="D13" s="28">
        <v>21</v>
      </c>
      <c r="E13" s="26">
        <v>242.58381</v>
      </c>
      <c r="F13" s="27">
        <v>6.7416366876813596</v>
      </c>
    </row>
    <row r="14" spans="1:6" x14ac:dyDescent="0.2">
      <c r="A14" s="24" t="s">
        <v>1409</v>
      </c>
      <c r="B14" s="24" t="s">
        <v>1410</v>
      </c>
      <c r="C14" s="24" t="s">
        <v>1328</v>
      </c>
      <c r="D14" s="28">
        <v>20</v>
      </c>
      <c r="E14" s="26">
        <v>208.89859999999999</v>
      </c>
      <c r="F14" s="27">
        <v>5.80549240184361</v>
      </c>
    </row>
    <row r="15" spans="1:6" x14ac:dyDescent="0.2">
      <c r="A15" s="24" t="s">
        <v>1434</v>
      </c>
      <c r="B15" s="24" t="s">
        <v>1435</v>
      </c>
      <c r="C15" s="24" t="s">
        <v>1278</v>
      </c>
      <c r="D15" s="28">
        <v>12</v>
      </c>
      <c r="E15" s="26">
        <v>138.99096</v>
      </c>
      <c r="F15" s="27">
        <v>3.8626920534888698</v>
      </c>
    </row>
    <row r="16" spans="1:6" x14ac:dyDescent="0.2">
      <c r="A16" s="24" t="s">
        <v>1488</v>
      </c>
      <c r="B16" s="24" t="s">
        <v>1489</v>
      </c>
      <c r="C16" s="24" t="s">
        <v>815</v>
      </c>
      <c r="D16" s="28">
        <v>10</v>
      </c>
      <c r="E16" s="26">
        <v>103.0985</v>
      </c>
      <c r="F16" s="27">
        <v>2.8652061736721701</v>
      </c>
    </row>
    <row r="17" spans="1:9" x14ac:dyDescent="0.2">
      <c r="A17" s="24" t="s">
        <v>1421</v>
      </c>
      <c r="B17" s="24" t="s">
        <v>1422</v>
      </c>
      <c r="C17" s="24" t="s">
        <v>815</v>
      </c>
      <c r="D17" s="28">
        <v>8</v>
      </c>
      <c r="E17" s="26">
        <v>93.65128</v>
      </c>
      <c r="F17" s="27">
        <v>2.60265887116012</v>
      </c>
    </row>
    <row r="18" spans="1:9" x14ac:dyDescent="0.2">
      <c r="A18" s="24" t="s">
        <v>1590</v>
      </c>
      <c r="B18" s="24" t="s">
        <v>1591</v>
      </c>
      <c r="C18" s="24" t="s">
        <v>815</v>
      </c>
      <c r="D18" s="28">
        <v>3</v>
      </c>
      <c r="E18" s="26">
        <v>35.345610000000001</v>
      </c>
      <c r="F18" s="27">
        <v>0.98228839395538103</v>
      </c>
    </row>
    <row r="19" spans="1:9" x14ac:dyDescent="0.2">
      <c r="A19" s="24" t="s">
        <v>1606</v>
      </c>
      <c r="B19" s="24" t="s">
        <v>1607</v>
      </c>
      <c r="C19" s="24" t="s">
        <v>998</v>
      </c>
      <c r="D19" s="28">
        <v>3</v>
      </c>
      <c r="E19" s="26">
        <v>34.214190000000002</v>
      </c>
      <c r="F19" s="27">
        <v>0.95084514726395297</v>
      </c>
    </row>
    <row r="20" spans="1:9" x14ac:dyDescent="0.2">
      <c r="A20" s="24" t="s">
        <v>1623</v>
      </c>
      <c r="B20" s="24" t="s">
        <v>1624</v>
      </c>
      <c r="C20" s="24" t="s">
        <v>1278</v>
      </c>
      <c r="D20" s="28">
        <v>3</v>
      </c>
      <c r="E20" s="26">
        <v>31.01127</v>
      </c>
      <c r="F20" s="27">
        <v>0.86183292926099397</v>
      </c>
    </row>
    <row r="21" spans="1:9" x14ac:dyDescent="0.2">
      <c r="A21" s="24" t="s">
        <v>1613</v>
      </c>
      <c r="B21" s="24" t="s">
        <v>1614</v>
      </c>
      <c r="C21" s="24" t="s">
        <v>815</v>
      </c>
      <c r="D21" s="28">
        <v>3</v>
      </c>
      <c r="E21" s="26">
        <v>30.85416</v>
      </c>
      <c r="F21" s="27">
        <v>0.85746669171199397</v>
      </c>
    </row>
    <row r="22" spans="1:9" x14ac:dyDescent="0.2">
      <c r="A22" s="24" t="s">
        <v>1594</v>
      </c>
      <c r="B22" s="24" t="s">
        <v>1595</v>
      </c>
      <c r="C22" s="24" t="s">
        <v>815</v>
      </c>
      <c r="D22" s="28">
        <v>2</v>
      </c>
      <c r="E22" s="26">
        <v>23.2621</v>
      </c>
      <c r="F22" s="27">
        <v>0.64647606446824601</v>
      </c>
    </row>
    <row r="23" spans="1:9" ht="10.5" x14ac:dyDescent="0.25">
      <c r="A23" s="23" t="s">
        <v>24</v>
      </c>
      <c r="B23" s="23"/>
      <c r="C23" s="23"/>
      <c r="D23" s="29"/>
      <c r="E23" s="30">
        <f>SUM(E5:E22)</f>
        <v>3483.2904599999997</v>
      </c>
      <c r="F23" s="31">
        <f>SUM(F5:F22)</f>
        <v>96.803981926850383</v>
      </c>
      <c r="G23" s="15"/>
      <c r="H23" s="15"/>
      <c r="I23" s="15"/>
    </row>
    <row r="24" spans="1:9" x14ac:dyDescent="0.2">
      <c r="A24" s="24"/>
      <c r="B24" s="24"/>
      <c r="C24" s="24"/>
      <c r="D24" s="25"/>
      <c r="E24" s="26"/>
      <c r="F24" s="27"/>
    </row>
    <row r="25" spans="1:9" ht="10.5" x14ac:dyDescent="0.25">
      <c r="A25" s="23" t="s">
        <v>25</v>
      </c>
      <c r="B25" s="23"/>
      <c r="C25" s="23"/>
      <c r="D25" s="29"/>
      <c r="E25" s="30">
        <f>E23</f>
        <v>3483.2904599999997</v>
      </c>
      <c r="F25" s="31">
        <f>F23</f>
        <v>96.803981926850383</v>
      </c>
      <c r="G25" s="15"/>
      <c r="H25" s="15"/>
      <c r="I25" s="15"/>
    </row>
    <row r="26" spans="1:9" ht="10.5" x14ac:dyDescent="0.25">
      <c r="A26" s="23"/>
      <c r="B26" s="23"/>
      <c r="C26" s="23"/>
      <c r="D26" s="29"/>
      <c r="E26" s="30"/>
      <c r="F26" s="31"/>
      <c r="G26" s="15"/>
      <c r="H26" s="15"/>
      <c r="I26" s="15"/>
    </row>
    <row r="27" spans="1:9" ht="10.5" x14ac:dyDescent="0.25">
      <c r="A27" s="23" t="s">
        <v>27</v>
      </c>
      <c r="B27" s="23"/>
      <c r="C27" s="23"/>
      <c r="D27" s="29"/>
      <c r="E27" s="30">
        <f>E29-(E23)</f>
        <v>115.00207990000035</v>
      </c>
      <c r="F27" s="31">
        <f>F29-(F23)</f>
        <v>3.1960180731496166</v>
      </c>
      <c r="G27" s="15"/>
      <c r="H27" s="15"/>
      <c r="I27" s="15"/>
    </row>
    <row r="28" spans="1:9" ht="10.5" x14ac:dyDescent="0.25">
      <c r="A28" s="23"/>
      <c r="B28" s="23"/>
      <c r="C28" s="23"/>
      <c r="D28" s="29"/>
      <c r="E28" s="30"/>
      <c r="F28" s="31"/>
      <c r="G28" s="15"/>
      <c r="H28" s="15"/>
      <c r="I28" s="15"/>
    </row>
    <row r="29" spans="1:9" ht="10.5" x14ac:dyDescent="0.25">
      <c r="A29" s="32" t="s">
        <v>26</v>
      </c>
      <c r="B29" s="32"/>
      <c r="C29" s="32"/>
      <c r="D29" s="33"/>
      <c r="E29" s="34">
        <v>3598.2925399000001</v>
      </c>
      <c r="F29" s="35">
        <v>100</v>
      </c>
      <c r="G29" s="15"/>
      <c r="H29" s="15"/>
      <c r="I29" s="15"/>
    </row>
    <row r="30" spans="1:9" ht="10.5" x14ac:dyDescent="0.25">
      <c r="A30" s="15" t="s">
        <v>872</v>
      </c>
    </row>
    <row r="32" spans="1:9" ht="10.5" x14ac:dyDescent="0.25">
      <c r="A32" s="15" t="s">
        <v>28</v>
      </c>
    </row>
    <row r="33" spans="1:4" ht="10.5" x14ac:dyDescent="0.25">
      <c r="A33" s="15" t="s">
        <v>29</v>
      </c>
    </row>
    <row r="34" spans="1:4" ht="10.5" x14ac:dyDescent="0.25">
      <c r="A34" s="15" t="s">
        <v>30</v>
      </c>
      <c r="B34" s="15"/>
      <c r="C34" s="36" t="s">
        <v>32</v>
      </c>
      <c r="D34" s="16" t="s">
        <v>31</v>
      </c>
    </row>
    <row r="35" spans="1:4" x14ac:dyDescent="0.2">
      <c r="A35" s="9" t="s">
        <v>38</v>
      </c>
      <c r="C35" s="37">
        <v>10.8416</v>
      </c>
      <c r="D35" s="37">
        <v>11.329499999999999</v>
      </c>
    </row>
    <row r="36" spans="1:4" x14ac:dyDescent="0.2">
      <c r="A36" s="9" t="s">
        <v>1600</v>
      </c>
      <c r="C36" s="37">
        <v>10.8416</v>
      </c>
      <c r="D36" s="37">
        <v>10.512</v>
      </c>
    </row>
    <row r="37" spans="1:4" x14ac:dyDescent="0.2">
      <c r="A37" s="9" t="s">
        <v>1219</v>
      </c>
      <c r="C37" s="37">
        <v>10.262700000000001</v>
      </c>
      <c r="D37" s="37">
        <v>10.2895</v>
      </c>
    </row>
    <row r="38" spans="1:4" x14ac:dyDescent="0.2">
      <c r="A38" s="9" t="s">
        <v>39</v>
      </c>
      <c r="C38" s="37">
        <v>10.8627</v>
      </c>
      <c r="D38" s="37">
        <v>11.3658</v>
      </c>
    </row>
    <row r="39" spans="1:4" x14ac:dyDescent="0.2">
      <c r="A39" s="9" t="s">
        <v>41</v>
      </c>
      <c r="C39" s="37">
        <v>10.8627</v>
      </c>
      <c r="D39" s="37">
        <v>10.5479</v>
      </c>
    </row>
    <row r="40" spans="1:4" x14ac:dyDescent="0.2">
      <c r="A40" s="9" t="s">
        <v>1221</v>
      </c>
      <c r="C40" s="37">
        <v>10.2835</v>
      </c>
      <c r="D40" s="37">
        <v>10.3254</v>
      </c>
    </row>
    <row r="42" spans="1:4" ht="10.5" x14ac:dyDescent="0.25">
      <c r="A42" s="15" t="s">
        <v>1882</v>
      </c>
    </row>
    <row r="43" spans="1:4" ht="10.5" x14ac:dyDescent="0.25">
      <c r="A43" s="90" t="s">
        <v>33</v>
      </c>
      <c r="B43" s="91"/>
      <c r="C43" s="92" t="s">
        <v>1883</v>
      </c>
      <c r="D43" s="93"/>
    </row>
    <row r="44" spans="1:4" ht="10.5" x14ac:dyDescent="0.25">
      <c r="A44" s="90"/>
      <c r="B44" s="91"/>
      <c r="C44" s="38" t="s">
        <v>34</v>
      </c>
      <c r="D44" s="39" t="s">
        <v>35</v>
      </c>
    </row>
    <row r="45" spans="1:4" x14ac:dyDescent="0.2">
      <c r="A45" s="96" t="s">
        <v>1600</v>
      </c>
      <c r="B45" s="97"/>
      <c r="C45" s="40">
        <v>0.57625815999999996</v>
      </c>
      <c r="D45" s="40">
        <v>0.53361792799999996</v>
      </c>
    </row>
    <row r="46" spans="1:4" x14ac:dyDescent="0.2">
      <c r="A46" s="96" t="s">
        <v>1219</v>
      </c>
      <c r="B46" s="97"/>
      <c r="C46" s="40">
        <v>0.30973876099999997</v>
      </c>
      <c r="D46" s="40">
        <v>0.28681963630000001</v>
      </c>
    </row>
    <row r="47" spans="1:4" x14ac:dyDescent="0.2">
      <c r="A47" s="96" t="s">
        <v>41</v>
      </c>
      <c r="B47" s="97"/>
      <c r="C47" s="40">
        <v>0.57625815999999996</v>
      </c>
      <c r="D47" s="40">
        <v>0.53361792799999996</v>
      </c>
    </row>
    <row r="48" spans="1:4" x14ac:dyDescent="0.2">
      <c r="A48" s="96" t="s">
        <v>1221</v>
      </c>
      <c r="B48" s="97"/>
      <c r="C48" s="40">
        <v>0.30973876099999997</v>
      </c>
      <c r="D48" s="40">
        <v>0.28681963630000001</v>
      </c>
    </row>
    <row r="50" spans="1:5" ht="10.5" x14ac:dyDescent="0.25">
      <c r="A50" s="15" t="s">
        <v>882</v>
      </c>
      <c r="D50" s="11">
        <v>1.81479052385246</v>
      </c>
      <c r="E50" s="11" t="s">
        <v>883</v>
      </c>
    </row>
    <row r="52" spans="1:5" ht="10.5" x14ac:dyDescent="0.25">
      <c r="A52" s="15" t="s">
        <v>884</v>
      </c>
      <c r="D52" s="41" t="s">
        <v>36</v>
      </c>
    </row>
  </sheetData>
  <mergeCells count="8">
    <mergeCell ref="A47:B47"/>
    <mergeCell ref="A48:B48"/>
    <mergeCell ref="A1:F1"/>
    <mergeCell ref="A43:B43"/>
    <mergeCell ref="C43:D43"/>
    <mergeCell ref="A44:B44"/>
    <mergeCell ref="A45:B45"/>
    <mergeCell ref="A46:B46"/>
  </mergeCells>
  <conditionalFormatting sqref="F2 F4:F65536">
    <cfRule type="cellIs" dxfId="55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2.7265625" style="11" customWidth="1"/>
    <col min="6" max="6" width="8.26953125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1625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31.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1367</v>
      </c>
      <c r="B6" s="24" t="s">
        <v>1368</v>
      </c>
      <c r="C6" s="24" t="s">
        <v>815</v>
      </c>
      <c r="D6" s="28">
        <v>47</v>
      </c>
      <c r="E6" s="26">
        <v>545.47541999999999</v>
      </c>
      <c r="F6" s="27">
        <v>11.9371390352444</v>
      </c>
    </row>
    <row r="7" spans="1:6" x14ac:dyDescent="0.2">
      <c r="A7" s="24" t="s">
        <v>1490</v>
      </c>
      <c r="B7" s="24" t="s">
        <v>1491</v>
      </c>
      <c r="C7" s="24" t="s">
        <v>1328</v>
      </c>
      <c r="D7" s="28">
        <v>47</v>
      </c>
      <c r="E7" s="26">
        <v>482.79527999999999</v>
      </c>
      <c r="F7" s="27">
        <v>10.565452028837001</v>
      </c>
    </row>
    <row r="8" spans="1:6" x14ac:dyDescent="0.2">
      <c r="A8" s="24" t="s">
        <v>1442</v>
      </c>
      <c r="B8" s="24" t="s">
        <v>1443</v>
      </c>
      <c r="C8" s="24" t="s">
        <v>815</v>
      </c>
      <c r="D8" s="28">
        <v>47</v>
      </c>
      <c r="E8" s="26">
        <v>475.23626999999999</v>
      </c>
      <c r="F8" s="27">
        <v>10.400031278367999</v>
      </c>
    </row>
    <row r="9" spans="1:6" x14ac:dyDescent="0.2">
      <c r="A9" s="24" t="s">
        <v>813</v>
      </c>
      <c r="B9" s="24" t="s">
        <v>814</v>
      </c>
      <c r="C9" s="24" t="s">
        <v>815</v>
      </c>
      <c r="D9" s="28">
        <v>46</v>
      </c>
      <c r="E9" s="26">
        <v>472.70934</v>
      </c>
      <c r="F9" s="27">
        <v>10.3447321509713</v>
      </c>
    </row>
    <row r="10" spans="1:6" x14ac:dyDescent="0.2">
      <c r="A10" s="24" t="s">
        <v>1613</v>
      </c>
      <c r="B10" s="24" t="s">
        <v>1614</v>
      </c>
      <c r="C10" s="24" t="s">
        <v>815</v>
      </c>
      <c r="D10" s="28">
        <v>45</v>
      </c>
      <c r="E10" s="26">
        <v>462.81240000000003</v>
      </c>
      <c r="F10" s="27">
        <v>10.1281483334943</v>
      </c>
    </row>
    <row r="11" spans="1:6" x14ac:dyDescent="0.2">
      <c r="A11" s="24" t="s">
        <v>1434</v>
      </c>
      <c r="B11" s="24" t="s">
        <v>1435</v>
      </c>
      <c r="C11" s="24" t="s">
        <v>1278</v>
      </c>
      <c r="D11" s="28">
        <v>38</v>
      </c>
      <c r="E11" s="26">
        <v>440.13803999999999</v>
      </c>
      <c r="F11" s="27">
        <v>9.6319445121467506</v>
      </c>
    </row>
    <row r="12" spans="1:6" x14ac:dyDescent="0.2">
      <c r="A12" s="24" t="s">
        <v>1626</v>
      </c>
      <c r="B12" s="24" t="s">
        <v>1627</v>
      </c>
      <c r="C12" s="24" t="s">
        <v>815</v>
      </c>
      <c r="D12" s="28">
        <v>35</v>
      </c>
      <c r="E12" s="26">
        <v>360.24169999999998</v>
      </c>
      <c r="F12" s="27">
        <v>7.8834996069901502</v>
      </c>
    </row>
    <row r="13" spans="1:6" x14ac:dyDescent="0.2">
      <c r="A13" s="24" t="s">
        <v>1621</v>
      </c>
      <c r="B13" s="24" t="s">
        <v>1622</v>
      </c>
      <c r="C13" s="24" t="s">
        <v>815</v>
      </c>
      <c r="D13" s="28">
        <v>29</v>
      </c>
      <c r="E13" s="26">
        <v>334.99669</v>
      </c>
      <c r="F13" s="27">
        <v>7.3310398933771497</v>
      </c>
    </row>
    <row r="14" spans="1:6" x14ac:dyDescent="0.2">
      <c r="A14" s="24" t="s">
        <v>1389</v>
      </c>
      <c r="B14" s="24" t="s">
        <v>1390</v>
      </c>
      <c r="C14" s="24" t="s">
        <v>815</v>
      </c>
      <c r="D14" s="28">
        <v>24</v>
      </c>
      <c r="E14" s="26">
        <v>249.61536000000001</v>
      </c>
      <c r="F14" s="27">
        <v>5.4625619201183699</v>
      </c>
    </row>
    <row r="15" spans="1:6" x14ac:dyDescent="0.2">
      <c r="A15" s="24" t="s">
        <v>1425</v>
      </c>
      <c r="B15" s="24" t="s">
        <v>1426</v>
      </c>
      <c r="C15" s="24" t="s">
        <v>1427</v>
      </c>
      <c r="D15" s="28">
        <v>22</v>
      </c>
      <c r="E15" s="26">
        <v>235.00641999999999</v>
      </c>
      <c r="F15" s="27">
        <v>5.1428610838505397</v>
      </c>
    </row>
    <row r="16" spans="1:6" x14ac:dyDescent="0.2">
      <c r="A16" s="24" t="s">
        <v>1438</v>
      </c>
      <c r="B16" s="24" t="s">
        <v>1439</v>
      </c>
      <c r="C16" s="24" t="s">
        <v>815</v>
      </c>
      <c r="D16" s="28">
        <v>10</v>
      </c>
      <c r="E16" s="26">
        <v>101.59050000000001</v>
      </c>
      <c r="F16" s="27">
        <v>2.2231981106682901</v>
      </c>
    </row>
    <row r="17" spans="1:9" x14ac:dyDescent="0.2">
      <c r="A17" s="24" t="s">
        <v>1488</v>
      </c>
      <c r="B17" s="24" t="s">
        <v>1489</v>
      </c>
      <c r="C17" s="24" t="s">
        <v>815</v>
      </c>
      <c r="D17" s="28">
        <v>8</v>
      </c>
      <c r="E17" s="26">
        <v>82.478800000000007</v>
      </c>
      <c r="F17" s="27">
        <v>1.8049592464865101</v>
      </c>
    </row>
    <row r="18" spans="1:9" x14ac:dyDescent="0.2">
      <c r="A18" s="24" t="s">
        <v>1345</v>
      </c>
      <c r="B18" s="24" t="s">
        <v>1346</v>
      </c>
      <c r="C18" s="24" t="s">
        <v>804</v>
      </c>
      <c r="D18" s="28">
        <v>6</v>
      </c>
      <c r="E18" s="26">
        <v>60.874740000000003</v>
      </c>
      <c r="F18" s="27">
        <v>1.3321777819325999</v>
      </c>
    </row>
    <row r="19" spans="1:9" x14ac:dyDescent="0.2">
      <c r="A19" s="24" t="s">
        <v>1606</v>
      </c>
      <c r="B19" s="24" t="s">
        <v>1607</v>
      </c>
      <c r="C19" s="24" t="s">
        <v>998</v>
      </c>
      <c r="D19" s="28">
        <v>5</v>
      </c>
      <c r="E19" s="26">
        <v>57.023650000000004</v>
      </c>
      <c r="F19" s="27">
        <v>1.24790084647098</v>
      </c>
    </row>
    <row r="20" spans="1:9" x14ac:dyDescent="0.2">
      <c r="A20" s="24" t="s">
        <v>1615</v>
      </c>
      <c r="B20" s="24" t="s">
        <v>1616</v>
      </c>
      <c r="C20" s="24" t="s">
        <v>1278</v>
      </c>
      <c r="D20" s="28">
        <v>4</v>
      </c>
      <c r="E20" s="26">
        <v>41.15896</v>
      </c>
      <c r="F20" s="27">
        <v>0.90071928092756404</v>
      </c>
    </row>
    <row r="21" spans="1:9" x14ac:dyDescent="0.2">
      <c r="A21" s="24" t="s">
        <v>1594</v>
      </c>
      <c r="B21" s="24" t="s">
        <v>1595</v>
      </c>
      <c r="C21" s="24" t="s">
        <v>815</v>
      </c>
      <c r="D21" s="28">
        <v>1</v>
      </c>
      <c r="E21" s="26">
        <v>11.63105</v>
      </c>
      <c r="F21" s="27">
        <v>0.25453293748026101</v>
      </c>
    </row>
    <row r="22" spans="1:9" x14ac:dyDescent="0.2">
      <c r="A22" s="24" t="s">
        <v>1351</v>
      </c>
      <c r="B22" s="24" t="s">
        <v>1352</v>
      </c>
      <c r="C22" s="24" t="s">
        <v>1278</v>
      </c>
      <c r="D22" s="28">
        <v>1</v>
      </c>
      <c r="E22" s="26">
        <v>10.201930000000001</v>
      </c>
      <c r="F22" s="27">
        <v>0.22325819344495901</v>
      </c>
    </row>
    <row r="23" spans="1:9" ht="10.5" x14ac:dyDescent="0.25">
      <c r="A23" s="23" t="s">
        <v>24</v>
      </c>
      <c r="B23" s="23"/>
      <c r="C23" s="23"/>
      <c r="D23" s="29"/>
      <c r="E23" s="30">
        <f>SUM(E5:E22)</f>
        <v>4423.9865499999996</v>
      </c>
      <c r="F23" s="31">
        <f>SUM(F5:F22)</f>
        <v>96.81415624080914</v>
      </c>
      <c r="G23" s="15"/>
      <c r="H23" s="15"/>
      <c r="I23" s="15"/>
    </row>
    <row r="24" spans="1:9" x14ac:dyDescent="0.2">
      <c r="A24" s="24"/>
      <c r="B24" s="24"/>
      <c r="C24" s="24"/>
      <c r="D24" s="25"/>
      <c r="E24" s="26"/>
      <c r="F24" s="27"/>
    </row>
    <row r="25" spans="1:9" ht="10.5" x14ac:dyDescent="0.25">
      <c r="A25" s="23" t="s">
        <v>25</v>
      </c>
      <c r="B25" s="23"/>
      <c r="C25" s="23"/>
      <c r="D25" s="29"/>
      <c r="E25" s="30">
        <f>E23</f>
        <v>4423.9865499999996</v>
      </c>
      <c r="F25" s="31">
        <f>F23</f>
        <v>96.81415624080914</v>
      </c>
      <c r="G25" s="15"/>
      <c r="H25" s="15"/>
      <c r="I25" s="15"/>
    </row>
    <row r="26" spans="1:9" ht="10.5" x14ac:dyDescent="0.25">
      <c r="A26" s="23"/>
      <c r="B26" s="23"/>
      <c r="C26" s="23"/>
      <c r="D26" s="29"/>
      <c r="E26" s="30"/>
      <c r="F26" s="31"/>
      <c r="G26" s="15"/>
      <c r="H26" s="15"/>
      <c r="I26" s="15"/>
    </row>
    <row r="27" spans="1:9" ht="10.5" x14ac:dyDescent="0.25">
      <c r="A27" s="23" t="s">
        <v>27</v>
      </c>
      <c r="B27" s="23"/>
      <c r="C27" s="23"/>
      <c r="D27" s="29"/>
      <c r="E27" s="30">
        <f>E29-(E23)</f>
        <v>145.5792261000006</v>
      </c>
      <c r="F27" s="31">
        <f>F29-(F23)</f>
        <v>3.1858437591908597</v>
      </c>
      <c r="G27" s="15"/>
      <c r="H27" s="15"/>
      <c r="I27" s="15"/>
    </row>
    <row r="28" spans="1:9" ht="10.5" x14ac:dyDescent="0.25">
      <c r="A28" s="23"/>
      <c r="B28" s="23"/>
      <c r="C28" s="23"/>
      <c r="D28" s="29"/>
      <c r="E28" s="30"/>
      <c r="F28" s="31"/>
      <c r="G28" s="15"/>
      <c r="H28" s="15"/>
      <c r="I28" s="15"/>
    </row>
    <row r="29" spans="1:9" ht="10.5" x14ac:dyDescent="0.25">
      <c r="A29" s="32" t="s">
        <v>26</v>
      </c>
      <c r="B29" s="32"/>
      <c r="C29" s="32"/>
      <c r="D29" s="33"/>
      <c r="E29" s="34">
        <v>4569.5657761000002</v>
      </c>
      <c r="F29" s="35">
        <v>100</v>
      </c>
      <c r="G29" s="15"/>
      <c r="H29" s="15"/>
      <c r="I29" s="15"/>
    </row>
    <row r="30" spans="1:9" ht="10.5" x14ac:dyDescent="0.25">
      <c r="A30" s="15" t="s">
        <v>872</v>
      </c>
    </row>
    <row r="32" spans="1:9" ht="10.5" x14ac:dyDescent="0.25">
      <c r="A32" s="15" t="s">
        <v>28</v>
      </c>
    </row>
    <row r="33" spans="1:5" ht="10.5" x14ac:dyDescent="0.25">
      <c r="A33" s="15" t="s">
        <v>29</v>
      </c>
    </row>
    <row r="34" spans="1:5" ht="10.5" x14ac:dyDescent="0.25">
      <c r="A34" s="15" t="s">
        <v>30</v>
      </c>
      <c r="B34" s="15"/>
      <c r="C34" s="36" t="s">
        <v>32</v>
      </c>
      <c r="D34" s="16" t="s">
        <v>31</v>
      </c>
    </row>
    <row r="35" spans="1:5" x14ac:dyDescent="0.2">
      <c r="A35" s="9" t="s">
        <v>38</v>
      </c>
      <c r="C35" s="37">
        <v>10.929399999999999</v>
      </c>
      <c r="D35" s="37">
        <v>11.432</v>
      </c>
    </row>
    <row r="36" spans="1:5" x14ac:dyDescent="0.2">
      <c r="A36" s="9" t="s">
        <v>1600</v>
      </c>
      <c r="C36" s="37">
        <v>10.929399999999999</v>
      </c>
      <c r="D36" s="37">
        <v>10.636699999999999</v>
      </c>
    </row>
    <row r="37" spans="1:5" x14ac:dyDescent="0.2">
      <c r="A37" s="9" t="s">
        <v>1219</v>
      </c>
      <c r="C37" s="37">
        <v>10.368600000000001</v>
      </c>
      <c r="D37" s="37">
        <v>10.419600000000001</v>
      </c>
    </row>
    <row r="38" spans="1:5" x14ac:dyDescent="0.2">
      <c r="A38" s="9" t="s">
        <v>39</v>
      </c>
      <c r="C38" s="37">
        <v>10.956899999999999</v>
      </c>
      <c r="D38" s="37">
        <v>11.477600000000001</v>
      </c>
    </row>
    <row r="40" spans="1:5" ht="10.5" x14ac:dyDescent="0.25">
      <c r="A40" s="15" t="s">
        <v>1882</v>
      </c>
    </row>
    <row r="41" spans="1:5" ht="10.5" x14ac:dyDescent="0.25">
      <c r="A41" s="90" t="s">
        <v>33</v>
      </c>
      <c r="B41" s="91"/>
      <c r="C41" s="92" t="s">
        <v>1883</v>
      </c>
      <c r="D41" s="93"/>
    </row>
    <row r="42" spans="1:5" ht="10.5" x14ac:dyDescent="0.25">
      <c r="A42" s="90"/>
      <c r="B42" s="91"/>
      <c r="C42" s="38" t="s">
        <v>34</v>
      </c>
      <c r="D42" s="39" t="s">
        <v>35</v>
      </c>
    </row>
    <row r="43" spans="1:5" x14ac:dyDescent="0.2">
      <c r="A43" s="96" t="s">
        <v>1600</v>
      </c>
      <c r="B43" s="97"/>
      <c r="C43" s="40">
        <v>0.55825009250000002</v>
      </c>
      <c r="D43" s="40">
        <v>0.51694236780000002</v>
      </c>
    </row>
    <row r="44" spans="1:5" x14ac:dyDescent="0.2">
      <c r="A44" s="96" t="s">
        <v>1219</v>
      </c>
      <c r="B44" s="97"/>
      <c r="C44" s="40">
        <v>0.30253553399999999</v>
      </c>
      <c r="D44" s="40">
        <v>0.28014941230000001</v>
      </c>
    </row>
    <row r="46" spans="1:5" ht="10.5" x14ac:dyDescent="0.25">
      <c r="A46" s="15" t="s">
        <v>882</v>
      </c>
      <c r="D46" s="11">
        <v>1.80818904521858</v>
      </c>
      <c r="E46" s="11" t="s">
        <v>883</v>
      </c>
    </row>
    <row r="48" spans="1:5" ht="10.5" x14ac:dyDescent="0.25">
      <c r="A48" s="15" t="s">
        <v>884</v>
      </c>
      <c r="D48" s="41" t="s">
        <v>36</v>
      </c>
    </row>
  </sheetData>
  <mergeCells count="6">
    <mergeCell ref="A44:B44"/>
    <mergeCell ref="A1:F1"/>
    <mergeCell ref="A41:B41"/>
    <mergeCell ref="C41:D41"/>
    <mergeCell ref="A42:B42"/>
    <mergeCell ref="A43:B43"/>
  </mergeCells>
  <conditionalFormatting sqref="F2 F4:F65536">
    <cfRule type="cellIs" dxfId="5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7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.7265625" style="11" customWidth="1"/>
    <col min="6" max="6" width="10.45312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1628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30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1434</v>
      </c>
      <c r="B6" s="24" t="s">
        <v>1435</v>
      </c>
      <c r="C6" s="24" t="s">
        <v>1278</v>
      </c>
      <c r="D6" s="28">
        <v>26</v>
      </c>
      <c r="E6" s="26">
        <v>301.14708000000002</v>
      </c>
      <c r="F6" s="27">
        <v>11.647093222031</v>
      </c>
    </row>
    <row r="7" spans="1:6" x14ac:dyDescent="0.2">
      <c r="A7" s="24" t="s">
        <v>1442</v>
      </c>
      <c r="B7" s="24" t="s">
        <v>1443</v>
      </c>
      <c r="C7" s="24" t="s">
        <v>815</v>
      </c>
      <c r="D7" s="28">
        <v>28</v>
      </c>
      <c r="E7" s="26">
        <v>283.11948000000001</v>
      </c>
      <c r="F7" s="27">
        <v>10.9498620293211</v>
      </c>
    </row>
    <row r="8" spans="1:6" x14ac:dyDescent="0.2">
      <c r="A8" s="24" t="s">
        <v>1490</v>
      </c>
      <c r="B8" s="24" t="s">
        <v>1491</v>
      </c>
      <c r="C8" s="24" t="s">
        <v>1328</v>
      </c>
      <c r="D8" s="28">
        <v>27</v>
      </c>
      <c r="E8" s="26">
        <v>277.35048</v>
      </c>
      <c r="F8" s="27">
        <v>10.7267415501257</v>
      </c>
    </row>
    <row r="9" spans="1:6" x14ac:dyDescent="0.2">
      <c r="A9" s="24" t="s">
        <v>1409</v>
      </c>
      <c r="B9" s="24" t="s">
        <v>1410</v>
      </c>
      <c r="C9" s="24" t="s">
        <v>1328</v>
      </c>
      <c r="D9" s="28">
        <v>26</v>
      </c>
      <c r="E9" s="26">
        <v>271.56817999999998</v>
      </c>
      <c r="F9" s="27">
        <v>10.503106683276799</v>
      </c>
    </row>
    <row r="10" spans="1:6" x14ac:dyDescent="0.2">
      <c r="A10" s="24" t="s">
        <v>1389</v>
      </c>
      <c r="B10" s="24" t="s">
        <v>1390</v>
      </c>
      <c r="C10" s="24" t="s">
        <v>815</v>
      </c>
      <c r="D10" s="28">
        <v>26</v>
      </c>
      <c r="E10" s="26">
        <v>270.41663999999997</v>
      </c>
      <c r="F10" s="27">
        <v>10.458569994663</v>
      </c>
    </row>
    <row r="11" spans="1:6" x14ac:dyDescent="0.2">
      <c r="A11" s="24" t="s">
        <v>1623</v>
      </c>
      <c r="B11" s="24" t="s">
        <v>1624</v>
      </c>
      <c r="C11" s="24" t="s">
        <v>1278</v>
      </c>
      <c r="D11" s="28">
        <v>26</v>
      </c>
      <c r="E11" s="26">
        <v>268.76434</v>
      </c>
      <c r="F11" s="27">
        <v>10.3946660307569</v>
      </c>
    </row>
    <row r="12" spans="1:6" x14ac:dyDescent="0.2">
      <c r="A12" s="24" t="s">
        <v>813</v>
      </c>
      <c r="B12" s="24" t="s">
        <v>814</v>
      </c>
      <c r="C12" s="24" t="s">
        <v>815</v>
      </c>
      <c r="D12" s="28">
        <v>26</v>
      </c>
      <c r="E12" s="26">
        <v>267.18353999999999</v>
      </c>
      <c r="F12" s="27">
        <v>10.3335273839356</v>
      </c>
    </row>
    <row r="13" spans="1:6" x14ac:dyDescent="0.2">
      <c r="A13" s="24" t="s">
        <v>1351</v>
      </c>
      <c r="B13" s="24" t="s">
        <v>1352</v>
      </c>
      <c r="C13" s="24" t="s">
        <v>1278</v>
      </c>
      <c r="D13" s="28">
        <v>24</v>
      </c>
      <c r="E13" s="26">
        <v>244.84631999999999</v>
      </c>
      <c r="F13" s="27">
        <v>9.46961834765664</v>
      </c>
    </row>
    <row r="14" spans="1:6" x14ac:dyDescent="0.2">
      <c r="A14" s="24" t="s">
        <v>1604</v>
      </c>
      <c r="B14" s="24" t="s">
        <v>1605</v>
      </c>
      <c r="C14" s="24" t="s">
        <v>815</v>
      </c>
      <c r="D14" s="28">
        <v>12</v>
      </c>
      <c r="E14" s="26">
        <v>123.60527999999999</v>
      </c>
      <c r="F14" s="27">
        <v>4.7805285672875799</v>
      </c>
    </row>
    <row r="15" spans="1:6" x14ac:dyDescent="0.2">
      <c r="A15" s="24" t="s">
        <v>1621</v>
      </c>
      <c r="B15" s="24" t="s">
        <v>1622</v>
      </c>
      <c r="C15" s="24" t="s">
        <v>815</v>
      </c>
      <c r="D15" s="28">
        <v>10</v>
      </c>
      <c r="E15" s="26">
        <v>115.51609999999999</v>
      </c>
      <c r="F15" s="27">
        <v>4.46767335531014</v>
      </c>
    </row>
    <row r="16" spans="1:6" x14ac:dyDescent="0.2">
      <c r="A16" s="24" t="s">
        <v>1594</v>
      </c>
      <c r="B16" s="24" t="s">
        <v>1595</v>
      </c>
      <c r="C16" s="24" t="s">
        <v>815</v>
      </c>
      <c r="D16" s="28">
        <v>2</v>
      </c>
      <c r="E16" s="26">
        <v>23.2621</v>
      </c>
      <c r="F16" s="27">
        <v>0.89967947635489698</v>
      </c>
    </row>
    <row r="17" spans="1:9" x14ac:dyDescent="0.2">
      <c r="A17" s="24" t="s">
        <v>1615</v>
      </c>
      <c r="B17" s="24" t="s">
        <v>1616</v>
      </c>
      <c r="C17" s="24" t="s">
        <v>1278</v>
      </c>
      <c r="D17" s="28">
        <v>2</v>
      </c>
      <c r="E17" s="26">
        <v>20.57948</v>
      </c>
      <c r="F17" s="27">
        <v>0.79592709987731403</v>
      </c>
    </row>
    <row r="18" spans="1:9" ht="10.5" x14ac:dyDescent="0.25">
      <c r="A18" s="23" t="s">
        <v>24</v>
      </c>
      <c r="B18" s="23"/>
      <c r="C18" s="23"/>
      <c r="D18" s="29"/>
      <c r="E18" s="30">
        <f>SUM(E5:E17)</f>
        <v>2467.3590199999994</v>
      </c>
      <c r="F18" s="31">
        <f>SUM(F5:F17)</f>
        <v>95.426993740596657</v>
      </c>
      <c r="G18" s="15"/>
      <c r="H18" s="15"/>
      <c r="I18" s="15"/>
    </row>
    <row r="19" spans="1:9" x14ac:dyDescent="0.2">
      <c r="A19" s="24"/>
      <c r="B19" s="24"/>
      <c r="C19" s="24"/>
      <c r="D19" s="25"/>
      <c r="E19" s="26"/>
      <c r="F19" s="27"/>
    </row>
    <row r="20" spans="1:9" ht="10.5" x14ac:dyDescent="0.25">
      <c r="A20" s="23" t="s">
        <v>25</v>
      </c>
      <c r="B20" s="23"/>
      <c r="C20" s="23"/>
      <c r="D20" s="29"/>
      <c r="E20" s="30">
        <f>E18</f>
        <v>2467.3590199999994</v>
      </c>
      <c r="F20" s="31">
        <f>F18</f>
        <v>95.426993740596657</v>
      </c>
      <c r="G20" s="15"/>
      <c r="H20" s="15"/>
      <c r="I20" s="15"/>
    </row>
    <row r="21" spans="1:9" ht="10.5" x14ac:dyDescent="0.25">
      <c r="A21" s="23"/>
      <c r="B21" s="23"/>
      <c r="C21" s="23"/>
      <c r="D21" s="29"/>
      <c r="E21" s="30"/>
      <c r="F21" s="31"/>
      <c r="G21" s="15"/>
      <c r="H21" s="15"/>
      <c r="I21" s="15"/>
    </row>
    <row r="22" spans="1:9" ht="10.5" x14ac:dyDescent="0.25">
      <c r="A22" s="23" t="s">
        <v>27</v>
      </c>
      <c r="B22" s="23"/>
      <c r="C22" s="23"/>
      <c r="D22" s="29"/>
      <c r="E22" s="30">
        <f>E24-(E18)</f>
        <v>118.23958610000045</v>
      </c>
      <c r="F22" s="31">
        <f>F24-(F18)</f>
        <v>4.5730062594033427</v>
      </c>
      <c r="G22" s="15"/>
      <c r="H22" s="15"/>
      <c r="I22" s="15"/>
    </row>
    <row r="23" spans="1:9" ht="10.5" x14ac:dyDescent="0.25">
      <c r="A23" s="23"/>
      <c r="B23" s="23"/>
      <c r="C23" s="23"/>
      <c r="D23" s="29"/>
      <c r="E23" s="30"/>
      <c r="F23" s="31"/>
      <c r="G23" s="15"/>
      <c r="H23" s="15"/>
      <c r="I23" s="15"/>
    </row>
    <row r="24" spans="1:9" ht="10.5" x14ac:dyDescent="0.25">
      <c r="A24" s="32" t="s">
        <v>26</v>
      </c>
      <c r="B24" s="32"/>
      <c r="C24" s="32"/>
      <c r="D24" s="33"/>
      <c r="E24" s="34">
        <v>2585.5986060999999</v>
      </c>
      <c r="F24" s="35">
        <v>100</v>
      </c>
      <c r="G24" s="15"/>
      <c r="H24" s="15"/>
      <c r="I24" s="15"/>
    </row>
    <row r="25" spans="1:9" ht="10.5" x14ac:dyDescent="0.25">
      <c r="A25" s="15" t="s">
        <v>872</v>
      </c>
    </row>
    <row r="27" spans="1:9" ht="10.5" x14ac:dyDescent="0.25">
      <c r="A27" s="15" t="s">
        <v>28</v>
      </c>
    </row>
    <row r="28" spans="1:9" ht="10.5" x14ac:dyDescent="0.25">
      <c r="A28" s="15" t="s">
        <v>29</v>
      </c>
    </row>
    <row r="29" spans="1:9" ht="10.5" x14ac:dyDescent="0.25">
      <c r="A29" s="15" t="s">
        <v>30</v>
      </c>
      <c r="B29" s="15"/>
      <c r="C29" s="36" t="s">
        <v>32</v>
      </c>
      <c r="D29" s="16" t="s">
        <v>31</v>
      </c>
    </row>
    <row r="30" spans="1:9" x14ac:dyDescent="0.2">
      <c r="A30" s="9" t="s">
        <v>38</v>
      </c>
      <c r="C30" s="37">
        <v>11.058299999999999</v>
      </c>
      <c r="D30" s="37">
        <v>11.597899999999999</v>
      </c>
    </row>
    <row r="31" spans="1:9" x14ac:dyDescent="0.2">
      <c r="A31" s="9" t="s">
        <v>1600</v>
      </c>
      <c r="C31" s="37">
        <v>11.058299999999999</v>
      </c>
      <c r="D31" s="37">
        <v>10.7775</v>
      </c>
    </row>
    <row r="32" spans="1:9" x14ac:dyDescent="0.2">
      <c r="A32" s="9" t="s">
        <v>1219</v>
      </c>
      <c r="C32" s="37">
        <v>10.465</v>
      </c>
      <c r="D32" s="37">
        <v>10.5177</v>
      </c>
    </row>
    <row r="33" spans="1:5" x14ac:dyDescent="0.2">
      <c r="A33" s="9" t="s">
        <v>39</v>
      </c>
      <c r="C33" s="37">
        <v>11.088800000000001</v>
      </c>
      <c r="D33" s="37">
        <v>11.6473</v>
      </c>
    </row>
    <row r="34" spans="1:5" x14ac:dyDescent="0.2">
      <c r="A34" s="9" t="s">
        <v>41</v>
      </c>
      <c r="C34" s="37">
        <v>11.088800000000001</v>
      </c>
      <c r="D34" s="37">
        <v>10.8245</v>
      </c>
    </row>
    <row r="35" spans="1:5" x14ac:dyDescent="0.2">
      <c r="A35" s="9" t="s">
        <v>1221</v>
      </c>
      <c r="C35" s="37">
        <v>10.4947</v>
      </c>
      <c r="D35" s="37">
        <v>10.565</v>
      </c>
    </row>
    <row r="37" spans="1:5" ht="10.5" x14ac:dyDescent="0.25">
      <c r="A37" s="15" t="s">
        <v>1882</v>
      </c>
    </row>
    <row r="38" spans="1:5" ht="10.5" x14ac:dyDescent="0.25">
      <c r="A38" s="90" t="s">
        <v>33</v>
      </c>
      <c r="B38" s="91"/>
      <c r="C38" s="92" t="s">
        <v>1883</v>
      </c>
      <c r="D38" s="93"/>
    </row>
    <row r="39" spans="1:5" ht="10.5" x14ac:dyDescent="0.25">
      <c r="A39" s="90"/>
      <c r="B39" s="91"/>
      <c r="C39" s="38" t="s">
        <v>34</v>
      </c>
      <c r="D39" s="39" t="s">
        <v>35</v>
      </c>
    </row>
    <row r="40" spans="1:5" x14ac:dyDescent="0.2">
      <c r="A40" s="96" t="s">
        <v>1600</v>
      </c>
      <c r="B40" s="97"/>
      <c r="C40" s="40">
        <v>0.56905493299999999</v>
      </c>
      <c r="D40" s="40">
        <v>0.52694770390000001</v>
      </c>
    </row>
    <row r="41" spans="1:5" x14ac:dyDescent="0.2">
      <c r="A41" s="96" t="s">
        <v>1219</v>
      </c>
      <c r="B41" s="97"/>
      <c r="C41" s="40">
        <v>0.3205436015</v>
      </c>
      <c r="D41" s="40">
        <v>0.29682497250000001</v>
      </c>
    </row>
    <row r="42" spans="1:5" x14ac:dyDescent="0.2">
      <c r="A42" s="96" t="s">
        <v>41</v>
      </c>
      <c r="B42" s="97"/>
      <c r="C42" s="40">
        <v>0.56905493299999999</v>
      </c>
      <c r="D42" s="40">
        <v>0.52694770390000001</v>
      </c>
    </row>
    <row r="43" spans="1:5" x14ac:dyDescent="0.2">
      <c r="A43" s="96" t="s">
        <v>1221</v>
      </c>
      <c r="B43" s="97"/>
      <c r="C43" s="40">
        <v>0.3205436015</v>
      </c>
      <c r="D43" s="40">
        <v>0.29682497250000001</v>
      </c>
    </row>
    <row r="45" spans="1:5" ht="10.5" x14ac:dyDescent="0.25">
      <c r="A45" s="15" t="s">
        <v>882</v>
      </c>
      <c r="D45" s="11">
        <v>1.75132811584699</v>
      </c>
      <c r="E45" s="11" t="s">
        <v>883</v>
      </c>
    </row>
    <row r="47" spans="1:5" ht="10.5" x14ac:dyDescent="0.25">
      <c r="A47" s="15" t="s">
        <v>884</v>
      </c>
      <c r="D47" s="41" t="s">
        <v>36</v>
      </c>
    </row>
  </sheetData>
  <mergeCells count="8">
    <mergeCell ref="A42:B42"/>
    <mergeCell ref="A43:B43"/>
    <mergeCell ref="A1:F1"/>
    <mergeCell ref="A38:B38"/>
    <mergeCell ref="C38:D38"/>
    <mergeCell ref="A39:B39"/>
    <mergeCell ref="A40:B40"/>
    <mergeCell ref="A41:B41"/>
  </mergeCells>
  <conditionalFormatting sqref="F2 F4:F65536">
    <cfRule type="cellIs" dxfId="53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81640625" style="9" bestFit="1" customWidth="1"/>
    <col min="3" max="3" width="15.453125" style="9" bestFit="1" customWidth="1"/>
    <col min="4" max="4" width="15.453125" style="10" bestFit="1" customWidth="1"/>
    <col min="5" max="5" width="14.26953125" style="11" customWidth="1"/>
    <col min="6" max="6" width="8.726562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1629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5.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1434</v>
      </c>
      <c r="B6" s="24" t="s">
        <v>1435</v>
      </c>
      <c r="C6" s="24" t="s">
        <v>1278</v>
      </c>
      <c r="D6" s="28">
        <v>50</v>
      </c>
      <c r="E6" s="26">
        <v>579.12900000000002</v>
      </c>
      <c r="F6" s="27">
        <v>11.7538595655625</v>
      </c>
    </row>
    <row r="7" spans="1:6" x14ac:dyDescent="0.2">
      <c r="A7" s="24" t="s">
        <v>1389</v>
      </c>
      <c r="B7" s="24" t="s">
        <v>1390</v>
      </c>
      <c r="C7" s="24" t="s">
        <v>815</v>
      </c>
      <c r="D7" s="28">
        <v>50</v>
      </c>
      <c r="E7" s="26">
        <v>520.03200000000004</v>
      </c>
      <c r="F7" s="27">
        <v>10.554441407007101</v>
      </c>
    </row>
    <row r="8" spans="1:6" x14ac:dyDescent="0.2">
      <c r="A8" s="24" t="s">
        <v>1490</v>
      </c>
      <c r="B8" s="24" t="s">
        <v>1491</v>
      </c>
      <c r="C8" s="24" t="s">
        <v>1328</v>
      </c>
      <c r="D8" s="28">
        <v>50</v>
      </c>
      <c r="E8" s="26">
        <v>513.61199999999997</v>
      </c>
      <c r="F8" s="27">
        <v>10.424142668019901</v>
      </c>
    </row>
    <row r="9" spans="1:6" x14ac:dyDescent="0.2">
      <c r="A9" s="24" t="s">
        <v>1425</v>
      </c>
      <c r="B9" s="24" t="s">
        <v>1426</v>
      </c>
      <c r="C9" s="24" t="s">
        <v>1427</v>
      </c>
      <c r="D9" s="28">
        <v>48</v>
      </c>
      <c r="E9" s="26">
        <v>512.74127999999996</v>
      </c>
      <c r="F9" s="27">
        <v>10.4064707493266</v>
      </c>
    </row>
    <row r="10" spans="1:6" x14ac:dyDescent="0.2">
      <c r="A10" s="24" t="s">
        <v>1630</v>
      </c>
      <c r="B10" s="24" t="s">
        <v>1631</v>
      </c>
      <c r="C10" s="24" t="s">
        <v>815</v>
      </c>
      <c r="D10" s="28">
        <v>50</v>
      </c>
      <c r="E10" s="26">
        <v>505.76249999999999</v>
      </c>
      <c r="F10" s="27">
        <v>10.2648311490666</v>
      </c>
    </row>
    <row r="11" spans="1:6" x14ac:dyDescent="0.2">
      <c r="A11" s="24" t="s">
        <v>1632</v>
      </c>
      <c r="B11" s="24" t="s">
        <v>1633</v>
      </c>
      <c r="C11" s="24" t="s">
        <v>815</v>
      </c>
      <c r="D11" s="28">
        <v>50</v>
      </c>
      <c r="E11" s="26">
        <v>505.2715</v>
      </c>
      <c r="F11" s="27">
        <v>10.254865933982099</v>
      </c>
    </row>
    <row r="12" spans="1:6" x14ac:dyDescent="0.2">
      <c r="A12" s="24" t="s">
        <v>813</v>
      </c>
      <c r="B12" s="24" t="s">
        <v>814</v>
      </c>
      <c r="C12" s="24" t="s">
        <v>815</v>
      </c>
      <c r="D12" s="28">
        <v>49</v>
      </c>
      <c r="E12" s="26">
        <v>503.53820999999999</v>
      </c>
      <c r="F12" s="27">
        <v>10.2196875069884</v>
      </c>
    </row>
    <row r="13" spans="1:6" x14ac:dyDescent="0.2">
      <c r="A13" s="24" t="s">
        <v>1409</v>
      </c>
      <c r="B13" s="24" t="s">
        <v>1410</v>
      </c>
      <c r="C13" s="24" t="s">
        <v>1328</v>
      </c>
      <c r="D13" s="28">
        <v>20</v>
      </c>
      <c r="E13" s="26">
        <v>208.89859999999999</v>
      </c>
      <c r="F13" s="27">
        <v>4.2397545414624602</v>
      </c>
    </row>
    <row r="14" spans="1:6" x14ac:dyDescent="0.2">
      <c r="A14" s="24" t="s">
        <v>1623</v>
      </c>
      <c r="B14" s="24" t="s">
        <v>1624</v>
      </c>
      <c r="C14" s="24" t="s">
        <v>1278</v>
      </c>
      <c r="D14" s="28">
        <v>15</v>
      </c>
      <c r="E14" s="26">
        <v>155.05635000000001</v>
      </c>
      <c r="F14" s="27">
        <v>3.1469854948529701</v>
      </c>
    </row>
    <row r="15" spans="1:6" x14ac:dyDescent="0.2">
      <c r="A15" s="24" t="s">
        <v>1615</v>
      </c>
      <c r="B15" s="24" t="s">
        <v>1616</v>
      </c>
      <c r="C15" s="24" t="s">
        <v>1278</v>
      </c>
      <c r="D15" s="28">
        <v>6</v>
      </c>
      <c r="E15" s="26">
        <v>61.738439999999997</v>
      </c>
      <c r="F15" s="27">
        <v>1.2530281743047</v>
      </c>
    </row>
    <row r="16" spans="1:6" x14ac:dyDescent="0.2">
      <c r="A16" s="24" t="s">
        <v>1604</v>
      </c>
      <c r="B16" s="24" t="s">
        <v>1605</v>
      </c>
      <c r="C16" s="24" t="s">
        <v>815</v>
      </c>
      <c r="D16" s="28">
        <v>4</v>
      </c>
      <c r="E16" s="26">
        <v>41.20176</v>
      </c>
      <c r="F16" s="27">
        <v>0.83622077446304699</v>
      </c>
    </row>
    <row r="17" spans="1:9" x14ac:dyDescent="0.2">
      <c r="A17" s="24" t="s">
        <v>1590</v>
      </c>
      <c r="B17" s="24" t="s">
        <v>1591</v>
      </c>
      <c r="C17" s="24" t="s">
        <v>815</v>
      </c>
      <c r="D17" s="28">
        <v>3</v>
      </c>
      <c r="E17" s="26">
        <v>35.345610000000001</v>
      </c>
      <c r="F17" s="27">
        <v>0.71736579622008401</v>
      </c>
    </row>
    <row r="18" spans="1:9" x14ac:dyDescent="0.2">
      <c r="A18" s="24" t="s">
        <v>1594</v>
      </c>
      <c r="B18" s="24" t="s">
        <v>1595</v>
      </c>
      <c r="C18" s="24" t="s">
        <v>815</v>
      </c>
      <c r="D18" s="28">
        <v>3</v>
      </c>
      <c r="E18" s="26">
        <v>34.893149999999999</v>
      </c>
      <c r="F18" s="27">
        <v>0.708182779484548</v>
      </c>
    </row>
    <row r="19" spans="1:9" x14ac:dyDescent="0.2">
      <c r="A19" s="24" t="s">
        <v>1606</v>
      </c>
      <c r="B19" s="24" t="s">
        <v>1607</v>
      </c>
      <c r="C19" s="24" t="s">
        <v>998</v>
      </c>
      <c r="D19" s="28">
        <v>3</v>
      </c>
      <c r="E19" s="26">
        <v>34.214190000000002</v>
      </c>
      <c r="F19" s="27">
        <v>0.69440277452773502</v>
      </c>
    </row>
    <row r="20" spans="1:9" x14ac:dyDescent="0.2">
      <c r="A20" s="24" t="s">
        <v>1395</v>
      </c>
      <c r="B20" s="24" t="s">
        <v>1396</v>
      </c>
      <c r="C20" s="24" t="s">
        <v>1328</v>
      </c>
      <c r="D20" s="28">
        <v>2</v>
      </c>
      <c r="E20" s="26">
        <v>20.67822</v>
      </c>
      <c r="F20" s="27">
        <v>0.41968006082549097</v>
      </c>
    </row>
    <row r="21" spans="1:9" x14ac:dyDescent="0.2">
      <c r="A21" s="24" t="s">
        <v>1345</v>
      </c>
      <c r="B21" s="24" t="s">
        <v>1346</v>
      </c>
      <c r="C21" s="24" t="s">
        <v>804</v>
      </c>
      <c r="D21" s="28">
        <v>1</v>
      </c>
      <c r="E21" s="26">
        <v>10.14579</v>
      </c>
      <c r="F21" s="27">
        <v>0.20591645530044</v>
      </c>
    </row>
    <row r="22" spans="1:9" ht="10.5" x14ac:dyDescent="0.25">
      <c r="A22" s="23" t="s">
        <v>24</v>
      </c>
      <c r="B22" s="23"/>
      <c r="C22" s="23"/>
      <c r="D22" s="29"/>
      <c r="E22" s="30">
        <f>SUM(E5:E21)</f>
        <v>4242.2585999999992</v>
      </c>
      <c r="F22" s="31">
        <f>SUM(F5:F21)</f>
        <v>86.099835831394657</v>
      </c>
      <c r="G22" s="15"/>
      <c r="H22" s="15"/>
      <c r="I22" s="15"/>
    </row>
    <row r="23" spans="1:9" x14ac:dyDescent="0.2">
      <c r="A23" s="24"/>
      <c r="B23" s="24"/>
      <c r="C23" s="24"/>
      <c r="D23" s="25"/>
      <c r="E23" s="26"/>
      <c r="F23" s="27"/>
    </row>
    <row r="24" spans="1:9" ht="10.5" x14ac:dyDescent="0.25">
      <c r="A24" s="23" t="s">
        <v>818</v>
      </c>
      <c r="B24" s="24"/>
      <c r="C24" s="24"/>
      <c r="D24" s="25"/>
      <c r="E24" s="26"/>
      <c r="F24" s="27"/>
    </row>
    <row r="25" spans="1:9" x14ac:dyDescent="0.2">
      <c r="A25" s="24" t="s">
        <v>1634</v>
      </c>
      <c r="B25" s="24" t="s">
        <v>1635</v>
      </c>
      <c r="C25" s="24" t="s">
        <v>815</v>
      </c>
      <c r="D25" s="28">
        <v>50</v>
      </c>
      <c r="E25" s="26">
        <v>500.84750000000003</v>
      </c>
      <c r="F25" s="27">
        <v>10.1650775194526</v>
      </c>
    </row>
    <row r="26" spans="1:9" ht="10.5" x14ac:dyDescent="0.25">
      <c r="A26" s="23" t="s">
        <v>24</v>
      </c>
      <c r="B26" s="23"/>
      <c r="C26" s="23"/>
      <c r="D26" s="29"/>
      <c r="E26" s="30">
        <f>SUM(E24:E25)</f>
        <v>500.84750000000003</v>
      </c>
      <c r="F26" s="31">
        <f>SUM(F24:F25)</f>
        <v>10.1650775194526</v>
      </c>
      <c r="G26" s="15"/>
      <c r="H26" s="15"/>
      <c r="I26" s="15"/>
    </row>
    <row r="27" spans="1:9" x14ac:dyDescent="0.2">
      <c r="A27" s="24"/>
      <c r="B27" s="24"/>
      <c r="C27" s="24"/>
      <c r="D27" s="25"/>
      <c r="E27" s="26"/>
      <c r="F27" s="27"/>
    </row>
    <row r="28" spans="1:9" ht="10.5" x14ac:dyDescent="0.25">
      <c r="A28" s="23" t="s">
        <v>25</v>
      </c>
      <c r="B28" s="23"/>
      <c r="C28" s="23"/>
      <c r="D28" s="29"/>
      <c r="E28" s="30">
        <f>E22+E26</f>
        <v>4743.1060999999991</v>
      </c>
      <c r="F28" s="31">
        <f>F22+F26</f>
        <v>96.264913350847252</v>
      </c>
      <c r="G28" s="15"/>
      <c r="H28" s="15"/>
      <c r="I28" s="15"/>
    </row>
    <row r="29" spans="1:9" ht="10.5" x14ac:dyDescent="0.25">
      <c r="A29" s="23"/>
      <c r="B29" s="23"/>
      <c r="C29" s="23"/>
      <c r="D29" s="29"/>
      <c r="E29" s="30"/>
      <c r="F29" s="31"/>
      <c r="G29" s="15"/>
      <c r="H29" s="15"/>
      <c r="I29" s="15"/>
    </row>
    <row r="30" spans="1:9" ht="10.5" x14ac:dyDescent="0.25">
      <c r="A30" s="23" t="s">
        <v>27</v>
      </c>
      <c r="B30" s="23"/>
      <c r="C30" s="23"/>
      <c r="D30" s="29"/>
      <c r="E30" s="30">
        <f>E32-(E22+E26)</f>
        <v>184.03291140000056</v>
      </c>
      <c r="F30" s="31">
        <f>F32-(F22+F26)</f>
        <v>3.7350866491527484</v>
      </c>
      <c r="G30" s="15"/>
      <c r="H30" s="15"/>
      <c r="I30" s="15"/>
    </row>
    <row r="31" spans="1:9" ht="10.5" x14ac:dyDescent="0.25">
      <c r="A31" s="23"/>
      <c r="B31" s="23"/>
      <c r="C31" s="23"/>
      <c r="D31" s="29"/>
      <c r="E31" s="30"/>
      <c r="F31" s="31"/>
      <c r="G31" s="15"/>
      <c r="H31" s="15"/>
      <c r="I31" s="15"/>
    </row>
    <row r="32" spans="1:9" ht="10.5" x14ac:dyDescent="0.25">
      <c r="A32" s="32" t="s">
        <v>26</v>
      </c>
      <c r="B32" s="32"/>
      <c r="C32" s="32"/>
      <c r="D32" s="33"/>
      <c r="E32" s="34">
        <v>4927.1390113999996</v>
      </c>
      <c r="F32" s="35">
        <v>100</v>
      </c>
      <c r="G32" s="15"/>
      <c r="H32" s="15"/>
      <c r="I32" s="15"/>
    </row>
    <row r="33" spans="1:4" ht="10.5" x14ac:dyDescent="0.25">
      <c r="A33" s="15" t="s">
        <v>872</v>
      </c>
    </row>
    <row r="35" spans="1:4" ht="10.5" x14ac:dyDescent="0.25">
      <c r="A35" s="15" t="s">
        <v>28</v>
      </c>
    </row>
    <row r="36" spans="1:4" ht="10.5" x14ac:dyDescent="0.25">
      <c r="A36" s="15" t="s">
        <v>29</v>
      </c>
    </row>
    <row r="37" spans="1:4" ht="10.5" x14ac:dyDescent="0.25">
      <c r="A37" s="15" t="s">
        <v>30</v>
      </c>
      <c r="B37" s="15"/>
      <c r="C37" s="36" t="s">
        <v>32</v>
      </c>
      <c r="D37" s="16" t="s">
        <v>31</v>
      </c>
    </row>
    <row r="38" spans="1:4" x14ac:dyDescent="0.2">
      <c r="A38" s="9" t="s">
        <v>38</v>
      </c>
      <c r="C38" s="37">
        <v>11.040699999999999</v>
      </c>
      <c r="D38" s="37">
        <v>11.5306</v>
      </c>
    </row>
    <row r="39" spans="1:4" x14ac:dyDescent="0.2">
      <c r="A39" s="9" t="s">
        <v>1600</v>
      </c>
      <c r="C39" s="37">
        <v>11.040699999999999</v>
      </c>
      <c r="D39" s="37">
        <v>10.744400000000001</v>
      </c>
    </row>
    <row r="40" spans="1:4" x14ac:dyDescent="0.2">
      <c r="A40" s="9" t="s">
        <v>1219</v>
      </c>
      <c r="C40" s="37">
        <v>10.4575</v>
      </c>
      <c r="D40" s="37">
        <v>10.5426</v>
      </c>
    </row>
    <row r="41" spans="1:4" x14ac:dyDescent="0.2">
      <c r="A41" s="9" t="s">
        <v>39</v>
      </c>
      <c r="C41" s="37">
        <v>11.1456</v>
      </c>
      <c r="D41" s="37">
        <v>11.6525</v>
      </c>
    </row>
    <row r="42" spans="1:4" x14ac:dyDescent="0.2">
      <c r="A42" s="9" t="s">
        <v>41</v>
      </c>
      <c r="C42" s="37">
        <v>11.1456</v>
      </c>
      <c r="D42" s="37">
        <v>10.7607</v>
      </c>
    </row>
    <row r="43" spans="1:4" x14ac:dyDescent="0.2">
      <c r="A43" s="9" t="s">
        <v>1221</v>
      </c>
      <c r="C43" s="37">
        <v>10.5609</v>
      </c>
      <c r="D43" s="37">
        <v>10.5684</v>
      </c>
    </row>
    <row r="45" spans="1:4" ht="10.5" x14ac:dyDescent="0.25">
      <c r="A45" s="15" t="s">
        <v>1882</v>
      </c>
    </row>
    <row r="46" spans="1:4" ht="10.5" x14ac:dyDescent="0.25">
      <c r="A46" s="90" t="s">
        <v>33</v>
      </c>
      <c r="B46" s="91"/>
      <c r="C46" s="92" t="s">
        <v>1883</v>
      </c>
      <c r="D46" s="93"/>
    </row>
    <row r="47" spans="1:4" ht="10.5" x14ac:dyDescent="0.25">
      <c r="A47" s="90"/>
      <c r="B47" s="91"/>
      <c r="C47" s="38" t="s">
        <v>34</v>
      </c>
      <c r="D47" s="39" t="s">
        <v>35</v>
      </c>
    </row>
    <row r="48" spans="1:4" x14ac:dyDescent="0.2">
      <c r="A48" s="96" t="s">
        <v>1600</v>
      </c>
      <c r="B48" s="97"/>
      <c r="C48" s="40">
        <v>0.54744525200000005</v>
      </c>
      <c r="D48" s="40">
        <v>0.50693703160000003</v>
      </c>
    </row>
    <row r="49" spans="1:5" x14ac:dyDescent="0.2">
      <c r="A49" s="96" t="s">
        <v>1219</v>
      </c>
      <c r="B49" s="97"/>
      <c r="C49" s="40">
        <v>0.26651939899999999</v>
      </c>
      <c r="D49" s="40">
        <v>0.24679829180000001</v>
      </c>
    </row>
    <row r="50" spans="1:5" x14ac:dyDescent="0.2">
      <c r="A50" s="96" t="s">
        <v>41</v>
      </c>
      <c r="B50" s="97"/>
      <c r="C50" s="40">
        <v>0.61947752199999995</v>
      </c>
      <c r="D50" s="40">
        <v>0.57363927260000003</v>
      </c>
    </row>
    <row r="51" spans="1:5" x14ac:dyDescent="0.2">
      <c r="A51" s="96" t="s">
        <v>1221</v>
      </c>
      <c r="B51" s="97"/>
      <c r="C51" s="40">
        <v>0.33134844200000002</v>
      </c>
      <c r="D51" s="40">
        <v>0.3068303087</v>
      </c>
    </row>
    <row r="53" spans="1:5" ht="10.5" x14ac:dyDescent="0.25">
      <c r="A53" s="15" t="s">
        <v>882</v>
      </c>
      <c r="D53" s="11">
        <v>1.78529928155738</v>
      </c>
      <c r="E53" s="11" t="s">
        <v>883</v>
      </c>
    </row>
    <row r="55" spans="1:5" ht="10.5" x14ac:dyDescent="0.25">
      <c r="A55" s="15" t="s">
        <v>884</v>
      </c>
      <c r="D55" s="41" t="s">
        <v>36</v>
      </c>
    </row>
  </sheetData>
  <mergeCells count="8">
    <mergeCell ref="A50:B50"/>
    <mergeCell ref="A51:B51"/>
    <mergeCell ref="A1:F1"/>
    <mergeCell ref="A46:B46"/>
    <mergeCell ref="C46:D46"/>
    <mergeCell ref="A47:B47"/>
    <mergeCell ref="A48:B48"/>
    <mergeCell ref="A49:B49"/>
  </mergeCells>
  <conditionalFormatting sqref="F2 F4:F65536">
    <cfRule type="cellIs" dxfId="5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4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.26953125" style="9" bestFit="1" customWidth="1"/>
    <col min="3" max="3" width="15.453125" style="9" bestFit="1" customWidth="1"/>
    <col min="4" max="4" width="15.453125" style="10" bestFit="1" customWidth="1"/>
    <col min="5" max="5" width="13.453125" style="11" customWidth="1"/>
    <col min="6" max="6" width="8.26953125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1636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6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1419</v>
      </c>
      <c r="B6" s="24" t="s">
        <v>1420</v>
      </c>
      <c r="C6" s="24" t="s">
        <v>1328</v>
      </c>
      <c r="D6" s="28">
        <v>31</v>
      </c>
      <c r="E6" s="26">
        <v>320.64695</v>
      </c>
      <c r="F6" s="27">
        <v>10.518054755573001</v>
      </c>
    </row>
    <row r="7" spans="1:6" x14ac:dyDescent="0.2">
      <c r="A7" s="24" t="s">
        <v>1637</v>
      </c>
      <c r="B7" s="24" t="s">
        <v>1638</v>
      </c>
      <c r="C7" s="24" t="s">
        <v>815</v>
      </c>
      <c r="D7" s="28">
        <v>31</v>
      </c>
      <c r="E7" s="26">
        <v>316.79613000000001</v>
      </c>
      <c r="F7" s="27">
        <v>10.391737834068399</v>
      </c>
    </row>
    <row r="8" spans="1:6" x14ac:dyDescent="0.2">
      <c r="A8" s="24" t="s">
        <v>1413</v>
      </c>
      <c r="B8" s="24" t="s">
        <v>1414</v>
      </c>
      <c r="C8" s="24" t="s">
        <v>815</v>
      </c>
      <c r="D8" s="28">
        <v>31</v>
      </c>
      <c r="E8" s="26">
        <v>313.48129999999998</v>
      </c>
      <c r="F8" s="27">
        <v>10.2830027799991</v>
      </c>
    </row>
    <row r="9" spans="1:6" x14ac:dyDescent="0.2">
      <c r="A9" s="24" t="s">
        <v>813</v>
      </c>
      <c r="B9" s="24" t="s">
        <v>814</v>
      </c>
      <c r="C9" s="24" t="s">
        <v>815</v>
      </c>
      <c r="D9" s="28">
        <v>30</v>
      </c>
      <c r="E9" s="26">
        <v>308.28870000000001</v>
      </c>
      <c r="F9" s="27">
        <v>10.1126719812068</v>
      </c>
    </row>
    <row r="10" spans="1:6" x14ac:dyDescent="0.2">
      <c r="A10" s="24" t="s">
        <v>1326</v>
      </c>
      <c r="B10" s="24" t="s">
        <v>1327</v>
      </c>
      <c r="C10" s="24" t="s">
        <v>1328</v>
      </c>
      <c r="D10" s="28">
        <v>26</v>
      </c>
      <c r="E10" s="26">
        <v>261.80309999999997</v>
      </c>
      <c r="F10" s="27">
        <v>8.5878232772173995</v>
      </c>
    </row>
    <row r="11" spans="1:6" x14ac:dyDescent="0.2">
      <c r="A11" s="24" t="s">
        <v>1001</v>
      </c>
      <c r="B11" s="24" t="s">
        <v>1002</v>
      </c>
      <c r="C11" s="24" t="s">
        <v>815</v>
      </c>
      <c r="D11" s="28">
        <v>22</v>
      </c>
      <c r="E11" s="26">
        <v>223.91072</v>
      </c>
      <c r="F11" s="27">
        <v>7.3448545614414398</v>
      </c>
    </row>
    <row r="12" spans="1:6" x14ac:dyDescent="0.2">
      <c r="A12" s="24" t="s">
        <v>1639</v>
      </c>
      <c r="B12" s="24" t="s">
        <v>1640</v>
      </c>
      <c r="C12" s="24" t="s">
        <v>1328</v>
      </c>
      <c r="D12" s="28">
        <v>19</v>
      </c>
      <c r="E12" s="26">
        <v>195.53774000000001</v>
      </c>
      <c r="F12" s="27">
        <v>6.4141469491632597</v>
      </c>
    </row>
    <row r="13" spans="1:6" x14ac:dyDescent="0.2">
      <c r="A13" s="24" t="s">
        <v>1641</v>
      </c>
      <c r="B13" s="24" t="s">
        <v>1642</v>
      </c>
      <c r="C13" s="24" t="s">
        <v>815</v>
      </c>
      <c r="D13" s="28">
        <v>19</v>
      </c>
      <c r="E13" s="26">
        <v>195.28276</v>
      </c>
      <c r="F13" s="27">
        <v>6.4057829413298002</v>
      </c>
    </row>
    <row r="14" spans="1:6" x14ac:dyDescent="0.2">
      <c r="A14" s="24" t="s">
        <v>1401</v>
      </c>
      <c r="B14" s="24" t="s">
        <v>1402</v>
      </c>
      <c r="C14" s="24" t="s">
        <v>1328</v>
      </c>
      <c r="D14" s="28">
        <v>16</v>
      </c>
      <c r="E14" s="26">
        <v>188.57888</v>
      </c>
      <c r="F14" s="27">
        <v>6.1858782239614003</v>
      </c>
    </row>
    <row r="15" spans="1:6" x14ac:dyDescent="0.2">
      <c r="A15" s="24" t="s">
        <v>1643</v>
      </c>
      <c r="B15" s="24" t="s">
        <v>1644</v>
      </c>
      <c r="C15" s="24" t="s">
        <v>815</v>
      </c>
      <c r="D15" s="28">
        <v>20</v>
      </c>
      <c r="E15" s="26">
        <v>180.83199999999999</v>
      </c>
      <c r="F15" s="27">
        <v>5.9317603911709904</v>
      </c>
    </row>
    <row r="16" spans="1:6" x14ac:dyDescent="0.2">
      <c r="A16" s="24" t="s">
        <v>1645</v>
      </c>
      <c r="B16" s="24" t="s">
        <v>1646</v>
      </c>
      <c r="C16" s="24" t="s">
        <v>815</v>
      </c>
      <c r="D16" s="28">
        <v>16</v>
      </c>
      <c r="E16" s="26">
        <v>160.59935999999999</v>
      </c>
      <c r="F16" s="27">
        <v>5.2680771240455799</v>
      </c>
    </row>
    <row r="17" spans="1:9" x14ac:dyDescent="0.2">
      <c r="A17" s="24" t="s">
        <v>1329</v>
      </c>
      <c r="B17" s="24" t="s">
        <v>1330</v>
      </c>
      <c r="C17" s="24" t="s">
        <v>815</v>
      </c>
      <c r="D17" s="28">
        <v>1</v>
      </c>
      <c r="E17" s="26">
        <v>101.69889999999999</v>
      </c>
      <c r="F17" s="27">
        <v>3.3359886903073499</v>
      </c>
    </row>
    <row r="18" spans="1:9" x14ac:dyDescent="0.2">
      <c r="A18" s="24" t="s">
        <v>1647</v>
      </c>
      <c r="B18" s="24" t="s">
        <v>1648</v>
      </c>
      <c r="C18" s="24" t="s">
        <v>998</v>
      </c>
      <c r="D18" s="28">
        <v>7</v>
      </c>
      <c r="E18" s="26">
        <v>80.698869999999999</v>
      </c>
      <c r="F18" s="27">
        <v>2.6471330333030498</v>
      </c>
    </row>
    <row r="19" spans="1:9" ht="10.5" x14ac:dyDescent="0.25">
      <c r="A19" s="23" t="s">
        <v>24</v>
      </c>
      <c r="B19" s="23"/>
      <c r="C19" s="23"/>
      <c r="D19" s="29"/>
      <c r="E19" s="30">
        <f>SUM(E5:E18)</f>
        <v>2848.1554100000003</v>
      </c>
      <c r="F19" s="31">
        <f>SUM(F5:F18)</f>
        <v>93.426912542787562</v>
      </c>
      <c r="G19" s="15"/>
      <c r="H19" s="15"/>
      <c r="I19" s="15"/>
    </row>
    <row r="20" spans="1:9" x14ac:dyDescent="0.2">
      <c r="A20" s="24"/>
      <c r="B20" s="24"/>
      <c r="C20" s="24"/>
      <c r="D20" s="25"/>
      <c r="E20" s="26"/>
      <c r="F20" s="27"/>
    </row>
    <row r="21" spans="1:9" ht="10.5" x14ac:dyDescent="0.25">
      <c r="A21" s="23" t="s">
        <v>818</v>
      </c>
      <c r="B21" s="24"/>
      <c r="C21" s="24"/>
      <c r="D21" s="25"/>
      <c r="E21" s="26"/>
      <c r="F21" s="27"/>
    </row>
    <row r="22" spans="1:9" x14ac:dyDescent="0.2">
      <c r="A22" s="24" t="s">
        <v>1086</v>
      </c>
      <c r="B22" s="24" t="s">
        <v>1087</v>
      </c>
      <c r="C22" s="24" t="s">
        <v>815</v>
      </c>
      <c r="D22" s="28">
        <v>3</v>
      </c>
      <c r="E22" s="26">
        <v>29.948309999999999</v>
      </c>
      <c r="F22" s="27">
        <v>0.98238253760678496</v>
      </c>
    </row>
    <row r="23" spans="1:9" ht="10.5" x14ac:dyDescent="0.25">
      <c r="A23" s="23" t="s">
        <v>24</v>
      </c>
      <c r="B23" s="23"/>
      <c r="C23" s="23"/>
      <c r="D23" s="29"/>
      <c r="E23" s="30">
        <f>SUM(E21:E22)</f>
        <v>29.948309999999999</v>
      </c>
      <c r="F23" s="31">
        <f>SUM(F21:F22)</f>
        <v>0.98238253760678496</v>
      </c>
      <c r="G23" s="15"/>
      <c r="H23" s="15"/>
      <c r="I23" s="15"/>
    </row>
    <row r="24" spans="1:9" x14ac:dyDescent="0.2">
      <c r="A24" s="24"/>
      <c r="B24" s="24"/>
      <c r="C24" s="24"/>
      <c r="D24" s="25"/>
      <c r="E24" s="26"/>
      <c r="F24" s="27"/>
    </row>
    <row r="25" spans="1:9" ht="10.5" x14ac:dyDescent="0.25">
      <c r="A25" s="23" t="s">
        <v>861</v>
      </c>
      <c r="B25" s="24"/>
      <c r="C25" s="24"/>
      <c r="D25" s="25"/>
      <c r="E25" s="26"/>
      <c r="F25" s="27"/>
    </row>
    <row r="26" spans="1:9" ht="10.5" x14ac:dyDescent="0.25">
      <c r="A26" s="23" t="s">
        <v>1106</v>
      </c>
      <c r="B26" s="24"/>
      <c r="C26" s="24"/>
      <c r="D26" s="25"/>
      <c r="E26" s="26"/>
      <c r="F26" s="27"/>
    </row>
    <row r="27" spans="1:9" x14ac:dyDescent="0.2">
      <c r="A27" s="24" t="s">
        <v>1129</v>
      </c>
      <c r="B27" s="24" t="s">
        <v>1130</v>
      </c>
      <c r="C27" s="24" t="s">
        <v>1114</v>
      </c>
      <c r="D27" s="28">
        <v>16</v>
      </c>
      <c r="E27" s="26">
        <v>15.204496000000001</v>
      </c>
      <c r="F27" s="27">
        <v>0.498747053289892</v>
      </c>
    </row>
    <row r="28" spans="1:9" ht="10.5" x14ac:dyDescent="0.25">
      <c r="A28" s="23" t="s">
        <v>24</v>
      </c>
      <c r="B28" s="23"/>
      <c r="C28" s="23"/>
      <c r="D28" s="29"/>
      <c r="E28" s="30">
        <f>SUM(E26:E27)</f>
        <v>15.204496000000001</v>
      </c>
      <c r="F28" s="31">
        <f>SUM(F26:F27)</f>
        <v>0.498747053289892</v>
      </c>
      <c r="G28" s="15"/>
      <c r="H28" s="15"/>
      <c r="I28" s="15"/>
    </row>
    <row r="29" spans="1:9" x14ac:dyDescent="0.2">
      <c r="A29" s="24"/>
      <c r="B29" s="24"/>
      <c r="C29" s="24"/>
      <c r="D29" s="25"/>
      <c r="E29" s="26"/>
      <c r="F29" s="27"/>
    </row>
    <row r="30" spans="1:9" ht="10.5" x14ac:dyDescent="0.25">
      <c r="A30" s="23" t="s">
        <v>25</v>
      </c>
      <c r="B30" s="23"/>
      <c r="C30" s="23"/>
      <c r="D30" s="29"/>
      <c r="E30" s="30">
        <f>E19+E23+E28</f>
        <v>2893.3082160000004</v>
      </c>
      <c r="F30" s="31">
        <f>F19+F23+F28</f>
        <v>94.908042133684233</v>
      </c>
      <c r="G30" s="15"/>
      <c r="H30" s="15"/>
      <c r="I30" s="15"/>
    </row>
    <row r="31" spans="1:9" ht="10.5" x14ac:dyDescent="0.25">
      <c r="A31" s="23"/>
      <c r="B31" s="23"/>
      <c r="C31" s="23"/>
      <c r="D31" s="29"/>
      <c r="E31" s="30"/>
      <c r="F31" s="31"/>
      <c r="G31" s="15"/>
      <c r="H31" s="15"/>
      <c r="I31" s="15"/>
    </row>
    <row r="32" spans="1:9" ht="10.5" x14ac:dyDescent="0.25">
      <c r="A32" s="23" t="s">
        <v>27</v>
      </c>
      <c r="B32" s="23"/>
      <c r="C32" s="23"/>
      <c r="D32" s="29"/>
      <c r="E32" s="30">
        <f>E34-(E19+E23+E28)</f>
        <v>155.23029659999975</v>
      </c>
      <c r="F32" s="31">
        <f>F34-(F19+F23+F28)</f>
        <v>5.0919578663157665</v>
      </c>
      <c r="G32" s="15"/>
      <c r="H32" s="15"/>
      <c r="I32" s="15"/>
    </row>
    <row r="33" spans="1:9" ht="10.5" x14ac:dyDescent="0.25">
      <c r="A33" s="23"/>
      <c r="B33" s="23"/>
      <c r="C33" s="23"/>
      <c r="D33" s="29"/>
      <c r="E33" s="30"/>
      <c r="F33" s="31"/>
      <c r="G33" s="15"/>
      <c r="H33" s="15"/>
      <c r="I33" s="15"/>
    </row>
    <row r="34" spans="1:9" ht="10.5" x14ac:dyDescent="0.25">
      <c r="A34" s="32" t="s">
        <v>26</v>
      </c>
      <c r="B34" s="32"/>
      <c r="C34" s="32"/>
      <c r="D34" s="33"/>
      <c r="E34" s="34">
        <v>3048.5385126000001</v>
      </c>
      <c r="F34" s="35">
        <v>100</v>
      </c>
      <c r="G34" s="15"/>
      <c r="H34" s="15"/>
      <c r="I34" s="15"/>
    </row>
    <row r="35" spans="1:9" ht="10.5" x14ac:dyDescent="0.25">
      <c r="A35" s="15" t="s">
        <v>872</v>
      </c>
    </row>
    <row r="37" spans="1:9" ht="10.5" x14ac:dyDescent="0.25">
      <c r="A37" s="15" t="s">
        <v>28</v>
      </c>
    </row>
    <row r="38" spans="1:9" ht="10.5" x14ac:dyDescent="0.25">
      <c r="A38" s="15" t="s">
        <v>29</v>
      </c>
    </row>
    <row r="39" spans="1:9" ht="10.5" x14ac:dyDescent="0.25">
      <c r="A39" s="15" t="s">
        <v>30</v>
      </c>
      <c r="B39" s="15"/>
      <c r="C39" s="36" t="s">
        <v>32</v>
      </c>
      <c r="D39" s="16" t="s">
        <v>31</v>
      </c>
    </row>
    <row r="40" spans="1:9" x14ac:dyDescent="0.2">
      <c r="A40" s="9" t="s">
        <v>38</v>
      </c>
      <c r="C40" s="37">
        <v>11.0489</v>
      </c>
      <c r="D40" s="37">
        <v>11.5566</v>
      </c>
    </row>
    <row r="41" spans="1:9" x14ac:dyDescent="0.2">
      <c r="A41" s="9" t="s">
        <v>1600</v>
      </c>
      <c r="C41" s="37">
        <v>10.323</v>
      </c>
      <c r="D41" s="37">
        <v>10.7973</v>
      </c>
    </row>
    <row r="42" spans="1:9" x14ac:dyDescent="0.2">
      <c r="A42" s="9" t="s">
        <v>1219</v>
      </c>
      <c r="C42" s="37">
        <v>10.311500000000001</v>
      </c>
      <c r="D42" s="37">
        <v>10.330500000000001</v>
      </c>
    </row>
    <row r="43" spans="1:9" x14ac:dyDescent="0.2">
      <c r="A43" s="9" t="s">
        <v>39</v>
      </c>
      <c r="C43" s="37">
        <v>11.1555</v>
      </c>
      <c r="D43" s="37">
        <v>11.6724</v>
      </c>
    </row>
    <row r="44" spans="1:9" x14ac:dyDescent="0.2">
      <c r="A44" s="9" t="s">
        <v>1221</v>
      </c>
      <c r="C44" s="37">
        <v>10.4156</v>
      </c>
      <c r="D44" s="37">
        <v>10.4435</v>
      </c>
    </row>
    <row r="46" spans="1:9" ht="10.5" x14ac:dyDescent="0.25">
      <c r="A46" s="15" t="s">
        <v>1882</v>
      </c>
    </row>
    <row r="47" spans="1:9" ht="10.5" x14ac:dyDescent="0.25">
      <c r="A47" s="90" t="s">
        <v>33</v>
      </c>
      <c r="B47" s="91"/>
      <c r="C47" s="92" t="s">
        <v>1883</v>
      </c>
      <c r="D47" s="93"/>
    </row>
    <row r="48" spans="1:9" ht="10.5" x14ac:dyDescent="0.25">
      <c r="A48" s="90"/>
      <c r="B48" s="91"/>
      <c r="C48" s="38" t="s">
        <v>34</v>
      </c>
      <c r="D48" s="39" t="s">
        <v>35</v>
      </c>
    </row>
    <row r="49" spans="1:5" x14ac:dyDescent="0.2">
      <c r="A49" s="96" t="s">
        <v>1219</v>
      </c>
      <c r="B49" s="97"/>
      <c r="C49" s="40">
        <v>0.32414521499999999</v>
      </c>
      <c r="D49" s="40">
        <v>0.30016008459999999</v>
      </c>
    </row>
    <row r="50" spans="1:5" x14ac:dyDescent="0.2">
      <c r="A50" s="96" t="s">
        <v>1221</v>
      </c>
      <c r="B50" s="97"/>
      <c r="C50" s="40">
        <v>0.32414521499999999</v>
      </c>
      <c r="D50" s="40">
        <v>0.30016008459999999</v>
      </c>
    </row>
    <row r="52" spans="1:5" ht="10.5" x14ac:dyDescent="0.25">
      <c r="A52" s="15" t="s">
        <v>882</v>
      </c>
      <c r="D52" s="11">
        <v>1.23290114142077</v>
      </c>
      <c r="E52" s="11" t="s">
        <v>883</v>
      </c>
    </row>
    <row r="54" spans="1:5" ht="10.5" x14ac:dyDescent="0.25">
      <c r="A54" s="15" t="s">
        <v>884</v>
      </c>
      <c r="D54" s="41" t="s">
        <v>36</v>
      </c>
    </row>
  </sheetData>
  <mergeCells count="6">
    <mergeCell ref="A50:B50"/>
    <mergeCell ref="A1:F1"/>
    <mergeCell ref="A47:B47"/>
    <mergeCell ref="C47:D47"/>
    <mergeCell ref="A48:B48"/>
    <mergeCell ref="A49:B49"/>
  </mergeCells>
  <conditionalFormatting sqref="F2 F4:F65536">
    <cfRule type="cellIs" dxfId="51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0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.26953125" style="9" bestFit="1" customWidth="1"/>
    <col min="3" max="3" width="15.453125" style="9" bestFit="1" customWidth="1"/>
    <col min="4" max="4" width="15.453125" style="10" bestFit="1" customWidth="1"/>
    <col min="5" max="5" width="13.1796875" style="11" customWidth="1"/>
    <col min="6" max="6" width="10.1796875" style="14" customWidth="1"/>
    <col min="7" max="7" width="7.81640625" style="9" bestFit="1" customWidth="1"/>
    <col min="8" max="16384" width="9.1796875" style="9"/>
  </cols>
  <sheetData>
    <row r="1" spans="1:9" s="1" customFormat="1" ht="14" x14ac:dyDescent="0.25">
      <c r="A1" s="88" t="s">
        <v>1649</v>
      </c>
      <c r="B1" s="89"/>
      <c r="C1" s="89"/>
      <c r="D1" s="89"/>
      <c r="E1" s="89"/>
      <c r="F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7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9" ht="10.5" x14ac:dyDescent="0.25">
      <c r="A4" s="18" t="s">
        <v>662</v>
      </c>
      <c r="B4" s="19"/>
      <c r="C4" s="19"/>
      <c r="D4" s="20"/>
      <c r="E4" s="21"/>
      <c r="F4" s="22"/>
    </row>
    <row r="5" spans="1:9" ht="10.5" x14ac:dyDescent="0.25">
      <c r="A5" s="23" t="s">
        <v>23</v>
      </c>
      <c r="B5" s="24"/>
      <c r="C5" s="24"/>
      <c r="D5" s="25"/>
      <c r="E5" s="26"/>
      <c r="F5" s="27"/>
    </row>
    <row r="6" spans="1:9" x14ac:dyDescent="0.2">
      <c r="A6" s="24" t="s">
        <v>1413</v>
      </c>
      <c r="B6" s="24" t="s">
        <v>1414</v>
      </c>
      <c r="C6" s="24" t="s">
        <v>815</v>
      </c>
      <c r="D6" s="28">
        <v>44</v>
      </c>
      <c r="E6" s="26">
        <v>444.94119999999998</v>
      </c>
      <c r="F6" s="27">
        <v>11.7176390010665</v>
      </c>
    </row>
    <row r="7" spans="1:9" x14ac:dyDescent="0.2">
      <c r="A7" s="24" t="s">
        <v>1639</v>
      </c>
      <c r="B7" s="24" t="s">
        <v>1640</v>
      </c>
      <c r="C7" s="24" t="s">
        <v>1328</v>
      </c>
      <c r="D7" s="28">
        <v>41</v>
      </c>
      <c r="E7" s="26">
        <v>421.94986</v>
      </c>
      <c r="F7" s="27">
        <v>11.1121562490292</v>
      </c>
    </row>
    <row r="8" spans="1:9" x14ac:dyDescent="0.2">
      <c r="A8" s="24" t="s">
        <v>1641</v>
      </c>
      <c r="B8" s="24" t="s">
        <v>1642</v>
      </c>
      <c r="C8" s="24" t="s">
        <v>815</v>
      </c>
      <c r="D8" s="28">
        <v>41</v>
      </c>
      <c r="E8" s="26">
        <v>421.39963999999998</v>
      </c>
      <c r="F8" s="27">
        <v>11.097666066211399</v>
      </c>
    </row>
    <row r="9" spans="1:9" x14ac:dyDescent="0.2">
      <c r="A9" s="24" t="s">
        <v>813</v>
      </c>
      <c r="B9" s="24" t="s">
        <v>814</v>
      </c>
      <c r="C9" s="24" t="s">
        <v>815</v>
      </c>
      <c r="D9" s="28">
        <v>40</v>
      </c>
      <c r="E9" s="26">
        <v>411.05160000000001</v>
      </c>
      <c r="F9" s="27">
        <v>10.825147816409901</v>
      </c>
    </row>
    <row r="10" spans="1:9" x14ac:dyDescent="0.2">
      <c r="A10" s="24" t="s">
        <v>1001</v>
      </c>
      <c r="B10" s="24" t="s">
        <v>1002</v>
      </c>
      <c r="C10" s="24" t="s">
        <v>815</v>
      </c>
      <c r="D10" s="28">
        <v>30</v>
      </c>
      <c r="E10" s="26">
        <v>305.33280000000002</v>
      </c>
      <c r="F10" s="27">
        <v>8.0410164884367603</v>
      </c>
    </row>
    <row r="11" spans="1:9" x14ac:dyDescent="0.2">
      <c r="A11" s="24" t="s">
        <v>1643</v>
      </c>
      <c r="B11" s="24" t="s">
        <v>1644</v>
      </c>
      <c r="C11" s="24" t="s">
        <v>815</v>
      </c>
      <c r="D11" s="28">
        <v>33</v>
      </c>
      <c r="E11" s="26">
        <v>298.37279999999998</v>
      </c>
      <c r="F11" s="27">
        <v>7.8577231286682698</v>
      </c>
    </row>
    <row r="12" spans="1:9" x14ac:dyDescent="0.2">
      <c r="A12" s="24" t="s">
        <v>1650</v>
      </c>
      <c r="B12" s="24" t="s">
        <v>1651</v>
      </c>
      <c r="C12" s="24" t="s">
        <v>815</v>
      </c>
      <c r="D12" s="28">
        <v>26</v>
      </c>
      <c r="E12" s="26">
        <v>261.82571999999999</v>
      </c>
      <c r="F12" s="27">
        <v>6.8952465362935902</v>
      </c>
    </row>
    <row r="13" spans="1:9" x14ac:dyDescent="0.2">
      <c r="A13" s="24" t="s">
        <v>780</v>
      </c>
      <c r="B13" s="24" t="s">
        <v>781</v>
      </c>
      <c r="C13" s="24" t="s">
        <v>766</v>
      </c>
      <c r="D13" s="28">
        <v>26000</v>
      </c>
      <c r="E13" s="26">
        <v>256.46296000000001</v>
      </c>
      <c r="F13" s="27">
        <v>6.7540168957717501</v>
      </c>
    </row>
    <row r="14" spans="1:9" x14ac:dyDescent="0.2">
      <c r="A14" s="24" t="s">
        <v>1329</v>
      </c>
      <c r="B14" s="24" t="s">
        <v>1330</v>
      </c>
      <c r="C14" s="24" t="s">
        <v>815</v>
      </c>
      <c r="D14" s="28">
        <v>2</v>
      </c>
      <c r="E14" s="26">
        <v>203.39779999999999</v>
      </c>
      <c r="F14" s="27">
        <v>5.3565324901607703</v>
      </c>
    </row>
    <row r="15" spans="1:9" x14ac:dyDescent="0.2">
      <c r="A15" s="24" t="s">
        <v>1428</v>
      </c>
      <c r="B15" s="24" t="s">
        <v>1429</v>
      </c>
      <c r="C15" s="24" t="s">
        <v>1328</v>
      </c>
      <c r="D15" s="28">
        <v>150</v>
      </c>
      <c r="E15" s="26">
        <v>154.524</v>
      </c>
      <c r="F15" s="27">
        <v>4.06942860989452</v>
      </c>
    </row>
    <row r="16" spans="1:9" ht="10.5" x14ac:dyDescent="0.25">
      <c r="A16" s="23" t="s">
        <v>24</v>
      </c>
      <c r="B16" s="23"/>
      <c r="C16" s="23"/>
      <c r="D16" s="29"/>
      <c r="E16" s="30">
        <f>SUM(E5:E15)</f>
        <v>3179.2583799999998</v>
      </c>
      <c r="F16" s="31">
        <f>SUM(F5:F15)</f>
        <v>83.726573281942663</v>
      </c>
      <c r="G16" s="15"/>
      <c r="H16" s="15"/>
      <c r="I16" s="15"/>
    </row>
    <row r="17" spans="1:9" x14ac:dyDescent="0.2">
      <c r="A17" s="24"/>
      <c r="B17" s="24"/>
      <c r="C17" s="24"/>
      <c r="D17" s="25"/>
      <c r="E17" s="26"/>
      <c r="F17" s="27"/>
    </row>
    <row r="18" spans="1:9" ht="10.5" x14ac:dyDescent="0.25">
      <c r="A18" s="23" t="s">
        <v>818</v>
      </c>
      <c r="B18" s="24"/>
      <c r="C18" s="24"/>
      <c r="D18" s="25"/>
      <c r="E18" s="26"/>
      <c r="F18" s="27"/>
    </row>
    <row r="19" spans="1:9" x14ac:dyDescent="0.2">
      <c r="A19" s="24" t="s">
        <v>1086</v>
      </c>
      <c r="B19" s="24" t="s">
        <v>1087</v>
      </c>
      <c r="C19" s="24" t="s">
        <v>815</v>
      </c>
      <c r="D19" s="28">
        <v>34</v>
      </c>
      <c r="E19" s="26">
        <v>339.41417999999999</v>
      </c>
      <c r="F19" s="27">
        <v>8.9385582478830994</v>
      </c>
    </row>
    <row r="20" spans="1:9" x14ac:dyDescent="0.2">
      <c r="A20" s="24" t="s">
        <v>1444</v>
      </c>
      <c r="B20" s="24" t="s">
        <v>1445</v>
      </c>
      <c r="C20" s="24" t="s">
        <v>815</v>
      </c>
      <c r="D20" s="28">
        <v>7</v>
      </c>
      <c r="E20" s="26">
        <v>70.176820000000006</v>
      </c>
      <c r="F20" s="27">
        <v>1.84812429822822</v>
      </c>
    </row>
    <row r="21" spans="1:9" ht="10.5" x14ac:dyDescent="0.25">
      <c r="A21" s="23" t="s">
        <v>24</v>
      </c>
      <c r="B21" s="23"/>
      <c r="C21" s="23"/>
      <c r="D21" s="29"/>
      <c r="E21" s="30">
        <f>SUM(E18:E20)</f>
        <v>409.59100000000001</v>
      </c>
      <c r="F21" s="31">
        <f>SUM(F18:F20)</f>
        <v>10.786682546111319</v>
      </c>
      <c r="G21" s="15"/>
      <c r="H21" s="15"/>
      <c r="I21" s="15"/>
    </row>
    <row r="22" spans="1:9" x14ac:dyDescent="0.2">
      <c r="A22" s="24"/>
      <c r="B22" s="24"/>
      <c r="C22" s="24"/>
      <c r="D22" s="25"/>
      <c r="E22" s="26"/>
      <c r="F22" s="27"/>
    </row>
    <row r="23" spans="1:9" ht="10.5" x14ac:dyDescent="0.25">
      <c r="A23" s="23" t="s">
        <v>861</v>
      </c>
      <c r="B23" s="24"/>
      <c r="C23" s="24"/>
      <c r="D23" s="25"/>
      <c r="E23" s="26"/>
      <c r="F23" s="27"/>
    </row>
    <row r="24" spans="1:9" ht="10.5" x14ac:dyDescent="0.25">
      <c r="A24" s="23" t="s">
        <v>1106</v>
      </c>
      <c r="B24" s="24"/>
      <c r="C24" s="24"/>
      <c r="D24" s="25"/>
      <c r="E24" s="26"/>
      <c r="F24" s="27"/>
    </row>
    <row r="25" spans="1:9" x14ac:dyDescent="0.2">
      <c r="A25" s="24" t="s">
        <v>1129</v>
      </c>
      <c r="B25" s="24" t="s">
        <v>1130</v>
      </c>
      <c r="C25" s="24" t="s">
        <v>1114</v>
      </c>
      <c r="D25" s="28">
        <v>33</v>
      </c>
      <c r="E25" s="26">
        <v>31.359273000000002</v>
      </c>
      <c r="F25" s="27">
        <v>0.82585438334299299</v>
      </c>
    </row>
    <row r="26" spans="1:9" ht="10.5" x14ac:dyDescent="0.25">
      <c r="A26" s="23" t="s">
        <v>24</v>
      </c>
      <c r="B26" s="23"/>
      <c r="C26" s="23"/>
      <c r="D26" s="29"/>
      <c r="E26" s="30">
        <f>SUM(E24:E25)</f>
        <v>31.359273000000002</v>
      </c>
      <c r="F26" s="31">
        <f>SUM(F24:F25)</f>
        <v>0.82585438334299299</v>
      </c>
      <c r="G26" s="15"/>
      <c r="H26" s="15"/>
      <c r="I26" s="15"/>
    </row>
    <row r="27" spans="1:9" x14ac:dyDescent="0.2">
      <c r="A27" s="24"/>
      <c r="B27" s="24"/>
      <c r="C27" s="24"/>
      <c r="D27" s="25"/>
      <c r="E27" s="26"/>
      <c r="F27" s="27"/>
    </row>
    <row r="28" spans="1:9" ht="10.5" x14ac:dyDescent="0.25">
      <c r="A28" s="23" t="s">
        <v>25</v>
      </c>
      <c r="B28" s="23"/>
      <c r="C28" s="23"/>
      <c r="D28" s="29"/>
      <c r="E28" s="30">
        <f>E16+E21+E26</f>
        <v>3620.2086529999997</v>
      </c>
      <c r="F28" s="31">
        <f>F16+F21+F26</f>
        <v>95.339110211396985</v>
      </c>
      <c r="G28" s="15"/>
      <c r="H28" s="15"/>
      <c r="I28" s="15"/>
    </row>
    <row r="29" spans="1:9" ht="10.5" x14ac:dyDescent="0.25">
      <c r="A29" s="23"/>
      <c r="B29" s="23"/>
      <c r="C29" s="23"/>
      <c r="D29" s="29"/>
      <c r="E29" s="30"/>
      <c r="F29" s="31"/>
      <c r="G29" s="15"/>
      <c r="H29" s="15"/>
      <c r="I29" s="15"/>
    </row>
    <row r="30" spans="1:9" ht="10.5" x14ac:dyDescent="0.25">
      <c r="A30" s="23" t="s">
        <v>27</v>
      </c>
      <c r="B30" s="23"/>
      <c r="C30" s="23"/>
      <c r="D30" s="29"/>
      <c r="E30" s="30">
        <f>E32-(E16+E21+E26)</f>
        <v>176.98291400000016</v>
      </c>
      <c r="F30" s="31">
        <f>F32-(F16+F21+F26)</f>
        <v>4.6608897886030149</v>
      </c>
      <c r="G30" s="15"/>
      <c r="H30" s="15"/>
      <c r="I30" s="15"/>
    </row>
    <row r="31" spans="1:9" ht="10.5" x14ac:dyDescent="0.25">
      <c r="A31" s="23"/>
      <c r="B31" s="23"/>
      <c r="C31" s="23"/>
      <c r="D31" s="29"/>
      <c r="E31" s="30"/>
      <c r="F31" s="31"/>
      <c r="G31" s="15"/>
      <c r="H31" s="15"/>
      <c r="I31" s="15"/>
    </row>
    <row r="32" spans="1:9" ht="10.5" x14ac:dyDescent="0.25">
      <c r="A32" s="32" t="s">
        <v>26</v>
      </c>
      <c r="B32" s="32"/>
      <c r="C32" s="32"/>
      <c r="D32" s="33"/>
      <c r="E32" s="34">
        <v>3797.1915669999998</v>
      </c>
      <c r="F32" s="35">
        <v>100</v>
      </c>
      <c r="G32" s="15"/>
      <c r="H32" s="15"/>
      <c r="I32" s="15"/>
    </row>
    <row r="33" spans="1:5" ht="10.5" x14ac:dyDescent="0.25">
      <c r="A33" s="15" t="s">
        <v>872</v>
      </c>
    </row>
    <row r="35" spans="1:5" ht="10.5" x14ac:dyDescent="0.25">
      <c r="A35" s="15" t="s">
        <v>28</v>
      </c>
    </row>
    <row r="36" spans="1:5" ht="10.5" x14ac:dyDescent="0.25">
      <c r="A36" s="15" t="s">
        <v>29</v>
      </c>
    </row>
    <row r="37" spans="1:5" ht="10.5" x14ac:dyDescent="0.25">
      <c r="A37" s="15" t="s">
        <v>30</v>
      </c>
      <c r="B37" s="15"/>
      <c r="C37" s="36" t="s">
        <v>32</v>
      </c>
      <c r="D37" s="16" t="s">
        <v>31</v>
      </c>
    </row>
    <row r="38" spans="1:5" x14ac:dyDescent="0.2">
      <c r="A38" s="9" t="s">
        <v>38</v>
      </c>
      <c r="C38" s="37">
        <v>10.496700000000001</v>
      </c>
      <c r="D38" s="37">
        <v>10.9748</v>
      </c>
    </row>
    <row r="39" spans="1:5" x14ac:dyDescent="0.2">
      <c r="A39" s="9" t="s">
        <v>1600</v>
      </c>
      <c r="C39" s="37">
        <v>10.2614</v>
      </c>
      <c r="D39" s="37">
        <v>10.7288</v>
      </c>
    </row>
    <row r="40" spans="1:5" x14ac:dyDescent="0.2">
      <c r="A40" s="9" t="s">
        <v>1219</v>
      </c>
      <c r="C40" s="37">
        <v>10.1221</v>
      </c>
      <c r="D40" s="37">
        <v>10.271000000000001</v>
      </c>
    </row>
    <row r="41" spans="1:5" x14ac:dyDescent="0.2">
      <c r="A41" s="9" t="s">
        <v>39</v>
      </c>
      <c r="C41" s="37">
        <v>10.601599999999999</v>
      </c>
      <c r="D41" s="37">
        <v>11.0844</v>
      </c>
    </row>
    <row r="43" spans="1:5" ht="10.5" x14ac:dyDescent="0.25">
      <c r="A43" s="15" t="s">
        <v>1882</v>
      </c>
    </row>
    <row r="44" spans="1:5" ht="10.5" x14ac:dyDescent="0.25">
      <c r="A44" s="90" t="s">
        <v>33</v>
      </c>
      <c r="B44" s="91"/>
      <c r="C44" s="92" t="s">
        <v>1883</v>
      </c>
      <c r="D44" s="93"/>
    </row>
    <row r="45" spans="1:5" ht="10.5" x14ac:dyDescent="0.25">
      <c r="A45" s="90"/>
      <c r="B45" s="91"/>
      <c r="C45" s="38" t="s">
        <v>34</v>
      </c>
      <c r="D45" s="39" t="s">
        <v>35</v>
      </c>
    </row>
    <row r="46" spans="1:5" x14ac:dyDescent="0.2">
      <c r="A46" s="96" t="s">
        <v>1219</v>
      </c>
      <c r="B46" s="97"/>
      <c r="C46" s="40">
        <v>0.22330003700000001</v>
      </c>
      <c r="D46" s="40">
        <v>0.20677694720000001</v>
      </c>
    </row>
    <row r="48" spans="1:5" ht="10.5" x14ac:dyDescent="0.25">
      <c r="A48" s="15" t="s">
        <v>882</v>
      </c>
      <c r="D48" s="11">
        <v>1.2476915115027301</v>
      </c>
      <c r="E48" s="11" t="s">
        <v>883</v>
      </c>
    </row>
    <row r="50" spans="1:4" ht="10.5" x14ac:dyDescent="0.25">
      <c r="A50" s="15" t="s">
        <v>884</v>
      </c>
      <c r="D50" s="41" t="s">
        <v>36</v>
      </c>
    </row>
  </sheetData>
  <mergeCells count="5">
    <mergeCell ref="A1:F1"/>
    <mergeCell ref="A44:B44"/>
    <mergeCell ref="C44:D44"/>
    <mergeCell ref="A45:B45"/>
    <mergeCell ref="A46:B46"/>
  </mergeCells>
  <conditionalFormatting sqref="F2 F4:F65536">
    <cfRule type="cellIs" dxfId="5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6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3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.26953125" style="9" bestFit="1" customWidth="1"/>
    <col min="3" max="3" width="15.453125" style="9" bestFit="1" customWidth="1"/>
    <col min="4" max="4" width="15.453125" style="10" bestFit="1" customWidth="1"/>
    <col min="5" max="5" width="14.1796875" style="11" customWidth="1"/>
    <col min="6" max="6" width="9.8164062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1652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4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1653</v>
      </c>
      <c r="B6" s="24" t="s">
        <v>1654</v>
      </c>
      <c r="C6" s="24" t="s">
        <v>815</v>
      </c>
      <c r="D6" s="28">
        <v>90</v>
      </c>
      <c r="E6" s="26">
        <v>1070.9648999999999</v>
      </c>
      <c r="F6" s="27">
        <v>11.9489909205889</v>
      </c>
    </row>
    <row r="7" spans="1:6" x14ac:dyDescent="0.2">
      <c r="A7" s="24" t="s">
        <v>813</v>
      </c>
      <c r="B7" s="24" t="s">
        <v>814</v>
      </c>
      <c r="C7" s="24" t="s">
        <v>815</v>
      </c>
      <c r="D7" s="28">
        <v>98</v>
      </c>
      <c r="E7" s="26">
        <v>1007.07642</v>
      </c>
      <c r="F7" s="27">
        <v>11.236173098594699</v>
      </c>
    </row>
    <row r="8" spans="1:6" x14ac:dyDescent="0.2">
      <c r="A8" s="24" t="s">
        <v>1413</v>
      </c>
      <c r="B8" s="24" t="s">
        <v>1414</v>
      </c>
      <c r="C8" s="24" t="s">
        <v>815</v>
      </c>
      <c r="D8" s="28">
        <v>92</v>
      </c>
      <c r="E8" s="26">
        <v>930.33159999999998</v>
      </c>
      <c r="F8" s="27">
        <v>10.3799142637979</v>
      </c>
    </row>
    <row r="9" spans="1:6" x14ac:dyDescent="0.2">
      <c r="A9" s="24" t="s">
        <v>1639</v>
      </c>
      <c r="B9" s="24" t="s">
        <v>1640</v>
      </c>
      <c r="C9" s="24" t="s">
        <v>1328</v>
      </c>
      <c r="D9" s="28">
        <v>90</v>
      </c>
      <c r="E9" s="26">
        <v>926.23140000000001</v>
      </c>
      <c r="F9" s="27">
        <v>10.334167430663999</v>
      </c>
    </row>
    <row r="10" spans="1:6" x14ac:dyDescent="0.2">
      <c r="A10" s="24" t="s">
        <v>1641</v>
      </c>
      <c r="B10" s="24" t="s">
        <v>1642</v>
      </c>
      <c r="C10" s="24" t="s">
        <v>815</v>
      </c>
      <c r="D10" s="28">
        <v>90</v>
      </c>
      <c r="E10" s="26">
        <v>925.02359999999999</v>
      </c>
      <c r="F10" s="27">
        <v>10.320691740439401</v>
      </c>
    </row>
    <row r="11" spans="1:6" x14ac:dyDescent="0.2">
      <c r="A11" s="24" t="s">
        <v>1001</v>
      </c>
      <c r="B11" s="24" t="s">
        <v>1002</v>
      </c>
      <c r="C11" s="24" t="s">
        <v>815</v>
      </c>
      <c r="D11" s="28">
        <v>71</v>
      </c>
      <c r="E11" s="26">
        <v>722.62095999999997</v>
      </c>
      <c r="F11" s="27">
        <v>8.0624409726847492</v>
      </c>
    </row>
    <row r="12" spans="1:6" x14ac:dyDescent="0.2">
      <c r="A12" s="24" t="s">
        <v>1655</v>
      </c>
      <c r="B12" s="24" t="s">
        <v>1656</v>
      </c>
      <c r="C12" s="24" t="s">
        <v>815</v>
      </c>
      <c r="D12" s="28">
        <v>60</v>
      </c>
      <c r="E12" s="26">
        <v>693.35580000000004</v>
      </c>
      <c r="F12" s="27">
        <v>7.7359231464426603</v>
      </c>
    </row>
    <row r="13" spans="1:6" x14ac:dyDescent="0.2">
      <c r="A13" s="24" t="s">
        <v>1643</v>
      </c>
      <c r="B13" s="24" t="s">
        <v>1644</v>
      </c>
      <c r="C13" s="24" t="s">
        <v>815</v>
      </c>
      <c r="D13" s="28">
        <v>75</v>
      </c>
      <c r="E13" s="26">
        <v>678.12</v>
      </c>
      <c r="F13" s="27">
        <v>7.5659339751188304</v>
      </c>
    </row>
    <row r="14" spans="1:6" x14ac:dyDescent="0.2">
      <c r="A14" s="24" t="s">
        <v>1647</v>
      </c>
      <c r="B14" s="24" t="s">
        <v>1648</v>
      </c>
      <c r="C14" s="24" t="s">
        <v>998</v>
      </c>
      <c r="D14" s="28">
        <v>58</v>
      </c>
      <c r="E14" s="26">
        <v>668.64778000000001</v>
      </c>
      <c r="F14" s="27">
        <v>7.4602503334067496</v>
      </c>
    </row>
    <row r="15" spans="1:6" x14ac:dyDescent="0.2">
      <c r="A15" s="24" t="s">
        <v>1428</v>
      </c>
      <c r="B15" s="24" t="s">
        <v>1429</v>
      </c>
      <c r="C15" s="24" t="s">
        <v>1328</v>
      </c>
      <c r="D15" s="28">
        <v>470</v>
      </c>
      <c r="E15" s="26">
        <v>484.17520000000002</v>
      </c>
      <c r="F15" s="27">
        <v>5.4020491883294302</v>
      </c>
    </row>
    <row r="16" spans="1:6" x14ac:dyDescent="0.2">
      <c r="A16" s="24" t="s">
        <v>1329</v>
      </c>
      <c r="B16" s="24" t="s">
        <v>1330</v>
      </c>
      <c r="C16" s="24" t="s">
        <v>815</v>
      </c>
      <c r="D16" s="28">
        <v>2</v>
      </c>
      <c r="E16" s="26">
        <v>203.39779999999999</v>
      </c>
      <c r="F16" s="27">
        <v>2.26935398673454</v>
      </c>
    </row>
    <row r="17" spans="1:9" x14ac:dyDescent="0.2">
      <c r="A17" s="24" t="s">
        <v>1657</v>
      </c>
      <c r="B17" s="24" t="s">
        <v>1658</v>
      </c>
      <c r="C17" s="24" t="s">
        <v>998</v>
      </c>
      <c r="D17" s="28">
        <v>10</v>
      </c>
      <c r="E17" s="26">
        <v>115.7186</v>
      </c>
      <c r="F17" s="27">
        <v>1.29109786954106</v>
      </c>
    </row>
    <row r="18" spans="1:9" x14ac:dyDescent="0.2">
      <c r="A18" s="24" t="s">
        <v>999</v>
      </c>
      <c r="B18" s="24" t="s">
        <v>1000</v>
      </c>
      <c r="C18" s="24" t="s">
        <v>815</v>
      </c>
      <c r="D18" s="28">
        <v>8</v>
      </c>
      <c r="E18" s="26">
        <v>82.179760000000002</v>
      </c>
      <c r="F18" s="27">
        <v>0.91689765565255599</v>
      </c>
    </row>
    <row r="19" spans="1:9" x14ac:dyDescent="0.2">
      <c r="A19" s="24" t="s">
        <v>1401</v>
      </c>
      <c r="B19" s="24" t="s">
        <v>1402</v>
      </c>
      <c r="C19" s="24" t="s">
        <v>1328</v>
      </c>
      <c r="D19" s="28">
        <v>6</v>
      </c>
      <c r="E19" s="26">
        <v>70.717079999999996</v>
      </c>
      <c r="F19" s="27">
        <v>0.78900601396979397</v>
      </c>
    </row>
    <row r="20" spans="1:9" x14ac:dyDescent="0.2">
      <c r="A20" s="24" t="s">
        <v>1650</v>
      </c>
      <c r="B20" s="24" t="s">
        <v>1651</v>
      </c>
      <c r="C20" s="24" t="s">
        <v>815</v>
      </c>
      <c r="D20" s="28">
        <v>4</v>
      </c>
      <c r="E20" s="26">
        <v>40.280880000000003</v>
      </c>
      <c r="F20" s="27">
        <v>0.44942263690745698</v>
      </c>
    </row>
    <row r="21" spans="1:9" x14ac:dyDescent="0.2">
      <c r="A21" s="24" t="s">
        <v>994</v>
      </c>
      <c r="B21" s="24" t="s">
        <v>995</v>
      </c>
      <c r="C21" s="24" t="s">
        <v>815</v>
      </c>
      <c r="D21" s="28">
        <v>1</v>
      </c>
      <c r="E21" s="26">
        <v>10.07109</v>
      </c>
      <c r="F21" s="27">
        <v>0.11236536600819801</v>
      </c>
    </row>
    <row r="22" spans="1:9" ht="10.5" x14ac:dyDescent="0.25">
      <c r="A22" s="23" t="s">
        <v>24</v>
      </c>
      <c r="B22" s="23"/>
      <c r="C22" s="23"/>
      <c r="D22" s="29"/>
      <c r="E22" s="30">
        <f>SUM(E5:E21)</f>
        <v>8628.9128700000019</v>
      </c>
      <c r="F22" s="31">
        <f>SUM(F5:F21)</f>
        <v>96.274678598880925</v>
      </c>
      <c r="G22" s="15"/>
      <c r="H22" s="15"/>
      <c r="I22" s="15"/>
    </row>
    <row r="23" spans="1:9" x14ac:dyDescent="0.2">
      <c r="A23" s="24"/>
      <c r="B23" s="24"/>
      <c r="C23" s="24"/>
      <c r="D23" s="25"/>
      <c r="E23" s="26"/>
      <c r="F23" s="27"/>
    </row>
    <row r="24" spans="1:9" ht="10.5" x14ac:dyDescent="0.25">
      <c r="A24" s="23" t="s">
        <v>861</v>
      </c>
      <c r="B24" s="24"/>
      <c r="C24" s="24"/>
      <c r="D24" s="25"/>
      <c r="E24" s="26"/>
      <c r="F24" s="27"/>
    </row>
    <row r="25" spans="1:9" ht="10.5" x14ac:dyDescent="0.25">
      <c r="A25" s="23" t="s">
        <v>1106</v>
      </c>
      <c r="B25" s="24"/>
      <c r="C25" s="24"/>
      <c r="D25" s="25"/>
      <c r="E25" s="26"/>
      <c r="F25" s="27"/>
    </row>
    <row r="26" spans="1:9" x14ac:dyDescent="0.2">
      <c r="A26" s="24" t="s">
        <v>1129</v>
      </c>
      <c r="B26" s="24" t="s">
        <v>1130</v>
      </c>
      <c r="C26" s="24" t="s">
        <v>1114</v>
      </c>
      <c r="D26" s="28">
        <v>48</v>
      </c>
      <c r="E26" s="26">
        <v>45.613487999999997</v>
      </c>
      <c r="F26" s="27">
        <v>0.50891971713395101</v>
      </c>
    </row>
    <row r="27" spans="1:9" ht="10.5" x14ac:dyDescent="0.25">
      <c r="A27" s="23" t="s">
        <v>24</v>
      </c>
      <c r="B27" s="23"/>
      <c r="C27" s="23"/>
      <c r="D27" s="29"/>
      <c r="E27" s="30">
        <f>SUM(E25:E26)</f>
        <v>45.613487999999997</v>
      </c>
      <c r="F27" s="31">
        <f>SUM(F25:F26)</f>
        <v>0.50891971713395101</v>
      </c>
      <c r="G27" s="15"/>
      <c r="H27" s="15"/>
      <c r="I27" s="15"/>
    </row>
    <row r="28" spans="1:9" x14ac:dyDescent="0.2">
      <c r="A28" s="24"/>
      <c r="B28" s="24"/>
      <c r="C28" s="24"/>
      <c r="D28" s="25"/>
      <c r="E28" s="26"/>
      <c r="F28" s="27"/>
    </row>
    <row r="29" spans="1:9" ht="10.5" x14ac:dyDescent="0.25">
      <c r="A29" s="23" t="s">
        <v>25</v>
      </c>
      <c r="B29" s="23"/>
      <c r="C29" s="23"/>
      <c r="D29" s="29"/>
      <c r="E29" s="30">
        <f>E22+E27</f>
        <v>8674.5263580000028</v>
      </c>
      <c r="F29" s="31">
        <f>F22+F27</f>
        <v>96.783598316014874</v>
      </c>
      <c r="G29" s="15"/>
      <c r="H29" s="15"/>
      <c r="I29" s="15"/>
    </row>
    <row r="30" spans="1:9" ht="10.5" x14ac:dyDescent="0.25">
      <c r="A30" s="23"/>
      <c r="B30" s="23"/>
      <c r="C30" s="23"/>
      <c r="D30" s="29"/>
      <c r="E30" s="30"/>
      <c r="F30" s="31"/>
      <c r="G30" s="15"/>
      <c r="H30" s="15"/>
      <c r="I30" s="15"/>
    </row>
    <row r="31" spans="1:9" ht="10.5" x14ac:dyDescent="0.25">
      <c r="A31" s="23" t="s">
        <v>27</v>
      </c>
      <c r="B31" s="23"/>
      <c r="C31" s="23"/>
      <c r="D31" s="29"/>
      <c r="E31" s="30">
        <f>E33-(E22+E27)</f>
        <v>288.27984979999746</v>
      </c>
      <c r="F31" s="31">
        <f>F33-(F22+F27)</f>
        <v>3.2164016839851257</v>
      </c>
      <c r="G31" s="15"/>
      <c r="H31" s="15"/>
      <c r="I31" s="15"/>
    </row>
    <row r="32" spans="1:9" ht="10.5" x14ac:dyDescent="0.25">
      <c r="A32" s="23"/>
      <c r="B32" s="23"/>
      <c r="C32" s="23"/>
      <c r="D32" s="29"/>
      <c r="E32" s="30"/>
      <c r="F32" s="31"/>
      <c r="G32" s="15"/>
      <c r="H32" s="15"/>
      <c r="I32" s="15"/>
    </row>
    <row r="33" spans="1:9" ht="10.5" x14ac:dyDescent="0.25">
      <c r="A33" s="32" t="s">
        <v>26</v>
      </c>
      <c r="B33" s="32"/>
      <c r="C33" s="32"/>
      <c r="D33" s="33"/>
      <c r="E33" s="34">
        <v>8962.8062078000003</v>
      </c>
      <c r="F33" s="35">
        <v>100</v>
      </c>
      <c r="G33" s="15"/>
      <c r="H33" s="15"/>
      <c r="I33" s="15"/>
    </row>
    <row r="34" spans="1:9" ht="10.5" x14ac:dyDescent="0.25">
      <c r="A34" s="15" t="s">
        <v>872</v>
      </c>
    </row>
    <row r="36" spans="1:9" ht="10.5" x14ac:dyDescent="0.25">
      <c r="A36" s="15" t="s">
        <v>28</v>
      </c>
    </row>
    <row r="37" spans="1:9" ht="10.5" x14ac:dyDescent="0.25">
      <c r="A37" s="15" t="s">
        <v>29</v>
      </c>
    </row>
    <row r="38" spans="1:9" ht="10.5" x14ac:dyDescent="0.25">
      <c r="A38" s="15" t="s">
        <v>30</v>
      </c>
      <c r="B38" s="15"/>
      <c r="C38" s="36" t="s">
        <v>32</v>
      </c>
      <c r="D38" s="16" t="s">
        <v>31</v>
      </c>
    </row>
    <row r="39" spans="1:9" x14ac:dyDescent="0.2">
      <c r="A39" s="9" t="s">
        <v>38</v>
      </c>
      <c r="C39" s="37">
        <v>11.032400000000001</v>
      </c>
      <c r="D39" s="37">
        <v>11.511699999999999</v>
      </c>
    </row>
    <row r="40" spans="1:9" x14ac:dyDescent="0.2">
      <c r="A40" s="9" t="s">
        <v>1600</v>
      </c>
      <c r="C40" s="37">
        <v>10.3386</v>
      </c>
      <c r="D40" s="37">
        <v>10.787699999999999</v>
      </c>
    </row>
    <row r="41" spans="1:9" x14ac:dyDescent="0.2">
      <c r="A41" s="9" t="s">
        <v>1219</v>
      </c>
      <c r="C41" s="37">
        <v>10.330500000000001</v>
      </c>
      <c r="D41" s="37">
        <v>10.3439</v>
      </c>
    </row>
    <row r="42" spans="1:9" x14ac:dyDescent="0.2">
      <c r="A42" s="9" t="s">
        <v>39</v>
      </c>
      <c r="C42" s="37">
        <v>11.132099999999999</v>
      </c>
      <c r="D42" s="37">
        <v>11.615600000000001</v>
      </c>
    </row>
    <row r="43" spans="1:9" x14ac:dyDescent="0.2">
      <c r="A43" s="9" t="s">
        <v>1221</v>
      </c>
      <c r="C43" s="37">
        <v>10.3385</v>
      </c>
      <c r="D43" s="37">
        <v>10.3527</v>
      </c>
    </row>
    <row r="45" spans="1:9" ht="10.5" x14ac:dyDescent="0.25">
      <c r="A45" s="15" t="s">
        <v>1882</v>
      </c>
    </row>
    <row r="46" spans="1:9" ht="10.5" x14ac:dyDescent="0.25">
      <c r="A46" s="90" t="s">
        <v>33</v>
      </c>
      <c r="B46" s="91"/>
      <c r="C46" s="92" t="s">
        <v>1883</v>
      </c>
      <c r="D46" s="93"/>
    </row>
    <row r="47" spans="1:9" ht="10.5" x14ac:dyDescent="0.25">
      <c r="A47" s="90"/>
      <c r="B47" s="91"/>
      <c r="C47" s="38" t="s">
        <v>34</v>
      </c>
      <c r="D47" s="39" t="s">
        <v>35</v>
      </c>
    </row>
    <row r="48" spans="1:9" x14ac:dyDescent="0.2">
      <c r="A48" s="96" t="s">
        <v>1219</v>
      </c>
      <c r="B48" s="97"/>
      <c r="C48" s="40">
        <v>0.30973876099999997</v>
      </c>
      <c r="D48" s="40">
        <v>0.28681963630000001</v>
      </c>
    </row>
    <row r="49" spans="1:5" x14ac:dyDescent="0.2">
      <c r="A49" s="96" t="s">
        <v>1221</v>
      </c>
      <c r="B49" s="97"/>
      <c r="C49" s="40">
        <v>0.30973876099999997</v>
      </c>
      <c r="D49" s="40">
        <v>0.28681963630000001</v>
      </c>
    </row>
    <row r="51" spans="1:5" ht="10.5" x14ac:dyDescent="0.25">
      <c r="A51" s="15" t="s">
        <v>882</v>
      </c>
      <c r="D51" s="11">
        <v>1.2499869551366101</v>
      </c>
      <c r="E51" s="11" t="s">
        <v>883</v>
      </c>
    </row>
    <row r="53" spans="1:5" ht="10.5" x14ac:dyDescent="0.25">
      <c r="A53" s="15" t="s">
        <v>884</v>
      </c>
      <c r="D53" s="41" t="s">
        <v>36</v>
      </c>
    </row>
  </sheetData>
  <mergeCells count="6">
    <mergeCell ref="A49:B49"/>
    <mergeCell ref="A1:F1"/>
    <mergeCell ref="A46:B46"/>
    <mergeCell ref="C46:D46"/>
    <mergeCell ref="A47:B47"/>
    <mergeCell ref="A48:B48"/>
  </mergeCells>
  <conditionalFormatting sqref="F2 F4:F65536">
    <cfRule type="cellIs" dxfId="49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9"/>
  <sheetViews>
    <sheetView view="pageBreakPreview" zoomScaleNormal="115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3.26953125" style="9" bestFit="1" customWidth="1"/>
    <col min="3" max="3" width="15.453125" style="9" bestFit="1" customWidth="1"/>
    <col min="4" max="4" width="15.453125" style="10" bestFit="1" customWidth="1"/>
    <col min="5" max="5" width="13.81640625" style="11" customWidth="1"/>
    <col min="6" max="6" width="8.81640625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1659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4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1657</v>
      </c>
      <c r="B6" s="24" t="s">
        <v>1658</v>
      </c>
      <c r="C6" s="24" t="s">
        <v>998</v>
      </c>
      <c r="D6" s="28">
        <v>103</v>
      </c>
      <c r="E6" s="26">
        <v>1191.90158</v>
      </c>
      <c r="F6" s="27">
        <v>10.9156446249957</v>
      </c>
    </row>
    <row r="7" spans="1:6" x14ac:dyDescent="0.2">
      <c r="A7" s="24" t="s">
        <v>1001</v>
      </c>
      <c r="B7" s="24" t="s">
        <v>1002</v>
      </c>
      <c r="C7" s="24" t="s">
        <v>815</v>
      </c>
      <c r="D7" s="28">
        <v>115</v>
      </c>
      <c r="E7" s="26">
        <v>1170.4423999999999</v>
      </c>
      <c r="F7" s="27">
        <v>10.7191176744871</v>
      </c>
    </row>
    <row r="8" spans="1:6" x14ac:dyDescent="0.2">
      <c r="A8" s="24" t="s">
        <v>999</v>
      </c>
      <c r="B8" s="24" t="s">
        <v>1000</v>
      </c>
      <c r="C8" s="24" t="s">
        <v>815</v>
      </c>
      <c r="D8" s="28">
        <v>112</v>
      </c>
      <c r="E8" s="26">
        <v>1150.5166400000001</v>
      </c>
      <c r="F8" s="27">
        <v>10.536634054452801</v>
      </c>
    </row>
    <row r="9" spans="1:6" x14ac:dyDescent="0.2">
      <c r="A9" s="24" t="s">
        <v>1660</v>
      </c>
      <c r="B9" s="24" t="s">
        <v>1661</v>
      </c>
      <c r="C9" s="24" t="s">
        <v>815</v>
      </c>
      <c r="D9" s="28">
        <v>100</v>
      </c>
      <c r="E9" s="26">
        <v>1030.5229999999999</v>
      </c>
      <c r="F9" s="27">
        <v>9.4377111622626302</v>
      </c>
    </row>
    <row r="10" spans="1:6" x14ac:dyDescent="0.2">
      <c r="A10" s="24" t="s">
        <v>1647</v>
      </c>
      <c r="B10" s="24" t="s">
        <v>1648</v>
      </c>
      <c r="C10" s="24" t="s">
        <v>998</v>
      </c>
      <c r="D10" s="28">
        <v>85</v>
      </c>
      <c r="E10" s="26">
        <v>979.91485</v>
      </c>
      <c r="F10" s="27">
        <v>8.97423280985665</v>
      </c>
    </row>
    <row r="11" spans="1:6" x14ac:dyDescent="0.2">
      <c r="A11" s="24" t="s">
        <v>1662</v>
      </c>
      <c r="B11" s="24" t="s">
        <v>1663</v>
      </c>
      <c r="C11" s="24" t="s">
        <v>815</v>
      </c>
      <c r="D11" s="28">
        <v>70</v>
      </c>
      <c r="E11" s="26">
        <v>818.56320000000005</v>
      </c>
      <c r="F11" s="27">
        <v>7.4965459768073304</v>
      </c>
    </row>
    <row r="12" spans="1:6" x14ac:dyDescent="0.2">
      <c r="A12" s="24" t="s">
        <v>1664</v>
      </c>
      <c r="B12" s="24" t="s">
        <v>1665</v>
      </c>
      <c r="C12" s="24" t="s">
        <v>815</v>
      </c>
      <c r="D12" s="28">
        <v>77</v>
      </c>
      <c r="E12" s="26">
        <v>796.97848999999997</v>
      </c>
      <c r="F12" s="27">
        <v>7.2988694004463897</v>
      </c>
    </row>
    <row r="13" spans="1:6" x14ac:dyDescent="0.2">
      <c r="A13" s="24" t="s">
        <v>1395</v>
      </c>
      <c r="B13" s="24" t="s">
        <v>1396</v>
      </c>
      <c r="C13" s="24" t="s">
        <v>1328</v>
      </c>
      <c r="D13" s="28">
        <v>75</v>
      </c>
      <c r="E13" s="26">
        <v>775.43325000000004</v>
      </c>
      <c r="F13" s="27">
        <v>7.1015542972981498</v>
      </c>
    </row>
    <row r="14" spans="1:6" x14ac:dyDescent="0.2">
      <c r="A14" s="24" t="s">
        <v>1666</v>
      </c>
      <c r="B14" s="24" t="s">
        <v>1667</v>
      </c>
      <c r="C14" s="24" t="s">
        <v>1328</v>
      </c>
      <c r="D14" s="28">
        <v>21</v>
      </c>
      <c r="E14" s="26">
        <v>524.18205</v>
      </c>
      <c r="F14" s="27">
        <v>4.8005515494003603</v>
      </c>
    </row>
    <row r="15" spans="1:6" x14ac:dyDescent="0.2">
      <c r="A15" s="24" t="s">
        <v>1668</v>
      </c>
      <c r="B15" s="24" t="s">
        <v>1669</v>
      </c>
      <c r="C15" s="24" t="s">
        <v>815</v>
      </c>
      <c r="D15" s="28">
        <v>33</v>
      </c>
      <c r="E15" s="26">
        <v>335.07902999999999</v>
      </c>
      <c r="F15" s="27">
        <v>3.0687127814431401</v>
      </c>
    </row>
    <row r="16" spans="1:6" x14ac:dyDescent="0.2">
      <c r="A16" s="24" t="s">
        <v>1670</v>
      </c>
      <c r="B16" s="24" t="s">
        <v>1671</v>
      </c>
      <c r="C16" s="24" t="s">
        <v>815</v>
      </c>
      <c r="D16" s="28">
        <v>32</v>
      </c>
      <c r="E16" s="26">
        <v>328.84032000000002</v>
      </c>
      <c r="F16" s="27">
        <v>3.0115775763044699</v>
      </c>
    </row>
    <row r="17" spans="1:9" x14ac:dyDescent="0.2">
      <c r="A17" s="24" t="s">
        <v>1428</v>
      </c>
      <c r="B17" s="24" t="s">
        <v>1429</v>
      </c>
      <c r="C17" s="24" t="s">
        <v>1328</v>
      </c>
      <c r="D17" s="28">
        <v>310</v>
      </c>
      <c r="E17" s="26">
        <v>319.34960000000001</v>
      </c>
      <c r="F17" s="27">
        <v>2.9246598907390799</v>
      </c>
    </row>
    <row r="18" spans="1:9" x14ac:dyDescent="0.2">
      <c r="A18" s="24" t="s">
        <v>1672</v>
      </c>
      <c r="B18" s="24" t="s">
        <v>1673</v>
      </c>
      <c r="C18" s="24" t="s">
        <v>1278</v>
      </c>
      <c r="D18" s="28">
        <v>32</v>
      </c>
      <c r="E18" s="26">
        <v>293.70112</v>
      </c>
      <c r="F18" s="27">
        <v>2.6897665928786001</v>
      </c>
    </row>
    <row r="19" spans="1:9" x14ac:dyDescent="0.2">
      <c r="A19" s="24" t="s">
        <v>1329</v>
      </c>
      <c r="B19" s="24" t="s">
        <v>1330</v>
      </c>
      <c r="C19" s="24" t="s">
        <v>815</v>
      </c>
      <c r="D19" s="28">
        <v>2</v>
      </c>
      <c r="E19" s="26">
        <v>203.39779999999999</v>
      </c>
      <c r="F19" s="27">
        <v>1.8627528812454099</v>
      </c>
    </row>
    <row r="20" spans="1:9" x14ac:dyDescent="0.2">
      <c r="A20" s="24" t="s">
        <v>1674</v>
      </c>
      <c r="B20" s="24" t="s">
        <v>1675</v>
      </c>
      <c r="C20" s="24" t="s">
        <v>1278</v>
      </c>
      <c r="D20" s="28">
        <v>26</v>
      </c>
      <c r="E20" s="26">
        <v>130.93586999999999</v>
      </c>
      <c r="F20" s="27">
        <v>1.19913376202139</v>
      </c>
    </row>
    <row r="21" spans="1:9" x14ac:dyDescent="0.2">
      <c r="A21" s="24" t="s">
        <v>994</v>
      </c>
      <c r="B21" s="24" t="s">
        <v>995</v>
      </c>
      <c r="C21" s="24" t="s">
        <v>815</v>
      </c>
      <c r="D21" s="28">
        <v>4</v>
      </c>
      <c r="E21" s="26">
        <v>40.28436</v>
      </c>
      <c r="F21" s="27">
        <v>0.368931265033974</v>
      </c>
    </row>
    <row r="22" spans="1:9" x14ac:dyDescent="0.2">
      <c r="A22" s="24" t="s">
        <v>1676</v>
      </c>
      <c r="B22" s="24" t="s">
        <v>1677</v>
      </c>
      <c r="C22" s="24" t="s">
        <v>815</v>
      </c>
      <c r="D22" s="28">
        <v>2</v>
      </c>
      <c r="E22" s="26">
        <v>23.82788</v>
      </c>
      <c r="F22" s="27">
        <v>0.21821992235889401</v>
      </c>
    </row>
    <row r="23" spans="1:9" x14ac:dyDescent="0.2">
      <c r="A23" s="24" t="s">
        <v>996</v>
      </c>
      <c r="B23" s="24" t="s">
        <v>997</v>
      </c>
      <c r="C23" s="24" t="s">
        <v>998</v>
      </c>
      <c r="D23" s="28">
        <v>2</v>
      </c>
      <c r="E23" s="26">
        <v>23.557179999999999</v>
      </c>
      <c r="F23" s="27">
        <v>0.21574080407465901</v>
      </c>
    </row>
    <row r="24" spans="1:9" x14ac:dyDescent="0.2">
      <c r="A24" s="24" t="s">
        <v>1678</v>
      </c>
      <c r="B24" s="24" t="s">
        <v>1679</v>
      </c>
      <c r="C24" s="24" t="s">
        <v>815</v>
      </c>
      <c r="D24" s="28">
        <v>1</v>
      </c>
      <c r="E24" s="26">
        <v>10.07267</v>
      </c>
      <c r="F24" s="27">
        <v>9.2247286176813006E-2</v>
      </c>
    </row>
    <row r="25" spans="1:9" ht="10.5" x14ac:dyDescent="0.25">
      <c r="A25" s="23" t="s">
        <v>24</v>
      </c>
      <c r="B25" s="23"/>
      <c r="C25" s="23"/>
      <c r="D25" s="29"/>
      <c r="E25" s="30">
        <f>SUM(E5:E24)</f>
        <v>10147.501289999998</v>
      </c>
      <c r="F25" s="31">
        <f>SUM(F5:F24)</f>
        <v>92.932604312283573</v>
      </c>
      <c r="G25" s="15"/>
      <c r="H25" s="15"/>
      <c r="I25" s="15"/>
    </row>
    <row r="26" spans="1:9" x14ac:dyDescent="0.2">
      <c r="A26" s="24"/>
      <c r="B26" s="24"/>
      <c r="C26" s="24"/>
      <c r="D26" s="25"/>
      <c r="E26" s="26"/>
      <c r="F26" s="27"/>
    </row>
    <row r="27" spans="1:9" ht="10.5" x14ac:dyDescent="0.25">
      <c r="A27" s="23" t="s">
        <v>818</v>
      </c>
      <c r="B27" s="24"/>
      <c r="C27" s="24"/>
      <c r="D27" s="25"/>
      <c r="E27" s="26"/>
      <c r="F27" s="27"/>
    </row>
    <row r="28" spans="1:9" x14ac:dyDescent="0.2">
      <c r="A28" s="24" t="s">
        <v>1444</v>
      </c>
      <c r="B28" s="24" t="s">
        <v>1445</v>
      </c>
      <c r="C28" s="24" t="s">
        <v>815</v>
      </c>
      <c r="D28" s="28">
        <v>29</v>
      </c>
      <c r="E28" s="26">
        <v>290.73253999999997</v>
      </c>
      <c r="F28" s="27">
        <v>2.6625798143185202</v>
      </c>
    </row>
    <row r="29" spans="1:9" ht="10.5" x14ac:dyDescent="0.25">
      <c r="A29" s="23" t="s">
        <v>24</v>
      </c>
      <c r="B29" s="23"/>
      <c r="C29" s="23"/>
      <c r="D29" s="29"/>
      <c r="E29" s="30">
        <f>SUM(E27:E28)</f>
        <v>290.73253999999997</v>
      </c>
      <c r="F29" s="31">
        <f>SUM(F27:F28)</f>
        <v>2.6625798143185202</v>
      </c>
      <c r="G29" s="15"/>
      <c r="H29" s="15"/>
      <c r="I29" s="15"/>
    </row>
    <row r="30" spans="1:9" x14ac:dyDescent="0.2">
      <c r="A30" s="24"/>
      <c r="B30" s="24"/>
      <c r="C30" s="24"/>
      <c r="D30" s="25"/>
      <c r="E30" s="26"/>
      <c r="F30" s="27"/>
    </row>
    <row r="31" spans="1:9" ht="10.5" x14ac:dyDescent="0.25">
      <c r="A31" s="23" t="s">
        <v>861</v>
      </c>
      <c r="B31" s="24"/>
      <c r="C31" s="24"/>
      <c r="D31" s="25"/>
      <c r="E31" s="26"/>
      <c r="F31" s="27"/>
    </row>
    <row r="32" spans="1:9" ht="10.5" x14ac:dyDescent="0.25">
      <c r="A32" s="23" t="s">
        <v>1106</v>
      </c>
      <c r="B32" s="24"/>
      <c r="C32" s="24"/>
      <c r="D32" s="25"/>
      <c r="E32" s="26"/>
      <c r="F32" s="27"/>
    </row>
    <row r="33" spans="1:9" x14ac:dyDescent="0.2">
      <c r="A33" s="24" t="s">
        <v>1129</v>
      </c>
      <c r="B33" s="24" t="s">
        <v>1130</v>
      </c>
      <c r="C33" s="24" t="s">
        <v>1114</v>
      </c>
      <c r="D33" s="28">
        <v>16</v>
      </c>
      <c r="E33" s="26">
        <v>15.204496000000001</v>
      </c>
      <c r="F33" s="27">
        <v>0.13924545266411101</v>
      </c>
    </row>
    <row r="34" spans="1:9" ht="10.5" x14ac:dyDescent="0.25">
      <c r="A34" s="23" t="s">
        <v>24</v>
      </c>
      <c r="B34" s="23"/>
      <c r="C34" s="23"/>
      <c r="D34" s="29"/>
      <c r="E34" s="30">
        <f>SUM(E32:E33)</f>
        <v>15.204496000000001</v>
      </c>
      <c r="F34" s="31">
        <f>SUM(F32:F33)</f>
        <v>0.13924545266411101</v>
      </c>
      <c r="G34" s="15"/>
      <c r="H34" s="15"/>
      <c r="I34" s="15"/>
    </row>
    <row r="35" spans="1:9" x14ac:dyDescent="0.2">
      <c r="A35" s="24"/>
      <c r="B35" s="24"/>
      <c r="C35" s="24"/>
      <c r="D35" s="25"/>
      <c r="E35" s="26"/>
      <c r="F35" s="27"/>
    </row>
    <row r="36" spans="1:9" ht="10.5" x14ac:dyDescent="0.25">
      <c r="A36" s="23" t="s">
        <v>25</v>
      </c>
      <c r="B36" s="23"/>
      <c r="C36" s="23"/>
      <c r="D36" s="29"/>
      <c r="E36" s="30">
        <f>E25+E29+E34</f>
        <v>10453.438325999998</v>
      </c>
      <c r="F36" s="31">
        <f>F25+F29+F34</f>
        <v>95.734429579266205</v>
      </c>
      <c r="G36" s="15"/>
      <c r="H36" s="15"/>
      <c r="I36" s="15"/>
    </row>
    <row r="37" spans="1:9" ht="10.5" x14ac:dyDescent="0.25">
      <c r="A37" s="23"/>
      <c r="B37" s="23"/>
      <c r="C37" s="23"/>
      <c r="D37" s="29"/>
      <c r="E37" s="30"/>
      <c r="F37" s="31"/>
      <c r="G37" s="15"/>
      <c r="H37" s="15"/>
      <c r="I37" s="15"/>
    </row>
    <row r="38" spans="1:9" ht="10.5" x14ac:dyDescent="0.25">
      <c r="A38" s="23" t="s">
        <v>27</v>
      </c>
      <c r="B38" s="23"/>
      <c r="C38" s="23"/>
      <c r="D38" s="29"/>
      <c r="E38" s="30">
        <f>E40-(E25+E29+E34)</f>
        <v>465.76636550000148</v>
      </c>
      <c r="F38" s="31">
        <f>F40-(F25+F29+F34)</f>
        <v>4.2655704207337948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32" t="s">
        <v>26</v>
      </c>
      <c r="B40" s="32"/>
      <c r="C40" s="32"/>
      <c r="D40" s="33"/>
      <c r="E40" s="34">
        <v>10919.204691499999</v>
      </c>
      <c r="F40" s="35">
        <v>100</v>
      </c>
      <c r="G40" s="15"/>
      <c r="H40" s="15"/>
      <c r="I40" s="15"/>
    </row>
    <row r="41" spans="1:9" ht="10.5" x14ac:dyDescent="0.25">
      <c r="A41" s="15" t="s">
        <v>872</v>
      </c>
    </row>
    <row r="43" spans="1:9" ht="10.5" x14ac:dyDescent="0.25">
      <c r="A43" s="15" t="s">
        <v>28</v>
      </c>
    </row>
    <row r="44" spans="1:9" ht="10.5" x14ac:dyDescent="0.25">
      <c r="A44" s="15" t="s">
        <v>29</v>
      </c>
    </row>
    <row r="45" spans="1:9" ht="10.5" x14ac:dyDescent="0.25">
      <c r="A45" s="15" t="s">
        <v>30</v>
      </c>
      <c r="B45" s="15"/>
      <c r="C45" s="36" t="s">
        <v>32</v>
      </c>
      <c r="D45" s="16" t="s">
        <v>31</v>
      </c>
    </row>
    <row r="46" spans="1:9" x14ac:dyDescent="0.2">
      <c r="A46" s="9" t="s">
        <v>38</v>
      </c>
      <c r="C46" s="37">
        <v>11.0121</v>
      </c>
      <c r="D46" s="37">
        <v>11.5198</v>
      </c>
    </row>
    <row r="47" spans="1:9" x14ac:dyDescent="0.2">
      <c r="A47" s="9" t="s">
        <v>1600</v>
      </c>
      <c r="C47" s="37">
        <v>10.301600000000001</v>
      </c>
      <c r="D47" s="37">
        <v>10.7765</v>
      </c>
    </row>
    <row r="48" spans="1:9" x14ac:dyDescent="0.2">
      <c r="A48" s="9" t="s">
        <v>1219</v>
      </c>
      <c r="C48" s="37">
        <v>10.2927</v>
      </c>
      <c r="D48" s="37">
        <v>10.360900000000001</v>
      </c>
    </row>
    <row r="49" spans="1:5" x14ac:dyDescent="0.2">
      <c r="A49" s="9" t="s">
        <v>39</v>
      </c>
      <c r="C49" s="37">
        <v>11.1228</v>
      </c>
      <c r="D49" s="37">
        <v>11.6356</v>
      </c>
    </row>
    <row r="50" spans="1:5" x14ac:dyDescent="0.2">
      <c r="A50" s="9" t="s">
        <v>41</v>
      </c>
      <c r="C50" s="37">
        <v>10.412100000000001</v>
      </c>
      <c r="D50" s="37">
        <v>10.892799999999999</v>
      </c>
    </row>
    <row r="52" spans="1:5" ht="10.5" x14ac:dyDescent="0.25">
      <c r="A52" s="15" t="s">
        <v>1882</v>
      </c>
    </row>
    <row r="53" spans="1:5" ht="10.5" x14ac:dyDescent="0.25">
      <c r="A53" s="90" t="s">
        <v>33</v>
      </c>
      <c r="B53" s="91"/>
      <c r="C53" s="92" t="s">
        <v>1883</v>
      </c>
      <c r="D53" s="93"/>
    </row>
    <row r="54" spans="1:5" ht="10.5" x14ac:dyDescent="0.25">
      <c r="A54" s="90"/>
      <c r="B54" s="91"/>
      <c r="C54" s="38" t="s">
        <v>34</v>
      </c>
      <c r="D54" s="39" t="s">
        <v>35</v>
      </c>
    </row>
    <row r="55" spans="1:5" x14ac:dyDescent="0.2">
      <c r="A55" s="96" t="s">
        <v>1219</v>
      </c>
      <c r="B55" s="97"/>
      <c r="C55" s="40">
        <v>0.28452746649999999</v>
      </c>
      <c r="D55" s="40">
        <v>0.26347385200000001</v>
      </c>
    </row>
    <row r="57" spans="1:5" ht="10.5" x14ac:dyDescent="0.25">
      <c r="A57" s="15" t="s">
        <v>882</v>
      </c>
      <c r="D57" s="11">
        <v>1.1973725330601099</v>
      </c>
      <c r="E57" s="11" t="s">
        <v>883</v>
      </c>
    </row>
    <row r="59" spans="1:5" ht="10.5" x14ac:dyDescent="0.25">
      <c r="A59" s="15" t="s">
        <v>884</v>
      </c>
      <c r="D59" s="41" t="s">
        <v>36</v>
      </c>
    </row>
  </sheetData>
  <mergeCells count="5">
    <mergeCell ref="A1:F1"/>
    <mergeCell ref="A53:B53"/>
    <mergeCell ref="C53:D53"/>
    <mergeCell ref="A54:B54"/>
    <mergeCell ref="A55:B55"/>
  </mergeCells>
  <conditionalFormatting sqref="F2 F4:F65536">
    <cfRule type="cellIs" dxfId="48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9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49.26953125" style="9" bestFit="1" customWidth="1"/>
    <col min="3" max="3" width="15.453125" style="9" bestFit="1" customWidth="1"/>
    <col min="4" max="4" width="15.453125" style="10" bestFit="1" customWidth="1"/>
    <col min="5" max="5" width="14.26953125" style="11" customWidth="1"/>
    <col min="6" max="6" width="9.45312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1680</v>
      </c>
      <c r="B1" s="89"/>
      <c r="C1" s="89"/>
      <c r="D1" s="89"/>
      <c r="E1" s="89"/>
      <c r="F1" s="89"/>
    </row>
    <row r="2" spans="1:6" s="1" customFormat="1" ht="14" x14ac:dyDescent="0.25">
      <c r="A2" s="12" t="s">
        <v>4</v>
      </c>
      <c r="B2" s="2"/>
      <c r="C2" s="3"/>
      <c r="D2" s="4"/>
      <c r="E2" s="67"/>
      <c r="F2" s="14"/>
    </row>
    <row r="3" spans="1:6" s="1" customFormat="1" ht="23.2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1681</v>
      </c>
      <c r="B6" s="24" t="s">
        <v>1682</v>
      </c>
      <c r="C6" s="24" t="s">
        <v>815</v>
      </c>
      <c r="D6" s="28">
        <v>119</v>
      </c>
      <c r="E6" s="26">
        <v>1217.66274</v>
      </c>
      <c r="F6" s="27">
        <v>10.3995270999485</v>
      </c>
    </row>
    <row r="7" spans="1:6" x14ac:dyDescent="0.2">
      <c r="A7" s="24" t="s">
        <v>1637</v>
      </c>
      <c r="B7" s="24" t="s">
        <v>1638</v>
      </c>
      <c r="C7" s="24" t="s">
        <v>815</v>
      </c>
      <c r="D7" s="28">
        <v>119</v>
      </c>
      <c r="E7" s="26">
        <v>1216.0883699999999</v>
      </c>
      <c r="F7" s="27">
        <v>10.386081091507499</v>
      </c>
    </row>
    <row r="8" spans="1:6" x14ac:dyDescent="0.2">
      <c r="A8" s="24" t="s">
        <v>1683</v>
      </c>
      <c r="B8" s="24" t="s">
        <v>1684</v>
      </c>
      <c r="C8" s="24" t="s">
        <v>815</v>
      </c>
      <c r="D8" s="28">
        <v>99</v>
      </c>
      <c r="E8" s="26">
        <v>1164.81222</v>
      </c>
      <c r="F8" s="27">
        <v>9.9481538280798194</v>
      </c>
    </row>
    <row r="9" spans="1:6" x14ac:dyDescent="0.2">
      <c r="A9" s="24" t="s">
        <v>1685</v>
      </c>
      <c r="B9" s="24" t="s">
        <v>1686</v>
      </c>
      <c r="C9" s="24" t="s">
        <v>1328</v>
      </c>
      <c r="D9" s="28">
        <v>100</v>
      </c>
      <c r="E9" s="26">
        <v>1027.6020000000001</v>
      </c>
      <c r="F9" s="27">
        <v>8.7763011020286896</v>
      </c>
    </row>
    <row r="10" spans="1:6" x14ac:dyDescent="0.2">
      <c r="A10" s="24" t="s">
        <v>1687</v>
      </c>
      <c r="B10" s="24" t="s">
        <v>1688</v>
      </c>
      <c r="C10" s="24" t="s">
        <v>1328</v>
      </c>
      <c r="D10" s="28">
        <v>100</v>
      </c>
      <c r="E10" s="26">
        <v>1012.297</v>
      </c>
      <c r="F10" s="27">
        <v>8.6455877632393996</v>
      </c>
    </row>
    <row r="11" spans="1:6" x14ac:dyDescent="0.2">
      <c r="A11" s="24" t="s">
        <v>1689</v>
      </c>
      <c r="B11" s="24" t="s">
        <v>1690</v>
      </c>
      <c r="C11" s="24" t="s">
        <v>815</v>
      </c>
      <c r="D11" s="28">
        <v>100</v>
      </c>
      <c r="E11" s="26">
        <v>1010.006</v>
      </c>
      <c r="F11" s="27">
        <v>8.6260213301021107</v>
      </c>
    </row>
    <row r="12" spans="1:6" x14ac:dyDescent="0.2">
      <c r="A12" s="24" t="s">
        <v>1672</v>
      </c>
      <c r="B12" s="24" t="s">
        <v>1673</v>
      </c>
      <c r="C12" s="24" t="s">
        <v>1278</v>
      </c>
      <c r="D12" s="28">
        <v>96</v>
      </c>
      <c r="E12" s="26">
        <v>881.10335999999995</v>
      </c>
      <c r="F12" s="27">
        <v>7.5251200264004696</v>
      </c>
    </row>
    <row r="13" spans="1:6" x14ac:dyDescent="0.2">
      <c r="A13" s="24" t="s">
        <v>1401</v>
      </c>
      <c r="B13" s="24" t="s">
        <v>1402</v>
      </c>
      <c r="C13" s="24" t="s">
        <v>1328</v>
      </c>
      <c r="D13" s="28">
        <v>74</v>
      </c>
      <c r="E13" s="26">
        <v>872.17732000000001</v>
      </c>
      <c r="F13" s="27">
        <v>7.4488866065659902</v>
      </c>
    </row>
    <row r="14" spans="1:6" x14ac:dyDescent="0.2">
      <c r="A14" s="24" t="s">
        <v>1670</v>
      </c>
      <c r="B14" s="24" t="s">
        <v>1671</v>
      </c>
      <c r="C14" s="24" t="s">
        <v>815</v>
      </c>
      <c r="D14" s="28">
        <v>67</v>
      </c>
      <c r="E14" s="26">
        <v>688.50941999999998</v>
      </c>
      <c r="F14" s="27">
        <v>5.8802590706354501</v>
      </c>
    </row>
    <row r="15" spans="1:6" x14ac:dyDescent="0.2">
      <c r="A15" s="24" t="s">
        <v>1329</v>
      </c>
      <c r="B15" s="24" t="s">
        <v>1330</v>
      </c>
      <c r="C15" s="24" t="s">
        <v>815</v>
      </c>
      <c r="D15" s="28">
        <v>5</v>
      </c>
      <c r="E15" s="26">
        <v>508.49450000000002</v>
      </c>
      <c r="F15" s="27">
        <v>4.3428300458013203</v>
      </c>
    </row>
    <row r="16" spans="1:6" x14ac:dyDescent="0.2">
      <c r="A16" s="24" t="s">
        <v>1440</v>
      </c>
      <c r="B16" s="24" t="s">
        <v>1441</v>
      </c>
      <c r="C16" s="24" t="s">
        <v>815</v>
      </c>
      <c r="D16" s="28">
        <v>46</v>
      </c>
      <c r="E16" s="26">
        <v>478.88668000000001</v>
      </c>
      <c r="F16" s="27">
        <v>4.0899625510955202</v>
      </c>
    </row>
    <row r="17" spans="1:9" x14ac:dyDescent="0.2">
      <c r="A17" s="24" t="s">
        <v>1664</v>
      </c>
      <c r="B17" s="24" t="s">
        <v>1665</v>
      </c>
      <c r="C17" s="24" t="s">
        <v>815</v>
      </c>
      <c r="D17" s="28">
        <v>23</v>
      </c>
      <c r="E17" s="26">
        <v>238.05851000000001</v>
      </c>
      <c r="F17" s="27">
        <v>2.0331540456911399</v>
      </c>
    </row>
    <row r="18" spans="1:9" x14ac:dyDescent="0.2">
      <c r="A18" s="24" t="s">
        <v>1645</v>
      </c>
      <c r="B18" s="24" t="s">
        <v>1646</v>
      </c>
      <c r="C18" s="24" t="s">
        <v>815</v>
      </c>
      <c r="D18" s="28">
        <v>20</v>
      </c>
      <c r="E18" s="26">
        <v>200.7492</v>
      </c>
      <c r="F18" s="27">
        <v>1.71451147933867</v>
      </c>
    </row>
    <row r="19" spans="1:9" x14ac:dyDescent="0.2">
      <c r="A19" s="24" t="s">
        <v>1668</v>
      </c>
      <c r="B19" s="24" t="s">
        <v>1669</v>
      </c>
      <c r="C19" s="24" t="s">
        <v>815</v>
      </c>
      <c r="D19" s="28">
        <v>17</v>
      </c>
      <c r="E19" s="26">
        <v>172.61646999999999</v>
      </c>
      <c r="F19" s="27">
        <v>1.4742420858360501</v>
      </c>
    </row>
    <row r="20" spans="1:9" x14ac:dyDescent="0.2">
      <c r="A20" s="24" t="s">
        <v>996</v>
      </c>
      <c r="B20" s="24" t="s">
        <v>997</v>
      </c>
      <c r="C20" s="24" t="s">
        <v>998</v>
      </c>
      <c r="D20" s="28">
        <v>2</v>
      </c>
      <c r="E20" s="26">
        <v>23.557179999999999</v>
      </c>
      <c r="F20" s="27">
        <v>0.201191613868685</v>
      </c>
    </row>
    <row r="21" spans="1:9" x14ac:dyDescent="0.2">
      <c r="A21" s="24" t="s">
        <v>1674</v>
      </c>
      <c r="B21" s="24" t="s">
        <v>1675</v>
      </c>
      <c r="C21" s="24" t="s">
        <v>1278</v>
      </c>
      <c r="D21" s="28">
        <v>4</v>
      </c>
      <c r="E21" s="26">
        <v>20.143979999999999</v>
      </c>
      <c r="F21" s="27">
        <v>0.17204095931425201</v>
      </c>
    </row>
    <row r="22" spans="1:9" x14ac:dyDescent="0.2">
      <c r="A22" s="24" t="s">
        <v>1676</v>
      </c>
      <c r="B22" s="24" t="s">
        <v>1677</v>
      </c>
      <c r="C22" s="24" t="s">
        <v>815</v>
      </c>
      <c r="D22" s="28">
        <v>1</v>
      </c>
      <c r="E22" s="26">
        <v>11.91394</v>
      </c>
      <c r="F22" s="27">
        <v>0.101751772331607</v>
      </c>
    </row>
    <row r="23" spans="1:9" ht="10.5" x14ac:dyDescent="0.25">
      <c r="A23" s="23" t="s">
        <v>24</v>
      </c>
      <c r="B23" s="23"/>
      <c r="C23" s="23"/>
      <c r="D23" s="29"/>
      <c r="E23" s="30">
        <f>SUM(E5:E22)</f>
        <v>10744.678890000005</v>
      </c>
      <c r="F23" s="31">
        <f>SUM(F5:F22)</f>
        <v>91.765622471785164</v>
      </c>
      <c r="G23" s="15"/>
      <c r="H23" s="15"/>
      <c r="I23" s="15"/>
    </row>
    <row r="24" spans="1:9" x14ac:dyDescent="0.2">
      <c r="A24" s="24"/>
      <c r="B24" s="24"/>
      <c r="C24" s="24"/>
      <c r="D24" s="25"/>
      <c r="E24" s="26"/>
      <c r="F24" s="27"/>
    </row>
    <row r="25" spans="1:9" ht="10.5" x14ac:dyDescent="0.25">
      <c r="A25" s="23" t="s">
        <v>818</v>
      </c>
      <c r="B25" s="24"/>
      <c r="C25" s="24"/>
      <c r="D25" s="25"/>
      <c r="E25" s="26"/>
      <c r="F25" s="27"/>
    </row>
    <row r="26" spans="1:9" x14ac:dyDescent="0.2">
      <c r="A26" s="24" t="s">
        <v>1444</v>
      </c>
      <c r="B26" s="24" t="s">
        <v>1445</v>
      </c>
      <c r="C26" s="24" t="s">
        <v>815</v>
      </c>
      <c r="D26" s="28">
        <v>37</v>
      </c>
      <c r="E26" s="26">
        <v>370.93462</v>
      </c>
      <c r="F26" s="27">
        <v>3.1679910259872899</v>
      </c>
    </row>
    <row r="27" spans="1:9" ht="10.5" x14ac:dyDescent="0.25">
      <c r="A27" s="23" t="s">
        <v>24</v>
      </c>
      <c r="B27" s="23"/>
      <c r="C27" s="23"/>
      <c r="D27" s="29"/>
      <c r="E27" s="30">
        <f>SUM(E25:E26)</f>
        <v>370.93462</v>
      </c>
      <c r="F27" s="31">
        <f>SUM(F25:F26)</f>
        <v>3.1679910259872899</v>
      </c>
      <c r="G27" s="15"/>
      <c r="H27" s="15"/>
      <c r="I27" s="15"/>
    </row>
    <row r="28" spans="1:9" x14ac:dyDescent="0.2">
      <c r="A28" s="24"/>
      <c r="B28" s="24"/>
      <c r="C28" s="24"/>
      <c r="D28" s="25"/>
      <c r="E28" s="26"/>
      <c r="F28" s="27"/>
    </row>
    <row r="29" spans="1:9" ht="10.5" x14ac:dyDescent="0.25">
      <c r="A29" s="23" t="s">
        <v>861</v>
      </c>
      <c r="B29" s="24"/>
      <c r="C29" s="24"/>
      <c r="D29" s="25"/>
      <c r="E29" s="26"/>
      <c r="F29" s="27"/>
    </row>
    <row r="30" spans="1:9" ht="10.5" x14ac:dyDescent="0.25">
      <c r="A30" s="23" t="s">
        <v>1106</v>
      </c>
      <c r="B30" s="24"/>
      <c r="C30" s="24"/>
      <c r="D30" s="25"/>
      <c r="E30" s="26"/>
      <c r="F30" s="27"/>
    </row>
    <row r="31" spans="1:9" x14ac:dyDescent="0.2">
      <c r="A31" s="24" t="s">
        <v>1129</v>
      </c>
      <c r="B31" s="24" t="s">
        <v>1130</v>
      </c>
      <c r="C31" s="24" t="s">
        <v>1114</v>
      </c>
      <c r="D31" s="28">
        <v>112</v>
      </c>
      <c r="E31" s="26">
        <v>106.431472</v>
      </c>
      <c r="F31" s="27">
        <v>0.90898484530405299</v>
      </c>
    </row>
    <row r="32" spans="1:9" ht="10.5" x14ac:dyDescent="0.25">
      <c r="A32" s="23" t="s">
        <v>24</v>
      </c>
      <c r="B32" s="23"/>
      <c r="C32" s="23"/>
      <c r="D32" s="29"/>
      <c r="E32" s="30">
        <f>SUM(E30:E31)</f>
        <v>106.431472</v>
      </c>
      <c r="F32" s="31">
        <f>SUM(F30:F31)</f>
        <v>0.90898484530405299</v>
      </c>
      <c r="G32" s="15"/>
      <c r="H32" s="15"/>
      <c r="I32" s="15"/>
    </row>
    <row r="33" spans="1:9" x14ac:dyDescent="0.2">
      <c r="A33" s="24"/>
      <c r="B33" s="24"/>
      <c r="C33" s="24"/>
      <c r="D33" s="25"/>
      <c r="E33" s="26"/>
      <c r="F33" s="27"/>
    </row>
    <row r="34" spans="1:9" ht="10.5" x14ac:dyDescent="0.25">
      <c r="A34" s="23" t="s">
        <v>25</v>
      </c>
      <c r="B34" s="23"/>
      <c r="C34" s="23"/>
      <c r="D34" s="29"/>
      <c r="E34" s="30">
        <f>E23+E27+E32</f>
        <v>11222.044982000005</v>
      </c>
      <c r="F34" s="31">
        <f>F23+F27+F32</f>
        <v>95.842598343076503</v>
      </c>
      <c r="G34" s="15"/>
      <c r="H34" s="15"/>
      <c r="I34" s="15"/>
    </row>
    <row r="35" spans="1:9" ht="10.5" x14ac:dyDescent="0.25">
      <c r="A35" s="23"/>
      <c r="B35" s="23"/>
      <c r="C35" s="23"/>
      <c r="D35" s="29"/>
      <c r="E35" s="30"/>
      <c r="F35" s="31"/>
      <c r="G35" s="15"/>
      <c r="H35" s="15"/>
      <c r="I35" s="15"/>
    </row>
    <row r="36" spans="1:9" ht="10.5" x14ac:dyDescent="0.25">
      <c r="A36" s="23" t="s">
        <v>27</v>
      </c>
      <c r="B36" s="23"/>
      <c r="C36" s="23"/>
      <c r="D36" s="29"/>
      <c r="E36" s="30">
        <f>E38-(E23+E27+E32)</f>
        <v>486.78300889999446</v>
      </c>
      <c r="F36" s="31">
        <f>F38-(F23+F27+F32)</f>
        <v>4.1574016569234971</v>
      </c>
      <c r="G36" s="15"/>
      <c r="H36" s="15"/>
      <c r="I36" s="15"/>
    </row>
    <row r="37" spans="1:9" ht="10.5" x14ac:dyDescent="0.25">
      <c r="A37" s="23"/>
      <c r="B37" s="23"/>
      <c r="C37" s="23"/>
      <c r="D37" s="29"/>
      <c r="E37" s="30"/>
      <c r="F37" s="31"/>
      <c r="G37" s="15"/>
      <c r="H37" s="15"/>
      <c r="I37" s="15"/>
    </row>
    <row r="38" spans="1:9" ht="10.5" x14ac:dyDescent="0.25">
      <c r="A38" s="32" t="s">
        <v>26</v>
      </c>
      <c r="B38" s="32"/>
      <c r="C38" s="32"/>
      <c r="D38" s="33"/>
      <c r="E38" s="34">
        <v>11708.827990899999</v>
      </c>
      <c r="F38" s="35">
        <v>100</v>
      </c>
      <c r="G38" s="15"/>
      <c r="H38" s="15"/>
      <c r="I38" s="15"/>
    </row>
    <row r="39" spans="1:9" ht="10.5" x14ac:dyDescent="0.25">
      <c r="A39" s="15" t="s">
        <v>872</v>
      </c>
    </row>
    <row r="41" spans="1:9" ht="10.5" x14ac:dyDescent="0.25">
      <c r="A41" s="15" t="s">
        <v>28</v>
      </c>
    </row>
    <row r="42" spans="1:9" ht="10.5" x14ac:dyDescent="0.25">
      <c r="A42" s="15" t="s">
        <v>29</v>
      </c>
    </row>
    <row r="43" spans="1:9" ht="10.5" x14ac:dyDescent="0.25">
      <c r="A43" s="15" t="s">
        <v>30</v>
      </c>
      <c r="B43" s="15"/>
      <c r="C43" s="36" t="s">
        <v>32</v>
      </c>
      <c r="D43" s="16" t="s">
        <v>31</v>
      </c>
    </row>
    <row r="44" spans="1:9" x14ac:dyDescent="0.2">
      <c r="A44" s="9" t="s">
        <v>38</v>
      </c>
      <c r="C44" s="37">
        <v>11.106199999999999</v>
      </c>
      <c r="D44" s="37">
        <v>11.6122</v>
      </c>
    </row>
    <row r="45" spans="1:9" x14ac:dyDescent="0.2">
      <c r="A45" s="9" t="s">
        <v>1600</v>
      </c>
      <c r="C45" s="37">
        <v>10.444599999999999</v>
      </c>
      <c r="D45" s="37">
        <v>10.9207</v>
      </c>
    </row>
    <row r="46" spans="1:9" x14ac:dyDescent="0.2">
      <c r="A46" s="9" t="s">
        <v>1219</v>
      </c>
      <c r="C46" s="37">
        <v>10.2096</v>
      </c>
      <c r="D46" s="37">
        <v>10.235200000000001</v>
      </c>
    </row>
    <row r="47" spans="1:9" x14ac:dyDescent="0.2">
      <c r="A47" s="9" t="s">
        <v>39</v>
      </c>
      <c r="C47" s="37">
        <v>11.217599999999999</v>
      </c>
      <c r="D47" s="37">
        <v>11.7286</v>
      </c>
    </row>
    <row r="48" spans="1:9" x14ac:dyDescent="0.2">
      <c r="A48" s="9" t="s">
        <v>41</v>
      </c>
      <c r="C48" s="37">
        <v>10.555899999999999</v>
      </c>
      <c r="D48" s="37">
        <v>11.0372</v>
      </c>
    </row>
    <row r="49" spans="1:5" x14ac:dyDescent="0.2">
      <c r="A49" s="9" t="s">
        <v>1221</v>
      </c>
      <c r="C49" s="37">
        <v>10.2752</v>
      </c>
      <c r="D49" s="37">
        <v>10.303699999999999</v>
      </c>
    </row>
    <row r="51" spans="1:5" ht="10.5" x14ac:dyDescent="0.25">
      <c r="A51" s="15" t="s">
        <v>1882</v>
      </c>
    </row>
    <row r="52" spans="1:5" ht="10.5" x14ac:dyDescent="0.25">
      <c r="A52" s="90" t="s">
        <v>33</v>
      </c>
      <c r="B52" s="91"/>
      <c r="C52" s="92" t="s">
        <v>1883</v>
      </c>
      <c r="D52" s="93"/>
    </row>
    <row r="53" spans="1:5" ht="10.5" x14ac:dyDescent="0.25">
      <c r="A53" s="90"/>
      <c r="B53" s="91"/>
      <c r="C53" s="38" t="s">
        <v>34</v>
      </c>
      <c r="D53" s="39" t="s">
        <v>35</v>
      </c>
    </row>
    <row r="54" spans="1:5" x14ac:dyDescent="0.2">
      <c r="A54" s="96" t="s">
        <v>1219</v>
      </c>
      <c r="B54" s="97"/>
      <c r="C54" s="40">
        <v>0.31334037450000002</v>
      </c>
      <c r="D54" s="40">
        <v>0.2901547484</v>
      </c>
    </row>
    <row r="55" spans="1:5" x14ac:dyDescent="0.2">
      <c r="A55" s="96" t="s">
        <v>1221</v>
      </c>
      <c r="B55" s="97"/>
      <c r="C55" s="40">
        <v>0.31334037450000002</v>
      </c>
      <c r="D55" s="40">
        <v>0.2901547484</v>
      </c>
    </row>
    <row r="57" spans="1:5" ht="10.5" x14ac:dyDescent="0.25">
      <c r="A57" s="15" t="s">
        <v>882</v>
      </c>
      <c r="D57" s="11">
        <v>1.11381891942623</v>
      </c>
      <c r="E57" s="11" t="s">
        <v>883</v>
      </c>
    </row>
    <row r="59" spans="1:5" ht="10.5" x14ac:dyDescent="0.25">
      <c r="A59" s="15" t="s">
        <v>884</v>
      </c>
      <c r="D59" s="41" t="s">
        <v>36</v>
      </c>
    </row>
  </sheetData>
  <mergeCells count="6">
    <mergeCell ref="A55:B55"/>
    <mergeCell ref="A1:F1"/>
    <mergeCell ref="A52:B52"/>
    <mergeCell ref="C52:D52"/>
    <mergeCell ref="A53:B53"/>
    <mergeCell ref="A54:B54"/>
  </mergeCells>
  <conditionalFormatting sqref="F2 F4:F65536">
    <cfRule type="cellIs" dxfId="4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1.1796875" style="9" bestFit="1" customWidth="1"/>
    <col min="3" max="3" width="15.453125" style="9" bestFit="1" customWidth="1"/>
    <col min="4" max="4" width="15.453125" style="10" bestFit="1" customWidth="1"/>
    <col min="5" max="5" width="14.453125" style="11" customWidth="1"/>
    <col min="6" max="6" width="10.45312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1691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1645</v>
      </c>
      <c r="B6" s="24" t="s">
        <v>1646</v>
      </c>
      <c r="C6" s="24" t="s">
        <v>815</v>
      </c>
      <c r="D6" s="28">
        <v>105</v>
      </c>
      <c r="E6" s="26">
        <v>1053.9332999999999</v>
      </c>
      <c r="F6" s="27">
        <v>10.5163775221923</v>
      </c>
    </row>
    <row r="7" spans="1:6" x14ac:dyDescent="0.2">
      <c r="A7" s="24" t="s">
        <v>1692</v>
      </c>
      <c r="B7" s="24" t="s">
        <v>1693</v>
      </c>
      <c r="C7" s="24" t="s">
        <v>1328</v>
      </c>
      <c r="D7" s="28">
        <v>100</v>
      </c>
      <c r="E7" s="26">
        <v>1017.938</v>
      </c>
      <c r="F7" s="27">
        <v>10.157208527508701</v>
      </c>
    </row>
    <row r="8" spans="1:6" x14ac:dyDescent="0.2">
      <c r="A8" s="24" t="s">
        <v>1674</v>
      </c>
      <c r="B8" s="24" t="s">
        <v>1675</v>
      </c>
      <c r="C8" s="24" t="s">
        <v>1278</v>
      </c>
      <c r="D8" s="28">
        <v>170</v>
      </c>
      <c r="E8" s="26">
        <v>856.11914999999999</v>
      </c>
      <c r="F8" s="27">
        <v>8.5425445665094308</v>
      </c>
    </row>
    <row r="9" spans="1:6" x14ac:dyDescent="0.2">
      <c r="A9" s="24" t="s">
        <v>1694</v>
      </c>
      <c r="B9" s="24" t="s">
        <v>1695</v>
      </c>
      <c r="C9" s="24" t="s">
        <v>1278</v>
      </c>
      <c r="D9" s="28">
        <v>78</v>
      </c>
      <c r="E9" s="26">
        <v>783.4203</v>
      </c>
      <c r="F9" s="27">
        <v>7.8171395033719202</v>
      </c>
    </row>
    <row r="10" spans="1:6" x14ac:dyDescent="0.2">
      <c r="A10" s="24" t="s">
        <v>1401</v>
      </c>
      <c r="B10" s="24" t="s">
        <v>1402</v>
      </c>
      <c r="C10" s="24" t="s">
        <v>1328</v>
      </c>
      <c r="D10" s="28">
        <v>63</v>
      </c>
      <c r="E10" s="26">
        <v>742.52934000000005</v>
      </c>
      <c r="F10" s="27">
        <v>7.4091205399281499</v>
      </c>
    </row>
    <row r="11" spans="1:6" x14ac:dyDescent="0.2">
      <c r="A11" s="24" t="s">
        <v>1683</v>
      </c>
      <c r="B11" s="24" t="s">
        <v>1684</v>
      </c>
      <c r="C11" s="24" t="s">
        <v>815</v>
      </c>
      <c r="D11" s="28">
        <v>50</v>
      </c>
      <c r="E11" s="26">
        <v>588.28899999999999</v>
      </c>
      <c r="F11" s="27">
        <v>5.8700766131528104</v>
      </c>
    </row>
    <row r="12" spans="1:6" x14ac:dyDescent="0.2">
      <c r="A12" s="24" t="s">
        <v>1696</v>
      </c>
      <c r="B12" s="24" t="s">
        <v>1697</v>
      </c>
      <c r="C12" s="24" t="s">
        <v>1328</v>
      </c>
      <c r="D12" s="28">
        <v>52</v>
      </c>
      <c r="E12" s="26">
        <v>528.09328000000005</v>
      </c>
      <c r="F12" s="27">
        <v>5.2694305222282898</v>
      </c>
    </row>
    <row r="13" spans="1:6" x14ac:dyDescent="0.2">
      <c r="A13" s="24" t="s">
        <v>1698</v>
      </c>
      <c r="B13" s="24" t="s">
        <v>1699</v>
      </c>
      <c r="C13" s="24" t="s">
        <v>1328</v>
      </c>
      <c r="D13" s="28">
        <v>50</v>
      </c>
      <c r="E13" s="26">
        <v>518.92650000000003</v>
      </c>
      <c r="F13" s="27">
        <v>5.1779623817464602</v>
      </c>
    </row>
    <row r="14" spans="1:6" x14ac:dyDescent="0.2">
      <c r="A14" s="24" t="s">
        <v>1668</v>
      </c>
      <c r="B14" s="24" t="s">
        <v>1669</v>
      </c>
      <c r="C14" s="24" t="s">
        <v>815</v>
      </c>
      <c r="D14" s="28">
        <v>50</v>
      </c>
      <c r="E14" s="26">
        <v>507.69549999999998</v>
      </c>
      <c r="F14" s="27">
        <v>5.0658970015637301</v>
      </c>
    </row>
    <row r="15" spans="1:6" x14ac:dyDescent="0.2">
      <c r="A15" s="24" t="s">
        <v>1676</v>
      </c>
      <c r="B15" s="24" t="s">
        <v>1677</v>
      </c>
      <c r="C15" s="24" t="s">
        <v>815</v>
      </c>
      <c r="D15" s="28">
        <v>39</v>
      </c>
      <c r="E15" s="26">
        <v>464.64366000000001</v>
      </c>
      <c r="F15" s="27">
        <v>4.6363163037481998</v>
      </c>
    </row>
    <row r="16" spans="1:6" x14ac:dyDescent="0.2">
      <c r="A16" s="24" t="s">
        <v>1681</v>
      </c>
      <c r="B16" s="24" t="s">
        <v>1682</v>
      </c>
      <c r="C16" s="24" t="s">
        <v>815</v>
      </c>
      <c r="D16" s="28">
        <v>31</v>
      </c>
      <c r="E16" s="26">
        <v>317.20625999999999</v>
      </c>
      <c r="F16" s="27">
        <v>3.1651536037078198</v>
      </c>
    </row>
    <row r="17" spans="1:9" x14ac:dyDescent="0.2">
      <c r="A17" s="24" t="s">
        <v>1436</v>
      </c>
      <c r="B17" s="24" t="s">
        <v>1437</v>
      </c>
      <c r="C17" s="24" t="s">
        <v>815</v>
      </c>
      <c r="D17" s="28">
        <v>28</v>
      </c>
      <c r="E17" s="26">
        <v>284.72023999999999</v>
      </c>
      <c r="F17" s="27">
        <v>2.8410009742069899</v>
      </c>
    </row>
    <row r="18" spans="1:9" x14ac:dyDescent="0.2">
      <c r="A18" s="24" t="s">
        <v>1700</v>
      </c>
      <c r="B18" s="24" t="s">
        <v>1701</v>
      </c>
      <c r="C18" s="24" t="s">
        <v>815</v>
      </c>
      <c r="D18" s="28">
        <v>26</v>
      </c>
      <c r="E18" s="26">
        <v>266.75817999999998</v>
      </c>
      <c r="F18" s="27">
        <v>2.6617716016876201</v>
      </c>
    </row>
    <row r="19" spans="1:9" x14ac:dyDescent="0.2">
      <c r="A19" s="24" t="s">
        <v>1702</v>
      </c>
      <c r="B19" s="24" t="s">
        <v>1703</v>
      </c>
      <c r="C19" s="24" t="s">
        <v>815</v>
      </c>
      <c r="D19" s="28">
        <v>21</v>
      </c>
      <c r="E19" s="26">
        <v>248.25654</v>
      </c>
      <c r="F19" s="27">
        <v>2.4771581816356201</v>
      </c>
    </row>
    <row r="20" spans="1:9" x14ac:dyDescent="0.2">
      <c r="A20" s="24" t="s">
        <v>1329</v>
      </c>
      <c r="B20" s="24" t="s">
        <v>1330</v>
      </c>
      <c r="C20" s="24" t="s">
        <v>815</v>
      </c>
      <c r="D20" s="28">
        <v>1</v>
      </c>
      <c r="E20" s="26">
        <v>101.69889999999999</v>
      </c>
      <c r="F20" s="27">
        <v>1.0147739197458501</v>
      </c>
    </row>
    <row r="21" spans="1:9" x14ac:dyDescent="0.2">
      <c r="A21" s="24" t="s">
        <v>996</v>
      </c>
      <c r="B21" s="24" t="s">
        <v>997</v>
      </c>
      <c r="C21" s="24" t="s">
        <v>998</v>
      </c>
      <c r="D21" s="28">
        <v>6</v>
      </c>
      <c r="E21" s="26">
        <v>70.671539999999993</v>
      </c>
      <c r="F21" s="27">
        <v>0.70517611950842796</v>
      </c>
    </row>
    <row r="22" spans="1:9" x14ac:dyDescent="0.2">
      <c r="A22" s="24" t="s">
        <v>1440</v>
      </c>
      <c r="B22" s="24" t="s">
        <v>1441</v>
      </c>
      <c r="C22" s="24" t="s">
        <v>815</v>
      </c>
      <c r="D22" s="28">
        <v>2</v>
      </c>
      <c r="E22" s="26">
        <v>20.821159999999999</v>
      </c>
      <c r="F22" s="27">
        <v>0.20775809912256199</v>
      </c>
    </row>
    <row r="23" spans="1:9" x14ac:dyDescent="0.2">
      <c r="A23" s="24" t="s">
        <v>1704</v>
      </c>
      <c r="B23" s="24" t="s">
        <v>1705</v>
      </c>
      <c r="C23" s="24" t="s">
        <v>815</v>
      </c>
      <c r="D23" s="28">
        <v>1</v>
      </c>
      <c r="E23" s="26">
        <v>10.10777</v>
      </c>
      <c r="F23" s="27">
        <v>0.100857544995959</v>
      </c>
    </row>
    <row r="24" spans="1:9" x14ac:dyDescent="0.2">
      <c r="A24" s="24" t="s">
        <v>994</v>
      </c>
      <c r="B24" s="24" t="s">
        <v>995</v>
      </c>
      <c r="C24" s="24" t="s">
        <v>815</v>
      </c>
      <c r="D24" s="28">
        <v>1</v>
      </c>
      <c r="E24" s="26">
        <v>10.07109</v>
      </c>
      <c r="F24" s="27">
        <v>0.10049154391456799</v>
      </c>
    </row>
    <row r="25" spans="1:9" ht="10.5" x14ac:dyDescent="0.25">
      <c r="A25" s="23" t="s">
        <v>24</v>
      </c>
      <c r="B25" s="23"/>
      <c r="C25" s="23"/>
      <c r="D25" s="29"/>
      <c r="E25" s="30">
        <f>SUM(E5:E24)</f>
        <v>8391.8997099999979</v>
      </c>
      <c r="F25" s="31">
        <f>SUM(F5:F24)</f>
        <v>83.73621507047541</v>
      </c>
      <c r="G25" s="15"/>
      <c r="H25" s="15"/>
      <c r="I25" s="15"/>
    </row>
    <row r="26" spans="1:9" x14ac:dyDescent="0.2">
      <c r="A26" s="24"/>
      <c r="B26" s="24"/>
      <c r="C26" s="24"/>
      <c r="D26" s="25"/>
      <c r="E26" s="26"/>
      <c r="F26" s="27"/>
    </row>
    <row r="27" spans="1:9" ht="10.5" x14ac:dyDescent="0.25">
      <c r="A27" s="23" t="s">
        <v>818</v>
      </c>
      <c r="B27" s="24"/>
      <c r="C27" s="24"/>
      <c r="D27" s="25"/>
      <c r="E27" s="26"/>
      <c r="F27" s="27"/>
    </row>
    <row r="28" spans="1:9" x14ac:dyDescent="0.2">
      <c r="A28" s="24" t="s">
        <v>1706</v>
      </c>
      <c r="B28" s="24" t="s">
        <v>1707</v>
      </c>
      <c r="C28" s="24" t="s">
        <v>1278</v>
      </c>
      <c r="D28" s="28">
        <v>95</v>
      </c>
      <c r="E28" s="26">
        <v>957.38149999999996</v>
      </c>
      <c r="F28" s="27">
        <v>9.5529624946500107</v>
      </c>
    </row>
    <row r="29" spans="1:9" x14ac:dyDescent="0.2">
      <c r="A29" s="24" t="s">
        <v>1444</v>
      </c>
      <c r="B29" s="24" t="s">
        <v>1445</v>
      </c>
      <c r="C29" s="24" t="s">
        <v>815</v>
      </c>
      <c r="D29" s="28">
        <v>3</v>
      </c>
      <c r="E29" s="26">
        <v>30.075780000000002</v>
      </c>
      <c r="F29" s="27">
        <v>0.30010272638164098</v>
      </c>
    </row>
    <row r="30" spans="1:9" ht="10.5" x14ac:dyDescent="0.25">
      <c r="A30" s="23" t="s">
        <v>24</v>
      </c>
      <c r="B30" s="23"/>
      <c r="C30" s="23"/>
      <c r="D30" s="29"/>
      <c r="E30" s="30">
        <f>SUM(E27:E29)</f>
        <v>987.45727999999997</v>
      </c>
      <c r="F30" s="31">
        <f>SUM(F27:F29)</f>
        <v>9.8530652210316525</v>
      </c>
      <c r="G30" s="15"/>
      <c r="H30" s="15"/>
      <c r="I30" s="15"/>
    </row>
    <row r="31" spans="1:9" x14ac:dyDescent="0.2">
      <c r="A31" s="24"/>
      <c r="B31" s="24"/>
      <c r="C31" s="24"/>
      <c r="D31" s="25"/>
      <c r="E31" s="26"/>
      <c r="F31" s="27"/>
    </row>
    <row r="32" spans="1:9" ht="10.5" x14ac:dyDescent="0.25">
      <c r="A32" s="23" t="s">
        <v>861</v>
      </c>
      <c r="B32" s="24"/>
      <c r="C32" s="24"/>
      <c r="D32" s="25"/>
      <c r="E32" s="26"/>
      <c r="F32" s="27"/>
    </row>
    <row r="33" spans="1:9" ht="10.5" x14ac:dyDescent="0.25">
      <c r="A33" s="23" t="s">
        <v>1106</v>
      </c>
      <c r="B33" s="24"/>
      <c r="C33" s="24"/>
      <c r="D33" s="25"/>
      <c r="E33" s="26"/>
      <c r="F33" s="27"/>
    </row>
    <row r="34" spans="1:9" x14ac:dyDescent="0.2">
      <c r="A34" s="24" t="s">
        <v>1129</v>
      </c>
      <c r="B34" s="24" t="s">
        <v>1130</v>
      </c>
      <c r="C34" s="24" t="s">
        <v>1114</v>
      </c>
      <c r="D34" s="28">
        <v>91</v>
      </c>
      <c r="E34" s="26">
        <v>86.475571000000002</v>
      </c>
      <c r="F34" s="27">
        <v>0.86287220555906297</v>
      </c>
    </row>
    <row r="35" spans="1:9" ht="10.5" x14ac:dyDescent="0.25">
      <c r="A35" s="23" t="s">
        <v>24</v>
      </c>
      <c r="B35" s="23"/>
      <c r="C35" s="23"/>
      <c r="D35" s="29"/>
      <c r="E35" s="30">
        <f>SUM(E33:E34)</f>
        <v>86.475571000000002</v>
      </c>
      <c r="F35" s="31">
        <f>SUM(F33:F34)</f>
        <v>0.86287220555906297</v>
      </c>
      <c r="G35" s="15"/>
      <c r="H35" s="15"/>
      <c r="I35" s="15"/>
    </row>
    <row r="36" spans="1:9" x14ac:dyDescent="0.2">
      <c r="A36" s="24"/>
      <c r="B36" s="24"/>
      <c r="C36" s="24"/>
      <c r="D36" s="25"/>
      <c r="E36" s="26"/>
      <c r="F36" s="27"/>
    </row>
    <row r="37" spans="1:9" ht="10.5" x14ac:dyDescent="0.25">
      <c r="A37" s="23" t="s">
        <v>25</v>
      </c>
      <c r="B37" s="23"/>
      <c r="C37" s="23"/>
      <c r="D37" s="29"/>
      <c r="E37" s="30">
        <f>E25+E30+E35</f>
        <v>9465.8325609999993</v>
      </c>
      <c r="F37" s="31">
        <f>F25+F30+F35</f>
        <v>94.452152497066123</v>
      </c>
      <c r="G37" s="15"/>
      <c r="H37" s="15"/>
      <c r="I37" s="15"/>
    </row>
    <row r="38" spans="1:9" ht="10.5" x14ac:dyDescent="0.25">
      <c r="A38" s="23"/>
      <c r="B38" s="23"/>
      <c r="C38" s="23"/>
      <c r="D38" s="29"/>
      <c r="E38" s="30"/>
      <c r="F38" s="31"/>
      <c r="G38" s="15"/>
      <c r="H38" s="15"/>
      <c r="I38" s="15"/>
    </row>
    <row r="39" spans="1:9" ht="10.5" x14ac:dyDescent="0.25">
      <c r="A39" s="23" t="s">
        <v>27</v>
      </c>
      <c r="B39" s="23"/>
      <c r="C39" s="23"/>
      <c r="D39" s="29"/>
      <c r="E39" s="30">
        <f>E41-(E25+E30+E35)</f>
        <v>555.99575180000102</v>
      </c>
      <c r="F39" s="31">
        <f>F41-(F25+F30+F35)</f>
        <v>5.5478475029338767</v>
      </c>
      <c r="G39" s="15"/>
      <c r="H39" s="15"/>
      <c r="I39" s="15"/>
    </row>
    <row r="40" spans="1:9" ht="10.5" x14ac:dyDescent="0.25">
      <c r="A40" s="23"/>
      <c r="B40" s="23"/>
      <c r="C40" s="23"/>
      <c r="D40" s="29"/>
      <c r="E40" s="30"/>
      <c r="F40" s="31"/>
      <c r="G40" s="15"/>
      <c r="H40" s="15"/>
      <c r="I40" s="15"/>
    </row>
    <row r="41" spans="1:9" ht="10.5" x14ac:dyDescent="0.25">
      <c r="A41" s="32" t="s">
        <v>26</v>
      </c>
      <c r="B41" s="32"/>
      <c r="C41" s="32"/>
      <c r="D41" s="33"/>
      <c r="E41" s="34">
        <v>10021.8283128</v>
      </c>
      <c r="F41" s="35">
        <v>100</v>
      </c>
      <c r="G41" s="15"/>
      <c r="H41" s="15"/>
      <c r="I41" s="15"/>
    </row>
    <row r="42" spans="1:9" ht="10.5" x14ac:dyDescent="0.25">
      <c r="A42" s="15" t="s">
        <v>872</v>
      </c>
    </row>
    <row r="44" spans="1:9" ht="10.5" x14ac:dyDescent="0.25">
      <c r="A44" s="15" t="s">
        <v>28</v>
      </c>
    </row>
    <row r="45" spans="1:9" ht="10.5" x14ac:dyDescent="0.25">
      <c r="A45" s="15" t="s">
        <v>29</v>
      </c>
    </row>
    <row r="46" spans="1:9" ht="10.5" x14ac:dyDescent="0.25">
      <c r="A46" s="15" t="s">
        <v>30</v>
      </c>
      <c r="B46" s="15"/>
      <c r="C46" s="36" t="s">
        <v>32</v>
      </c>
      <c r="D46" s="16" t="s">
        <v>31</v>
      </c>
    </row>
    <row r="47" spans="1:9" x14ac:dyDescent="0.2">
      <c r="A47" s="9" t="s">
        <v>38</v>
      </c>
      <c r="C47" s="37">
        <v>11.1957</v>
      </c>
      <c r="D47" s="37">
        <v>11.6998</v>
      </c>
    </row>
    <row r="48" spans="1:9" x14ac:dyDescent="0.2">
      <c r="A48" s="9" t="s">
        <v>1600</v>
      </c>
      <c r="C48" s="37">
        <v>10.528700000000001</v>
      </c>
      <c r="D48" s="37">
        <v>11.002599999999999</v>
      </c>
    </row>
    <row r="49" spans="1:5" x14ac:dyDescent="0.2">
      <c r="A49" s="9" t="s">
        <v>39</v>
      </c>
      <c r="C49" s="37">
        <v>11.28</v>
      </c>
      <c r="D49" s="37">
        <v>11.7879</v>
      </c>
    </row>
    <row r="51" spans="1:5" ht="10.5" x14ac:dyDescent="0.25">
      <c r="A51" s="15" t="s">
        <v>1882</v>
      </c>
      <c r="D51" s="41" t="s">
        <v>36</v>
      </c>
    </row>
    <row r="53" spans="1:5" ht="10.5" x14ac:dyDescent="0.25">
      <c r="A53" s="15" t="s">
        <v>882</v>
      </c>
      <c r="D53" s="11">
        <v>1.0029745517759601</v>
      </c>
      <c r="E53" s="11" t="s">
        <v>883</v>
      </c>
    </row>
    <row r="55" spans="1:5" ht="10.5" x14ac:dyDescent="0.25">
      <c r="A55" s="15" t="s">
        <v>884</v>
      </c>
      <c r="D55" s="41" t="s">
        <v>36</v>
      </c>
    </row>
  </sheetData>
  <mergeCells count="1">
    <mergeCell ref="A1:F1"/>
  </mergeCells>
  <conditionalFormatting sqref="F2 F4:F65536">
    <cfRule type="cellIs" dxfId="4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4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" style="9" bestFit="1" customWidth="1"/>
    <col min="3" max="3" width="15.453125" style="9" bestFit="1" customWidth="1"/>
    <col min="4" max="4" width="15.453125" style="10" customWidth="1"/>
    <col min="5" max="5" width="14.7265625" style="11" customWidth="1"/>
    <col min="6" max="6" width="10.453125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1708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1709</v>
      </c>
      <c r="B6" s="24" t="s">
        <v>1710</v>
      </c>
      <c r="C6" s="24" t="s">
        <v>815</v>
      </c>
      <c r="D6" s="28">
        <v>173</v>
      </c>
      <c r="E6" s="26">
        <v>1751.1838499999999</v>
      </c>
      <c r="F6" s="27">
        <v>9.8179984372907292</v>
      </c>
    </row>
    <row r="7" spans="1:6" x14ac:dyDescent="0.2">
      <c r="A7" s="24" t="s">
        <v>1711</v>
      </c>
      <c r="B7" s="24" t="s">
        <v>1712</v>
      </c>
      <c r="C7" s="24" t="s">
        <v>815</v>
      </c>
      <c r="D7" s="28">
        <v>161</v>
      </c>
      <c r="E7" s="26">
        <v>1630.3133700000001</v>
      </c>
      <c r="F7" s="27">
        <v>9.1403390449005002</v>
      </c>
    </row>
    <row r="8" spans="1:6" x14ac:dyDescent="0.2">
      <c r="A8" s="24" t="s">
        <v>1696</v>
      </c>
      <c r="B8" s="24" t="s">
        <v>1697</v>
      </c>
      <c r="C8" s="24" t="s">
        <v>1328</v>
      </c>
      <c r="D8" s="28">
        <v>150</v>
      </c>
      <c r="E8" s="26">
        <v>1523.346</v>
      </c>
      <c r="F8" s="27">
        <v>8.5406273290226409</v>
      </c>
    </row>
    <row r="9" spans="1:6" x14ac:dyDescent="0.2">
      <c r="A9" s="24" t="s">
        <v>1713</v>
      </c>
      <c r="B9" s="24" t="s">
        <v>1714</v>
      </c>
      <c r="C9" s="24" t="s">
        <v>1278</v>
      </c>
      <c r="D9" s="28">
        <v>149</v>
      </c>
      <c r="E9" s="26">
        <v>1511.59159</v>
      </c>
      <c r="F9" s="27">
        <v>8.4747263221059299</v>
      </c>
    </row>
    <row r="10" spans="1:6" x14ac:dyDescent="0.2">
      <c r="A10" s="24" t="s">
        <v>1674</v>
      </c>
      <c r="B10" s="24" t="s">
        <v>1675</v>
      </c>
      <c r="C10" s="24" t="s">
        <v>1278</v>
      </c>
      <c r="D10" s="28">
        <v>300</v>
      </c>
      <c r="E10" s="26">
        <v>1510.7985000000001</v>
      </c>
      <c r="F10" s="27">
        <v>8.4702798692788104</v>
      </c>
    </row>
    <row r="11" spans="1:6" x14ac:dyDescent="0.2">
      <c r="A11" s="24" t="s">
        <v>1715</v>
      </c>
      <c r="B11" s="24" t="s">
        <v>1716</v>
      </c>
      <c r="C11" s="24" t="s">
        <v>815</v>
      </c>
      <c r="D11" s="28">
        <v>128</v>
      </c>
      <c r="E11" s="26">
        <v>1179.16032</v>
      </c>
      <c r="F11" s="27">
        <v>6.6109530299032997</v>
      </c>
    </row>
    <row r="12" spans="1:6" x14ac:dyDescent="0.2">
      <c r="A12" s="24" t="s">
        <v>1702</v>
      </c>
      <c r="B12" s="24" t="s">
        <v>1703</v>
      </c>
      <c r="C12" s="24" t="s">
        <v>815</v>
      </c>
      <c r="D12" s="28">
        <v>89</v>
      </c>
      <c r="E12" s="26">
        <v>1052.1348599999999</v>
      </c>
      <c r="F12" s="27">
        <v>5.8987857907090104</v>
      </c>
    </row>
    <row r="13" spans="1:6" x14ac:dyDescent="0.2">
      <c r="A13" s="24" t="s">
        <v>1670</v>
      </c>
      <c r="B13" s="24" t="s">
        <v>1671</v>
      </c>
      <c r="C13" s="24" t="s">
        <v>815</v>
      </c>
      <c r="D13" s="28">
        <v>101</v>
      </c>
      <c r="E13" s="26">
        <v>1037.9022600000001</v>
      </c>
      <c r="F13" s="27">
        <v>5.8189908311114902</v>
      </c>
    </row>
    <row r="14" spans="1:6" x14ac:dyDescent="0.2">
      <c r="A14" s="24" t="s">
        <v>1676</v>
      </c>
      <c r="B14" s="24" t="s">
        <v>1677</v>
      </c>
      <c r="C14" s="24" t="s">
        <v>815</v>
      </c>
      <c r="D14" s="28">
        <v>84</v>
      </c>
      <c r="E14" s="26">
        <v>1000.7709599999999</v>
      </c>
      <c r="F14" s="27">
        <v>5.6108144906463897</v>
      </c>
    </row>
    <row r="15" spans="1:6" x14ac:dyDescent="0.2">
      <c r="A15" s="24" t="s">
        <v>1717</v>
      </c>
      <c r="B15" s="24" t="s">
        <v>1718</v>
      </c>
      <c r="C15" s="24" t="s">
        <v>815</v>
      </c>
      <c r="D15" s="28">
        <v>50</v>
      </c>
      <c r="E15" s="26">
        <v>505.44400000000002</v>
      </c>
      <c r="F15" s="27">
        <v>2.83376779778889</v>
      </c>
    </row>
    <row r="16" spans="1:6" x14ac:dyDescent="0.2">
      <c r="A16" s="24" t="s">
        <v>1436</v>
      </c>
      <c r="B16" s="24" t="s">
        <v>1437</v>
      </c>
      <c r="C16" s="24" t="s">
        <v>815</v>
      </c>
      <c r="D16" s="28">
        <v>29</v>
      </c>
      <c r="E16" s="26">
        <v>294.88882000000001</v>
      </c>
      <c r="F16" s="27">
        <v>1.65329184250672</v>
      </c>
    </row>
    <row r="17" spans="1:9" x14ac:dyDescent="0.2">
      <c r="A17" s="24" t="s">
        <v>994</v>
      </c>
      <c r="B17" s="24" t="s">
        <v>995</v>
      </c>
      <c r="C17" s="24" t="s">
        <v>815</v>
      </c>
      <c r="D17" s="28">
        <v>24</v>
      </c>
      <c r="E17" s="26">
        <v>241.70616000000001</v>
      </c>
      <c r="F17" s="27">
        <v>1.35512367885505</v>
      </c>
    </row>
    <row r="18" spans="1:9" x14ac:dyDescent="0.2">
      <c r="A18" s="24" t="s">
        <v>1694</v>
      </c>
      <c r="B18" s="24" t="s">
        <v>1695</v>
      </c>
      <c r="C18" s="24" t="s">
        <v>1278</v>
      </c>
      <c r="D18" s="28">
        <v>22</v>
      </c>
      <c r="E18" s="26">
        <v>220.96469999999999</v>
      </c>
      <c r="F18" s="27">
        <v>1.23883684702575</v>
      </c>
    </row>
    <row r="19" spans="1:9" x14ac:dyDescent="0.2">
      <c r="A19" s="24" t="s">
        <v>1653</v>
      </c>
      <c r="B19" s="24" t="s">
        <v>1654</v>
      </c>
      <c r="C19" s="24" t="s">
        <v>815</v>
      </c>
      <c r="D19" s="28">
        <v>15</v>
      </c>
      <c r="E19" s="26">
        <v>178.49414999999999</v>
      </c>
      <c r="F19" s="27">
        <v>1.00072604356506</v>
      </c>
    </row>
    <row r="20" spans="1:9" x14ac:dyDescent="0.2">
      <c r="A20" s="24" t="s">
        <v>1645</v>
      </c>
      <c r="B20" s="24" t="s">
        <v>1646</v>
      </c>
      <c r="C20" s="24" t="s">
        <v>815</v>
      </c>
      <c r="D20" s="28">
        <v>9</v>
      </c>
      <c r="E20" s="26">
        <v>90.337140000000005</v>
      </c>
      <c r="F20" s="27">
        <v>0.50647446260386297</v>
      </c>
    </row>
    <row r="21" spans="1:9" ht="10.5" x14ac:dyDescent="0.25">
      <c r="A21" s="23" t="s">
        <v>24</v>
      </c>
      <c r="B21" s="23"/>
      <c r="C21" s="23"/>
      <c r="D21" s="29"/>
      <c r="E21" s="30">
        <f>SUM(E5:E20)</f>
        <v>13729.036680000001</v>
      </c>
      <c r="F21" s="31">
        <f>SUM(F5:F20)</f>
        <v>76.971735817314155</v>
      </c>
      <c r="G21" s="15"/>
      <c r="H21" s="15"/>
      <c r="I21" s="15"/>
    </row>
    <row r="22" spans="1:9" x14ac:dyDescent="0.2">
      <c r="A22" s="24"/>
      <c r="B22" s="24"/>
      <c r="C22" s="24"/>
      <c r="D22" s="25"/>
      <c r="E22" s="26"/>
      <c r="F22" s="27"/>
    </row>
    <row r="23" spans="1:9" ht="10.5" x14ac:dyDescent="0.25">
      <c r="A23" s="23" t="s">
        <v>818</v>
      </c>
      <c r="B23" s="24"/>
      <c r="C23" s="24"/>
      <c r="D23" s="25"/>
      <c r="E23" s="26"/>
      <c r="F23" s="27"/>
    </row>
    <row r="24" spans="1:9" x14ac:dyDescent="0.2">
      <c r="A24" s="24" t="s">
        <v>1706</v>
      </c>
      <c r="B24" s="24" t="s">
        <v>1707</v>
      </c>
      <c r="C24" s="24" t="s">
        <v>1278</v>
      </c>
      <c r="D24" s="28">
        <v>150</v>
      </c>
      <c r="E24" s="26">
        <v>1511.655</v>
      </c>
      <c r="F24" s="27">
        <v>8.4750818297705894</v>
      </c>
    </row>
    <row r="25" spans="1:9" x14ac:dyDescent="0.2">
      <c r="A25" s="24" t="s">
        <v>1719</v>
      </c>
      <c r="B25" s="24" t="s">
        <v>1720</v>
      </c>
      <c r="C25" s="24" t="s">
        <v>815</v>
      </c>
      <c r="D25" s="28">
        <v>150</v>
      </c>
      <c r="E25" s="26">
        <v>1506.12</v>
      </c>
      <c r="F25" s="27">
        <v>8.4440498959445698</v>
      </c>
    </row>
    <row r="26" spans="1:9" x14ac:dyDescent="0.2">
      <c r="A26" s="24" t="s">
        <v>1444</v>
      </c>
      <c r="B26" s="24" t="s">
        <v>1445</v>
      </c>
      <c r="C26" s="24" t="s">
        <v>815</v>
      </c>
      <c r="D26" s="28">
        <v>2</v>
      </c>
      <c r="E26" s="26">
        <v>20.050519999999999</v>
      </c>
      <c r="F26" s="27">
        <v>0.112413082171165</v>
      </c>
    </row>
    <row r="27" spans="1:9" ht="10.5" x14ac:dyDescent="0.25">
      <c r="A27" s="23" t="s">
        <v>24</v>
      </c>
      <c r="B27" s="23"/>
      <c r="C27" s="23"/>
      <c r="D27" s="29"/>
      <c r="E27" s="30">
        <f>SUM(E23:E26)</f>
        <v>3037.8255199999994</v>
      </c>
      <c r="F27" s="31">
        <f>SUM(F23:F26)</f>
        <v>17.031544807886327</v>
      </c>
      <c r="G27" s="15"/>
      <c r="H27" s="15"/>
      <c r="I27" s="15"/>
    </row>
    <row r="28" spans="1:9" x14ac:dyDescent="0.2">
      <c r="A28" s="24"/>
      <c r="B28" s="24"/>
      <c r="C28" s="24"/>
      <c r="D28" s="25"/>
      <c r="E28" s="26"/>
      <c r="F28" s="27"/>
    </row>
    <row r="29" spans="1:9" ht="10.5" x14ac:dyDescent="0.25">
      <c r="A29" s="23" t="s">
        <v>861</v>
      </c>
      <c r="B29" s="24"/>
      <c r="C29" s="24"/>
      <c r="D29" s="25"/>
      <c r="E29" s="26"/>
      <c r="F29" s="27"/>
    </row>
    <row r="30" spans="1:9" ht="10.5" x14ac:dyDescent="0.25">
      <c r="A30" s="23" t="s">
        <v>1106</v>
      </c>
      <c r="B30" s="24"/>
      <c r="C30" s="24"/>
      <c r="D30" s="25"/>
      <c r="E30" s="26"/>
      <c r="F30" s="27"/>
    </row>
    <row r="31" spans="1:9" x14ac:dyDescent="0.2">
      <c r="A31" s="24" t="s">
        <v>1129</v>
      </c>
      <c r="B31" s="24" t="s">
        <v>1130</v>
      </c>
      <c r="C31" s="24" t="s">
        <v>1114</v>
      </c>
      <c r="D31" s="28">
        <v>292</v>
      </c>
      <c r="E31" s="26">
        <v>277.48205200000001</v>
      </c>
      <c r="F31" s="27">
        <v>1.555700935063</v>
      </c>
    </row>
    <row r="32" spans="1:9" ht="10.5" x14ac:dyDescent="0.25">
      <c r="A32" s="23" t="s">
        <v>24</v>
      </c>
      <c r="B32" s="23"/>
      <c r="C32" s="23"/>
      <c r="D32" s="29"/>
      <c r="E32" s="30">
        <f>SUM(E30:E31)</f>
        <v>277.48205200000001</v>
      </c>
      <c r="F32" s="31">
        <f>SUM(F30:F31)</f>
        <v>1.555700935063</v>
      </c>
      <c r="G32" s="15"/>
      <c r="H32" s="15"/>
      <c r="I32" s="15"/>
    </row>
    <row r="33" spans="1:9" x14ac:dyDescent="0.2">
      <c r="A33" s="24"/>
      <c r="B33" s="24"/>
      <c r="C33" s="24"/>
      <c r="D33" s="25"/>
      <c r="E33" s="26"/>
      <c r="F33" s="27"/>
    </row>
    <row r="34" spans="1:9" ht="10.5" x14ac:dyDescent="0.25">
      <c r="A34" s="23" t="s">
        <v>862</v>
      </c>
      <c r="B34" s="24"/>
      <c r="C34" s="24"/>
      <c r="D34" s="25"/>
      <c r="E34" s="26"/>
      <c r="F34" s="27"/>
    </row>
    <row r="35" spans="1:9" x14ac:dyDescent="0.2">
      <c r="A35" s="24" t="s">
        <v>1172</v>
      </c>
      <c r="B35" s="24" t="s">
        <v>1173</v>
      </c>
      <c r="C35" s="24" t="s">
        <v>1165</v>
      </c>
      <c r="D35" s="28">
        <v>33</v>
      </c>
      <c r="E35" s="26">
        <v>156.52411499999999</v>
      </c>
      <c r="F35" s="27">
        <v>0.87755121569235195</v>
      </c>
    </row>
    <row r="36" spans="1:9" ht="10.5" x14ac:dyDescent="0.25">
      <c r="A36" s="23" t="s">
        <v>24</v>
      </c>
      <c r="B36" s="23"/>
      <c r="C36" s="23"/>
      <c r="D36" s="29"/>
      <c r="E36" s="30">
        <f>SUM(E34:E35)</f>
        <v>156.52411499999999</v>
      </c>
      <c r="F36" s="31">
        <f>SUM(F34:F35)</f>
        <v>0.87755121569235195</v>
      </c>
      <c r="G36" s="15"/>
      <c r="H36" s="15"/>
      <c r="I36" s="15"/>
    </row>
    <row r="37" spans="1:9" x14ac:dyDescent="0.2">
      <c r="A37" s="24"/>
      <c r="B37" s="24"/>
      <c r="C37" s="24"/>
      <c r="D37" s="25"/>
      <c r="E37" s="26"/>
      <c r="F37" s="27"/>
    </row>
    <row r="38" spans="1:9" ht="10.5" x14ac:dyDescent="0.25">
      <c r="A38" s="23" t="s">
        <v>25</v>
      </c>
      <c r="B38" s="23"/>
      <c r="C38" s="23"/>
      <c r="D38" s="29"/>
      <c r="E38" s="30">
        <f>E21+E27+E32+E36</f>
        <v>17200.868366999999</v>
      </c>
      <c r="F38" s="31">
        <f>F21+F27+F32+F36</f>
        <v>96.43653277595584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23" t="s">
        <v>27</v>
      </c>
      <c r="B40" s="23"/>
      <c r="C40" s="23"/>
      <c r="D40" s="29"/>
      <c r="E40" s="30">
        <f>E42-(E21+E27+E32+E36)</f>
        <v>635.59658240000135</v>
      </c>
      <c r="F40" s="31">
        <f>F42-(F21+F27+F32+F36)</f>
        <v>3.5634672240441603</v>
      </c>
      <c r="G40" s="15"/>
      <c r="H40" s="15"/>
      <c r="I40" s="15"/>
    </row>
    <row r="41" spans="1:9" ht="10.5" x14ac:dyDescent="0.25">
      <c r="A41" s="23"/>
      <c r="B41" s="23"/>
      <c r="C41" s="23"/>
      <c r="D41" s="29"/>
      <c r="E41" s="30"/>
      <c r="F41" s="31"/>
      <c r="G41" s="15"/>
      <c r="H41" s="15"/>
      <c r="I41" s="15"/>
    </row>
    <row r="42" spans="1:9" ht="10.5" x14ac:dyDescent="0.25">
      <c r="A42" s="32" t="s">
        <v>26</v>
      </c>
      <c r="B42" s="32"/>
      <c r="C42" s="32"/>
      <c r="D42" s="33"/>
      <c r="E42" s="34">
        <v>17836.4649494</v>
      </c>
      <c r="F42" s="35">
        <v>100</v>
      </c>
      <c r="G42" s="15"/>
      <c r="H42" s="15"/>
      <c r="I42" s="15"/>
    </row>
    <row r="43" spans="1:9" ht="10.5" x14ac:dyDescent="0.25">
      <c r="A43" s="15" t="s">
        <v>871</v>
      </c>
    </row>
    <row r="44" spans="1:9" ht="10.5" x14ac:dyDescent="0.25">
      <c r="A44" s="15" t="s">
        <v>872</v>
      </c>
    </row>
    <row r="46" spans="1:9" ht="10.5" x14ac:dyDescent="0.25">
      <c r="A46" s="15" t="s">
        <v>28</v>
      </c>
    </row>
    <row r="47" spans="1:9" ht="10.5" x14ac:dyDescent="0.25">
      <c r="A47" s="15" t="s">
        <v>29</v>
      </c>
    </row>
    <row r="48" spans="1:9" ht="10.5" x14ac:dyDescent="0.25">
      <c r="A48" s="15" t="s">
        <v>30</v>
      </c>
      <c r="B48" s="15"/>
      <c r="C48" s="36" t="s">
        <v>32</v>
      </c>
      <c r="D48" s="16" t="s">
        <v>31</v>
      </c>
    </row>
    <row r="49" spans="1:5" x14ac:dyDescent="0.2">
      <c r="A49" s="9" t="s">
        <v>38</v>
      </c>
      <c r="C49" s="37">
        <v>11.2685</v>
      </c>
      <c r="D49" s="37">
        <v>11.7522</v>
      </c>
    </row>
    <row r="50" spans="1:5" x14ac:dyDescent="0.2">
      <c r="A50" s="9" t="s">
        <v>1600</v>
      </c>
      <c r="C50" s="37">
        <v>10.549200000000001</v>
      </c>
      <c r="D50" s="37">
        <v>11.002000000000001</v>
      </c>
    </row>
    <row r="51" spans="1:5" x14ac:dyDescent="0.2">
      <c r="A51" s="9" t="s">
        <v>1219</v>
      </c>
      <c r="C51" s="37">
        <v>10.238300000000001</v>
      </c>
      <c r="D51" s="37">
        <v>10.238300000000001</v>
      </c>
    </row>
    <row r="52" spans="1:5" x14ac:dyDescent="0.2">
      <c r="A52" s="9" t="s">
        <v>39</v>
      </c>
      <c r="C52" s="37">
        <v>11.3363</v>
      </c>
      <c r="D52" s="37">
        <v>11.822900000000001</v>
      </c>
    </row>
    <row r="53" spans="1:5" x14ac:dyDescent="0.2">
      <c r="A53" s="9" t="s">
        <v>41</v>
      </c>
      <c r="C53" s="37">
        <v>10.617000000000001</v>
      </c>
      <c r="D53" s="37">
        <v>11.073700000000001</v>
      </c>
    </row>
    <row r="54" spans="1:5" x14ac:dyDescent="0.2">
      <c r="A54" s="9" t="s">
        <v>1221</v>
      </c>
      <c r="C54" s="37">
        <v>10.2943</v>
      </c>
      <c r="D54" s="37">
        <v>10.2973</v>
      </c>
    </row>
    <row r="56" spans="1:5" ht="10.5" x14ac:dyDescent="0.25">
      <c r="A56" s="15" t="s">
        <v>1882</v>
      </c>
    </row>
    <row r="57" spans="1:5" ht="10.5" x14ac:dyDescent="0.25">
      <c r="A57" s="90" t="s">
        <v>33</v>
      </c>
      <c r="B57" s="91"/>
      <c r="C57" s="92" t="s">
        <v>1883</v>
      </c>
      <c r="D57" s="93"/>
    </row>
    <row r="58" spans="1:5" ht="10.5" x14ac:dyDescent="0.25">
      <c r="A58" s="90"/>
      <c r="B58" s="91"/>
      <c r="C58" s="38" t="s">
        <v>34</v>
      </c>
      <c r="D58" s="39" t="s">
        <v>35</v>
      </c>
    </row>
    <row r="59" spans="1:5" x14ac:dyDescent="0.2">
      <c r="A59" s="96" t="s">
        <v>1219</v>
      </c>
      <c r="B59" s="97"/>
      <c r="C59" s="40">
        <v>0.31334037450000002</v>
      </c>
      <c r="D59" s="40">
        <v>0.2901547484</v>
      </c>
    </row>
    <row r="60" spans="1:5" x14ac:dyDescent="0.2">
      <c r="A60" s="96" t="s">
        <v>1221</v>
      </c>
      <c r="B60" s="97"/>
      <c r="C60" s="40">
        <v>0.31334037450000002</v>
      </c>
      <c r="D60" s="40">
        <v>0.2901547484</v>
      </c>
    </row>
    <row r="62" spans="1:5" ht="10.5" x14ac:dyDescent="0.25">
      <c r="A62" s="15" t="s">
        <v>882</v>
      </c>
      <c r="D62" s="11">
        <v>0.98456002407103804</v>
      </c>
      <c r="E62" s="11" t="s">
        <v>883</v>
      </c>
    </row>
    <row r="64" spans="1:5" ht="10.5" x14ac:dyDescent="0.25">
      <c r="A64" s="15" t="s">
        <v>884</v>
      </c>
      <c r="D64" s="41" t="s">
        <v>36</v>
      </c>
    </row>
  </sheetData>
  <mergeCells count="6">
    <mergeCell ref="A60:B60"/>
    <mergeCell ref="A1:F1"/>
    <mergeCell ref="A57:B57"/>
    <mergeCell ref="C57:D57"/>
    <mergeCell ref="A58:B58"/>
    <mergeCell ref="A59:B59"/>
  </mergeCells>
  <conditionalFormatting sqref="F2 F4:F65536">
    <cfRule type="cellIs" dxfId="45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" style="9" bestFit="1" customWidth="1"/>
    <col min="3" max="3" width="15.453125" style="9" bestFit="1" customWidth="1"/>
    <col min="4" max="4" width="15.453125" style="10" bestFit="1" customWidth="1"/>
    <col min="5" max="5" width="14.26953125" style="11" customWidth="1"/>
    <col min="6" max="6" width="11.5429687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1721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34.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1711</v>
      </c>
      <c r="B6" s="24" t="s">
        <v>1712</v>
      </c>
      <c r="C6" s="24" t="s">
        <v>815</v>
      </c>
      <c r="D6" s="28">
        <v>61</v>
      </c>
      <c r="E6" s="26">
        <v>617.69637</v>
      </c>
      <c r="F6" s="27">
        <v>11.219209695937201</v>
      </c>
    </row>
    <row r="7" spans="1:6" x14ac:dyDescent="0.2">
      <c r="A7" s="24" t="s">
        <v>1676</v>
      </c>
      <c r="B7" s="24" t="s">
        <v>1677</v>
      </c>
      <c r="C7" s="24" t="s">
        <v>815</v>
      </c>
      <c r="D7" s="28">
        <v>45</v>
      </c>
      <c r="E7" s="26">
        <v>536.12729999999999</v>
      </c>
      <c r="F7" s="27">
        <v>9.7376719283887603</v>
      </c>
    </row>
    <row r="8" spans="1:6" x14ac:dyDescent="0.2">
      <c r="A8" s="24" t="s">
        <v>1702</v>
      </c>
      <c r="B8" s="24" t="s">
        <v>1703</v>
      </c>
      <c r="C8" s="24" t="s">
        <v>815</v>
      </c>
      <c r="D8" s="28">
        <v>45</v>
      </c>
      <c r="E8" s="26">
        <v>531.97829999999999</v>
      </c>
      <c r="F8" s="27">
        <v>9.6623137050136698</v>
      </c>
    </row>
    <row r="9" spans="1:6" x14ac:dyDescent="0.2">
      <c r="A9" s="24" t="s">
        <v>1696</v>
      </c>
      <c r="B9" s="24" t="s">
        <v>1697</v>
      </c>
      <c r="C9" s="24" t="s">
        <v>1328</v>
      </c>
      <c r="D9" s="28">
        <v>46</v>
      </c>
      <c r="E9" s="26">
        <v>467.15944000000002</v>
      </c>
      <c r="F9" s="27">
        <v>8.48500974483078</v>
      </c>
    </row>
    <row r="10" spans="1:6" x14ac:dyDescent="0.2">
      <c r="A10" s="24" t="s">
        <v>1717</v>
      </c>
      <c r="B10" s="24" t="s">
        <v>1718</v>
      </c>
      <c r="C10" s="24" t="s">
        <v>815</v>
      </c>
      <c r="D10" s="28">
        <v>46</v>
      </c>
      <c r="E10" s="26">
        <v>465.00848000000002</v>
      </c>
      <c r="F10" s="27">
        <v>8.4459418913357496</v>
      </c>
    </row>
    <row r="11" spans="1:6" x14ac:dyDescent="0.2">
      <c r="A11" s="24" t="s">
        <v>1709</v>
      </c>
      <c r="B11" s="24" t="s">
        <v>1710</v>
      </c>
      <c r="C11" s="24" t="s">
        <v>815</v>
      </c>
      <c r="D11" s="28">
        <v>45</v>
      </c>
      <c r="E11" s="26">
        <v>455.51024999999998</v>
      </c>
      <c r="F11" s="27">
        <v>8.2734256855010901</v>
      </c>
    </row>
    <row r="12" spans="1:6" x14ac:dyDescent="0.2">
      <c r="A12" s="24" t="s">
        <v>1401</v>
      </c>
      <c r="B12" s="24" t="s">
        <v>1402</v>
      </c>
      <c r="C12" s="24" t="s">
        <v>1328</v>
      </c>
      <c r="D12" s="28">
        <v>34</v>
      </c>
      <c r="E12" s="26">
        <v>400.73012</v>
      </c>
      <c r="F12" s="27">
        <v>7.2784550243642903</v>
      </c>
    </row>
    <row r="13" spans="1:6" x14ac:dyDescent="0.2">
      <c r="A13" s="24" t="s">
        <v>1436</v>
      </c>
      <c r="B13" s="24" t="s">
        <v>1437</v>
      </c>
      <c r="C13" s="24" t="s">
        <v>815</v>
      </c>
      <c r="D13" s="28">
        <v>38</v>
      </c>
      <c r="E13" s="26">
        <v>386.40604000000002</v>
      </c>
      <c r="F13" s="27">
        <v>7.0182869789840296</v>
      </c>
    </row>
    <row r="14" spans="1:6" x14ac:dyDescent="0.2">
      <c r="A14" s="24" t="s">
        <v>1653</v>
      </c>
      <c r="B14" s="24" t="s">
        <v>1654</v>
      </c>
      <c r="C14" s="24" t="s">
        <v>815</v>
      </c>
      <c r="D14" s="28">
        <v>28</v>
      </c>
      <c r="E14" s="26">
        <v>333.18907999999999</v>
      </c>
      <c r="F14" s="27">
        <v>6.0517081505860197</v>
      </c>
    </row>
    <row r="15" spans="1:6" x14ac:dyDescent="0.2">
      <c r="A15" s="24" t="s">
        <v>996</v>
      </c>
      <c r="B15" s="24" t="s">
        <v>997</v>
      </c>
      <c r="C15" s="24" t="s">
        <v>998</v>
      </c>
      <c r="D15" s="28">
        <v>20</v>
      </c>
      <c r="E15" s="26">
        <v>235.5718</v>
      </c>
      <c r="F15" s="27">
        <v>4.2786869909068503</v>
      </c>
    </row>
    <row r="16" spans="1:6" x14ac:dyDescent="0.2">
      <c r="A16" s="24" t="s">
        <v>1692</v>
      </c>
      <c r="B16" s="24" t="s">
        <v>1693</v>
      </c>
      <c r="C16" s="24" t="s">
        <v>1328</v>
      </c>
      <c r="D16" s="28">
        <v>20</v>
      </c>
      <c r="E16" s="26">
        <v>203.58760000000001</v>
      </c>
      <c r="F16" s="27">
        <v>3.6977584567844999</v>
      </c>
    </row>
    <row r="17" spans="1:9" x14ac:dyDescent="0.2">
      <c r="A17" s="24" t="s">
        <v>1722</v>
      </c>
      <c r="B17" s="24" t="s">
        <v>1723</v>
      </c>
      <c r="C17" s="24" t="s">
        <v>815</v>
      </c>
      <c r="D17" s="28">
        <v>17</v>
      </c>
      <c r="E17" s="26">
        <v>157.55531999999999</v>
      </c>
      <c r="F17" s="27">
        <v>2.8616748610494298</v>
      </c>
    </row>
    <row r="18" spans="1:9" x14ac:dyDescent="0.2">
      <c r="A18" s="24" t="s">
        <v>994</v>
      </c>
      <c r="B18" s="24" t="s">
        <v>995</v>
      </c>
      <c r="C18" s="24" t="s">
        <v>815</v>
      </c>
      <c r="D18" s="28">
        <v>1</v>
      </c>
      <c r="E18" s="26">
        <v>10.07109</v>
      </c>
      <c r="F18" s="27">
        <v>0.182921053229852</v>
      </c>
    </row>
    <row r="19" spans="1:9" ht="10.5" x14ac:dyDescent="0.25">
      <c r="A19" s="23" t="s">
        <v>24</v>
      </c>
      <c r="B19" s="23"/>
      <c r="C19" s="23"/>
      <c r="D19" s="29"/>
      <c r="E19" s="30">
        <f>SUM(E5:E18)</f>
        <v>4800.5911900000001</v>
      </c>
      <c r="F19" s="31">
        <f>SUM(F5:F18)</f>
        <v>87.193064166912222</v>
      </c>
      <c r="G19" s="15"/>
      <c r="H19" s="15"/>
      <c r="I19" s="15"/>
    </row>
    <row r="20" spans="1:9" x14ac:dyDescent="0.2">
      <c r="A20" s="24"/>
      <c r="B20" s="24"/>
      <c r="C20" s="24"/>
      <c r="D20" s="25"/>
      <c r="E20" s="26"/>
      <c r="F20" s="27"/>
    </row>
    <row r="21" spans="1:9" ht="10.5" x14ac:dyDescent="0.25">
      <c r="A21" s="23" t="s">
        <v>818</v>
      </c>
      <c r="B21" s="24"/>
      <c r="C21" s="24"/>
      <c r="D21" s="25"/>
      <c r="E21" s="26"/>
      <c r="F21" s="27"/>
    </row>
    <row r="22" spans="1:9" x14ac:dyDescent="0.2">
      <c r="A22" s="24" t="s">
        <v>1706</v>
      </c>
      <c r="B22" s="24" t="s">
        <v>1707</v>
      </c>
      <c r="C22" s="24" t="s">
        <v>1278</v>
      </c>
      <c r="D22" s="28">
        <v>45</v>
      </c>
      <c r="E22" s="26">
        <v>453.49650000000003</v>
      </c>
      <c r="F22" s="27">
        <v>8.2368499751319408</v>
      </c>
    </row>
    <row r="23" spans="1:9" x14ac:dyDescent="0.2">
      <c r="A23" s="24" t="s">
        <v>1444</v>
      </c>
      <c r="B23" s="24" t="s">
        <v>1445</v>
      </c>
      <c r="C23" s="24" t="s">
        <v>815</v>
      </c>
      <c r="D23" s="28">
        <v>6</v>
      </c>
      <c r="E23" s="26">
        <v>60.151560000000003</v>
      </c>
      <c r="F23" s="27">
        <v>1.0925318618559301</v>
      </c>
    </row>
    <row r="24" spans="1:9" ht="10.5" x14ac:dyDescent="0.25">
      <c r="A24" s="23" t="s">
        <v>24</v>
      </c>
      <c r="B24" s="23"/>
      <c r="C24" s="23"/>
      <c r="D24" s="29"/>
      <c r="E24" s="30">
        <f>SUM(E21:E23)</f>
        <v>513.64805999999999</v>
      </c>
      <c r="F24" s="31">
        <f>SUM(F21:F23)</f>
        <v>9.3293818369878707</v>
      </c>
      <c r="G24" s="15"/>
      <c r="H24" s="15"/>
      <c r="I24" s="15"/>
    </row>
    <row r="25" spans="1:9" x14ac:dyDescent="0.2">
      <c r="A25" s="24"/>
      <c r="B25" s="24"/>
      <c r="C25" s="24"/>
      <c r="D25" s="25"/>
      <c r="E25" s="26"/>
      <c r="F25" s="27"/>
    </row>
    <row r="26" spans="1:9" ht="10.5" x14ac:dyDescent="0.25">
      <c r="A26" s="23" t="s">
        <v>861</v>
      </c>
      <c r="B26" s="24"/>
      <c r="C26" s="24"/>
      <c r="D26" s="25"/>
      <c r="E26" s="26"/>
      <c r="F26" s="27"/>
    </row>
    <row r="27" spans="1:9" ht="10.5" x14ac:dyDescent="0.25">
      <c r="A27" s="23" t="s">
        <v>1106</v>
      </c>
      <c r="B27" s="24"/>
      <c r="C27" s="24"/>
      <c r="D27" s="25"/>
      <c r="E27" s="26"/>
      <c r="F27" s="27"/>
    </row>
    <row r="28" spans="1:9" x14ac:dyDescent="0.2">
      <c r="A28" s="24" t="s">
        <v>1129</v>
      </c>
      <c r="B28" s="24" t="s">
        <v>1130</v>
      </c>
      <c r="C28" s="24" t="s">
        <v>1114</v>
      </c>
      <c r="D28" s="28">
        <v>87</v>
      </c>
      <c r="E28" s="26">
        <v>82.674447000000001</v>
      </c>
      <c r="F28" s="27">
        <v>1.5016147130485</v>
      </c>
    </row>
    <row r="29" spans="1:9" ht="10.5" x14ac:dyDescent="0.25">
      <c r="A29" s="23" t="s">
        <v>24</v>
      </c>
      <c r="B29" s="23"/>
      <c r="C29" s="23"/>
      <c r="D29" s="29"/>
      <c r="E29" s="30">
        <f>SUM(E27:E28)</f>
        <v>82.674447000000001</v>
      </c>
      <c r="F29" s="31">
        <f>SUM(F27:F28)</f>
        <v>1.5016147130485</v>
      </c>
      <c r="G29" s="15"/>
      <c r="H29" s="15"/>
      <c r="I29" s="15"/>
    </row>
    <row r="30" spans="1:9" x14ac:dyDescent="0.2">
      <c r="A30" s="24"/>
      <c r="B30" s="24"/>
      <c r="C30" s="24"/>
      <c r="D30" s="25"/>
      <c r="E30" s="26"/>
      <c r="F30" s="27"/>
    </row>
    <row r="31" spans="1:9" ht="10.5" x14ac:dyDescent="0.25">
      <c r="A31" s="23" t="s">
        <v>25</v>
      </c>
      <c r="B31" s="23"/>
      <c r="C31" s="23"/>
      <c r="D31" s="29"/>
      <c r="E31" s="30">
        <f>E19+E24+E29</f>
        <v>5396.9136970000009</v>
      </c>
      <c r="F31" s="31">
        <f>F19+F24+F29</f>
        <v>98.024060716948583</v>
      </c>
      <c r="G31" s="15"/>
      <c r="H31" s="15"/>
      <c r="I31" s="15"/>
    </row>
    <row r="32" spans="1:9" ht="10.5" x14ac:dyDescent="0.25">
      <c r="A32" s="23"/>
      <c r="B32" s="23"/>
      <c r="C32" s="23"/>
      <c r="D32" s="29"/>
      <c r="E32" s="30"/>
      <c r="F32" s="31"/>
      <c r="G32" s="15"/>
      <c r="H32" s="15"/>
      <c r="I32" s="15"/>
    </row>
    <row r="33" spans="1:9" ht="10.5" x14ac:dyDescent="0.25">
      <c r="A33" s="23" t="s">
        <v>27</v>
      </c>
      <c r="B33" s="23"/>
      <c r="C33" s="23"/>
      <c r="D33" s="29"/>
      <c r="E33" s="30">
        <f>E35-(E19+E24+E29)</f>
        <v>108.78934929999923</v>
      </c>
      <c r="F33" s="31">
        <f>F35-(F19+F24+F29)</f>
        <v>1.9759392830514173</v>
      </c>
      <c r="G33" s="15"/>
      <c r="H33" s="15"/>
      <c r="I33" s="15"/>
    </row>
    <row r="34" spans="1:9" ht="10.5" x14ac:dyDescent="0.25">
      <c r="A34" s="23"/>
      <c r="B34" s="23"/>
      <c r="C34" s="23"/>
      <c r="D34" s="29"/>
      <c r="E34" s="30"/>
      <c r="F34" s="31"/>
      <c r="G34" s="15"/>
      <c r="H34" s="15"/>
      <c r="I34" s="15"/>
    </row>
    <row r="35" spans="1:9" ht="10.5" x14ac:dyDescent="0.25">
      <c r="A35" s="32" t="s">
        <v>26</v>
      </c>
      <c r="B35" s="32"/>
      <c r="C35" s="32"/>
      <c r="D35" s="33"/>
      <c r="E35" s="34">
        <v>5505.7030463000001</v>
      </c>
      <c r="F35" s="35">
        <v>100</v>
      </c>
      <c r="G35" s="15"/>
      <c r="H35" s="15"/>
      <c r="I35" s="15"/>
    </row>
    <row r="36" spans="1:9" ht="10.5" x14ac:dyDescent="0.25">
      <c r="A36" s="15" t="s">
        <v>872</v>
      </c>
    </row>
    <row r="38" spans="1:9" ht="10.5" x14ac:dyDescent="0.25">
      <c r="A38" s="15" t="s">
        <v>28</v>
      </c>
    </row>
    <row r="39" spans="1:9" ht="10.5" x14ac:dyDescent="0.25">
      <c r="A39" s="15" t="s">
        <v>29</v>
      </c>
    </row>
    <row r="40" spans="1:9" ht="10.5" x14ac:dyDescent="0.25">
      <c r="A40" s="15" t="s">
        <v>30</v>
      </c>
      <c r="B40" s="15"/>
      <c r="C40" s="36" t="s">
        <v>32</v>
      </c>
      <c r="D40" s="16" t="s">
        <v>31</v>
      </c>
    </row>
    <row r="41" spans="1:9" x14ac:dyDescent="0.2">
      <c r="A41" s="9" t="s">
        <v>38</v>
      </c>
      <c r="C41" s="37">
        <v>11.2037</v>
      </c>
      <c r="D41" s="37">
        <v>11.6854</v>
      </c>
    </row>
    <row r="42" spans="1:9" x14ac:dyDescent="0.2">
      <c r="A42" s="9" t="s">
        <v>1600</v>
      </c>
      <c r="C42" s="37">
        <v>10.604799999999999</v>
      </c>
      <c r="D42" s="37">
        <v>10.1601</v>
      </c>
    </row>
    <row r="43" spans="1:9" x14ac:dyDescent="0.2">
      <c r="A43" s="9" t="s">
        <v>1219</v>
      </c>
      <c r="C43" s="37">
        <v>10.1165</v>
      </c>
      <c r="D43" s="37">
        <v>10.147399999999999</v>
      </c>
    </row>
    <row r="44" spans="1:9" x14ac:dyDescent="0.2">
      <c r="A44" s="9" t="s">
        <v>39</v>
      </c>
      <c r="C44" s="37">
        <v>11.271100000000001</v>
      </c>
      <c r="D44" s="37">
        <v>11.755800000000001</v>
      </c>
    </row>
    <row r="45" spans="1:9" x14ac:dyDescent="0.2">
      <c r="A45" s="9" t="s">
        <v>1221</v>
      </c>
      <c r="C45" s="37">
        <v>10.1724</v>
      </c>
      <c r="D45" s="37">
        <v>10.2059</v>
      </c>
    </row>
    <row r="47" spans="1:9" ht="10.5" x14ac:dyDescent="0.25">
      <c r="A47" s="15" t="s">
        <v>1882</v>
      </c>
    </row>
    <row r="48" spans="1:9" ht="10.5" x14ac:dyDescent="0.25">
      <c r="A48" s="90" t="s">
        <v>33</v>
      </c>
      <c r="B48" s="91"/>
      <c r="C48" s="92" t="s">
        <v>1883</v>
      </c>
      <c r="D48" s="93"/>
    </row>
    <row r="49" spans="1:5" ht="10.5" x14ac:dyDescent="0.25">
      <c r="A49" s="90"/>
      <c r="B49" s="91"/>
      <c r="C49" s="38" t="s">
        <v>34</v>
      </c>
      <c r="D49" s="39" t="s">
        <v>35</v>
      </c>
    </row>
    <row r="50" spans="1:5" x14ac:dyDescent="0.2">
      <c r="A50" s="96" t="s">
        <v>1600</v>
      </c>
      <c r="B50" s="97"/>
      <c r="C50" s="40">
        <v>0.64829042999999997</v>
      </c>
      <c r="D50" s="40">
        <v>0.60032016899999996</v>
      </c>
    </row>
    <row r="51" spans="1:5" x14ac:dyDescent="0.2">
      <c r="A51" s="96" t="s">
        <v>1219</v>
      </c>
      <c r="B51" s="97"/>
      <c r="C51" s="40">
        <v>0.28812907999999998</v>
      </c>
      <c r="D51" s="40">
        <v>0.26680896409999999</v>
      </c>
    </row>
    <row r="52" spans="1:5" x14ac:dyDescent="0.2">
      <c r="A52" s="96" t="s">
        <v>1221</v>
      </c>
      <c r="B52" s="97"/>
      <c r="C52" s="40">
        <v>0.28812907999999998</v>
      </c>
      <c r="D52" s="40">
        <v>0.26680896409999999</v>
      </c>
    </row>
    <row r="54" spans="1:5" ht="10.5" x14ac:dyDescent="0.25">
      <c r="A54" s="15" t="s">
        <v>882</v>
      </c>
      <c r="D54" s="11">
        <v>0.96274707991803299</v>
      </c>
      <c r="E54" s="11" t="s">
        <v>883</v>
      </c>
    </row>
    <row r="56" spans="1:5" ht="10.5" x14ac:dyDescent="0.25">
      <c r="A56" s="15" t="s">
        <v>884</v>
      </c>
      <c r="D56" s="41" t="s">
        <v>36</v>
      </c>
    </row>
  </sheetData>
  <mergeCells count="7">
    <mergeCell ref="A52:B52"/>
    <mergeCell ref="A1:F1"/>
    <mergeCell ref="A48:B48"/>
    <mergeCell ref="C48:D48"/>
    <mergeCell ref="A49:B49"/>
    <mergeCell ref="A50:B50"/>
    <mergeCell ref="A51:B51"/>
  </mergeCells>
  <conditionalFormatting sqref="F2 F4:F65536">
    <cfRule type="cellIs" dxfId="4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63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" style="9" bestFit="1" customWidth="1"/>
    <col min="3" max="3" width="15.453125" style="9" customWidth="1"/>
    <col min="4" max="4" width="15.453125" style="10" customWidth="1"/>
    <col min="5" max="5" width="14.453125" style="11" customWidth="1"/>
    <col min="6" max="6" width="9.726562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1724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1711</v>
      </c>
      <c r="B6" s="24" t="s">
        <v>1712</v>
      </c>
      <c r="C6" s="24" t="s">
        <v>815</v>
      </c>
      <c r="D6" s="28">
        <v>132</v>
      </c>
      <c r="E6" s="26">
        <v>1336.65444</v>
      </c>
      <c r="F6" s="27">
        <v>11.1020163270205</v>
      </c>
    </row>
    <row r="7" spans="1:6" x14ac:dyDescent="0.2">
      <c r="A7" s="24" t="s">
        <v>1676</v>
      </c>
      <c r="B7" s="24" t="s">
        <v>1677</v>
      </c>
      <c r="C7" s="24" t="s">
        <v>815</v>
      </c>
      <c r="D7" s="28">
        <v>100</v>
      </c>
      <c r="E7" s="26">
        <v>1191.394</v>
      </c>
      <c r="F7" s="27">
        <v>9.8955087000005104</v>
      </c>
    </row>
    <row r="8" spans="1:6" x14ac:dyDescent="0.2">
      <c r="A8" s="24" t="s">
        <v>1436</v>
      </c>
      <c r="B8" s="24" t="s">
        <v>1437</v>
      </c>
      <c r="C8" s="24" t="s">
        <v>815</v>
      </c>
      <c r="D8" s="28">
        <v>110</v>
      </c>
      <c r="E8" s="26">
        <v>1118.5437999999999</v>
      </c>
      <c r="F8" s="27">
        <v>9.2904277713599601</v>
      </c>
    </row>
    <row r="9" spans="1:6" x14ac:dyDescent="0.2">
      <c r="A9" s="24" t="s">
        <v>1692</v>
      </c>
      <c r="B9" s="24" t="s">
        <v>1693</v>
      </c>
      <c r="C9" s="24" t="s">
        <v>1328</v>
      </c>
      <c r="D9" s="28">
        <v>101</v>
      </c>
      <c r="E9" s="26">
        <v>1028.1173799999999</v>
      </c>
      <c r="F9" s="27">
        <v>8.5393618554497692</v>
      </c>
    </row>
    <row r="10" spans="1:6" x14ac:dyDescent="0.2">
      <c r="A10" s="24" t="s">
        <v>1702</v>
      </c>
      <c r="B10" s="24" t="s">
        <v>1703</v>
      </c>
      <c r="C10" s="24" t="s">
        <v>815</v>
      </c>
      <c r="D10" s="28">
        <v>84</v>
      </c>
      <c r="E10" s="26">
        <v>993.02616</v>
      </c>
      <c r="F10" s="27">
        <v>8.2479003634466004</v>
      </c>
    </row>
    <row r="11" spans="1:6" x14ac:dyDescent="0.2">
      <c r="A11" s="24" t="s">
        <v>1653</v>
      </c>
      <c r="B11" s="24" t="s">
        <v>1654</v>
      </c>
      <c r="C11" s="24" t="s">
        <v>815</v>
      </c>
      <c r="D11" s="28">
        <v>77</v>
      </c>
      <c r="E11" s="26">
        <v>916.26996999999994</v>
      </c>
      <c r="F11" s="27">
        <v>7.6103769699060102</v>
      </c>
    </row>
    <row r="12" spans="1:6" x14ac:dyDescent="0.2">
      <c r="A12" s="24" t="s">
        <v>1401</v>
      </c>
      <c r="B12" s="24" t="s">
        <v>1402</v>
      </c>
      <c r="C12" s="24" t="s">
        <v>1328</v>
      </c>
      <c r="D12" s="28">
        <v>70</v>
      </c>
      <c r="E12" s="26">
        <v>825.0326</v>
      </c>
      <c r="F12" s="27">
        <v>6.8525754461446304</v>
      </c>
    </row>
    <row r="13" spans="1:6" x14ac:dyDescent="0.2">
      <c r="A13" s="24" t="s">
        <v>1725</v>
      </c>
      <c r="B13" s="24" t="s">
        <v>1726</v>
      </c>
      <c r="C13" s="24" t="s">
        <v>815</v>
      </c>
      <c r="D13" s="28">
        <v>75</v>
      </c>
      <c r="E13" s="26">
        <v>758.73450000000003</v>
      </c>
      <c r="F13" s="27">
        <v>6.3019151059519602</v>
      </c>
    </row>
    <row r="14" spans="1:6" x14ac:dyDescent="0.2">
      <c r="A14" s="24" t="s">
        <v>1727</v>
      </c>
      <c r="B14" s="24" t="s">
        <v>1728</v>
      </c>
      <c r="C14" s="24" t="s">
        <v>1328</v>
      </c>
      <c r="D14" s="28">
        <v>56</v>
      </c>
      <c r="E14" s="26">
        <v>567.51688000000001</v>
      </c>
      <c r="F14" s="27">
        <v>4.7136952372071201</v>
      </c>
    </row>
    <row r="15" spans="1:6" x14ac:dyDescent="0.2">
      <c r="A15" s="24" t="s">
        <v>1214</v>
      </c>
      <c r="B15" s="24" t="s">
        <v>1215</v>
      </c>
      <c r="C15" s="24" t="s">
        <v>815</v>
      </c>
      <c r="D15" s="28">
        <v>45</v>
      </c>
      <c r="E15" s="26">
        <v>453.11759999999998</v>
      </c>
      <c r="F15" s="27">
        <v>3.7635149689551501</v>
      </c>
    </row>
    <row r="16" spans="1:6" x14ac:dyDescent="0.2">
      <c r="A16" s="24" t="s">
        <v>1709</v>
      </c>
      <c r="B16" s="24" t="s">
        <v>1710</v>
      </c>
      <c r="C16" s="24" t="s">
        <v>815</v>
      </c>
      <c r="D16" s="28">
        <v>27</v>
      </c>
      <c r="E16" s="26">
        <v>273.30615</v>
      </c>
      <c r="F16" s="27">
        <v>2.2700327390339798</v>
      </c>
    </row>
    <row r="17" spans="1:9" x14ac:dyDescent="0.2">
      <c r="A17" s="24" t="s">
        <v>1700</v>
      </c>
      <c r="B17" s="24" t="s">
        <v>1701</v>
      </c>
      <c r="C17" s="24" t="s">
        <v>815</v>
      </c>
      <c r="D17" s="28">
        <v>11</v>
      </c>
      <c r="E17" s="26">
        <v>112.85923</v>
      </c>
      <c r="F17" s="27">
        <v>0.93738888423171396</v>
      </c>
    </row>
    <row r="18" spans="1:9" x14ac:dyDescent="0.2">
      <c r="A18" s="24" t="s">
        <v>996</v>
      </c>
      <c r="B18" s="24" t="s">
        <v>997</v>
      </c>
      <c r="C18" s="24" t="s">
        <v>998</v>
      </c>
      <c r="D18" s="28">
        <v>9</v>
      </c>
      <c r="E18" s="26">
        <v>106.00731</v>
      </c>
      <c r="F18" s="27">
        <v>0.88047804367711302</v>
      </c>
    </row>
    <row r="19" spans="1:9" x14ac:dyDescent="0.2">
      <c r="A19" s="24" t="s">
        <v>1729</v>
      </c>
      <c r="B19" s="24" t="s">
        <v>1730</v>
      </c>
      <c r="C19" s="24" t="s">
        <v>815</v>
      </c>
      <c r="D19" s="28">
        <v>8</v>
      </c>
      <c r="E19" s="26">
        <v>80.616159999999994</v>
      </c>
      <c r="F19" s="27">
        <v>0.669583624427043</v>
      </c>
    </row>
    <row r="20" spans="1:9" x14ac:dyDescent="0.2">
      <c r="A20" s="24" t="s">
        <v>1717</v>
      </c>
      <c r="B20" s="24" t="s">
        <v>1718</v>
      </c>
      <c r="C20" s="24" t="s">
        <v>815</v>
      </c>
      <c r="D20" s="28">
        <v>4</v>
      </c>
      <c r="E20" s="26">
        <v>40.435519999999997</v>
      </c>
      <c r="F20" s="27">
        <v>0.33585030640497099</v>
      </c>
    </row>
    <row r="21" spans="1:9" x14ac:dyDescent="0.2">
      <c r="A21" s="24" t="s">
        <v>1731</v>
      </c>
      <c r="B21" s="24" t="s">
        <v>1732</v>
      </c>
      <c r="C21" s="24" t="s">
        <v>815</v>
      </c>
      <c r="D21" s="28">
        <v>3</v>
      </c>
      <c r="E21" s="26">
        <v>38.622</v>
      </c>
      <c r="F21" s="27">
        <v>0.32078752873643801</v>
      </c>
    </row>
    <row r="22" spans="1:9" x14ac:dyDescent="0.2">
      <c r="A22" s="24" t="s">
        <v>1696</v>
      </c>
      <c r="B22" s="24" t="s">
        <v>1697</v>
      </c>
      <c r="C22" s="24" t="s">
        <v>1328</v>
      </c>
      <c r="D22" s="28">
        <v>1</v>
      </c>
      <c r="E22" s="26">
        <v>10.15564</v>
      </c>
      <c r="F22" s="27">
        <v>8.4350956924471004E-2</v>
      </c>
    </row>
    <row r="23" spans="1:9" x14ac:dyDescent="0.2">
      <c r="A23" s="24" t="s">
        <v>994</v>
      </c>
      <c r="B23" s="24" t="s">
        <v>995</v>
      </c>
      <c r="C23" s="24" t="s">
        <v>815</v>
      </c>
      <c r="D23" s="28">
        <v>1</v>
      </c>
      <c r="E23" s="26">
        <v>10.07109</v>
      </c>
      <c r="F23" s="27">
        <v>8.3648699517949704E-2</v>
      </c>
    </row>
    <row r="24" spans="1:9" ht="10.5" x14ac:dyDescent="0.25">
      <c r="A24" s="23" t="s">
        <v>24</v>
      </c>
      <c r="B24" s="23"/>
      <c r="C24" s="23"/>
      <c r="D24" s="29"/>
      <c r="E24" s="30">
        <f>SUM(E5:E23)</f>
        <v>9860.4804300000014</v>
      </c>
      <c r="F24" s="31">
        <f>SUM(F5:F23)</f>
        <v>81.899413528395883</v>
      </c>
      <c r="G24" s="15"/>
      <c r="H24" s="15"/>
      <c r="I24" s="15"/>
    </row>
    <row r="25" spans="1:9" x14ac:dyDescent="0.2">
      <c r="A25" s="24"/>
      <c r="B25" s="24"/>
      <c r="C25" s="24"/>
      <c r="D25" s="25"/>
      <c r="E25" s="26"/>
      <c r="F25" s="27"/>
    </row>
    <row r="26" spans="1:9" ht="10.5" x14ac:dyDescent="0.25">
      <c r="A26" s="23" t="s">
        <v>818</v>
      </c>
      <c r="B26" s="24"/>
      <c r="C26" s="24"/>
      <c r="D26" s="25"/>
      <c r="E26" s="26"/>
      <c r="F26" s="27"/>
    </row>
    <row r="27" spans="1:9" x14ac:dyDescent="0.2">
      <c r="A27" s="24" t="s">
        <v>1706</v>
      </c>
      <c r="B27" s="24" t="s">
        <v>1707</v>
      </c>
      <c r="C27" s="24" t="s">
        <v>1278</v>
      </c>
      <c r="D27" s="28">
        <v>100</v>
      </c>
      <c r="E27" s="26">
        <v>1007.77</v>
      </c>
      <c r="F27" s="27">
        <v>8.3703601013598501</v>
      </c>
    </row>
    <row r="28" spans="1:9" x14ac:dyDescent="0.2">
      <c r="A28" s="24" t="s">
        <v>1733</v>
      </c>
      <c r="B28" s="24" t="s">
        <v>1734</v>
      </c>
      <c r="C28" s="24" t="s">
        <v>815</v>
      </c>
      <c r="D28" s="28">
        <v>72</v>
      </c>
      <c r="E28" s="26">
        <v>722.91815999999994</v>
      </c>
      <c r="F28" s="27">
        <v>6.0044308949586398</v>
      </c>
    </row>
    <row r="29" spans="1:9" ht="10.5" x14ac:dyDescent="0.25">
      <c r="A29" s="23" t="s">
        <v>24</v>
      </c>
      <c r="B29" s="23"/>
      <c r="C29" s="23"/>
      <c r="D29" s="29"/>
      <c r="E29" s="30">
        <f>SUM(E26:E28)</f>
        <v>1730.6881599999999</v>
      </c>
      <c r="F29" s="31">
        <f>SUM(F26:F28)</f>
        <v>14.37479099631849</v>
      </c>
      <c r="G29" s="15"/>
      <c r="H29" s="15"/>
      <c r="I29" s="15"/>
    </row>
    <row r="30" spans="1:9" x14ac:dyDescent="0.2">
      <c r="A30" s="24"/>
      <c r="B30" s="24"/>
      <c r="C30" s="24"/>
      <c r="D30" s="25"/>
      <c r="E30" s="26"/>
      <c r="F30" s="27"/>
    </row>
    <row r="31" spans="1:9" ht="10.5" x14ac:dyDescent="0.25">
      <c r="A31" s="23" t="s">
        <v>861</v>
      </c>
      <c r="B31" s="24"/>
      <c r="C31" s="24"/>
      <c r="D31" s="25"/>
      <c r="E31" s="26"/>
      <c r="F31" s="27"/>
    </row>
    <row r="32" spans="1:9" ht="10.5" x14ac:dyDescent="0.25">
      <c r="A32" s="23" t="s">
        <v>1106</v>
      </c>
      <c r="B32" s="24"/>
      <c r="C32" s="24"/>
      <c r="D32" s="25"/>
      <c r="E32" s="26"/>
      <c r="F32" s="27"/>
    </row>
    <row r="33" spans="1:9" x14ac:dyDescent="0.2">
      <c r="A33" s="24" t="s">
        <v>1129</v>
      </c>
      <c r="B33" s="24" t="s">
        <v>1130</v>
      </c>
      <c r="C33" s="24" t="s">
        <v>1114</v>
      </c>
      <c r="D33" s="28">
        <v>117</v>
      </c>
      <c r="E33" s="26">
        <v>111.182877</v>
      </c>
      <c r="F33" s="27">
        <v>0.92346539150321905</v>
      </c>
    </row>
    <row r="34" spans="1:9" ht="10.5" x14ac:dyDescent="0.25">
      <c r="A34" s="23" t="s">
        <v>24</v>
      </c>
      <c r="B34" s="23"/>
      <c r="C34" s="23"/>
      <c r="D34" s="29"/>
      <c r="E34" s="30">
        <f>SUM(E32:E33)</f>
        <v>111.182877</v>
      </c>
      <c r="F34" s="31">
        <f>SUM(F32:F33)</f>
        <v>0.92346539150321905</v>
      </c>
      <c r="G34" s="15"/>
      <c r="H34" s="15"/>
      <c r="I34" s="15"/>
    </row>
    <row r="35" spans="1:9" x14ac:dyDescent="0.2">
      <c r="A35" s="24"/>
      <c r="B35" s="24"/>
      <c r="C35" s="24"/>
      <c r="D35" s="25"/>
      <c r="E35" s="26"/>
      <c r="F35" s="27"/>
    </row>
    <row r="36" spans="1:9" ht="10.5" x14ac:dyDescent="0.25">
      <c r="A36" s="23" t="s">
        <v>25</v>
      </c>
      <c r="B36" s="23"/>
      <c r="C36" s="23"/>
      <c r="D36" s="29"/>
      <c r="E36" s="30">
        <f>E24+E29+E34</f>
        <v>11702.351467</v>
      </c>
      <c r="F36" s="31">
        <f>F24+F29+F34</f>
        <v>97.197669916217592</v>
      </c>
      <c r="G36" s="15"/>
      <c r="H36" s="15"/>
      <c r="I36" s="15"/>
    </row>
    <row r="37" spans="1:9" ht="10.5" x14ac:dyDescent="0.25">
      <c r="A37" s="23"/>
      <c r="B37" s="23"/>
      <c r="C37" s="23"/>
      <c r="D37" s="29"/>
      <c r="E37" s="30"/>
      <c r="F37" s="31"/>
      <c r="G37" s="15"/>
      <c r="H37" s="15"/>
      <c r="I37" s="15"/>
    </row>
    <row r="38" spans="1:9" ht="10.5" x14ac:dyDescent="0.25">
      <c r="A38" s="23" t="s">
        <v>27</v>
      </c>
      <c r="B38" s="23"/>
      <c r="C38" s="23"/>
      <c r="D38" s="29"/>
      <c r="E38" s="30">
        <f>E40-(E24+E29+E34)</f>
        <v>337.39339219999965</v>
      </c>
      <c r="F38" s="31">
        <f>F40-(F24+F29+F34)</f>
        <v>2.8023300837824081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32" t="s">
        <v>26</v>
      </c>
      <c r="B40" s="32"/>
      <c r="C40" s="32"/>
      <c r="D40" s="33"/>
      <c r="E40" s="34">
        <v>12039.7448592</v>
      </c>
      <c r="F40" s="35">
        <v>100</v>
      </c>
      <c r="G40" s="15"/>
      <c r="H40" s="15"/>
      <c r="I40" s="15"/>
    </row>
    <row r="41" spans="1:9" ht="10.5" x14ac:dyDescent="0.25">
      <c r="A41" s="15" t="s">
        <v>872</v>
      </c>
    </row>
    <row r="43" spans="1:9" ht="10.5" x14ac:dyDescent="0.25">
      <c r="A43" s="15" t="s">
        <v>28</v>
      </c>
    </row>
    <row r="44" spans="1:9" ht="10.5" x14ac:dyDescent="0.25">
      <c r="A44" s="15" t="s">
        <v>29</v>
      </c>
    </row>
    <row r="45" spans="1:9" ht="10.5" x14ac:dyDescent="0.25">
      <c r="A45" s="15" t="s">
        <v>30</v>
      </c>
      <c r="B45" s="15"/>
      <c r="C45" s="36" t="s">
        <v>32</v>
      </c>
      <c r="D45" s="16" t="s">
        <v>31</v>
      </c>
    </row>
    <row r="46" spans="1:9" x14ac:dyDescent="0.2">
      <c r="A46" s="9" t="s">
        <v>38</v>
      </c>
      <c r="C46" s="37">
        <v>11.2262</v>
      </c>
      <c r="D46" s="37">
        <v>11.7096</v>
      </c>
    </row>
    <row r="47" spans="1:9" x14ac:dyDescent="0.2">
      <c r="A47" s="9" t="s">
        <v>1600</v>
      </c>
      <c r="C47" s="37">
        <v>10.6219</v>
      </c>
      <c r="D47" s="37">
        <v>10.158799999999999</v>
      </c>
    </row>
    <row r="48" spans="1:9" x14ac:dyDescent="0.2">
      <c r="A48" s="9" t="s">
        <v>1219</v>
      </c>
      <c r="C48" s="37">
        <v>10.117100000000001</v>
      </c>
      <c r="D48" s="37">
        <v>10.1486</v>
      </c>
    </row>
    <row r="49" spans="1:5" x14ac:dyDescent="0.2">
      <c r="A49" s="9" t="s">
        <v>39</v>
      </c>
      <c r="C49" s="37">
        <v>11.293799999999999</v>
      </c>
      <c r="D49" s="37">
        <v>11.780099999999999</v>
      </c>
    </row>
    <row r="50" spans="1:5" x14ac:dyDescent="0.2">
      <c r="A50" s="9" t="s">
        <v>41</v>
      </c>
      <c r="C50" s="37">
        <v>10.689500000000001</v>
      </c>
      <c r="D50" s="37">
        <v>10.2293</v>
      </c>
    </row>
    <row r="51" spans="1:5" x14ac:dyDescent="0.2">
      <c r="A51" s="9" t="s">
        <v>1221</v>
      </c>
      <c r="C51" s="37">
        <v>10.1511</v>
      </c>
      <c r="D51" s="37">
        <v>10.184100000000001</v>
      </c>
    </row>
    <row r="53" spans="1:5" ht="10.5" x14ac:dyDescent="0.25">
      <c r="A53" s="15" t="s">
        <v>1882</v>
      </c>
    </row>
    <row r="54" spans="1:5" ht="10.5" x14ac:dyDescent="0.25">
      <c r="A54" s="90" t="s">
        <v>33</v>
      </c>
      <c r="B54" s="91"/>
      <c r="C54" s="92" t="s">
        <v>1883</v>
      </c>
      <c r="D54" s="93"/>
    </row>
    <row r="55" spans="1:5" ht="10.5" x14ac:dyDescent="0.25">
      <c r="A55" s="90"/>
      <c r="B55" s="91"/>
      <c r="C55" s="38" t="s">
        <v>34</v>
      </c>
      <c r="D55" s="39" t="s">
        <v>35</v>
      </c>
    </row>
    <row r="56" spans="1:5" x14ac:dyDescent="0.2">
      <c r="A56" s="96" t="s">
        <v>1600</v>
      </c>
      <c r="B56" s="97"/>
      <c r="C56" s="40">
        <v>0.66269688400000004</v>
      </c>
      <c r="D56" s="40">
        <v>0.61366061719999998</v>
      </c>
    </row>
    <row r="57" spans="1:5" x14ac:dyDescent="0.2">
      <c r="A57" s="96" t="s">
        <v>1219</v>
      </c>
      <c r="B57" s="97"/>
      <c r="C57" s="40">
        <v>0.28812907999999998</v>
      </c>
      <c r="D57" s="40">
        <v>0.26680896409999999</v>
      </c>
    </row>
    <row r="58" spans="1:5" x14ac:dyDescent="0.2">
      <c r="A58" s="96" t="s">
        <v>41</v>
      </c>
      <c r="B58" s="97"/>
      <c r="C58" s="40">
        <v>0.66269688400000004</v>
      </c>
      <c r="D58" s="40">
        <v>0.61366061719999998</v>
      </c>
    </row>
    <row r="59" spans="1:5" x14ac:dyDescent="0.2">
      <c r="A59" s="96" t="s">
        <v>1221</v>
      </c>
      <c r="B59" s="97"/>
      <c r="C59" s="40">
        <v>0.28812907999999998</v>
      </c>
      <c r="D59" s="40">
        <v>0.26680896409999999</v>
      </c>
    </row>
    <row r="61" spans="1:5" ht="10.5" x14ac:dyDescent="0.25">
      <c r="A61" s="15" t="s">
        <v>882</v>
      </c>
      <c r="D61" s="11">
        <v>0.94274705857923502</v>
      </c>
      <c r="E61" s="11" t="s">
        <v>883</v>
      </c>
    </row>
    <row r="63" spans="1:5" ht="10.5" x14ac:dyDescent="0.25">
      <c r="A63" s="15" t="s">
        <v>884</v>
      </c>
      <c r="D63" s="41" t="s">
        <v>36</v>
      </c>
    </row>
  </sheetData>
  <mergeCells count="8">
    <mergeCell ref="A58:B58"/>
    <mergeCell ref="A59:B59"/>
    <mergeCell ref="A1:F1"/>
    <mergeCell ref="A54:B54"/>
    <mergeCell ref="C54:D54"/>
    <mergeCell ref="A55:B55"/>
    <mergeCell ref="A56:B56"/>
    <mergeCell ref="A57:B57"/>
  </mergeCells>
  <conditionalFormatting sqref="F2 F4:F65536">
    <cfRule type="cellIs" dxfId="43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5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1.1796875" style="9" bestFit="1" customWidth="1"/>
    <col min="3" max="3" width="15.453125" style="9" bestFit="1" customWidth="1"/>
    <col min="4" max="4" width="15.453125" style="10" customWidth="1"/>
    <col min="5" max="5" width="11.453125" style="11" customWidth="1"/>
    <col min="6" max="6" width="9.453125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1735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40.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1676</v>
      </c>
      <c r="B6" s="24" t="s">
        <v>1677</v>
      </c>
      <c r="C6" s="24" t="s">
        <v>815</v>
      </c>
      <c r="D6" s="28">
        <v>61</v>
      </c>
      <c r="E6" s="26">
        <v>726.75034000000005</v>
      </c>
      <c r="F6" s="27">
        <v>9.9398901726903901</v>
      </c>
    </row>
    <row r="7" spans="1:6" x14ac:dyDescent="0.2">
      <c r="A7" s="24" t="s">
        <v>1692</v>
      </c>
      <c r="B7" s="24" t="s">
        <v>1693</v>
      </c>
      <c r="C7" s="24" t="s">
        <v>1328</v>
      </c>
      <c r="D7" s="28">
        <v>61</v>
      </c>
      <c r="E7" s="26">
        <v>620.94218000000001</v>
      </c>
      <c r="F7" s="27">
        <v>8.4927336570505698</v>
      </c>
    </row>
    <row r="8" spans="1:6" x14ac:dyDescent="0.2">
      <c r="A8" s="24" t="s">
        <v>1727</v>
      </c>
      <c r="B8" s="24" t="s">
        <v>1728</v>
      </c>
      <c r="C8" s="24" t="s">
        <v>1328</v>
      </c>
      <c r="D8" s="28">
        <v>61</v>
      </c>
      <c r="E8" s="26">
        <v>618.18803000000003</v>
      </c>
      <c r="F8" s="27">
        <v>8.4550646708632193</v>
      </c>
    </row>
    <row r="9" spans="1:6" x14ac:dyDescent="0.2">
      <c r="A9" s="24" t="s">
        <v>1725</v>
      </c>
      <c r="B9" s="24" t="s">
        <v>1726</v>
      </c>
      <c r="C9" s="24" t="s">
        <v>815</v>
      </c>
      <c r="D9" s="28">
        <v>61</v>
      </c>
      <c r="E9" s="26">
        <v>617.10406</v>
      </c>
      <c r="F9" s="27">
        <v>8.4402390255797304</v>
      </c>
    </row>
    <row r="10" spans="1:6" x14ac:dyDescent="0.2">
      <c r="A10" s="24" t="s">
        <v>1729</v>
      </c>
      <c r="B10" s="24" t="s">
        <v>1730</v>
      </c>
      <c r="C10" s="24" t="s">
        <v>815</v>
      </c>
      <c r="D10" s="28">
        <v>61</v>
      </c>
      <c r="E10" s="26">
        <v>614.69821999999999</v>
      </c>
      <c r="F10" s="27">
        <v>8.4073339355414305</v>
      </c>
    </row>
    <row r="11" spans="1:6" x14ac:dyDescent="0.2">
      <c r="A11" s="24" t="s">
        <v>1329</v>
      </c>
      <c r="B11" s="24" t="s">
        <v>1330</v>
      </c>
      <c r="C11" s="24" t="s">
        <v>815</v>
      </c>
      <c r="D11" s="28">
        <v>5</v>
      </c>
      <c r="E11" s="26">
        <v>508.49450000000002</v>
      </c>
      <c r="F11" s="27">
        <v>6.9547672773254003</v>
      </c>
    </row>
    <row r="12" spans="1:6" x14ac:dyDescent="0.2">
      <c r="A12" s="24" t="s">
        <v>1401</v>
      </c>
      <c r="B12" s="24" t="s">
        <v>1402</v>
      </c>
      <c r="C12" s="24" t="s">
        <v>1328</v>
      </c>
      <c r="D12" s="28">
        <v>40</v>
      </c>
      <c r="E12" s="26">
        <v>471.44720000000001</v>
      </c>
      <c r="F12" s="27">
        <v>6.4480649437637698</v>
      </c>
    </row>
    <row r="13" spans="1:6" x14ac:dyDescent="0.2">
      <c r="A13" s="24" t="s">
        <v>1436</v>
      </c>
      <c r="B13" s="24" t="s">
        <v>1437</v>
      </c>
      <c r="C13" s="24" t="s">
        <v>815</v>
      </c>
      <c r="D13" s="28">
        <v>38</v>
      </c>
      <c r="E13" s="26">
        <v>386.40604000000002</v>
      </c>
      <c r="F13" s="27">
        <v>5.2849422810923103</v>
      </c>
    </row>
    <row r="14" spans="1:6" x14ac:dyDescent="0.2">
      <c r="A14" s="24" t="s">
        <v>1214</v>
      </c>
      <c r="B14" s="24" t="s">
        <v>1215</v>
      </c>
      <c r="C14" s="24" t="s">
        <v>815</v>
      </c>
      <c r="D14" s="28">
        <v>36</v>
      </c>
      <c r="E14" s="26">
        <v>362.49408</v>
      </c>
      <c r="F14" s="27">
        <v>4.9578942659324303</v>
      </c>
    </row>
    <row r="15" spans="1:6" x14ac:dyDescent="0.2">
      <c r="A15" s="24" t="s">
        <v>1653</v>
      </c>
      <c r="B15" s="24" t="s">
        <v>1654</v>
      </c>
      <c r="C15" s="24" t="s">
        <v>815</v>
      </c>
      <c r="D15" s="28">
        <v>30</v>
      </c>
      <c r="E15" s="26">
        <v>356.98829999999998</v>
      </c>
      <c r="F15" s="27">
        <v>4.8825907600338398</v>
      </c>
    </row>
    <row r="16" spans="1:6" x14ac:dyDescent="0.2">
      <c r="A16" s="24" t="s">
        <v>1711</v>
      </c>
      <c r="B16" s="24" t="s">
        <v>1712</v>
      </c>
      <c r="C16" s="24" t="s">
        <v>815</v>
      </c>
      <c r="D16" s="28">
        <v>21</v>
      </c>
      <c r="E16" s="26">
        <v>212.64957000000001</v>
      </c>
      <c r="F16" s="27">
        <v>2.9084449703454398</v>
      </c>
    </row>
    <row r="17" spans="1:9" x14ac:dyDescent="0.2">
      <c r="A17" s="24" t="s">
        <v>996</v>
      </c>
      <c r="B17" s="24" t="s">
        <v>997</v>
      </c>
      <c r="C17" s="24" t="s">
        <v>998</v>
      </c>
      <c r="D17" s="28">
        <v>10</v>
      </c>
      <c r="E17" s="26">
        <v>117.7859</v>
      </c>
      <c r="F17" s="27">
        <v>1.6109781385055699</v>
      </c>
    </row>
    <row r="18" spans="1:9" x14ac:dyDescent="0.2">
      <c r="A18" s="24" t="s">
        <v>1700</v>
      </c>
      <c r="B18" s="24" t="s">
        <v>1701</v>
      </c>
      <c r="C18" s="24" t="s">
        <v>815</v>
      </c>
      <c r="D18" s="28">
        <v>10</v>
      </c>
      <c r="E18" s="26">
        <v>102.5993</v>
      </c>
      <c r="F18" s="27">
        <v>1.4032683820896601</v>
      </c>
    </row>
    <row r="19" spans="1:9" x14ac:dyDescent="0.2">
      <c r="A19" s="24" t="s">
        <v>994</v>
      </c>
      <c r="B19" s="24" t="s">
        <v>995</v>
      </c>
      <c r="C19" s="24" t="s">
        <v>815</v>
      </c>
      <c r="D19" s="28">
        <v>2</v>
      </c>
      <c r="E19" s="26">
        <v>20.14218</v>
      </c>
      <c r="F19" s="27">
        <v>0.27548808169606198</v>
      </c>
    </row>
    <row r="20" spans="1:9" x14ac:dyDescent="0.2">
      <c r="A20" s="24" t="s">
        <v>1702</v>
      </c>
      <c r="B20" s="24" t="s">
        <v>1703</v>
      </c>
      <c r="C20" s="24" t="s">
        <v>815</v>
      </c>
      <c r="D20" s="28">
        <v>1</v>
      </c>
      <c r="E20" s="26">
        <v>11.82174</v>
      </c>
      <c r="F20" s="27">
        <v>0.16168798386816099</v>
      </c>
    </row>
    <row r="21" spans="1:9" x14ac:dyDescent="0.2">
      <c r="A21" s="24" t="s">
        <v>1696</v>
      </c>
      <c r="B21" s="24" t="s">
        <v>1697</v>
      </c>
      <c r="C21" s="24" t="s">
        <v>1328</v>
      </c>
      <c r="D21" s="28">
        <v>1</v>
      </c>
      <c r="E21" s="26">
        <v>10.15564</v>
      </c>
      <c r="F21" s="27">
        <v>0.138900445830382</v>
      </c>
    </row>
    <row r="22" spans="1:9" x14ac:dyDescent="0.2">
      <c r="A22" s="24" t="s">
        <v>1736</v>
      </c>
      <c r="B22" s="24" t="s">
        <v>1737</v>
      </c>
      <c r="C22" s="24" t="s">
        <v>815</v>
      </c>
      <c r="D22" s="28">
        <v>1</v>
      </c>
      <c r="E22" s="26">
        <v>10.02285</v>
      </c>
      <c r="F22" s="27">
        <v>0.13708425401954399</v>
      </c>
    </row>
    <row r="23" spans="1:9" ht="10.5" x14ac:dyDescent="0.25">
      <c r="A23" s="23" t="s">
        <v>24</v>
      </c>
      <c r="B23" s="23"/>
      <c r="C23" s="23"/>
      <c r="D23" s="29"/>
      <c r="E23" s="30">
        <f>SUM(E5:E22)</f>
        <v>5768.690129999999</v>
      </c>
      <c r="F23" s="31">
        <f>SUM(F5:F22)</f>
        <v>78.899373246227924</v>
      </c>
      <c r="G23" s="15"/>
      <c r="H23" s="15"/>
      <c r="I23" s="15"/>
    </row>
    <row r="24" spans="1:9" x14ac:dyDescent="0.2">
      <c r="A24" s="24"/>
      <c r="B24" s="24"/>
      <c r="C24" s="24"/>
      <c r="D24" s="25"/>
      <c r="E24" s="26"/>
      <c r="F24" s="27"/>
    </row>
    <row r="25" spans="1:9" ht="10.5" x14ac:dyDescent="0.25">
      <c r="A25" s="23" t="s">
        <v>818</v>
      </c>
      <c r="B25" s="24"/>
      <c r="C25" s="24"/>
      <c r="D25" s="25"/>
      <c r="E25" s="26"/>
      <c r="F25" s="27"/>
    </row>
    <row r="26" spans="1:9" x14ac:dyDescent="0.2">
      <c r="A26" s="24" t="s">
        <v>1706</v>
      </c>
      <c r="B26" s="24" t="s">
        <v>1707</v>
      </c>
      <c r="C26" s="24" t="s">
        <v>1278</v>
      </c>
      <c r="D26" s="28">
        <v>61</v>
      </c>
      <c r="E26" s="26">
        <v>614.73969999999997</v>
      </c>
      <c r="F26" s="27">
        <v>8.4079012646800209</v>
      </c>
    </row>
    <row r="27" spans="1:9" x14ac:dyDescent="0.2">
      <c r="A27" s="24" t="s">
        <v>1733</v>
      </c>
      <c r="B27" s="24" t="s">
        <v>1734</v>
      </c>
      <c r="C27" s="24" t="s">
        <v>815</v>
      </c>
      <c r="D27" s="28">
        <v>61</v>
      </c>
      <c r="E27" s="26">
        <v>612.47233000000006</v>
      </c>
      <c r="F27" s="27">
        <v>8.3768900527955505</v>
      </c>
    </row>
    <row r="28" spans="1:9" ht="10.5" x14ac:dyDescent="0.25">
      <c r="A28" s="23" t="s">
        <v>24</v>
      </c>
      <c r="B28" s="23"/>
      <c r="C28" s="23"/>
      <c r="D28" s="29"/>
      <c r="E28" s="30">
        <f>SUM(E25:E27)</f>
        <v>1227.2120300000001</v>
      </c>
      <c r="F28" s="31">
        <f>SUM(F25:F27)</f>
        <v>16.784791317475573</v>
      </c>
      <c r="G28" s="15"/>
      <c r="H28" s="15"/>
      <c r="I28" s="15"/>
    </row>
    <row r="29" spans="1:9" x14ac:dyDescent="0.2">
      <c r="A29" s="24"/>
      <c r="B29" s="24"/>
      <c r="C29" s="24"/>
      <c r="D29" s="25"/>
      <c r="E29" s="26"/>
      <c r="F29" s="27"/>
    </row>
    <row r="30" spans="1:9" ht="10.5" x14ac:dyDescent="0.25">
      <c r="A30" s="23" t="s">
        <v>861</v>
      </c>
      <c r="B30" s="24"/>
      <c r="C30" s="24"/>
      <c r="D30" s="25"/>
      <c r="E30" s="26"/>
      <c r="F30" s="27"/>
    </row>
    <row r="31" spans="1:9" ht="10.5" x14ac:dyDescent="0.25">
      <c r="A31" s="23" t="s">
        <v>1106</v>
      </c>
      <c r="B31" s="24"/>
      <c r="C31" s="24"/>
      <c r="D31" s="25"/>
      <c r="E31" s="26"/>
      <c r="F31" s="27"/>
    </row>
    <row r="32" spans="1:9" x14ac:dyDescent="0.2">
      <c r="A32" s="24" t="s">
        <v>1129</v>
      </c>
      <c r="B32" s="24" t="s">
        <v>1130</v>
      </c>
      <c r="C32" s="24" t="s">
        <v>1114</v>
      </c>
      <c r="D32" s="28">
        <v>56</v>
      </c>
      <c r="E32" s="26">
        <v>53.215736</v>
      </c>
      <c r="F32" s="27">
        <v>0.72784083086756601</v>
      </c>
    </row>
    <row r="33" spans="1:9" ht="10.5" x14ac:dyDescent="0.25">
      <c r="A33" s="23" t="s">
        <v>24</v>
      </c>
      <c r="B33" s="23"/>
      <c r="C33" s="23"/>
      <c r="D33" s="29"/>
      <c r="E33" s="30">
        <f>SUM(E31:E32)</f>
        <v>53.215736</v>
      </c>
      <c r="F33" s="31">
        <f>SUM(F31:F32)</f>
        <v>0.72784083086756601</v>
      </c>
      <c r="G33" s="15"/>
      <c r="H33" s="15"/>
      <c r="I33" s="15"/>
    </row>
    <row r="34" spans="1:9" x14ac:dyDescent="0.2">
      <c r="A34" s="24"/>
      <c r="B34" s="24"/>
      <c r="C34" s="24"/>
      <c r="D34" s="25"/>
      <c r="E34" s="26"/>
      <c r="F34" s="27"/>
    </row>
    <row r="35" spans="1:9" ht="10.5" x14ac:dyDescent="0.25">
      <c r="A35" s="23" t="s">
        <v>25</v>
      </c>
      <c r="B35" s="23"/>
      <c r="C35" s="23"/>
      <c r="D35" s="29"/>
      <c r="E35" s="30">
        <f>E23+E28+E33</f>
        <v>7049.1178959999997</v>
      </c>
      <c r="F35" s="31">
        <f>F23+F28+F33</f>
        <v>96.412005394571054</v>
      </c>
      <c r="G35" s="15"/>
      <c r="H35" s="15"/>
      <c r="I35" s="15"/>
    </row>
    <row r="36" spans="1:9" ht="10.5" x14ac:dyDescent="0.25">
      <c r="A36" s="23"/>
      <c r="B36" s="23"/>
      <c r="C36" s="23"/>
      <c r="D36" s="29"/>
      <c r="E36" s="30"/>
      <c r="F36" s="31"/>
      <c r="G36" s="15"/>
      <c r="H36" s="15"/>
      <c r="I36" s="15"/>
    </row>
    <row r="37" spans="1:9" ht="10.5" x14ac:dyDescent="0.25">
      <c r="A37" s="23" t="s">
        <v>27</v>
      </c>
      <c r="B37" s="23"/>
      <c r="C37" s="23"/>
      <c r="D37" s="29"/>
      <c r="E37" s="30">
        <f>E39-(E23+E28+E33)</f>
        <v>262.33451820000028</v>
      </c>
      <c r="F37" s="31">
        <f>F39-(F23+F28+F33)</f>
        <v>3.5879946054289462</v>
      </c>
      <c r="G37" s="15"/>
      <c r="H37" s="15"/>
      <c r="I37" s="15"/>
    </row>
    <row r="38" spans="1:9" ht="10.5" x14ac:dyDescent="0.25">
      <c r="A38" s="23"/>
      <c r="B38" s="23"/>
      <c r="C38" s="23"/>
      <c r="D38" s="29"/>
      <c r="E38" s="30"/>
      <c r="F38" s="31"/>
      <c r="G38" s="15"/>
      <c r="H38" s="15"/>
      <c r="I38" s="15"/>
    </row>
    <row r="39" spans="1:9" ht="10.5" x14ac:dyDescent="0.25">
      <c r="A39" s="32" t="s">
        <v>26</v>
      </c>
      <c r="B39" s="32"/>
      <c r="C39" s="32"/>
      <c r="D39" s="33"/>
      <c r="E39" s="34">
        <v>7311.4524142</v>
      </c>
      <c r="F39" s="35">
        <v>100</v>
      </c>
      <c r="G39" s="15"/>
      <c r="H39" s="15"/>
      <c r="I39" s="15"/>
    </row>
    <row r="40" spans="1:9" ht="10.5" x14ac:dyDescent="0.25">
      <c r="A40" s="15" t="s">
        <v>872</v>
      </c>
    </row>
    <row r="42" spans="1:9" ht="10.5" x14ac:dyDescent="0.25">
      <c r="A42" s="15" t="s">
        <v>28</v>
      </c>
    </row>
    <row r="43" spans="1:9" ht="10.5" x14ac:dyDescent="0.25">
      <c r="A43" s="15" t="s">
        <v>29</v>
      </c>
    </row>
    <row r="44" spans="1:9" ht="10.5" x14ac:dyDescent="0.25">
      <c r="A44" s="15" t="s">
        <v>30</v>
      </c>
      <c r="B44" s="15"/>
      <c r="C44" s="36" t="s">
        <v>32</v>
      </c>
      <c r="D44" s="16" t="s">
        <v>31</v>
      </c>
    </row>
    <row r="45" spans="1:9" x14ac:dyDescent="0.2">
      <c r="A45" s="9" t="s">
        <v>38</v>
      </c>
      <c r="C45" s="37">
        <v>11.292999999999999</v>
      </c>
      <c r="D45" s="37">
        <v>11.7814</v>
      </c>
    </row>
    <row r="46" spans="1:9" x14ac:dyDescent="0.2">
      <c r="A46" s="9" t="s">
        <v>1600</v>
      </c>
      <c r="C46" s="37">
        <v>10.610200000000001</v>
      </c>
      <c r="D46" s="37">
        <v>10.169499999999999</v>
      </c>
    </row>
    <row r="47" spans="1:9" x14ac:dyDescent="0.2">
      <c r="A47" s="9" t="s">
        <v>1219</v>
      </c>
      <c r="C47" s="37">
        <v>10.132999999999999</v>
      </c>
      <c r="D47" s="37">
        <v>10.1572</v>
      </c>
    </row>
    <row r="48" spans="1:9" x14ac:dyDescent="0.2">
      <c r="A48" s="9" t="s">
        <v>39</v>
      </c>
      <c r="C48" s="37">
        <v>11.349600000000001</v>
      </c>
      <c r="D48" s="37">
        <v>11.8405</v>
      </c>
    </row>
    <row r="50" spans="1:5" ht="10.5" x14ac:dyDescent="0.25">
      <c r="A50" s="15" t="s">
        <v>1882</v>
      </c>
    </row>
    <row r="51" spans="1:5" ht="10.5" x14ac:dyDescent="0.25">
      <c r="A51" s="90" t="s">
        <v>33</v>
      </c>
      <c r="B51" s="91"/>
      <c r="C51" s="92" t="s">
        <v>1883</v>
      </c>
      <c r="D51" s="93"/>
    </row>
    <row r="52" spans="1:5" ht="10.5" x14ac:dyDescent="0.25">
      <c r="A52" s="90"/>
      <c r="B52" s="91"/>
      <c r="C52" s="38" t="s">
        <v>34</v>
      </c>
      <c r="D52" s="39" t="s">
        <v>35</v>
      </c>
    </row>
    <row r="53" spans="1:5" x14ac:dyDescent="0.2">
      <c r="A53" s="96" t="s">
        <v>1600</v>
      </c>
      <c r="B53" s="97"/>
      <c r="C53" s="40">
        <v>0.64829042999999997</v>
      </c>
      <c r="D53" s="40">
        <v>0.60032016899999996</v>
      </c>
    </row>
    <row r="54" spans="1:5" x14ac:dyDescent="0.2">
      <c r="A54" s="96" t="s">
        <v>1219</v>
      </c>
      <c r="B54" s="97"/>
      <c r="C54" s="40">
        <v>0.29533230700000002</v>
      </c>
      <c r="D54" s="40">
        <v>0.27347918809999999</v>
      </c>
    </row>
    <row r="56" spans="1:5" ht="10.5" x14ac:dyDescent="0.25">
      <c r="A56" s="15" t="s">
        <v>882</v>
      </c>
      <c r="D56" s="11">
        <v>0.92844665423497297</v>
      </c>
      <c r="E56" s="11" t="s">
        <v>883</v>
      </c>
    </row>
    <row r="58" spans="1:5" ht="10.5" x14ac:dyDescent="0.25">
      <c r="A58" s="15" t="s">
        <v>884</v>
      </c>
      <c r="D58" s="41" t="s">
        <v>36</v>
      </c>
    </row>
  </sheetData>
  <mergeCells count="6">
    <mergeCell ref="A54:B54"/>
    <mergeCell ref="A1:F1"/>
    <mergeCell ref="A51:B51"/>
    <mergeCell ref="C51:D51"/>
    <mergeCell ref="A52:B52"/>
    <mergeCell ref="A53:B53"/>
  </mergeCells>
  <conditionalFormatting sqref="F2 F4:F65536">
    <cfRule type="cellIs" dxfId="4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0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1.26953125" style="9" bestFit="1" customWidth="1"/>
    <col min="3" max="3" width="15.453125" style="9" bestFit="1" customWidth="1"/>
    <col min="4" max="4" width="15.453125" style="10" bestFit="1" customWidth="1"/>
    <col min="5" max="5" width="12.453125" style="11" customWidth="1"/>
    <col min="6" max="6" width="11.5429687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1738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4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1676</v>
      </c>
      <c r="B6" s="24" t="s">
        <v>1677</v>
      </c>
      <c r="C6" s="24" t="s">
        <v>815</v>
      </c>
      <c r="D6" s="28">
        <v>67</v>
      </c>
      <c r="E6" s="26">
        <v>798.23397999999997</v>
      </c>
      <c r="F6" s="27">
        <v>9.8940481557536408</v>
      </c>
    </row>
    <row r="7" spans="1:6" x14ac:dyDescent="0.2">
      <c r="A7" s="24" t="s">
        <v>1722</v>
      </c>
      <c r="B7" s="24" t="s">
        <v>1723</v>
      </c>
      <c r="C7" s="24" t="s">
        <v>815</v>
      </c>
      <c r="D7" s="28">
        <v>86</v>
      </c>
      <c r="E7" s="26">
        <v>797.04456000000005</v>
      </c>
      <c r="F7" s="27">
        <v>9.8793053872768901</v>
      </c>
    </row>
    <row r="8" spans="1:6" x14ac:dyDescent="0.2">
      <c r="A8" s="24" t="s">
        <v>1436</v>
      </c>
      <c r="B8" s="24" t="s">
        <v>1437</v>
      </c>
      <c r="C8" s="24" t="s">
        <v>815</v>
      </c>
      <c r="D8" s="28">
        <v>72</v>
      </c>
      <c r="E8" s="26">
        <v>732.13775999999996</v>
      </c>
      <c r="F8" s="27">
        <v>9.0747906448252191</v>
      </c>
    </row>
    <row r="9" spans="1:6" x14ac:dyDescent="0.2">
      <c r="A9" s="24" t="s">
        <v>1692</v>
      </c>
      <c r="B9" s="24" t="s">
        <v>1693</v>
      </c>
      <c r="C9" s="24" t="s">
        <v>1328</v>
      </c>
      <c r="D9" s="28">
        <v>68</v>
      </c>
      <c r="E9" s="26">
        <v>692.19784000000004</v>
      </c>
      <c r="F9" s="27">
        <v>8.5797384399354399</v>
      </c>
    </row>
    <row r="10" spans="1:6" x14ac:dyDescent="0.2">
      <c r="A10" s="24" t="s">
        <v>1727</v>
      </c>
      <c r="B10" s="24" t="s">
        <v>1728</v>
      </c>
      <c r="C10" s="24" t="s">
        <v>1328</v>
      </c>
      <c r="D10" s="28">
        <v>68</v>
      </c>
      <c r="E10" s="26">
        <v>689.12764000000004</v>
      </c>
      <c r="F10" s="27">
        <v>8.5416835495036896</v>
      </c>
    </row>
    <row r="11" spans="1:6" x14ac:dyDescent="0.2">
      <c r="A11" s="24" t="s">
        <v>1725</v>
      </c>
      <c r="B11" s="24" t="s">
        <v>1726</v>
      </c>
      <c r="C11" s="24" t="s">
        <v>815</v>
      </c>
      <c r="D11" s="28">
        <v>68</v>
      </c>
      <c r="E11" s="26">
        <v>687.91927999999996</v>
      </c>
      <c r="F11" s="27">
        <v>8.5267060211986596</v>
      </c>
    </row>
    <row r="12" spans="1:6" x14ac:dyDescent="0.2">
      <c r="A12" s="24" t="s">
        <v>1729</v>
      </c>
      <c r="B12" s="24" t="s">
        <v>1730</v>
      </c>
      <c r="C12" s="24" t="s">
        <v>815</v>
      </c>
      <c r="D12" s="28">
        <v>68</v>
      </c>
      <c r="E12" s="26">
        <v>685.23735999999997</v>
      </c>
      <c r="F12" s="27">
        <v>8.4934638311958306</v>
      </c>
    </row>
    <row r="13" spans="1:6" x14ac:dyDescent="0.2">
      <c r="A13" s="24" t="s">
        <v>1739</v>
      </c>
      <c r="B13" s="24" t="s">
        <v>1740</v>
      </c>
      <c r="C13" s="24" t="s">
        <v>815</v>
      </c>
      <c r="D13" s="28">
        <v>50</v>
      </c>
      <c r="E13" s="26">
        <v>511.73050000000001</v>
      </c>
      <c r="F13" s="27">
        <v>6.3428597837539904</v>
      </c>
    </row>
    <row r="14" spans="1:6" x14ac:dyDescent="0.2">
      <c r="A14" s="24" t="s">
        <v>1678</v>
      </c>
      <c r="B14" s="24" t="s">
        <v>1679</v>
      </c>
      <c r="C14" s="24" t="s">
        <v>815</v>
      </c>
      <c r="D14" s="28">
        <v>16</v>
      </c>
      <c r="E14" s="26">
        <v>161.16272000000001</v>
      </c>
      <c r="F14" s="27">
        <v>1.9975993913366601</v>
      </c>
    </row>
    <row r="15" spans="1:6" x14ac:dyDescent="0.2">
      <c r="A15" s="24" t="s">
        <v>994</v>
      </c>
      <c r="B15" s="24" t="s">
        <v>995</v>
      </c>
      <c r="C15" s="24" t="s">
        <v>815</v>
      </c>
      <c r="D15" s="28">
        <v>7</v>
      </c>
      <c r="E15" s="26">
        <v>70.497630000000001</v>
      </c>
      <c r="F15" s="27">
        <v>0.87381264586920104</v>
      </c>
    </row>
    <row r="16" spans="1:6" x14ac:dyDescent="0.2">
      <c r="A16" s="24" t="s">
        <v>1711</v>
      </c>
      <c r="B16" s="24" t="s">
        <v>1712</v>
      </c>
      <c r="C16" s="24" t="s">
        <v>815</v>
      </c>
      <c r="D16" s="28">
        <v>6</v>
      </c>
      <c r="E16" s="26">
        <v>60.757019999999997</v>
      </c>
      <c r="F16" s="27">
        <v>0.75307854180811395</v>
      </c>
    </row>
    <row r="17" spans="1:9" x14ac:dyDescent="0.2">
      <c r="A17" s="24" t="s">
        <v>1702</v>
      </c>
      <c r="B17" s="24" t="s">
        <v>1703</v>
      </c>
      <c r="C17" s="24" t="s">
        <v>815</v>
      </c>
      <c r="D17" s="28">
        <v>4</v>
      </c>
      <c r="E17" s="26">
        <v>47.286960000000001</v>
      </c>
      <c r="F17" s="27">
        <v>0.58611819479195304</v>
      </c>
    </row>
    <row r="18" spans="1:9" x14ac:dyDescent="0.2">
      <c r="A18" s="24" t="s">
        <v>996</v>
      </c>
      <c r="B18" s="24" t="s">
        <v>997</v>
      </c>
      <c r="C18" s="24" t="s">
        <v>998</v>
      </c>
      <c r="D18" s="28">
        <v>3</v>
      </c>
      <c r="E18" s="26">
        <v>35.335769999999997</v>
      </c>
      <c r="F18" s="27">
        <v>0.43798412340280801</v>
      </c>
    </row>
    <row r="19" spans="1:9" x14ac:dyDescent="0.2">
      <c r="A19" s="24" t="s">
        <v>1700</v>
      </c>
      <c r="B19" s="24" t="s">
        <v>1701</v>
      </c>
      <c r="C19" s="24" t="s">
        <v>815</v>
      </c>
      <c r="D19" s="28">
        <v>3</v>
      </c>
      <c r="E19" s="26">
        <v>30.779789999999998</v>
      </c>
      <c r="F19" s="27">
        <v>0.38151310532280802</v>
      </c>
    </row>
    <row r="20" spans="1:9" x14ac:dyDescent="0.2">
      <c r="A20" s="24" t="s">
        <v>1741</v>
      </c>
      <c r="B20" s="24" t="s">
        <v>1742</v>
      </c>
      <c r="C20" s="24" t="s">
        <v>1328</v>
      </c>
      <c r="D20" s="28">
        <v>1</v>
      </c>
      <c r="E20" s="26">
        <v>10.066549999999999</v>
      </c>
      <c r="F20" s="27">
        <v>0.124774105034093</v>
      </c>
    </row>
    <row r="21" spans="1:9" ht="10.5" x14ac:dyDescent="0.25">
      <c r="A21" s="23" t="s">
        <v>24</v>
      </c>
      <c r="B21" s="23"/>
      <c r="C21" s="23"/>
      <c r="D21" s="29"/>
      <c r="E21" s="30">
        <f>SUM(E5:E20)</f>
        <v>6009.5153599999985</v>
      </c>
      <c r="F21" s="31">
        <f>SUM(F5:F20)</f>
        <v>74.487475921009008</v>
      </c>
      <c r="G21" s="15"/>
      <c r="H21" s="15"/>
      <c r="I21" s="15"/>
    </row>
    <row r="22" spans="1:9" x14ac:dyDescent="0.2">
      <c r="A22" s="24"/>
      <c r="B22" s="24"/>
      <c r="C22" s="24"/>
      <c r="D22" s="25"/>
      <c r="E22" s="26"/>
      <c r="F22" s="27"/>
    </row>
    <row r="23" spans="1:9" ht="10.5" x14ac:dyDescent="0.25">
      <c r="A23" s="23" t="s">
        <v>818</v>
      </c>
      <c r="B23" s="24"/>
      <c r="C23" s="24"/>
      <c r="D23" s="25"/>
      <c r="E23" s="26"/>
      <c r="F23" s="27"/>
    </row>
    <row r="24" spans="1:9" x14ac:dyDescent="0.2">
      <c r="A24" s="24" t="s">
        <v>1733</v>
      </c>
      <c r="B24" s="24" t="s">
        <v>1734</v>
      </c>
      <c r="C24" s="24" t="s">
        <v>815</v>
      </c>
      <c r="D24" s="28">
        <v>68</v>
      </c>
      <c r="E24" s="26">
        <v>682.75603999999998</v>
      </c>
      <c r="F24" s="27">
        <v>8.4627080626054791</v>
      </c>
    </row>
    <row r="25" spans="1:9" x14ac:dyDescent="0.2">
      <c r="A25" s="24" t="s">
        <v>1706</v>
      </c>
      <c r="B25" s="24" t="s">
        <v>1707</v>
      </c>
      <c r="C25" s="24" t="s">
        <v>1278</v>
      </c>
      <c r="D25" s="28">
        <v>67</v>
      </c>
      <c r="E25" s="26">
        <v>675.20590000000004</v>
      </c>
      <c r="F25" s="27">
        <v>8.3691246639850903</v>
      </c>
    </row>
    <row r="26" spans="1:9" x14ac:dyDescent="0.2">
      <c r="A26" s="24" t="s">
        <v>1444</v>
      </c>
      <c r="B26" s="24" t="s">
        <v>1445</v>
      </c>
      <c r="C26" s="24" t="s">
        <v>815</v>
      </c>
      <c r="D26" s="28">
        <v>12</v>
      </c>
      <c r="E26" s="26">
        <v>120.30312000000001</v>
      </c>
      <c r="F26" s="27">
        <v>1.4911478243101199</v>
      </c>
    </row>
    <row r="27" spans="1:9" ht="10.5" x14ac:dyDescent="0.25">
      <c r="A27" s="23" t="s">
        <v>24</v>
      </c>
      <c r="B27" s="23"/>
      <c r="C27" s="23"/>
      <c r="D27" s="29"/>
      <c r="E27" s="30">
        <f>SUM(E23:E26)</f>
        <v>1478.2650600000002</v>
      </c>
      <c r="F27" s="31">
        <f>SUM(F23:F26)</f>
        <v>18.322980550900688</v>
      </c>
      <c r="G27" s="15"/>
      <c r="H27" s="15"/>
      <c r="I27" s="15"/>
    </row>
    <row r="28" spans="1:9" x14ac:dyDescent="0.2">
      <c r="A28" s="24"/>
      <c r="B28" s="24"/>
      <c r="C28" s="24"/>
      <c r="D28" s="25"/>
      <c r="E28" s="26"/>
      <c r="F28" s="27"/>
    </row>
    <row r="29" spans="1:9" ht="10.5" x14ac:dyDescent="0.25">
      <c r="A29" s="23" t="s">
        <v>861</v>
      </c>
      <c r="B29" s="24"/>
      <c r="C29" s="24"/>
      <c r="D29" s="25"/>
      <c r="E29" s="26"/>
      <c r="F29" s="27"/>
    </row>
    <row r="30" spans="1:9" ht="10.5" x14ac:dyDescent="0.25">
      <c r="A30" s="23" t="s">
        <v>1106</v>
      </c>
      <c r="B30" s="24"/>
      <c r="C30" s="24"/>
      <c r="D30" s="25"/>
      <c r="E30" s="26"/>
      <c r="F30" s="27"/>
    </row>
    <row r="31" spans="1:9" x14ac:dyDescent="0.2">
      <c r="A31" s="24" t="s">
        <v>1129</v>
      </c>
      <c r="B31" s="24" t="s">
        <v>1130</v>
      </c>
      <c r="C31" s="24" t="s">
        <v>1114</v>
      </c>
      <c r="D31" s="28">
        <v>36</v>
      </c>
      <c r="E31" s="26">
        <v>34.210115999999999</v>
      </c>
      <c r="F31" s="27">
        <v>0.42403172954115298</v>
      </c>
    </row>
    <row r="32" spans="1:9" ht="10.5" x14ac:dyDescent="0.25">
      <c r="A32" s="23" t="s">
        <v>24</v>
      </c>
      <c r="B32" s="23"/>
      <c r="C32" s="23"/>
      <c r="D32" s="29"/>
      <c r="E32" s="30">
        <f>SUM(E30:E31)</f>
        <v>34.210115999999999</v>
      </c>
      <c r="F32" s="31">
        <f>SUM(F30:F31)</f>
        <v>0.42403172954115298</v>
      </c>
      <c r="G32" s="15"/>
      <c r="H32" s="15"/>
      <c r="I32" s="15"/>
    </row>
    <row r="33" spans="1:9" x14ac:dyDescent="0.2">
      <c r="A33" s="24"/>
      <c r="B33" s="24"/>
      <c r="C33" s="24"/>
      <c r="D33" s="25"/>
      <c r="E33" s="26"/>
      <c r="F33" s="27"/>
    </row>
    <row r="34" spans="1:9" ht="10.5" x14ac:dyDescent="0.25">
      <c r="A34" s="23" t="s">
        <v>862</v>
      </c>
      <c r="B34" s="24"/>
      <c r="C34" s="24"/>
      <c r="D34" s="25"/>
      <c r="E34" s="26"/>
      <c r="F34" s="27"/>
    </row>
    <row r="35" spans="1:9" x14ac:dyDescent="0.2">
      <c r="A35" s="24" t="s">
        <v>1172</v>
      </c>
      <c r="B35" s="24" t="s">
        <v>1173</v>
      </c>
      <c r="C35" s="24" t="s">
        <v>1165</v>
      </c>
      <c r="D35" s="28">
        <v>53</v>
      </c>
      <c r="E35" s="26">
        <v>251.387215</v>
      </c>
      <c r="F35" s="27">
        <v>3.1159249960153201</v>
      </c>
    </row>
    <row r="36" spans="1:9" ht="10.5" x14ac:dyDescent="0.25">
      <c r="A36" s="23" t="s">
        <v>24</v>
      </c>
      <c r="B36" s="23"/>
      <c r="C36" s="23"/>
      <c r="D36" s="29"/>
      <c r="E36" s="30">
        <f>SUM(E34:E35)</f>
        <v>251.387215</v>
      </c>
      <c r="F36" s="31">
        <f>SUM(F34:F35)</f>
        <v>3.1159249960153201</v>
      </c>
      <c r="G36" s="15"/>
      <c r="H36" s="15"/>
      <c r="I36" s="15"/>
    </row>
    <row r="37" spans="1:9" x14ac:dyDescent="0.2">
      <c r="A37" s="24"/>
      <c r="B37" s="24"/>
      <c r="C37" s="24"/>
      <c r="D37" s="25"/>
      <c r="E37" s="26"/>
      <c r="F37" s="27"/>
    </row>
    <row r="38" spans="1:9" ht="10.5" x14ac:dyDescent="0.25">
      <c r="A38" s="23" t="s">
        <v>25</v>
      </c>
      <c r="B38" s="23"/>
      <c r="C38" s="23"/>
      <c r="D38" s="29"/>
      <c r="E38" s="30">
        <f>E21+E27+E32+E36</f>
        <v>7773.3777509999991</v>
      </c>
      <c r="F38" s="31">
        <f>F21+F27+F32+F36</f>
        <v>96.350413197466182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23" t="s">
        <v>27</v>
      </c>
      <c r="B40" s="23"/>
      <c r="C40" s="23"/>
      <c r="D40" s="29"/>
      <c r="E40" s="30">
        <f>E42-(E21+E27+E32+E36)</f>
        <v>294.44208810000055</v>
      </c>
      <c r="F40" s="31">
        <f>F42-(F21+F27+F32+F36)</f>
        <v>3.6495868025338183</v>
      </c>
      <c r="G40" s="15"/>
      <c r="H40" s="15"/>
      <c r="I40" s="15"/>
    </row>
    <row r="41" spans="1:9" ht="10.5" x14ac:dyDescent="0.25">
      <c r="A41" s="23"/>
      <c r="B41" s="23"/>
      <c r="C41" s="23"/>
      <c r="D41" s="29"/>
      <c r="E41" s="30"/>
      <c r="F41" s="31"/>
      <c r="G41" s="15"/>
      <c r="H41" s="15"/>
      <c r="I41" s="15"/>
    </row>
    <row r="42" spans="1:9" ht="10.5" x14ac:dyDescent="0.25">
      <c r="A42" s="32" t="s">
        <v>26</v>
      </c>
      <c r="B42" s="32"/>
      <c r="C42" s="32"/>
      <c r="D42" s="33"/>
      <c r="E42" s="34">
        <v>8067.8198390999996</v>
      </c>
      <c r="F42" s="35">
        <v>100</v>
      </c>
      <c r="G42" s="15"/>
      <c r="H42" s="15"/>
      <c r="I42" s="15"/>
    </row>
    <row r="43" spans="1:9" ht="10.5" x14ac:dyDescent="0.25">
      <c r="A43" s="15" t="s">
        <v>871</v>
      </c>
    </row>
    <row r="44" spans="1:9" ht="10.5" x14ac:dyDescent="0.25">
      <c r="A44" s="15" t="s">
        <v>872</v>
      </c>
    </row>
    <row r="46" spans="1:9" ht="10.5" x14ac:dyDescent="0.25">
      <c r="A46" s="15" t="s">
        <v>28</v>
      </c>
    </row>
    <row r="47" spans="1:9" ht="10.5" x14ac:dyDescent="0.25">
      <c r="A47" s="15" t="s">
        <v>29</v>
      </c>
    </row>
    <row r="48" spans="1:9" ht="10.5" x14ac:dyDescent="0.25">
      <c r="A48" s="15" t="s">
        <v>30</v>
      </c>
      <c r="B48" s="15"/>
      <c r="C48" s="36" t="s">
        <v>32</v>
      </c>
      <c r="D48" s="16" t="s">
        <v>31</v>
      </c>
    </row>
    <row r="49" spans="1:5" x14ac:dyDescent="0.2">
      <c r="A49" s="9" t="s">
        <v>38</v>
      </c>
      <c r="C49" s="37">
        <v>11.325200000000001</v>
      </c>
      <c r="D49" s="37">
        <v>11.7949</v>
      </c>
    </row>
    <row r="50" spans="1:5" x14ac:dyDescent="0.2">
      <c r="A50" s="9" t="s">
        <v>1600</v>
      </c>
      <c r="C50" s="37">
        <v>10.7767</v>
      </c>
      <c r="D50" s="37">
        <v>10.2506</v>
      </c>
    </row>
    <row r="51" spans="1:5" x14ac:dyDescent="0.2">
      <c r="A51" s="9" t="s">
        <v>39</v>
      </c>
      <c r="C51" s="37">
        <v>11.385400000000001</v>
      </c>
      <c r="D51" s="37">
        <v>11.8576</v>
      </c>
    </row>
    <row r="53" spans="1:5" ht="10.5" x14ac:dyDescent="0.25">
      <c r="A53" s="15" t="s">
        <v>1882</v>
      </c>
    </row>
    <row r="54" spans="1:5" ht="10.5" x14ac:dyDescent="0.25">
      <c r="A54" s="90" t="s">
        <v>33</v>
      </c>
      <c r="B54" s="91"/>
      <c r="C54" s="92" t="s">
        <v>1883</v>
      </c>
      <c r="D54" s="93"/>
    </row>
    <row r="55" spans="1:5" ht="10.5" x14ac:dyDescent="0.25">
      <c r="A55" s="90"/>
      <c r="B55" s="91"/>
      <c r="C55" s="38" t="s">
        <v>34</v>
      </c>
      <c r="D55" s="39" t="s">
        <v>35</v>
      </c>
    </row>
    <row r="56" spans="1:5" x14ac:dyDescent="0.2">
      <c r="A56" s="96" t="s">
        <v>1600</v>
      </c>
      <c r="B56" s="97"/>
      <c r="C56" s="40">
        <v>0.69871301900000005</v>
      </c>
      <c r="D56" s="40">
        <v>0.64701173769999998</v>
      </c>
    </row>
    <row r="58" spans="1:5" ht="10.5" x14ac:dyDescent="0.25">
      <c r="A58" s="15" t="s">
        <v>882</v>
      </c>
      <c r="D58" s="11">
        <v>0.94268694770491801</v>
      </c>
      <c r="E58" s="11" t="s">
        <v>883</v>
      </c>
    </row>
    <row r="60" spans="1:5" ht="10.5" x14ac:dyDescent="0.25">
      <c r="A60" s="15" t="s">
        <v>884</v>
      </c>
      <c r="D60" s="41" t="s">
        <v>36</v>
      </c>
    </row>
  </sheetData>
  <mergeCells count="5">
    <mergeCell ref="A1:F1"/>
    <mergeCell ref="A54:B54"/>
    <mergeCell ref="C54:D54"/>
    <mergeCell ref="A55:B55"/>
    <mergeCell ref="A56:B56"/>
  </mergeCells>
  <conditionalFormatting sqref="F2 F4:F65536">
    <cfRule type="cellIs" dxfId="41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" style="9" bestFit="1" customWidth="1"/>
    <col min="3" max="3" width="15.453125" style="9" bestFit="1" customWidth="1"/>
    <col min="4" max="4" width="15.453125" style="10" bestFit="1" customWidth="1"/>
    <col min="5" max="5" width="12.26953125" style="11" customWidth="1"/>
    <col min="6" max="6" width="9.453125" style="14" customWidth="1"/>
    <col min="7" max="7" width="7.81640625" style="9" bestFit="1" customWidth="1"/>
    <col min="8" max="16384" width="9.1796875" style="9"/>
  </cols>
  <sheetData>
    <row r="1" spans="1:6" s="1" customFormat="1" ht="14" x14ac:dyDescent="0.25">
      <c r="A1" s="88" t="s">
        <v>1743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1722</v>
      </c>
      <c r="B6" s="24" t="s">
        <v>1723</v>
      </c>
      <c r="C6" s="24" t="s">
        <v>815</v>
      </c>
      <c r="D6" s="28">
        <v>107</v>
      </c>
      <c r="E6" s="26">
        <v>991.67172000000005</v>
      </c>
      <c r="F6" s="27">
        <v>9.8614683446042797</v>
      </c>
    </row>
    <row r="7" spans="1:6" x14ac:dyDescent="0.2">
      <c r="A7" s="24" t="s">
        <v>1741</v>
      </c>
      <c r="B7" s="24" t="s">
        <v>1742</v>
      </c>
      <c r="C7" s="24" t="s">
        <v>1328</v>
      </c>
      <c r="D7" s="28">
        <v>87</v>
      </c>
      <c r="E7" s="26">
        <v>875.78985</v>
      </c>
      <c r="F7" s="27">
        <v>8.7091057535660408</v>
      </c>
    </row>
    <row r="8" spans="1:6" x14ac:dyDescent="0.2">
      <c r="A8" s="24" t="s">
        <v>1214</v>
      </c>
      <c r="B8" s="24" t="s">
        <v>1215</v>
      </c>
      <c r="C8" s="24" t="s">
        <v>815</v>
      </c>
      <c r="D8" s="28">
        <v>84</v>
      </c>
      <c r="E8" s="26">
        <v>845.81952000000001</v>
      </c>
      <c r="F8" s="27">
        <v>8.4110721859935609</v>
      </c>
    </row>
    <row r="9" spans="1:6" x14ac:dyDescent="0.2">
      <c r="A9" s="24" t="s">
        <v>1717</v>
      </c>
      <c r="B9" s="24" t="s">
        <v>1718</v>
      </c>
      <c r="C9" s="24" t="s">
        <v>815</v>
      </c>
      <c r="D9" s="28">
        <v>83</v>
      </c>
      <c r="E9" s="26">
        <v>839.03704000000005</v>
      </c>
      <c r="F9" s="27">
        <v>8.34362525726808</v>
      </c>
    </row>
    <row r="10" spans="1:6" x14ac:dyDescent="0.2">
      <c r="A10" s="24" t="s">
        <v>1678</v>
      </c>
      <c r="B10" s="24" t="s">
        <v>1679</v>
      </c>
      <c r="C10" s="24" t="s">
        <v>815</v>
      </c>
      <c r="D10" s="28">
        <v>83</v>
      </c>
      <c r="E10" s="26">
        <v>836.03161</v>
      </c>
      <c r="F10" s="27">
        <v>8.3137383983316102</v>
      </c>
    </row>
    <row r="11" spans="1:6" x14ac:dyDescent="0.2">
      <c r="A11" s="24" t="s">
        <v>1744</v>
      </c>
      <c r="B11" s="24" t="s">
        <v>1745</v>
      </c>
      <c r="C11" s="24" t="s">
        <v>815</v>
      </c>
      <c r="D11" s="28">
        <v>80</v>
      </c>
      <c r="E11" s="26">
        <v>803.21519999999998</v>
      </c>
      <c r="F11" s="27">
        <v>7.9874025939803897</v>
      </c>
    </row>
    <row r="12" spans="1:6" x14ac:dyDescent="0.2">
      <c r="A12" s="24" t="s">
        <v>1731</v>
      </c>
      <c r="B12" s="24" t="s">
        <v>1732</v>
      </c>
      <c r="C12" s="24" t="s">
        <v>815</v>
      </c>
      <c r="D12" s="28">
        <v>62</v>
      </c>
      <c r="E12" s="26">
        <v>798.18799999999999</v>
      </c>
      <c r="F12" s="27">
        <v>7.9374106736077996</v>
      </c>
    </row>
    <row r="13" spans="1:6" x14ac:dyDescent="0.2">
      <c r="A13" s="24" t="s">
        <v>1727</v>
      </c>
      <c r="B13" s="24" t="s">
        <v>1728</v>
      </c>
      <c r="C13" s="24" t="s">
        <v>1328</v>
      </c>
      <c r="D13" s="28">
        <v>65</v>
      </c>
      <c r="E13" s="26">
        <v>658.72495000000004</v>
      </c>
      <c r="F13" s="27">
        <v>6.5505500572568902</v>
      </c>
    </row>
    <row r="14" spans="1:6" x14ac:dyDescent="0.2">
      <c r="A14" s="24" t="s">
        <v>1329</v>
      </c>
      <c r="B14" s="24" t="s">
        <v>1330</v>
      </c>
      <c r="C14" s="24" t="s">
        <v>815</v>
      </c>
      <c r="D14" s="28">
        <v>5</v>
      </c>
      <c r="E14" s="26">
        <v>508.49450000000002</v>
      </c>
      <c r="F14" s="27">
        <v>5.05661532342112</v>
      </c>
    </row>
    <row r="15" spans="1:6" x14ac:dyDescent="0.2">
      <c r="A15" s="24" t="s">
        <v>1711</v>
      </c>
      <c r="B15" s="24" t="s">
        <v>1712</v>
      </c>
      <c r="C15" s="24" t="s">
        <v>815</v>
      </c>
      <c r="D15" s="28">
        <v>40</v>
      </c>
      <c r="E15" s="26">
        <v>405.04680000000002</v>
      </c>
      <c r="F15" s="27">
        <v>4.0279016893647599</v>
      </c>
    </row>
    <row r="16" spans="1:6" x14ac:dyDescent="0.2">
      <c r="A16" s="24" t="s">
        <v>1729</v>
      </c>
      <c r="B16" s="24" t="s">
        <v>1730</v>
      </c>
      <c r="C16" s="24" t="s">
        <v>815</v>
      </c>
      <c r="D16" s="28">
        <v>13</v>
      </c>
      <c r="E16" s="26">
        <v>131.00126</v>
      </c>
      <c r="F16" s="27">
        <v>1.3027141467675201</v>
      </c>
    </row>
    <row r="17" spans="1:9" x14ac:dyDescent="0.2">
      <c r="A17" s="24" t="s">
        <v>1725</v>
      </c>
      <c r="B17" s="24" t="s">
        <v>1726</v>
      </c>
      <c r="C17" s="24" t="s">
        <v>815</v>
      </c>
      <c r="D17" s="28">
        <v>8</v>
      </c>
      <c r="E17" s="26">
        <v>80.93168</v>
      </c>
      <c r="F17" s="27">
        <v>0.80480786564695395</v>
      </c>
    </row>
    <row r="18" spans="1:9" x14ac:dyDescent="0.2">
      <c r="A18" s="24" t="s">
        <v>996</v>
      </c>
      <c r="B18" s="24" t="s">
        <v>997</v>
      </c>
      <c r="C18" s="24" t="s">
        <v>998</v>
      </c>
      <c r="D18" s="28">
        <v>6</v>
      </c>
      <c r="E18" s="26">
        <v>70.671539999999993</v>
      </c>
      <c r="F18" s="27">
        <v>0.70277808726302604</v>
      </c>
    </row>
    <row r="19" spans="1:9" x14ac:dyDescent="0.2">
      <c r="A19" s="24" t="s">
        <v>1709</v>
      </c>
      <c r="B19" s="24" t="s">
        <v>1710</v>
      </c>
      <c r="C19" s="24" t="s">
        <v>815</v>
      </c>
      <c r="D19" s="28">
        <v>5</v>
      </c>
      <c r="E19" s="26">
        <v>50.612250000000003</v>
      </c>
      <c r="F19" s="27">
        <v>0.50330274742956105</v>
      </c>
    </row>
    <row r="20" spans="1:9" x14ac:dyDescent="0.2">
      <c r="A20" s="24" t="s">
        <v>1700</v>
      </c>
      <c r="B20" s="24" t="s">
        <v>1701</v>
      </c>
      <c r="C20" s="24" t="s">
        <v>815</v>
      </c>
      <c r="D20" s="28">
        <v>3</v>
      </c>
      <c r="E20" s="26">
        <v>30.779789999999998</v>
      </c>
      <c r="F20" s="27">
        <v>0.306083070250876</v>
      </c>
    </row>
    <row r="21" spans="1:9" x14ac:dyDescent="0.2">
      <c r="A21" s="24" t="s">
        <v>994</v>
      </c>
      <c r="B21" s="24" t="s">
        <v>995</v>
      </c>
      <c r="C21" s="24" t="s">
        <v>815</v>
      </c>
      <c r="D21" s="28">
        <v>3</v>
      </c>
      <c r="E21" s="26">
        <v>30.213270000000001</v>
      </c>
      <c r="F21" s="27">
        <v>0.30044943269329299</v>
      </c>
    </row>
    <row r="22" spans="1:9" x14ac:dyDescent="0.2">
      <c r="A22" s="24" t="s">
        <v>1736</v>
      </c>
      <c r="B22" s="24" t="s">
        <v>1737</v>
      </c>
      <c r="C22" s="24" t="s">
        <v>815</v>
      </c>
      <c r="D22" s="28">
        <v>3</v>
      </c>
      <c r="E22" s="26">
        <v>30.068549999999998</v>
      </c>
      <c r="F22" s="27">
        <v>0.29901029545659602</v>
      </c>
    </row>
    <row r="23" spans="1:9" x14ac:dyDescent="0.2">
      <c r="A23" s="24" t="s">
        <v>1676</v>
      </c>
      <c r="B23" s="24" t="s">
        <v>1677</v>
      </c>
      <c r="C23" s="24" t="s">
        <v>815</v>
      </c>
      <c r="D23" s="28">
        <v>1</v>
      </c>
      <c r="E23" s="26">
        <v>11.91394</v>
      </c>
      <c r="F23" s="27">
        <v>0.118475640476583</v>
      </c>
    </row>
    <row r="24" spans="1:9" x14ac:dyDescent="0.2">
      <c r="A24" s="24" t="s">
        <v>1436</v>
      </c>
      <c r="B24" s="24" t="s">
        <v>1437</v>
      </c>
      <c r="C24" s="24" t="s">
        <v>815</v>
      </c>
      <c r="D24" s="28">
        <v>1</v>
      </c>
      <c r="E24" s="26">
        <v>10.16858</v>
      </c>
      <c r="F24" s="27">
        <v>0.10111927945225301</v>
      </c>
    </row>
    <row r="25" spans="1:9" ht="10.5" x14ac:dyDescent="0.25">
      <c r="A25" s="23" t="s">
        <v>24</v>
      </c>
      <c r="B25" s="23"/>
      <c r="C25" s="23"/>
      <c r="D25" s="29"/>
      <c r="E25" s="30">
        <f>SUM(E5:E24)</f>
        <v>8008.3800499999988</v>
      </c>
      <c r="F25" s="31">
        <f>SUM(F5:F24)</f>
        <v>79.637630842831172</v>
      </c>
      <c r="G25" s="15"/>
      <c r="H25" s="15"/>
      <c r="I25" s="15"/>
    </row>
    <row r="26" spans="1:9" x14ac:dyDescent="0.2">
      <c r="A26" s="24"/>
      <c r="B26" s="24"/>
      <c r="C26" s="24"/>
      <c r="D26" s="25"/>
      <c r="E26" s="26"/>
      <c r="F26" s="27"/>
    </row>
    <row r="27" spans="1:9" ht="10.5" x14ac:dyDescent="0.25">
      <c r="A27" s="23" t="s">
        <v>818</v>
      </c>
      <c r="B27" s="24"/>
      <c r="C27" s="24"/>
      <c r="D27" s="25"/>
      <c r="E27" s="26"/>
      <c r="F27" s="27"/>
    </row>
    <row r="28" spans="1:9" x14ac:dyDescent="0.2">
      <c r="A28" s="24" t="s">
        <v>1706</v>
      </c>
      <c r="B28" s="24" t="s">
        <v>1707</v>
      </c>
      <c r="C28" s="24" t="s">
        <v>1278</v>
      </c>
      <c r="D28" s="28">
        <v>82</v>
      </c>
      <c r="E28" s="26">
        <v>826.37139999999999</v>
      </c>
      <c r="F28" s="27">
        <v>8.2176744961390291</v>
      </c>
    </row>
    <row r="29" spans="1:9" x14ac:dyDescent="0.2">
      <c r="A29" s="24" t="s">
        <v>1733</v>
      </c>
      <c r="B29" s="24" t="s">
        <v>1734</v>
      </c>
      <c r="C29" s="24" t="s">
        <v>815</v>
      </c>
      <c r="D29" s="28">
        <v>49</v>
      </c>
      <c r="E29" s="26">
        <v>491.98597000000001</v>
      </c>
      <c r="F29" s="27">
        <v>4.8924497606369499</v>
      </c>
    </row>
    <row r="30" spans="1:9" x14ac:dyDescent="0.2">
      <c r="A30" s="24" t="s">
        <v>1444</v>
      </c>
      <c r="B30" s="24" t="s">
        <v>1445</v>
      </c>
      <c r="C30" s="24" t="s">
        <v>815</v>
      </c>
      <c r="D30" s="28">
        <v>27</v>
      </c>
      <c r="E30" s="26">
        <v>270.68202000000002</v>
      </c>
      <c r="F30" s="27">
        <v>2.6917397338743698</v>
      </c>
    </row>
    <row r="31" spans="1:9" ht="10.5" x14ac:dyDescent="0.25">
      <c r="A31" s="23" t="s">
        <v>24</v>
      </c>
      <c r="B31" s="23"/>
      <c r="C31" s="23"/>
      <c r="D31" s="29"/>
      <c r="E31" s="30">
        <f>SUM(E27:E30)</f>
        <v>1589.0393899999999</v>
      </c>
      <c r="F31" s="31">
        <f>SUM(F27:F30)</f>
        <v>15.801863990650348</v>
      </c>
      <c r="G31" s="15"/>
      <c r="H31" s="15"/>
      <c r="I31" s="15"/>
    </row>
    <row r="32" spans="1:9" x14ac:dyDescent="0.2">
      <c r="A32" s="24"/>
      <c r="B32" s="24"/>
      <c r="C32" s="24"/>
      <c r="D32" s="25"/>
      <c r="E32" s="26"/>
      <c r="F32" s="27"/>
    </row>
    <row r="33" spans="1:9" ht="10.5" x14ac:dyDescent="0.25">
      <c r="A33" s="23" t="s">
        <v>861</v>
      </c>
      <c r="B33" s="24"/>
      <c r="C33" s="24"/>
      <c r="D33" s="25"/>
      <c r="E33" s="26"/>
      <c r="F33" s="27"/>
    </row>
    <row r="34" spans="1:9" ht="10.5" x14ac:dyDescent="0.25">
      <c r="A34" s="23" t="s">
        <v>1106</v>
      </c>
      <c r="B34" s="24"/>
      <c r="C34" s="24"/>
      <c r="D34" s="25"/>
      <c r="E34" s="26"/>
      <c r="F34" s="27"/>
    </row>
    <row r="35" spans="1:9" x14ac:dyDescent="0.2">
      <c r="A35" s="24" t="s">
        <v>1129</v>
      </c>
      <c r="B35" s="24" t="s">
        <v>1130</v>
      </c>
      <c r="C35" s="24" t="s">
        <v>1114</v>
      </c>
      <c r="D35" s="28">
        <v>30</v>
      </c>
      <c r="E35" s="26">
        <v>28.508430000000001</v>
      </c>
      <c r="F35" s="27">
        <v>0.28349601418437897</v>
      </c>
    </row>
    <row r="36" spans="1:9" ht="10.5" x14ac:dyDescent="0.25">
      <c r="A36" s="23" t="s">
        <v>24</v>
      </c>
      <c r="B36" s="23"/>
      <c r="C36" s="23"/>
      <c r="D36" s="29"/>
      <c r="E36" s="30">
        <f>SUM(E34:E35)</f>
        <v>28.508430000000001</v>
      </c>
      <c r="F36" s="31">
        <f>SUM(F34:F35)</f>
        <v>0.28349601418437897</v>
      </c>
      <c r="G36" s="15"/>
      <c r="H36" s="15"/>
      <c r="I36" s="15"/>
    </row>
    <row r="37" spans="1:9" x14ac:dyDescent="0.2">
      <c r="A37" s="24"/>
      <c r="B37" s="24"/>
      <c r="C37" s="24"/>
      <c r="D37" s="25"/>
      <c r="E37" s="26"/>
      <c r="F37" s="27"/>
    </row>
    <row r="38" spans="1:9" ht="10.5" x14ac:dyDescent="0.25">
      <c r="A38" s="23" t="s">
        <v>862</v>
      </c>
      <c r="B38" s="24"/>
      <c r="C38" s="24"/>
      <c r="D38" s="25"/>
      <c r="E38" s="26"/>
      <c r="F38" s="27"/>
    </row>
    <row r="39" spans="1:9" x14ac:dyDescent="0.2">
      <c r="A39" s="24" t="s">
        <v>1172</v>
      </c>
      <c r="B39" s="24" t="s">
        <v>1173</v>
      </c>
      <c r="C39" s="24" t="s">
        <v>1165</v>
      </c>
      <c r="D39" s="28">
        <v>37</v>
      </c>
      <c r="E39" s="26">
        <v>175.496735</v>
      </c>
      <c r="F39" s="27">
        <v>1.7451899271503899</v>
      </c>
    </row>
    <row r="40" spans="1:9" ht="10.5" x14ac:dyDescent="0.25">
      <c r="A40" s="23" t="s">
        <v>24</v>
      </c>
      <c r="B40" s="23"/>
      <c r="C40" s="23"/>
      <c r="D40" s="29"/>
      <c r="E40" s="30">
        <f>SUM(E38:E39)</f>
        <v>175.496735</v>
      </c>
      <c r="F40" s="31">
        <f>SUM(F38:F39)</f>
        <v>1.7451899271503899</v>
      </c>
      <c r="G40" s="15"/>
      <c r="H40" s="15"/>
      <c r="I40" s="15"/>
    </row>
    <row r="41" spans="1:9" x14ac:dyDescent="0.2">
      <c r="A41" s="24"/>
      <c r="B41" s="24"/>
      <c r="C41" s="24"/>
      <c r="D41" s="25"/>
      <c r="E41" s="26"/>
      <c r="F41" s="27"/>
    </row>
    <row r="42" spans="1:9" ht="10.5" x14ac:dyDescent="0.25">
      <c r="A42" s="23" t="s">
        <v>25</v>
      </c>
      <c r="B42" s="23"/>
      <c r="C42" s="23"/>
      <c r="D42" s="29"/>
      <c r="E42" s="30">
        <f>E25+E31+E36+E40</f>
        <v>9801.4246049999983</v>
      </c>
      <c r="F42" s="31">
        <f>F25+F31+F36+F40</f>
        <v>97.46818077481629</v>
      </c>
      <c r="G42" s="15"/>
      <c r="H42" s="15"/>
      <c r="I42" s="15"/>
    </row>
    <row r="43" spans="1:9" ht="10.5" x14ac:dyDescent="0.25">
      <c r="A43" s="23"/>
      <c r="B43" s="23"/>
      <c r="C43" s="23"/>
      <c r="D43" s="29"/>
      <c r="E43" s="30"/>
      <c r="F43" s="31"/>
      <c r="G43" s="15"/>
      <c r="H43" s="15"/>
      <c r="I43" s="15"/>
    </row>
    <row r="44" spans="1:9" ht="10.5" x14ac:dyDescent="0.25">
      <c r="A44" s="23" t="s">
        <v>27</v>
      </c>
      <c r="B44" s="23"/>
      <c r="C44" s="23"/>
      <c r="D44" s="29"/>
      <c r="E44" s="30">
        <f>E46-(E25+E31+E36+E40)</f>
        <v>254.600373700001</v>
      </c>
      <c r="F44" s="31">
        <f>F46-(F25+F31+F36+F40)</f>
        <v>2.5318192251837104</v>
      </c>
      <c r="G44" s="15"/>
      <c r="H44" s="15"/>
      <c r="I44" s="15"/>
    </row>
    <row r="45" spans="1:9" ht="10.5" x14ac:dyDescent="0.25">
      <c r="A45" s="23"/>
      <c r="B45" s="23"/>
      <c r="C45" s="23"/>
      <c r="D45" s="29"/>
      <c r="E45" s="30"/>
      <c r="F45" s="31"/>
      <c r="G45" s="15"/>
      <c r="H45" s="15"/>
      <c r="I45" s="15"/>
    </row>
    <row r="46" spans="1:9" ht="10.5" x14ac:dyDescent="0.25">
      <c r="A46" s="32" t="s">
        <v>26</v>
      </c>
      <c r="B46" s="32"/>
      <c r="C46" s="32"/>
      <c r="D46" s="33"/>
      <c r="E46" s="34">
        <v>10056.024978699999</v>
      </c>
      <c r="F46" s="35">
        <v>100</v>
      </c>
      <c r="G46" s="15"/>
      <c r="H46" s="15"/>
      <c r="I46" s="15"/>
    </row>
    <row r="47" spans="1:9" ht="10.5" x14ac:dyDescent="0.25">
      <c r="A47" s="15" t="s">
        <v>871</v>
      </c>
    </row>
    <row r="48" spans="1:9" ht="10.5" x14ac:dyDescent="0.25">
      <c r="A48" s="15" t="s">
        <v>872</v>
      </c>
    </row>
    <row r="50" spans="1:4" ht="10.5" x14ac:dyDescent="0.25">
      <c r="A50" s="15" t="s">
        <v>28</v>
      </c>
    </row>
    <row r="51" spans="1:4" ht="10.5" x14ac:dyDescent="0.25">
      <c r="A51" s="15" t="s">
        <v>29</v>
      </c>
    </row>
    <row r="52" spans="1:4" ht="10.5" x14ac:dyDescent="0.25">
      <c r="A52" s="15" t="s">
        <v>30</v>
      </c>
      <c r="B52" s="15"/>
      <c r="C52" s="36" t="s">
        <v>32</v>
      </c>
      <c r="D52" s="16" t="s">
        <v>31</v>
      </c>
    </row>
    <row r="53" spans="1:4" x14ac:dyDescent="0.2">
      <c r="A53" s="9" t="s">
        <v>38</v>
      </c>
      <c r="C53" s="37">
        <v>11.375400000000001</v>
      </c>
      <c r="D53" s="37">
        <v>11.837</v>
      </c>
    </row>
    <row r="54" spans="1:4" x14ac:dyDescent="0.2">
      <c r="A54" s="9" t="s">
        <v>1600</v>
      </c>
      <c r="C54" s="37">
        <v>10.7964</v>
      </c>
      <c r="D54" s="37">
        <v>10.311199999999999</v>
      </c>
    </row>
    <row r="55" spans="1:4" x14ac:dyDescent="0.2">
      <c r="A55" s="9" t="s">
        <v>1219</v>
      </c>
      <c r="C55" s="37">
        <v>10.265599999999999</v>
      </c>
      <c r="D55" s="37">
        <v>10.303100000000001</v>
      </c>
    </row>
    <row r="56" spans="1:4" x14ac:dyDescent="0.2">
      <c r="A56" s="9" t="s">
        <v>39</v>
      </c>
      <c r="C56" s="37">
        <v>11.432399999999999</v>
      </c>
      <c r="D56" s="37">
        <v>11.8963</v>
      </c>
    </row>
    <row r="57" spans="1:4" x14ac:dyDescent="0.2">
      <c r="A57" s="9" t="s">
        <v>41</v>
      </c>
      <c r="C57" s="37">
        <v>10.853400000000001</v>
      </c>
      <c r="D57" s="37">
        <v>10.3706</v>
      </c>
    </row>
    <row r="59" spans="1:4" ht="10.5" x14ac:dyDescent="0.25">
      <c r="A59" s="15" t="s">
        <v>1882</v>
      </c>
    </row>
    <row r="60" spans="1:4" ht="10.5" x14ac:dyDescent="0.25">
      <c r="A60" s="90" t="s">
        <v>33</v>
      </c>
      <c r="B60" s="91"/>
      <c r="C60" s="92" t="s">
        <v>1883</v>
      </c>
      <c r="D60" s="93"/>
    </row>
    <row r="61" spans="1:4" ht="10.5" x14ac:dyDescent="0.25">
      <c r="A61" s="90"/>
      <c r="B61" s="91"/>
      <c r="C61" s="38" t="s">
        <v>34</v>
      </c>
      <c r="D61" s="39" t="s">
        <v>35</v>
      </c>
    </row>
    <row r="62" spans="1:4" x14ac:dyDescent="0.2">
      <c r="A62" s="96" t="s">
        <v>1600</v>
      </c>
      <c r="B62" s="97"/>
      <c r="C62" s="40">
        <v>0.65549365699999995</v>
      </c>
      <c r="D62" s="40">
        <v>0.60699039310000003</v>
      </c>
    </row>
    <row r="63" spans="1:4" x14ac:dyDescent="0.2">
      <c r="A63" s="96" t="s">
        <v>1219</v>
      </c>
      <c r="B63" s="97"/>
      <c r="C63" s="40">
        <v>0.26651939899999999</v>
      </c>
      <c r="D63" s="40">
        <v>0.24679829170000001</v>
      </c>
    </row>
    <row r="64" spans="1:4" x14ac:dyDescent="0.2">
      <c r="A64" s="96" t="s">
        <v>41</v>
      </c>
      <c r="B64" s="97"/>
      <c r="C64" s="40">
        <v>0.65549365699999995</v>
      </c>
      <c r="D64" s="40">
        <v>0.60699039310000003</v>
      </c>
    </row>
    <row r="66" spans="1:5" ht="10.5" x14ac:dyDescent="0.25">
      <c r="A66" s="15" t="s">
        <v>882</v>
      </c>
      <c r="D66" s="11">
        <v>0.88474550387978201</v>
      </c>
      <c r="E66" s="11" t="s">
        <v>883</v>
      </c>
    </row>
    <row r="68" spans="1:5" ht="10.5" x14ac:dyDescent="0.25">
      <c r="A68" s="15" t="s">
        <v>884</v>
      </c>
      <c r="D68" s="41" t="s">
        <v>36</v>
      </c>
    </row>
  </sheetData>
  <mergeCells count="7">
    <mergeCell ref="A64:B64"/>
    <mergeCell ref="A1:F1"/>
    <mergeCell ref="A60:B60"/>
    <mergeCell ref="C60:D60"/>
    <mergeCell ref="A61:B61"/>
    <mergeCell ref="A62:B62"/>
    <mergeCell ref="A63:B63"/>
  </mergeCells>
  <conditionalFormatting sqref="F2 F4:F65536">
    <cfRule type="cellIs" dxfId="4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3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" style="9" bestFit="1" customWidth="1"/>
    <col min="3" max="3" width="15.453125" style="9" bestFit="1" customWidth="1"/>
    <col min="4" max="4" width="15.453125" style="10" bestFit="1" customWidth="1"/>
    <col min="5" max="5" width="13.26953125" style="11" customWidth="1"/>
    <col min="6" max="6" width="11" style="14" customWidth="1"/>
    <col min="7" max="7" width="7.7265625" style="9" bestFit="1" customWidth="1"/>
    <col min="8" max="16384" width="9.1796875" style="9"/>
  </cols>
  <sheetData>
    <row r="1" spans="1:6" s="1" customFormat="1" ht="14" x14ac:dyDescent="0.25">
      <c r="A1" s="88" t="s">
        <v>1746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36.75" customHeight="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1711</v>
      </c>
      <c r="B6" s="24" t="s">
        <v>1712</v>
      </c>
      <c r="C6" s="24" t="s">
        <v>815</v>
      </c>
      <c r="D6" s="28">
        <v>113</v>
      </c>
      <c r="E6" s="26">
        <v>1144.25721</v>
      </c>
      <c r="F6" s="27">
        <v>9.4531888735737297</v>
      </c>
    </row>
    <row r="7" spans="1:6" x14ac:dyDescent="0.2">
      <c r="A7" s="24" t="s">
        <v>1741</v>
      </c>
      <c r="B7" s="24" t="s">
        <v>1742</v>
      </c>
      <c r="C7" s="24" t="s">
        <v>1328</v>
      </c>
      <c r="D7" s="28">
        <v>106</v>
      </c>
      <c r="E7" s="26">
        <v>1067.0543</v>
      </c>
      <c r="F7" s="27">
        <v>8.8153832443485296</v>
      </c>
    </row>
    <row r="8" spans="1:6" x14ac:dyDescent="0.2">
      <c r="A8" s="24" t="s">
        <v>1492</v>
      </c>
      <c r="B8" s="24" t="s">
        <v>1493</v>
      </c>
      <c r="C8" s="24" t="s">
        <v>815</v>
      </c>
      <c r="D8" s="28">
        <v>99</v>
      </c>
      <c r="E8" s="26">
        <v>1012.6908</v>
      </c>
      <c r="F8" s="27">
        <v>8.3662635631812794</v>
      </c>
    </row>
    <row r="9" spans="1:6" x14ac:dyDescent="0.2">
      <c r="A9" s="24" t="s">
        <v>1214</v>
      </c>
      <c r="B9" s="24" t="s">
        <v>1215</v>
      </c>
      <c r="C9" s="24" t="s">
        <v>815</v>
      </c>
      <c r="D9" s="28">
        <v>100</v>
      </c>
      <c r="E9" s="26">
        <v>1006.928</v>
      </c>
      <c r="F9" s="27">
        <v>8.3186546546557008</v>
      </c>
    </row>
    <row r="10" spans="1:6" x14ac:dyDescent="0.2">
      <c r="A10" s="24" t="s">
        <v>1747</v>
      </c>
      <c r="B10" s="24" t="s">
        <v>1748</v>
      </c>
      <c r="C10" s="24" t="s">
        <v>1328</v>
      </c>
      <c r="D10" s="28">
        <v>100</v>
      </c>
      <c r="E10" s="26">
        <v>997.06399999999996</v>
      </c>
      <c r="F10" s="27">
        <v>8.2371640123123306</v>
      </c>
    </row>
    <row r="11" spans="1:6" x14ac:dyDescent="0.2">
      <c r="A11" s="24" t="s">
        <v>1700</v>
      </c>
      <c r="B11" s="24" t="s">
        <v>1701</v>
      </c>
      <c r="C11" s="24" t="s">
        <v>815</v>
      </c>
      <c r="D11" s="28">
        <v>97</v>
      </c>
      <c r="E11" s="26">
        <v>995.21321</v>
      </c>
      <c r="F11" s="27">
        <v>8.2218738596417396</v>
      </c>
    </row>
    <row r="12" spans="1:6" x14ac:dyDescent="0.2">
      <c r="A12" s="24" t="s">
        <v>1717</v>
      </c>
      <c r="B12" s="24" t="s">
        <v>1718</v>
      </c>
      <c r="C12" s="24" t="s">
        <v>815</v>
      </c>
      <c r="D12" s="28">
        <v>73</v>
      </c>
      <c r="E12" s="26">
        <v>737.94824000000006</v>
      </c>
      <c r="F12" s="27">
        <v>6.0965000095051298</v>
      </c>
    </row>
    <row r="13" spans="1:6" x14ac:dyDescent="0.2">
      <c r="A13" s="24" t="s">
        <v>1329</v>
      </c>
      <c r="B13" s="24" t="s">
        <v>1330</v>
      </c>
      <c r="C13" s="24" t="s">
        <v>815</v>
      </c>
      <c r="D13" s="28">
        <v>5</v>
      </c>
      <c r="E13" s="26">
        <v>508.49450000000002</v>
      </c>
      <c r="F13" s="27">
        <v>4.2008863983242302</v>
      </c>
    </row>
    <row r="14" spans="1:6" x14ac:dyDescent="0.2">
      <c r="A14" s="24" t="s">
        <v>1749</v>
      </c>
      <c r="B14" s="24" t="s">
        <v>1750</v>
      </c>
      <c r="C14" s="24" t="s">
        <v>1328</v>
      </c>
      <c r="D14" s="28">
        <v>50</v>
      </c>
      <c r="E14" s="26">
        <v>507.57600000000002</v>
      </c>
      <c r="F14" s="27">
        <v>4.1932982844766702</v>
      </c>
    </row>
    <row r="15" spans="1:6" x14ac:dyDescent="0.2">
      <c r="A15" s="24" t="s">
        <v>1704</v>
      </c>
      <c r="B15" s="24" t="s">
        <v>1705</v>
      </c>
      <c r="C15" s="24" t="s">
        <v>815</v>
      </c>
      <c r="D15" s="28">
        <v>49</v>
      </c>
      <c r="E15" s="26">
        <v>495.28073000000001</v>
      </c>
      <c r="F15" s="27">
        <v>4.0917219006480803</v>
      </c>
    </row>
    <row r="16" spans="1:6" x14ac:dyDescent="0.2">
      <c r="A16" s="24" t="s">
        <v>1736</v>
      </c>
      <c r="B16" s="24" t="s">
        <v>1737</v>
      </c>
      <c r="C16" s="24" t="s">
        <v>815</v>
      </c>
      <c r="D16" s="28">
        <v>46</v>
      </c>
      <c r="E16" s="26">
        <v>461.05110000000002</v>
      </c>
      <c r="F16" s="27">
        <v>3.80893656651631</v>
      </c>
    </row>
    <row r="17" spans="1:9" x14ac:dyDescent="0.2">
      <c r="A17" s="24" t="s">
        <v>996</v>
      </c>
      <c r="B17" s="24" t="s">
        <v>997</v>
      </c>
      <c r="C17" s="24" t="s">
        <v>998</v>
      </c>
      <c r="D17" s="28">
        <v>24</v>
      </c>
      <c r="E17" s="26">
        <v>282.68615999999997</v>
      </c>
      <c r="F17" s="27">
        <v>2.33538896593475</v>
      </c>
    </row>
    <row r="18" spans="1:9" x14ac:dyDescent="0.2">
      <c r="A18" s="24" t="s">
        <v>1722</v>
      </c>
      <c r="B18" s="24" t="s">
        <v>1723</v>
      </c>
      <c r="C18" s="24" t="s">
        <v>815</v>
      </c>
      <c r="D18" s="28">
        <v>18</v>
      </c>
      <c r="E18" s="26">
        <v>166.82328000000001</v>
      </c>
      <c r="F18" s="27">
        <v>1.3781971051325701</v>
      </c>
    </row>
    <row r="19" spans="1:9" x14ac:dyDescent="0.2">
      <c r="A19" s="24" t="s">
        <v>1436</v>
      </c>
      <c r="B19" s="24" t="s">
        <v>1437</v>
      </c>
      <c r="C19" s="24" t="s">
        <v>815</v>
      </c>
      <c r="D19" s="28">
        <v>9</v>
      </c>
      <c r="E19" s="26">
        <v>91.517219999999995</v>
      </c>
      <c r="F19" s="27">
        <v>0.75606214956198403</v>
      </c>
    </row>
    <row r="20" spans="1:9" x14ac:dyDescent="0.2">
      <c r="A20" s="24" t="s">
        <v>1702</v>
      </c>
      <c r="B20" s="24" t="s">
        <v>1703</v>
      </c>
      <c r="C20" s="24" t="s">
        <v>815</v>
      </c>
      <c r="D20" s="28">
        <v>6</v>
      </c>
      <c r="E20" s="26">
        <v>70.930440000000004</v>
      </c>
      <c r="F20" s="27">
        <v>0.58598612300261499</v>
      </c>
    </row>
    <row r="21" spans="1:9" x14ac:dyDescent="0.2">
      <c r="A21" s="24" t="s">
        <v>1401</v>
      </c>
      <c r="B21" s="24" t="s">
        <v>1402</v>
      </c>
      <c r="C21" s="24" t="s">
        <v>1328</v>
      </c>
      <c r="D21" s="28">
        <v>3</v>
      </c>
      <c r="E21" s="26">
        <v>35.358539999999998</v>
      </c>
      <c r="F21" s="27">
        <v>0.29211173326477102</v>
      </c>
    </row>
    <row r="22" spans="1:9" x14ac:dyDescent="0.2">
      <c r="A22" s="24" t="s">
        <v>994</v>
      </c>
      <c r="B22" s="24" t="s">
        <v>995</v>
      </c>
      <c r="C22" s="24" t="s">
        <v>815</v>
      </c>
      <c r="D22" s="28">
        <v>3</v>
      </c>
      <c r="E22" s="26">
        <v>30.213270000000001</v>
      </c>
      <c r="F22" s="27">
        <v>0.24960449914777399</v>
      </c>
    </row>
    <row r="23" spans="1:9" ht="10.5" x14ac:dyDescent="0.25">
      <c r="A23" s="23" t="s">
        <v>24</v>
      </c>
      <c r="B23" s="23"/>
      <c r="C23" s="23"/>
      <c r="D23" s="29"/>
      <c r="E23" s="30">
        <f>SUM(E5:E22)</f>
        <v>9611.0869999999995</v>
      </c>
      <c r="F23" s="31">
        <f>SUM(F5:F22)</f>
        <v>79.401221943228208</v>
      </c>
      <c r="G23" s="15"/>
      <c r="H23" s="15"/>
      <c r="I23" s="15"/>
    </row>
    <row r="24" spans="1:9" x14ac:dyDescent="0.2">
      <c r="A24" s="24"/>
      <c r="B24" s="24"/>
      <c r="C24" s="24"/>
      <c r="D24" s="25"/>
      <c r="E24" s="26"/>
      <c r="F24" s="27"/>
    </row>
    <row r="25" spans="1:9" ht="10.5" x14ac:dyDescent="0.25">
      <c r="A25" s="23" t="s">
        <v>818</v>
      </c>
      <c r="B25" s="24"/>
      <c r="C25" s="24"/>
      <c r="D25" s="25"/>
      <c r="E25" s="26"/>
      <c r="F25" s="27"/>
    </row>
    <row r="26" spans="1:9" x14ac:dyDescent="0.2">
      <c r="A26" s="24" t="s">
        <v>1751</v>
      </c>
      <c r="B26" s="24" t="s">
        <v>1752</v>
      </c>
      <c r="C26" s="24" t="s">
        <v>815</v>
      </c>
      <c r="D26" s="28">
        <v>100</v>
      </c>
      <c r="E26" s="26">
        <v>998.15599999999995</v>
      </c>
      <c r="F26" s="27">
        <v>8.2461854824501</v>
      </c>
    </row>
    <row r="27" spans="1:9" x14ac:dyDescent="0.2">
      <c r="A27" s="24" t="s">
        <v>1444</v>
      </c>
      <c r="B27" s="24" t="s">
        <v>1445</v>
      </c>
      <c r="C27" s="24" t="s">
        <v>815</v>
      </c>
      <c r="D27" s="28">
        <v>56</v>
      </c>
      <c r="E27" s="26">
        <v>561.41456000000005</v>
      </c>
      <c r="F27" s="27">
        <v>4.6380812160705496</v>
      </c>
    </row>
    <row r="28" spans="1:9" ht="10.5" x14ac:dyDescent="0.25">
      <c r="A28" s="23" t="s">
        <v>24</v>
      </c>
      <c r="B28" s="23"/>
      <c r="C28" s="23"/>
      <c r="D28" s="29"/>
      <c r="E28" s="30">
        <f>SUM(E25:E27)</f>
        <v>1559.5705600000001</v>
      </c>
      <c r="F28" s="31">
        <f>SUM(F25:F27)</f>
        <v>12.88426669852065</v>
      </c>
      <c r="G28" s="15"/>
      <c r="H28" s="15"/>
      <c r="I28" s="15"/>
    </row>
    <row r="29" spans="1:9" x14ac:dyDescent="0.2">
      <c r="A29" s="24"/>
      <c r="B29" s="24"/>
      <c r="C29" s="24"/>
      <c r="D29" s="25"/>
      <c r="E29" s="26"/>
      <c r="F29" s="27"/>
    </row>
    <row r="30" spans="1:9" ht="10.5" x14ac:dyDescent="0.25">
      <c r="A30" s="23" t="s">
        <v>861</v>
      </c>
      <c r="B30" s="24"/>
      <c r="C30" s="24"/>
      <c r="D30" s="25"/>
      <c r="E30" s="26"/>
      <c r="F30" s="27"/>
    </row>
    <row r="31" spans="1:9" ht="10.5" x14ac:dyDescent="0.25">
      <c r="A31" s="23" t="s">
        <v>1106</v>
      </c>
      <c r="B31" s="24"/>
      <c r="C31" s="24"/>
      <c r="D31" s="25"/>
      <c r="E31" s="26"/>
      <c r="F31" s="27"/>
    </row>
    <row r="32" spans="1:9" x14ac:dyDescent="0.2">
      <c r="A32" s="24" t="s">
        <v>1129</v>
      </c>
      <c r="B32" s="24" t="s">
        <v>1130</v>
      </c>
      <c r="C32" s="24" t="s">
        <v>1114</v>
      </c>
      <c r="D32" s="28">
        <v>222</v>
      </c>
      <c r="E32" s="26">
        <v>210.96238199999999</v>
      </c>
      <c r="F32" s="27">
        <v>1.74284874487705</v>
      </c>
    </row>
    <row r="33" spans="1:9" ht="10.5" x14ac:dyDescent="0.25">
      <c r="A33" s="23" t="s">
        <v>24</v>
      </c>
      <c r="B33" s="23"/>
      <c r="C33" s="23"/>
      <c r="D33" s="29"/>
      <c r="E33" s="30">
        <f>SUM(E31:E32)</f>
        <v>210.96238199999999</v>
      </c>
      <c r="F33" s="31">
        <f>SUM(F31:F32)</f>
        <v>1.74284874487705</v>
      </c>
      <c r="G33" s="15"/>
      <c r="H33" s="15"/>
      <c r="I33" s="15"/>
    </row>
    <row r="34" spans="1:9" x14ac:dyDescent="0.2">
      <c r="A34" s="24"/>
      <c r="B34" s="24"/>
      <c r="C34" s="24"/>
      <c r="D34" s="25"/>
      <c r="E34" s="26"/>
      <c r="F34" s="27"/>
    </row>
    <row r="35" spans="1:9" ht="10.5" x14ac:dyDescent="0.25">
      <c r="A35" s="23" t="s">
        <v>862</v>
      </c>
      <c r="B35" s="24"/>
      <c r="C35" s="24"/>
      <c r="D35" s="25"/>
      <c r="E35" s="26"/>
      <c r="F35" s="27"/>
    </row>
    <row r="36" spans="1:9" x14ac:dyDescent="0.2">
      <c r="A36" s="24" t="s">
        <v>1172</v>
      </c>
      <c r="B36" s="24" t="s">
        <v>1173</v>
      </c>
      <c r="C36" s="24" t="s">
        <v>1165</v>
      </c>
      <c r="D36" s="28">
        <v>77</v>
      </c>
      <c r="E36" s="26">
        <v>365.22293500000001</v>
      </c>
      <c r="F36" s="27">
        <v>3.0172598916951001</v>
      </c>
    </row>
    <row r="37" spans="1:9" ht="10.5" x14ac:dyDescent="0.25">
      <c r="A37" s="23" t="s">
        <v>24</v>
      </c>
      <c r="B37" s="23"/>
      <c r="C37" s="23"/>
      <c r="D37" s="29"/>
      <c r="E37" s="30">
        <f>SUM(E35:E36)</f>
        <v>365.22293500000001</v>
      </c>
      <c r="F37" s="31">
        <f>SUM(F35:F36)</f>
        <v>3.0172598916951001</v>
      </c>
      <c r="G37" s="15"/>
      <c r="H37" s="15"/>
      <c r="I37" s="15"/>
    </row>
    <row r="38" spans="1:9" x14ac:dyDescent="0.2">
      <c r="A38" s="24"/>
      <c r="B38" s="24"/>
      <c r="C38" s="24"/>
      <c r="D38" s="25"/>
      <c r="E38" s="26"/>
      <c r="F38" s="27"/>
    </row>
    <row r="39" spans="1:9" ht="10.5" x14ac:dyDescent="0.25">
      <c r="A39" s="23" t="s">
        <v>25</v>
      </c>
      <c r="B39" s="23"/>
      <c r="C39" s="23"/>
      <c r="D39" s="29"/>
      <c r="E39" s="30">
        <f>E23+E28+E33+E37</f>
        <v>11746.842876999999</v>
      </c>
      <c r="F39" s="31">
        <f>F23+F28+F33+F37</f>
        <v>97.045597278321011</v>
      </c>
      <c r="G39" s="15"/>
      <c r="H39" s="15"/>
      <c r="I39" s="15"/>
    </row>
    <row r="40" spans="1:9" ht="10.5" x14ac:dyDescent="0.25">
      <c r="A40" s="23"/>
      <c r="B40" s="23"/>
      <c r="C40" s="23"/>
      <c r="D40" s="29"/>
      <c r="E40" s="30"/>
      <c r="F40" s="31"/>
      <c r="G40" s="15"/>
      <c r="H40" s="15"/>
      <c r="I40" s="15"/>
    </row>
    <row r="41" spans="1:9" ht="10.5" x14ac:dyDescent="0.25">
      <c r="A41" s="23" t="s">
        <v>27</v>
      </c>
      <c r="B41" s="23"/>
      <c r="C41" s="23"/>
      <c r="D41" s="29"/>
      <c r="E41" s="30">
        <f>E43-(E23+E28+E33+E37)</f>
        <v>357.6144157000017</v>
      </c>
      <c r="F41" s="31">
        <f>F43-(F23+F28+F33+F37)</f>
        <v>2.9544027216789885</v>
      </c>
      <c r="G41" s="15"/>
      <c r="H41" s="15"/>
      <c r="I41" s="15"/>
    </row>
    <row r="42" spans="1:9" ht="10.5" x14ac:dyDescent="0.25">
      <c r="A42" s="23"/>
      <c r="B42" s="23"/>
      <c r="C42" s="23"/>
      <c r="D42" s="29"/>
      <c r="E42" s="30"/>
      <c r="F42" s="31"/>
      <c r="G42" s="15"/>
      <c r="H42" s="15"/>
      <c r="I42" s="15"/>
    </row>
    <row r="43" spans="1:9" ht="10.5" x14ac:dyDescent="0.25">
      <c r="A43" s="32" t="s">
        <v>26</v>
      </c>
      <c r="B43" s="32"/>
      <c r="C43" s="32"/>
      <c r="D43" s="33"/>
      <c r="E43" s="34">
        <v>12104.457292700001</v>
      </c>
      <c r="F43" s="35">
        <v>100</v>
      </c>
      <c r="G43" s="15"/>
      <c r="H43" s="15"/>
      <c r="I43" s="15"/>
    </row>
    <row r="44" spans="1:9" ht="10.5" x14ac:dyDescent="0.25">
      <c r="A44" s="15" t="s">
        <v>871</v>
      </c>
    </row>
    <row r="45" spans="1:9" ht="10.5" x14ac:dyDescent="0.25">
      <c r="A45" s="15" t="s">
        <v>872</v>
      </c>
    </row>
    <row r="47" spans="1:9" ht="10.5" x14ac:dyDescent="0.25">
      <c r="A47" s="15" t="s">
        <v>28</v>
      </c>
    </row>
    <row r="48" spans="1:9" ht="10.5" x14ac:dyDescent="0.25">
      <c r="A48" s="15" t="s">
        <v>29</v>
      </c>
    </row>
    <row r="49" spans="1:5" ht="10.5" x14ac:dyDescent="0.25">
      <c r="A49" s="15" t="s">
        <v>30</v>
      </c>
      <c r="B49" s="15"/>
      <c r="C49" s="36" t="s">
        <v>32</v>
      </c>
      <c r="D49" s="16" t="s">
        <v>31</v>
      </c>
    </row>
    <row r="50" spans="1:5" x14ac:dyDescent="0.2">
      <c r="A50" s="9" t="s">
        <v>38</v>
      </c>
      <c r="C50" s="37">
        <v>11.371</v>
      </c>
      <c r="D50" s="37">
        <v>11.8499</v>
      </c>
    </row>
    <row r="51" spans="1:5" x14ac:dyDescent="0.2">
      <c r="A51" s="9" t="s">
        <v>1600</v>
      </c>
      <c r="C51" s="37">
        <v>10.937799999999999</v>
      </c>
      <c r="D51" s="37">
        <v>10.343999999999999</v>
      </c>
    </row>
    <row r="52" spans="1:5" x14ac:dyDescent="0.2">
      <c r="A52" s="9" t="s">
        <v>1219</v>
      </c>
      <c r="C52" s="37">
        <v>10.1083</v>
      </c>
      <c r="D52" s="37">
        <v>10.1401</v>
      </c>
    </row>
    <row r="53" spans="1:5" x14ac:dyDescent="0.2">
      <c r="A53" s="9" t="s">
        <v>39</v>
      </c>
      <c r="C53" s="37">
        <v>11.428000000000001</v>
      </c>
      <c r="D53" s="37">
        <v>11.9093</v>
      </c>
    </row>
    <row r="55" spans="1:5" ht="10.5" x14ac:dyDescent="0.25">
      <c r="A55" s="15" t="s">
        <v>1882</v>
      </c>
    </row>
    <row r="56" spans="1:5" ht="10.5" x14ac:dyDescent="0.25">
      <c r="A56" s="90" t="s">
        <v>33</v>
      </c>
      <c r="B56" s="91"/>
      <c r="C56" s="92" t="s">
        <v>1883</v>
      </c>
      <c r="D56" s="93"/>
    </row>
    <row r="57" spans="1:5" ht="10.5" x14ac:dyDescent="0.25">
      <c r="A57" s="90"/>
      <c r="B57" s="91"/>
      <c r="C57" s="38" t="s">
        <v>34</v>
      </c>
      <c r="D57" s="39" t="s">
        <v>35</v>
      </c>
    </row>
    <row r="58" spans="1:5" x14ac:dyDescent="0.2">
      <c r="A58" s="96" t="s">
        <v>1600</v>
      </c>
      <c r="B58" s="97"/>
      <c r="C58" s="40">
        <v>0.74553399450000002</v>
      </c>
      <c r="D58" s="40">
        <v>0.69036819439999997</v>
      </c>
    </row>
    <row r="59" spans="1:5" x14ac:dyDescent="0.2">
      <c r="A59" s="96" t="s">
        <v>1219</v>
      </c>
      <c r="B59" s="97"/>
      <c r="C59" s="40">
        <v>0.280925853</v>
      </c>
      <c r="D59" s="40">
        <v>0.26013873990000003</v>
      </c>
    </row>
    <row r="61" spans="1:5" ht="10.5" x14ac:dyDescent="0.25">
      <c r="A61" s="15" t="s">
        <v>882</v>
      </c>
      <c r="D61" s="11">
        <v>0.85505378377049202</v>
      </c>
      <c r="E61" s="11" t="s">
        <v>883</v>
      </c>
    </row>
    <row r="63" spans="1:5" ht="10.5" x14ac:dyDescent="0.25">
      <c r="A63" s="15" t="s">
        <v>884</v>
      </c>
      <c r="D63" s="41" t="s">
        <v>36</v>
      </c>
    </row>
  </sheetData>
  <mergeCells count="6">
    <mergeCell ref="A59:B59"/>
    <mergeCell ref="A1:F1"/>
    <mergeCell ref="A56:B56"/>
    <mergeCell ref="C56:D56"/>
    <mergeCell ref="A57:B57"/>
    <mergeCell ref="A58:B58"/>
  </mergeCells>
  <conditionalFormatting sqref="F2 F4:F65536">
    <cfRule type="cellIs" dxfId="39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6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4" style="9" bestFit="1" customWidth="1"/>
    <col min="3" max="3" width="15.453125" style="9" bestFit="1" customWidth="1"/>
    <col min="4" max="4" width="15.453125" style="10" bestFit="1" customWidth="1"/>
    <col min="5" max="5" width="11.81640625" style="11" customWidth="1"/>
    <col min="6" max="6" width="10.7265625" style="14" customWidth="1"/>
    <col min="7" max="7" width="7.54296875" style="9" bestFit="1" customWidth="1"/>
    <col min="8" max="16384" width="9.1796875" style="9"/>
  </cols>
  <sheetData>
    <row r="1" spans="1:6" s="1" customFormat="1" ht="14" x14ac:dyDescent="0.25">
      <c r="A1" s="88" t="s">
        <v>1753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661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662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1741</v>
      </c>
      <c r="B6" s="24" t="s">
        <v>1742</v>
      </c>
      <c r="C6" s="24" t="s">
        <v>1328</v>
      </c>
      <c r="D6" s="28">
        <v>156</v>
      </c>
      <c r="E6" s="26">
        <v>1570.3818000000001</v>
      </c>
      <c r="F6" s="27">
        <v>8.5113937164133393</v>
      </c>
    </row>
    <row r="7" spans="1:6" x14ac:dyDescent="0.2">
      <c r="A7" s="24" t="s">
        <v>1754</v>
      </c>
      <c r="B7" s="24" t="s">
        <v>1755</v>
      </c>
      <c r="C7" s="24" t="s">
        <v>815</v>
      </c>
      <c r="D7" s="28">
        <v>150</v>
      </c>
      <c r="E7" s="26">
        <v>1532.7885000000001</v>
      </c>
      <c r="F7" s="27">
        <v>8.3076398411460399</v>
      </c>
    </row>
    <row r="8" spans="1:6" x14ac:dyDescent="0.2">
      <c r="A8" s="24" t="s">
        <v>1747</v>
      </c>
      <c r="B8" s="24" t="s">
        <v>1748</v>
      </c>
      <c r="C8" s="24" t="s">
        <v>1328</v>
      </c>
      <c r="D8" s="28">
        <v>150</v>
      </c>
      <c r="E8" s="26">
        <v>1495.596</v>
      </c>
      <c r="F8" s="27">
        <v>8.1060582825736507</v>
      </c>
    </row>
    <row r="9" spans="1:6" x14ac:dyDescent="0.2">
      <c r="A9" s="24" t="s">
        <v>1329</v>
      </c>
      <c r="B9" s="24" t="s">
        <v>1330</v>
      </c>
      <c r="C9" s="24" t="s">
        <v>815</v>
      </c>
      <c r="D9" s="28">
        <v>14</v>
      </c>
      <c r="E9" s="26">
        <v>1423.7846</v>
      </c>
      <c r="F9" s="27">
        <v>7.7168439534679303</v>
      </c>
    </row>
    <row r="10" spans="1:6" x14ac:dyDescent="0.2">
      <c r="A10" s="24" t="s">
        <v>1711</v>
      </c>
      <c r="B10" s="24" t="s">
        <v>1712</v>
      </c>
      <c r="C10" s="24" t="s">
        <v>815</v>
      </c>
      <c r="D10" s="28">
        <v>116</v>
      </c>
      <c r="E10" s="26">
        <v>1174.63572</v>
      </c>
      <c r="F10" s="27">
        <v>6.3664690244644104</v>
      </c>
    </row>
    <row r="11" spans="1:6" x14ac:dyDescent="0.2">
      <c r="A11" s="24" t="s">
        <v>1756</v>
      </c>
      <c r="B11" s="24" t="s">
        <v>1757</v>
      </c>
      <c r="C11" s="24" t="s">
        <v>815</v>
      </c>
      <c r="D11" s="28">
        <v>100</v>
      </c>
      <c r="E11" s="26">
        <v>1026.7739999999999</v>
      </c>
      <c r="F11" s="27">
        <v>5.5650656240263299</v>
      </c>
    </row>
    <row r="12" spans="1:6" x14ac:dyDescent="0.2">
      <c r="A12" s="24" t="s">
        <v>1758</v>
      </c>
      <c r="B12" s="24" t="s">
        <v>1759</v>
      </c>
      <c r="C12" s="24" t="s">
        <v>815</v>
      </c>
      <c r="D12" s="28">
        <v>100</v>
      </c>
      <c r="E12" s="26">
        <v>1010.078</v>
      </c>
      <c r="F12" s="27">
        <v>5.4745741082119999</v>
      </c>
    </row>
    <row r="13" spans="1:6" x14ac:dyDescent="0.2">
      <c r="A13" s="24" t="s">
        <v>1760</v>
      </c>
      <c r="B13" s="24" t="s">
        <v>1761</v>
      </c>
      <c r="C13" s="24" t="s">
        <v>815</v>
      </c>
      <c r="D13" s="28">
        <v>40</v>
      </c>
      <c r="E13" s="26">
        <v>1005.71</v>
      </c>
      <c r="F13" s="27">
        <v>5.4508997586026897</v>
      </c>
    </row>
    <row r="14" spans="1:6" x14ac:dyDescent="0.2">
      <c r="A14" s="24" t="s">
        <v>1762</v>
      </c>
      <c r="B14" s="24" t="s">
        <v>1763</v>
      </c>
      <c r="C14" s="24" t="s">
        <v>1278</v>
      </c>
      <c r="D14" s="28">
        <v>800</v>
      </c>
      <c r="E14" s="26">
        <v>818.63520000000005</v>
      </c>
      <c r="F14" s="27">
        <v>4.43696335331623</v>
      </c>
    </row>
    <row r="15" spans="1:6" x14ac:dyDescent="0.2">
      <c r="A15" s="24" t="s">
        <v>1214</v>
      </c>
      <c r="B15" s="24" t="s">
        <v>1215</v>
      </c>
      <c r="C15" s="24" t="s">
        <v>815</v>
      </c>
      <c r="D15" s="28">
        <v>62</v>
      </c>
      <c r="E15" s="26">
        <v>624.29535999999996</v>
      </c>
      <c r="F15" s="27">
        <v>3.38365078116035</v>
      </c>
    </row>
    <row r="16" spans="1:6" x14ac:dyDescent="0.2">
      <c r="A16" s="24" t="s">
        <v>1764</v>
      </c>
      <c r="B16" s="24" t="s">
        <v>1765</v>
      </c>
      <c r="C16" s="24" t="s">
        <v>815</v>
      </c>
      <c r="D16" s="28">
        <v>40</v>
      </c>
      <c r="E16" s="26">
        <v>517.53700000000003</v>
      </c>
      <c r="F16" s="27">
        <v>2.8050256121227402</v>
      </c>
    </row>
    <row r="17" spans="1:9" x14ac:dyDescent="0.2">
      <c r="A17" s="24" t="s">
        <v>1766</v>
      </c>
      <c r="B17" s="24" t="s">
        <v>1767</v>
      </c>
      <c r="C17" s="24" t="s">
        <v>815</v>
      </c>
      <c r="D17" s="28">
        <v>50</v>
      </c>
      <c r="E17" s="26">
        <v>516.03650000000005</v>
      </c>
      <c r="F17" s="27">
        <v>2.79689297439637</v>
      </c>
    </row>
    <row r="18" spans="1:9" x14ac:dyDescent="0.2">
      <c r="A18" s="24" t="s">
        <v>1768</v>
      </c>
      <c r="B18" s="24" t="s">
        <v>1769</v>
      </c>
      <c r="C18" s="24" t="s">
        <v>815</v>
      </c>
      <c r="D18" s="28">
        <v>50</v>
      </c>
      <c r="E18" s="26">
        <v>514.77350000000001</v>
      </c>
      <c r="F18" s="27">
        <v>2.7900475752305001</v>
      </c>
    </row>
    <row r="19" spans="1:9" x14ac:dyDescent="0.2">
      <c r="A19" s="24" t="s">
        <v>1717</v>
      </c>
      <c r="B19" s="24" t="s">
        <v>1718</v>
      </c>
      <c r="C19" s="24" t="s">
        <v>815</v>
      </c>
      <c r="D19" s="28">
        <v>44</v>
      </c>
      <c r="E19" s="26">
        <v>444.79072000000002</v>
      </c>
      <c r="F19" s="27">
        <v>2.4107442784467898</v>
      </c>
    </row>
    <row r="20" spans="1:9" x14ac:dyDescent="0.2">
      <c r="A20" s="24" t="s">
        <v>1725</v>
      </c>
      <c r="B20" s="24" t="s">
        <v>1726</v>
      </c>
      <c r="C20" s="24" t="s">
        <v>815</v>
      </c>
      <c r="D20" s="28">
        <v>38</v>
      </c>
      <c r="E20" s="26">
        <v>384.42547999999999</v>
      </c>
      <c r="F20" s="27">
        <v>2.0835675852211102</v>
      </c>
    </row>
    <row r="21" spans="1:9" x14ac:dyDescent="0.2">
      <c r="A21" s="24" t="s">
        <v>994</v>
      </c>
      <c r="B21" s="24" t="s">
        <v>995</v>
      </c>
      <c r="C21" s="24" t="s">
        <v>815</v>
      </c>
      <c r="D21" s="28">
        <v>25</v>
      </c>
      <c r="E21" s="26">
        <v>251.77725000000001</v>
      </c>
      <c r="F21" s="27">
        <v>1.36462056780449</v>
      </c>
    </row>
    <row r="22" spans="1:9" x14ac:dyDescent="0.2">
      <c r="A22" s="24" t="s">
        <v>1436</v>
      </c>
      <c r="B22" s="24" t="s">
        <v>1437</v>
      </c>
      <c r="C22" s="24" t="s">
        <v>815</v>
      </c>
      <c r="D22" s="28">
        <v>20</v>
      </c>
      <c r="E22" s="26">
        <v>203.3716</v>
      </c>
      <c r="F22" s="27">
        <v>1.10226427632881</v>
      </c>
    </row>
    <row r="23" spans="1:9" x14ac:dyDescent="0.2">
      <c r="A23" s="24" t="s">
        <v>1731</v>
      </c>
      <c r="B23" s="24" t="s">
        <v>1732</v>
      </c>
      <c r="C23" s="24" t="s">
        <v>815</v>
      </c>
      <c r="D23" s="28">
        <v>15</v>
      </c>
      <c r="E23" s="26">
        <v>193.11</v>
      </c>
      <c r="F23" s="27">
        <v>1.0466468985927999</v>
      </c>
    </row>
    <row r="24" spans="1:9" x14ac:dyDescent="0.2">
      <c r="A24" s="24" t="s">
        <v>1653</v>
      </c>
      <c r="B24" s="24" t="s">
        <v>1654</v>
      </c>
      <c r="C24" s="24" t="s">
        <v>815</v>
      </c>
      <c r="D24" s="28">
        <v>10</v>
      </c>
      <c r="E24" s="26">
        <v>118.9961</v>
      </c>
      <c r="F24" s="27">
        <v>0.64495313039013402</v>
      </c>
    </row>
    <row r="25" spans="1:9" x14ac:dyDescent="0.2">
      <c r="A25" s="24" t="s">
        <v>1713</v>
      </c>
      <c r="B25" s="24" t="s">
        <v>1714</v>
      </c>
      <c r="C25" s="24" t="s">
        <v>1278</v>
      </c>
      <c r="D25" s="28">
        <v>1</v>
      </c>
      <c r="E25" s="26">
        <v>10.144909999999999</v>
      </c>
      <c r="F25" s="27">
        <v>5.4984923556538202E-2</v>
      </c>
    </row>
    <row r="26" spans="1:9" ht="10.5" x14ac:dyDescent="0.25">
      <c r="A26" s="23" t="s">
        <v>24</v>
      </c>
      <c r="B26" s="23"/>
      <c r="C26" s="23"/>
      <c r="D26" s="29"/>
      <c r="E26" s="30">
        <f>SUM(E5:E25)</f>
        <v>14837.642240000001</v>
      </c>
      <c r="F26" s="31">
        <f>SUM(F5:F25)</f>
        <v>80.419306265473239</v>
      </c>
      <c r="G26" s="15"/>
      <c r="H26" s="15"/>
      <c r="I26" s="15"/>
    </row>
    <row r="27" spans="1:9" x14ac:dyDescent="0.2">
      <c r="A27" s="24"/>
      <c r="B27" s="24"/>
      <c r="C27" s="24"/>
      <c r="D27" s="25"/>
      <c r="E27" s="26"/>
      <c r="F27" s="27"/>
    </row>
    <row r="28" spans="1:9" ht="10.5" x14ac:dyDescent="0.25">
      <c r="A28" s="23" t="s">
        <v>818</v>
      </c>
      <c r="B28" s="24"/>
      <c r="C28" s="24"/>
      <c r="D28" s="25"/>
      <c r="E28" s="26"/>
      <c r="F28" s="27"/>
    </row>
    <row r="29" spans="1:9" x14ac:dyDescent="0.2">
      <c r="A29" s="24" t="s">
        <v>1706</v>
      </c>
      <c r="B29" s="24" t="s">
        <v>1707</v>
      </c>
      <c r="C29" s="24" t="s">
        <v>1278</v>
      </c>
      <c r="D29" s="28">
        <v>150</v>
      </c>
      <c r="E29" s="26">
        <v>1511.655</v>
      </c>
      <c r="F29" s="27">
        <v>8.1930972890699607</v>
      </c>
    </row>
    <row r="30" spans="1:9" x14ac:dyDescent="0.2">
      <c r="A30" s="24" t="s">
        <v>1751</v>
      </c>
      <c r="B30" s="24" t="s">
        <v>1752</v>
      </c>
      <c r="C30" s="24" t="s">
        <v>815</v>
      </c>
      <c r="D30" s="28">
        <v>150</v>
      </c>
      <c r="E30" s="26">
        <v>1497.2339999999999</v>
      </c>
      <c r="F30" s="27">
        <v>8.1149361636771395</v>
      </c>
    </row>
    <row r="31" spans="1:9" ht="10.5" x14ac:dyDescent="0.25">
      <c r="A31" s="23" t="s">
        <v>24</v>
      </c>
      <c r="B31" s="23"/>
      <c r="C31" s="23"/>
      <c r="D31" s="29"/>
      <c r="E31" s="30">
        <f>SUM(E28:E30)</f>
        <v>3008.8890000000001</v>
      </c>
      <c r="F31" s="31">
        <f>SUM(F28:F30)</f>
        <v>16.3080334527471</v>
      </c>
      <c r="G31" s="15"/>
      <c r="H31" s="15"/>
      <c r="I31" s="15"/>
    </row>
    <row r="32" spans="1:9" x14ac:dyDescent="0.2">
      <c r="A32" s="24"/>
      <c r="B32" s="24"/>
      <c r="C32" s="24"/>
      <c r="D32" s="25"/>
      <c r="E32" s="26"/>
      <c r="F32" s="27"/>
    </row>
    <row r="33" spans="1:9" ht="10.5" x14ac:dyDescent="0.25">
      <c r="A33" s="23" t="s">
        <v>861</v>
      </c>
      <c r="B33" s="24"/>
      <c r="C33" s="24"/>
      <c r="D33" s="25"/>
      <c r="E33" s="26"/>
      <c r="F33" s="27"/>
    </row>
    <row r="34" spans="1:9" ht="10.5" x14ac:dyDescent="0.25">
      <c r="A34" s="23" t="s">
        <v>1106</v>
      </c>
      <c r="B34" s="24"/>
      <c r="C34" s="24"/>
      <c r="D34" s="25"/>
      <c r="E34" s="26"/>
      <c r="F34" s="27"/>
    </row>
    <row r="35" spans="1:9" x14ac:dyDescent="0.2">
      <c r="A35" s="24" t="s">
        <v>1129</v>
      </c>
      <c r="B35" s="24" t="s">
        <v>1130</v>
      </c>
      <c r="C35" s="24" t="s">
        <v>1114</v>
      </c>
      <c r="D35" s="28">
        <v>322</v>
      </c>
      <c r="E35" s="26">
        <v>305.99048199999999</v>
      </c>
      <c r="F35" s="27">
        <v>1.65845367399004</v>
      </c>
    </row>
    <row r="36" spans="1:9" ht="10.5" x14ac:dyDescent="0.25">
      <c r="A36" s="23" t="s">
        <v>24</v>
      </c>
      <c r="B36" s="23"/>
      <c r="C36" s="23"/>
      <c r="D36" s="29"/>
      <c r="E36" s="30">
        <f>SUM(E34:E35)</f>
        <v>305.99048199999999</v>
      </c>
      <c r="F36" s="31">
        <f>SUM(F34:F35)</f>
        <v>1.65845367399004</v>
      </c>
      <c r="G36" s="15"/>
      <c r="H36" s="15"/>
      <c r="I36" s="15"/>
    </row>
    <row r="37" spans="1:9" x14ac:dyDescent="0.2">
      <c r="A37" s="24"/>
      <c r="B37" s="24"/>
      <c r="C37" s="24"/>
      <c r="D37" s="25"/>
      <c r="E37" s="26"/>
      <c r="F37" s="27"/>
    </row>
    <row r="38" spans="1:9" ht="10.5" x14ac:dyDescent="0.25">
      <c r="A38" s="23" t="s">
        <v>25</v>
      </c>
      <c r="B38" s="23"/>
      <c r="C38" s="23"/>
      <c r="D38" s="29"/>
      <c r="E38" s="30">
        <f>E26+E31+E36</f>
        <v>18152.521722000001</v>
      </c>
      <c r="F38" s="31">
        <f>F26+F31+F36</f>
        <v>98.385793392210374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23" t="s">
        <v>27</v>
      </c>
      <c r="B40" s="23"/>
      <c r="C40" s="23"/>
      <c r="D40" s="29"/>
      <c r="E40" s="30">
        <f>E42-(E26+E31+E36)</f>
        <v>297.8267440999989</v>
      </c>
      <c r="F40" s="31">
        <f>F42-(F26+F31+F36)</f>
        <v>1.614206607789626</v>
      </c>
      <c r="G40" s="15"/>
      <c r="H40" s="15"/>
      <c r="I40" s="15"/>
    </row>
    <row r="41" spans="1:9" ht="10.5" x14ac:dyDescent="0.25">
      <c r="A41" s="23"/>
      <c r="B41" s="23"/>
      <c r="C41" s="23"/>
      <c r="D41" s="29"/>
      <c r="E41" s="30"/>
      <c r="F41" s="31"/>
      <c r="G41" s="15"/>
      <c r="H41" s="15"/>
      <c r="I41" s="15"/>
    </row>
    <row r="42" spans="1:9" ht="10.5" x14ac:dyDescent="0.25">
      <c r="A42" s="32" t="s">
        <v>26</v>
      </c>
      <c r="B42" s="32"/>
      <c r="C42" s="32"/>
      <c r="D42" s="33"/>
      <c r="E42" s="34">
        <v>18450.3484661</v>
      </c>
      <c r="F42" s="35">
        <v>100</v>
      </c>
      <c r="G42" s="15"/>
      <c r="H42" s="15"/>
      <c r="I42" s="15"/>
    </row>
    <row r="43" spans="1:9" ht="10.5" x14ac:dyDescent="0.25">
      <c r="A43" s="15" t="s">
        <v>872</v>
      </c>
    </row>
    <row r="45" spans="1:9" ht="10.5" x14ac:dyDescent="0.25">
      <c r="A45" s="15" t="s">
        <v>28</v>
      </c>
    </row>
    <row r="46" spans="1:9" ht="10.5" x14ac:dyDescent="0.25">
      <c r="A46" s="15" t="s">
        <v>29</v>
      </c>
    </row>
    <row r="47" spans="1:9" ht="10.5" x14ac:dyDescent="0.25">
      <c r="A47" s="15" t="s">
        <v>30</v>
      </c>
      <c r="B47" s="15"/>
      <c r="C47" s="36" t="s">
        <v>32</v>
      </c>
      <c r="D47" s="16" t="s">
        <v>31</v>
      </c>
    </row>
    <row r="48" spans="1:9" x14ac:dyDescent="0.2">
      <c r="A48" s="9" t="s">
        <v>38</v>
      </c>
      <c r="C48" s="37">
        <v>11.3306</v>
      </c>
      <c r="D48" s="37">
        <v>11.824</v>
      </c>
    </row>
    <row r="49" spans="1:5" x14ac:dyDescent="0.2">
      <c r="A49" s="9" t="s">
        <v>1600</v>
      </c>
      <c r="C49" s="37">
        <v>10.955399999999999</v>
      </c>
      <c r="D49" s="37">
        <v>10.376099999999999</v>
      </c>
    </row>
    <row r="50" spans="1:5" x14ac:dyDescent="0.2">
      <c r="A50" s="9" t="s">
        <v>1219</v>
      </c>
      <c r="C50" s="37">
        <v>10.1334</v>
      </c>
      <c r="D50" s="37">
        <v>10.173299999999999</v>
      </c>
    </row>
    <row r="51" spans="1:5" x14ac:dyDescent="0.2">
      <c r="A51" s="9" t="s">
        <v>39</v>
      </c>
      <c r="C51" s="37">
        <v>11.3874</v>
      </c>
      <c r="D51" s="37">
        <v>11.8833</v>
      </c>
    </row>
    <row r="52" spans="1:5" x14ac:dyDescent="0.2">
      <c r="A52" s="9" t="s">
        <v>41</v>
      </c>
      <c r="C52" s="37">
        <v>10.9795</v>
      </c>
      <c r="D52" s="37">
        <v>10.401400000000001</v>
      </c>
    </row>
    <row r="53" spans="1:5" x14ac:dyDescent="0.2">
      <c r="A53" s="9" t="s">
        <v>1221</v>
      </c>
      <c r="C53" s="37">
        <v>10.156000000000001</v>
      </c>
      <c r="D53" s="37">
        <v>10.196899999999999</v>
      </c>
    </row>
    <row r="55" spans="1:5" ht="10.5" x14ac:dyDescent="0.25">
      <c r="A55" s="15" t="s">
        <v>1882</v>
      </c>
    </row>
    <row r="56" spans="1:5" ht="10.5" x14ac:dyDescent="0.25">
      <c r="A56" s="90" t="s">
        <v>33</v>
      </c>
      <c r="B56" s="91"/>
      <c r="C56" s="92" t="s">
        <v>1883</v>
      </c>
      <c r="D56" s="93"/>
    </row>
    <row r="57" spans="1:5" ht="10.5" x14ac:dyDescent="0.25">
      <c r="A57" s="90"/>
      <c r="B57" s="91"/>
      <c r="C57" s="38" t="s">
        <v>34</v>
      </c>
      <c r="D57" s="39" t="s">
        <v>35</v>
      </c>
    </row>
    <row r="58" spans="1:5" x14ac:dyDescent="0.2">
      <c r="A58" s="96" t="s">
        <v>1600</v>
      </c>
      <c r="B58" s="97"/>
      <c r="C58" s="40">
        <v>0.74193238100000003</v>
      </c>
      <c r="D58" s="40">
        <v>0.68703308230000004</v>
      </c>
    </row>
    <row r="59" spans="1:5" x14ac:dyDescent="0.2">
      <c r="A59" s="96" t="s">
        <v>1219</v>
      </c>
      <c r="B59" s="97"/>
      <c r="C59" s="40">
        <v>0.28452746649999999</v>
      </c>
      <c r="D59" s="40">
        <v>0.26347385200000001</v>
      </c>
    </row>
    <row r="60" spans="1:5" x14ac:dyDescent="0.2">
      <c r="A60" s="96" t="s">
        <v>41</v>
      </c>
      <c r="B60" s="97"/>
      <c r="C60" s="40">
        <v>0.74193238100000003</v>
      </c>
      <c r="D60" s="40">
        <v>0.68703308230000004</v>
      </c>
    </row>
    <row r="61" spans="1:5" x14ac:dyDescent="0.2">
      <c r="A61" s="96" t="s">
        <v>1221</v>
      </c>
      <c r="B61" s="97"/>
      <c r="C61" s="40">
        <v>0.28452746649999999</v>
      </c>
      <c r="D61" s="40">
        <v>0.26347385200000001</v>
      </c>
    </row>
    <row r="63" spans="1:5" ht="10.5" x14ac:dyDescent="0.25">
      <c r="A63" s="15" t="s">
        <v>882</v>
      </c>
      <c r="D63" s="11">
        <v>0.87177738775956304</v>
      </c>
      <c r="E63" s="11" t="s">
        <v>883</v>
      </c>
    </row>
    <row r="65" spans="1:4" ht="10.5" x14ac:dyDescent="0.25">
      <c r="A65" s="15" t="s">
        <v>884</v>
      </c>
      <c r="D65" s="41" t="s">
        <v>36</v>
      </c>
    </row>
  </sheetData>
  <mergeCells count="8">
    <mergeCell ref="A60:B60"/>
    <mergeCell ref="A61:B61"/>
    <mergeCell ref="A1:F1"/>
    <mergeCell ref="A56:B56"/>
    <mergeCell ref="C56:D56"/>
    <mergeCell ref="A57:B57"/>
    <mergeCell ref="A58:B58"/>
    <mergeCell ref="A59:B59"/>
  </mergeCells>
  <conditionalFormatting sqref="F2 F4:F65536">
    <cfRule type="cellIs" dxfId="38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6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4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48" style="9" bestFit="1" customWidth="1"/>
    <col min="3" max="3" width="19.1796875" style="9" customWidth="1"/>
    <col min="4" max="4" width="15.453125" style="10" customWidth="1"/>
    <col min="5" max="5" width="13.26953125" style="11" customWidth="1"/>
    <col min="6" max="6" width="9.81640625" style="14" customWidth="1"/>
    <col min="7" max="7" width="7.7265625" style="9" bestFit="1" customWidth="1"/>
    <col min="8" max="16384" width="9.1796875" style="9"/>
  </cols>
  <sheetData>
    <row r="1" spans="1:9" s="1" customFormat="1" ht="14" x14ac:dyDescent="0.25">
      <c r="A1" s="88" t="s">
        <v>1770</v>
      </c>
      <c r="B1" s="89"/>
      <c r="C1" s="89"/>
      <c r="D1" s="89"/>
      <c r="E1" s="89"/>
      <c r="F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34.5" customHeight="1" x14ac:dyDescent="0.25">
      <c r="A3" s="8" t="s">
        <v>2</v>
      </c>
      <c r="B3" s="8" t="s">
        <v>0</v>
      </c>
      <c r="C3" s="83" t="s">
        <v>1892</v>
      </c>
      <c r="D3" s="71" t="s">
        <v>1</v>
      </c>
      <c r="E3" s="64" t="s">
        <v>1820</v>
      </c>
      <c r="F3" s="63" t="s">
        <v>3</v>
      </c>
    </row>
    <row r="4" spans="1:9" ht="10.5" x14ac:dyDescent="0.25">
      <c r="A4" s="18" t="s">
        <v>662</v>
      </c>
      <c r="B4" s="19"/>
      <c r="C4" s="51"/>
      <c r="D4" s="20"/>
      <c r="E4" s="21"/>
      <c r="F4" s="22"/>
    </row>
    <row r="5" spans="1:9" ht="10.5" x14ac:dyDescent="0.25">
      <c r="A5" s="23" t="s">
        <v>23</v>
      </c>
      <c r="B5" s="24"/>
      <c r="C5" s="52"/>
      <c r="D5" s="25"/>
      <c r="E5" s="26"/>
      <c r="F5" s="27"/>
    </row>
    <row r="6" spans="1:9" x14ac:dyDescent="0.2">
      <c r="A6" s="24" t="s">
        <v>1407</v>
      </c>
      <c r="B6" s="24" t="s">
        <v>1408</v>
      </c>
      <c r="C6" s="52" t="s">
        <v>815</v>
      </c>
      <c r="D6" s="28">
        <v>24</v>
      </c>
      <c r="E6" s="26">
        <v>240.03120000000001</v>
      </c>
      <c r="F6" s="27">
        <v>9.4178890111189606</v>
      </c>
    </row>
    <row r="7" spans="1:9" x14ac:dyDescent="0.2">
      <c r="A7" s="24" t="s">
        <v>1430</v>
      </c>
      <c r="B7" s="24" t="s">
        <v>1431</v>
      </c>
      <c r="C7" s="52" t="s">
        <v>815</v>
      </c>
      <c r="D7" s="28">
        <v>13</v>
      </c>
      <c r="E7" s="26">
        <v>130.01300000000001</v>
      </c>
      <c r="F7" s="27">
        <v>5.1012035268857101</v>
      </c>
    </row>
    <row r="8" spans="1:9" ht="10.5" x14ac:dyDescent="0.25">
      <c r="A8" s="23" t="s">
        <v>24</v>
      </c>
      <c r="B8" s="23"/>
      <c r="C8" s="55"/>
      <c r="D8" s="29"/>
      <c r="E8" s="30">
        <f>SUM(E5:E7)</f>
        <v>370.04420000000005</v>
      </c>
      <c r="F8" s="31">
        <f>SUM(F5:F7)</f>
        <v>14.519092538004671</v>
      </c>
      <c r="G8" s="15"/>
      <c r="H8" s="15"/>
      <c r="I8" s="15"/>
    </row>
    <row r="9" spans="1:9" x14ac:dyDescent="0.2">
      <c r="A9" s="24"/>
      <c r="B9" s="24"/>
      <c r="C9" s="52"/>
      <c r="D9" s="25"/>
      <c r="E9" s="26"/>
      <c r="F9" s="27"/>
    </row>
    <row r="10" spans="1:9" ht="10.5" x14ac:dyDescent="0.25">
      <c r="A10" s="23" t="s">
        <v>861</v>
      </c>
      <c r="B10" s="24"/>
      <c r="C10" s="52"/>
      <c r="D10" s="25"/>
      <c r="E10" s="26"/>
      <c r="F10" s="27"/>
    </row>
    <row r="11" spans="1:9" ht="10.5" x14ac:dyDescent="0.25">
      <c r="A11" s="23" t="s">
        <v>1106</v>
      </c>
      <c r="B11" s="24"/>
      <c r="C11" s="52"/>
      <c r="D11" s="25"/>
      <c r="E11" s="26"/>
      <c r="F11" s="27"/>
    </row>
    <row r="12" spans="1:9" x14ac:dyDescent="0.2">
      <c r="A12" s="24" t="s">
        <v>1145</v>
      </c>
      <c r="B12" s="24" t="s">
        <v>1146</v>
      </c>
      <c r="C12" s="52" t="s">
        <v>1114</v>
      </c>
      <c r="D12" s="28">
        <v>25</v>
      </c>
      <c r="E12" s="26">
        <v>24.8614</v>
      </c>
      <c r="F12" s="27">
        <v>0.97546446404064502</v>
      </c>
    </row>
    <row r="13" spans="1:9" ht="10.5" x14ac:dyDescent="0.25">
      <c r="A13" s="23" t="s">
        <v>24</v>
      </c>
      <c r="B13" s="23"/>
      <c r="C13" s="55"/>
      <c r="D13" s="29"/>
      <c r="E13" s="30">
        <f>SUM(E11:E12)</f>
        <v>24.8614</v>
      </c>
      <c r="F13" s="31">
        <f>SUM(F11:F12)</f>
        <v>0.97546446404064502</v>
      </c>
      <c r="G13" s="15"/>
      <c r="H13" s="15"/>
      <c r="I13" s="15"/>
    </row>
    <row r="14" spans="1:9" x14ac:dyDescent="0.2">
      <c r="A14" s="24"/>
      <c r="B14" s="24"/>
      <c r="C14" s="52"/>
      <c r="D14" s="25"/>
      <c r="E14" s="26"/>
      <c r="F14" s="27"/>
    </row>
    <row r="15" spans="1:9" ht="10.5" x14ac:dyDescent="0.25">
      <c r="A15" s="23" t="s">
        <v>44</v>
      </c>
      <c r="B15" s="24"/>
      <c r="C15" s="52"/>
      <c r="D15" s="25"/>
      <c r="E15" s="26"/>
      <c r="F15" s="27"/>
    </row>
    <row r="16" spans="1:9" x14ac:dyDescent="0.2">
      <c r="A16" s="24" t="s">
        <v>1771</v>
      </c>
      <c r="B16" s="24" t="s">
        <v>1796</v>
      </c>
      <c r="C16" s="52" t="s">
        <v>44</v>
      </c>
      <c r="D16" s="28">
        <v>70016.842999999993</v>
      </c>
      <c r="E16" s="26">
        <v>2088.8461550000002</v>
      </c>
      <c r="F16" s="27">
        <v>81.958183973969199</v>
      </c>
    </row>
    <row r="17" spans="1:9" ht="10.5" x14ac:dyDescent="0.25">
      <c r="A17" s="23" t="s">
        <v>24</v>
      </c>
      <c r="B17" s="23"/>
      <c r="C17" s="23"/>
      <c r="D17" s="29"/>
      <c r="E17" s="30">
        <f>SUM(E16:E16)</f>
        <v>2088.8461550000002</v>
      </c>
      <c r="F17" s="31">
        <f>SUM(F16:F16)</f>
        <v>81.958183973969199</v>
      </c>
      <c r="G17" s="15"/>
      <c r="H17" s="15"/>
      <c r="I17" s="15"/>
    </row>
    <row r="18" spans="1:9" x14ac:dyDescent="0.2">
      <c r="A18" s="24"/>
      <c r="B18" s="24"/>
      <c r="C18" s="24"/>
      <c r="D18" s="25"/>
      <c r="E18" s="26"/>
      <c r="F18" s="27"/>
    </row>
    <row r="19" spans="1:9" ht="10.5" x14ac:dyDescent="0.25">
      <c r="A19" s="23" t="s">
        <v>25</v>
      </c>
      <c r="B19" s="23"/>
      <c r="C19" s="23"/>
      <c r="D19" s="29"/>
      <c r="E19" s="30">
        <f>E8+E13+E17</f>
        <v>2483.7517550000002</v>
      </c>
      <c r="F19" s="31">
        <f>F8+F13+F17</f>
        <v>97.45274097601451</v>
      </c>
      <c r="G19" s="15"/>
      <c r="H19" s="15"/>
      <c r="I19" s="15"/>
    </row>
    <row r="20" spans="1:9" ht="10.5" x14ac:dyDescent="0.25">
      <c r="A20" s="23"/>
      <c r="B20" s="23"/>
      <c r="C20" s="23"/>
      <c r="D20" s="29"/>
      <c r="E20" s="30"/>
      <c r="F20" s="31"/>
      <c r="G20" s="15"/>
      <c r="H20" s="15"/>
      <c r="I20" s="15"/>
    </row>
    <row r="21" spans="1:9" ht="10.5" x14ac:dyDescent="0.25">
      <c r="A21" s="23" t="s">
        <v>27</v>
      </c>
      <c r="B21" s="23"/>
      <c r="C21" s="23"/>
      <c r="D21" s="29"/>
      <c r="E21" s="30">
        <f>E23-(E8+E13+E17)</f>
        <v>64.921304499999678</v>
      </c>
      <c r="F21" s="31">
        <f>F23-(F8+F13+F17)</f>
        <v>2.5472590239854895</v>
      </c>
      <c r="G21" s="15"/>
      <c r="H21" s="15"/>
      <c r="I21" s="15"/>
    </row>
    <row r="22" spans="1:9" ht="10.5" x14ac:dyDescent="0.25">
      <c r="A22" s="23"/>
      <c r="B22" s="23"/>
      <c r="C22" s="23"/>
      <c r="D22" s="29"/>
      <c r="E22" s="30"/>
      <c r="F22" s="31"/>
      <c r="G22" s="15"/>
      <c r="H22" s="15"/>
      <c r="I22" s="15"/>
    </row>
    <row r="23" spans="1:9" ht="10.5" x14ac:dyDescent="0.25">
      <c r="A23" s="32" t="s">
        <v>26</v>
      </c>
      <c r="B23" s="32"/>
      <c r="C23" s="32"/>
      <c r="D23" s="33"/>
      <c r="E23" s="34">
        <v>2548.6730594999999</v>
      </c>
      <c r="F23" s="35">
        <v>100</v>
      </c>
      <c r="G23" s="15"/>
      <c r="H23" s="15"/>
      <c r="I23" s="15"/>
    </row>
    <row r="24" spans="1:9" ht="10.5" x14ac:dyDescent="0.25">
      <c r="A24" s="15" t="s">
        <v>872</v>
      </c>
    </row>
    <row r="26" spans="1:9" ht="10.5" x14ac:dyDescent="0.25">
      <c r="A26" s="15" t="s">
        <v>28</v>
      </c>
    </row>
    <row r="27" spans="1:9" ht="10.5" x14ac:dyDescent="0.25">
      <c r="A27" s="15" t="s">
        <v>29</v>
      </c>
    </row>
    <row r="28" spans="1:9" ht="10.5" x14ac:dyDescent="0.25">
      <c r="A28" s="15" t="s">
        <v>30</v>
      </c>
      <c r="B28" s="15"/>
      <c r="C28" s="36" t="s">
        <v>32</v>
      </c>
      <c r="D28" s="16" t="s">
        <v>31</v>
      </c>
    </row>
    <row r="29" spans="1:9" x14ac:dyDescent="0.2">
      <c r="A29" s="9" t="s">
        <v>38</v>
      </c>
      <c r="C29" s="37">
        <v>11.8543</v>
      </c>
      <c r="D29" s="37">
        <v>12.208500000000001</v>
      </c>
    </row>
    <row r="30" spans="1:9" x14ac:dyDescent="0.2">
      <c r="A30" s="9" t="s">
        <v>1600</v>
      </c>
      <c r="C30" s="37">
        <v>10.589700000000001</v>
      </c>
      <c r="D30" s="37">
        <v>10.9061</v>
      </c>
    </row>
    <row r="31" spans="1:9" x14ac:dyDescent="0.2">
      <c r="A31" s="9" t="s">
        <v>1219</v>
      </c>
      <c r="C31" s="37">
        <v>10.1694</v>
      </c>
      <c r="D31" s="37">
        <v>10.0991</v>
      </c>
    </row>
    <row r="32" spans="1:9" x14ac:dyDescent="0.2">
      <c r="A32" s="9" t="s">
        <v>39</v>
      </c>
      <c r="C32" s="37">
        <v>11.9064</v>
      </c>
      <c r="D32" s="37">
        <v>12.2622</v>
      </c>
    </row>
    <row r="33" spans="1:5" x14ac:dyDescent="0.2">
      <c r="A33" s="9" t="s">
        <v>41</v>
      </c>
      <c r="C33" s="37">
        <v>10.6418</v>
      </c>
      <c r="D33" s="37">
        <v>10.9597</v>
      </c>
    </row>
    <row r="34" spans="1:5" x14ac:dyDescent="0.2">
      <c r="A34" s="9" t="s">
        <v>1221</v>
      </c>
      <c r="C34" s="37">
        <v>10.198</v>
      </c>
      <c r="D34" s="37">
        <v>10.128500000000001</v>
      </c>
    </row>
    <row r="36" spans="1:5" ht="10.5" x14ac:dyDescent="0.25">
      <c r="A36" s="15" t="s">
        <v>1882</v>
      </c>
    </row>
    <row r="37" spans="1:5" ht="10.5" x14ac:dyDescent="0.25">
      <c r="A37" s="90" t="s">
        <v>33</v>
      </c>
      <c r="B37" s="91"/>
      <c r="C37" s="92" t="s">
        <v>1883</v>
      </c>
      <c r="D37" s="93"/>
    </row>
    <row r="38" spans="1:5" ht="10.5" x14ac:dyDescent="0.25">
      <c r="A38" s="90"/>
      <c r="B38" s="91"/>
      <c r="C38" s="38" t="s">
        <v>34</v>
      </c>
      <c r="D38" s="39" t="s">
        <v>35</v>
      </c>
    </row>
    <row r="39" spans="1:5" x14ac:dyDescent="0.2">
      <c r="A39" s="96" t="s">
        <v>1219</v>
      </c>
      <c r="B39" s="97"/>
      <c r="C39" s="40">
        <v>0.26651939899999999</v>
      </c>
      <c r="D39" s="40">
        <v>0.24679829180000001</v>
      </c>
    </row>
    <row r="40" spans="1:5" x14ac:dyDescent="0.2">
      <c r="A40" s="96" t="s">
        <v>1221</v>
      </c>
      <c r="B40" s="97"/>
      <c r="C40" s="40">
        <v>0.26651939899999999</v>
      </c>
      <c r="D40" s="40">
        <v>0.24679829180000001</v>
      </c>
    </row>
    <row r="42" spans="1:5" ht="10.5" x14ac:dyDescent="0.25">
      <c r="A42" s="15" t="s">
        <v>882</v>
      </c>
      <c r="D42" s="11">
        <v>0.11100549638915599</v>
      </c>
      <c r="E42" s="11" t="s">
        <v>883</v>
      </c>
    </row>
    <row r="44" spans="1:5" ht="10.5" x14ac:dyDescent="0.25">
      <c r="A44" s="15" t="s">
        <v>884</v>
      </c>
      <c r="D44" s="41" t="s">
        <v>36</v>
      </c>
    </row>
  </sheetData>
  <mergeCells count="6">
    <mergeCell ref="A40:B40"/>
    <mergeCell ref="A1:F1"/>
    <mergeCell ref="A37:B37"/>
    <mergeCell ref="C37:D37"/>
    <mergeCell ref="A38:B38"/>
    <mergeCell ref="A39:B39"/>
  </mergeCells>
  <conditionalFormatting sqref="F2 F4:F65536">
    <cfRule type="cellIs" dxfId="3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48" style="9" customWidth="1"/>
    <col min="3" max="3" width="19.54296875" style="9" customWidth="1"/>
    <col min="4" max="4" width="15.453125" style="10" bestFit="1" customWidth="1"/>
    <col min="5" max="5" width="13.26953125" style="11" customWidth="1"/>
    <col min="6" max="6" width="12" style="14" customWidth="1"/>
    <col min="7" max="7" width="7.54296875" style="9" bestFit="1" customWidth="1"/>
    <col min="8" max="16384" width="9.1796875" style="9"/>
  </cols>
  <sheetData>
    <row r="1" spans="1:9" s="1" customFormat="1" ht="14" x14ac:dyDescent="0.25">
      <c r="A1" s="88" t="s">
        <v>1772</v>
      </c>
      <c r="B1" s="89"/>
      <c r="C1" s="89"/>
      <c r="D1" s="89"/>
      <c r="E1" s="89"/>
      <c r="F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33.75" customHeight="1" x14ac:dyDescent="0.25">
      <c r="A3" s="8" t="s">
        <v>2</v>
      </c>
      <c r="B3" s="8" t="s">
        <v>0</v>
      </c>
      <c r="C3" s="83" t="s">
        <v>1892</v>
      </c>
      <c r="D3" s="71" t="s">
        <v>1</v>
      </c>
      <c r="E3" s="64" t="s">
        <v>1820</v>
      </c>
      <c r="F3" s="63" t="s">
        <v>3</v>
      </c>
    </row>
    <row r="4" spans="1:9" ht="10.5" x14ac:dyDescent="0.25">
      <c r="A4" s="18" t="s">
        <v>662</v>
      </c>
      <c r="B4" s="19"/>
      <c r="C4" s="51"/>
      <c r="D4" s="20"/>
      <c r="E4" s="21"/>
      <c r="F4" s="22"/>
    </row>
    <row r="5" spans="1:9" ht="10.5" x14ac:dyDescent="0.25">
      <c r="A5" s="23" t="s">
        <v>23</v>
      </c>
      <c r="B5" s="24"/>
      <c r="C5" s="52"/>
      <c r="D5" s="25"/>
      <c r="E5" s="26"/>
      <c r="F5" s="27"/>
    </row>
    <row r="6" spans="1:9" x14ac:dyDescent="0.2">
      <c r="A6" s="24" t="s">
        <v>1407</v>
      </c>
      <c r="B6" s="24" t="s">
        <v>1408</v>
      </c>
      <c r="C6" s="52" t="s">
        <v>815</v>
      </c>
      <c r="D6" s="28">
        <v>34</v>
      </c>
      <c r="E6" s="26">
        <v>340.04419999999999</v>
      </c>
      <c r="F6" s="27">
        <v>8.9339775239312509</v>
      </c>
    </row>
    <row r="7" spans="1:9" x14ac:dyDescent="0.2">
      <c r="A7" s="24" t="s">
        <v>1430</v>
      </c>
      <c r="B7" s="24" t="s">
        <v>1431</v>
      </c>
      <c r="C7" s="52" t="s">
        <v>815</v>
      </c>
      <c r="D7" s="28">
        <v>32</v>
      </c>
      <c r="E7" s="26">
        <v>320.03199999999998</v>
      </c>
      <c r="F7" s="27">
        <v>8.4081972135938994</v>
      </c>
    </row>
    <row r="8" spans="1:9" ht="10.5" x14ac:dyDescent="0.25">
      <c r="A8" s="23" t="s">
        <v>24</v>
      </c>
      <c r="B8" s="23"/>
      <c r="C8" s="55"/>
      <c r="D8" s="29"/>
      <c r="E8" s="30">
        <f>SUM(E5:E7)</f>
        <v>660.07619999999997</v>
      </c>
      <c r="F8" s="31">
        <f>SUM(F5:F7)</f>
        <v>17.342174737525148</v>
      </c>
      <c r="G8" s="15"/>
      <c r="H8" s="15"/>
      <c r="I8" s="15"/>
    </row>
    <row r="9" spans="1:9" x14ac:dyDescent="0.2">
      <c r="A9" s="24"/>
      <c r="B9" s="24"/>
      <c r="C9" s="52"/>
      <c r="D9" s="25"/>
      <c r="E9" s="26"/>
      <c r="F9" s="27"/>
    </row>
    <row r="10" spans="1:9" ht="10.5" x14ac:dyDescent="0.25">
      <c r="A10" s="23" t="s">
        <v>44</v>
      </c>
      <c r="B10" s="24"/>
      <c r="C10" s="52"/>
      <c r="D10" s="25"/>
      <c r="E10" s="26"/>
      <c r="F10" s="27"/>
    </row>
    <row r="11" spans="1:9" x14ac:dyDescent="0.2">
      <c r="A11" s="24" t="s">
        <v>1771</v>
      </c>
      <c r="B11" s="44" t="s">
        <v>1796</v>
      </c>
      <c r="C11" s="52" t="s">
        <v>44</v>
      </c>
      <c r="D11" s="28">
        <v>102275.561</v>
      </c>
      <c r="E11" s="26">
        <v>3051.2360060000001</v>
      </c>
      <c r="F11" s="27">
        <v>80.165090002457802</v>
      </c>
    </row>
    <row r="12" spans="1:9" ht="10.5" x14ac:dyDescent="0.25">
      <c r="A12" s="23" t="s">
        <v>24</v>
      </c>
      <c r="B12" s="23"/>
      <c r="C12" s="23"/>
      <c r="D12" s="29"/>
      <c r="E12" s="30">
        <f>SUM(E11:E11)</f>
        <v>3051.2360060000001</v>
      </c>
      <c r="F12" s="31">
        <f>SUM(F11:F11)</f>
        <v>80.165090002457802</v>
      </c>
      <c r="G12" s="15"/>
      <c r="H12" s="15"/>
      <c r="I12" s="15"/>
    </row>
    <row r="13" spans="1:9" x14ac:dyDescent="0.2">
      <c r="A13" s="24"/>
      <c r="B13" s="24"/>
      <c r="C13" s="24"/>
      <c r="D13" s="25"/>
      <c r="E13" s="26"/>
      <c r="F13" s="27"/>
    </row>
    <row r="14" spans="1:9" ht="10.5" x14ac:dyDescent="0.25">
      <c r="A14" s="23" t="s">
        <v>25</v>
      </c>
      <c r="B14" s="23"/>
      <c r="C14" s="23"/>
      <c r="D14" s="29"/>
      <c r="E14" s="30">
        <f>E8+E12</f>
        <v>3711.3122060000001</v>
      </c>
      <c r="F14" s="31">
        <f>F8+F12</f>
        <v>97.507264739982958</v>
      </c>
      <c r="G14" s="15"/>
      <c r="H14" s="15"/>
      <c r="I14" s="15"/>
    </row>
    <row r="15" spans="1:9" ht="10.5" x14ac:dyDescent="0.25">
      <c r="A15" s="23"/>
      <c r="B15" s="23"/>
      <c r="C15" s="23"/>
      <c r="D15" s="29"/>
      <c r="E15" s="30"/>
      <c r="F15" s="31"/>
      <c r="G15" s="15"/>
      <c r="H15" s="15"/>
      <c r="I15" s="15"/>
    </row>
    <row r="16" spans="1:9" ht="10.5" x14ac:dyDescent="0.25">
      <c r="A16" s="23" t="s">
        <v>27</v>
      </c>
      <c r="B16" s="23"/>
      <c r="C16" s="23"/>
      <c r="D16" s="29"/>
      <c r="E16" s="30">
        <f>E18-(E8+E12)</f>
        <v>94.878251600000112</v>
      </c>
      <c r="F16" s="31">
        <f>F18-(F8+F12)</f>
        <v>2.4927352600170423</v>
      </c>
      <c r="G16" s="15"/>
      <c r="H16" s="15"/>
      <c r="I16" s="15"/>
    </row>
    <row r="17" spans="1:9" ht="10.5" x14ac:dyDescent="0.25">
      <c r="A17" s="23"/>
      <c r="B17" s="23"/>
      <c r="C17" s="23"/>
      <c r="D17" s="29"/>
      <c r="E17" s="30"/>
      <c r="F17" s="31"/>
      <c r="G17" s="15"/>
      <c r="H17" s="15"/>
      <c r="I17" s="15"/>
    </row>
    <row r="18" spans="1:9" ht="10.5" x14ac:dyDescent="0.25">
      <c r="A18" s="32" t="s">
        <v>26</v>
      </c>
      <c r="B18" s="32"/>
      <c r="C18" s="32"/>
      <c r="D18" s="33"/>
      <c r="E18" s="34">
        <v>3806.1904576000002</v>
      </c>
      <c r="F18" s="35">
        <v>100</v>
      </c>
      <c r="G18" s="15"/>
      <c r="H18" s="15"/>
      <c r="I18" s="15"/>
    </row>
    <row r="19" spans="1:9" ht="10.5" x14ac:dyDescent="0.25">
      <c r="A19" s="15" t="s">
        <v>872</v>
      </c>
    </row>
    <row r="21" spans="1:9" ht="10.5" x14ac:dyDescent="0.25">
      <c r="A21" s="15" t="s">
        <v>28</v>
      </c>
    </row>
    <row r="22" spans="1:9" ht="10.5" x14ac:dyDescent="0.25">
      <c r="A22" s="15" t="s">
        <v>29</v>
      </c>
    </row>
    <row r="23" spans="1:9" ht="10.5" x14ac:dyDescent="0.25">
      <c r="A23" s="15" t="s">
        <v>30</v>
      </c>
      <c r="B23" s="15"/>
      <c r="C23" s="36" t="s">
        <v>32</v>
      </c>
      <c r="D23" s="16" t="s">
        <v>31</v>
      </c>
    </row>
    <row r="24" spans="1:9" x14ac:dyDescent="0.2">
      <c r="A24" s="9" t="s">
        <v>38</v>
      </c>
      <c r="C24" s="37">
        <v>11.946899999999999</v>
      </c>
      <c r="D24" s="37">
        <v>12.3048</v>
      </c>
    </row>
    <row r="25" spans="1:9" x14ac:dyDescent="0.2">
      <c r="A25" s="9" t="s">
        <v>1600</v>
      </c>
      <c r="C25" s="37">
        <v>10.359299999999999</v>
      </c>
      <c r="D25" s="37">
        <v>10.045</v>
      </c>
    </row>
    <row r="26" spans="1:9" x14ac:dyDescent="0.2">
      <c r="A26" s="9" t="s">
        <v>39</v>
      </c>
      <c r="C26" s="37">
        <v>12.0008</v>
      </c>
      <c r="D26" s="37">
        <v>12.360300000000001</v>
      </c>
    </row>
    <row r="28" spans="1:9" ht="10.5" x14ac:dyDescent="0.25">
      <c r="A28" s="15" t="s">
        <v>1882</v>
      </c>
    </row>
    <row r="29" spans="1:9" ht="10.5" x14ac:dyDescent="0.25">
      <c r="A29" s="90" t="s">
        <v>33</v>
      </c>
      <c r="B29" s="91"/>
      <c r="C29" s="92" t="s">
        <v>1883</v>
      </c>
      <c r="D29" s="93"/>
    </row>
    <row r="30" spans="1:9" ht="10.5" x14ac:dyDescent="0.25">
      <c r="A30" s="90"/>
      <c r="B30" s="91"/>
      <c r="C30" s="38" t="s">
        <v>34</v>
      </c>
      <c r="D30" s="39" t="s">
        <v>35</v>
      </c>
    </row>
    <row r="31" spans="1:9" x14ac:dyDescent="0.2">
      <c r="A31" s="96" t="s">
        <v>1600</v>
      </c>
      <c r="B31" s="97"/>
      <c r="C31" s="40">
        <v>0.4502016875</v>
      </c>
      <c r="D31" s="40">
        <v>0.41688900629999998</v>
      </c>
    </row>
    <row r="33" spans="1:5" ht="10.5" x14ac:dyDescent="0.25">
      <c r="A33" s="15" t="s">
        <v>882</v>
      </c>
      <c r="D33" s="11">
        <v>1.8648930464480899E-2</v>
      </c>
      <c r="E33" s="11" t="s">
        <v>883</v>
      </c>
    </row>
    <row r="35" spans="1:5" ht="10.5" x14ac:dyDescent="0.25">
      <c r="A35" s="15" t="s">
        <v>884</v>
      </c>
      <c r="D35" s="41" t="s">
        <v>36</v>
      </c>
    </row>
  </sheetData>
  <mergeCells count="5">
    <mergeCell ref="A1:F1"/>
    <mergeCell ref="A29:B29"/>
    <mergeCell ref="C29:D29"/>
    <mergeCell ref="A30:B30"/>
    <mergeCell ref="A31:B31"/>
  </mergeCells>
  <conditionalFormatting sqref="F2 F4:F65536">
    <cfRule type="cellIs" dxfId="3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7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97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51.81640625" style="9" bestFit="1" customWidth="1"/>
    <col min="3" max="3" width="20.26953125" style="9" customWidth="1"/>
    <col min="4" max="4" width="15.453125" style="10" bestFit="1" customWidth="1"/>
    <col min="5" max="5" width="14" style="11" customWidth="1"/>
    <col min="6" max="6" width="8.7265625" style="14" customWidth="1"/>
    <col min="7" max="7" width="4.7265625" style="9" bestFit="1" customWidth="1"/>
    <col min="8" max="8" width="10.453125" style="9" bestFit="1" customWidth="1"/>
    <col min="9" max="16384" width="9.1796875" style="9"/>
  </cols>
  <sheetData>
    <row r="1" spans="1:6" s="1" customFormat="1" ht="14" x14ac:dyDescent="0.25">
      <c r="A1" s="88" t="s">
        <v>1773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32.25" customHeight="1" x14ac:dyDescent="0.25">
      <c r="A3" s="8" t="s">
        <v>2</v>
      </c>
      <c r="B3" s="8" t="s">
        <v>0</v>
      </c>
      <c r="C3" s="83" t="s">
        <v>1892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158000</v>
      </c>
      <c r="E6" s="26">
        <v>1361.8019999999999</v>
      </c>
      <c r="F6" s="27">
        <v>3.3059014337586099</v>
      </c>
    </row>
    <row r="7" spans="1:6" x14ac:dyDescent="0.2">
      <c r="A7" s="24" t="s">
        <v>50</v>
      </c>
      <c r="B7" s="24" t="s">
        <v>49</v>
      </c>
      <c r="C7" s="24" t="s">
        <v>51</v>
      </c>
      <c r="D7" s="28">
        <v>205373</v>
      </c>
      <c r="E7" s="26">
        <v>905.48955699999999</v>
      </c>
      <c r="F7" s="27">
        <v>2.1981603968416499</v>
      </c>
    </row>
    <row r="8" spans="1:6" x14ac:dyDescent="0.2">
      <c r="A8" s="24" t="s">
        <v>53</v>
      </c>
      <c r="B8" s="24" t="s">
        <v>52</v>
      </c>
      <c r="C8" s="24" t="s">
        <v>54</v>
      </c>
      <c r="D8" s="28">
        <v>25367</v>
      </c>
      <c r="E8" s="26">
        <v>791.64065249999999</v>
      </c>
      <c r="F8" s="27">
        <v>1.9217815571730399</v>
      </c>
    </row>
    <row r="9" spans="1:6" x14ac:dyDescent="0.2">
      <c r="A9" s="24" t="s">
        <v>56</v>
      </c>
      <c r="B9" s="24" t="s">
        <v>55</v>
      </c>
      <c r="C9" s="24" t="s">
        <v>48</v>
      </c>
      <c r="D9" s="28">
        <v>206475</v>
      </c>
      <c r="E9" s="26">
        <v>782.54025000000001</v>
      </c>
      <c r="F9" s="27">
        <v>1.8996894808854901</v>
      </c>
    </row>
    <row r="10" spans="1:6" x14ac:dyDescent="0.2">
      <c r="A10" s="24" t="s">
        <v>58</v>
      </c>
      <c r="B10" s="24" t="s">
        <v>57</v>
      </c>
      <c r="C10" s="24" t="s">
        <v>59</v>
      </c>
      <c r="D10" s="28">
        <v>109904</v>
      </c>
      <c r="E10" s="26">
        <v>705.03416000000004</v>
      </c>
      <c r="F10" s="27">
        <v>1.7115362148042099</v>
      </c>
    </row>
    <row r="11" spans="1:6" x14ac:dyDescent="0.2">
      <c r="A11" s="24" t="s">
        <v>61</v>
      </c>
      <c r="B11" s="24" t="s">
        <v>60</v>
      </c>
      <c r="C11" s="24" t="s">
        <v>48</v>
      </c>
      <c r="D11" s="28">
        <v>53853</v>
      </c>
      <c r="E11" s="26">
        <v>697.96180649999997</v>
      </c>
      <c r="F11" s="27">
        <v>1.6943674167148399</v>
      </c>
    </row>
    <row r="12" spans="1:6" x14ac:dyDescent="0.2">
      <c r="A12" s="24" t="s">
        <v>63</v>
      </c>
      <c r="B12" s="24" t="s">
        <v>62</v>
      </c>
      <c r="C12" s="24" t="s">
        <v>48</v>
      </c>
      <c r="D12" s="28">
        <v>206474</v>
      </c>
      <c r="E12" s="26">
        <v>668.45957499999997</v>
      </c>
      <c r="F12" s="27">
        <v>1.62274799670009</v>
      </c>
    </row>
    <row r="13" spans="1:6" x14ac:dyDescent="0.2">
      <c r="A13" s="24" t="s">
        <v>65</v>
      </c>
      <c r="B13" s="24" t="s">
        <v>64</v>
      </c>
      <c r="C13" s="24" t="s">
        <v>66</v>
      </c>
      <c r="D13" s="28">
        <v>79950</v>
      </c>
      <c r="E13" s="26">
        <v>380.64195000000001</v>
      </c>
      <c r="F13" s="27">
        <v>0.92404385384488696</v>
      </c>
    </row>
    <row r="14" spans="1:6" x14ac:dyDescent="0.2">
      <c r="A14" s="24" t="s">
        <v>68</v>
      </c>
      <c r="B14" s="24" t="s">
        <v>67</v>
      </c>
      <c r="C14" s="24" t="s">
        <v>69</v>
      </c>
      <c r="D14" s="28">
        <v>190244</v>
      </c>
      <c r="E14" s="26">
        <v>379.91726799999998</v>
      </c>
      <c r="F14" s="27">
        <v>0.92228462066501304</v>
      </c>
    </row>
    <row r="15" spans="1:6" x14ac:dyDescent="0.2">
      <c r="A15" s="24" t="s">
        <v>71</v>
      </c>
      <c r="B15" s="24" t="s">
        <v>70</v>
      </c>
      <c r="C15" s="24" t="s">
        <v>72</v>
      </c>
      <c r="D15" s="28">
        <v>26468</v>
      </c>
      <c r="E15" s="26">
        <v>331.56463600000001</v>
      </c>
      <c r="F15" s="27">
        <v>0.80490409438086696</v>
      </c>
    </row>
    <row r="16" spans="1:6" x14ac:dyDescent="0.2">
      <c r="A16" s="24" t="s">
        <v>74</v>
      </c>
      <c r="B16" s="24" t="s">
        <v>73</v>
      </c>
      <c r="C16" s="24" t="s">
        <v>75</v>
      </c>
      <c r="D16" s="28">
        <v>40000</v>
      </c>
      <c r="E16" s="26">
        <v>316.66000000000003</v>
      </c>
      <c r="F16" s="27">
        <v>0.76872169964062498</v>
      </c>
    </row>
    <row r="17" spans="1:6" x14ac:dyDescent="0.2">
      <c r="A17" s="24" t="s">
        <v>77</v>
      </c>
      <c r="B17" s="24" t="s">
        <v>76</v>
      </c>
      <c r="C17" s="24" t="s">
        <v>78</v>
      </c>
      <c r="D17" s="28">
        <v>156244</v>
      </c>
      <c r="E17" s="26">
        <v>297.01984399999998</v>
      </c>
      <c r="F17" s="27">
        <v>0.721043388197668</v>
      </c>
    </row>
    <row r="18" spans="1:6" x14ac:dyDescent="0.2">
      <c r="A18" s="24" t="s">
        <v>80</v>
      </c>
      <c r="B18" s="24" t="s">
        <v>79</v>
      </c>
      <c r="C18" s="24" t="s">
        <v>69</v>
      </c>
      <c r="D18" s="28">
        <v>168573</v>
      </c>
      <c r="E18" s="26">
        <v>290.7041385</v>
      </c>
      <c r="F18" s="27">
        <v>0.70571142373613305</v>
      </c>
    </row>
    <row r="19" spans="1:6" x14ac:dyDescent="0.2">
      <c r="A19" s="24" t="s">
        <v>82</v>
      </c>
      <c r="B19" s="24" t="s">
        <v>81</v>
      </c>
      <c r="C19" s="24" t="s">
        <v>83</v>
      </c>
      <c r="D19" s="28">
        <v>60000</v>
      </c>
      <c r="E19" s="26">
        <v>286.14</v>
      </c>
      <c r="F19" s="27">
        <v>0.69463155161740797</v>
      </c>
    </row>
    <row r="20" spans="1:6" x14ac:dyDescent="0.2">
      <c r="A20" s="24" t="s">
        <v>85</v>
      </c>
      <c r="B20" s="24" t="s">
        <v>84</v>
      </c>
      <c r="C20" s="24" t="s">
        <v>86</v>
      </c>
      <c r="D20" s="28">
        <v>254936</v>
      </c>
      <c r="E20" s="26">
        <v>243.97375199999999</v>
      </c>
      <c r="F20" s="27">
        <v>0.59226904978570205</v>
      </c>
    </row>
    <row r="21" spans="1:6" x14ac:dyDescent="0.2">
      <c r="A21" s="24" t="s">
        <v>88</v>
      </c>
      <c r="B21" s="24" t="s">
        <v>87</v>
      </c>
      <c r="C21" s="24" t="s">
        <v>72</v>
      </c>
      <c r="D21" s="28">
        <v>57182</v>
      </c>
      <c r="E21" s="26">
        <v>221.551659</v>
      </c>
      <c r="F21" s="27">
        <v>0.53783732667428896</v>
      </c>
    </row>
    <row r="22" spans="1:6" x14ac:dyDescent="0.2">
      <c r="A22" s="24" t="s">
        <v>90</v>
      </c>
      <c r="B22" s="24" t="s">
        <v>89</v>
      </c>
      <c r="C22" s="24" t="s">
        <v>91</v>
      </c>
      <c r="D22" s="28">
        <v>130625</v>
      </c>
      <c r="E22" s="26">
        <v>207.824375</v>
      </c>
      <c r="F22" s="27">
        <v>0.50451306378055505</v>
      </c>
    </row>
    <row r="23" spans="1:6" x14ac:dyDescent="0.2">
      <c r="A23" s="24" t="s">
        <v>93</v>
      </c>
      <c r="B23" s="24" t="s">
        <v>92</v>
      </c>
      <c r="C23" s="24" t="s">
        <v>94</v>
      </c>
      <c r="D23" s="28">
        <v>74355</v>
      </c>
      <c r="E23" s="26">
        <v>200.46108000000001</v>
      </c>
      <c r="F23" s="27">
        <v>0.48663797805025999</v>
      </c>
    </row>
    <row r="24" spans="1:6" x14ac:dyDescent="0.2">
      <c r="A24" s="24" t="s">
        <v>96</v>
      </c>
      <c r="B24" s="24" t="s">
        <v>95</v>
      </c>
      <c r="C24" s="24" t="s">
        <v>54</v>
      </c>
      <c r="D24" s="28">
        <v>72000</v>
      </c>
      <c r="E24" s="26">
        <v>192.42</v>
      </c>
      <c r="F24" s="27">
        <v>0.46711750598385998</v>
      </c>
    </row>
    <row r="25" spans="1:6" x14ac:dyDescent="0.2">
      <c r="A25" s="24" t="s">
        <v>98</v>
      </c>
      <c r="B25" s="24" t="s">
        <v>97</v>
      </c>
      <c r="C25" s="24" t="s">
        <v>99</v>
      </c>
      <c r="D25" s="28">
        <v>66526</v>
      </c>
      <c r="E25" s="26">
        <v>189.56583699999999</v>
      </c>
      <c r="F25" s="27">
        <v>0.46018875896051797</v>
      </c>
    </row>
    <row r="26" spans="1:6" x14ac:dyDescent="0.2">
      <c r="A26" s="24" t="s">
        <v>101</v>
      </c>
      <c r="B26" s="24" t="s">
        <v>100</v>
      </c>
      <c r="C26" s="24" t="s">
        <v>91</v>
      </c>
      <c r="D26" s="28">
        <v>221251</v>
      </c>
      <c r="E26" s="26">
        <v>186.293342</v>
      </c>
      <c r="F26" s="27">
        <v>0.45224447196984902</v>
      </c>
    </row>
    <row r="27" spans="1:6" x14ac:dyDescent="0.2">
      <c r="A27" s="24" t="s">
        <v>103</v>
      </c>
      <c r="B27" s="24" t="s">
        <v>102</v>
      </c>
      <c r="C27" s="24" t="s">
        <v>48</v>
      </c>
      <c r="D27" s="28">
        <v>88509</v>
      </c>
      <c r="E27" s="26">
        <v>174.22996649999999</v>
      </c>
      <c r="F27" s="27">
        <v>0.42295950223018097</v>
      </c>
    </row>
    <row r="28" spans="1:6" x14ac:dyDescent="0.2">
      <c r="A28" s="24" t="s">
        <v>1775</v>
      </c>
      <c r="B28" s="24" t="s">
        <v>1776</v>
      </c>
      <c r="C28" s="24" t="s">
        <v>54</v>
      </c>
      <c r="D28" s="28">
        <v>7072</v>
      </c>
      <c r="E28" s="26">
        <v>139.445696</v>
      </c>
      <c r="F28" s="27">
        <v>0.33851743964090802</v>
      </c>
    </row>
    <row r="29" spans="1:6" x14ac:dyDescent="0.2">
      <c r="A29" s="24" t="s">
        <v>105</v>
      </c>
      <c r="B29" s="24" t="s">
        <v>104</v>
      </c>
      <c r="C29" s="24" t="s">
        <v>72</v>
      </c>
      <c r="D29" s="28">
        <v>15000</v>
      </c>
      <c r="E29" s="26">
        <v>137.82749999999999</v>
      </c>
      <c r="F29" s="27">
        <v>0.334589117846328</v>
      </c>
    </row>
    <row r="30" spans="1:6" x14ac:dyDescent="0.2">
      <c r="A30" s="24" t="s">
        <v>107</v>
      </c>
      <c r="B30" s="24" t="s">
        <v>106</v>
      </c>
      <c r="C30" s="24" t="s">
        <v>78</v>
      </c>
      <c r="D30" s="28">
        <v>43000</v>
      </c>
      <c r="E30" s="26">
        <v>136.267</v>
      </c>
      <c r="F30" s="27">
        <v>0.33080085847574398</v>
      </c>
    </row>
    <row r="31" spans="1:6" x14ac:dyDescent="0.2">
      <c r="A31" s="24" t="s">
        <v>109</v>
      </c>
      <c r="B31" s="24" t="s">
        <v>108</v>
      </c>
      <c r="C31" s="24" t="s">
        <v>110</v>
      </c>
      <c r="D31" s="28">
        <v>32100</v>
      </c>
      <c r="E31" s="26">
        <v>104.8707</v>
      </c>
      <c r="F31" s="27">
        <v>0.25458341042917398</v>
      </c>
    </row>
    <row r="32" spans="1:6" x14ac:dyDescent="0.2">
      <c r="A32" s="24" t="s">
        <v>112</v>
      </c>
      <c r="B32" s="24" t="s">
        <v>111</v>
      </c>
      <c r="C32" s="24" t="s">
        <v>113</v>
      </c>
      <c r="D32" s="28">
        <v>65910</v>
      </c>
      <c r="E32" s="26">
        <v>100.77639000000001</v>
      </c>
      <c r="F32" s="27">
        <v>0.244644090837007</v>
      </c>
    </row>
    <row r="33" spans="1:9" x14ac:dyDescent="0.2">
      <c r="A33" s="24" t="s">
        <v>115</v>
      </c>
      <c r="B33" s="24" t="s">
        <v>114</v>
      </c>
      <c r="C33" s="24" t="s">
        <v>99</v>
      </c>
      <c r="D33" s="28">
        <v>4923</v>
      </c>
      <c r="E33" s="26">
        <v>99.560290499999994</v>
      </c>
      <c r="F33" s="27">
        <v>0.24169189581846301</v>
      </c>
    </row>
    <row r="34" spans="1:9" x14ac:dyDescent="0.2">
      <c r="A34" s="24" t="s">
        <v>117</v>
      </c>
      <c r="B34" s="24" t="s">
        <v>116</v>
      </c>
      <c r="C34" s="24" t="s">
        <v>118</v>
      </c>
      <c r="D34" s="28">
        <v>153047</v>
      </c>
      <c r="E34" s="26">
        <v>69.712908499999998</v>
      </c>
      <c r="F34" s="27">
        <v>0.16923459075668301</v>
      </c>
    </row>
    <row r="35" spans="1:9" x14ac:dyDescent="0.2">
      <c r="A35" s="24" t="s">
        <v>120</v>
      </c>
      <c r="B35" s="24" t="s">
        <v>119</v>
      </c>
      <c r="C35" s="24" t="s">
        <v>99</v>
      </c>
      <c r="D35" s="28">
        <v>23121</v>
      </c>
      <c r="E35" s="26">
        <v>68.796535500000005</v>
      </c>
      <c r="F35" s="27">
        <v>0.167010009786353</v>
      </c>
    </row>
    <row r="36" spans="1:9" x14ac:dyDescent="0.2">
      <c r="A36" s="24" t="s">
        <v>122</v>
      </c>
      <c r="B36" s="24" t="s">
        <v>121</v>
      </c>
      <c r="C36" s="24" t="s">
        <v>48</v>
      </c>
      <c r="D36" s="28">
        <v>301582</v>
      </c>
      <c r="E36" s="26">
        <v>60.919564000000001</v>
      </c>
      <c r="F36" s="27">
        <v>0.147887926417754</v>
      </c>
    </row>
    <row r="37" spans="1:9" x14ac:dyDescent="0.2">
      <c r="A37" s="24" t="s">
        <v>124</v>
      </c>
      <c r="B37" s="24" t="s">
        <v>123</v>
      </c>
      <c r="C37" s="24" t="s">
        <v>99</v>
      </c>
      <c r="D37" s="28">
        <v>74940</v>
      </c>
      <c r="E37" s="26">
        <v>53.244869999999999</v>
      </c>
      <c r="F37" s="27">
        <v>0.129256890556256</v>
      </c>
    </row>
    <row r="38" spans="1:9" x14ac:dyDescent="0.2">
      <c r="A38" s="24" t="s">
        <v>126</v>
      </c>
      <c r="B38" s="24" t="s">
        <v>125</v>
      </c>
      <c r="C38" s="24" t="s">
        <v>127</v>
      </c>
      <c r="D38" s="28">
        <v>984</v>
      </c>
      <c r="E38" s="26">
        <v>1.3780920000000001</v>
      </c>
      <c r="F38" s="27">
        <v>3.34544692888634E-3</v>
      </c>
    </row>
    <row r="39" spans="1:9" ht="10.5" x14ac:dyDescent="0.25">
      <c r="A39" s="23" t="s">
        <v>24</v>
      </c>
      <c r="B39" s="23"/>
      <c r="C39" s="23"/>
      <c r="D39" s="29"/>
      <c r="E39" s="30">
        <f>SUM(E6:E38)</f>
        <v>10784.695395500001</v>
      </c>
      <c r="F39" s="31">
        <f>SUM(F6:F38)</f>
        <v>26.1808544638893</v>
      </c>
      <c r="G39" s="15"/>
      <c r="H39" s="15"/>
      <c r="I39" s="15"/>
    </row>
    <row r="40" spans="1:9" x14ac:dyDescent="0.2">
      <c r="A40" s="24"/>
      <c r="B40" s="24"/>
      <c r="C40" s="24"/>
      <c r="D40" s="25"/>
      <c r="E40" s="26"/>
      <c r="F40" s="27"/>
    </row>
    <row r="41" spans="1:9" ht="10.5" x14ac:dyDescent="0.25">
      <c r="A41" s="23" t="s">
        <v>662</v>
      </c>
      <c r="B41" s="24"/>
      <c r="C41" s="24"/>
      <c r="D41" s="25"/>
      <c r="E41" s="26"/>
      <c r="F41" s="27"/>
    </row>
    <row r="42" spans="1:9" ht="10.5" x14ac:dyDescent="0.25">
      <c r="A42" s="23" t="s">
        <v>23</v>
      </c>
      <c r="B42" s="24"/>
      <c r="C42" s="24"/>
      <c r="D42" s="25"/>
      <c r="E42" s="26"/>
      <c r="F42" s="27"/>
    </row>
    <row r="43" spans="1:9" x14ac:dyDescent="0.2">
      <c r="A43" s="24" t="s">
        <v>1274</v>
      </c>
      <c r="B43" s="24" t="s">
        <v>1275</v>
      </c>
      <c r="C43" s="24" t="s">
        <v>815</v>
      </c>
      <c r="D43" s="28">
        <v>400</v>
      </c>
      <c r="E43" s="26">
        <v>3913.4560000000001</v>
      </c>
      <c r="F43" s="27">
        <v>9.5002796304831794</v>
      </c>
    </row>
    <row r="44" spans="1:9" x14ac:dyDescent="0.2">
      <c r="A44" s="24" t="s">
        <v>1777</v>
      </c>
      <c r="B44" s="24" t="s">
        <v>1778</v>
      </c>
      <c r="C44" s="24" t="s">
        <v>766</v>
      </c>
      <c r="D44" s="28">
        <v>250</v>
      </c>
      <c r="E44" s="26">
        <v>2510.355</v>
      </c>
      <c r="F44" s="27">
        <v>6.0941210203415102</v>
      </c>
    </row>
    <row r="45" spans="1:9" x14ac:dyDescent="0.2">
      <c r="A45" s="24" t="s">
        <v>1417</v>
      </c>
      <c r="B45" s="24" t="s">
        <v>1418</v>
      </c>
      <c r="C45" s="24" t="s">
        <v>815</v>
      </c>
      <c r="D45" s="28">
        <v>150</v>
      </c>
      <c r="E45" s="26">
        <v>1619.9490000000001</v>
      </c>
      <c r="F45" s="27">
        <v>3.9325773656638998</v>
      </c>
    </row>
    <row r="46" spans="1:9" x14ac:dyDescent="0.2">
      <c r="A46" s="24" t="s">
        <v>1237</v>
      </c>
      <c r="B46" s="24" t="s">
        <v>1238</v>
      </c>
      <c r="C46" s="24" t="s">
        <v>815</v>
      </c>
      <c r="D46" s="28">
        <v>150</v>
      </c>
      <c r="E46" s="26">
        <v>1614.8009999999999</v>
      </c>
      <c r="F46" s="27">
        <v>3.92008011526995</v>
      </c>
    </row>
    <row r="47" spans="1:9" x14ac:dyDescent="0.2">
      <c r="A47" s="24" t="s">
        <v>799</v>
      </c>
      <c r="B47" s="24" t="s">
        <v>800</v>
      </c>
      <c r="C47" s="24" t="s">
        <v>801</v>
      </c>
      <c r="D47" s="28">
        <v>150</v>
      </c>
      <c r="E47" s="26">
        <v>1526.463</v>
      </c>
      <c r="F47" s="27">
        <v>3.7056313768664402</v>
      </c>
    </row>
    <row r="48" spans="1:9" x14ac:dyDescent="0.2">
      <c r="A48" s="24" t="s">
        <v>1423</v>
      </c>
      <c r="B48" s="24" t="s">
        <v>1424</v>
      </c>
      <c r="C48" s="24" t="s">
        <v>842</v>
      </c>
      <c r="D48" s="28">
        <v>150</v>
      </c>
      <c r="E48" s="26">
        <v>1492.7294999999999</v>
      </c>
      <c r="F48" s="27">
        <v>3.6237401577202699</v>
      </c>
    </row>
    <row r="49" spans="1:9" x14ac:dyDescent="0.2">
      <c r="A49" s="24" t="s">
        <v>1779</v>
      </c>
      <c r="B49" s="24" t="s">
        <v>1780</v>
      </c>
      <c r="C49" s="24" t="s">
        <v>668</v>
      </c>
      <c r="D49" s="28">
        <v>130</v>
      </c>
      <c r="E49" s="26">
        <v>1278.5929000000001</v>
      </c>
      <c r="F49" s="27">
        <v>3.1039035787167202</v>
      </c>
    </row>
    <row r="50" spans="1:9" x14ac:dyDescent="0.2">
      <c r="A50" s="24" t="s">
        <v>1343</v>
      </c>
      <c r="B50" s="24" t="s">
        <v>1344</v>
      </c>
      <c r="C50" s="24" t="s">
        <v>815</v>
      </c>
      <c r="D50" s="28">
        <v>100</v>
      </c>
      <c r="E50" s="26">
        <v>1076.1130000000001</v>
      </c>
      <c r="F50" s="27">
        <v>2.6123647267269998</v>
      </c>
    </row>
    <row r="51" spans="1:9" x14ac:dyDescent="0.2">
      <c r="A51" s="24" t="s">
        <v>735</v>
      </c>
      <c r="B51" s="24" t="s">
        <v>736</v>
      </c>
      <c r="C51" s="24" t="s">
        <v>737</v>
      </c>
      <c r="D51" s="28">
        <v>100</v>
      </c>
      <c r="E51" s="26">
        <v>1049.9770000000001</v>
      </c>
      <c r="F51" s="27">
        <v>2.5489171478038402</v>
      </c>
    </row>
    <row r="52" spans="1:9" x14ac:dyDescent="0.2">
      <c r="A52" s="24" t="s">
        <v>1458</v>
      </c>
      <c r="B52" s="24" t="s">
        <v>1459</v>
      </c>
      <c r="C52" s="24" t="s">
        <v>815</v>
      </c>
      <c r="D52" s="28">
        <v>100</v>
      </c>
      <c r="E52" s="26">
        <v>1018.895</v>
      </c>
      <c r="F52" s="27">
        <v>2.4734626923366898</v>
      </c>
    </row>
    <row r="53" spans="1:9" x14ac:dyDescent="0.2">
      <c r="A53" s="24" t="s">
        <v>1248</v>
      </c>
      <c r="B53" s="24" t="s">
        <v>1249</v>
      </c>
      <c r="C53" s="24" t="s">
        <v>697</v>
      </c>
      <c r="D53" s="28">
        <v>100</v>
      </c>
      <c r="E53" s="26">
        <v>989.02599999999995</v>
      </c>
      <c r="F53" s="27">
        <v>2.4009529075625902</v>
      </c>
    </row>
    <row r="54" spans="1:9" x14ac:dyDescent="0.2">
      <c r="A54" s="24" t="s">
        <v>1337</v>
      </c>
      <c r="B54" s="24" t="s">
        <v>1338</v>
      </c>
      <c r="C54" s="24" t="s">
        <v>1328</v>
      </c>
      <c r="D54" s="28">
        <v>85</v>
      </c>
      <c r="E54" s="26">
        <v>919.06674999999996</v>
      </c>
      <c r="F54" s="27">
        <v>2.2311202998269</v>
      </c>
    </row>
    <row r="55" spans="1:9" x14ac:dyDescent="0.2">
      <c r="A55" s="24" t="s">
        <v>1301</v>
      </c>
      <c r="B55" s="24" t="s">
        <v>1302</v>
      </c>
      <c r="C55" s="24" t="s">
        <v>815</v>
      </c>
      <c r="D55" s="28">
        <v>60</v>
      </c>
      <c r="E55" s="26">
        <v>650.57820000000004</v>
      </c>
      <c r="F55" s="27">
        <v>1.57933929025813</v>
      </c>
    </row>
    <row r="56" spans="1:9" x14ac:dyDescent="0.2">
      <c r="A56" s="24" t="s">
        <v>977</v>
      </c>
      <c r="B56" s="24" t="s">
        <v>978</v>
      </c>
      <c r="C56" s="24" t="s">
        <v>665</v>
      </c>
      <c r="D56" s="28">
        <v>60</v>
      </c>
      <c r="E56" s="26">
        <v>600.81600000000003</v>
      </c>
      <c r="F56" s="27">
        <v>1.4585369061178599</v>
      </c>
    </row>
    <row r="57" spans="1:9" x14ac:dyDescent="0.2">
      <c r="A57" s="24" t="s">
        <v>671</v>
      </c>
      <c r="B57" s="24" t="s">
        <v>672</v>
      </c>
      <c r="C57" s="24" t="s">
        <v>673</v>
      </c>
      <c r="D57" s="28">
        <v>50</v>
      </c>
      <c r="E57" s="26">
        <v>499.738</v>
      </c>
      <c r="F57" s="27">
        <v>1.21316062886063</v>
      </c>
    </row>
    <row r="58" spans="1:9" x14ac:dyDescent="0.2">
      <c r="A58" s="24" t="s">
        <v>1379</v>
      </c>
      <c r="B58" s="24" t="s">
        <v>1380</v>
      </c>
      <c r="C58" s="24" t="s">
        <v>815</v>
      </c>
      <c r="D58" s="28">
        <v>25</v>
      </c>
      <c r="E58" s="26">
        <v>259.92075</v>
      </c>
      <c r="F58" s="27">
        <v>0.630981875550641</v>
      </c>
    </row>
    <row r="59" spans="1:9" x14ac:dyDescent="0.2">
      <c r="A59" s="24" t="s">
        <v>1415</v>
      </c>
      <c r="B59" s="24" t="s">
        <v>1416</v>
      </c>
      <c r="C59" s="24" t="s">
        <v>815</v>
      </c>
      <c r="D59" s="28">
        <v>5</v>
      </c>
      <c r="E59" s="26">
        <v>54.850549999999998</v>
      </c>
      <c r="F59" s="27">
        <v>0.13315482859288499</v>
      </c>
    </row>
    <row r="60" spans="1:9" ht="10.5" x14ac:dyDescent="0.25">
      <c r="A60" s="23" t="s">
        <v>24</v>
      </c>
      <c r="B60" s="23"/>
      <c r="C60" s="23"/>
      <c r="D60" s="29"/>
      <c r="E60" s="30">
        <f>SUM(E42:E59)</f>
        <v>21075.327649999999</v>
      </c>
      <c r="F60" s="31">
        <f>SUM(F42:F59)</f>
        <v>51.162324548699132</v>
      </c>
      <c r="G60" s="15"/>
      <c r="H60" s="15"/>
      <c r="I60" s="15"/>
    </row>
    <row r="61" spans="1:9" x14ac:dyDescent="0.2">
      <c r="A61" s="24"/>
      <c r="B61" s="24"/>
      <c r="C61" s="24"/>
      <c r="D61" s="25"/>
      <c r="E61" s="26"/>
      <c r="F61" s="27"/>
    </row>
    <row r="62" spans="1:9" ht="10.5" x14ac:dyDescent="0.25">
      <c r="A62" s="23" t="s">
        <v>818</v>
      </c>
      <c r="B62" s="24"/>
      <c r="C62" s="24"/>
      <c r="D62" s="25"/>
      <c r="E62" s="26"/>
      <c r="F62" s="27"/>
    </row>
    <row r="63" spans="1:9" x14ac:dyDescent="0.2">
      <c r="A63" s="24" t="s">
        <v>859</v>
      </c>
      <c r="B63" s="24" t="s">
        <v>860</v>
      </c>
      <c r="C63" s="24" t="s">
        <v>665</v>
      </c>
      <c r="D63" s="28">
        <v>14</v>
      </c>
      <c r="E63" s="26">
        <v>1808.5437999999999</v>
      </c>
      <c r="F63" s="27">
        <v>4.3904088416930298</v>
      </c>
    </row>
    <row r="64" spans="1:9" ht="10.5" x14ac:dyDescent="0.25">
      <c r="A64" s="23" t="s">
        <v>24</v>
      </c>
      <c r="B64" s="23"/>
      <c r="C64" s="23"/>
      <c r="D64" s="29"/>
      <c r="E64" s="30">
        <f>SUM(E62:E63)</f>
        <v>1808.5437999999999</v>
      </c>
      <c r="F64" s="31">
        <f>SUM(F62:F63)</f>
        <v>4.3904088416930298</v>
      </c>
      <c r="G64" s="15"/>
      <c r="H64" s="15"/>
      <c r="I64" s="15"/>
    </row>
    <row r="65" spans="1:9" x14ac:dyDescent="0.2">
      <c r="A65" s="24"/>
      <c r="B65" s="24"/>
      <c r="C65" s="24"/>
      <c r="D65" s="25"/>
      <c r="E65" s="26"/>
      <c r="F65" s="27"/>
    </row>
    <row r="66" spans="1:9" ht="10.5" x14ac:dyDescent="0.25">
      <c r="A66" s="23" t="s">
        <v>1263</v>
      </c>
      <c r="B66" s="24"/>
      <c r="C66" s="24"/>
      <c r="D66" s="25"/>
      <c r="E66" s="26"/>
      <c r="F66" s="27"/>
    </row>
    <row r="67" spans="1:9" x14ac:dyDescent="0.2">
      <c r="A67" s="24" t="s">
        <v>1264</v>
      </c>
      <c r="B67" s="24" t="s">
        <v>1265</v>
      </c>
      <c r="C67" s="24" t="s">
        <v>1266</v>
      </c>
      <c r="D67" s="28">
        <v>4000000</v>
      </c>
      <c r="E67" s="26">
        <v>4303.2960000000003</v>
      </c>
      <c r="F67" s="27">
        <v>10.446652609034</v>
      </c>
    </row>
    <row r="68" spans="1:9" x14ac:dyDescent="0.2">
      <c r="A68" s="24" t="s">
        <v>1269</v>
      </c>
      <c r="B68" s="24" t="s">
        <v>1881</v>
      </c>
      <c r="C68" s="24" t="s">
        <v>1266</v>
      </c>
      <c r="D68" s="28">
        <v>900000</v>
      </c>
      <c r="E68" s="26">
        <v>943.15319999999997</v>
      </c>
      <c r="F68" s="27">
        <v>2.2895924048679799</v>
      </c>
    </row>
    <row r="69" spans="1:9" x14ac:dyDescent="0.2">
      <c r="A69" s="24" t="s">
        <v>1267</v>
      </c>
      <c r="B69" s="24" t="s">
        <v>1268</v>
      </c>
      <c r="C69" s="24" t="s">
        <v>1266</v>
      </c>
      <c r="D69" s="28">
        <v>600000</v>
      </c>
      <c r="E69" s="26">
        <v>613.97040000000004</v>
      </c>
      <c r="F69" s="27">
        <v>1.4904704396420001</v>
      </c>
    </row>
    <row r="70" spans="1:9" ht="10.5" x14ac:dyDescent="0.25">
      <c r="A70" s="23" t="s">
        <v>24</v>
      </c>
      <c r="B70" s="23"/>
      <c r="C70" s="23"/>
      <c r="D70" s="29"/>
      <c r="E70" s="30">
        <f>SUM(E67:E69)</f>
        <v>5860.4196000000002</v>
      </c>
      <c r="F70" s="31">
        <f>SUM(F67:F69)</f>
        <v>14.22671545354398</v>
      </c>
      <c r="G70" s="15"/>
      <c r="H70" s="15"/>
      <c r="I70" s="15"/>
    </row>
    <row r="71" spans="1:9" x14ac:dyDescent="0.2">
      <c r="A71" s="24"/>
      <c r="B71" s="24"/>
      <c r="C71" s="24"/>
      <c r="D71" s="25"/>
      <c r="E71" s="26"/>
      <c r="F71" s="27"/>
    </row>
    <row r="72" spans="1:9" ht="10.5" x14ac:dyDescent="0.25">
      <c r="A72" s="23" t="s">
        <v>25</v>
      </c>
      <c r="B72" s="23"/>
      <c r="C72" s="23"/>
      <c r="D72" s="29"/>
      <c r="E72" s="30">
        <f>E39+E60+E64+E70</f>
        <v>39528.986445499999</v>
      </c>
      <c r="F72" s="31">
        <f>F39+F60+F64+F70</f>
        <v>95.960303307825441</v>
      </c>
      <c r="G72" s="15"/>
      <c r="H72" s="15"/>
      <c r="I72" s="15"/>
    </row>
    <row r="73" spans="1:9" ht="10.5" x14ac:dyDescent="0.25">
      <c r="A73" s="23"/>
      <c r="B73" s="23"/>
      <c r="C73" s="23"/>
      <c r="D73" s="29"/>
      <c r="E73" s="30"/>
      <c r="F73" s="31"/>
      <c r="G73" s="15"/>
      <c r="H73" s="15"/>
      <c r="I73" s="15"/>
    </row>
    <row r="74" spans="1:9" ht="10.5" x14ac:dyDescent="0.25">
      <c r="A74" s="23" t="s">
        <v>27</v>
      </c>
      <c r="B74" s="23"/>
      <c r="C74" s="23"/>
      <c r="D74" s="29"/>
      <c r="E74" s="30">
        <f>E76-(E39+E60+E64+E70)</f>
        <v>1664.074729699998</v>
      </c>
      <c r="F74" s="31">
        <f>F76-(F39+F60+F64+F70)</f>
        <v>4.0396966921745587</v>
      </c>
      <c r="G74" s="15"/>
      <c r="H74" s="15"/>
      <c r="I74" s="15"/>
    </row>
    <row r="75" spans="1:9" ht="10.5" x14ac:dyDescent="0.25">
      <c r="A75" s="23"/>
      <c r="B75" s="23"/>
      <c r="C75" s="23"/>
      <c r="D75" s="29"/>
      <c r="E75" s="30"/>
      <c r="F75" s="31"/>
      <c r="G75" s="15"/>
      <c r="H75" s="15"/>
      <c r="I75" s="15"/>
    </row>
    <row r="76" spans="1:9" ht="10.5" x14ac:dyDescent="0.25">
      <c r="A76" s="32" t="s">
        <v>26</v>
      </c>
      <c r="B76" s="32"/>
      <c r="C76" s="32"/>
      <c r="D76" s="33"/>
      <c r="E76" s="34">
        <v>41193.061175199997</v>
      </c>
      <c r="F76" s="35">
        <v>100</v>
      </c>
      <c r="G76" s="15"/>
      <c r="H76" s="15"/>
      <c r="I76" s="15"/>
    </row>
    <row r="77" spans="1:9" ht="15" customHeight="1" x14ac:dyDescent="0.25">
      <c r="A77" s="9" t="s">
        <v>1855</v>
      </c>
      <c r="E77" s="99" t="s">
        <v>37</v>
      </c>
      <c r="F77" s="99"/>
    </row>
    <row r="78" spans="1:9" ht="10.5" x14ac:dyDescent="0.25">
      <c r="A78" s="15" t="s">
        <v>872</v>
      </c>
      <c r="F78" s="17"/>
    </row>
    <row r="79" spans="1:9" ht="10.5" x14ac:dyDescent="0.25">
      <c r="A79" s="15" t="s">
        <v>1818</v>
      </c>
      <c r="F79" s="17"/>
    </row>
    <row r="81" spans="1:5" ht="10.5" x14ac:dyDescent="0.25">
      <c r="A81" s="15" t="s">
        <v>28</v>
      </c>
    </row>
    <row r="82" spans="1:5" ht="10.5" x14ac:dyDescent="0.25">
      <c r="A82" s="15" t="s">
        <v>29</v>
      </c>
    </row>
    <row r="83" spans="1:5" ht="10.5" x14ac:dyDescent="0.25">
      <c r="A83" s="15" t="s">
        <v>30</v>
      </c>
      <c r="B83" s="15"/>
      <c r="C83" s="36" t="s">
        <v>32</v>
      </c>
      <c r="D83" s="16" t="s">
        <v>31</v>
      </c>
    </row>
    <row r="84" spans="1:5" x14ac:dyDescent="0.2">
      <c r="A84" s="9" t="s">
        <v>38</v>
      </c>
      <c r="C84" s="37">
        <v>129.7133</v>
      </c>
      <c r="D84" s="37">
        <v>122.73650000000001</v>
      </c>
    </row>
    <row r="85" spans="1:5" x14ac:dyDescent="0.2">
      <c r="A85" s="9" t="s">
        <v>40</v>
      </c>
      <c r="C85" s="37">
        <v>17.451699999999999</v>
      </c>
      <c r="D85" s="37">
        <v>15.140499999999999</v>
      </c>
    </row>
    <row r="86" spans="1:5" x14ac:dyDescent="0.2">
      <c r="A86" s="9" t="s">
        <v>39</v>
      </c>
      <c r="C86" s="37">
        <v>135.95439999999999</v>
      </c>
      <c r="D86" s="37">
        <v>129.14830000000001</v>
      </c>
    </row>
    <row r="87" spans="1:5" x14ac:dyDescent="0.2">
      <c r="A87" s="9" t="s">
        <v>41</v>
      </c>
      <c r="C87" s="37">
        <v>18.447500000000002</v>
      </c>
      <c r="D87" s="37">
        <v>16.145700000000001</v>
      </c>
    </row>
    <row r="89" spans="1:5" ht="10.5" x14ac:dyDescent="0.25">
      <c r="A89" s="15" t="s">
        <v>1882</v>
      </c>
    </row>
    <row r="90" spans="1:5" ht="10.5" x14ac:dyDescent="0.25">
      <c r="A90" s="90" t="s">
        <v>33</v>
      </c>
      <c r="B90" s="91"/>
      <c r="C90" s="92" t="s">
        <v>1883</v>
      </c>
      <c r="D90" s="93"/>
    </row>
    <row r="91" spans="1:5" ht="10.5" x14ac:dyDescent="0.25">
      <c r="A91" s="90"/>
      <c r="B91" s="91"/>
      <c r="C91" s="38" t="s">
        <v>34</v>
      </c>
      <c r="D91" s="39" t="s">
        <v>35</v>
      </c>
    </row>
    <row r="92" spans="1:5" x14ac:dyDescent="0.2">
      <c r="A92" s="96" t="s">
        <v>40</v>
      </c>
      <c r="B92" s="97"/>
      <c r="C92" s="40">
        <v>1.0804840499999999</v>
      </c>
      <c r="D92" s="40">
        <v>1.0005336149999999</v>
      </c>
    </row>
    <row r="93" spans="1:5" x14ac:dyDescent="0.2">
      <c r="A93" s="96" t="s">
        <v>41</v>
      </c>
      <c r="B93" s="97"/>
      <c r="C93" s="40">
        <v>1.0804840499999999</v>
      </c>
      <c r="D93" s="40">
        <v>1.0005336149999999</v>
      </c>
    </row>
    <row r="95" spans="1:5" ht="10.5" x14ac:dyDescent="0.25">
      <c r="A95" s="15" t="s">
        <v>882</v>
      </c>
      <c r="D95" s="11">
        <v>5.1229507457642702</v>
      </c>
      <c r="E95" s="11" t="s">
        <v>883</v>
      </c>
    </row>
    <row r="97" spans="1:4" ht="10.5" x14ac:dyDescent="0.25">
      <c r="A97" s="15" t="s">
        <v>884</v>
      </c>
      <c r="D97" s="41" t="s">
        <v>36</v>
      </c>
    </row>
  </sheetData>
  <mergeCells count="7">
    <mergeCell ref="A93:B93"/>
    <mergeCell ref="E77:F77"/>
    <mergeCell ref="A1:F1"/>
    <mergeCell ref="A90:B90"/>
    <mergeCell ref="C90:D90"/>
    <mergeCell ref="A91:B91"/>
    <mergeCell ref="A92:B92"/>
  </mergeCells>
  <conditionalFormatting sqref="F4:F76 F2 E77 F78:F65536">
    <cfRule type="cellIs" dxfId="35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5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2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46.26953125" style="9" bestFit="1" customWidth="1"/>
    <col min="3" max="3" width="19.81640625" style="9" customWidth="1"/>
    <col min="4" max="4" width="15.453125" style="10" bestFit="1" customWidth="1"/>
    <col min="5" max="5" width="13.26953125" style="11" customWidth="1"/>
    <col min="6" max="6" width="8.26953125" style="14" customWidth="1"/>
    <col min="7" max="7" width="6" style="9" bestFit="1" customWidth="1"/>
    <col min="8" max="16384" width="9.1796875" style="9"/>
  </cols>
  <sheetData>
    <row r="1" spans="1:6" s="1" customFormat="1" ht="14" x14ac:dyDescent="0.25">
      <c r="A1" s="88" t="s">
        <v>1862</v>
      </c>
      <c r="B1" s="89"/>
      <c r="C1" s="89"/>
      <c r="D1" s="89"/>
      <c r="E1" s="89"/>
      <c r="F1" s="89"/>
    </row>
    <row r="2" spans="1:6" s="1" customFormat="1" ht="11.5" x14ac:dyDescent="0.25">
      <c r="A2" s="48" t="s">
        <v>660</v>
      </c>
      <c r="D2" s="6"/>
      <c r="E2" s="7"/>
      <c r="F2" s="14"/>
    </row>
    <row r="3" spans="1:6" s="1" customFormat="1" ht="11.5" x14ac:dyDescent="0.25">
      <c r="A3" s="12" t="s">
        <v>4</v>
      </c>
      <c r="B3" s="2"/>
      <c r="C3" s="3"/>
      <c r="D3" s="4"/>
      <c r="E3" s="5"/>
      <c r="F3" s="14"/>
    </row>
    <row r="4" spans="1:6" s="1" customFormat="1" ht="32.25" customHeight="1" x14ac:dyDescent="0.25">
      <c r="A4" s="8" t="s">
        <v>2</v>
      </c>
      <c r="B4" s="8" t="s">
        <v>0</v>
      </c>
      <c r="C4" s="83" t="s">
        <v>1892</v>
      </c>
      <c r="D4" s="71" t="s">
        <v>1</v>
      </c>
      <c r="E4" s="64" t="s">
        <v>1820</v>
      </c>
      <c r="F4" s="63" t="s">
        <v>3</v>
      </c>
    </row>
    <row r="5" spans="1:6" ht="10.5" x14ac:dyDescent="0.25">
      <c r="A5" s="18" t="s">
        <v>45</v>
      </c>
      <c r="B5" s="19"/>
      <c r="C5" s="19"/>
      <c r="D5" s="20"/>
      <c r="E5" s="21"/>
      <c r="F5" s="22"/>
    </row>
    <row r="6" spans="1:6" ht="10.5" x14ac:dyDescent="0.25">
      <c r="A6" s="23" t="s">
        <v>23</v>
      </c>
      <c r="B6" s="24"/>
      <c r="C6" s="24"/>
      <c r="D6" s="25"/>
      <c r="E6" s="26"/>
      <c r="F6" s="27"/>
    </row>
    <row r="7" spans="1:6" x14ac:dyDescent="0.2">
      <c r="A7" s="24" t="s">
        <v>58</v>
      </c>
      <c r="B7" s="24" t="s">
        <v>57</v>
      </c>
      <c r="C7" s="24" t="s">
        <v>59</v>
      </c>
      <c r="D7" s="28">
        <v>63338</v>
      </c>
      <c r="E7" s="26">
        <v>406.31326999999999</v>
      </c>
      <c r="F7" s="27">
        <v>1.5112538724737801</v>
      </c>
    </row>
    <row r="8" spans="1:6" x14ac:dyDescent="0.2">
      <c r="A8" s="24" t="s">
        <v>61</v>
      </c>
      <c r="B8" s="24" t="s">
        <v>60</v>
      </c>
      <c r="C8" s="24" t="s">
        <v>48</v>
      </c>
      <c r="D8" s="28">
        <v>30909</v>
      </c>
      <c r="E8" s="26">
        <v>400.59609449999999</v>
      </c>
      <c r="F8" s="27">
        <v>1.4899892369033301</v>
      </c>
    </row>
    <row r="9" spans="1:6" x14ac:dyDescent="0.2">
      <c r="A9" s="24" t="s">
        <v>56</v>
      </c>
      <c r="B9" s="24" t="s">
        <v>55</v>
      </c>
      <c r="C9" s="24" t="s">
        <v>48</v>
      </c>
      <c r="D9" s="28">
        <v>95488</v>
      </c>
      <c r="E9" s="26">
        <v>361.89952</v>
      </c>
      <c r="F9" s="27">
        <v>1.3460600266548</v>
      </c>
    </row>
    <row r="10" spans="1:6" x14ac:dyDescent="0.2">
      <c r="A10" s="24" t="s">
        <v>50</v>
      </c>
      <c r="B10" s="24" t="s">
        <v>49</v>
      </c>
      <c r="C10" s="24" t="s">
        <v>51</v>
      </c>
      <c r="D10" s="28">
        <v>76153</v>
      </c>
      <c r="E10" s="26">
        <v>335.758577</v>
      </c>
      <c r="F10" s="27">
        <v>1.24883061217157</v>
      </c>
    </row>
    <row r="11" spans="1:6" x14ac:dyDescent="0.2">
      <c r="A11" s="24" t="s">
        <v>53</v>
      </c>
      <c r="B11" s="24" t="s">
        <v>52</v>
      </c>
      <c r="C11" s="24" t="s">
        <v>54</v>
      </c>
      <c r="D11" s="28">
        <v>10300</v>
      </c>
      <c r="E11" s="26">
        <v>321.43725000000001</v>
      </c>
      <c r="F11" s="27">
        <v>1.1955634351293101</v>
      </c>
    </row>
    <row r="12" spans="1:6" x14ac:dyDescent="0.2">
      <c r="A12" s="24" t="s">
        <v>47</v>
      </c>
      <c r="B12" s="24" t="s">
        <v>46</v>
      </c>
      <c r="C12" s="24" t="s">
        <v>48</v>
      </c>
      <c r="D12" s="28">
        <v>34486</v>
      </c>
      <c r="E12" s="26">
        <v>297.23483399999998</v>
      </c>
      <c r="F12" s="27">
        <v>1.1055442366344601</v>
      </c>
    </row>
    <row r="13" spans="1:6" x14ac:dyDescent="0.2">
      <c r="A13" s="24" t="s">
        <v>80</v>
      </c>
      <c r="B13" s="24" t="s">
        <v>79</v>
      </c>
      <c r="C13" s="24" t="s">
        <v>69</v>
      </c>
      <c r="D13" s="28">
        <v>170586</v>
      </c>
      <c r="E13" s="26">
        <v>294.17555700000003</v>
      </c>
      <c r="F13" s="27">
        <v>1.09416546917943</v>
      </c>
    </row>
    <row r="14" spans="1:6" x14ac:dyDescent="0.2">
      <c r="A14" s="24" t="s">
        <v>88</v>
      </c>
      <c r="B14" s="24" t="s">
        <v>87</v>
      </c>
      <c r="C14" s="24" t="s">
        <v>72</v>
      </c>
      <c r="D14" s="28">
        <v>67697</v>
      </c>
      <c r="E14" s="26">
        <v>262.29202650000002</v>
      </c>
      <c r="F14" s="27">
        <v>0.97557690096392602</v>
      </c>
    </row>
    <row r="15" spans="1:6" x14ac:dyDescent="0.2">
      <c r="A15" s="24" t="s">
        <v>90</v>
      </c>
      <c r="B15" s="24" t="s">
        <v>89</v>
      </c>
      <c r="C15" s="24" t="s">
        <v>91</v>
      </c>
      <c r="D15" s="28">
        <v>138926</v>
      </c>
      <c r="E15" s="26">
        <v>221.03126599999999</v>
      </c>
      <c r="F15" s="27">
        <v>0.82211037970844802</v>
      </c>
    </row>
    <row r="16" spans="1:6" x14ac:dyDescent="0.2">
      <c r="A16" s="24" t="s">
        <v>74</v>
      </c>
      <c r="B16" s="24" t="s">
        <v>73</v>
      </c>
      <c r="C16" s="24" t="s">
        <v>75</v>
      </c>
      <c r="D16" s="28">
        <v>26000</v>
      </c>
      <c r="E16" s="26">
        <v>205.82900000000001</v>
      </c>
      <c r="F16" s="27">
        <v>0.765566611490205</v>
      </c>
    </row>
    <row r="17" spans="1:6" x14ac:dyDescent="0.2">
      <c r="A17" s="24" t="s">
        <v>63</v>
      </c>
      <c r="B17" s="24" t="s">
        <v>62</v>
      </c>
      <c r="C17" s="24" t="s">
        <v>48</v>
      </c>
      <c r="D17" s="28">
        <v>60374</v>
      </c>
      <c r="E17" s="26">
        <v>195.460825</v>
      </c>
      <c r="F17" s="27">
        <v>0.72700290762880804</v>
      </c>
    </row>
    <row r="18" spans="1:6" x14ac:dyDescent="0.2">
      <c r="A18" s="24" t="s">
        <v>82</v>
      </c>
      <c r="B18" s="24" t="s">
        <v>81</v>
      </c>
      <c r="C18" s="24" t="s">
        <v>83</v>
      </c>
      <c r="D18" s="28">
        <v>40000</v>
      </c>
      <c r="E18" s="26">
        <v>190.76</v>
      </c>
      <c r="F18" s="27">
        <v>0.70951851686531797</v>
      </c>
    </row>
    <row r="19" spans="1:6" x14ac:dyDescent="0.2">
      <c r="A19" s="24" t="s">
        <v>65</v>
      </c>
      <c r="B19" s="24" t="s">
        <v>64</v>
      </c>
      <c r="C19" s="24" t="s">
        <v>66</v>
      </c>
      <c r="D19" s="28">
        <v>34754</v>
      </c>
      <c r="E19" s="26">
        <v>165.46379400000001</v>
      </c>
      <c r="F19" s="27">
        <v>0.61543104274370097</v>
      </c>
    </row>
    <row r="20" spans="1:6" x14ac:dyDescent="0.2">
      <c r="A20" s="24" t="s">
        <v>98</v>
      </c>
      <c r="B20" s="24" t="s">
        <v>97</v>
      </c>
      <c r="C20" s="24" t="s">
        <v>99</v>
      </c>
      <c r="D20" s="28">
        <v>47341</v>
      </c>
      <c r="E20" s="26">
        <v>134.8981795</v>
      </c>
      <c r="F20" s="27">
        <v>0.50174437118196402</v>
      </c>
    </row>
    <row r="21" spans="1:6" x14ac:dyDescent="0.2">
      <c r="A21" s="24" t="s">
        <v>96</v>
      </c>
      <c r="B21" s="24" t="s">
        <v>95</v>
      </c>
      <c r="C21" s="24" t="s">
        <v>54</v>
      </c>
      <c r="D21" s="28">
        <v>45000</v>
      </c>
      <c r="E21" s="26">
        <v>120.2625</v>
      </c>
      <c r="F21" s="27">
        <v>0.44730798193811699</v>
      </c>
    </row>
    <row r="22" spans="1:6" x14ac:dyDescent="0.2">
      <c r="A22" s="24" t="s">
        <v>71</v>
      </c>
      <c r="B22" s="24" t="s">
        <v>70</v>
      </c>
      <c r="C22" s="24" t="s">
        <v>72</v>
      </c>
      <c r="D22" s="28">
        <v>9526</v>
      </c>
      <c r="E22" s="26">
        <v>119.332202</v>
      </c>
      <c r="F22" s="27">
        <v>0.44384780340381902</v>
      </c>
    </row>
    <row r="23" spans="1:6" x14ac:dyDescent="0.2">
      <c r="A23" s="24" t="s">
        <v>107</v>
      </c>
      <c r="B23" s="24" t="s">
        <v>106</v>
      </c>
      <c r="C23" s="24" t="s">
        <v>78</v>
      </c>
      <c r="D23" s="28">
        <v>30000</v>
      </c>
      <c r="E23" s="26">
        <v>95.07</v>
      </c>
      <c r="F23" s="27">
        <v>0.35360623505129901</v>
      </c>
    </row>
    <row r="24" spans="1:6" x14ac:dyDescent="0.2">
      <c r="A24" s="24" t="s">
        <v>85</v>
      </c>
      <c r="B24" s="24" t="s">
        <v>84</v>
      </c>
      <c r="C24" s="24" t="s">
        <v>86</v>
      </c>
      <c r="D24" s="28">
        <v>96457</v>
      </c>
      <c r="E24" s="26">
        <v>92.309348999999997</v>
      </c>
      <c r="F24" s="27">
        <v>0.34333818617783102</v>
      </c>
    </row>
    <row r="25" spans="1:6" x14ac:dyDescent="0.2">
      <c r="A25" s="24" t="s">
        <v>105</v>
      </c>
      <c r="B25" s="24" t="s">
        <v>104</v>
      </c>
      <c r="C25" s="24" t="s">
        <v>72</v>
      </c>
      <c r="D25" s="28">
        <v>10000</v>
      </c>
      <c r="E25" s="26">
        <v>91.885000000000005</v>
      </c>
      <c r="F25" s="27">
        <v>0.34175984966539003</v>
      </c>
    </row>
    <row r="26" spans="1:6" x14ac:dyDescent="0.2">
      <c r="A26" s="24" t="s">
        <v>120</v>
      </c>
      <c r="B26" s="24" t="s">
        <v>119</v>
      </c>
      <c r="C26" s="24" t="s">
        <v>99</v>
      </c>
      <c r="D26" s="28">
        <v>25761</v>
      </c>
      <c r="E26" s="26">
        <v>76.651855499999996</v>
      </c>
      <c r="F26" s="27">
        <v>0.28510123101978702</v>
      </c>
    </row>
    <row r="27" spans="1:6" x14ac:dyDescent="0.2">
      <c r="A27" s="24" t="s">
        <v>109</v>
      </c>
      <c r="B27" s="24" t="s">
        <v>108</v>
      </c>
      <c r="C27" s="24" t="s">
        <v>110</v>
      </c>
      <c r="D27" s="28">
        <v>20015</v>
      </c>
      <c r="E27" s="26">
        <v>65.389004999999997</v>
      </c>
      <c r="F27" s="27">
        <v>0.24320984402861601</v>
      </c>
    </row>
    <row r="28" spans="1:6" x14ac:dyDescent="0.2">
      <c r="A28" s="24" t="s">
        <v>103</v>
      </c>
      <c r="B28" s="24" t="s">
        <v>102</v>
      </c>
      <c r="C28" s="24" t="s">
        <v>48</v>
      </c>
      <c r="D28" s="28">
        <v>29755</v>
      </c>
      <c r="E28" s="26">
        <v>58.572717500000003</v>
      </c>
      <c r="F28" s="27">
        <v>0.21785713802354401</v>
      </c>
    </row>
    <row r="29" spans="1:6" x14ac:dyDescent="0.2">
      <c r="A29" s="24" t="s">
        <v>112</v>
      </c>
      <c r="B29" s="24" t="s">
        <v>111</v>
      </c>
      <c r="C29" s="24" t="s">
        <v>113</v>
      </c>
      <c r="D29" s="28">
        <v>35367</v>
      </c>
      <c r="E29" s="26">
        <v>54.076143000000002</v>
      </c>
      <c r="F29" s="27">
        <v>0.201132442750875</v>
      </c>
    </row>
    <row r="30" spans="1:6" x14ac:dyDescent="0.2">
      <c r="A30" s="24" t="s">
        <v>117</v>
      </c>
      <c r="B30" s="24" t="s">
        <v>116</v>
      </c>
      <c r="C30" s="24" t="s">
        <v>118</v>
      </c>
      <c r="D30" s="28">
        <v>97694</v>
      </c>
      <c r="E30" s="26">
        <v>44.499617000000001</v>
      </c>
      <c r="F30" s="27">
        <v>0.16551322213731701</v>
      </c>
    </row>
    <row r="31" spans="1:6" x14ac:dyDescent="0.2">
      <c r="A31" s="24" t="s">
        <v>124</v>
      </c>
      <c r="B31" s="24" t="s">
        <v>123</v>
      </c>
      <c r="C31" s="24" t="s">
        <v>99</v>
      </c>
      <c r="D31" s="28">
        <v>40000</v>
      </c>
      <c r="E31" s="26">
        <v>28.42</v>
      </c>
      <c r="F31" s="27">
        <v>0.10570620805888201</v>
      </c>
    </row>
    <row r="32" spans="1:6" x14ac:dyDescent="0.2">
      <c r="A32" s="24" t="s">
        <v>122</v>
      </c>
      <c r="B32" s="24" t="s">
        <v>121</v>
      </c>
      <c r="C32" s="24" t="s">
        <v>48</v>
      </c>
      <c r="D32" s="28">
        <v>77000</v>
      </c>
      <c r="E32" s="26">
        <v>15.554</v>
      </c>
      <c r="F32" s="27">
        <v>5.7852018302176303E-2</v>
      </c>
    </row>
    <row r="33" spans="1:9" x14ac:dyDescent="0.2">
      <c r="A33" s="24" t="s">
        <v>126</v>
      </c>
      <c r="B33" s="24" t="s">
        <v>125</v>
      </c>
      <c r="C33" s="24" t="s">
        <v>127</v>
      </c>
      <c r="D33" s="28">
        <v>581</v>
      </c>
      <c r="E33" s="26">
        <v>0.81369049999999998</v>
      </c>
      <c r="F33" s="27">
        <v>3.0264650699695899E-3</v>
      </c>
    </row>
    <row r="34" spans="1:9" ht="10.5" x14ac:dyDescent="0.25">
      <c r="A34" s="23" t="s">
        <v>24</v>
      </c>
      <c r="B34" s="23"/>
      <c r="C34" s="23"/>
      <c r="D34" s="29"/>
      <c r="E34" s="30">
        <f>SUM(E7:E33)</f>
        <v>4655.9862730000023</v>
      </c>
      <c r="F34" s="31">
        <f>SUM(F7:F33)</f>
        <v>17.317616245356678</v>
      </c>
      <c r="G34" s="15"/>
      <c r="H34" s="15"/>
      <c r="I34" s="15"/>
    </row>
    <row r="35" spans="1:9" x14ac:dyDescent="0.2">
      <c r="A35" s="24"/>
      <c r="B35" s="24"/>
      <c r="C35" s="24"/>
      <c r="D35" s="25"/>
      <c r="E35" s="26"/>
      <c r="F35" s="27"/>
    </row>
    <row r="36" spans="1:9" ht="10.5" x14ac:dyDescent="0.25">
      <c r="A36" s="23" t="s">
        <v>662</v>
      </c>
      <c r="B36" s="24"/>
      <c r="C36" s="24"/>
      <c r="D36" s="25"/>
      <c r="E36" s="26"/>
      <c r="F36" s="27"/>
    </row>
    <row r="37" spans="1:9" ht="10.5" x14ac:dyDescent="0.25">
      <c r="A37" s="23" t="s">
        <v>23</v>
      </c>
      <c r="B37" s="24"/>
      <c r="C37" s="24"/>
      <c r="D37" s="25"/>
      <c r="E37" s="26"/>
      <c r="F37" s="27"/>
    </row>
    <row r="38" spans="1:9" x14ac:dyDescent="0.2">
      <c r="A38" s="24" t="s">
        <v>1274</v>
      </c>
      <c r="B38" s="24" t="s">
        <v>1275</v>
      </c>
      <c r="C38" s="24" t="s">
        <v>815</v>
      </c>
      <c r="D38" s="28">
        <v>300</v>
      </c>
      <c r="E38" s="26">
        <v>2935.0920000000001</v>
      </c>
      <c r="F38" s="27">
        <v>10.9168700078804</v>
      </c>
    </row>
    <row r="39" spans="1:9" x14ac:dyDescent="0.2">
      <c r="A39" s="24" t="s">
        <v>1423</v>
      </c>
      <c r="B39" s="24" t="s">
        <v>1424</v>
      </c>
      <c r="C39" s="24" t="s">
        <v>842</v>
      </c>
      <c r="D39" s="28">
        <v>250</v>
      </c>
      <c r="E39" s="26">
        <v>2487.8825000000002</v>
      </c>
      <c r="F39" s="27">
        <v>9.2535054599243995</v>
      </c>
    </row>
    <row r="40" spans="1:9" x14ac:dyDescent="0.2">
      <c r="A40" s="24" t="s">
        <v>1343</v>
      </c>
      <c r="B40" s="24" t="s">
        <v>1344</v>
      </c>
      <c r="C40" s="24" t="s">
        <v>815</v>
      </c>
      <c r="D40" s="28">
        <v>210</v>
      </c>
      <c r="E40" s="26">
        <v>2259.8373000000001</v>
      </c>
      <c r="F40" s="27">
        <v>8.4053072418375105</v>
      </c>
    </row>
    <row r="41" spans="1:9" x14ac:dyDescent="0.2">
      <c r="A41" s="24" t="s">
        <v>1777</v>
      </c>
      <c r="B41" s="24" t="s">
        <v>1778</v>
      </c>
      <c r="C41" s="24" t="s">
        <v>766</v>
      </c>
      <c r="D41" s="28">
        <v>200</v>
      </c>
      <c r="E41" s="26">
        <v>2008.2840000000001</v>
      </c>
      <c r="F41" s="27">
        <v>7.4696722851978796</v>
      </c>
    </row>
    <row r="42" spans="1:9" x14ac:dyDescent="0.2">
      <c r="A42" s="24" t="s">
        <v>1417</v>
      </c>
      <c r="B42" s="24" t="s">
        <v>1418</v>
      </c>
      <c r="C42" s="24" t="s">
        <v>815</v>
      </c>
      <c r="D42" s="28">
        <v>100</v>
      </c>
      <c r="E42" s="26">
        <v>1079.9659999999999</v>
      </c>
      <c r="F42" s="27">
        <v>4.0168582228190903</v>
      </c>
    </row>
    <row r="43" spans="1:9" x14ac:dyDescent="0.2">
      <c r="A43" s="24" t="s">
        <v>735</v>
      </c>
      <c r="B43" s="24" t="s">
        <v>736</v>
      </c>
      <c r="C43" s="24" t="s">
        <v>737</v>
      </c>
      <c r="D43" s="28">
        <v>100</v>
      </c>
      <c r="E43" s="26">
        <v>1049.9770000000001</v>
      </c>
      <c r="F43" s="27">
        <v>3.9053162286784202</v>
      </c>
    </row>
    <row r="44" spans="1:9" x14ac:dyDescent="0.2">
      <c r="A44" s="24" t="s">
        <v>799</v>
      </c>
      <c r="B44" s="24" t="s">
        <v>800</v>
      </c>
      <c r="C44" s="24" t="s">
        <v>801</v>
      </c>
      <c r="D44" s="28">
        <v>100</v>
      </c>
      <c r="E44" s="26">
        <v>1017.6420000000001</v>
      </c>
      <c r="F44" s="27">
        <v>3.7850484511420399</v>
      </c>
    </row>
    <row r="45" spans="1:9" x14ac:dyDescent="0.2">
      <c r="A45" s="24" t="s">
        <v>1458</v>
      </c>
      <c r="B45" s="24" t="s">
        <v>1459</v>
      </c>
      <c r="C45" s="24" t="s">
        <v>815</v>
      </c>
      <c r="D45" s="28">
        <v>90</v>
      </c>
      <c r="E45" s="26">
        <v>917.00549999999998</v>
      </c>
      <c r="F45" s="27">
        <v>3.4107380075348002</v>
      </c>
    </row>
    <row r="46" spans="1:9" x14ac:dyDescent="0.2">
      <c r="A46" s="24" t="s">
        <v>782</v>
      </c>
      <c r="B46" s="24" t="s">
        <v>783</v>
      </c>
      <c r="C46" s="24" t="s">
        <v>697</v>
      </c>
      <c r="D46" s="28">
        <v>70</v>
      </c>
      <c r="E46" s="26">
        <v>727.15089999999998</v>
      </c>
      <c r="F46" s="27">
        <v>2.70458706282911</v>
      </c>
    </row>
    <row r="47" spans="1:9" x14ac:dyDescent="0.2">
      <c r="A47" s="24" t="s">
        <v>1415</v>
      </c>
      <c r="B47" s="24" t="s">
        <v>1416</v>
      </c>
      <c r="C47" s="24" t="s">
        <v>815</v>
      </c>
      <c r="D47" s="28">
        <v>65</v>
      </c>
      <c r="E47" s="26">
        <v>713.05714999999998</v>
      </c>
      <c r="F47" s="27">
        <v>2.6521663425676798</v>
      </c>
    </row>
    <row r="48" spans="1:9" x14ac:dyDescent="0.2">
      <c r="A48" s="24" t="s">
        <v>1301</v>
      </c>
      <c r="B48" s="24" t="s">
        <v>1302</v>
      </c>
      <c r="C48" s="24" t="s">
        <v>815</v>
      </c>
      <c r="D48" s="28">
        <v>60</v>
      </c>
      <c r="E48" s="26">
        <v>650.57820000000004</v>
      </c>
      <c r="F48" s="27">
        <v>2.4197802451714598</v>
      </c>
    </row>
    <row r="49" spans="1:9" x14ac:dyDescent="0.2">
      <c r="A49" s="24" t="s">
        <v>977</v>
      </c>
      <c r="B49" s="24" t="s">
        <v>978</v>
      </c>
      <c r="C49" s="24" t="s">
        <v>665</v>
      </c>
      <c r="D49" s="28">
        <v>60</v>
      </c>
      <c r="E49" s="26">
        <v>600.81600000000003</v>
      </c>
      <c r="F49" s="27">
        <v>2.2346932125652801</v>
      </c>
    </row>
    <row r="50" spans="1:9" x14ac:dyDescent="0.2">
      <c r="A50" s="24" t="s">
        <v>1779</v>
      </c>
      <c r="B50" s="24" t="s">
        <v>1780</v>
      </c>
      <c r="C50" s="24" t="s">
        <v>668</v>
      </c>
      <c r="D50" s="28">
        <v>50</v>
      </c>
      <c r="E50" s="26">
        <v>491.76650000000001</v>
      </c>
      <c r="F50" s="27">
        <v>1.8290912021600301</v>
      </c>
    </row>
    <row r="51" spans="1:9" x14ac:dyDescent="0.2">
      <c r="A51" s="24" t="s">
        <v>1337</v>
      </c>
      <c r="B51" s="24" t="s">
        <v>1338</v>
      </c>
      <c r="C51" s="24" t="s">
        <v>1328</v>
      </c>
      <c r="D51" s="28">
        <v>25</v>
      </c>
      <c r="E51" s="26">
        <v>270.31375000000003</v>
      </c>
      <c r="F51" s="27">
        <v>1.00541314210685</v>
      </c>
    </row>
    <row r="52" spans="1:9" x14ac:dyDescent="0.2">
      <c r="A52" s="24" t="s">
        <v>1379</v>
      </c>
      <c r="B52" s="24" t="s">
        <v>1380</v>
      </c>
      <c r="C52" s="24" t="s">
        <v>815</v>
      </c>
      <c r="D52" s="28">
        <v>25</v>
      </c>
      <c r="E52" s="26">
        <v>259.92075</v>
      </c>
      <c r="F52" s="27">
        <v>0.96675710338918597</v>
      </c>
    </row>
    <row r="53" spans="1:9" ht="10.5" x14ac:dyDescent="0.25">
      <c r="A53" s="23" t="s">
        <v>24</v>
      </c>
      <c r="B53" s="23"/>
      <c r="C53" s="23"/>
      <c r="D53" s="29"/>
      <c r="E53" s="30">
        <f>SUM(E37:E52)</f>
        <v>17469.289550000005</v>
      </c>
      <c r="F53" s="31">
        <f>SUM(F37:F52)</f>
        <v>64.975804215804146</v>
      </c>
      <c r="G53" s="15"/>
      <c r="H53" s="15"/>
      <c r="I53" s="15"/>
    </row>
    <row r="54" spans="1:9" x14ac:dyDescent="0.2">
      <c r="A54" s="24"/>
      <c r="B54" s="24"/>
      <c r="C54" s="24"/>
      <c r="D54" s="25"/>
      <c r="E54" s="26"/>
      <c r="F54" s="27"/>
    </row>
    <row r="55" spans="1:9" ht="10.5" x14ac:dyDescent="0.25">
      <c r="A55" s="23" t="s">
        <v>1263</v>
      </c>
      <c r="B55" s="24"/>
      <c r="C55" s="24"/>
      <c r="D55" s="25"/>
      <c r="E55" s="26"/>
      <c r="F55" s="27"/>
    </row>
    <row r="56" spans="1:9" x14ac:dyDescent="0.2">
      <c r="A56" s="24" t="s">
        <v>1264</v>
      </c>
      <c r="B56" s="24" t="s">
        <v>1265</v>
      </c>
      <c r="C56" s="24" t="s">
        <v>1266</v>
      </c>
      <c r="D56" s="28">
        <v>2300000</v>
      </c>
      <c r="E56" s="26">
        <v>2474.3951999999999</v>
      </c>
      <c r="F56" s="27">
        <v>9.2033403881456408</v>
      </c>
    </row>
    <row r="57" spans="1:9" x14ac:dyDescent="0.2">
      <c r="A57" s="24" t="s">
        <v>1269</v>
      </c>
      <c r="B57" s="24" t="s">
        <v>1881</v>
      </c>
      <c r="C57" s="24" t="s">
        <v>1266</v>
      </c>
      <c r="D57" s="28">
        <v>700000</v>
      </c>
      <c r="E57" s="26">
        <v>733.56359999999995</v>
      </c>
      <c r="F57" s="27">
        <v>2.72843865327313</v>
      </c>
    </row>
    <row r="58" spans="1:9" ht="10.5" x14ac:dyDescent="0.25">
      <c r="A58" s="23" t="s">
        <v>24</v>
      </c>
      <c r="B58" s="23"/>
      <c r="C58" s="23"/>
      <c r="D58" s="29"/>
      <c r="E58" s="30">
        <f>SUM(E56:E57)</f>
        <v>3207.9587999999999</v>
      </c>
      <c r="F58" s="31">
        <f>SUM(F56:F57)</f>
        <v>11.931779041418771</v>
      </c>
      <c r="G58" s="15"/>
      <c r="H58" s="15"/>
      <c r="I58" s="15"/>
    </row>
    <row r="59" spans="1:9" x14ac:dyDescent="0.2">
      <c r="A59" s="24"/>
      <c r="B59" s="24"/>
      <c r="C59" s="24"/>
      <c r="D59" s="25"/>
      <c r="E59" s="26"/>
      <c r="F59" s="27"/>
    </row>
    <row r="60" spans="1:9" ht="10.5" x14ac:dyDescent="0.25">
      <c r="A60" s="23" t="s">
        <v>25</v>
      </c>
      <c r="B60" s="23"/>
      <c r="C60" s="23"/>
      <c r="D60" s="29"/>
      <c r="E60" s="30">
        <f>E34+E53+E58</f>
        <v>25333.234623000008</v>
      </c>
      <c r="F60" s="31">
        <f>F34+F53+F58</f>
        <v>94.225199502579585</v>
      </c>
      <c r="G60" s="15"/>
      <c r="H60" s="15"/>
      <c r="I60" s="15"/>
    </row>
    <row r="61" spans="1:9" ht="10.5" x14ac:dyDescent="0.25">
      <c r="A61" s="23"/>
      <c r="B61" s="23"/>
      <c r="C61" s="23"/>
      <c r="D61" s="29"/>
      <c r="E61" s="30"/>
      <c r="F61" s="31"/>
      <c r="G61" s="15"/>
      <c r="H61" s="15"/>
      <c r="I61" s="15"/>
    </row>
    <row r="62" spans="1:9" ht="10.5" x14ac:dyDescent="0.25">
      <c r="A62" s="23" t="s">
        <v>27</v>
      </c>
      <c r="B62" s="23"/>
      <c r="C62" s="23"/>
      <c r="D62" s="29"/>
      <c r="E62" s="30">
        <f>E64-(E34+E53+E58)</f>
        <v>1552.6035144999914</v>
      </c>
      <c r="F62" s="31">
        <f>F64-(F34+F53+F58)</f>
        <v>5.774800497420415</v>
      </c>
      <c r="G62" s="15"/>
      <c r="H62" s="15"/>
      <c r="I62" s="15"/>
    </row>
    <row r="63" spans="1:9" ht="10.5" x14ac:dyDescent="0.25">
      <c r="A63" s="23"/>
      <c r="B63" s="23"/>
      <c r="C63" s="23"/>
      <c r="D63" s="29"/>
      <c r="E63" s="30"/>
      <c r="F63" s="31"/>
      <c r="G63" s="15"/>
      <c r="H63" s="15"/>
      <c r="I63" s="15"/>
    </row>
    <row r="64" spans="1:9" ht="10.5" x14ac:dyDescent="0.25">
      <c r="A64" s="32" t="s">
        <v>26</v>
      </c>
      <c r="B64" s="32"/>
      <c r="C64" s="32"/>
      <c r="D64" s="33"/>
      <c r="E64" s="34">
        <v>26885.838137499999</v>
      </c>
      <c r="F64" s="35">
        <v>100</v>
      </c>
      <c r="G64" s="15"/>
      <c r="H64" s="15"/>
      <c r="I64" s="15"/>
    </row>
    <row r="65" spans="1:6" ht="10.5" x14ac:dyDescent="0.25">
      <c r="A65" s="9" t="s">
        <v>1855</v>
      </c>
      <c r="E65" s="99" t="s">
        <v>37</v>
      </c>
      <c r="F65" s="99"/>
    </row>
    <row r="66" spans="1:6" ht="10.5" x14ac:dyDescent="0.25">
      <c r="A66" s="15" t="s">
        <v>872</v>
      </c>
    </row>
    <row r="67" spans="1:6" ht="10.5" x14ac:dyDescent="0.25">
      <c r="A67" s="15"/>
    </row>
    <row r="68" spans="1:6" ht="10.5" x14ac:dyDescent="0.25">
      <c r="A68" s="15" t="s">
        <v>28</v>
      </c>
    </row>
    <row r="69" spans="1:6" ht="10.5" x14ac:dyDescent="0.25">
      <c r="A69" s="15" t="s">
        <v>29</v>
      </c>
    </row>
    <row r="70" spans="1:6" ht="10.5" x14ac:dyDescent="0.25">
      <c r="A70" s="15" t="s">
        <v>30</v>
      </c>
      <c r="B70" s="15"/>
      <c r="C70" s="36" t="s">
        <v>32</v>
      </c>
      <c r="D70" s="16" t="s">
        <v>31</v>
      </c>
    </row>
    <row r="71" spans="1:6" x14ac:dyDescent="0.2">
      <c r="A71" s="9" t="s">
        <v>38</v>
      </c>
      <c r="C71" s="37">
        <v>57.269500000000001</v>
      </c>
      <c r="D71" s="37">
        <v>54.9377</v>
      </c>
    </row>
    <row r="72" spans="1:6" x14ac:dyDescent="0.2">
      <c r="A72" s="9" t="s">
        <v>1218</v>
      </c>
      <c r="C72" s="37">
        <v>13.208600000000001</v>
      </c>
      <c r="D72" s="37">
        <v>12.1853</v>
      </c>
    </row>
    <row r="73" spans="1:6" x14ac:dyDescent="0.2">
      <c r="A73" s="9" t="s">
        <v>1219</v>
      </c>
      <c r="C73" s="37">
        <v>12.6396</v>
      </c>
      <c r="D73" s="37">
        <v>11.611599999999999</v>
      </c>
    </row>
    <row r="74" spans="1:6" x14ac:dyDescent="0.2">
      <c r="A74" s="9" t="s">
        <v>39</v>
      </c>
      <c r="C74" s="37">
        <v>60.184100000000001</v>
      </c>
      <c r="D74" s="37">
        <v>57.981200000000001</v>
      </c>
    </row>
    <row r="75" spans="1:6" x14ac:dyDescent="0.2">
      <c r="A75" s="9" t="s">
        <v>1220</v>
      </c>
      <c r="C75" s="37">
        <v>14.057</v>
      </c>
      <c r="D75" s="37">
        <v>13.0526</v>
      </c>
    </row>
    <row r="76" spans="1:6" x14ac:dyDescent="0.2">
      <c r="A76" s="9" t="s">
        <v>1221</v>
      </c>
      <c r="C76" s="37">
        <v>13.4581</v>
      </c>
      <c r="D76" s="37">
        <v>12.4482</v>
      </c>
    </row>
    <row r="78" spans="1:6" ht="10.5" x14ac:dyDescent="0.25">
      <c r="A78" s="15" t="s">
        <v>1882</v>
      </c>
    </row>
    <row r="79" spans="1:6" ht="10.5" x14ac:dyDescent="0.25">
      <c r="A79" s="90" t="s">
        <v>33</v>
      </c>
      <c r="B79" s="91"/>
      <c r="C79" s="92" t="s">
        <v>1883</v>
      </c>
      <c r="D79" s="93"/>
    </row>
    <row r="80" spans="1:6" ht="10.5" x14ac:dyDescent="0.25">
      <c r="A80" s="90"/>
      <c r="B80" s="91"/>
      <c r="C80" s="38" t="s">
        <v>34</v>
      </c>
      <c r="D80" s="39" t="s">
        <v>35</v>
      </c>
    </row>
    <row r="81" spans="1:5" x14ac:dyDescent="0.2">
      <c r="A81" s="96" t="s">
        <v>1218</v>
      </c>
      <c r="B81" s="97"/>
      <c r="C81" s="40">
        <v>0.36736457700000003</v>
      </c>
      <c r="D81" s="40">
        <v>0.34018142940000001</v>
      </c>
    </row>
    <row r="82" spans="1:5" x14ac:dyDescent="0.2">
      <c r="A82" s="96" t="s">
        <v>1219</v>
      </c>
      <c r="B82" s="97"/>
      <c r="C82" s="40">
        <v>0.374567804</v>
      </c>
      <c r="D82" s="40">
        <v>0.3468516532</v>
      </c>
    </row>
    <row r="83" spans="1:5" x14ac:dyDescent="0.2">
      <c r="A83" s="96" t="s">
        <v>1220</v>
      </c>
      <c r="B83" s="97"/>
      <c r="C83" s="40">
        <v>0.36736457700000003</v>
      </c>
      <c r="D83" s="40">
        <v>0.34018142940000001</v>
      </c>
    </row>
    <row r="84" spans="1:5" x14ac:dyDescent="0.2">
      <c r="A84" s="96" t="s">
        <v>1221</v>
      </c>
      <c r="B84" s="97"/>
      <c r="C84" s="40">
        <v>0.374567804</v>
      </c>
      <c r="D84" s="40">
        <v>0.3468516532</v>
      </c>
    </row>
    <row r="86" spans="1:5" ht="10.5" x14ac:dyDescent="0.25">
      <c r="A86" s="15" t="s">
        <v>882</v>
      </c>
      <c r="D86" s="11">
        <v>4.9258505211246897</v>
      </c>
      <c r="E86" s="11" t="s">
        <v>883</v>
      </c>
    </row>
    <row r="88" spans="1:5" ht="10.5" x14ac:dyDescent="0.25">
      <c r="A88" s="15" t="s">
        <v>884</v>
      </c>
      <c r="D88" s="68" t="s">
        <v>36</v>
      </c>
    </row>
    <row r="89" spans="1:5" x14ac:dyDescent="0.2">
      <c r="A89" s="9" t="s">
        <v>885</v>
      </c>
    </row>
    <row r="90" spans="1:5" ht="14.5" x14ac:dyDescent="0.35">
      <c r="A90" s="49" t="s">
        <v>1898</v>
      </c>
    </row>
    <row r="91" spans="1:5" ht="14.5" x14ac:dyDescent="0.35">
      <c r="A91" s="49"/>
    </row>
    <row r="92" spans="1:5" ht="10.5" x14ac:dyDescent="0.25">
      <c r="A92" s="15" t="s">
        <v>1828</v>
      </c>
    </row>
    <row r="93" spans="1:5" ht="10.5" x14ac:dyDescent="0.25">
      <c r="A93" s="15"/>
    </row>
    <row r="94" spans="1:5" ht="10.5" x14ac:dyDescent="0.25">
      <c r="A94" s="15"/>
    </row>
    <row r="97" spans="1:9" s="1" customFormat="1" ht="14" x14ac:dyDescent="0.25">
      <c r="A97" s="88" t="s">
        <v>1781</v>
      </c>
      <c r="B97" s="89"/>
      <c r="C97" s="89"/>
      <c r="D97" s="89"/>
      <c r="E97" s="89"/>
      <c r="F97" s="89"/>
    </row>
    <row r="98" spans="1:9" ht="10.5" x14ac:dyDescent="0.25">
      <c r="A98" s="15" t="s">
        <v>888</v>
      </c>
    </row>
    <row r="99" spans="1:9" ht="10.5" x14ac:dyDescent="0.25">
      <c r="A99" s="15" t="s">
        <v>4</v>
      </c>
    </row>
    <row r="100" spans="1:9" s="1" customFormat="1" ht="21" x14ac:dyDescent="0.25">
      <c r="A100" s="8" t="s">
        <v>2</v>
      </c>
      <c r="B100" s="8" t="s">
        <v>0</v>
      </c>
      <c r="C100" s="8" t="s">
        <v>1774</v>
      </c>
      <c r="D100" s="13" t="s">
        <v>1</v>
      </c>
      <c r="E100" s="64" t="s">
        <v>1820</v>
      </c>
      <c r="F100" s="63" t="s">
        <v>3</v>
      </c>
    </row>
    <row r="101" spans="1:9" ht="10.5" x14ac:dyDescent="0.25">
      <c r="A101" s="18" t="s">
        <v>662</v>
      </c>
      <c r="B101" s="19"/>
      <c r="C101" s="19"/>
      <c r="D101" s="20"/>
      <c r="E101" s="21"/>
      <c r="F101" s="22"/>
    </row>
    <row r="102" spans="1:9" ht="10.5" x14ac:dyDescent="0.25">
      <c r="A102" s="23" t="s">
        <v>23</v>
      </c>
      <c r="B102" s="24"/>
      <c r="C102" s="24"/>
      <c r="D102" s="25"/>
      <c r="E102" s="26"/>
      <c r="F102" s="27"/>
    </row>
    <row r="103" spans="1:9" x14ac:dyDescent="0.2">
      <c r="A103" s="24" t="s">
        <v>1782</v>
      </c>
      <c r="B103" s="24" t="s">
        <v>1865</v>
      </c>
      <c r="C103" s="24" t="s">
        <v>1071</v>
      </c>
      <c r="D103" s="28">
        <v>50</v>
      </c>
      <c r="E103" s="27">
        <v>0</v>
      </c>
      <c r="F103" s="27">
        <v>100</v>
      </c>
    </row>
    <row r="104" spans="1:9" ht="10.5" x14ac:dyDescent="0.25">
      <c r="A104" s="23" t="s">
        <v>24</v>
      </c>
      <c r="B104" s="23"/>
      <c r="C104" s="23"/>
      <c r="D104" s="29"/>
      <c r="E104" s="30">
        <f>SUM(E102:E103)</f>
        <v>0</v>
      </c>
      <c r="F104" s="31">
        <f>SUM(F102:F103)</f>
        <v>100</v>
      </c>
      <c r="G104" s="15"/>
      <c r="H104" s="15"/>
      <c r="I104" s="15"/>
    </row>
    <row r="105" spans="1:9" x14ac:dyDescent="0.2">
      <c r="A105" s="24"/>
      <c r="B105" s="24"/>
      <c r="C105" s="24"/>
      <c r="D105" s="25"/>
      <c r="E105" s="26"/>
      <c r="F105" s="27"/>
    </row>
    <row r="106" spans="1:9" ht="10.5" x14ac:dyDescent="0.25">
      <c r="A106" s="23" t="s">
        <v>25</v>
      </c>
      <c r="B106" s="23"/>
      <c r="C106" s="23"/>
      <c r="D106" s="29"/>
      <c r="E106" s="30">
        <f>E104</f>
        <v>0</v>
      </c>
      <c r="F106" s="31">
        <f>F104</f>
        <v>100</v>
      </c>
      <c r="G106" s="15"/>
      <c r="H106" s="15"/>
      <c r="I106" s="15"/>
    </row>
    <row r="107" spans="1:9" ht="10.5" x14ac:dyDescent="0.25">
      <c r="A107" s="23"/>
      <c r="B107" s="23"/>
      <c r="C107" s="23"/>
      <c r="D107" s="29"/>
      <c r="E107" s="30"/>
      <c r="F107" s="31"/>
      <c r="G107" s="15"/>
      <c r="H107" s="15"/>
      <c r="I107" s="15"/>
    </row>
    <row r="108" spans="1:9" ht="10.5" x14ac:dyDescent="0.25">
      <c r="A108" s="23" t="s">
        <v>27</v>
      </c>
      <c r="B108" s="23"/>
      <c r="C108" s="23"/>
      <c r="D108" s="29"/>
      <c r="E108" s="30">
        <v>0</v>
      </c>
      <c r="F108" s="30">
        <v>0</v>
      </c>
      <c r="G108" s="15"/>
      <c r="H108" s="15"/>
      <c r="I108" s="15"/>
    </row>
    <row r="109" spans="1:9" ht="10.5" x14ac:dyDescent="0.25">
      <c r="A109" s="23"/>
      <c r="B109" s="23"/>
      <c r="C109" s="23"/>
      <c r="D109" s="29"/>
      <c r="E109" s="30"/>
      <c r="F109" s="31"/>
      <c r="G109" s="15"/>
      <c r="H109" s="15"/>
      <c r="I109" s="15"/>
    </row>
    <row r="110" spans="1:9" ht="10.5" x14ac:dyDescent="0.25">
      <c r="A110" s="32" t="s">
        <v>26</v>
      </c>
      <c r="B110" s="32"/>
      <c r="C110" s="32"/>
      <c r="D110" s="33"/>
      <c r="E110" s="34">
        <v>1.1000000000000001E-6</v>
      </c>
      <c r="F110" s="35">
        <v>100</v>
      </c>
      <c r="G110" s="15"/>
      <c r="H110" s="15"/>
      <c r="I110" s="15"/>
    </row>
    <row r="111" spans="1:9" ht="10.5" x14ac:dyDescent="0.25">
      <c r="A111" s="15" t="s">
        <v>872</v>
      </c>
    </row>
    <row r="112" spans="1:9" ht="10.5" x14ac:dyDescent="0.25">
      <c r="A112" s="15" t="s">
        <v>1795</v>
      </c>
    </row>
    <row r="113" spans="1:4" ht="10.5" x14ac:dyDescent="0.25">
      <c r="A113" s="15"/>
    </row>
    <row r="114" spans="1:4" ht="10.5" x14ac:dyDescent="0.25">
      <c r="A114" s="15" t="s">
        <v>28</v>
      </c>
    </row>
    <row r="115" spans="1:4" ht="10.5" x14ac:dyDescent="0.25">
      <c r="A115" s="15" t="s">
        <v>29</v>
      </c>
    </row>
    <row r="116" spans="1:4" ht="10.5" x14ac:dyDescent="0.25">
      <c r="A116" s="15" t="s">
        <v>30</v>
      </c>
      <c r="B116" s="15"/>
      <c r="C116" s="36" t="s">
        <v>32</v>
      </c>
      <c r="D116" s="16" t="s">
        <v>31</v>
      </c>
    </row>
    <row r="117" spans="1:4" x14ac:dyDescent="0.2">
      <c r="A117" s="9" t="s">
        <v>38</v>
      </c>
      <c r="C117" s="58" t="s">
        <v>1794</v>
      </c>
      <c r="D117" s="37">
        <v>0</v>
      </c>
    </row>
    <row r="118" spans="1:4" x14ac:dyDescent="0.2">
      <c r="A118" s="9" t="s">
        <v>1218</v>
      </c>
      <c r="C118" s="58" t="s">
        <v>1794</v>
      </c>
      <c r="D118" s="37">
        <v>0</v>
      </c>
    </row>
    <row r="119" spans="1:4" x14ac:dyDescent="0.2">
      <c r="A119" s="9" t="s">
        <v>1219</v>
      </c>
      <c r="C119" s="58" t="s">
        <v>1794</v>
      </c>
      <c r="D119" s="37">
        <v>0</v>
      </c>
    </row>
    <row r="120" spans="1:4" x14ac:dyDescent="0.2">
      <c r="A120" s="9" t="s">
        <v>39</v>
      </c>
      <c r="C120" s="58" t="s">
        <v>1794</v>
      </c>
      <c r="D120" s="37">
        <v>0</v>
      </c>
    </row>
    <row r="121" spans="1:4" x14ac:dyDescent="0.2">
      <c r="A121" s="9" t="s">
        <v>1220</v>
      </c>
      <c r="C121" s="58" t="s">
        <v>1794</v>
      </c>
      <c r="D121" s="37">
        <v>0</v>
      </c>
    </row>
    <row r="122" spans="1:4" x14ac:dyDescent="0.2">
      <c r="A122" s="9" t="s">
        <v>1221</v>
      </c>
      <c r="C122" s="58" t="s">
        <v>1794</v>
      </c>
      <c r="D122" s="37">
        <v>0</v>
      </c>
    </row>
    <row r="124" spans="1:4" ht="10.5" x14ac:dyDescent="0.25">
      <c r="A124" s="15" t="s">
        <v>1864</v>
      </c>
    </row>
    <row r="125" spans="1:4" ht="10.5" x14ac:dyDescent="0.25">
      <c r="A125" s="15"/>
    </row>
    <row r="126" spans="1:4" ht="10.5" x14ac:dyDescent="0.25">
      <c r="A126" s="15" t="s">
        <v>1797</v>
      </c>
      <c r="D126" s="41" t="s">
        <v>36</v>
      </c>
    </row>
    <row r="127" spans="1:4" x14ac:dyDescent="0.2">
      <c r="A127" s="9" t="s">
        <v>885</v>
      </c>
    </row>
    <row r="128" spans="1:4" ht="14.5" x14ac:dyDescent="0.35">
      <c r="A128" s="49" t="s">
        <v>1898</v>
      </c>
    </row>
  </sheetData>
  <mergeCells count="10">
    <mergeCell ref="A83:B83"/>
    <mergeCell ref="A84:B84"/>
    <mergeCell ref="A97:F97"/>
    <mergeCell ref="A1:F1"/>
    <mergeCell ref="A79:B79"/>
    <mergeCell ref="C79:D79"/>
    <mergeCell ref="A80:B80"/>
    <mergeCell ref="A81:B81"/>
    <mergeCell ref="A82:B82"/>
    <mergeCell ref="E65:F65"/>
  </mergeCells>
  <conditionalFormatting sqref="F2:F3 F98:F99 F101:F102 F5:F64 F111:F65536 F66:F96">
    <cfRule type="cellIs" dxfId="34" priority="3" stopIfTrue="1" operator="between">
      <formula>0.009</formula>
      <formula>-0.009</formula>
    </cfRule>
  </conditionalFormatting>
  <conditionalFormatting sqref="F103:F107 F109:F110">
    <cfRule type="cellIs" dxfId="33" priority="2" stopIfTrue="1" operator="between">
      <formula>0.009</formula>
      <formula>-0.009</formula>
    </cfRule>
  </conditionalFormatting>
  <conditionalFormatting sqref="E65">
    <cfRule type="cellIs" dxfId="32" priority="1" stopIfTrue="1" operator="between">
      <formula>0.009</formula>
      <formula>-0.009</formula>
    </cfRule>
  </conditionalFormatting>
  <hyperlinks>
    <hyperlink ref="A90" r:id="rId1" xr:uid="{00000000-0004-0000-2600-000000000000}"/>
    <hyperlink ref="A128" r:id="rId2" xr:uid="{00000000-0004-0000-2600-000001000000}"/>
  </hyperlinks>
  <pageMargins left="0.7" right="0.7" top="0.75" bottom="0.75" header="0.3" footer="0.3"/>
  <pageSetup paperSize="9" scale="56" orientation="portrait" r:id="rId3"/>
  <headerFooter>
    <evenFooter>&amp;LPUBLIC</evenFooter>
    <firstFooter>&amp;LPUBLIC</firstFooter>
  </headerFooter>
  <rowBreaks count="1" manualBreakCount="1">
    <brk id="94" max="5" man="1"/>
  </rowBreaks>
  <colBreaks count="1" manualBreakCount="1">
    <brk id="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91"/>
  <sheetViews>
    <sheetView view="pageBreakPreview" zoomScaleNormal="100" zoomScaleSheetLayoutView="100" workbookViewId="0">
      <selection sqref="A1:G1"/>
    </sheetView>
  </sheetViews>
  <sheetFormatPr defaultColWidth="9.1796875" defaultRowHeight="10" x14ac:dyDescent="0.2"/>
  <cols>
    <col min="1" max="1" width="38.7265625" style="9" bestFit="1" customWidth="1"/>
    <col min="2" max="2" width="33.453125" style="9" bestFit="1" customWidth="1"/>
    <col min="3" max="3" width="35.7265625" style="9" customWidth="1"/>
    <col min="4" max="4" width="15.453125" style="10" bestFit="1" customWidth="1"/>
    <col min="5" max="5" width="12.453125" style="11" customWidth="1"/>
    <col min="6" max="6" width="11.6328125" style="14" customWidth="1"/>
    <col min="7" max="7" width="10.54296875" style="9" customWidth="1"/>
    <col min="8" max="16384" width="9.1796875" style="9"/>
  </cols>
  <sheetData>
    <row r="1" spans="1:7" s="1" customFormat="1" ht="14" x14ac:dyDescent="0.25">
      <c r="A1" s="88" t="s">
        <v>1783</v>
      </c>
      <c r="B1" s="89"/>
      <c r="C1" s="89"/>
      <c r="D1" s="89"/>
      <c r="E1" s="89"/>
      <c r="F1" s="89"/>
      <c r="G1" s="89"/>
    </row>
    <row r="2" spans="1:7" s="1" customFormat="1" ht="11.5" x14ac:dyDescent="0.25">
      <c r="A2" s="12" t="s">
        <v>4</v>
      </c>
      <c r="B2" s="2"/>
      <c r="C2" s="3"/>
      <c r="D2" s="4"/>
      <c r="E2" s="5"/>
      <c r="F2" s="14"/>
    </row>
    <row r="3" spans="1:7" s="1" customFormat="1" ht="31.5" x14ac:dyDescent="0.25">
      <c r="A3" s="8" t="s">
        <v>2</v>
      </c>
      <c r="B3" s="8" t="s">
        <v>0</v>
      </c>
      <c r="C3" s="83" t="s">
        <v>1892</v>
      </c>
      <c r="D3" s="13" t="s">
        <v>1</v>
      </c>
      <c r="E3" s="64" t="s">
        <v>1820</v>
      </c>
      <c r="F3" s="63" t="s">
        <v>1897</v>
      </c>
      <c r="G3" s="63" t="s">
        <v>1829</v>
      </c>
    </row>
    <row r="4" spans="1:7" ht="10.5" x14ac:dyDescent="0.25">
      <c r="A4" s="18" t="s">
        <v>45</v>
      </c>
      <c r="B4" s="19"/>
      <c r="C4" s="19"/>
      <c r="D4" s="20"/>
      <c r="E4" s="21"/>
      <c r="F4" s="22"/>
      <c r="G4" s="51"/>
    </row>
    <row r="5" spans="1:7" ht="10.5" x14ac:dyDescent="0.25">
      <c r="A5" s="23" t="s">
        <v>23</v>
      </c>
      <c r="B5" s="24"/>
      <c r="C5" s="24"/>
      <c r="D5" s="25"/>
      <c r="E5" s="26"/>
      <c r="F5" s="27"/>
      <c r="G5" s="52"/>
    </row>
    <row r="6" spans="1:7" x14ac:dyDescent="0.2">
      <c r="A6" s="24" t="s">
        <v>129</v>
      </c>
      <c r="B6" s="24" t="s">
        <v>128</v>
      </c>
      <c r="C6" s="24" t="s">
        <v>72</v>
      </c>
      <c r="D6" s="28">
        <v>56100</v>
      </c>
      <c r="E6" s="26">
        <v>1289.4585</v>
      </c>
      <c r="F6" s="27">
        <v>7.5548410080091797</v>
      </c>
      <c r="G6" s="81">
        <v>-7.5475000000000003</v>
      </c>
    </row>
    <row r="7" spans="1:7" x14ac:dyDescent="0.2">
      <c r="A7" s="24" t="s">
        <v>131</v>
      </c>
      <c r="B7" s="24" t="s">
        <v>130</v>
      </c>
      <c r="C7" s="24" t="s">
        <v>132</v>
      </c>
      <c r="D7" s="28">
        <v>64500</v>
      </c>
      <c r="E7" s="26">
        <v>1053.3495</v>
      </c>
      <c r="F7" s="27">
        <v>6.1714960181859002</v>
      </c>
      <c r="G7" s="81">
        <v>-6.1863999999999999</v>
      </c>
    </row>
    <row r="8" spans="1:7" x14ac:dyDescent="0.2">
      <c r="A8" s="24" t="s">
        <v>56</v>
      </c>
      <c r="B8" s="24" t="s">
        <v>55</v>
      </c>
      <c r="C8" s="24" t="s">
        <v>48</v>
      </c>
      <c r="D8" s="28">
        <v>227000</v>
      </c>
      <c r="E8" s="26">
        <v>860.33</v>
      </c>
      <c r="F8" s="27">
        <v>5.0406091893772</v>
      </c>
      <c r="G8" s="81">
        <v>-1.8741000000000001</v>
      </c>
    </row>
    <row r="9" spans="1:7" x14ac:dyDescent="0.2">
      <c r="A9" s="24" t="s">
        <v>134</v>
      </c>
      <c r="B9" s="24" t="s">
        <v>133</v>
      </c>
      <c r="C9" s="24" t="s">
        <v>132</v>
      </c>
      <c r="D9" s="28">
        <v>38000</v>
      </c>
      <c r="E9" s="26">
        <v>842.00400000000002</v>
      </c>
      <c r="F9" s="27">
        <v>4.9332385246270203</v>
      </c>
      <c r="G9" s="81">
        <v>-4.9566999999999997</v>
      </c>
    </row>
    <row r="10" spans="1:7" x14ac:dyDescent="0.2">
      <c r="A10" s="24" t="s">
        <v>58</v>
      </c>
      <c r="B10" s="24" t="s">
        <v>57</v>
      </c>
      <c r="C10" s="24" t="s">
        <v>59</v>
      </c>
      <c r="D10" s="28">
        <v>77195</v>
      </c>
      <c r="E10" s="26">
        <v>495.20592499999998</v>
      </c>
      <c r="F10" s="27">
        <v>2.9013745146502301</v>
      </c>
      <c r="G10" s="81"/>
    </row>
    <row r="11" spans="1:7" x14ac:dyDescent="0.2">
      <c r="A11" s="24" t="s">
        <v>47</v>
      </c>
      <c r="B11" s="24" t="s">
        <v>46</v>
      </c>
      <c r="C11" s="24" t="s">
        <v>48</v>
      </c>
      <c r="D11" s="28">
        <v>54878</v>
      </c>
      <c r="E11" s="26">
        <v>472.99348199999997</v>
      </c>
      <c r="F11" s="27">
        <v>2.7712334707434598</v>
      </c>
      <c r="G11" s="81"/>
    </row>
    <row r="12" spans="1:7" x14ac:dyDescent="0.2">
      <c r="A12" s="24" t="s">
        <v>136</v>
      </c>
      <c r="B12" s="24" t="s">
        <v>135</v>
      </c>
      <c r="C12" s="24" t="s">
        <v>72</v>
      </c>
      <c r="D12" s="28">
        <v>24000</v>
      </c>
      <c r="E12" s="26">
        <v>399.96</v>
      </c>
      <c r="F12" s="27">
        <v>2.34333575649263</v>
      </c>
      <c r="G12" s="81">
        <v>-2.3492000000000002</v>
      </c>
    </row>
    <row r="13" spans="1:7" x14ac:dyDescent="0.2">
      <c r="A13" s="24" t="s">
        <v>50</v>
      </c>
      <c r="B13" s="24" t="s">
        <v>49</v>
      </c>
      <c r="C13" s="24" t="s">
        <v>51</v>
      </c>
      <c r="D13" s="28">
        <v>89951</v>
      </c>
      <c r="E13" s="26">
        <v>396.59395899999998</v>
      </c>
      <c r="F13" s="27">
        <v>2.32361437377156</v>
      </c>
      <c r="G13" s="81"/>
    </row>
    <row r="14" spans="1:7" x14ac:dyDescent="0.2">
      <c r="A14" s="24" t="s">
        <v>63</v>
      </c>
      <c r="B14" s="24" t="s">
        <v>62</v>
      </c>
      <c r="C14" s="24" t="s">
        <v>48</v>
      </c>
      <c r="D14" s="28">
        <v>120061</v>
      </c>
      <c r="E14" s="26">
        <v>388.69748750000002</v>
      </c>
      <c r="F14" s="27">
        <v>2.2773495372477202</v>
      </c>
      <c r="G14" s="81"/>
    </row>
    <row r="15" spans="1:7" x14ac:dyDescent="0.2">
      <c r="A15" s="24" t="s">
        <v>80</v>
      </c>
      <c r="B15" s="24" t="s">
        <v>79</v>
      </c>
      <c r="C15" s="24" t="s">
        <v>69</v>
      </c>
      <c r="D15" s="28">
        <v>207933</v>
      </c>
      <c r="E15" s="26">
        <v>358.58045850000002</v>
      </c>
      <c r="F15" s="27">
        <v>2.1008961145678899</v>
      </c>
      <c r="G15" s="81"/>
    </row>
    <row r="16" spans="1:7" x14ac:dyDescent="0.2">
      <c r="A16" s="24" t="s">
        <v>61</v>
      </c>
      <c r="B16" s="24" t="s">
        <v>60</v>
      </c>
      <c r="C16" s="24" t="s">
        <v>48</v>
      </c>
      <c r="D16" s="28">
        <v>24128</v>
      </c>
      <c r="E16" s="26">
        <v>312.71094399999998</v>
      </c>
      <c r="F16" s="27">
        <v>1.8321500563100399</v>
      </c>
      <c r="G16" s="81"/>
    </row>
    <row r="17" spans="1:7" x14ac:dyDescent="0.2">
      <c r="A17" s="24" t="s">
        <v>65</v>
      </c>
      <c r="B17" s="24" t="s">
        <v>64</v>
      </c>
      <c r="C17" s="24" t="s">
        <v>66</v>
      </c>
      <c r="D17" s="28">
        <v>63712</v>
      </c>
      <c r="E17" s="26">
        <v>303.332832</v>
      </c>
      <c r="F17" s="27">
        <v>1.77720439879931</v>
      </c>
      <c r="G17" s="81"/>
    </row>
    <row r="18" spans="1:7" x14ac:dyDescent="0.2">
      <c r="A18" s="24" t="s">
        <v>138</v>
      </c>
      <c r="B18" s="24" t="s">
        <v>137</v>
      </c>
      <c r="C18" s="24" t="s">
        <v>91</v>
      </c>
      <c r="D18" s="28">
        <v>1300000</v>
      </c>
      <c r="E18" s="26">
        <v>259.35000000000002</v>
      </c>
      <c r="F18" s="27">
        <v>1.51951227234314</v>
      </c>
      <c r="G18" s="81"/>
    </row>
    <row r="19" spans="1:7" x14ac:dyDescent="0.2">
      <c r="A19" s="24" t="s">
        <v>140</v>
      </c>
      <c r="B19" s="24" t="s">
        <v>139</v>
      </c>
      <c r="C19" s="24" t="s">
        <v>132</v>
      </c>
      <c r="D19" s="28">
        <v>86040</v>
      </c>
      <c r="E19" s="26">
        <v>249.51599999999999</v>
      </c>
      <c r="F19" s="27">
        <v>1.46189560110265</v>
      </c>
      <c r="G19" s="81"/>
    </row>
    <row r="20" spans="1:7" x14ac:dyDescent="0.2">
      <c r="A20" s="24" t="s">
        <v>53</v>
      </c>
      <c r="B20" s="24" t="s">
        <v>52</v>
      </c>
      <c r="C20" s="24" t="s">
        <v>54</v>
      </c>
      <c r="D20" s="28">
        <v>7942</v>
      </c>
      <c r="E20" s="26">
        <v>247.849965</v>
      </c>
      <c r="F20" s="27">
        <v>1.45213442651752</v>
      </c>
      <c r="G20" s="81"/>
    </row>
    <row r="21" spans="1:7" x14ac:dyDescent="0.2">
      <c r="A21" s="24" t="s">
        <v>101</v>
      </c>
      <c r="B21" s="24" t="s">
        <v>100</v>
      </c>
      <c r="C21" s="24" t="s">
        <v>91</v>
      </c>
      <c r="D21" s="28">
        <v>283537</v>
      </c>
      <c r="E21" s="26">
        <v>238.73815400000001</v>
      </c>
      <c r="F21" s="27">
        <v>1.39874900666878</v>
      </c>
      <c r="G21" s="81"/>
    </row>
    <row r="22" spans="1:7" x14ac:dyDescent="0.2">
      <c r="A22" s="24" t="s">
        <v>90</v>
      </c>
      <c r="B22" s="24" t="s">
        <v>89</v>
      </c>
      <c r="C22" s="24" t="s">
        <v>91</v>
      </c>
      <c r="D22" s="28">
        <v>145523</v>
      </c>
      <c r="E22" s="26">
        <v>231.52709300000001</v>
      </c>
      <c r="F22" s="27">
        <v>1.35649993905314</v>
      </c>
      <c r="G22" s="81"/>
    </row>
    <row r="23" spans="1:7" x14ac:dyDescent="0.2">
      <c r="A23" s="24" t="s">
        <v>142</v>
      </c>
      <c r="B23" s="24" t="s">
        <v>141</v>
      </c>
      <c r="C23" s="24" t="s">
        <v>143</v>
      </c>
      <c r="D23" s="28">
        <v>26250</v>
      </c>
      <c r="E23" s="26">
        <v>212.23124999999999</v>
      </c>
      <c r="F23" s="27">
        <v>1.24344703662898</v>
      </c>
      <c r="G23" s="81">
        <v>-1.2392000000000001</v>
      </c>
    </row>
    <row r="24" spans="1:7" x14ac:dyDescent="0.2">
      <c r="A24" s="24" t="s">
        <v>77</v>
      </c>
      <c r="B24" s="24" t="s">
        <v>76</v>
      </c>
      <c r="C24" s="24" t="s">
        <v>78</v>
      </c>
      <c r="D24" s="28">
        <v>110000</v>
      </c>
      <c r="E24" s="26">
        <v>209.11</v>
      </c>
      <c r="F24" s="27">
        <v>1.22515986608704</v>
      </c>
      <c r="G24" s="81"/>
    </row>
    <row r="25" spans="1:7" x14ac:dyDescent="0.2">
      <c r="A25" s="24" t="s">
        <v>145</v>
      </c>
      <c r="B25" s="24" t="s">
        <v>144</v>
      </c>
      <c r="C25" s="24" t="s">
        <v>66</v>
      </c>
      <c r="D25" s="28">
        <v>6000</v>
      </c>
      <c r="E25" s="26">
        <v>194.691</v>
      </c>
      <c r="F25" s="27">
        <v>1.14068002242051</v>
      </c>
      <c r="G25" s="81">
        <v>-1.1419999999999999</v>
      </c>
    </row>
    <row r="26" spans="1:7" x14ac:dyDescent="0.2">
      <c r="A26" s="24" t="s">
        <v>103</v>
      </c>
      <c r="B26" s="24" t="s">
        <v>102</v>
      </c>
      <c r="C26" s="24" t="s">
        <v>48</v>
      </c>
      <c r="D26" s="28">
        <v>97218</v>
      </c>
      <c r="E26" s="26">
        <v>191.37363300000001</v>
      </c>
      <c r="F26" s="27">
        <v>1.1212438170287</v>
      </c>
      <c r="G26" s="81"/>
    </row>
    <row r="27" spans="1:7" x14ac:dyDescent="0.2">
      <c r="A27" s="24" t="s">
        <v>147</v>
      </c>
      <c r="B27" s="24" t="s">
        <v>146</v>
      </c>
      <c r="C27" s="24" t="s">
        <v>91</v>
      </c>
      <c r="D27" s="28">
        <v>567938</v>
      </c>
      <c r="E27" s="26">
        <v>186.567633</v>
      </c>
      <c r="F27" s="27">
        <v>1.09308582211495</v>
      </c>
      <c r="G27" s="81"/>
    </row>
    <row r="28" spans="1:7" x14ac:dyDescent="0.2">
      <c r="A28" s="24" t="s">
        <v>98</v>
      </c>
      <c r="B28" s="24" t="s">
        <v>97</v>
      </c>
      <c r="C28" s="24" t="s">
        <v>99</v>
      </c>
      <c r="D28" s="28">
        <v>65438</v>
      </c>
      <c r="E28" s="26">
        <v>186.46558099999999</v>
      </c>
      <c r="F28" s="27">
        <v>1.09248790707189</v>
      </c>
      <c r="G28" s="81"/>
    </row>
    <row r="29" spans="1:7" x14ac:dyDescent="0.2">
      <c r="A29" s="24" t="s">
        <v>149</v>
      </c>
      <c r="B29" s="24" t="s">
        <v>148</v>
      </c>
      <c r="C29" s="24" t="s">
        <v>72</v>
      </c>
      <c r="D29" s="28">
        <v>41250</v>
      </c>
      <c r="E29" s="26">
        <v>185.645625</v>
      </c>
      <c r="F29" s="27">
        <v>1.08768384613192</v>
      </c>
      <c r="G29" s="81">
        <v>-1.0909</v>
      </c>
    </row>
    <row r="30" spans="1:7" x14ac:dyDescent="0.2">
      <c r="A30" s="24" t="s">
        <v>105</v>
      </c>
      <c r="B30" s="24" t="s">
        <v>104</v>
      </c>
      <c r="C30" s="24" t="s">
        <v>72</v>
      </c>
      <c r="D30" s="28">
        <v>18456</v>
      </c>
      <c r="E30" s="26">
        <v>169.582956</v>
      </c>
      <c r="F30" s="27">
        <v>0.993573868603152</v>
      </c>
      <c r="G30" s="81"/>
    </row>
    <row r="31" spans="1:7" x14ac:dyDescent="0.2">
      <c r="A31" s="24" t="s">
        <v>151</v>
      </c>
      <c r="B31" s="24" t="s">
        <v>150</v>
      </c>
      <c r="C31" s="24" t="s">
        <v>59</v>
      </c>
      <c r="D31" s="28">
        <v>29733</v>
      </c>
      <c r="E31" s="26">
        <v>168.14011500000001</v>
      </c>
      <c r="F31" s="27">
        <v>0.98512037098780603</v>
      </c>
      <c r="G31" s="81"/>
    </row>
    <row r="32" spans="1:7" x14ac:dyDescent="0.2">
      <c r="A32" s="24" t="s">
        <v>153</v>
      </c>
      <c r="B32" s="24" t="s">
        <v>152</v>
      </c>
      <c r="C32" s="24" t="s">
        <v>72</v>
      </c>
      <c r="D32" s="28">
        <v>96000</v>
      </c>
      <c r="E32" s="26">
        <v>164.83199999999999</v>
      </c>
      <c r="F32" s="27">
        <v>0.96573837237272098</v>
      </c>
      <c r="G32" s="81">
        <v>-0.96550000000000002</v>
      </c>
    </row>
    <row r="33" spans="1:9" x14ac:dyDescent="0.2">
      <c r="A33" s="24" t="s">
        <v>155</v>
      </c>
      <c r="B33" s="24" t="s">
        <v>154</v>
      </c>
      <c r="C33" s="24" t="s">
        <v>72</v>
      </c>
      <c r="D33" s="28">
        <v>902</v>
      </c>
      <c r="E33" s="26">
        <v>147.03141199999999</v>
      </c>
      <c r="F33" s="27">
        <v>0.86144605727372603</v>
      </c>
      <c r="G33" s="81"/>
    </row>
    <row r="34" spans="1:9" x14ac:dyDescent="0.2">
      <c r="A34" s="24" t="s">
        <v>68</v>
      </c>
      <c r="B34" s="24" t="s">
        <v>67</v>
      </c>
      <c r="C34" s="24" t="s">
        <v>69</v>
      </c>
      <c r="D34" s="28">
        <v>73156</v>
      </c>
      <c r="E34" s="26">
        <v>146.09253200000001</v>
      </c>
      <c r="F34" s="27">
        <v>0.85594522950330998</v>
      </c>
      <c r="G34" s="81"/>
    </row>
    <row r="35" spans="1:9" x14ac:dyDescent="0.2">
      <c r="A35" s="24" t="s">
        <v>85</v>
      </c>
      <c r="B35" s="24" t="s">
        <v>84</v>
      </c>
      <c r="C35" s="24" t="s">
        <v>86</v>
      </c>
      <c r="D35" s="28">
        <v>150335</v>
      </c>
      <c r="E35" s="26">
        <v>143.87059500000001</v>
      </c>
      <c r="F35" s="27">
        <v>0.84292706663508798</v>
      </c>
      <c r="G35" s="81"/>
    </row>
    <row r="36" spans="1:9" x14ac:dyDescent="0.2">
      <c r="A36" s="24" t="s">
        <v>71</v>
      </c>
      <c r="B36" s="24" t="s">
        <v>70</v>
      </c>
      <c r="C36" s="24" t="s">
        <v>72</v>
      </c>
      <c r="D36" s="28">
        <v>10287</v>
      </c>
      <c r="E36" s="26">
        <v>128.86524900000001</v>
      </c>
      <c r="F36" s="27">
        <v>0.75501186556412203</v>
      </c>
      <c r="G36" s="81"/>
    </row>
    <row r="37" spans="1:9" x14ac:dyDescent="0.2">
      <c r="A37" s="24" t="s">
        <v>93</v>
      </c>
      <c r="B37" s="24" t="s">
        <v>92</v>
      </c>
      <c r="C37" s="24" t="s">
        <v>94</v>
      </c>
      <c r="D37" s="28">
        <v>38144</v>
      </c>
      <c r="E37" s="26">
        <v>102.836224</v>
      </c>
      <c r="F37" s="27">
        <v>0.60250975288000197</v>
      </c>
      <c r="G37" s="81"/>
    </row>
    <row r="38" spans="1:9" x14ac:dyDescent="0.2">
      <c r="A38" s="24" t="s">
        <v>157</v>
      </c>
      <c r="B38" s="24" t="s">
        <v>156</v>
      </c>
      <c r="C38" s="24" t="s">
        <v>78</v>
      </c>
      <c r="D38" s="28">
        <v>121901</v>
      </c>
      <c r="E38" s="26">
        <v>99.532166500000002</v>
      </c>
      <c r="F38" s="27">
        <v>0.58315152685425498</v>
      </c>
      <c r="G38" s="81"/>
    </row>
    <row r="39" spans="1:9" x14ac:dyDescent="0.2">
      <c r="A39" s="24" t="s">
        <v>159</v>
      </c>
      <c r="B39" s="24" t="s">
        <v>158</v>
      </c>
      <c r="C39" s="24" t="s">
        <v>66</v>
      </c>
      <c r="D39" s="28">
        <v>60447</v>
      </c>
      <c r="E39" s="26">
        <v>94.115978999999996</v>
      </c>
      <c r="F39" s="27">
        <v>0.55141848896892098</v>
      </c>
      <c r="G39" s="81"/>
    </row>
    <row r="40" spans="1:9" x14ac:dyDescent="0.2">
      <c r="A40" s="24" t="s">
        <v>161</v>
      </c>
      <c r="B40" s="24" t="s">
        <v>160</v>
      </c>
      <c r="C40" s="24" t="s">
        <v>162</v>
      </c>
      <c r="D40" s="28">
        <v>122059</v>
      </c>
      <c r="E40" s="26">
        <v>91.544250000000005</v>
      </c>
      <c r="F40" s="27">
        <v>0.53635092090784198</v>
      </c>
      <c r="G40" s="81"/>
    </row>
    <row r="41" spans="1:9" x14ac:dyDescent="0.2">
      <c r="A41" s="24" t="s">
        <v>1784</v>
      </c>
      <c r="B41" s="24" t="s">
        <v>1785</v>
      </c>
      <c r="C41" s="24" t="s">
        <v>118</v>
      </c>
      <c r="D41" s="28">
        <v>22800</v>
      </c>
      <c r="E41" s="26">
        <v>65.196600000000004</v>
      </c>
      <c r="F41" s="27">
        <v>0.38198200815518402</v>
      </c>
      <c r="G41" s="81">
        <v>-0.38269999999999998</v>
      </c>
    </row>
    <row r="42" spans="1:9" x14ac:dyDescent="0.2">
      <c r="A42" s="24" t="s">
        <v>164</v>
      </c>
      <c r="B42" s="24" t="s">
        <v>163</v>
      </c>
      <c r="C42" s="24" t="s">
        <v>165</v>
      </c>
      <c r="D42" s="28">
        <v>76471</v>
      </c>
      <c r="E42" s="26">
        <v>45.538480499999999</v>
      </c>
      <c r="F42" s="27">
        <v>0.26680655478546</v>
      </c>
      <c r="G42" s="81"/>
    </row>
    <row r="43" spans="1:9" x14ac:dyDescent="0.2">
      <c r="A43" s="24" t="s">
        <v>167</v>
      </c>
      <c r="B43" s="24" t="s">
        <v>166</v>
      </c>
      <c r="C43" s="24" t="s">
        <v>110</v>
      </c>
      <c r="D43" s="28">
        <v>64953</v>
      </c>
      <c r="E43" s="26">
        <v>44.655187499999997</v>
      </c>
      <c r="F43" s="27">
        <v>0.26163140709479099</v>
      </c>
      <c r="G43" s="81"/>
    </row>
    <row r="44" spans="1:9" x14ac:dyDescent="0.2">
      <c r="A44" s="24" t="s">
        <v>169</v>
      </c>
      <c r="B44" s="24" t="s">
        <v>168</v>
      </c>
      <c r="C44" s="24" t="s">
        <v>69</v>
      </c>
      <c r="D44" s="28">
        <v>47372</v>
      </c>
      <c r="E44" s="26">
        <v>36.263266000000002</v>
      </c>
      <c r="F44" s="27">
        <v>0.21246376603911299</v>
      </c>
      <c r="G44" s="81"/>
    </row>
    <row r="45" spans="1:9" ht="10.5" x14ac:dyDescent="0.25">
      <c r="A45" s="24" t="s">
        <v>171</v>
      </c>
      <c r="B45" s="24" t="s">
        <v>170</v>
      </c>
      <c r="C45" s="24" t="s">
        <v>132</v>
      </c>
      <c r="D45" s="28">
        <v>21957</v>
      </c>
      <c r="E45" s="26">
        <v>35.603275500000002</v>
      </c>
      <c r="F45" s="27">
        <v>0.208596931011621</v>
      </c>
      <c r="G45" s="80"/>
    </row>
    <row r="46" spans="1:9" x14ac:dyDescent="0.2">
      <c r="A46" s="24" t="s">
        <v>173</v>
      </c>
      <c r="B46" s="24" t="s">
        <v>172</v>
      </c>
      <c r="C46" s="24" t="s">
        <v>174</v>
      </c>
      <c r="D46" s="28">
        <v>500</v>
      </c>
      <c r="E46" s="26">
        <v>5.6952499999999997</v>
      </c>
      <c r="F46" s="27">
        <v>3.3368044222333901E-2</v>
      </c>
      <c r="G46" s="81">
        <v>-3.3300000000000003E-2</v>
      </c>
    </row>
    <row r="47" spans="1:9" x14ac:dyDescent="0.2">
      <c r="A47" s="24" t="s">
        <v>1786</v>
      </c>
      <c r="B47" s="24" t="s">
        <v>1787</v>
      </c>
      <c r="C47" s="24" t="s">
        <v>132</v>
      </c>
      <c r="D47" s="28">
        <v>1600</v>
      </c>
      <c r="E47" s="26">
        <v>2.3552</v>
      </c>
      <c r="F47" s="27">
        <v>1.3798940828311399E-2</v>
      </c>
      <c r="G47" s="81">
        <v>-1.38E-2</v>
      </c>
    </row>
    <row r="48" spans="1:9" ht="10.5" x14ac:dyDescent="0.25">
      <c r="A48" s="23" t="s">
        <v>24</v>
      </c>
      <c r="B48" s="23"/>
      <c r="C48" s="23"/>
      <c r="D48" s="29"/>
      <c r="E48" s="30">
        <f>SUM(E6:E47)</f>
        <v>11458.033760000004</v>
      </c>
      <c r="F48" s="31">
        <f>SUM(F6:F47)</f>
        <v>67.131763698639105</v>
      </c>
      <c r="G48" s="79">
        <f>SUM(G1:G47)</f>
        <v>-27.781300000000002</v>
      </c>
      <c r="H48" s="15"/>
      <c r="I48" s="15"/>
    </row>
    <row r="49" spans="1:9" ht="10.5" x14ac:dyDescent="0.25">
      <c r="A49" s="24"/>
      <c r="B49" s="24"/>
      <c r="C49" s="24"/>
      <c r="D49" s="25"/>
      <c r="E49" s="26"/>
      <c r="F49" s="27"/>
      <c r="G49" s="54"/>
    </row>
    <row r="50" spans="1:9" ht="10.5" x14ac:dyDescent="0.25">
      <c r="A50" s="23" t="s">
        <v>662</v>
      </c>
      <c r="B50" s="24"/>
      <c r="C50" s="24"/>
      <c r="D50" s="25"/>
      <c r="E50" s="26"/>
      <c r="F50" s="27"/>
      <c r="G50" s="52"/>
    </row>
    <row r="51" spans="1:9" ht="10.5" x14ac:dyDescent="0.25">
      <c r="A51" s="23" t="s">
        <v>23</v>
      </c>
      <c r="B51" s="24"/>
      <c r="C51" s="24"/>
      <c r="D51" s="25"/>
      <c r="E51" s="26"/>
      <c r="F51" s="27"/>
      <c r="G51" s="52"/>
    </row>
    <row r="52" spans="1:9" x14ac:dyDescent="0.2">
      <c r="A52" s="24" t="s">
        <v>1301</v>
      </c>
      <c r="B52" s="24" t="s">
        <v>1302</v>
      </c>
      <c r="C52" s="24" t="s">
        <v>815</v>
      </c>
      <c r="D52" s="28">
        <v>50</v>
      </c>
      <c r="E52" s="26">
        <v>542.14850000000001</v>
      </c>
      <c r="F52" s="27">
        <v>3.1764075542025298</v>
      </c>
      <c r="G52" s="52"/>
    </row>
    <row r="53" spans="1:9" ht="10.5" x14ac:dyDescent="0.25">
      <c r="A53" s="23" t="s">
        <v>24</v>
      </c>
      <c r="B53" s="23"/>
      <c r="C53" s="23"/>
      <c r="D53" s="29"/>
      <c r="E53" s="30">
        <f>SUM(E51:E52)</f>
        <v>542.14850000000001</v>
      </c>
      <c r="F53" s="31">
        <f>SUM(F51:F52)</f>
        <v>3.1764075542025298</v>
      </c>
      <c r="G53" s="55"/>
      <c r="H53" s="15"/>
      <c r="I53" s="15"/>
    </row>
    <row r="54" spans="1:9" x14ac:dyDescent="0.2">
      <c r="A54" s="24"/>
      <c r="B54" s="24"/>
      <c r="C54" s="24"/>
      <c r="D54" s="25"/>
      <c r="E54" s="26"/>
      <c r="F54" s="27"/>
      <c r="G54" s="52"/>
    </row>
    <row r="55" spans="1:9" ht="10.5" x14ac:dyDescent="0.25">
      <c r="A55" s="23" t="s">
        <v>1263</v>
      </c>
      <c r="B55" s="24"/>
      <c r="C55" s="24"/>
      <c r="D55" s="25"/>
      <c r="E55" s="26"/>
      <c r="F55" s="27"/>
      <c r="G55" s="52"/>
    </row>
    <row r="56" spans="1:9" x14ac:dyDescent="0.2">
      <c r="A56" s="24" t="s">
        <v>1267</v>
      </c>
      <c r="B56" s="24" t="s">
        <v>1268</v>
      </c>
      <c r="C56" s="24" t="s">
        <v>1266</v>
      </c>
      <c r="D56" s="28">
        <v>800000</v>
      </c>
      <c r="E56" s="26">
        <v>818.62720000000002</v>
      </c>
      <c r="F56" s="27">
        <v>4.7962756000536197</v>
      </c>
      <c r="G56" s="52"/>
    </row>
    <row r="57" spans="1:9" x14ac:dyDescent="0.2">
      <c r="A57" s="24" t="s">
        <v>1264</v>
      </c>
      <c r="B57" s="24" t="s">
        <v>1265</v>
      </c>
      <c r="C57" s="24" t="s">
        <v>1266</v>
      </c>
      <c r="D57" s="28">
        <v>700000</v>
      </c>
      <c r="E57" s="26">
        <v>753.07680000000005</v>
      </c>
      <c r="F57" s="27">
        <v>4.4122207041330403</v>
      </c>
      <c r="G57" s="52"/>
    </row>
    <row r="58" spans="1:9" x14ac:dyDescent="0.2">
      <c r="A58" s="24" t="s">
        <v>1269</v>
      </c>
      <c r="B58" s="24" t="s">
        <v>1881</v>
      </c>
      <c r="C58" s="24" t="s">
        <v>1266</v>
      </c>
      <c r="D58" s="28">
        <v>500000</v>
      </c>
      <c r="E58" s="26">
        <v>523.97400000000005</v>
      </c>
      <c r="F58" s="27">
        <v>3.0699245166328399</v>
      </c>
      <c r="G58" s="52"/>
    </row>
    <row r="59" spans="1:9" ht="10.5" x14ac:dyDescent="0.25">
      <c r="A59" s="23" t="s">
        <v>24</v>
      </c>
      <c r="B59" s="23"/>
      <c r="C59" s="23"/>
      <c r="D59" s="29"/>
      <c r="E59" s="30">
        <f>SUM(E56:E58)</f>
        <v>2095.6780000000003</v>
      </c>
      <c r="F59" s="31">
        <f>SUM(F56:F58)</f>
        <v>12.2784208208195</v>
      </c>
      <c r="G59" s="55"/>
      <c r="H59" s="15"/>
      <c r="I59" s="15"/>
    </row>
    <row r="60" spans="1:9" x14ac:dyDescent="0.2">
      <c r="A60" s="24"/>
      <c r="B60" s="24"/>
      <c r="C60" s="24"/>
      <c r="D60" s="25"/>
      <c r="E60" s="26"/>
      <c r="F60" s="27"/>
      <c r="G60" s="52"/>
    </row>
    <row r="61" spans="1:9" ht="10.5" x14ac:dyDescent="0.25">
      <c r="A61" s="23" t="s">
        <v>25</v>
      </c>
      <c r="B61" s="23"/>
      <c r="C61" s="23"/>
      <c r="D61" s="29"/>
      <c r="E61" s="30">
        <f>E48+E53+E59</f>
        <v>14095.860260000003</v>
      </c>
      <c r="F61" s="31">
        <f>F48+F53+F59</f>
        <v>82.586592073661137</v>
      </c>
      <c r="G61" s="52"/>
      <c r="H61" s="15"/>
      <c r="I61" s="15"/>
    </row>
    <row r="62" spans="1:9" ht="10.5" x14ac:dyDescent="0.25">
      <c r="A62" s="23"/>
      <c r="B62" s="23"/>
      <c r="C62" s="23"/>
      <c r="D62" s="29"/>
      <c r="E62" s="30"/>
      <c r="F62" s="31"/>
      <c r="G62" s="52"/>
      <c r="H62" s="15"/>
      <c r="I62" s="15"/>
    </row>
    <row r="63" spans="1:9" ht="10.5" x14ac:dyDescent="0.25">
      <c r="A63" s="23" t="s">
        <v>1800</v>
      </c>
      <c r="B63" s="23"/>
      <c r="C63" s="23"/>
      <c r="D63" s="29"/>
      <c r="E63" s="30">
        <v>2160.6850300000001</v>
      </c>
      <c r="F63" s="31">
        <v>12.659292152508634</v>
      </c>
      <c r="G63" s="52"/>
      <c r="H63" s="15"/>
      <c r="I63" s="15"/>
    </row>
    <row r="64" spans="1:9" ht="10.5" x14ac:dyDescent="0.25">
      <c r="A64" s="23" t="s">
        <v>27</v>
      </c>
      <c r="B64" s="23"/>
      <c r="C64" s="23"/>
      <c r="D64" s="29"/>
      <c r="E64" s="30">
        <f>E66-(E48+E53+E59+E63)</f>
        <v>811.43137069999466</v>
      </c>
      <c r="F64" s="31">
        <f>F66-(F48+F53+F59+F63)</f>
        <v>4.7541157738302218</v>
      </c>
      <c r="G64" s="52"/>
      <c r="H64" s="15"/>
      <c r="I64" s="15"/>
    </row>
    <row r="65" spans="1:9" ht="10.5" x14ac:dyDescent="0.25">
      <c r="A65" s="23"/>
      <c r="B65" s="23"/>
      <c r="C65" s="23"/>
      <c r="D65" s="29"/>
      <c r="E65" s="30"/>
      <c r="F65" s="31"/>
      <c r="G65" s="55"/>
      <c r="H65" s="15"/>
      <c r="I65" s="15"/>
    </row>
    <row r="66" spans="1:9" ht="10.5" x14ac:dyDescent="0.25">
      <c r="A66" s="32" t="s">
        <v>26</v>
      </c>
      <c r="B66" s="32"/>
      <c r="C66" s="32"/>
      <c r="D66" s="33"/>
      <c r="E66" s="34">
        <v>17067.976660699998</v>
      </c>
      <c r="F66" s="35">
        <v>100</v>
      </c>
      <c r="G66" s="56"/>
      <c r="H66" s="15"/>
      <c r="I66" s="15"/>
    </row>
    <row r="67" spans="1:9" ht="10.5" x14ac:dyDescent="0.25">
      <c r="A67" s="76" t="s">
        <v>1855</v>
      </c>
      <c r="B67" s="72"/>
      <c r="C67" s="72"/>
      <c r="D67" s="73"/>
      <c r="E67" s="74"/>
      <c r="F67" s="17"/>
      <c r="G67" s="75"/>
      <c r="H67" s="15"/>
      <c r="I67" s="15"/>
    </row>
    <row r="69" spans="1:9" ht="10.5" x14ac:dyDescent="0.25">
      <c r="A69" s="15" t="s">
        <v>28</v>
      </c>
    </row>
    <row r="70" spans="1:9" ht="10.5" x14ac:dyDescent="0.25">
      <c r="A70" s="15" t="s">
        <v>29</v>
      </c>
    </row>
    <row r="71" spans="1:9" ht="10.5" x14ac:dyDescent="0.25">
      <c r="A71" s="15" t="s">
        <v>30</v>
      </c>
      <c r="B71" s="15"/>
      <c r="C71" s="36" t="s">
        <v>32</v>
      </c>
      <c r="D71" s="16" t="s">
        <v>31</v>
      </c>
    </row>
    <row r="72" spans="1:9" x14ac:dyDescent="0.2">
      <c r="A72" s="9" t="s">
        <v>38</v>
      </c>
      <c r="C72" s="37">
        <v>10.210800000000001</v>
      </c>
      <c r="D72" s="37">
        <v>9.0701000000000001</v>
      </c>
    </row>
    <row r="73" spans="1:9" x14ac:dyDescent="0.2">
      <c r="A73" s="9" t="s">
        <v>40</v>
      </c>
      <c r="C73" s="37">
        <v>10.210800000000001</v>
      </c>
      <c r="D73" s="37">
        <v>9.0701000000000001</v>
      </c>
    </row>
    <row r="74" spans="1:9" x14ac:dyDescent="0.2">
      <c r="A74" s="9" t="s">
        <v>1218</v>
      </c>
      <c r="C74" s="37">
        <v>10.1509</v>
      </c>
      <c r="D74" s="37">
        <v>9.0152999999999999</v>
      </c>
    </row>
    <row r="75" spans="1:9" x14ac:dyDescent="0.2">
      <c r="A75" s="9" t="s">
        <v>1219</v>
      </c>
      <c r="C75" s="37">
        <v>10.210800000000001</v>
      </c>
      <c r="D75" s="37">
        <v>9.0701000000000001</v>
      </c>
    </row>
    <row r="76" spans="1:9" x14ac:dyDescent="0.2">
      <c r="A76" s="9" t="s">
        <v>39</v>
      </c>
      <c r="C76" s="37">
        <v>10.4115</v>
      </c>
      <c r="D76" s="37">
        <v>9.3384999999999998</v>
      </c>
    </row>
    <row r="77" spans="1:9" x14ac:dyDescent="0.2">
      <c r="A77" s="9" t="s">
        <v>41</v>
      </c>
      <c r="C77" s="37">
        <v>10.4115</v>
      </c>
      <c r="D77" s="37">
        <v>9.3384999999999998</v>
      </c>
    </row>
    <row r="78" spans="1:9" x14ac:dyDescent="0.2">
      <c r="A78" s="9" t="s">
        <v>1220</v>
      </c>
      <c r="C78" s="37">
        <v>10.3508</v>
      </c>
      <c r="D78" s="37">
        <v>9.2840000000000007</v>
      </c>
    </row>
    <row r="79" spans="1:9" x14ac:dyDescent="0.2">
      <c r="A79" s="9" t="s">
        <v>1221</v>
      </c>
      <c r="C79" s="37">
        <v>10.4115</v>
      </c>
      <c r="D79" s="37">
        <v>9.3384999999999998</v>
      </c>
    </row>
    <row r="81" spans="1:5" ht="10.5" x14ac:dyDescent="0.25">
      <c r="A81" s="15" t="s">
        <v>1882</v>
      </c>
      <c r="D81" s="41" t="s">
        <v>36</v>
      </c>
    </row>
    <row r="83" spans="1:5" ht="10.5" x14ac:dyDescent="0.25">
      <c r="A83" s="15" t="s">
        <v>1871</v>
      </c>
      <c r="D83" s="78" t="s">
        <v>1879</v>
      </c>
    </row>
    <row r="84" spans="1:5" ht="10.5" x14ac:dyDescent="0.25">
      <c r="A84" s="15"/>
    </row>
    <row r="85" spans="1:5" ht="10.5" x14ac:dyDescent="0.25">
      <c r="A85" s="15" t="s">
        <v>1876</v>
      </c>
      <c r="D85" s="11">
        <f>-G48</f>
        <v>27.781300000000002</v>
      </c>
    </row>
    <row r="87" spans="1:5" ht="10.5" x14ac:dyDescent="0.25">
      <c r="A87" s="15" t="s">
        <v>1872</v>
      </c>
      <c r="D87" s="42">
        <v>2.6173999999999999</v>
      </c>
    </row>
    <row r="89" spans="1:5" ht="10.5" x14ac:dyDescent="0.25">
      <c r="A89" s="15" t="s">
        <v>1873</v>
      </c>
      <c r="D89" s="11">
        <v>7.2720213010850401</v>
      </c>
      <c r="E89" s="11" t="s">
        <v>883</v>
      </c>
    </row>
    <row r="91" spans="1:5" ht="10.5" x14ac:dyDescent="0.25">
      <c r="A91" s="15" t="s">
        <v>1874</v>
      </c>
      <c r="D91" s="41" t="s">
        <v>36</v>
      </c>
    </row>
  </sheetData>
  <mergeCells count="1">
    <mergeCell ref="A1:G1"/>
  </mergeCells>
  <conditionalFormatting sqref="F2 F4:F65536">
    <cfRule type="cellIs" dxfId="31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4" orientation="portrait" r:id="rId1"/>
  <headerFooter>
    <evenFooter>&amp;LPUBLIC</evenFooter>
    <firstFooter>&amp;LPUBLIC</firstFooter>
  </headerFooter>
  <colBreaks count="1" manualBreakCount="1">
    <brk id="7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0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41.26953125" style="9" bestFit="1" customWidth="1"/>
    <col min="2" max="2" width="51.81640625" style="9" bestFit="1" customWidth="1"/>
    <col min="3" max="3" width="35.7265625" style="9" bestFit="1" customWidth="1"/>
    <col min="4" max="4" width="15.453125" style="10" bestFit="1" customWidth="1"/>
    <col min="5" max="5" width="14.81640625" style="11" customWidth="1"/>
    <col min="6" max="6" width="10.1796875" style="14" customWidth="1"/>
    <col min="7" max="7" width="5.81640625" style="9" bestFit="1" customWidth="1"/>
    <col min="8" max="16384" width="9.1796875" style="9"/>
  </cols>
  <sheetData>
    <row r="1" spans="1:6" s="1" customFormat="1" ht="14" x14ac:dyDescent="0.25">
      <c r="A1" s="88" t="s">
        <v>1830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3" t="s">
        <v>1892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1188868</v>
      </c>
      <c r="E6" s="26">
        <v>10246.853289999999</v>
      </c>
      <c r="F6" s="27">
        <v>7.6861943756740096</v>
      </c>
    </row>
    <row r="7" spans="1:6" x14ac:dyDescent="0.2">
      <c r="A7" s="24" t="s">
        <v>56</v>
      </c>
      <c r="B7" s="24" t="s">
        <v>55</v>
      </c>
      <c r="C7" s="24" t="s">
        <v>48</v>
      </c>
      <c r="D7" s="28">
        <v>2400862</v>
      </c>
      <c r="E7" s="26">
        <v>9099.2669800000003</v>
      </c>
      <c r="F7" s="27">
        <v>6.8253865557620603</v>
      </c>
    </row>
    <row r="8" spans="1:6" x14ac:dyDescent="0.2">
      <c r="A8" s="24" t="s">
        <v>50</v>
      </c>
      <c r="B8" s="24" t="s">
        <v>49</v>
      </c>
      <c r="C8" s="24" t="s">
        <v>51</v>
      </c>
      <c r="D8" s="28">
        <v>1264520</v>
      </c>
      <c r="E8" s="26">
        <v>5575.2686800000001</v>
      </c>
      <c r="F8" s="27">
        <v>4.1820252089397796</v>
      </c>
    </row>
    <row r="9" spans="1:6" x14ac:dyDescent="0.2">
      <c r="A9" s="24" t="s">
        <v>63</v>
      </c>
      <c r="B9" s="24" t="s">
        <v>62</v>
      </c>
      <c r="C9" s="24" t="s">
        <v>48</v>
      </c>
      <c r="D9" s="28">
        <v>1681302</v>
      </c>
      <c r="E9" s="26">
        <v>5443.2152249999999</v>
      </c>
      <c r="F9" s="27">
        <v>4.0829715292994297</v>
      </c>
    </row>
    <row r="10" spans="1:6" x14ac:dyDescent="0.2">
      <c r="A10" s="24" t="s">
        <v>58</v>
      </c>
      <c r="B10" s="24" t="s">
        <v>57</v>
      </c>
      <c r="C10" s="24" t="s">
        <v>59</v>
      </c>
      <c r="D10" s="28">
        <v>763784</v>
      </c>
      <c r="E10" s="26">
        <v>4899.67436</v>
      </c>
      <c r="F10" s="27">
        <v>3.6752599498246701</v>
      </c>
    </row>
    <row r="11" spans="1:6" x14ac:dyDescent="0.2">
      <c r="A11" s="24" t="s">
        <v>53</v>
      </c>
      <c r="B11" s="24" t="s">
        <v>52</v>
      </c>
      <c r="C11" s="24" t="s">
        <v>54</v>
      </c>
      <c r="D11" s="28">
        <v>154688</v>
      </c>
      <c r="E11" s="26">
        <v>4827.4257600000001</v>
      </c>
      <c r="F11" s="27">
        <v>3.6210660653945799</v>
      </c>
    </row>
    <row r="12" spans="1:6" x14ac:dyDescent="0.2">
      <c r="A12" s="24" t="s">
        <v>90</v>
      </c>
      <c r="B12" s="24" t="s">
        <v>89</v>
      </c>
      <c r="C12" s="24" t="s">
        <v>91</v>
      </c>
      <c r="D12" s="28">
        <v>2508769</v>
      </c>
      <c r="E12" s="26">
        <v>3991.4514789999998</v>
      </c>
      <c r="F12" s="27">
        <v>2.9939993323223901</v>
      </c>
    </row>
    <row r="13" spans="1:6" x14ac:dyDescent="0.2">
      <c r="A13" s="24" t="s">
        <v>98</v>
      </c>
      <c r="B13" s="24" t="s">
        <v>97</v>
      </c>
      <c r="C13" s="24" t="s">
        <v>99</v>
      </c>
      <c r="D13" s="28">
        <v>1071320</v>
      </c>
      <c r="E13" s="26">
        <v>3052.7263400000002</v>
      </c>
      <c r="F13" s="27">
        <v>2.2898588826170201</v>
      </c>
    </row>
    <row r="14" spans="1:6" x14ac:dyDescent="0.2">
      <c r="A14" s="24" t="s">
        <v>68</v>
      </c>
      <c r="B14" s="24" t="s">
        <v>67</v>
      </c>
      <c r="C14" s="24" t="s">
        <v>69</v>
      </c>
      <c r="D14" s="28">
        <v>1479354</v>
      </c>
      <c r="E14" s="26">
        <v>2954.2699379999999</v>
      </c>
      <c r="F14" s="27">
        <v>2.2160064498862799</v>
      </c>
    </row>
    <row r="15" spans="1:6" x14ac:dyDescent="0.2">
      <c r="A15" s="24" t="s">
        <v>80</v>
      </c>
      <c r="B15" s="24" t="s">
        <v>79</v>
      </c>
      <c r="C15" s="24" t="s">
        <v>69</v>
      </c>
      <c r="D15" s="28">
        <v>1666102</v>
      </c>
      <c r="E15" s="26">
        <v>2873.1928990000001</v>
      </c>
      <c r="F15" s="27">
        <v>2.15519032775381</v>
      </c>
    </row>
    <row r="16" spans="1:6" x14ac:dyDescent="0.2">
      <c r="A16" s="24" t="s">
        <v>65</v>
      </c>
      <c r="B16" s="24" t="s">
        <v>64</v>
      </c>
      <c r="C16" s="24" t="s">
        <v>66</v>
      </c>
      <c r="D16" s="28">
        <v>600350</v>
      </c>
      <c r="E16" s="26">
        <v>2858.2663499999999</v>
      </c>
      <c r="F16" s="27">
        <v>2.1439938800517599</v>
      </c>
    </row>
    <row r="17" spans="1:6" x14ac:dyDescent="0.2">
      <c r="A17" s="24" t="s">
        <v>105</v>
      </c>
      <c r="B17" s="24" t="s">
        <v>104</v>
      </c>
      <c r="C17" s="24" t="s">
        <v>72</v>
      </c>
      <c r="D17" s="28">
        <v>278251</v>
      </c>
      <c r="E17" s="26">
        <v>2556.7093140000002</v>
      </c>
      <c r="F17" s="27">
        <v>1.9177950726276201</v>
      </c>
    </row>
    <row r="18" spans="1:6" x14ac:dyDescent="0.2">
      <c r="A18" s="24" t="s">
        <v>151</v>
      </c>
      <c r="B18" s="24" t="s">
        <v>150</v>
      </c>
      <c r="C18" s="24" t="s">
        <v>59</v>
      </c>
      <c r="D18" s="28">
        <v>429717</v>
      </c>
      <c r="E18" s="26">
        <v>2430.0496349999999</v>
      </c>
      <c r="F18" s="27">
        <v>1.8227872800104901</v>
      </c>
    </row>
    <row r="19" spans="1:6" x14ac:dyDescent="0.2">
      <c r="A19" s="24" t="s">
        <v>159</v>
      </c>
      <c r="B19" s="24" t="s">
        <v>158</v>
      </c>
      <c r="C19" s="24" t="s">
        <v>66</v>
      </c>
      <c r="D19" s="28">
        <v>1424346</v>
      </c>
      <c r="E19" s="26">
        <v>2217.7067219999999</v>
      </c>
      <c r="F19" s="27">
        <v>1.6635082450303</v>
      </c>
    </row>
    <row r="20" spans="1:6" x14ac:dyDescent="0.2">
      <c r="A20" s="24" t="s">
        <v>101</v>
      </c>
      <c r="B20" s="24" t="s">
        <v>100</v>
      </c>
      <c r="C20" s="24" t="s">
        <v>91</v>
      </c>
      <c r="D20" s="28">
        <v>2512015</v>
      </c>
      <c r="E20" s="26">
        <v>2115.11663</v>
      </c>
      <c r="F20" s="27">
        <v>1.58655511944005</v>
      </c>
    </row>
    <row r="21" spans="1:6" x14ac:dyDescent="0.2">
      <c r="A21" s="24" t="s">
        <v>157</v>
      </c>
      <c r="B21" s="24" t="s">
        <v>156</v>
      </c>
      <c r="C21" s="24" t="s">
        <v>78</v>
      </c>
      <c r="D21" s="28">
        <v>2568360</v>
      </c>
      <c r="E21" s="26">
        <v>2097.06594</v>
      </c>
      <c r="F21" s="27">
        <v>1.57301524451177</v>
      </c>
    </row>
    <row r="22" spans="1:6" x14ac:dyDescent="0.2">
      <c r="A22" s="24" t="s">
        <v>85</v>
      </c>
      <c r="B22" s="24" t="s">
        <v>84</v>
      </c>
      <c r="C22" s="24" t="s">
        <v>86</v>
      </c>
      <c r="D22" s="28">
        <v>2044188</v>
      </c>
      <c r="E22" s="26">
        <v>1956.287916</v>
      </c>
      <c r="F22" s="27">
        <v>1.46741724035733</v>
      </c>
    </row>
    <row r="23" spans="1:6" x14ac:dyDescent="0.2">
      <c r="A23" s="24" t="s">
        <v>142</v>
      </c>
      <c r="B23" s="24" t="s">
        <v>141</v>
      </c>
      <c r="C23" s="24" t="s">
        <v>143</v>
      </c>
      <c r="D23" s="28">
        <v>205227</v>
      </c>
      <c r="E23" s="26">
        <v>1659.260295</v>
      </c>
      <c r="F23" s="27">
        <v>1.24461596026308</v>
      </c>
    </row>
    <row r="24" spans="1:6" x14ac:dyDescent="0.2">
      <c r="A24" s="24" t="s">
        <v>74</v>
      </c>
      <c r="B24" s="24" t="s">
        <v>73</v>
      </c>
      <c r="C24" s="24" t="s">
        <v>75</v>
      </c>
      <c r="D24" s="28">
        <v>205000</v>
      </c>
      <c r="E24" s="26">
        <v>1622.8824999999999</v>
      </c>
      <c r="F24" s="27">
        <v>1.2173288707132199</v>
      </c>
    </row>
    <row r="25" spans="1:6" x14ac:dyDescent="0.2">
      <c r="A25" s="24" t="s">
        <v>77</v>
      </c>
      <c r="B25" s="24" t="s">
        <v>76</v>
      </c>
      <c r="C25" s="24" t="s">
        <v>78</v>
      </c>
      <c r="D25" s="28">
        <v>762218</v>
      </c>
      <c r="E25" s="26">
        <v>1448.976418</v>
      </c>
      <c r="F25" s="27">
        <v>1.0868814141590899</v>
      </c>
    </row>
    <row r="26" spans="1:6" x14ac:dyDescent="0.2">
      <c r="A26" s="24" t="s">
        <v>138</v>
      </c>
      <c r="B26" s="24" t="s">
        <v>137</v>
      </c>
      <c r="C26" s="24" t="s">
        <v>91</v>
      </c>
      <c r="D26" s="28">
        <v>6797235</v>
      </c>
      <c r="E26" s="26">
        <v>1356.0483830000001</v>
      </c>
      <c r="F26" s="27">
        <v>1.0171758255510699</v>
      </c>
    </row>
    <row r="27" spans="1:6" x14ac:dyDescent="0.2">
      <c r="A27" s="24" t="s">
        <v>82</v>
      </c>
      <c r="B27" s="24" t="s">
        <v>81</v>
      </c>
      <c r="C27" s="24" t="s">
        <v>83</v>
      </c>
      <c r="D27" s="28">
        <v>274626</v>
      </c>
      <c r="E27" s="26">
        <v>1309.6913939999999</v>
      </c>
      <c r="F27" s="27">
        <v>0.98240331363536604</v>
      </c>
    </row>
    <row r="28" spans="1:6" x14ac:dyDescent="0.2">
      <c r="A28" s="24" t="s">
        <v>103</v>
      </c>
      <c r="B28" s="24" t="s">
        <v>102</v>
      </c>
      <c r="C28" s="24" t="s">
        <v>48</v>
      </c>
      <c r="D28" s="28">
        <v>615662</v>
      </c>
      <c r="E28" s="26">
        <v>1211.9306469999999</v>
      </c>
      <c r="F28" s="27">
        <v>0.90907269373799804</v>
      </c>
    </row>
    <row r="29" spans="1:6" x14ac:dyDescent="0.2">
      <c r="A29" s="24" t="s">
        <v>161</v>
      </c>
      <c r="B29" s="24" t="s">
        <v>160</v>
      </c>
      <c r="C29" s="24" t="s">
        <v>162</v>
      </c>
      <c r="D29" s="28">
        <v>1583382</v>
      </c>
      <c r="E29" s="26">
        <v>1187.5364999999999</v>
      </c>
      <c r="F29" s="27">
        <v>0.89077457331367704</v>
      </c>
    </row>
    <row r="30" spans="1:6" x14ac:dyDescent="0.2">
      <c r="A30" s="24" t="s">
        <v>93</v>
      </c>
      <c r="B30" s="24" t="s">
        <v>92</v>
      </c>
      <c r="C30" s="24" t="s">
        <v>94</v>
      </c>
      <c r="D30" s="28">
        <v>385077</v>
      </c>
      <c r="E30" s="26">
        <v>1038.167592</v>
      </c>
      <c r="F30" s="27">
        <v>0.77873252215143496</v>
      </c>
    </row>
    <row r="31" spans="1:6" x14ac:dyDescent="0.2">
      <c r="A31" s="24" t="s">
        <v>140</v>
      </c>
      <c r="B31" s="24" t="s">
        <v>139</v>
      </c>
      <c r="C31" s="24" t="s">
        <v>132</v>
      </c>
      <c r="D31" s="28">
        <v>345421</v>
      </c>
      <c r="E31" s="26">
        <v>1001.7209</v>
      </c>
      <c r="F31" s="27">
        <v>0.75139375276203502</v>
      </c>
    </row>
    <row r="32" spans="1:6" x14ac:dyDescent="0.2">
      <c r="A32" s="24" t="s">
        <v>96</v>
      </c>
      <c r="B32" s="24" t="s">
        <v>95</v>
      </c>
      <c r="C32" s="24" t="s">
        <v>54</v>
      </c>
      <c r="D32" s="28">
        <v>374001</v>
      </c>
      <c r="E32" s="26">
        <v>999.5176725</v>
      </c>
      <c r="F32" s="27">
        <v>0.74974110542342698</v>
      </c>
    </row>
    <row r="33" spans="1:9" x14ac:dyDescent="0.2">
      <c r="A33" s="24" t="s">
        <v>112</v>
      </c>
      <c r="B33" s="24" t="s">
        <v>111</v>
      </c>
      <c r="C33" s="24" t="s">
        <v>113</v>
      </c>
      <c r="D33" s="28">
        <v>649104</v>
      </c>
      <c r="E33" s="26">
        <v>992.48001599999998</v>
      </c>
      <c r="F33" s="27">
        <v>0.74446213886878598</v>
      </c>
    </row>
    <row r="34" spans="1:9" x14ac:dyDescent="0.2">
      <c r="A34" s="24" t="s">
        <v>124</v>
      </c>
      <c r="B34" s="24" t="s">
        <v>123</v>
      </c>
      <c r="C34" s="24" t="s">
        <v>99</v>
      </c>
      <c r="D34" s="28">
        <v>1081483</v>
      </c>
      <c r="E34" s="26">
        <v>768.39367149999998</v>
      </c>
      <c r="F34" s="27">
        <v>0.57637432185650095</v>
      </c>
    </row>
    <row r="35" spans="1:9" x14ac:dyDescent="0.2">
      <c r="A35" s="24" t="s">
        <v>115</v>
      </c>
      <c r="B35" s="24" t="s">
        <v>114</v>
      </c>
      <c r="C35" s="24" t="s">
        <v>99</v>
      </c>
      <c r="D35" s="28">
        <v>36783</v>
      </c>
      <c r="E35" s="26">
        <v>743.88100050000003</v>
      </c>
      <c r="F35" s="27">
        <v>0.55798729623597998</v>
      </c>
    </row>
    <row r="36" spans="1:9" x14ac:dyDescent="0.2">
      <c r="A36" s="24" t="s">
        <v>177</v>
      </c>
      <c r="B36" s="24" t="s">
        <v>176</v>
      </c>
      <c r="C36" s="24" t="s">
        <v>83</v>
      </c>
      <c r="D36" s="28">
        <v>72561</v>
      </c>
      <c r="E36" s="26">
        <v>677.50205700000004</v>
      </c>
      <c r="F36" s="27">
        <v>0.50819625817253899</v>
      </c>
    </row>
    <row r="37" spans="1:9" x14ac:dyDescent="0.2">
      <c r="A37" s="24" t="s">
        <v>117</v>
      </c>
      <c r="B37" s="24" t="s">
        <v>116</v>
      </c>
      <c r="C37" s="24" t="s">
        <v>118</v>
      </c>
      <c r="D37" s="28">
        <v>1265151</v>
      </c>
      <c r="E37" s="26">
        <v>576.27628049999998</v>
      </c>
      <c r="F37" s="27">
        <v>0.43226650959627799</v>
      </c>
    </row>
    <row r="38" spans="1:9" x14ac:dyDescent="0.2">
      <c r="A38" s="24" t="s">
        <v>164</v>
      </c>
      <c r="B38" s="24" t="s">
        <v>163</v>
      </c>
      <c r="C38" s="24" t="s">
        <v>165</v>
      </c>
      <c r="D38" s="28">
        <v>921918</v>
      </c>
      <c r="E38" s="26">
        <v>549.00216899999998</v>
      </c>
      <c r="F38" s="27">
        <v>0.41180811944665102</v>
      </c>
    </row>
    <row r="39" spans="1:9" x14ac:dyDescent="0.2">
      <c r="A39" s="24" t="s">
        <v>171</v>
      </c>
      <c r="B39" s="24" t="s">
        <v>170</v>
      </c>
      <c r="C39" s="24" t="s">
        <v>132</v>
      </c>
      <c r="D39" s="28">
        <v>336933</v>
      </c>
      <c r="E39" s="26">
        <v>546.33685949999995</v>
      </c>
      <c r="F39" s="27">
        <v>0.40980886305949099</v>
      </c>
    </row>
    <row r="40" spans="1:9" x14ac:dyDescent="0.2">
      <c r="A40" s="24" t="s">
        <v>179</v>
      </c>
      <c r="B40" s="24" t="s">
        <v>178</v>
      </c>
      <c r="C40" s="24" t="s">
        <v>75</v>
      </c>
      <c r="D40" s="28">
        <v>414842</v>
      </c>
      <c r="E40" s="26">
        <v>329.384548</v>
      </c>
      <c r="F40" s="27">
        <v>0.24707230489405499</v>
      </c>
    </row>
    <row r="41" spans="1:9" x14ac:dyDescent="0.2">
      <c r="A41" s="24" t="s">
        <v>167</v>
      </c>
      <c r="B41" s="24" t="s">
        <v>166</v>
      </c>
      <c r="C41" s="24" t="s">
        <v>110</v>
      </c>
      <c r="D41" s="28">
        <v>377910</v>
      </c>
      <c r="E41" s="26">
        <v>259.81312500000001</v>
      </c>
      <c r="F41" s="27">
        <v>0.194886578697302</v>
      </c>
    </row>
    <row r="42" spans="1:9" ht="10.5" x14ac:dyDescent="0.25">
      <c r="A42" s="23" t="s">
        <v>24</v>
      </c>
      <c r="B42" s="23"/>
      <c r="C42" s="23"/>
      <c r="D42" s="29"/>
      <c r="E42" s="30">
        <f>SUM(E6:E41)</f>
        <v>87473.349486500025</v>
      </c>
      <c r="F42" s="31">
        <f>SUM(F6:F41)</f>
        <v>65.614013182041319</v>
      </c>
      <c r="G42" s="15"/>
      <c r="H42" s="15"/>
      <c r="I42" s="15"/>
    </row>
    <row r="43" spans="1:9" x14ac:dyDescent="0.2">
      <c r="A43" s="24"/>
      <c r="B43" s="24"/>
      <c r="C43" s="24"/>
      <c r="D43" s="25"/>
      <c r="E43" s="26"/>
      <c r="F43" s="27"/>
    </row>
    <row r="44" spans="1:9" ht="10.5" x14ac:dyDescent="0.25">
      <c r="A44" s="23" t="s">
        <v>1891</v>
      </c>
      <c r="B44" s="24"/>
      <c r="C44" s="24"/>
      <c r="D44" s="25"/>
      <c r="E44" s="26"/>
      <c r="F44" s="27"/>
    </row>
    <row r="45" spans="1:9" x14ac:dyDescent="0.2">
      <c r="A45" s="24" t="s">
        <v>180</v>
      </c>
      <c r="B45" s="24" t="s">
        <v>1851</v>
      </c>
      <c r="C45" s="24" t="s">
        <v>59</v>
      </c>
      <c r="D45" s="28">
        <v>270000</v>
      </c>
      <c r="E45" s="26">
        <v>2.7E-2</v>
      </c>
      <c r="F45" s="27">
        <v>2.0252778318366901E-5</v>
      </c>
    </row>
    <row r="46" spans="1:9" x14ac:dyDescent="0.2">
      <c r="A46" s="24"/>
      <c r="B46" s="24" t="s">
        <v>1848</v>
      </c>
      <c r="C46" s="24" t="s">
        <v>132</v>
      </c>
      <c r="D46" s="28">
        <v>27500</v>
      </c>
      <c r="E46" s="26">
        <v>2.7499999999999998E-3</v>
      </c>
      <c r="F46" s="27">
        <v>2.0627829768706999E-6</v>
      </c>
    </row>
    <row r="47" spans="1:9" ht="10.5" x14ac:dyDescent="0.25">
      <c r="A47" s="23" t="s">
        <v>24</v>
      </c>
      <c r="B47" s="23"/>
      <c r="C47" s="23"/>
      <c r="D47" s="29"/>
      <c r="E47" s="30">
        <f>SUM(E44:E46)</f>
        <v>2.9749999999999999E-2</v>
      </c>
      <c r="F47" s="31">
        <f>SUM(F44:F46)</f>
        <v>2.2315561295237603E-5</v>
      </c>
      <c r="G47" s="15"/>
      <c r="H47" s="15"/>
      <c r="I47" s="15"/>
    </row>
    <row r="48" spans="1:9" x14ac:dyDescent="0.2">
      <c r="A48" s="24"/>
      <c r="B48" s="24"/>
      <c r="C48" s="24"/>
      <c r="D48" s="25"/>
      <c r="E48" s="26"/>
      <c r="F48" s="27"/>
    </row>
    <row r="49" spans="1:9" ht="10.5" x14ac:dyDescent="0.25">
      <c r="A49" s="23" t="s">
        <v>1790</v>
      </c>
      <c r="B49" s="24"/>
      <c r="C49" s="24"/>
      <c r="D49" s="25"/>
      <c r="E49" s="26"/>
      <c r="F49" s="27"/>
    </row>
    <row r="50" spans="1:9" x14ac:dyDescent="0.2">
      <c r="A50" s="24" t="s">
        <v>182</v>
      </c>
      <c r="B50" s="24" t="s">
        <v>181</v>
      </c>
      <c r="C50" s="24"/>
      <c r="D50" s="28">
        <v>189000</v>
      </c>
      <c r="E50" s="26">
        <v>662.89859999999999</v>
      </c>
      <c r="F50" s="27">
        <v>0.49724216271687999</v>
      </c>
    </row>
    <row r="51" spans="1:9" ht="10.5" x14ac:dyDescent="0.25">
      <c r="A51" s="23" t="s">
        <v>24</v>
      </c>
      <c r="B51" s="23"/>
      <c r="C51" s="23"/>
      <c r="D51" s="29"/>
      <c r="E51" s="30">
        <f>SUM(E49:E50)</f>
        <v>662.89859999999999</v>
      </c>
      <c r="F51" s="31">
        <f>SUM(F49:F50)</f>
        <v>0.49724216271687999</v>
      </c>
      <c r="G51" s="15"/>
      <c r="H51" s="15"/>
      <c r="I51" s="15"/>
    </row>
    <row r="52" spans="1:9" x14ac:dyDescent="0.2">
      <c r="A52" s="24"/>
      <c r="B52" s="24"/>
      <c r="C52" s="24"/>
      <c r="D52" s="25"/>
      <c r="E52" s="26"/>
      <c r="F52" s="27"/>
    </row>
    <row r="53" spans="1:9" ht="10.5" x14ac:dyDescent="0.25">
      <c r="A53" s="23" t="s">
        <v>662</v>
      </c>
      <c r="B53" s="24"/>
      <c r="C53" s="24"/>
      <c r="D53" s="25"/>
      <c r="E53" s="26"/>
      <c r="F53" s="27"/>
    </row>
    <row r="54" spans="1:9" ht="10.5" x14ac:dyDescent="0.25">
      <c r="A54" s="23" t="s">
        <v>23</v>
      </c>
      <c r="B54" s="24"/>
      <c r="C54" s="24"/>
      <c r="D54" s="25"/>
      <c r="E54" s="26"/>
      <c r="F54" s="27"/>
    </row>
    <row r="55" spans="1:9" x14ac:dyDescent="0.2">
      <c r="A55" s="24" t="s">
        <v>1423</v>
      </c>
      <c r="B55" s="24" t="s">
        <v>1424</v>
      </c>
      <c r="C55" s="24" t="s">
        <v>842</v>
      </c>
      <c r="D55" s="28">
        <v>900</v>
      </c>
      <c r="E55" s="26">
        <v>8956.3770000000004</v>
      </c>
      <c r="F55" s="27">
        <v>6.71820436728592</v>
      </c>
    </row>
    <row r="56" spans="1:9" x14ac:dyDescent="0.2">
      <c r="A56" s="24" t="s">
        <v>735</v>
      </c>
      <c r="B56" s="24" t="s">
        <v>736</v>
      </c>
      <c r="C56" s="24" t="s">
        <v>737</v>
      </c>
      <c r="D56" s="28">
        <v>700</v>
      </c>
      <c r="E56" s="26">
        <v>7349.8389999999999</v>
      </c>
      <c r="F56" s="27">
        <v>5.5131355534328597</v>
      </c>
    </row>
    <row r="57" spans="1:9" x14ac:dyDescent="0.2">
      <c r="A57" s="24" t="s">
        <v>671</v>
      </c>
      <c r="B57" s="24" t="s">
        <v>672</v>
      </c>
      <c r="C57" s="24" t="s">
        <v>673</v>
      </c>
      <c r="D57" s="28">
        <v>450</v>
      </c>
      <c r="E57" s="26">
        <v>4497.6419999999998</v>
      </c>
      <c r="F57" s="27">
        <v>3.3736943104213402</v>
      </c>
    </row>
    <row r="58" spans="1:9" x14ac:dyDescent="0.2">
      <c r="A58" s="24" t="s">
        <v>1777</v>
      </c>
      <c r="B58" s="24" t="s">
        <v>1778</v>
      </c>
      <c r="C58" s="24" t="s">
        <v>766</v>
      </c>
      <c r="D58" s="28">
        <v>350</v>
      </c>
      <c r="E58" s="26">
        <v>3514.4969999999998</v>
      </c>
      <c r="F58" s="27">
        <v>2.6362343941320501</v>
      </c>
    </row>
    <row r="59" spans="1:9" x14ac:dyDescent="0.2">
      <c r="A59" s="24" t="s">
        <v>1791</v>
      </c>
      <c r="B59" s="24" t="s">
        <v>1792</v>
      </c>
      <c r="C59" s="24" t="s">
        <v>677</v>
      </c>
      <c r="D59" s="28">
        <v>250</v>
      </c>
      <c r="E59" s="26">
        <v>2406.5425</v>
      </c>
      <c r="F59" s="27">
        <v>1.8051545098603099</v>
      </c>
    </row>
    <row r="60" spans="1:9" x14ac:dyDescent="0.2">
      <c r="A60" s="24" t="s">
        <v>1458</v>
      </c>
      <c r="B60" s="24" t="s">
        <v>1459</v>
      </c>
      <c r="C60" s="24" t="s">
        <v>815</v>
      </c>
      <c r="D60" s="28">
        <v>210</v>
      </c>
      <c r="E60" s="26">
        <v>2139.6795000000002</v>
      </c>
      <c r="F60" s="27">
        <v>1.6049797994760799</v>
      </c>
    </row>
    <row r="61" spans="1:9" x14ac:dyDescent="0.2">
      <c r="A61" s="24" t="s">
        <v>977</v>
      </c>
      <c r="B61" s="24" t="s">
        <v>978</v>
      </c>
      <c r="C61" s="24" t="s">
        <v>665</v>
      </c>
      <c r="D61" s="28">
        <v>80</v>
      </c>
      <c r="E61" s="26">
        <v>801.08799999999997</v>
      </c>
      <c r="F61" s="27">
        <v>0.60089843250014396</v>
      </c>
    </row>
    <row r="62" spans="1:9" x14ac:dyDescent="0.2">
      <c r="A62" s="24" t="s">
        <v>1415</v>
      </c>
      <c r="B62" s="24" t="s">
        <v>1416</v>
      </c>
      <c r="C62" s="24" t="s">
        <v>815</v>
      </c>
      <c r="D62" s="28">
        <v>60</v>
      </c>
      <c r="E62" s="26">
        <v>658.20659999999998</v>
      </c>
      <c r="F62" s="27">
        <v>0.49372267990688801</v>
      </c>
    </row>
    <row r="63" spans="1:9" x14ac:dyDescent="0.2">
      <c r="A63" s="24" t="s">
        <v>1301</v>
      </c>
      <c r="B63" s="24" t="s">
        <v>1302</v>
      </c>
      <c r="C63" s="24" t="s">
        <v>815</v>
      </c>
      <c r="D63" s="28">
        <v>60</v>
      </c>
      <c r="E63" s="26">
        <v>650.57820000000004</v>
      </c>
      <c r="F63" s="27">
        <v>0.48800059493933901</v>
      </c>
    </row>
    <row r="64" spans="1:9" x14ac:dyDescent="0.2">
      <c r="A64" s="24" t="s">
        <v>1274</v>
      </c>
      <c r="B64" s="24" t="s">
        <v>1275</v>
      </c>
      <c r="C64" s="24" t="s">
        <v>815</v>
      </c>
      <c r="D64" s="28">
        <v>50</v>
      </c>
      <c r="E64" s="26">
        <v>489.18200000000002</v>
      </c>
      <c r="F64" s="27">
        <v>0.36693683716056802</v>
      </c>
    </row>
    <row r="65" spans="1:9" x14ac:dyDescent="0.2">
      <c r="A65" s="24" t="s">
        <v>1337</v>
      </c>
      <c r="B65" s="24" t="s">
        <v>1338</v>
      </c>
      <c r="C65" s="24" t="s">
        <v>1328</v>
      </c>
      <c r="D65" s="28">
        <v>30</v>
      </c>
      <c r="E65" s="26">
        <v>324.37650000000002</v>
      </c>
      <c r="F65" s="27">
        <v>0.24331575356250901</v>
      </c>
    </row>
    <row r="66" spans="1:9" x14ac:dyDescent="0.2">
      <c r="A66" s="24" t="s">
        <v>1417</v>
      </c>
      <c r="B66" s="24" t="s">
        <v>1418</v>
      </c>
      <c r="C66" s="24" t="s">
        <v>815</v>
      </c>
      <c r="D66" s="28">
        <v>30</v>
      </c>
      <c r="E66" s="26">
        <v>323.9898</v>
      </c>
      <c r="F66" s="27">
        <v>0.24302568877081601</v>
      </c>
    </row>
    <row r="67" spans="1:9" x14ac:dyDescent="0.2">
      <c r="A67" s="24" t="s">
        <v>1779</v>
      </c>
      <c r="B67" s="24" t="s">
        <v>1780</v>
      </c>
      <c r="C67" s="24" t="s">
        <v>668</v>
      </c>
      <c r="D67" s="28">
        <v>20</v>
      </c>
      <c r="E67" s="26">
        <v>196.70660000000001</v>
      </c>
      <c r="F67" s="27">
        <v>0.14755019124295099</v>
      </c>
    </row>
    <row r="68" spans="1:9" x14ac:dyDescent="0.2">
      <c r="A68" s="24" t="s">
        <v>1347</v>
      </c>
      <c r="B68" s="24" t="s">
        <v>1348</v>
      </c>
      <c r="C68" s="24" t="s">
        <v>679</v>
      </c>
      <c r="D68" s="28">
        <v>8</v>
      </c>
      <c r="E68" s="26">
        <v>81.202399999999997</v>
      </c>
      <c r="F68" s="27">
        <v>6.09101557821983E-2</v>
      </c>
    </row>
    <row r="69" spans="1:9" ht="10.5" x14ac:dyDescent="0.25">
      <c r="A69" s="23" t="s">
        <v>24</v>
      </c>
      <c r="B69" s="23"/>
      <c r="C69" s="23"/>
      <c r="D69" s="29"/>
      <c r="E69" s="30">
        <f>SUM(E54:E68)</f>
        <v>32389.907099999997</v>
      </c>
      <c r="F69" s="31">
        <f>SUM(F54:F68)</f>
        <v>24.295763268473976</v>
      </c>
      <c r="G69" s="15"/>
      <c r="H69" s="15"/>
      <c r="I69" s="15"/>
    </row>
    <row r="70" spans="1:9" x14ac:dyDescent="0.2">
      <c r="A70" s="24"/>
      <c r="B70" s="24"/>
      <c r="C70" s="24"/>
      <c r="D70" s="25"/>
      <c r="E70" s="26"/>
      <c r="F70" s="27"/>
    </row>
    <row r="71" spans="1:9" ht="10.5" x14ac:dyDescent="0.25">
      <c r="A71" s="23" t="s">
        <v>818</v>
      </c>
      <c r="B71" s="24"/>
      <c r="C71" s="24"/>
      <c r="D71" s="25"/>
      <c r="E71" s="26"/>
      <c r="F71" s="27"/>
    </row>
    <row r="72" spans="1:9" x14ac:dyDescent="0.2">
      <c r="A72" s="24" t="s">
        <v>819</v>
      </c>
      <c r="B72" s="24" t="s">
        <v>820</v>
      </c>
      <c r="C72" s="24" t="s">
        <v>673</v>
      </c>
      <c r="D72" s="28">
        <v>250</v>
      </c>
      <c r="E72" s="26">
        <v>2501.3150000000001</v>
      </c>
      <c r="F72" s="27">
        <v>1.8762436370150299</v>
      </c>
    </row>
    <row r="73" spans="1:9" x14ac:dyDescent="0.2">
      <c r="A73" s="24" t="s">
        <v>859</v>
      </c>
      <c r="B73" s="24" t="s">
        <v>860</v>
      </c>
      <c r="C73" s="24" t="s">
        <v>665</v>
      </c>
      <c r="D73" s="28">
        <v>14</v>
      </c>
      <c r="E73" s="26">
        <v>1808.5437999999999</v>
      </c>
      <c r="F73" s="27">
        <v>1.3565939503872899</v>
      </c>
    </row>
    <row r="74" spans="1:9" ht="10.5" x14ac:dyDescent="0.25">
      <c r="A74" s="23" t="s">
        <v>24</v>
      </c>
      <c r="B74" s="23"/>
      <c r="C74" s="23"/>
      <c r="D74" s="29"/>
      <c r="E74" s="30">
        <f>SUM(E71:E73)</f>
        <v>4309.8588</v>
      </c>
      <c r="F74" s="31">
        <f>SUM(F71:F73)</f>
        <v>3.2328375874023196</v>
      </c>
      <c r="G74" s="15"/>
      <c r="H74" s="15"/>
      <c r="I74" s="15"/>
    </row>
    <row r="75" spans="1:9" x14ac:dyDescent="0.2">
      <c r="A75" s="24"/>
      <c r="B75" s="24"/>
      <c r="C75" s="24"/>
      <c r="D75" s="25"/>
      <c r="E75" s="26"/>
      <c r="F75" s="27"/>
    </row>
    <row r="76" spans="1:9" ht="10.5" x14ac:dyDescent="0.25">
      <c r="A76" s="23" t="s">
        <v>1263</v>
      </c>
      <c r="B76" s="24"/>
      <c r="C76" s="24"/>
      <c r="D76" s="25"/>
      <c r="E76" s="26"/>
      <c r="F76" s="27"/>
    </row>
    <row r="77" spans="1:9" x14ac:dyDescent="0.2">
      <c r="A77" s="24" t="s">
        <v>1264</v>
      </c>
      <c r="B77" s="24" t="s">
        <v>1265</v>
      </c>
      <c r="C77" s="24" t="s">
        <v>1266</v>
      </c>
      <c r="D77" s="28">
        <v>5300000</v>
      </c>
      <c r="E77" s="26">
        <v>5701.8671999999997</v>
      </c>
      <c r="F77" s="27">
        <v>4.2769871260135996</v>
      </c>
    </row>
    <row r="78" spans="1:9" ht="10.5" x14ac:dyDescent="0.25">
      <c r="A78" s="23" t="s">
        <v>24</v>
      </c>
      <c r="B78" s="23"/>
      <c r="C78" s="23"/>
      <c r="D78" s="29"/>
      <c r="E78" s="30">
        <f>SUM(E77:E77)</f>
        <v>5701.8671999999997</v>
      </c>
      <c r="F78" s="31">
        <f>SUM(F77:F77)</f>
        <v>4.2769871260135996</v>
      </c>
      <c r="G78" s="15"/>
      <c r="H78" s="15"/>
      <c r="I78" s="15"/>
    </row>
    <row r="79" spans="1:9" x14ac:dyDescent="0.2">
      <c r="A79" s="24"/>
      <c r="B79" s="24"/>
      <c r="C79" s="24"/>
      <c r="D79" s="25"/>
      <c r="E79" s="26"/>
      <c r="F79" s="27"/>
    </row>
    <row r="80" spans="1:9" ht="10.5" x14ac:dyDescent="0.25">
      <c r="A80" s="23" t="s">
        <v>25</v>
      </c>
      <c r="B80" s="23"/>
      <c r="C80" s="23"/>
      <c r="D80" s="29"/>
      <c r="E80" s="30">
        <f>E42+E47+E51+E69+E74+E78</f>
        <v>130537.91093650002</v>
      </c>
      <c r="F80" s="31">
        <f>F42+F47+F51+F69+F74+F78</f>
        <v>97.916865642209387</v>
      </c>
      <c r="G80" s="15"/>
      <c r="H80" s="15"/>
      <c r="I80" s="15"/>
    </row>
    <row r="81" spans="1:9" ht="10.5" x14ac:dyDescent="0.25">
      <c r="A81" s="23"/>
      <c r="B81" s="23"/>
      <c r="C81" s="23"/>
      <c r="D81" s="29"/>
      <c r="E81" s="30"/>
      <c r="F81" s="31"/>
      <c r="G81" s="15"/>
      <c r="H81" s="15"/>
      <c r="I81" s="15"/>
    </row>
    <row r="82" spans="1:9" ht="10.5" x14ac:dyDescent="0.25">
      <c r="A82" s="23" t="s">
        <v>27</v>
      </c>
      <c r="B82" s="23"/>
      <c r="C82" s="23"/>
      <c r="D82" s="29"/>
      <c r="E82" s="30">
        <f>E84-(E42+E47+E51+E69+E74+E78)</f>
        <v>2777.1314520999877</v>
      </c>
      <c r="F82" s="31">
        <f>F84-(F42+F47+F51+F69+F74+F78)</f>
        <v>2.0831343577906125</v>
      </c>
      <c r="G82" s="15"/>
      <c r="H82" s="15"/>
      <c r="I82" s="15"/>
    </row>
    <row r="83" spans="1:9" ht="10.5" x14ac:dyDescent="0.25">
      <c r="A83" s="23"/>
      <c r="B83" s="23"/>
      <c r="C83" s="23"/>
      <c r="D83" s="29"/>
      <c r="E83" s="30"/>
      <c r="F83" s="31"/>
      <c r="G83" s="15"/>
      <c r="H83" s="15"/>
      <c r="I83" s="15"/>
    </row>
    <row r="84" spans="1:9" ht="10.5" x14ac:dyDescent="0.25">
      <c r="A84" s="32" t="s">
        <v>26</v>
      </c>
      <c r="B84" s="32"/>
      <c r="C84" s="32"/>
      <c r="D84" s="33"/>
      <c r="E84" s="34">
        <v>133315.04238860001</v>
      </c>
      <c r="F84" s="35">
        <v>100</v>
      </c>
      <c r="G84" s="15"/>
      <c r="H84" s="15"/>
      <c r="I84" s="15"/>
    </row>
    <row r="85" spans="1:9" ht="15" customHeight="1" x14ac:dyDescent="0.25">
      <c r="A85" s="15" t="s">
        <v>872</v>
      </c>
      <c r="E85" s="99" t="s">
        <v>37</v>
      </c>
      <c r="F85" s="99"/>
    </row>
    <row r="86" spans="1:9" ht="10.5" x14ac:dyDescent="0.25">
      <c r="A86" s="15" t="s">
        <v>1818</v>
      </c>
    </row>
    <row r="87" spans="1:9" ht="10.5" x14ac:dyDescent="0.25">
      <c r="A87" s="15"/>
    </row>
    <row r="88" spans="1:9" ht="10.5" x14ac:dyDescent="0.25">
      <c r="A88" s="15" t="s">
        <v>28</v>
      </c>
    </row>
    <row r="89" spans="1:9" ht="10.5" x14ac:dyDescent="0.25">
      <c r="A89" s="15" t="s">
        <v>29</v>
      </c>
    </row>
    <row r="90" spans="1:9" ht="10.5" x14ac:dyDescent="0.25">
      <c r="A90" s="15" t="s">
        <v>30</v>
      </c>
      <c r="B90" s="15"/>
      <c r="C90" s="36" t="s">
        <v>32</v>
      </c>
      <c r="D90" s="16" t="s">
        <v>31</v>
      </c>
    </row>
    <row r="91" spans="1:9" x14ac:dyDescent="0.2">
      <c r="A91" s="9" t="s">
        <v>38</v>
      </c>
      <c r="C91" s="37">
        <v>120.253</v>
      </c>
      <c r="D91" s="37">
        <v>97.692899999999995</v>
      </c>
    </row>
    <row r="92" spans="1:9" x14ac:dyDescent="0.2">
      <c r="A92" s="9" t="s">
        <v>40</v>
      </c>
      <c r="C92" s="37">
        <v>20.552800000000001</v>
      </c>
      <c r="D92" s="37">
        <v>16.696400000000001</v>
      </c>
    </row>
    <row r="93" spans="1:9" x14ac:dyDescent="0.2">
      <c r="A93" s="9" t="s">
        <v>39</v>
      </c>
      <c r="C93" s="37">
        <v>129.43260000000001</v>
      </c>
      <c r="D93" s="37">
        <v>105.69329999999999</v>
      </c>
    </row>
    <row r="94" spans="1:9" x14ac:dyDescent="0.2">
      <c r="A94" s="9" t="s">
        <v>41</v>
      </c>
      <c r="C94" s="37">
        <v>22.604900000000001</v>
      </c>
      <c r="D94" s="37">
        <v>18.458300000000001</v>
      </c>
    </row>
    <row r="96" spans="1:9" ht="10.5" x14ac:dyDescent="0.25">
      <c r="A96" s="15" t="s">
        <v>1882</v>
      </c>
      <c r="D96" s="41" t="s">
        <v>36</v>
      </c>
    </row>
    <row r="98" spans="1:5" ht="10.5" x14ac:dyDescent="0.25">
      <c r="A98" s="15" t="s">
        <v>175</v>
      </c>
      <c r="D98" s="42">
        <v>0.49340000000000001</v>
      </c>
    </row>
    <row r="100" spans="1:5" ht="10.5" x14ac:dyDescent="0.25">
      <c r="A100" s="15" t="s">
        <v>1788</v>
      </c>
      <c r="D100" s="11">
        <v>3.5834950768094802</v>
      </c>
      <c r="E100" s="11" t="s">
        <v>883</v>
      </c>
    </row>
    <row r="102" spans="1:5" ht="10.5" x14ac:dyDescent="0.25">
      <c r="A102" s="15" t="s">
        <v>1853</v>
      </c>
    </row>
    <row r="104" spans="1:5" ht="10.5" x14ac:dyDescent="0.25">
      <c r="A104" s="15" t="s">
        <v>1854</v>
      </c>
      <c r="D104" s="41" t="s">
        <v>36</v>
      </c>
    </row>
    <row r="106" spans="1:5" ht="10.5" x14ac:dyDescent="0.25">
      <c r="A106" s="15" t="s">
        <v>1831</v>
      </c>
    </row>
  </sheetData>
  <mergeCells count="2">
    <mergeCell ref="A1:F1"/>
    <mergeCell ref="E85:F85"/>
  </mergeCells>
  <conditionalFormatting sqref="F2 F4:F84 E85 F86:F65534">
    <cfRule type="cellIs" dxfId="3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48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02"/>
  <sheetViews>
    <sheetView view="pageBreakPreview" zoomScaleNormal="100" zoomScaleSheetLayoutView="100" workbookViewId="0">
      <selection sqref="A1:G1"/>
    </sheetView>
  </sheetViews>
  <sheetFormatPr defaultColWidth="9.1796875" defaultRowHeight="10" x14ac:dyDescent="0.2"/>
  <cols>
    <col min="1" max="1" width="38.7265625" style="9" bestFit="1" customWidth="1"/>
    <col min="2" max="2" width="32.1796875" style="9" bestFit="1" customWidth="1"/>
    <col min="3" max="3" width="35.7265625" style="9" bestFit="1" customWidth="1"/>
    <col min="4" max="4" width="15.453125" style="10" bestFit="1" customWidth="1"/>
    <col min="5" max="5" width="14.81640625" style="11" customWidth="1"/>
    <col min="6" max="6" width="7.81640625" style="14" customWidth="1"/>
    <col min="7" max="7" width="10" style="9" customWidth="1"/>
    <col min="8" max="16384" width="9.1796875" style="9"/>
  </cols>
  <sheetData>
    <row r="1" spans="1:7" s="1" customFormat="1" ht="14" x14ac:dyDescent="0.25">
      <c r="A1" s="88" t="s">
        <v>8</v>
      </c>
      <c r="B1" s="89"/>
      <c r="C1" s="89"/>
      <c r="D1" s="89"/>
      <c r="E1" s="89"/>
      <c r="F1" s="89"/>
      <c r="G1" s="89"/>
    </row>
    <row r="2" spans="1:7" s="1" customFormat="1" ht="11.5" x14ac:dyDescent="0.25">
      <c r="A2" s="12" t="s">
        <v>4</v>
      </c>
      <c r="B2" s="2"/>
      <c r="C2" s="3"/>
      <c r="D2" s="4"/>
      <c r="E2" s="5"/>
      <c r="F2" s="14"/>
    </row>
    <row r="3" spans="1:7" s="1" customFormat="1" ht="31.5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  <c r="G3" s="63" t="s">
        <v>1829</v>
      </c>
    </row>
    <row r="4" spans="1:7" ht="10.5" x14ac:dyDescent="0.25">
      <c r="A4" s="18" t="s">
        <v>45</v>
      </c>
      <c r="B4" s="19"/>
      <c r="C4" s="19"/>
      <c r="D4" s="20"/>
      <c r="E4" s="21"/>
      <c r="F4" s="22"/>
      <c r="G4" s="51"/>
    </row>
    <row r="5" spans="1:7" ht="10.5" x14ac:dyDescent="0.25">
      <c r="A5" s="23" t="s">
        <v>23</v>
      </c>
      <c r="B5" s="24"/>
      <c r="C5" s="24"/>
      <c r="D5" s="25"/>
      <c r="E5" s="26"/>
      <c r="F5" s="27"/>
      <c r="G5" s="52"/>
    </row>
    <row r="6" spans="1:7" x14ac:dyDescent="0.2">
      <c r="A6" s="24" t="s">
        <v>61</v>
      </c>
      <c r="B6" s="24" t="s">
        <v>60</v>
      </c>
      <c r="C6" s="24" t="s">
        <v>48</v>
      </c>
      <c r="D6" s="28">
        <v>1350892</v>
      </c>
      <c r="E6" s="26">
        <v>17508.235769999999</v>
      </c>
      <c r="F6" s="27">
        <v>3.2075037938213899</v>
      </c>
      <c r="G6" s="53"/>
    </row>
    <row r="7" spans="1:7" x14ac:dyDescent="0.2">
      <c r="A7" s="24" t="s">
        <v>436</v>
      </c>
      <c r="B7" s="24" t="s">
        <v>435</v>
      </c>
      <c r="C7" s="24" t="s">
        <v>75</v>
      </c>
      <c r="D7" s="28">
        <v>281404</v>
      </c>
      <c r="E7" s="26">
        <v>17281.863850000002</v>
      </c>
      <c r="F7" s="27">
        <v>3.1660325227148598</v>
      </c>
      <c r="G7" s="53"/>
    </row>
    <row r="8" spans="1:7" x14ac:dyDescent="0.2">
      <c r="A8" s="24" t="s">
        <v>47</v>
      </c>
      <c r="B8" s="24" t="s">
        <v>46</v>
      </c>
      <c r="C8" s="24" t="s">
        <v>48</v>
      </c>
      <c r="D8" s="28">
        <v>1988423</v>
      </c>
      <c r="E8" s="26">
        <v>17138.217840000001</v>
      </c>
      <c r="F8" s="27">
        <v>3.13971661469906</v>
      </c>
      <c r="G8" s="53"/>
    </row>
    <row r="9" spans="1:7" x14ac:dyDescent="0.2">
      <c r="A9" s="24" t="s">
        <v>88</v>
      </c>
      <c r="B9" s="24" t="s">
        <v>87</v>
      </c>
      <c r="C9" s="24" t="s">
        <v>72</v>
      </c>
      <c r="D9" s="28">
        <v>4335936</v>
      </c>
      <c r="E9" s="26">
        <v>16799.584030000002</v>
      </c>
      <c r="F9" s="27">
        <v>3.0776789973994201</v>
      </c>
      <c r="G9" s="53"/>
    </row>
    <row r="10" spans="1:7" x14ac:dyDescent="0.2">
      <c r="A10" s="24" t="s">
        <v>438</v>
      </c>
      <c r="B10" s="24" t="s">
        <v>437</v>
      </c>
      <c r="C10" s="24" t="s">
        <v>83</v>
      </c>
      <c r="D10" s="28">
        <v>7941052</v>
      </c>
      <c r="E10" s="26">
        <v>16580.916580000001</v>
      </c>
      <c r="F10" s="27">
        <v>3.0376191829969801</v>
      </c>
      <c r="G10" s="53"/>
    </row>
    <row r="11" spans="1:7" x14ac:dyDescent="0.2">
      <c r="A11" s="24" t="s">
        <v>440</v>
      </c>
      <c r="B11" s="24" t="s">
        <v>439</v>
      </c>
      <c r="C11" s="24" t="s">
        <v>66</v>
      </c>
      <c r="D11" s="28">
        <v>3019401</v>
      </c>
      <c r="E11" s="26">
        <v>15484.998030000001</v>
      </c>
      <c r="F11" s="27">
        <v>2.83684721756187</v>
      </c>
      <c r="G11" s="53"/>
    </row>
    <row r="12" spans="1:7" x14ac:dyDescent="0.2">
      <c r="A12" s="24" t="s">
        <v>442</v>
      </c>
      <c r="B12" s="24" t="s">
        <v>441</v>
      </c>
      <c r="C12" s="24" t="s">
        <v>91</v>
      </c>
      <c r="D12" s="28">
        <v>5388665</v>
      </c>
      <c r="E12" s="26">
        <v>15037.069680000001</v>
      </c>
      <c r="F12" s="27">
        <v>2.7547868717418198</v>
      </c>
      <c r="G12" s="53"/>
    </row>
    <row r="13" spans="1:7" x14ac:dyDescent="0.2">
      <c r="A13" s="24" t="s">
        <v>82</v>
      </c>
      <c r="B13" s="24" t="s">
        <v>81</v>
      </c>
      <c r="C13" s="24" t="s">
        <v>83</v>
      </c>
      <c r="D13" s="28">
        <v>3120890</v>
      </c>
      <c r="E13" s="26">
        <v>14883.52441</v>
      </c>
      <c r="F13" s="27">
        <v>2.7266574221206201</v>
      </c>
      <c r="G13" s="53"/>
    </row>
    <row r="14" spans="1:7" x14ac:dyDescent="0.2">
      <c r="A14" s="24" t="s">
        <v>63</v>
      </c>
      <c r="B14" s="24" t="s">
        <v>62</v>
      </c>
      <c r="C14" s="24" t="s">
        <v>48</v>
      </c>
      <c r="D14" s="28">
        <v>4567888</v>
      </c>
      <c r="E14" s="26">
        <v>14788.537399999999</v>
      </c>
      <c r="F14" s="27">
        <v>2.7092558290108899</v>
      </c>
      <c r="G14" s="53"/>
    </row>
    <row r="15" spans="1:7" x14ac:dyDescent="0.2">
      <c r="A15" s="24" t="s">
        <v>444</v>
      </c>
      <c r="B15" s="24" t="s">
        <v>443</v>
      </c>
      <c r="C15" s="24" t="s">
        <v>113</v>
      </c>
      <c r="D15" s="28">
        <v>2836049</v>
      </c>
      <c r="E15" s="26">
        <v>13736.403329999999</v>
      </c>
      <c r="F15" s="27">
        <v>2.5165051678097101</v>
      </c>
      <c r="G15" s="53"/>
    </row>
    <row r="16" spans="1:7" x14ac:dyDescent="0.2">
      <c r="A16" s="24" t="s">
        <v>80</v>
      </c>
      <c r="B16" s="24" t="s">
        <v>79</v>
      </c>
      <c r="C16" s="24" t="s">
        <v>69</v>
      </c>
      <c r="D16" s="28">
        <v>7572160</v>
      </c>
      <c r="E16" s="26">
        <v>13058.189920000001</v>
      </c>
      <c r="F16" s="27">
        <v>2.3922566647524799</v>
      </c>
      <c r="G16" s="53"/>
    </row>
    <row r="17" spans="1:7" x14ac:dyDescent="0.2">
      <c r="A17" s="24" t="s">
        <v>107</v>
      </c>
      <c r="B17" s="24" t="s">
        <v>106</v>
      </c>
      <c r="C17" s="24" t="s">
        <v>78</v>
      </c>
      <c r="D17" s="28">
        <v>4050170</v>
      </c>
      <c r="E17" s="26">
        <v>12834.988729999999</v>
      </c>
      <c r="F17" s="27">
        <v>2.3513662704765901</v>
      </c>
      <c r="G17" s="53"/>
    </row>
    <row r="18" spans="1:7" x14ac:dyDescent="0.2">
      <c r="A18" s="24" t="s">
        <v>368</v>
      </c>
      <c r="B18" s="24" t="s">
        <v>367</v>
      </c>
      <c r="C18" s="24" t="s">
        <v>48</v>
      </c>
      <c r="D18" s="28">
        <v>9888196</v>
      </c>
      <c r="E18" s="26">
        <v>12760.71694</v>
      </c>
      <c r="F18" s="27">
        <v>2.3377596997559098</v>
      </c>
      <c r="G18" s="53"/>
    </row>
    <row r="19" spans="1:7" x14ac:dyDescent="0.2">
      <c r="A19" s="24" t="s">
        <v>446</v>
      </c>
      <c r="B19" s="24" t="s">
        <v>445</v>
      </c>
      <c r="C19" s="24" t="s">
        <v>201</v>
      </c>
      <c r="D19" s="28">
        <v>1639796</v>
      </c>
      <c r="E19" s="26">
        <v>12573.135829999999</v>
      </c>
      <c r="F19" s="27">
        <v>2.3033948939651898</v>
      </c>
      <c r="G19" s="53"/>
    </row>
    <row r="20" spans="1:7" x14ac:dyDescent="0.2">
      <c r="A20" s="24" t="s">
        <v>289</v>
      </c>
      <c r="B20" s="24" t="s">
        <v>288</v>
      </c>
      <c r="C20" s="24" t="s">
        <v>59</v>
      </c>
      <c r="D20" s="28">
        <v>589444</v>
      </c>
      <c r="E20" s="26">
        <v>11995.48012</v>
      </c>
      <c r="F20" s="27">
        <v>2.1975685328350498</v>
      </c>
      <c r="G20" s="53"/>
    </row>
    <row r="21" spans="1:7" x14ac:dyDescent="0.2">
      <c r="A21" s="24" t="s">
        <v>448</v>
      </c>
      <c r="B21" s="24" t="s">
        <v>447</v>
      </c>
      <c r="C21" s="24" t="s">
        <v>110</v>
      </c>
      <c r="D21" s="28">
        <v>783689</v>
      </c>
      <c r="E21" s="26">
        <v>11517.09354</v>
      </c>
      <c r="F21" s="27">
        <v>2.1099282479759398</v>
      </c>
      <c r="G21" s="53"/>
    </row>
    <row r="22" spans="1:7" x14ac:dyDescent="0.2">
      <c r="A22" s="24" t="s">
        <v>68</v>
      </c>
      <c r="B22" s="24" t="s">
        <v>67</v>
      </c>
      <c r="C22" s="24" t="s">
        <v>69</v>
      </c>
      <c r="D22" s="28">
        <v>5735064</v>
      </c>
      <c r="E22" s="26">
        <v>11452.92281</v>
      </c>
      <c r="F22" s="27">
        <v>2.0981721885630402</v>
      </c>
      <c r="G22" s="53"/>
    </row>
    <row r="23" spans="1:7" x14ac:dyDescent="0.2">
      <c r="A23" s="24" t="s">
        <v>198</v>
      </c>
      <c r="B23" s="24" t="s">
        <v>197</v>
      </c>
      <c r="C23" s="24" t="s">
        <v>66</v>
      </c>
      <c r="D23" s="28">
        <v>1192476</v>
      </c>
      <c r="E23" s="26">
        <v>11156.209220000001</v>
      </c>
      <c r="F23" s="27">
        <v>2.0438143435976301</v>
      </c>
      <c r="G23" s="53"/>
    </row>
    <row r="24" spans="1:7" x14ac:dyDescent="0.2">
      <c r="A24" s="24" t="s">
        <v>188</v>
      </c>
      <c r="B24" s="24" t="s">
        <v>187</v>
      </c>
      <c r="C24" s="24" t="s">
        <v>72</v>
      </c>
      <c r="D24" s="28">
        <v>3570938</v>
      </c>
      <c r="E24" s="26">
        <v>10528.910690000001</v>
      </c>
      <c r="F24" s="27">
        <v>1.92889343201834</v>
      </c>
      <c r="G24" s="53"/>
    </row>
    <row r="25" spans="1:7" x14ac:dyDescent="0.2">
      <c r="A25" s="24" t="s">
        <v>120</v>
      </c>
      <c r="B25" s="24" t="s">
        <v>119</v>
      </c>
      <c r="C25" s="24" t="s">
        <v>99</v>
      </c>
      <c r="D25" s="28">
        <v>3529985</v>
      </c>
      <c r="E25" s="26">
        <v>10503.470369999999</v>
      </c>
      <c r="F25" s="27">
        <v>1.92423277265848</v>
      </c>
      <c r="G25" s="53"/>
    </row>
    <row r="26" spans="1:7" x14ac:dyDescent="0.2">
      <c r="A26" s="24" t="s">
        <v>450</v>
      </c>
      <c r="B26" s="24" t="s">
        <v>449</v>
      </c>
      <c r="C26" s="24" t="s">
        <v>72</v>
      </c>
      <c r="D26" s="28">
        <v>102889</v>
      </c>
      <c r="E26" s="26">
        <v>10262.406080000001</v>
      </c>
      <c r="F26" s="27">
        <v>1.8800698635631701</v>
      </c>
      <c r="G26" s="53"/>
    </row>
    <row r="27" spans="1:7" x14ac:dyDescent="0.2">
      <c r="A27" s="24" t="s">
        <v>358</v>
      </c>
      <c r="B27" s="24" t="s">
        <v>357</v>
      </c>
      <c r="C27" s="24" t="s">
        <v>110</v>
      </c>
      <c r="D27" s="28">
        <v>264692</v>
      </c>
      <c r="E27" s="26">
        <v>9837.6752180000003</v>
      </c>
      <c r="F27" s="27">
        <v>1.80225929092099</v>
      </c>
      <c r="G27" s="53"/>
    </row>
    <row r="28" spans="1:7" x14ac:dyDescent="0.2">
      <c r="A28" s="24" t="s">
        <v>161</v>
      </c>
      <c r="B28" s="24" t="s">
        <v>160</v>
      </c>
      <c r="C28" s="24" t="s">
        <v>162</v>
      </c>
      <c r="D28" s="28">
        <v>12940848</v>
      </c>
      <c r="E28" s="26">
        <v>9705.6360000000004</v>
      </c>
      <c r="F28" s="27">
        <v>1.7780697438854201</v>
      </c>
      <c r="G28" s="53"/>
    </row>
    <row r="29" spans="1:7" x14ac:dyDescent="0.2">
      <c r="A29" s="24" t="s">
        <v>96</v>
      </c>
      <c r="B29" s="24" t="s">
        <v>95</v>
      </c>
      <c r="C29" s="24" t="s">
        <v>54</v>
      </c>
      <c r="D29" s="28">
        <v>3629078</v>
      </c>
      <c r="E29" s="26">
        <v>9698.7109550000005</v>
      </c>
      <c r="F29" s="27">
        <v>1.7768010776187699</v>
      </c>
      <c r="G29" s="53"/>
    </row>
    <row r="30" spans="1:7" x14ac:dyDescent="0.2">
      <c r="A30" s="24" t="s">
        <v>452</v>
      </c>
      <c r="B30" s="24" t="s">
        <v>451</v>
      </c>
      <c r="C30" s="24" t="s">
        <v>132</v>
      </c>
      <c r="D30" s="28">
        <v>794058</v>
      </c>
      <c r="E30" s="26">
        <v>9554.5028849999999</v>
      </c>
      <c r="F30" s="27">
        <v>1.75038220037146</v>
      </c>
      <c r="G30" s="53"/>
    </row>
    <row r="31" spans="1:7" x14ac:dyDescent="0.2">
      <c r="A31" s="24" t="s">
        <v>454</v>
      </c>
      <c r="B31" s="24" t="s">
        <v>453</v>
      </c>
      <c r="C31" s="24" t="s">
        <v>455</v>
      </c>
      <c r="D31" s="28">
        <v>1736685</v>
      </c>
      <c r="E31" s="26">
        <v>9485.7734700000001</v>
      </c>
      <c r="F31" s="27">
        <v>1.7377909911682301</v>
      </c>
      <c r="G31" s="53"/>
    </row>
    <row r="32" spans="1:7" x14ac:dyDescent="0.2">
      <c r="A32" s="24" t="s">
        <v>140</v>
      </c>
      <c r="B32" s="24" t="s">
        <v>139</v>
      </c>
      <c r="C32" s="24" t="s">
        <v>132</v>
      </c>
      <c r="D32" s="28">
        <v>3121672</v>
      </c>
      <c r="E32" s="26">
        <v>9052.8487999999998</v>
      </c>
      <c r="F32" s="27">
        <v>1.6584793152400801</v>
      </c>
      <c r="G32" s="53"/>
    </row>
    <row r="33" spans="1:7" x14ac:dyDescent="0.2">
      <c r="A33" s="24" t="s">
        <v>74</v>
      </c>
      <c r="B33" s="24" t="s">
        <v>73</v>
      </c>
      <c r="C33" s="24" t="s">
        <v>75</v>
      </c>
      <c r="D33" s="28">
        <v>1136879</v>
      </c>
      <c r="E33" s="26">
        <v>9000.1026039999997</v>
      </c>
      <c r="F33" s="27">
        <v>1.64881622719385</v>
      </c>
      <c r="G33" s="53"/>
    </row>
    <row r="34" spans="1:7" x14ac:dyDescent="0.2">
      <c r="A34" s="24" t="s">
        <v>195</v>
      </c>
      <c r="B34" s="24" t="s">
        <v>194</v>
      </c>
      <c r="C34" s="24" t="s">
        <v>196</v>
      </c>
      <c r="D34" s="28">
        <v>11887252</v>
      </c>
      <c r="E34" s="26">
        <v>8850.0591139999997</v>
      </c>
      <c r="F34" s="27">
        <v>1.6213283026687599</v>
      </c>
      <c r="G34" s="53"/>
    </row>
    <row r="35" spans="1:7" x14ac:dyDescent="0.2">
      <c r="A35" s="24" t="s">
        <v>457</v>
      </c>
      <c r="B35" s="24" t="s">
        <v>456</v>
      </c>
      <c r="C35" s="24" t="s">
        <v>333</v>
      </c>
      <c r="D35" s="28">
        <v>2606125</v>
      </c>
      <c r="E35" s="26">
        <v>8645.8196879999996</v>
      </c>
      <c r="F35" s="27">
        <v>1.5839116981434</v>
      </c>
      <c r="G35" s="53"/>
    </row>
    <row r="36" spans="1:7" x14ac:dyDescent="0.2">
      <c r="A36" s="24" t="s">
        <v>211</v>
      </c>
      <c r="B36" s="24" t="s">
        <v>210</v>
      </c>
      <c r="C36" s="24" t="s">
        <v>110</v>
      </c>
      <c r="D36" s="28">
        <v>4145052</v>
      </c>
      <c r="E36" s="26">
        <v>8445.5434499999992</v>
      </c>
      <c r="F36" s="27">
        <v>1.5472211485280001</v>
      </c>
      <c r="G36" s="53"/>
    </row>
    <row r="37" spans="1:7" x14ac:dyDescent="0.2">
      <c r="A37" s="24" t="s">
        <v>251</v>
      </c>
      <c r="B37" s="24" t="s">
        <v>250</v>
      </c>
      <c r="C37" s="24" t="s">
        <v>99</v>
      </c>
      <c r="D37" s="28">
        <v>18734302</v>
      </c>
      <c r="E37" s="26">
        <v>8065.1170110000003</v>
      </c>
      <c r="F37" s="27">
        <v>1.47752713352888</v>
      </c>
      <c r="G37" s="53"/>
    </row>
    <row r="38" spans="1:7" x14ac:dyDescent="0.2">
      <c r="A38" s="24" t="s">
        <v>173</v>
      </c>
      <c r="B38" s="24" t="s">
        <v>172</v>
      </c>
      <c r="C38" s="24" t="s">
        <v>174</v>
      </c>
      <c r="D38" s="28">
        <v>687865</v>
      </c>
      <c r="E38" s="26">
        <v>7835.1262829999996</v>
      </c>
      <c r="F38" s="27">
        <v>1.4353928978300601</v>
      </c>
      <c r="G38" s="53"/>
    </row>
    <row r="39" spans="1:7" x14ac:dyDescent="0.2">
      <c r="A39" s="24" t="s">
        <v>459</v>
      </c>
      <c r="B39" s="24" t="s">
        <v>458</v>
      </c>
      <c r="C39" s="24" t="s">
        <v>54</v>
      </c>
      <c r="D39" s="28">
        <v>120666</v>
      </c>
      <c r="E39" s="26">
        <v>7545.6673110000002</v>
      </c>
      <c r="F39" s="27">
        <v>1.3823640968108</v>
      </c>
      <c r="G39" s="53"/>
    </row>
    <row r="40" spans="1:7" x14ac:dyDescent="0.2">
      <c r="A40" s="24" t="s">
        <v>461</v>
      </c>
      <c r="B40" s="24" t="s">
        <v>460</v>
      </c>
      <c r="C40" s="24" t="s">
        <v>110</v>
      </c>
      <c r="D40" s="28">
        <v>540261</v>
      </c>
      <c r="E40" s="26">
        <v>7527.1863830000002</v>
      </c>
      <c r="F40" s="27">
        <v>1.3789783960781801</v>
      </c>
      <c r="G40" s="53"/>
    </row>
    <row r="41" spans="1:7" x14ac:dyDescent="0.2">
      <c r="A41" s="24" t="s">
        <v>253</v>
      </c>
      <c r="B41" s="24" t="s">
        <v>252</v>
      </c>
      <c r="C41" s="24" t="s">
        <v>91</v>
      </c>
      <c r="D41" s="28">
        <v>1629004</v>
      </c>
      <c r="E41" s="26">
        <v>6655.2958420000004</v>
      </c>
      <c r="F41" s="27">
        <v>1.2192482979236601</v>
      </c>
      <c r="G41" s="53"/>
    </row>
    <row r="42" spans="1:7" x14ac:dyDescent="0.2">
      <c r="A42" s="24" t="s">
        <v>207</v>
      </c>
      <c r="B42" s="24" t="s">
        <v>206</v>
      </c>
      <c r="C42" s="24" t="s">
        <v>72</v>
      </c>
      <c r="D42" s="28">
        <v>3895000</v>
      </c>
      <c r="E42" s="26">
        <v>6619.5524999999998</v>
      </c>
      <c r="F42" s="27">
        <v>1.2127001278753</v>
      </c>
      <c r="G42" s="53"/>
    </row>
    <row r="43" spans="1:7" x14ac:dyDescent="0.2">
      <c r="A43" s="24" t="s">
        <v>200</v>
      </c>
      <c r="B43" s="24" t="s">
        <v>199</v>
      </c>
      <c r="C43" s="24" t="s">
        <v>201</v>
      </c>
      <c r="D43" s="28">
        <v>2956964</v>
      </c>
      <c r="E43" s="26">
        <v>6610.2930219999998</v>
      </c>
      <c r="F43" s="27">
        <v>1.2110037941496199</v>
      </c>
      <c r="G43" s="53"/>
    </row>
    <row r="44" spans="1:7" x14ac:dyDescent="0.2">
      <c r="A44" s="24" t="s">
        <v>349</v>
      </c>
      <c r="B44" s="24" t="s">
        <v>348</v>
      </c>
      <c r="C44" s="24" t="s">
        <v>333</v>
      </c>
      <c r="D44" s="28">
        <v>1743720</v>
      </c>
      <c r="E44" s="26">
        <v>6553.7716200000004</v>
      </c>
      <c r="F44" s="27">
        <v>1.20064908944215</v>
      </c>
      <c r="G44" s="53"/>
    </row>
    <row r="45" spans="1:7" ht="10.5" x14ac:dyDescent="0.25">
      <c r="A45" s="24" t="s">
        <v>463</v>
      </c>
      <c r="B45" s="24" t="s">
        <v>462</v>
      </c>
      <c r="C45" s="24" t="s">
        <v>352</v>
      </c>
      <c r="D45" s="28">
        <v>556114</v>
      </c>
      <c r="E45" s="26">
        <v>6506.8118569999997</v>
      </c>
      <c r="F45" s="27">
        <v>1.19204607426928</v>
      </c>
      <c r="G45" s="31"/>
    </row>
    <row r="46" spans="1:7" x14ac:dyDescent="0.2">
      <c r="A46" s="24" t="s">
        <v>465</v>
      </c>
      <c r="B46" s="24" t="s">
        <v>464</v>
      </c>
      <c r="C46" s="24" t="s">
        <v>48</v>
      </c>
      <c r="D46" s="28">
        <v>4734341</v>
      </c>
      <c r="E46" s="26">
        <v>6415.0320549999997</v>
      </c>
      <c r="F46" s="27">
        <v>1.1752320407493799</v>
      </c>
      <c r="G46" s="53"/>
    </row>
    <row r="47" spans="1:7" x14ac:dyDescent="0.2">
      <c r="A47" s="24" t="s">
        <v>293</v>
      </c>
      <c r="B47" s="24" t="s">
        <v>292</v>
      </c>
      <c r="C47" s="24" t="s">
        <v>59</v>
      </c>
      <c r="D47" s="28">
        <v>2693736</v>
      </c>
      <c r="E47" s="26">
        <v>6106.6995120000001</v>
      </c>
      <c r="F47" s="27">
        <v>1.1187456069120101</v>
      </c>
      <c r="G47" s="53"/>
    </row>
    <row r="48" spans="1:7" x14ac:dyDescent="0.2">
      <c r="A48" s="24" t="s">
        <v>467</v>
      </c>
      <c r="B48" s="24" t="s">
        <v>466</v>
      </c>
      <c r="C48" s="24" t="s">
        <v>333</v>
      </c>
      <c r="D48" s="28">
        <v>1021062</v>
      </c>
      <c r="E48" s="26">
        <v>5823.1165860000001</v>
      </c>
      <c r="F48" s="27">
        <v>1.06679329584212</v>
      </c>
      <c r="G48" s="53"/>
    </row>
    <row r="49" spans="1:7" ht="10.5" x14ac:dyDescent="0.25">
      <c r="A49" s="24" t="s">
        <v>469</v>
      </c>
      <c r="B49" s="24" t="s">
        <v>468</v>
      </c>
      <c r="C49" s="24" t="s">
        <v>110</v>
      </c>
      <c r="D49" s="28">
        <v>2371940</v>
      </c>
      <c r="E49" s="26">
        <v>5572.8730299999997</v>
      </c>
      <c r="F49" s="27">
        <v>1.0209487478366199</v>
      </c>
      <c r="G49" s="54"/>
    </row>
    <row r="50" spans="1:7" x14ac:dyDescent="0.2">
      <c r="A50" s="24" t="s">
        <v>471</v>
      </c>
      <c r="B50" s="24" t="s">
        <v>470</v>
      </c>
      <c r="C50" s="24" t="s">
        <v>118</v>
      </c>
      <c r="D50" s="28">
        <v>461958</v>
      </c>
      <c r="E50" s="26">
        <v>5468.6588039999997</v>
      </c>
      <c r="F50" s="27">
        <v>1.0018567313904001</v>
      </c>
      <c r="G50" s="57">
        <v>8.6099999999999996E-2</v>
      </c>
    </row>
    <row r="51" spans="1:7" x14ac:dyDescent="0.2">
      <c r="A51" s="24" t="s">
        <v>179</v>
      </c>
      <c r="B51" s="24" t="s">
        <v>178</v>
      </c>
      <c r="C51" s="24" t="s">
        <v>75</v>
      </c>
      <c r="D51" s="28">
        <v>6794904</v>
      </c>
      <c r="E51" s="26">
        <v>5395.1537760000001</v>
      </c>
      <c r="F51" s="27">
        <v>0.98839063124918103</v>
      </c>
      <c r="G51" s="52"/>
    </row>
    <row r="52" spans="1:7" x14ac:dyDescent="0.2">
      <c r="A52" s="24" t="s">
        <v>473</v>
      </c>
      <c r="B52" s="24" t="s">
        <v>472</v>
      </c>
      <c r="C52" s="24" t="s">
        <v>75</v>
      </c>
      <c r="D52" s="28">
        <v>1739495</v>
      </c>
      <c r="E52" s="26">
        <v>5088.0228749999997</v>
      </c>
      <c r="F52" s="27">
        <v>0.932124337883103</v>
      </c>
      <c r="G52" s="52"/>
    </row>
    <row r="53" spans="1:7" ht="10.5" x14ac:dyDescent="0.25">
      <c r="A53" s="24" t="s">
        <v>403</v>
      </c>
      <c r="B53" s="24" t="s">
        <v>402</v>
      </c>
      <c r="C53" s="24" t="s">
        <v>132</v>
      </c>
      <c r="D53" s="28">
        <v>2128752</v>
      </c>
      <c r="E53" s="26">
        <v>5008.9534560000002</v>
      </c>
      <c r="F53" s="27">
        <v>0.91763884289951902</v>
      </c>
      <c r="G53" s="55"/>
    </row>
    <row r="54" spans="1:7" x14ac:dyDescent="0.2">
      <c r="A54" s="24" t="s">
        <v>216</v>
      </c>
      <c r="B54" s="24" t="s">
        <v>215</v>
      </c>
      <c r="C54" s="24" t="s">
        <v>132</v>
      </c>
      <c r="D54" s="28">
        <v>11253507</v>
      </c>
      <c r="E54" s="26">
        <v>4799.6207359999999</v>
      </c>
      <c r="F54" s="27">
        <v>0.87928914836767802</v>
      </c>
      <c r="G54" s="52"/>
    </row>
    <row r="55" spans="1:7" x14ac:dyDescent="0.2">
      <c r="A55" s="24" t="s">
        <v>112</v>
      </c>
      <c r="B55" s="24" t="s">
        <v>111</v>
      </c>
      <c r="C55" s="24" t="s">
        <v>113</v>
      </c>
      <c r="D55" s="28">
        <v>2881094</v>
      </c>
      <c r="E55" s="26">
        <v>4405.1927260000002</v>
      </c>
      <c r="F55" s="27">
        <v>0.807030049559322</v>
      </c>
      <c r="G55" s="52"/>
    </row>
    <row r="56" spans="1:7" x14ac:dyDescent="0.2">
      <c r="A56" s="24" t="s">
        <v>475</v>
      </c>
      <c r="B56" s="24" t="s">
        <v>474</v>
      </c>
      <c r="C56" s="24" t="s">
        <v>352</v>
      </c>
      <c r="D56" s="28">
        <v>106626</v>
      </c>
      <c r="E56" s="26">
        <v>3684.9412470000002</v>
      </c>
      <c r="F56" s="27">
        <v>0.67508018426470096</v>
      </c>
      <c r="G56" s="52"/>
    </row>
    <row r="57" spans="1:7" x14ac:dyDescent="0.2">
      <c r="A57" s="24" t="s">
        <v>171</v>
      </c>
      <c r="B57" s="24" t="s">
        <v>170</v>
      </c>
      <c r="C57" s="24" t="s">
        <v>132</v>
      </c>
      <c r="D57" s="28">
        <v>2008648</v>
      </c>
      <c r="E57" s="26">
        <v>3257.0227319999999</v>
      </c>
      <c r="F57" s="27">
        <v>0.59668563450311096</v>
      </c>
      <c r="G57" s="52"/>
    </row>
    <row r="58" spans="1:7" x14ac:dyDescent="0.2">
      <c r="A58" s="24" t="s">
        <v>122</v>
      </c>
      <c r="B58" s="24" t="s">
        <v>121</v>
      </c>
      <c r="C58" s="24" t="s">
        <v>48</v>
      </c>
      <c r="D58" s="28">
        <v>12530441</v>
      </c>
      <c r="E58" s="26">
        <v>2531.1490819999999</v>
      </c>
      <c r="F58" s="27">
        <v>0.46370578908662502</v>
      </c>
      <c r="G58" s="52"/>
    </row>
    <row r="59" spans="1:7" ht="10.5" x14ac:dyDescent="0.25">
      <c r="A59" s="24" t="s">
        <v>186</v>
      </c>
      <c r="B59" s="24" t="s">
        <v>185</v>
      </c>
      <c r="C59" s="24" t="s">
        <v>99</v>
      </c>
      <c r="D59" s="28">
        <v>6934152</v>
      </c>
      <c r="E59" s="26">
        <v>2146.1200439999998</v>
      </c>
      <c r="F59" s="27">
        <v>0.39316857926491899</v>
      </c>
      <c r="G59" s="55"/>
    </row>
    <row r="60" spans="1:7" x14ac:dyDescent="0.2">
      <c r="A60" s="24" t="s">
        <v>477</v>
      </c>
      <c r="B60" s="24" t="s">
        <v>476</v>
      </c>
      <c r="C60" s="24" t="s">
        <v>83</v>
      </c>
      <c r="D60" s="28">
        <v>89801</v>
      </c>
      <c r="E60" s="26">
        <v>1105.540111</v>
      </c>
      <c r="F60" s="27">
        <v>0.20253463266300401</v>
      </c>
      <c r="G60" s="52"/>
    </row>
    <row r="61" spans="1:7" x14ac:dyDescent="0.2">
      <c r="A61" s="24" t="s">
        <v>295</v>
      </c>
      <c r="B61" s="24" t="s">
        <v>294</v>
      </c>
      <c r="C61" s="24" t="s">
        <v>51</v>
      </c>
      <c r="D61" s="28">
        <v>35001767</v>
      </c>
      <c r="E61" s="26">
        <v>1085.0547770000001</v>
      </c>
      <c r="F61" s="27">
        <v>0.19878172532351701</v>
      </c>
      <c r="G61" s="52"/>
    </row>
    <row r="62" spans="1:7" x14ac:dyDescent="0.2">
      <c r="A62" s="24" t="s">
        <v>433</v>
      </c>
      <c r="B62" s="24" t="s">
        <v>432</v>
      </c>
      <c r="C62" s="24" t="s">
        <v>113</v>
      </c>
      <c r="D62" s="28">
        <v>353094</v>
      </c>
      <c r="E62" s="26">
        <v>517.45925699999998</v>
      </c>
      <c r="F62" s="27">
        <v>9.4798388128828404E-2</v>
      </c>
      <c r="G62" s="52"/>
    </row>
    <row r="63" spans="1:7" x14ac:dyDescent="0.2">
      <c r="A63" s="24" t="s">
        <v>479</v>
      </c>
      <c r="B63" s="24" t="s">
        <v>478</v>
      </c>
      <c r="C63" s="24" t="s">
        <v>59</v>
      </c>
      <c r="D63" s="28">
        <v>325800</v>
      </c>
      <c r="E63" s="26">
        <v>384.28109999999998</v>
      </c>
      <c r="F63" s="27">
        <v>7.0400187793670396E-2</v>
      </c>
      <c r="G63" s="52"/>
    </row>
    <row r="64" spans="1:7" x14ac:dyDescent="0.2">
      <c r="A64" s="24" t="s">
        <v>481</v>
      </c>
      <c r="B64" s="24" t="s">
        <v>480</v>
      </c>
      <c r="C64" s="24" t="s">
        <v>196</v>
      </c>
      <c r="D64" s="28">
        <v>65687</v>
      </c>
      <c r="E64" s="26">
        <v>214.1067765</v>
      </c>
      <c r="F64" s="27">
        <v>3.9224300319472903E-2</v>
      </c>
      <c r="G64" s="52"/>
    </row>
    <row r="65" spans="1:9" x14ac:dyDescent="0.2">
      <c r="A65" s="24" t="s">
        <v>483</v>
      </c>
      <c r="B65" s="24" t="s">
        <v>482</v>
      </c>
      <c r="C65" s="24" t="s">
        <v>132</v>
      </c>
      <c r="D65" s="28">
        <v>376519</v>
      </c>
      <c r="E65" s="26">
        <v>156.4436445</v>
      </c>
      <c r="F65" s="27">
        <v>2.8660431002009198E-2</v>
      </c>
      <c r="G65" s="52"/>
    </row>
    <row r="66" spans="1:9" x14ac:dyDescent="0.2">
      <c r="A66" s="24" t="s">
        <v>485</v>
      </c>
      <c r="B66" s="24" t="s">
        <v>484</v>
      </c>
      <c r="C66" s="24" t="s">
        <v>201</v>
      </c>
      <c r="D66" s="28">
        <v>50107</v>
      </c>
      <c r="E66" s="26">
        <v>59.562190899999997</v>
      </c>
      <c r="F66" s="27">
        <v>1.09117763656928E-2</v>
      </c>
      <c r="G66" s="52"/>
    </row>
    <row r="67" spans="1:9" ht="10.5" x14ac:dyDescent="0.25">
      <c r="A67" s="23" t="s">
        <v>24</v>
      </c>
      <c r="B67" s="23"/>
      <c r="C67" s="23"/>
      <c r="D67" s="29"/>
      <c r="E67" s="30">
        <f>SUM(E6:E66)</f>
        <v>513303.37370090012</v>
      </c>
      <c r="F67" s="31">
        <f>SUM(F6:F66)</f>
        <v>94.037031495090204</v>
      </c>
      <c r="G67" s="30">
        <f>SUM(G6:G66)</f>
        <v>8.6099999999999996E-2</v>
      </c>
      <c r="H67" s="15"/>
      <c r="I67" s="15"/>
    </row>
    <row r="68" spans="1:9" x14ac:dyDescent="0.2">
      <c r="A68" s="24"/>
      <c r="B68" s="24"/>
      <c r="C68" s="24"/>
      <c r="D68" s="25"/>
      <c r="E68" s="26"/>
      <c r="F68" s="27"/>
      <c r="G68" s="52"/>
    </row>
    <row r="69" spans="1:9" ht="10.5" x14ac:dyDescent="0.25">
      <c r="A69" s="23" t="s">
        <v>1891</v>
      </c>
      <c r="B69" s="24"/>
      <c r="C69" s="24"/>
      <c r="D69" s="25"/>
      <c r="E69" s="26"/>
      <c r="F69" s="27"/>
      <c r="G69" s="52"/>
    </row>
    <row r="70" spans="1:9" x14ac:dyDescent="0.2">
      <c r="A70" s="24"/>
      <c r="B70" s="24" t="s">
        <v>1848</v>
      </c>
      <c r="C70" s="24" t="s">
        <v>132</v>
      </c>
      <c r="D70" s="28">
        <v>8100</v>
      </c>
      <c r="E70" s="26">
        <v>8.0999999999999996E-4</v>
      </c>
      <c r="F70" s="27">
        <v>1.48391768715331E-7</v>
      </c>
      <c r="G70" s="52"/>
    </row>
    <row r="71" spans="1:9" ht="10.5" x14ac:dyDescent="0.25">
      <c r="A71" s="23" t="s">
        <v>24</v>
      </c>
      <c r="B71" s="23"/>
      <c r="C71" s="23"/>
      <c r="D71" s="29"/>
      <c r="E71" s="30">
        <f>SUM(E69:E70)</f>
        <v>8.0999999999999996E-4</v>
      </c>
      <c r="F71" s="31">
        <f>SUM(F69:F70)</f>
        <v>1.48391768715331E-7</v>
      </c>
      <c r="G71" s="52"/>
      <c r="H71" s="15"/>
      <c r="I71" s="15"/>
    </row>
    <row r="72" spans="1:9" x14ac:dyDescent="0.2">
      <c r="A72" s="24"/>
      <c r="B72" s="24"/>
      <c r="C72" s="24"/>
      <c r="D72" s="25"/>
      <c r="E72" s="26"/>
      <c r="F72" s="27"/>
      <c r="G72" s="52"/>
    </row>
    <row r="73" spans="1:9" ht="10.5" x14ac:dyDescent="0.25">
      <c r="A73" s="23" t="s">
        <v>255</v>
      </c>
      <c r="B73" s="24"/>
      <c r="C73" s="24"/>
      <c r="D73" s="25"/>
      <c r="E73" s="26"/>
      <c r="F73" s="27"/>
      <c r="G73" s="52"/>
    </row>
    <row r="74" spans="1:9" x14ac:dyDescent="0.2">
      <c r="A74" s="24" t="s">
        <v>320</v>
      </c>
      <c r="B74" s="24" t="s">
        <v>319</v>
      </c>
      <c r="C74" s="24" t="s">
        <v>59</v>
      </c>
      <c r="D74" s="28">
        <v>140468</v>
      </c>
      <c r="E74" s="26">
        <v>1359.8533600000001</v>
      </c>
      <c r="F74" s="27">
        <v>0.24912474726405701</v>
      </c>
      <c r="G74" s="52"/>
    </row>
    <row r="75" spans="1:9" ht="10.5" x14ac:dyDescent="0.25">
      <c r="A75" s="23" t="s">
        <v>24</v>
      </c>
      <c r="B75" s="23"/>
      <c r="C75" s="23"/>
      <c r="D75" s="29"/>
      <c r="E75" s="30">
        <f>SUM(E73:E74)</f>
        <v>1359.8533600000001</v>
      </c>
      <c r="F75" s="31">
        <f>SUM(F73:F74)</f>
        <v>0.24912474726405701</v>
      </c>
      <c r="G75" s="52"/>
      <c r="H75" s="15"/>
      <c r="I75" s="15"/>
    </row>
    <row r="76" spans="1:9" x14ac:dyDescent="0.2">
      <c r="A76" s="24"/>
      <c r="B76" s="24"/>
      <c r="C76" s="24"/>
      <c r="D76" s="25"/>
      <c r="E76" s="26"/>
      <c r="F76" s="27"/>
      <c r="G76" s="52"/>
    </row>
    <row r="77" spans="1:9" ht="10.5" x14ac:dyDescent="0.25">
      <c r="A77" s="23" t="s">
        <v>25</v>
      </c>
      <c r="B77" s="23"/>
      <c r="C77" s="23"/>
      <c r="D77" s="29"/>
      <c r="E77" s="30">
        <f>E67+E71+E75</f>
        <v>514663.22787090013</v>
      </c>
      <c r="F77" s="31">
        <f>F67+F71+F75</f>
        <v>94.286156390746029</v>
      </c>
      <c r="G77" s="52"/>
      <c r="H77" s="15"/>
      <c r="I77" s="15"/>
    </row>
    <row r="78" spans="1:9" ht="10.5" x14ac:dyDescent="0.25">
      <c r="A78" s="23"/>
      <c r="B78" s="23"/>
      <c r="C78" s="23"/>
      <c r="D78" s="29"/>
      <c r="E78" s="30"/>
      <c r="F78" s="31"/>
      <c r="G78" s="52"/>
      <c r="H78" s="15"/>
      <c r="I78" s="15"/>
    </row>
    <row r="79" spans="1:9" ht="10.5" x14ac:dyDescent="0.25">
      <c r="A79" s="23" t="s">
        <v>1800</v>
      </c>
      <c r="B79" s="23"/>
      <c r="C79" s="23"/>
      <c r="D79" s="29"/>
      <c r="E79" s="30">
        <v>799.43799999999999</v>
      </c>
      <c r="F79" s="31">
        <v>0.14645681333116892</v>
      </c>
      <c r="G79" s="52"/>
      <c r="H79" s="15"/>
      <c r="I79" s="15"/>
    </row>
    <row r="80" spans="1:9" ht="10.5" x14ac:dyDescent="0.25">
      <c r="A80" s="23" t="s">
        <v>27</v>
      </c>
      <c r="B80" s="23"/>
      <c r="C80" s="23"/>
      <c r="D80" s="29"/>
      <c r="E80" s="30">
        <f>E82-(E67+E71+E75+E79)</f>
        <v>30389.713282199809</v>
      </c>
      <c r="F80" s="31">
        <f>F82-(F67+F71+F75+F79)</f>
        <v>5.5673867959228005</v>
      </c>
      <c r="G80" s="52"/>
      <c r="H80" s="15"/>
      <c r="I80" s="15"/>
    </row>
    <row r="81" spans="1:9" ht="10.5" x14ac:dyDescent="0.25">
      <c r="A81" s="23"/>
      <c r="B81" s="23"/>
      <c r="C81" s="23"/>
      <c r="D81" s="29"/>
      <c r="E81" s="30"/>
      <c r="F81" s="31"/>
      <c r="G81" s="52"/>
      <c r="H81" s="15"/>
      <c r="I81" s="15"/>
    </row>
    <row r="82" spans="1:9" ht="10.5" x14ac:dyDescent="0.25">
      <c r="A82" s="32" t="s">
        <v>26</v>
      </c>
      <c r="B82" s="32"/>
      <c r="C82" s="32"/>
      <c r="D82" s="33"/>
      <c r="E82" s="34">
        <v>545852.37915309996</v>
      </c>
      <c r="F82" s="35">
        <v>100</v>
      </c>
      <c r="G82" s="56"/>
      <c r="H82" s="15"/>
      <c r="I82" s="15"/>
    </row>
    <row r="83" spans="1:9" ht="15" customHeight="1" x14ac:dyDescent="0.25">
      <c r="A83" s="15" t="s">
        <v>657</v>
      </c>
      <c r="E83" s="99" t="s">
        <v>37</v>
      </c>
      <c r="F83" s="99"/>
    </row>
    <row r="84" spans="1:9" ht="10.5" x14ac:dyDescent="0.25">
      <c r="A84" s="15" t="s">
        <v>872</v>
      </c>
      <c r="F84" s="17"/>
    </row>
    <row r="86" spans="1:9" ht="10.5" x14ac:dyDescent="0.25">
      <c r="A86" s="15" t="s">
        <v>28</v>
      </c>
    </row>
    <row r="87" spans="1:9" ht="10.5" x14ac:dyDescent="0.25">
      <c r="A87" s="15" t="s">
        <v>29</v>
      </c>
    </row>
    <row r="88" spans="1:9" ht="10.5" x14ac:dyDescent="0.25">
      <c r="A88" s="15" t="s">
        <v>30</v>
      </c>
      <c r="B88" s="15"/>
      <c r="C88" s="36" t="s">
        <v>32</v>
      </c>
      <c r="D88" s="16" t="s">
        <v>31</v>
      </c>
    </row>
    <row r="89" spans="1:9" x14ac:dyDescent="0.2">
      <c r="A89" s="9" t="s">
        <v>38</v>
      </c>
      <c r="C89" s="37">
        <v>929.56920000000002</v>
      </c>
      <c r="D89" s="37">
        <v>691.28530000000001</v>
      </c>
    </row>
    <row r="90" spans="1:9" x14ac:dyDescent="0.2">
      <c r="A90" s="9" t="s">
        <v>40</v>
      </c>
      <c r="C90" s="37">
        <v>53.5625</v>
      </c>
      <c r="D90" s="37">
        <v>39.832299999999996</v>
      </c>
    </row>
    <row r="91" spans="1:9" x14ac:dyDescent="0.2">
      <c r="A91" s="9" t="s">
        <v>39</v>
      </c>
      <c r="C91" s="37">
        <v>996.36959999999999</v>
      </c>
      <c r="D91" s="37">
        <v>744.1549</v>
      </c>
    </row>
    <row r="92" spans="1:9" x14ac:dyDescent="0.2">
      <c r="A92" s="9" t="s">
        <v>41</v>
      </c>
      <c r="C92" s="37">
        <v>59.069600000000001</v>
      </c>
      <c r="D92" s="37">
        <v>44.116100000000003</v>
      </c>
    </row>
    <row r="94" spans="1:9" ht="10.5" x14ac:dyDescent="0.25">
      <c r="A94" s="15" t="s">
        <v>1882</v>
      </c>
      <c r="D94" s="41" t="s">
        <v>36</v>
      </c>
    </row>
    <row r="95" spans="1:9" ht="10.5" x14ac:dyDescent="0.25">
      <c r="A95" s="15"/>
      <c r="D95" s="41"/>
    </row>
    <row r="96" spans="1:9" ht="10.5" x14ac:dyDescent="0.25">
      <c r="A96" s="15" t="s">
        <v>1871</v>
      </c>
      <c r="D96" s="78" t="s">
        <v>1880</v>
      </c>
    </row>
    <row r="98" spans="1:4" ht="10.5" x14ac:dyDescent="0.25">
      <c r="A98" s="15" t="s">
        <v>1876</v>
      </c>
      <c r="D98" s="11">
        <f>G67</f>
        <v>8.6099999999999996E-2</v>
      </c>
    </row>
    <row r="100" spans="1:4" ht="10.5" x14ac:dyDescent="0.25">
      <c r="A100" s="15" t="s">
        <v>1872</v>
      </c>
      <c r="D100" s="42">
        <v>0.1118</v>
      </c>
    </row>
    <row r="102" spans="1:4" ht="10.5" x14ac:dyDescent="0.25">
      <c r="A102" s="15" t="s">
        <v>1875</v>
      </c>
    </row>
  </sheetData>
  <mergeCells count="2">
    <mergeCell ref="A1:G1"/>
    <mergeCell ref="E83:F83"/>
  </mergeCells>
  <conditionalFormatting sqref="F2 F4:F82 E83 F84:F65536">
    <cfRule type="cellIs" dxfId="29" priority="2" stopIfTrue="1" operator="between">
      <formula>0.009</formula>
      <formula>-0.009</formula>
    </cfRule>
  </conditionalFormatting>
  <pageMargins left="0.7" right="0.7" top="0.75" bottom="0.75" header="0.3" footer="0.3"/>
  <pageSetup paperSize="9" scale="48" orientation="portrait" r:id="rId1"/>
  <headerFooter>
    <evenFooter>&amp;LPUBLIC</evenFooter>
    <firstFooter>&amp;LPUBLIC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72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25.81640625" style="9" bestFit="1" customWidth="1"/>
    <col min="3" max="3" width="18.81640625" style="9" bestFit="1" customWidth="1"/>
    <col min="4" max="4" width="15.453125" style="10" bestFit="1" customWidth="1"/>
    <col min="5" max="5" width="14.453125" style="11" customWidth="1"/>
    <col min="6" max="6" width="10.26953125" style="14" customWidth="1"/>
    <col min="7" max="7" width="4.453125" style="9" bestFit="1" customWidth="1"/>
    <col min="8" max="16384" width="9.1796875" style="9"/>
  </cols>
  <sheetData>
    <row r="1" spans="1:6" s="1" customFormat="1" ht="14" x14ac:dyDescent="0.25">
      <c r="A1" s="88" t="s">
        <v>1832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63</v>
      </c>
      <c r="B6" s="24" t="s">
        <v>62</v>
      </c>
      <c r="C6" s="24" t="s">
        <v>48</v>
      </c>
      <c r="D6" s="28">
        <v>800000</v>
      </c>
      <c r="E6" s="26">
        <v>2590</v>
      </c>
      <c r="F6" s="27">
        <v>8.0861104918090092</v>
      </c>
    </row>
    <row r="7" spans="1:6" x14ac:dyDescent="0.2">
      <c r="A7" s="24" t="s">
        <v>47</v>
      </c>
      <c r="B7" s="24" t="s">
        <v>46</v>
      </c>
      <c r="C7" s="24" t="s">
        <v>48</v>
      </c>
      <c r="D7" s="28">
        <v>300000</v>
      </c>
      <c r="E7" s="26">
        <v>2585.6999999999998</v>
      </c>
      <c r="F7" s="27">
        <v>8.0726856751623703</v>
      </c>
    </row>
    <row r="8" spans="1:6" x14ac:dyDescent="0.2">
      <c r="A8" s="24" t="s">
        <v>58</v>
      </c>
      <c r="B8" s="24" t="s">
        <v>57</v>
      </c>
      <c r="C8" s="24" t="s">
        <v>59</v>
      </c>
      <c r="D8" s="28">
        <v>290000</v>
      </c>
      <c r="E8" s="26">
        <v>1860.35</v>
      </c>
      <c r="F8" s="27">
        <v>5.8081064298984098</v>
      </c>
    </row>
    <row r="9" spans="1:6" x14ac:dyDescent="0.2">
      <c r="A9" s="24" t="s">
        <v>184</v>
      </c>
      <c r="B9" s="24" t="s">
        <v>183</v>
      </c>
      <c r="C9" s="24" t="s">
        <v>59</v>
      </c>
      <c r="D9" s="28">
        <v>360000</v>
      </c>
      <c r="E9" s="26">
        <v>1571.04</v>
      </c>
      <c r="F9" s="27">
        <v>4.9048660336106602</v>
      </c>
    </row>
    <row r="10" spans="1:6" x14ac:dyDescent="0.2">
      <c r="A10" s="24" t="s">
        <v>103</v>
      </c>
      <c r="B10" s="24" t="s">
        <v>102</v>
      </c>
      <c r="C10" s="24" t="s">
        <v>48</v>
      </c>
      <c r="D10" s="28">
        <v>750000</v>
      </c>
      <c r="E10" s="26">
        <v>1476.375</v>
      </c>
      <c r="F10" s="27">
        <v>4.6093171341098502</v>
      </c>
    </row>
    <row r="11" spans="1:6" x14ac:dyDescent="0.2">
      <c r="A11" s="24" t="s">
        <v>153</v>
      </c>
      <c r="B11" s="24" t="s">
        <v>152</v>
      </c>
      <c r="C11" s="24" t="s">
        <v>72</v>
      </c>
      <c r="D11" s="28">
        <v>800000</v>
      </c>
      <c r="E11" s="26">
        <v>1373.6</v>
      </c>
      <c r="F11" s="27">
        <v>4.28844840600342</v>
      </c>
    </row>
    <row r="12" spans="1:6" x14ac:dyDescent="0.2">
      <c r="A12" s="24" t="s">
        <v>126</v>
      </c>
      <c r="B12" s="24" t="s">
        <v>125</v>
      </c>
      <c r="C12" s="24" t="s">
        <v>127</v>
      </c>
      <c r="D12" s="28">
        <v>800000</v>
      </c>
      <c r="E12" s="26">
        <v>1120.4000000000001</v>
      </c>
      <c r="F12" s="27">
        <v>3.4979452490435601</v>
      </c>
    </row>
    <row r="13" spans="1:6" x14ac:dyDescent="0.2">
      <c r="A13" s="24" t="s">
        <v>65</v>
      </c>
      <c r="B13" s="24" t="s">
        <v>64</v>
      </c>
      <c r="C13" s="24" t="s">
        <v>66</v>
      </c>
      <c r="D13" s="28">
        <v>210000</v>
      </c>
      <c r="E13" s="26">
        <v>999.81</v>
      </c>
      <c r="F13" s="27">
        <v>3.1214571933650799</v>
      </c>
    </row>
    <row r="14" spans="1:6" x14ac:dyDescent="0.2">
      <c r="A14" s="24" t="s">
        <v>98</v>
      </c>
      <c r="B14" s="24" t="s">
        <v>97</v>
      </c>
      <c r="C14" s="24" t="s">
        <v>99</v>
      </c>
      <c r="D14" s="28">
        <v>330000</v>
      </c>
      <c r="E14" s="26">
        <v>940.33500000000004</v>
      </c>
      <c r="F14" s="27">
        <v>2.9357732468398501</v>
      </c>
    </row>
    <row r="15" spans="1:6" x14ac:dyDescent="0.2">
      <c r="A15" s="24" t="s">
        <v>186</v>
      </c>
      <c r="B15" s="24" t="s">
        <v>185</v>
      </c>
      <c r="C15" s="24" t="s">
        <v>99</v>
      </c>
      <c r="D15" s="28">
        <v>3000000</v>
      </c>
      <c r="E15" s="26">
        <v>928.5</v>
      </c>
      <c r="F15" s="27">
        <v>2.8988237805577799</v>
      </c>
    </row>
    <row r="16" spans="1:6" x14ac:dyDescent="0.2">
      <c r="A16" s="24" t="s">
        <v>188</v>
      </c>
      <c r="B16" s="24" t="s">
        <v>187</v>
      </c>
      <c r="C16" s="24" t="s">
        <v>72</v>
      </c>
      <c r="D16" s="28">
        <v>307800</v>
      </c>
      <c r="E16" s="26">
        <v>907.54830000000004</v>
      </c>
      <c r="F16" s="27">
        <v>2.8334115175495902</v>
      </c>
    </row>
    <row r="17" spans="1:6" x14ac:dyDescent="0.2">
      <c r="A17" s="24" t="s">
        <v>157</v>
      </c>
      <c r="B17" s="24" t="s">
        <v>156</v>
      </c>
      <c r="C17" s="24" t="s">
        <v>78</v>
      </c>
      <c r="D17" s="28">
        <v>1100000</v>
      </c>
      <c r="E17" s="26">
        <v>898.15</v>
      </c>
      <c r="F17" s="27">
        <v>2.80406955143562</v>
      </c>
    </row>
    <row r="18" spans="1:6" x14ac:dyDescent="0.2">
      <c r="A18" s="24" t="s">
        <v>101</v>
      </c>
      <c r="B18" s="24" t="s">
        <v>100</v>
      </c>
      <c r="C18" s="24" t="s">
        <v>91</v>
      </c>
      <c r="D18" s="28">
        <v>1000000</v>
      </c>
      <c r="E18" s="26">
        <v>842</v>
      </c>
      <c r="F18" s="27">
        <v>2.6287664224336602</v>
      </c>
    </row>
    <row r="19" spans="1:6" x14ac:dyDescent="0.2">
      <c r="A19" s="24" t="s">
        <v>96</v>
      </c>
      <c r="B19" s="24" t="s">
        <v>95</v>
      </c>
      <c r="C19" s="24" t="s">
        <v>54</v>
      </c>
      <c r="D19" s="28">
        <v>300000</v>
      </c>
      <c r="E19" s="26">
        <v>801.75</v>
      </c>
      <c r="F19" s="27">
        <v>2.50310389452041</v>
      </c>
    </row>
    <row r="20" spans="1:6" x14ac:dyDescent="0.2">
      <c r="A20" s="24" t="s">
        <v>190</v>
      </c>
      <c r="B20" s="24" t="s">
        <v>189</v>
      </c>
      <c r="C20" s="24" t="s">
        <v>99</v>
      </c>
      <c r="D20" s="28">
        <v>50000</v>
      </c>
      <c r="E20" s="26">
        <v>798.22500000000002</v>
      </c>
      <c r="F20" s="27">
        <v>2.49209866692056</v>
      </c>
    </row>
    <row r="21" spans="1:6" x14ac:dyDescent="0.2">
      <c r="A21" s="24" t="s">
        <v>192</v>
      </c>
      <c r="B21" s="24" t="s">
        <v>191</v>
      </c>
      <c r="C21" s="24" t="s">
        <v>193</v>
      </c>
      <c r="D21" s="28">
        <v>1100000</v>
      </c>
      <c r="E21" s="26">
        <v>751.3</v>
      </c>
      <c r="F21" s="27">
        <v>2.3455964527012001</v>
      </c>
    </row>
    <row r="22" spans="1:6" x14ac:dyDescent="0.2">
      <c r="A22" s="24" t="s">
        <v>195</v>
      </c>
      <c r="B22" s="24" t="s">
        <v>194</v>
      </c>
      <c r="C22" s="24" t="s">
        <v>196</v>
      </c>
      <c r="D22" s="28">
        <v>1000000</v>
      </c>
      <c r="E22" s="26">
        <v>744.5</v>
      </c>
      <c r="F22" s="27">
        <v>2.32436651009722</v>
      </c>
    </row>
    <row r="23" spans="1:6" x14ac:dyDescent="0.2">
      <c r="A23" s="24" t="s">
        <v>198</v>
      </c>
      <c r="B23" s="24" t="s">
        <v>197</v>
      </c>
      <c r="C23" s="24" t="s">
        <v>66</v>
      </c>
      <c r="D23" s="28">
        <v>72240</v>
      </c>
      <c r="E23" s="26">
        <v>675.84132</v>
      </c>
      <c r="F23" s="27">
        <v>2.1100106519112098</v>
      </c>
    </row>
    <row r="24" spans="1:6" x14ac:dyDescent="0.2">
      <c r="A24" s="24" t="s">
        <v>90</v>
      </c>
      <c r="B24" s="24" t="s">
        <v>89</v>
      </c>
      <c r="C24" s="24" t="s">
        <v>91</v>
      </c>
      <c r="D24" s="28">
        <v>400000</v>
      </c>
      <c r="E24" s="26">
        <v>636.4</v>
      </c>
      <c r="F24" s="27">
        <v>1.98687286370164</v>
      </c>
    </row>
    <row r="25" spans="1:6" x14ac:dyDescent="0.2">
      <c r="A25" s="24" t="s">
        <v>107</v>
      </c>
      <c r="B25" s="24" t="s">
        <v>106</v>
      </c>
      <c r="C25" s="24" t="s">
        <v>78</v>
      </c>
      <c r="D25" s="28">
        <v>200000</v>
      </c>
      <c r="E25" s="26">
        <v>633.79999999999995</v>
      </c>
      <c r="F25" s="27">
        <v>1.978755532706</v>
      </c>
    </row>
    <row r="26" spans="1:6" x14ac:dyDescent="0.2">
      <c r="A26" s="24" t="s">
        <v>151</v>
      </c>
      <c r="B26" s="24" t="s">
        <v>150</v>
      </c>
      <c r="C26" s="24" t="s">
        <v>59</v>
      </c>
      <c r="D26" s="28">
        <v>110000</v>
      </c>
      <c r="E26" s="26">
        <v>622.04999999999995</v>
      </c>
      <c r="F26" s="27">
        <v>1.9420714407064801</v>
      </c>
    </row>
    <row r="27" spans="1:6" x14ac:dyDescent="0.2">
      <c r="A27" s="24" t="s">
        <v>200</v>
      </c>
      <c r="B27" s="24" t="s">
        <v>199</v>
      </c>
      <c r="C27" s="24" t="s">
        <v>201</v>
      </c>
      <c r="D27" s="28">
        <v>270000</v>
      </c>
      <c r="E27" s="26">
        <v>603.58500000000004</v>
      </c>
      <c r="F27" s="27">
        <v>1.88442278038554</v>
      </c>
    </row>
    <row r="28" spans="1:6" x14ac:dyDescent="0.2">
      <c r="A28" s="24" t="s">
        <v>203</v>
      </c>
      <c r="B28" s="24" t="s">
        <v>202</v>
      </c>
      <c r="C28" s="24" t="s">
        <v>132</v>
      </c>
      <c r="D28" s="28">
        <v>90000</v>
      </c>
      <c r="E28" s="26">
        <v>596.88</v>
      </c>
      <c r="F28" s="27">
        <v>1.8634894325679401</v>
      </c>
    </row>
    <row r="29" spans="1:6" x14ac:dyDescent="0.2">
      <c r="A29" s="24" t="s">
        <v>205</v>
      </c>
      <c r="B29" s="24" t="s">
        <v>204</v>
      </c>
      <c r="C29" s="24" t="s">
        <v>48</v>
      </c>
      <c r="D29" s="28">
        <v>1400000</v>
      </c>
      <c r="E29" s="26">
        <v>574.70000000000005</v>
      </c>
      <c r="F29" s="27">
        <v>1.79424235507438</v>
      </c>
    </row>
    <row r="30" spans="1:6" x14ac:dyDescent="0.2">
      <c r="A30" s="24" t="s">
        <v>169</v>
      </c>
      <c r="B30" s="24" t="s">
        <v>168</v>
      </c>
      <c r="C30" s="24" t="s">
        <v>69</v>
      </c>
      <c r="D30" s="28">
        <v>700000</v>
      </c>
      <c r="E30" s="26">
        <v>535.85</v>
      </c>
      <c r="F30" s="27">
        <v>1.6729506976972399</v>
      </c>
    </row>
    <row r="31" spans="1:6" x14ac:dyDescent="0.2">
      <c r="A31" s="24" t="s">
        <v>207</v>
      </c>
      <c r="B31" s="24" t="s">
        <v>206</v>
      </c>
      <c r="C31" s="24" t="s">
        <v>72</v>
      </c>
      <c r="D31" s="28">
        <v>300000</v>
      </c>
      <c r="E31" s="26">
        <v>509.85</v>
      </c>
      <c r="F31" s="27">
        <v>1.5917773877408601</v>
      </c>
    </row>
    <row r="32" spans="1:6" x14ac:dyDescent="0.2">
      <c r="A32" s="24" t="s">
        <v>209</v>
      </c>
      <c r="B32" s="24" t="s">
        <v>208</v>
      </c>
      <c r="C32" s="24" t="s">
        <v>86</v>
      </c>
      <c r="D32" s="28">
        <v>700000</v>
      </c>
      <c r="E32" s="26">
        <v>452.9</v>
      </c>
      <c r="F32" s="27">
        <v>1.41397661843255</v>
      </c>
    </row>
    <row r="33" spans="1:9" x14ac:dyDescent="0.2">
      <c r="A33" s="24" t="s">
        <v>211</v>
      </c>
      <c r="B33" s="24" t="s">
        <v>210</v>
      </c>
      <c r="C33" s="24" t="s">
        <v>110</v>
      </c>
      <c r="D33" s="28">
        <v>200000</v>
      </c>
      <c r="E33" s="26">
        <v>407.5</v>
      </c>
      <c r="F33" s="27">
        <v>1.27223553104717</v>
      </c>
    </row>
    <row r="34" spans="1:9" x14ac:dyDescent="0.2">
      <c r="A34" s="24" t="s">
        <v>213</v>
      </c>
      <c r="B34" s="24" t="s">
        <v>212</v>
      </c>
      <c r="C34" s="24" t="s">
        <v>214</v>
      </c>
      <c r="D34" s="28">
        <v>600000</v>
      </c>
      <c r="E34" s="26">
        <v>361.5</v>
      </c>
      <c r="F34" s="27">
        <v>1.1286212134320299</v>
      </c>
    </row>
    <row r="35" spans="1:9" x14ac:dyDescent="0.2">
      <c r="A35" s="24" t="s">
        <v>179</v>
      </c>
      <c r="B35" s="24" t="s">
        <v>178</v>
      </c>
      <c r="C35" s="24" t="s">
        <v>75</v>
      </c>
      <c r="D35" s="28">
        <v>450000</v>
      </c>
      <c r="E35" s="26">
        <v>357.3</v>
      </c>
      <c r="F35" s="27">
        <v>1.1155086018236899</v>
      </c>
    </row>
    <row r="36" spans="1:9" x14ac:dyDescent="0.2">
      <c r="A36" s="24" t="s">
        <v>216</v>
      </c>
      <c r="B36" s="24" t="s">
        <v>215</v>
      </c>
      <c r="C36" s="24" t="s">
        <v>132</v>
      </c>
      <c r="D36" s="28">
        <v>800000</v>
      </c>
      <c r="E36" s="26">
        <v>341.2</v>
      </c>
      <c r="F36" s="27">
        <v>1.0652435906583899</v>
      </c>
    </row>
    <row r="37" spans="1:9" x14ac:dyDescent="0.2">
      <c r="A37" s="24" t="s">
        <v>171</v>
      </c>
      <c r="B37" s="24" t="s">
        <v>170</v>
      </c>
      <c r="C37" s="24" t="s">
        <v>132</v>
      </c>
      <c r="D37" s="28">
        <v>200000</v>
      </c>
      <c r="E37" s="26">
        <v>324.3</v>
      </c>
      <c r="F37" s="27">
        <v>1.01248093918674</v>
      </c>
    </row>
    <row r="38" spans="1:9" x14ac:dyDescent="0.2">
      <c r="A38" s="24" t="s">
        <v>142</v>
      </c>
      <c r="B38" s="24" t="s">
        <v>141</v>
      </c>
      <c r="C38" s="24" t="s">
        <v>143</v>
      </c>
      <c r="D38" s="28">
        <v>40000</v>
      </c>
      <c r="E38" s="26">
        <v>323.39999999999998</v>
      </c>
      <c r="F38" s="27">
        <v>1.0096710938421001</v>
      </c>
    </row>
    <row r="39" spans="1:9" x14ac:dyDescent="0.2">
      <c r="A39" s="24" t="s">
        <v>218</v>
      </c>
      <c r="B39" s="24" t="s">
        <v>217</v>
      </c>
      <c r="C39" s="24" t="s">
        <v>132</v>
      </c>
      <c r="D39" s="28">
        <v>50000</v>
      </c>
      <c r="E39" s="26">
        <v>320.5</v>
      </c>
      <c r="F39" s="27">
        <v>1.0006171477315799</v>
      </c>
    </row>
    <row r="40" spans="1:9" x14ac:dyDescent="0.2">
      <c r="A40" s="24" t="s">
        <v>220</v>
      </c>
      <c r="B40" s="24" t="s">
        <v>219</v>
      </c>
      <c r="C40" s="24" t="s">
        <v>214</v>
      </c>
      <c r="D40" s="28">
        <v>90000</v>
      </c>
      <c r="E40" s="26">
        <v>298.48500000000001</v>
      </c>
      <c r="F40" s="27">
        <v>0.93188520855120105</v>
      </c>
    </row>
    <row r="41" spans="1:9" x14ac:dyDescent="0.2">
      <c r="A41" s="24" t="s">
        <v>222</v>
      </c>
      <c r="B41" s="24" t="s">
        <v>221</v>
      </c>
      <c r="C41" s="24" t="s">
        <v>59</v>
      </c>
      <c r="D41" s="28">
        <v>120000</v>
      </c>
      <c r="E41" s="26">
        <v>275.16000000000003</v>
      </c>
      <c r="F41" s="27">
        <v>0.85906338336917598</v>
      </c>
    </row>
    <row r="42" spans="1:9" x14ac:dyDescent="0.2">
      <c r="A42" s="24" t="s">
        <v>224</v>
      </c>
      <c r="B42" s="24" t="s">
        <v>223</v>
      </c>
      <c r="C42" s="24" t="s">
        <v>214</v>
      </c>
      <c r="D42" s="28">
        <v>400000</v>
      </c>
      <c r="E42" s="26">
        <v>274.39999999999998</v>
      </c>
      <c r="F42" s="27">
        <v>0.85669062507814298</v>
      </c>
    </row>
    <row r="43" spans="1:9" x14ac:dyDescent="0.2">
      <c r="A43" s="24" t="s">
        <v>226</v>
      </c>
      <c r="B43" s="24" t="s">
        <v>225</v>
      </c>
      <c r="C43" s="24" t="s">
        <v>227</v>
      </c>
      <c r="D43" s="28">
        <v>90000</v>
      </c>
      <c r="E43" s="26">
        <v>266.49</v>
      </c>
      <c r="F43" s="27">
        <v>0.83199520654910497</v>
      </c>
    </row>
    <row r="44" spans="1:9" x14ac:dyDescent="0.2">
      <c r="A44" s="24" t="s">
        <v>229</v>
      </c>
      <c r="B44" s="24" t="s">
        <v>228</v>
      </c>
      <c r="C44" s="24" t="s">
        <v>230</v>
      </c>
      <c r="D44" s="28">
        <v>40000</v>
      </c>
      <c r="E44" s="26">
        <v>250.02</v>
      </c>
      <c r="F44" s="27">
        <v>0.78057503674211903</v>
      </c>
    </row>
    <row r="45" spans="1:9" x14ac:dyDescent="0.2">
      <c r="A45" s="24" t="s">
        <v>232</v>
      </c>
      <c r="B45" s="24" t="s">
        <v>231</v>
      </c>
      <c r="C45" s="24" t="s">
        <v>59</v>
      </c>
      <c r="D45" s="28">
        <v>54336</v>
      </c>
      <c r="E45" s="26">
        <v>198.543744</v>
      </c>
      <c r="F45" s="27">
        <v>0.61986357198511199</v>
      </c>
    </row>
    <row r="46" spans="1:9" x14ac:dyDescent="0.2">
      <c r="A46" s="24" t="s">
        <v>234</v>
      </c>
      <c r="B46" s="24" t="s">
        <v>233</v>
      </c>
      <c r="C46" s="24" t="s">
        <v>48</v>
      </c>
      <c r="D46" s="28">
        <v>45000</v>
      </c>
      <c r="E46" s="26">
        <v>158.08500000000001</v>
      </c>
      <c r="F46" s="27">
        <v>0.49354933478672802</v>
      </c>
    </row>
    <row r="47" spans="1:9" x14ac:dyDescent="0.2">
      <c r="A47" s="24" t="s">
        <v>164</v>
      </c>
      <c r="B47" s="24" t="s">
        <v>163</v>
      </c>
      <c r="C47" s="24" t="s">
        <v>165</v>
      </c>
      <c r="D47" s="28">
        <v>153000</v>
      </c>
      <c r="E47" s="26">
        <v>91.111500000000007</v>
      </c>
      <c r="F47" s="27">
        <v>0.28445469346504099</v>
      </c>
    </row>
    <row r="48" spans="1:9" ht="10.5" x14ac:dyDescent="0.25">
      <c r="A48" s="23" t="s">
        <v>24</v>
      </c>
      <c r="B48" s="23"/>
      <c r="C48" s="23"/>
      <c r="D48" s="29"/>
      <c r="E48" s="30">
        <f>SUM(E6:E47)</f>
        <v>31279.434863999999</v>
      </c>
      <c r="F48" s="31">
        <f>SUM(F6:F47)</f>
        <v>97.655971595230426</v>
      </c>
      <c r="G48" s="15"/>
      <c r="H48" s="15"/>
      <c r="I48" s="15"/>
    </row>
    <row r="49" spans="1:9" x14ac:dyDescent="0.2">
      <c r="A49" s="24"/>
      <c r="B49" s="24"/>
      <c r="C49" s="24"/>
      <c r="D49" s="25"/>
      <c r="E49" s="26"/>
      <c r="F49" s="27"/>
    </row>
    <row r="50" spans="1:9" ht="10.5" x14ac:dyDescent="0.25">
      <c r="A50" s="23" t="s">
        <v>25</v>
      </c>
      <c r="B50" s="23"/>
      <c r="C50" s="23"/>
      <c r="D50" s="29"/>
      <c r="E50" s="30">
        <f>E48</f>
        <v>31279.434863999999</v>
      </c>
      <c r="F50" s="31">
        <f>F48</f>
        <v>97.655971595230426</v>
      </c>
      <c r="G50" s="15"/>
      <c r="H50" s="15"/>
      <c r="I50" s="15"/>
    </row>
    <row r="51" spans="1:9" ht="10.5" x14ac:dyDescent="0.25">
      <c r="A51" s="23"/>
      <c r="B51" s="23"/>
      <c r="C51" s="23"/>
      <c r="D51" s="29"/>
      <c r="E51" s="30"/>
      <c r="F51" s="31"/>
      <c r="G51" s="15"/>
      <c r="H51" s="15"/>
      <c r="I51" s="15"/>
    </row>
    <row r="52" spans="1:9" ht="10.5" x14ac:dyDescent="0.25">
      <c r="A52" s="23" t="s">
        <v>27</v>
      </c>
      <c r="B52" s="23"/>
      <c r="C52" s="23"/>
      <c r="D52" s="29"/>
      <c r="E52" s="30">
        <f>E54-(E48)</f>
        <v>750.79775060000247</v>
      </c>
      <c r="F52" s="31">
        <f>F54-(F48)</f>
        <v>2.3440284047695741</v>
      </c>
      <c r="G52" s="15"/>
      <c r="H52" s="15"/>
      <c r="I52" s="15"/>
    </row>
    <row r="53" spans="1:9" ht="10.5" x14ac:dyDescent="0.25">
      <c r="A53" s="23"/>
      <c r="B53" s="23"/>
      <c r="C53" s="23"/>
      <c r="D53" s="29"/>
      <c r="E53" s="30"/>
      <c r="F53" s="31"/>
      <c r="G53" s="15"/>
      <c r="H53" s="15"/>
      <c r="I53" s="15"/>
    </row>
    <row r="54" spans="1:9" ht="10.5" x14ac:dyDescent="0.25">
      <c r="A54" s="32" t="s">
        <v>26</v>
      </c>
      <c r="B54" s="32"/>
      <c r="C54" s="32"/>
      <c r="D54" s="33"/>
      <c r="E54" s="34">
        <v>32030.232614600001</v>
      </c>
      <c r="F54" s="35">
        <v>100</v>
      </c>
      <c r="G54" s="15"/>
      <c r="H54" s="15"/>
      <c r="I54" s="15"/>
    </row>
    <row r="56" spans="1:9" ht="10.5" x14ac:dyDescent="0.25">
      <c r="A56" s="15" t="s">
        <v>28</v>
      </c>
    </row>
    <row r="57" spans="1:9" ht="10.5" x14ac:dyDescent="0.25">
      <c r="A57" s="15" t="s">
        <v>29</v>
      </c>
    </row>
    <row r="58" spans="1:9" ht="10.5" x14ac:dyDescent="0.25">
      <c r="A58" s="15" t="s">
        <v>30</v>
      </c>
      <c r="B58" s="15"/>
      <c r="C58" s="36" t="s">
        <v>32</v>
      </c>
      <c r="D58" s="16" t="s">
        <v>31</v>
      </c>
    </row>
    <row r="59" spans="1:9" x14ac:dyDescent="0.2">
      <c r="A59" s="9" t="s">
        <v>38</v>
      </c>
      <c r="C59" s="37">
        <v>230.64570000000001</v>
      </c>
      <c r="D59" s="37">
        <v>160.6885</v>
      </c>
    </row>
    <row r="60" spans="1:9" x14ac:dyDescent="0.2">
      <c r="A60" s="9" t="s">
        <v>40</v>
      </c>
      <c r="C60" s="37">
        <v>55.2744</v>
      </c>
      <c r="D60" s="37">
        <v>35.142699999999998</v>
      </c>
    </row>
    <row r="61" spans="1:9" x14ac:dyDescent="0.2">
      <c r="A61" s="9" t="s">
        <v>39</v>
      </c>
      <c r="C61" s="37">
        <v>241.80690000000001</v>
      </c>
      <c r="D61" s="37">
        <v>169.29839999999999</v>
      </c>
    </row>
    <row r="62" spans="1:9" x14ac:dyDescent="0.2">
      <c r="A62" s="9" t="s">
        <v>41</v>
      </c>
      <c r="C62" s="37">
        <v>58.690399999999997</v>
      </c>
      <c r="D62" s="37">
        <v>37.710999999999999</v>
      </c>
    </row>
    <row r="64" spans="1:9" ht="10.5" x14ac:dyDescent="0.25">
      <c r="A64" s="15" t="s">
        <v>1882</v>
      </c>
    </row>
    <row r="65" spans="1:4" ht="10.5" x14ac:dyDescent="0.25">
      <c r="A65" s="90" t="s">
        <v>33</v>
      </c>
      <c r="B65" s="91"/>
      <c r="C65" s="92" t="s">
        <v>1883</v>
      </c>
      <c r="D65" s="93"/>
    </row>
    <row r="66" spans="1:4" ht="10.5" x14ac:dyDescent="0.25">
      <c r="A66" s="90"/>
      <c r="B66" s="91"/>
      <c r="C66" s="38" t="s">
        <v>34</v>
      </c>
      <c r="D66" s="39" t="s">
        <v>35</v>
      </c>
    </row>
    <row r="67" spans="1:4" x14ac:dyDescent="0.2">
      <c r="A67" s="96" t="s">
        <v>40</v>
      </c>
      <c r="B67" s="97"/>
      <c r="C67" s="40">
        <v>4.4270423499999998</v>
      </c>
      <c r="D67" s="40">
        <v>4.4270423499999998</v>
      </c>
    </row>
    <row r="68" spans="1:4" x14ac:dyDescent="0.2">
      <c r="A68" s="96" t="s">
        <v>41</v>
      </c>
      <c r="B68" s="97"/>
      <c r="C68" s="40">
        <v>4.4270423499999998</v>
      </c>
      <c r="D68" s="40">
        <v>4.4270423499999998</v>
      </c>
    </row>
    <row r="70" spans="1:4" ht="10.5" x14ac:dyDescent="0.25">
      <c r="A70" s="15" t="s">
        <v>175</v>
      </c>
      <c r="D70" s="42">
        <v>0.2409</v>
      </c>
    </row>
    <row r="72" spans="1:4" ht="10.5" x14ac:dyDescent="0.25">
      <c r="A72" s="15" t="s">
        <v>1833</v>
      </c>
    </row>
  </sheetData>
  <mergeCells count="6">
    <mergeCell ref="A68:B68"/>
    <mergeCell ref="A1:F1"/>
    <mergeCell ref="C65:D65"/>
    <mergeCell ref="A65:B65"/>
    <mergeCell ref="A66:B66"/>
    <mergeCell ref="A67:B67"/>
  </mergeCells>
  <conditionalFormatting sqref="F4:F65536 F2">
    <cfRule type="cellIs" dxfId="28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4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86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41.453125" style="9" bestFit="1" customWidth="1"/>
    <col min="2" max="2" width="26.54296875" style="9" bestFit="1" customWidth="1"/>
    <col min="3" max="3" width="18.81640625" style="9" bestFit="1" customWidth="1"/>
    <col min="4" max="4" width="15.453125" style="10" bestFit="1" customWidth="1"/>
    <col min="5" max="5" width="13.1796875" style="11" customWidth="1"/>
    <col min="6" max="6" width="9" style="14" customWidth="1"/>
    <col min="7" max="7" width="5" style="9" bestFit="1" customWidth="1"/>
    <col min="8" max="16384" width="9.1796875" style="9"/>
  </cols>
  <sheetData>
    <row r="1" spans="1:6" s="1" customFormat="1" ht="14" x14ac:dyDescent="0.25">
      <c r="A1" s="88" t="s">
        <v>5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90</v>
      </c>
      <c r="B6" s="24" t="s">
        <v>89</v>
      </c>
      <c r="C6" s="24" t="s">
        <v>91</v>
      </c>
      <c r="D6" s="28">
        <v>2509054</v>
      </c>
      <c r="E6" s="26">
        <v>3991.9049140000002</v>
      </c>
      <c r="F6" s="27">
        <v>6.2597269980016303</v>
      </c>
    </row>
    <row r="7" spans="1:6" x14ac:dyDescent="0.2">
      <c r="A7" s="24" t="s">
        <v>58</v>
      </c>
      <c r="B7" s="24" t="s">
        <v>57</v>
      </c>
      <c r="C7" s="24" t="s">
        <v>59</v>
      </c>
      <c r="D7" s="28">
        <v>615444</v>
      </c>
      <c r="E7" s="26">
        <v>3948.0732600000001</v>
      </c>
      <c r="F7" s="27">
        <v>6.1909943518535204</v>
      </c>
    </row>
    <row r="8" spans="1:6" x14ac:dyDescent="0.2">
      <c r="A8" s="24" t="s">
        <v>101</v>
      </c>
      <c r="B8" s="24" t="s">
        <v>100</v>
      </c>
      <c r="C8" s="24" t="s">
        <v>91</v>
      </c>
      <c r="D8" s="28">
        <v>3350145</v>
      </c>
      <c r="E8" s="26">
        <v>2820.8220900000001</v>
      </c>
      <c r="F8" s="27">
        <v>4.4233458896792701</v>
      </c>
    </row>
    <row r="9" spans="1:6" x14ac:dyDescent="0.2">
      <c r="A9" s="24" t="s">
        <v>138</v>
      </c>
      <c r="B9" s="24" t="s">
        <v>137</v>
      </c>
      <c r="C9" s="24" t="s">
        <v>91</v>
      </c>
      <c r="D9" s="28">
        <v>13497327</v>
      </c>
      <c r="E9" s="26">
        <v>2692.7167370000002</v>
      </c>
      <c r="F9" s="27">
        <v>4.22246321485646</v>
      </c>
    </row>
    <row r="10" spans="1:6" x14ac:dyDescent="0.2">
      <c r="A10" s="24" t="s">
        <v>68</v>
      </c>
      <c r="B10" s="24" t="s">
        <v>67</v>
      </c>
      <c r="C10" s="24" t="s">
        <v>69</v>
      </c>
      <c r="D10" s="28">
        <v>1053388</v>
      </c>
      <c r="E10" s="26">
        <v>2103.6158359999999</v>
      </c>
      <c r="F10" s="27">
        <v>3.2986910073562399</v>
      </c>
    </row>
    <row r="11" spans="1:6" x14ac:dyDescent="0.2">
      <c r="A11" s="24" t="s">
        <v>147</v>
      </c>
      <c r="B11" s="24" t="s">
        <v>146</v>
      </c>
      <c r="C11" s="24" t="s">
        <v>91</v>
      </c>
      <c r="D11" s="28">
        <v>6297866</v>
      </c>
      <c r="E11" s="26">
        <v>2068.8489810000001</v>
      </c>
      <c r="F11" s="27">
        <v>3.244172919985</v>
      </c>
    </row>
    <row r="12" spans="1:6" x14ac:dyDescent="0.2">
      <c r="A12" s="24" t="s">
        <v>203</v>
      </c>
      <c r="B12" s="24" t="s">
        <v>202</v>
      </c>
      <c r="C12" s="24" t="s">
        <v>132</v>
      </c>
      <c r="D12" s="28">
        <v>284585</v>
      </c>
      <c r="E12" s="26">
        <v>1887.36772</v>
      </c>
      <c r="F12" s="27">
        <v>2.9595912043411898</v>
      </c>
    </row>
    <row r="13" spans="1:6" x14ac:dyDescent="0.2">
      <c r="A13" s="24" t="s">
        <v>126</v>
      </c>
      <c r="B13" s="24" t="s">
        <v>125</v>
      </c>
      <c r="C13" s="24" t="s">
        <v>127</v>
      </c>
      <c r="D13" s="28">
        <v>1247000</v>
      </c>
      <c r="E13" s="26">
        <v>1746.4235000000001</v>
      </c>
      <c r="F13" s="27">
        <v>2.7385758349489802</v>
      </c>
    </row>
    <row r="14" spans="1:6" x14ac:dyDescent="0.2">
      <c r="A14" s="24" t="s">
        <v>237</v>
      </c>
      <c r="B14" s="24" t="s">
        <v>236</v>
      </c>
      <c r="C14" s="24" t="s">
        <v>110</v>
      </c>
      <c r="D14" s="28">
        <v>419757</v>
      </c>
      <c r="E14" s="26">
        <v>1648.5956180000001</v>
      </c>
      <c r="F14" s="27">
        <v>2.5851714209397598</v>
      </c>
    </row>
    <row r="15" spans="1:6" x14ac:dyDescent="0.2">
      <c r="A15" s="24" t="s">
        <v>188</v>
      </c>
      <c r="B15" s="24" t="s">
        <v>187</v>
      </c>
      <c r="C15" s="24" t="s">
        <v>72</v>
      </c>
      <c r="D15" s="28">
        <v>551912</v>
      </c>
      <c r="E15" s="26">
        <v>1627.3125319999999</v>
      </c>
      <c r="F15" s="27">
        <v>2.5517973023409501</v>
      </c>
    </row>
    <row r="16" spans="1:6" x14ac:dyDescent="0.2">
      <c r="A16" s="24" t="s">
        <v>80</v>
      </c>
      <c r="B16" s="24" t="s">
        <v>79</v>
      </c>
      <c r="C16" s="24" t="s">
        <v>69</v>
      </c>
      <c r="D16" s="28">
        <v>924255</v>
      </c>
      <c r="E16" s="26">
        <v>1593.8777480000001</v>
      </c>
      <c r="F16" s="27">
        <v>2.4993680424797899</v>
      </c>
    </row>
    <row r="17" spans="1:6" x14ac:dyDescent="0.2">
      <c r="A17" s="24" t="s">
        <v>71</v>
      </c>
      <c r="B17" s="24" t="s">
        <v>70</v>
      </c>
      <c r="C17" s="24" t="s">
        <v>72</v>
      </c>
      <c r="D17" s="28">
        <v>114045</v>
      </c>
      <c r="E17" s="26">
        <v>1428.641715</v>
      </c>
      <c r="F17" s="27">
        <v>2.24026055392582</v>
      </c>
    </row>
    <row r="18" spans="1:6" x14ac:dyDescent="0.2">
      <c r="A18" s="24" t="s">
        <v>65</v>
      </c>
      <c r="B18" s="24" t="s">
        <v>64</v>
      </c>
      <c r="C18" s="24" t="s">
        <v>66</v>
      </c>
      <c r="D18" s="28">
        <v>264691</v>
      </c>
      <c r="E18" s="26">
        <v>1260.193851</v>
      </c>
      <c r="F18" s="27">
        <v>1.97611657636301</v>
      </c>
    </row>
    <row r="19" spans="1:6" x14ac:dyDescent="0.2">
      <c r="A19" s="24" t="s">
        <v>151</v>
      </c>
      <c r="B19" s="24" t="s">
        <v>150</v>
      </c>
      <c r="C19" s="24" t="s">
        <v>59</v>
      </c>
      <c r="D19" s="28">
        <v>221952</v>
      </c>
      <c r="E19" s="26">
        <v>1255.1385600000001</v>
      </c>
      <c r="F19" s="27">
        <v>1.96818934807546</v>
      </c>
    </row>
    <row r="20" spans="1:6" x14ac:dyDescent="0.2">
      <c r="A20" s="24" t="s">
        <v>77</v>
      </c>
      <c r="B20" s="24" t="s">
        <v>76</v>
      </c>
      <c r="C20" s="24" t="s">
        <v>78</v>
      </c>
      <c r="D20" s="28">
        <v>639633</v>
      </c>
      <c r="E20" s="26">
        <v>1215.942333</v>
      </c>
      <c r="F20" s="27">
        <v>1.90672553927801</v>
      </c>
    </row>
    <row r="21" spans="1:6" x14ac:dyDescent="0.2">
      <c r="A21" s="24" t="s">
        <v>198</v>
      </c>
      <c r="B21" s="24" t="s">
        <v>197</v>
      </c>
      <c r="C21" s="24" t="s">
        <v>66</v>
      </c>
      <c r="D21" s="28">
        <v>126875</v>
      </c>
      <c r="E21" s="26">
        <v>1186.979063</v>
      </c>
      <c r="F21" s="27">
        <v>1.86130808393393</v>
      </c>
    </row>
    <row r="22" spans="1:6" x14ac:dyDescent="0.2">
      <c r="A22" s="24" t="s">
        <v>200</v>
      </c>
      <c r="B22" s="24" t="s">
        <v>199</v>
      </c>
      <c r="C22" s="24" t="s">
        <v>201</v>
      </c>
      <c r="D22" s="28">
        <v>484134</v>
      </c>
      <c r="E22" s="26">
        <v>1082.281557</v>
      </c>
      <c r="F22" s="27">
        <v>1.6971313765596701</v>
      </c>
    </row>
    <row r="23" spans="1:6" x14ac:dyDescent="0.2">
      <c r="A23" s="24" t="s">
        <v>224</v>
      </c>
      <c r="B23" s="24" t="s">
        <v>223</v>
      </c>
      <c r="C23" s="24" t="s">
        <v>214</v>
      </c>
      <c r="D23" s="28">
        <v>1517846</v>
      </c>
      <c r="E23" s="26">
        <v>1041.242356</v>
      </c>
      <c r="F23" s="27">
        <v>1.63277759058267</v>
      </c>
    </row>
    <row r="24" spans="1:6" x14ac:dyDescent="0.2">
      <c r="A24" s="24" t="s">
        <v>239</v>
      </c>
      <c r="B24" s="24" t="s">
        <v>238</v>
      </c>
      <c r="C24" s="24" t="s">
        <v>86</v>
      </c>
      <c r="D24" s="28">
        <v>3209748</v>
      </c>
      <c r="E24" s="26">
        <v>934.03666799999996</v>
      </c>
      <c r="F24" s="27">
        <v>1.4646677898809</v>
      </c>
    </row>
    <row r="25" spans="1:6" x14ac:dyDescent="0.2">
      <c r="A25" s="24" t="s">
        <v>229</v>
      </c>
      <c r="B25" s="24" t="s">
        <v>228</v>
      </c>
      <c r="C25" s="24" t="s">
        <v>230</v>
      </c>
      <c r="D25" s="28">
        <v>136944</v>
      </c>
      <c r="E25" s="26">
        <v>855.96847200000002</v>
      </c>
      <c r="F25" s="27">
        <v>1.34224864295367</v>
      </c>
    </row>
    <row r="26" spans="1:6" x14ac:dyDescent="0.2">
      <c r="A26" s="24" t="s">
        <v>241</v>
      </c>
      <c r="B26" s="24" t="s">
        <v>240</v>
      </c>
      <c r="C26" s="24" t="s">
        <v>54</v>
      </c>
      <c r="D26" s="28">
        <v>294940</v>
      </c>
      <c r="E26" s="26">
        <v>797.96016999999995</v>
      </c>
      <c r="F26" s="27">
        <v>1.2512855208451901</v>
      </c>
    </row>
    <row r="27" spans="1:6" x14ac:dyDescent="0.2">
      <c r="A27" s="24" t="s">
        <v>179</v>
      </c>
      <c r="B27" s="24" t="s">
        <v>178</v>
      </c>
      <c r="C27" s="24" t="s">
        <v>75</v>
      </c>
      <c r="D27" s="28">
        <v>1002100</v>
      </c>
      <c r="E27" s="26">
        <v>795.66740000000004</v>
      </c>
      <c r="F27" s="27">
        <v>1.2476902162028201</v>
      </c>
    </row>
    <row r="28" spans="1:6" x14ac:dyDescent="0.2">
      <c r="A28" s="24" t="s">
        <v>157</v>
      </c>
      <c r="B28" s="24" t="s">
        <v>156</v>
      </c>
      <c r="C28" s="24" t="s">
        <v>78</v>
      </c>
      <c r="D28" s="28">
        <v>972460</v>
      </c>
      <c r="E28" s="26">
        <v>794.01359000000002</v>
      </c>
      <c r="F28" s="27">
        <v>1.2450968680821599</v>
      </c>
    </row>
    <row r="29" spans="1:6" x14ac:dyDescent="0.2">
      <c r="A29" s="24" t="s">
        <v>74</v>
      </c>
      <c r="B29" s="24" t="s">
        <v>73</v>
      </c>
      <c r="C29" s="24" t="s">
        <v>75</v>
      </c>
      <c r="D29" s="28">
        <v>99400</v>
      </c>
      <c r="E29" s="26">
        <v>786.90009999999995</v>
      </c>
      <c r="F29" s="27">
        <v>1.2339421671655999</v>
      </c>
    </row>
    <row r="30" spans="1:6" x14ac:dyDescent="0.2">
      <c r="A30" s="24" t="s">
        <v>243</v>
      </c>
      <c r="B30" s="24" t="s">
        <v>242</v>
      </c>
      <c r="C30" s="24" t="s">
        <v>75</v>
      </c>
      <c r="D30" s="28">
        <v>46395</v>
      </c>
      <c r="E30" s="26">
        <v>692.32938750000005</v>
      </c>
      <c r="F30" s="27">
        <v>1.0856453377044699</v>
      </c>
    </row>
    <row r="31" spans="1:6" x14ac:dyDescent="0.2">
      <c r="A31" s="24" t="s">
        <v>245</v>
      </c>
      <c r="B31" s="24" t="s">
        <v>244</v>
      </c>
      <c r="C31" s="24" t="s">
        <v>66</v>
      </c>
      <c r="D31" s="28">
        <v>140800</v>
      </c>
      <c r="E31" s="26">
        <v>690.76480000000004</v>
      </c>
      <c r="F31" s="27">
        <v>1.0831918998532499</v>
      </c>
    </row>
    <row r="32" spans="1:6" x14ac:dyDescent="0.2">
      <c r="A32" s="24" t="s">
        <v>115</v>
      </c>
      <c r="B32" s="24" t="s">
        <v>114</v>
      </c>
      <c r="C32" s="24" t="s">
        <v>99</v>
      </c>
      <c r="D32" s="28">
        <v>32930</v>
      </c>
      <c r="E32" s="26">
        <v>665.95985499999995</v>
      </c>
      <c r="F32" s="27">
        <v>1.04429513571544</v>
      </c>
    </row>
    <row r="33" spans="1:9" x14ac:dyDescent="0.2">
      <c r="A33" s="24" t="s">
        <v>216</v>
      </c>
      <c r="B33" s="24" t="s">
        <v>215</v>
      </c>
      <c r="C33" s="24" t="s">
        <v>132</v>
      </c>
      <c r="D33" s="28">
        <v>1505501</v>
      </c>
      <c r="E33" s="26">
        <v>642.09617649999996</v>
      </c>
      <c r="F33" s="27">
        <v>1.00687437650492</v>
      </c>
    </row>
    <row r="34" spans="1:9" x14ac:dyDescent="0.2">
      <c r="A34" s="24" t="s">
        <v>53</v>
      </c>
      <c r="B34" s="24" t="s">
        <v>52</v>
      </c>
      <c r="C34" s="24" t="s">
        <v>54</v>
      </c>
      <c r="D34" s="28">
        <v>20000</v>
      </c>
      <c r="E34" s="26">
        <v>624.15</v>
      </c>
      <c r="F34" s="27">
        <v>0.97873288316574303</v>
      </c>
    </row>
    <row r="35" spans="1:9" x14ac:dyDescent="0.2">
      <c r="A35" s="24" t="s">
        <v>205</v>
      </c>
      <c r="B35" s="24" t="s">
        <v>204</v>
      </c>
      <c r="C35" s="24" t="s">
        <v>48</v>
      </c>
      <c r="D35" s="28">
        <v>1505600</v>
      </c>
      <c r="E35" s="26">
        <v>618.04880000000003</v>
      </c>
      <c r="F35" s="27">
        <v>0.96916555949872296</v>
      </c>
    </row>
    <row r="36" spans="1:9" x14ac:dyDescent="0.2">
      <c r="A36" s="24" t="s">
        <v>195</v>
      </c>
      <c r="B36" s="24" t="s">
        <v>194</v>
      </c>
      <c r="C36" s="24" t="s">
        <v>196</v>
      </c>
      <c r="D36" s="28">
        <v>821499</v>
      </c>
      <c r="E36" s="26">
        <v>611.60600550000004</v>
      </c>
      <c r="F36" s="27">
        <v>0.9590625797076</v>
      </c>
    </row>
    <row r="37" spans="1:9" x14ac:dyDescent="0.2">
      <c r="A37" s="24" t="s">
        <v>247</v>
      </c>
      <c r="B37" s="24" t="s">
        <v>246</v>
      </c>
      <c r="C37" s="24" t="s">
        <v>165</v>
      </c>
      <c r="D37" s="28">
        <v>178656</v>
      </c>
      <c r="E37" s="26">
        <v>604.12526400000002</v>
      </c>
      <c r="F37" s="27">
        <v>0.94733198979089295</v>
      </c>
    </row>
    <row r="38" spans="1:9" x14ac:dyDescent="0.2">
      <c r="A38" s="24" t="s">
        <v>249</v>
      </c>
      <c r="B38" s="24" t="s">
        <v>248</v>
      </c>
      <c r="C38" s="24" t="s">
        <v>127</v>
      </c>
      <c r="D38" s="28">
        <v>709254</v>
      </c>
      <c r="E38" s="26">
        <v>567.40319999999997</v>
      </c>
      <c r="F38" s="27">
        <v>0.88974792894892096</v>
      </c>
    </row>
    <row r="39" spans="1:9" x14ac:dyDescent="0.2">
      <c r="A39" s="24" t="s">
        <v>251</v>
      </c>
      <c r="B39" s="24" t="s">
        <v>250</v>
      </c>
      <c r="C39" s="24" t="s">
        <v>99</v>
      </c>
      <c r="D39" s="28">
        <v>1239545</v>
      </c>
      <c r="E39" s="26">
        <v>533.6241225</v>
      </c>
      <c r="F39" s="27">
        <v>0.83677878064762401</v>
      </c>
    </row>
    <row r="40" spans="1:9" x14ac:dyDescent="0.2">
      <c r="A40" s="24" t="s">
        <v>192</v>
      </c>
      <c r="B40" s="24" t="s">
        <v>191</v>
      </c>
      <c r="C40" s="24" t="s">
        <v>193</v>
      </c>
      <c r="D40" s="28">
        <v>753071</v>
      </c>
      <c r="E40" s="26">
        <v>514.34749299999999</v>
      </c>
      <c r="F40" s="27">
        <v>0.80655099699264898</v>
      </c>
    </row>
    <row r="41" spans="1:9" x14ac:dyDescent="0.2">
      <c r="A41" s="24" t="s">
        <v>169</v>
      </c>
      <c r="B41" s="24" t="s">
        <v>168</v>
      </c>
      <c r="C41" s="24" t="s">
        <v>69</v>
      </c>
      <c r="D41" s="28">
        <v>621258</v>
      </c>
      <c r="E41" s="26">
        <v>475.57299899999998</v>
      </c>
      <c r="F41" s="27">
        <v>0.74574850992077102</v>
      </c>
    </row>
    <row r="42" spans="1:9" x14ac:dyDescent="0.2">
      <c r="A42" s="24" t="s">
        <v>98</v>
      </c>
      <c r="B42" s="24" t="s">
        <v>97</v>
      </c>
      <c r="C42" s="24" t="s">
        <v>99</v>
      </c>
      <c r="D42" s="28">
        <v>155566</v>
      </c>
      <c r="E42" s="26">
        <v>443.28531700000002</v>
      </c>
      <c r="F42" s="27">
        <v>0.69511802671224898</v>
      </c>
    </row>
    <row r="43" spans="1:9" x14ac:dyDescent="0.2">
      <c r="A43" s="24" t="s">
        <v>253</v>
      </c>
      <c r="B43" s="24" t="s">
        <v>252</v>
      </c>
      <c r="C43" s="24" t="s">
        <v>91</v>
      </c>
      <c r="D43" s="28">
        <v>100000</v>
      </c>
      <c r="E43" s="26">
        <v>408.55</v>
      </c>
      <c r="F43" s="27">
        <v>0.64064939424395495</v>
      </c>
    </row>
    <row r="44" spans="1:9" x14ac:dyDescent="0.2">
      <c r="A44" s="24" t="s">
        <v>186</v>
      </c>
      <c r="B44" s="24" t="s">
        <v>185</v>
      </c>
      <c r="C44" s="24" t="s">
        <v>99</v>
      </c>
      <c r="D44" s="28">
        <v>1158906</v>
      </c>
      <c r="E44" s="26">
        <v>358.68140699999998</v>
      </c>
      <c r="F44" s="27">
        <v>0.56245019243940597</v>
      </c>
    </row>
    <row r="45" spans="1:9" x14ac:dyDescent="0.2">
      <c r="A45" s="24" t="s">
        <v>222</v>
      </c>
      <c r="B45" s="24" t="s">
        <v>221</v>
      </c>
      <c r="C45" s="24" t="s">
        <v>59</v>
      </c>
      <c r="D45" s="28">
        <v>119545</v>
      </c>
      <c r="E45" s="26">
        <v>274.11668500000002</v>
      </c>
      <c r="F45" s="27">
        <v>0.42984380907455899</v>
      </c>
    </row>
    <row r="46" spans="1:9" x14ac:dyDescent="0.2">
      <c r="A46" s="24" t="s">
        <v>164</v>
      </c>
      <c r="B46" s="24" t="s">
        <v>163</v>
      </c>
      <c r="C46" s="24" t="s">
        <v>165</v>
      </c>
      <c r="D46" s="28">
        <v>439349</v>
      </c>
      <c r="E46" s="26">
        <v>261.63232950000003</v>
      </c>
      <c r="F46" s="27">
        <v>0.41026702584459601</v>
      </c>
    </row>
    <row r="47" spans="1:9" ht="10.5" x14ac:dyDescent="0.25">
      <c r="A47" s="23" t="s">
        <v>24</v>
      </c>
      <c r="B47" s="23"/>
      <c r="C47" s="23"/>
      <c r="D47" s="29"/>
      <c r="E47" s="30">
        <f>SUM(E6:E46)</f>
        <v>48550.818612499999</v>
      </c>
      <c r="F47" s="31">
        <f>SUM(F6:F46)</f>
        <v>76.132792887397471</v>
      </c>
      <c r="G47" s="15"/>
      <c r="H47" s="15"/>
      <c r="I47" s="15"/>
    </row>
    <row r="48" spans="1:9" x14ac:dyDescent="0.2">
      <c r="A48" s="24"/>
      <c r="B48" s="24"/>
      <c r="C48" s="24"/>
      <c r="D48" s="25"/>
      <c r="E48" s="26"/>
      <c r="F48" s="27"/>
    </row>
    <row r="49" spans="1:9" ht="10.5" x14ac:dyDescent="0.25">
      <c r="A49" s="23" t="s">
        <v>254</v>
      </c>
      <c r="B49" s="24"/>
      <c r="C49" s="24"/>
      <c r="D49" s="25"/>
      <c r="E49" s="26"/>
      <c r="F49" s="27"/>
    </row>
    <row r="50" spans="1:9" x14ac:dyDescent="0.2">
      <c r="A50" s="24" t="s">
        <v>182</v>
      </c>
      <c r="B50" s="24" t="s">
        <v>181</v>
      </c>
      <c r="C50" s="24"/>
      <c r="D50" s="28">
        <v>439200</v>
      </c>
      <c r="E50" s="26">
        <v>1540.4500800000001</v>
      </c>
      <c r="F50" s="27">
        <v>2.4155878365317598</v>
      </c>
    </row>
    <row r="51" spans="1:9" ht="10.5" x14ac:dyDescent="0.25">
      <c r="A51" s="23" t="s">
        <v>24</v>
      </c>
      <c r="B51" s="23"/>
      <c r="C51" s="23"/>
      <c r="D51" s="29"/>
      <c r="E51" s="30">
        <f>SUM(E49:E50)</f>
        <v>1540.4500800000001</v>
      </c>
      <c r="F51" s="31">
        <f>SUM(F49:F50)</f>
        <v>2.4155878365317598</v>
      </c>
      <c r="G51" s="15"/>
      <c r="H51" s="15"/>
      <c r="I51" s="15"/>
    </row>
    <row r="52" spans="1:9" x14ac:dyDescent="0.2">
      <c r="A52" s="24"/>
      <c r="B52" s="24"/>
      <c r="C52" s="24"/>
      <c r="D52" s="25"/>
      <c r="E52" s="26"/>
      <c r="F52" s="27"/>
    </row>
    <row r="53" spans="1:9" ht="10.5" x14ac:dyDescent="0.25">
      <c r="A53" s="23" t="s">
        <v>255</v>
      </c>
      <c r="B53" s="24"/>
      <c r="C53" s="24"/>
      <c r="D53" s="25"/>
      <c r="E53" s="26"/>
      <c r="F53" s="27"/>
    </row>
    <row r="54" spans="1:9" x14ac:dyDescent="0.2">
      <c r="A54" s="24" t="s">
        <v>257</v>
      </c>
      <c r="B54" s="24" t="s">
        <v>256</v>
      </c>
      <c r="C54" s="24" t="s">
        <v>196</v>
      </c>
      <c r="D54" s="28">
        <v>6075983</v>
      </c>
      <c r="E54" s="26">
        <v>2595.7670880000001</v>
      </c>
      <c r="F54" s="27">
        <v>4.0704359626131303</v>
      </c>
    </row>
    <row r="55" spans="1:9" x14ac:dyDescent="0.2">
      <c r="A55" s="24" t="s">
        <v>259</v>
      </c>
      <c r="B55" s="24" t="s">
        <v>258</v>
      </c>
      <c r="C55" s="24" t="s">
        <v>72</v>
      </c>
      <c r="D55" s="28">
        <v>851378</v>
      </c>
      <c r="E55" s="26">
        <v>1324.9865179999999</v>
      </c>
      <c r="F55" s="27">
        <v>2.0777182967521899</v>
      </c>
    </row>
    <row r="56" spans="1:9" x14ac:dyDescent="0.2">
      <c r="A56" s="24" t="s">
        <v>261</v>
      </c>
      <c r="B56" s="24" t="s">
        <v>260</v>
      </c>
      <c r="C56" s="24" t="s">
        <v>72</v>
      </c>
      <c r="D56" s="28">
        <v>31900</v>
      </c>
      <c r="E56" s="26">
        <v>1217.467934</v>
      </c>
      <c r="F56" s="27">
        <v>1.9091178421944399</v>
      </c>
    </row>
    <row r="57" spans="1:9" x14ac:dyDescent="0.2">
      <c r="A57" s="24" t="s">
        <v>263</v>
      </c>
      <c r="B57" s="24" t="s">
        <v>262</v>
      </c>
      <c r="C57" s="24" t="s">
        <v>214</v>
      </c>
      <c r="D57" s="28">
        <v>2562198</v>
      </c>
      <c r="E57" s="26">
        <v>1189.565137</v>
      </c>
      <c r="F57" s="27">
        <v>1.8653633201144999</v>
      </c>
    </row>
    <row r="58" spans="1:9" x14ac:dyDescent="0.2">
      <c r="A58" s="24" t="s">
        <v>265</v>
      </c>
      <c r="B58" s="24" t="s">
        <v>264</v>
      </c>
      <c r="C58" s="24" t="s">
        <v>59</v>
      </c>
      <c r="D58" s="28">
        <v>633055</v>
      </c>
      <c r="E58" s="26">
        <v>842.77606300000002</v>
      </c>
      <c r="F58" s="27">
        <v>1.3215615573228601</v>
      </c>
    </row>
    <row r="59" spans="1:9" x14ac:dyDescent="0.2">
      <c r="A59" s="24" t="s">
        <v>267</v>
      </c>
      <c r="B59" s="24" t="s">
        <v>266</v>
      </c>
      <c r="C59" s="24" t="s">
        <v>83</v>
      </c>
      <c r="D59" s="28">
        <v>3297307</v>
      </c>
      <c r="E59" s="26">
        <v>818.24661319999996</v>
      </c>
      <c r="F59" s="27">
        <v>1.28309679865071</v>
      </c>
    </row>
    <row r="60" spans="1:9" x14ac:dyDescent="0.2">
      <c r="A60" s="24" t="s">
        <v>269</v>
      </c>
      <c r="B60" s="24" t="s">
        <v>268</v>
      </c>
      <c r="C60" s="24" t="s">
        <v>270</v>
      </c>
      <c r="D60" s="28">
        <v>187038</v>
      </c>
      <c r="E60" s="26">
        <v>801.07851689999995</v>
      </c>
      <c r="F60" s="27">
        <v>1.25617541694733</v>
      </c>
    </row>
    <row r="61" spans="1:9" x14ac:dyDescent="0.2">
      <c r="A61" s="24" t="s">
        <v>272</v>
      </c>
      <c r="B61" s="24" t="s">
        <v>271</v>
      </c>
      <c r="C61" s="24" t="s">
        <v>214</v>
      </c>
      <c r="D61" s="28">
        <v>2017335</v>
      </c>
      <c r="E61" s="26">
        <v>734.23363749999999</v>
      </c>
      <c r="F61" s="27">
        <v>1.15135561154794</v>
      </c>
    </row>
    <row r="62" spans="1:9" x14ac:dyDescent="0.2">
      <c r="A62" s="24" t="s">
        <v>274</v>
      </c>
      <c r="B62" s="24" t="s">
        <v>273</v>
      </c>
      <c r="C62" s="24" t="s">
        <v>54</v>
      </c>
      <c r="D62" s="28">
        <v>5304</v>
      </c>
      <c r="E62" s="26">
        <v>644.85694479999995</v>
      </c>
      <c r="F62" s="27">
        <v>1.0112035517320499</v>
      </c>
    </row>
    <row r="63" spans="1:9" x14ac:dyDescent="0.2">
      <c r="A63" s="24" t="s">
        <v>276</v>
      </c>
      <c r="B63" s="24" t="s">
        <v>275</v>
      </c>
      <c r="C63" s="24" t="s">
        <v>54</v>
      </c>
      <c r="D63" s="28">
        <v>1678400</v>
      </c>
      <c r="E63" s="26">
        <v>617.4075302</v>
      </c>
      <c r="F63" s="27">
        <v>0.96815998096753497</v>
      </c>
    </row>
    <row r="64" spans="1:9" x14ac:dyDescent="0.2">
      <c r="A64" s="24" t="s">
        <v>278</v>
      </c>
      <c r="B64" s="24" t="s">
        <v>277</v>
      </c>
      <c r="C64" s="24" t="s">
        <v>75</v>
      </c>
      <c r="D64" s="28">
        <v>200000</v>
      </c>
      <c r="E64" s="26">
        <v>535.73731999999995</v>
      </c>
      <c r="F64" s="27">
        <v>0.84009249671246999</v>
      </c>
    </row>
    <row r="65" spans="1:9" x14ac:dyDescent="0.2">
      <c r="A65" s="24" t="s">
        <v>280</v>
      </c>
      <c r="B65" s="24" t="s">
        <v>279</v>
      </c>
      <c r="C65" s="24" t="s">
        <v>48</v>
      </c>
      <c r="D65" s="28">
        <v>300000</v>
      </c>
      <c r="E65" s="26">
        <v>481.00402129999998</v>
      </c>
      <c r="F65" s="27">
        <v>0.75426492442724602</v>
      </c>
    </row>
    <row r="66" spans="1:9" x14ac:dyDescent="0.2">
      <c r="A66" s="24" t="s">
        <v>282</v>
      </c>
      <c r="B66" s="24" t="s">
        <v>281</v>
      </c>
      <c r="C66" s="24" t="s">
        <v>283</v>
      </c>
      <c r="D66" s="28">
        <v>500000</v>
      </c>
      <c r="E66" s="26">
        <v>480.58929999999998</v>
      </c>
      <c r="F66" s="27">
        <v>0.75361459778515805</v>
      </c>
    </row>
    <row r="67" spans="1:9" x14ac:dyDescent="0.2">
      <c r="A67" s="24" t="s">
        <v>285</v>
      </c>
      <c r="B67" s="24" t="s">
        <v>284</v>
      </c>
      <c r="C67" s="24" t="s">
        <v>132</v>
      </c>
      <c r="D67" s="28">
        <v>25000</v>
      </c>
      <c r="E67" s="26">
        <v>385.00913750000001</v>
      </c>
      <c r="F67" s="27">
        <v>0.60373484449336101</v>
      </c>
    </row>
    <row r="68" spans="1:9" ht="10.5" x14ac:dyDescent="0.25">
      <c r="A68" s="23" t="s">
        <v>24</v>
      </c>
      <c r="B68" s="23"/>
      <c r="C68" s="23"/>
      <c r="D68" s="29"/>
      <c r="E68" s="30">
        <f>SUM(E53:E67)</f>
        <v>12668.725761399997</v>
      </c>
      <c r="F68" s="31">
        <f>SUM(F53:F67)</f>
        <v>19.865895202260923</v>
      </c>
      <c r="G68" s="15"/>
      <c r="H68" s="15"/>
      <c r="I68" s="15"/>
    </row>
    <row r="69" spans="1:9" x14ac:dyDescent="0.2">
      <c r="A69" s="24"/>
      <c r="B69" s="24"/>
      <c r="C69" s="24"/>
      <c r="D69" s="25"/>
      <c r="E69" s="26"/>
      <c r="F69" s="27"/>
    </row>
    <row r="70" spans="1:9" ht="10.5" x14ac:dyDescent="0.25">
      <c r="A70" s="23" t="s">
        <v>25</v>
      </c>
      <c r="B70" s="23"/>
      <c r="C70" s="23"/>
      <c r="D70" s="29"/>
      <c r="E70" s="30">
        <f>E47+E51+E68</f>
        <v>62759.994453899999</v>
      </c>
      <c r="F70" s="31">
        <f>F47+F51+F68</f>
        <v>98.414275926190157</v>
      </c>
      <c r="G70" s="15"/>
      <c r="H70" s="15"/>
      <c r="I70" s="15"/>
    </row>
    <row r="71" spans="1:9" ht="10.5" x14ac:dyDescent="0.25">
      <c r="A71" s="23"/>
      <c r="B71" s="23"/>
      <c r="C71" s="23"/>
      <c r="D71" s="29"/>
      <c r="E71" s="30"/>
      <c r="F71" s="31"/>
      <c r="G71" s="15"/>
      <c r="H71" s="15"/>
      <c r="I71" s="15"/>
    </row>
    <row r="72" spans="1:9" ht="10.5" x14ac:dyDescent="0.25">
      <c r="A72" s="23" t="s">
        <v>27</v>
      </c>
      <c r="B72" s="23"/>
      <c r="C72" s="23"/>
      <c r="D72" s="29"/>
      <c r="E72" s="30">
        <f>E74-(E47+E51+E68)</f>
        <v>1011.2357495000033</v>
      </c>
      <c r="F72" s="31">
        <f>F74-(F47+F51+F68)</f>
        <v>1.5857240738098426</v>
      </c>
      <c r="G72" s="15"/>
      <c r="H72" s="15"/>
      <c r="I72" s="15"/>
    </row>
    <row r="73" spans="1:9" ht="10.5" x14ac:dyDescent="0.25">
      <c r="A73" s="23"/>
      <c r="B73" s="23"/>
      <c r="C73" s="23"/>
      <c r="D73" s="29"/>
      <c r="E73" s="30"/>
      <c r="F73" s="31"/>
      <c r="G73" s="15"/>
      <c r="H73" s="15"/>
      <c r="I73" s="15"/>
    </row>
    <row r="74" spans="1:9" ht="10.5" x14ac:dyDescent="0.25">
      <c r="A74" s="32" t="s">
        <v>26</v>
      </c>
      <c r="B74" s="32"/>
      <c r="C74" s="32"/>
      <c r="D74" s="33"/>
      <c r="E74" s="34">
        <v>63771.230203400002</v>
      </c>
      <c r="F74" s="35">
        <v>100</v>
      </c>
      <c r="G74" s="15"/>
      <c r="H74" s="15"/>
      <c r="I74" s="15"/>
    </row>
    <row r="76" spans="1:9" ht="10.5" x14ac:dyDescent="0.25">
      <c r="A76" s="15" t="s">
        <v>28</v>
      </c>
    </row>
    <row r="77" spans="1:9" ht="10.5" x14ac:dyDescent="0.25">
      <c r="A77" s="15" t="s">
        <v>29</v>
      </c>
    </row>
    <row r="78" spans="1:9" ht="10.5" x14ac:dyDescent="0.25">
      <c r="A78" s="15" t="s">
        <v>30</v>
      </c>
      <c r="B78" s="15"/>
      <c r="C78" s="36" t="s">
        <v>32</v>
      </c>
      <c r="D78" s="16" t="s">
        <v>31</v>
      </c>
    </row>
    <row r="79" spans="1:9" x14ac:dyDescent="0.2">
      <c r="A79" s="9" t="s">
        <v>38</v>
      </c>
      <c r="C79" s="37">
        <v>45.267000000000003</v>
      </c>
      <c r="D79" s="37">
        <v>33.819699999999997</v>
      </c>
    </row>
    <row r="80" spans="1:9" x14ac:dyDescent="0.2">
      <c r="A80" s="9" t="s">
        <v>40</v>
      </c>
      <c r="C80" s="37">
        <v>13.843</v>
      </c>
      <c r="D80" s="37">
        <v>10.3423</v>
      </c>
    </row>
    <row r="81" spans="1:4" x14ac:dyDescent="0.2">
      <c r="A81" s="9" t="s">
        <v>39</v>
      </c>
      <c r="C81" s="37">
        <v>47.177900000000001</v>
      </c>
      <c r="D81" s="37">
        <v>35.423200000000001</v>
      </c>
    </row>
    <row r="82" spans="1:4" x14ac:dyDescent="0.2">
      <c r="A82" s="9" t="s">
        <v>41</v>
      </c>
      <c r="C82" s="37">
        <v>14.6248</v>
      </c>
      <c r="D82" s="37">
        <v>10.9794</v>
      </c>
    </row>
    <row r="84" spans="1:4" ht="10.5" x14ac:dyDescent="0.25">
      <c r="A84" s="15" t="s">
        <v>1882</v>
      </c>
      <c r="D84" s="41" t="s">
        <v>36</v>
      </c>
    </row>
    <row r="86" spans="1:4" ht="10.5" x14ac:dyDescent="0.25">
      <c r="A86" s="15" t="s">
        <v>175</v>
      </c>
      <c r="D86" s="42">
        <v>0.19350000000000001</v>
      </c>
    </row>
  </sheetData>
  <mergeCells count="1">
    <mergeCell ref="A1:F1"/>
  </mergeCells>
  <conditionalFormatting sqref="F4:F65536 F2">
    <cfRule type="cellIs" dxfId="2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2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6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32.7265625" style="9" bestFit="1" customWidth="1"/>
    <col min="3" max="3" width="26.81640625" style="9" bestFit="1" customWidth="1"/>
    <col min="4" max="4" width="15.453125" style="10" bestFit="1" customWidth="1"/>
    <col min="5" max="5" width="14" style="11" customWidth="1"/>
    <col min="6" max="6" width="9.54296875" style="14" customWidth="1"/>
    <col min="7" max="7" width="4.453125" style="9" bestFit="1" customWidth="1"/>
    <col min="8" max="16384" width="9.1796875" style="9"/>
  </cols>
  <sheetData>
    <row r="1" spans="1:6" s="1" customFormat="1" ht="14" x14ac:dyDescent="0.25">
      <c r="A1" s="88" t="s">
        <v>6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58</v>
      </c>
      <c r="B6" s="24" t="s">
        <v>57</v>
      </c>
      <c r="C6" s="24" t="s">
        <v>59</v>
      </c>
      <c r="D6" s="28">
        <v>922327</v>
      </c>
      <c r="E6" s="26">
        <v>5916.7277050000002</v>
      </c>
      <c r="F6" s="27">
        <v>28.336840689407001</v>
      </c>
    </row>
    <row r="7" spans="1:6" x14ac:dyDescent="0.2">
      <c r="A7" s="24" t="s">
        <v>287</v>
      </c>
      <c r="B7" s="24" t="s">
        <v>286</v>
      </c>
      <c r="C7" s="24" t="s">
        <v>59</v>
      </c>
      <c r="D7" s="28">
        <v>97732</v>
      </c>
      <c r="E7" s="26">
        <v>1784.6840520000001</v>
      </c>
      <c r="F7" s="27">
        <v>8.5473441036863491</v>
      </c>
    </row>
    <row r="8" spans="1:6" x14ac:dyDescent="0.2">
      <c r="A8" s="24" t="s">
        <v>184</v>
      </c>
      <c r="B8" s="24" t="s">
        <v>183</v>
      </c>
      <c r="C8" s="24" t="s">
        <v>59</v>
      </c>
      <c r="D8" s="28">
        <v>370716</v>
      </c>
      <c r="E8" s="26">
        <v>1617.8046240000001</v>
      </c>
      <c r="F8" s="27">
        <v>7.7481125011268501</v>
      </c>
    </row>
    <row r="9" spans="1:6" x14ac:dyDescent="0.2">
      <c r="A9" s="24" t="s">
        <v>50</v>
      </c>
      <c r="B9" s="24" t="s">
        <v>49</v>
      </c>
      <c r="C9" s="24" t="s">
        <v>51</v>
      </c>
      <c r="D9" s="28">
        <v>248973</v>
      </c>
      <c r="E9" s="26">
        <v>1097.721957</v>
      </c>
      <c r="F9" s="27">
        <v>5.2572931809058296</v>
      </c>
    </row>
    <row r="10" spans="1:6" x14ac:dyDescent="0.2">
      <c r="A10" s="24" t="s">
        <v>151</v>
      </c>
      <c r="B10" s="24" t="s">
        <v>150</v>
      </c>
      <c r="C10" s="24" t="s">
        <v>59</v>
      </c>
      <c r="D10" s="28">
        <v>193656</v>
      </c>
      <c r="E10" s="26">
        <v>1095.1246799999999</v>
      </c>
      <c r="F10" s="27">
        <v>5.2448541050779802</v>
      </c>
    </row>
    <row r="11" spans="1:6" x14ac:dyDescent="0.2">
      <c r="A11" s="24" t="s">
        <v>289</v>
      </c>
      <c r="B11" s="24" t="s">
        <v>288</v>
      </c>
      <c r="C11" s="24" t="s">
        <v>59</v>
      </c>
      <c r="D11" s="28">
        <v>46300</v>
      </c>
      <c r="E11" s="26">
        <v>942.22815000000003</v>
      </c>
      <c r="F11" s="27">
        <v>4.5125904572322604</v>
      </c>
    </row>
    <row r="12" spans="1:6" x14ac:dyDescent="0.2">
      <c r="A12" s="24" t="s">
        <v>222</v>
      </c>
      <c r="B12" s="24" t="s">
        <v>221</v>
      </c>
      <c r="C12" s="24" t="s">
        <v>59</v>
      </c>
      <c r="D12" s="28">
        <v>210143</v>
      </c>
      <c r="E12" s="26">
        <v>481.85789899999997</v>
      </c>
      <c r="F12" s="27">
        <v>2.3077503646748299</v>
      </c>
    </row>
    <row r="13" spans="1:6" x14ac:dyDescent="0.2">
      <c r="A13" s="24" t="s">
        <v>291</v>
      </c>
      <c r="B13" s="24" t="s">
        <v>290</v>
      </c>
      <c r="C13" s="24" t="s">
        <v>59</v>
      </c>
      <c r="D13" s="28">
        <v>30056</v>
      </c>
      <c r="E13" s="26">
        <v>429.45515599999999</v>
      </c>
      <c r="F13" s="27">
        <v>2.0567791768636798</v>
      </c>
    </row>
    <row r="14" spans="1:6" x14ac:dyDescent="0.2">
      <c r="A14" s="24" t="s">
        <v>293</v>
      </c>
      <c r="B14" s="24" t="s">
        <v>292</v>
      </c>
      <c r="C14" s="24" t="s">
        <v>59</v>
      </c>
      <c r="D14" s="28">
        <v>152370</v>
      </c>
      <c r="E14" s="26">
        <v>345.42279000000002</v>
      </c>
      <c r="F14" s="27">
        <v>1.6543250017148601</v>
      </c>
    </row>
    <row r="15" spans="1:6" x14ac:dyDescent="0.2">
      <c r="A15" s="24" t="s">
        <v>232</v>
      </c>
      <c r="B15" s="24" t="s">
        <v>231</v>
      </c>
      <c r="C15" s="24" t="s">
        <v>59</v>
      </c>
      <c r="D15" s="28">
        <v>72108</v>
      </c>
      <c r="E15" s="26">
        <v>263.48263200000002</v>
      </c>
      <c r="F15" s="27">
        <v>1.2618909876654001</v>
      </c>
    </row>
    <row r="16" spans="1:6" x14ac:dyDescent="0.2">
      <c r="A16" s="24" t="s">
        <v>295</v>
      </c>
      <c r="B16" s="24" t="s">
        <v>294</v>
      </c>
      <c r="C16" s="24" t="s">
        <v>51</v>
      </c>
      <c r="D16" s="28">
        <v>4779197</v>
      </c>
      <c r="E16" s="26">
        <v>148.15510699999999</v>
      </c>
      <c r="F16" s="27">
        <v>0.70955566551309701</v>
      </c>
    </row>
    <row r="17" spans="1:9" ht="10.5" x14ac:dyDescent="0.25">
      <c r="A17" s="23" t="s">
        <v>24</v>
      </c>
      <c r="B17" s="23"/>
      <c r="C17" s="23"/>
      <c r="D17" s="29"/>
      <c r="E17" s="30">
        <f>SUM(E6:E16)</f>
        <v>14122.664752000002</v>
      </c>
      <c r="F17" s="31">
        <f>SUM(F6:F16)</f>
        <v>67.63733623386814</v>
      </c>
      <c r="G17" s="15"/>
      <c r="H17" s="15"/>
      <c r="I17" s="15"/>
    </row>
    <row r="18" spans="1:9" x14ac:dyDescent="0.2">
      <c r="A18" s="24"/>
      <c r="B18" s="24"/>
      <c r="C18" s="24"/>
      <c r="D18" s="25"/>
      <c r="E18" s="26"/>
      <c r="F18" s="27"/>
    </row>
    <row r="19" spans="1:9" ht="10.5" x14ac:dyDescent="0.25">
      <c r="A19" s="23" t="s">
        <v>1891</v>
      </c>
      <c r="B19" s="24"/>
      <c r="C19" s="24"/>
      <c r="D19" s="25"/>
      <c r="E19" s="26"/>
      <c r="F19" s="27"/>
    </row>
    <row r="20" spans="1:9" x14ac:dyDescent="0.2">
      <c r="A20" s="24"/>
      <c r="B20" s="24" t="s">
        <v>1847</v>
      </c>
      <c r="C20" s="24" t="s">
        <v>59</v>
      </c>
      <c r="D20" s="28">
        <v>970000</v>
      </c>
      <c r="E20" s="26">
        <v>9.7000000000000003E-2</v>
      </c>
      <c r="F20" s="27">
        <v>4.6455975057795598E-4</v>
      </c>
    </row>
    <row r="21" spans="1:9" ht="10.5" x14ac:dyDescent="0.25">
      <c r="A21" s="23" t="s">
        <v>24</v>
      </c>
      <c r="B21" s="23"/>
      <c r="C21" s="23"/>
      <c r="D21" s="29"/>
      <c r="E21" s="30">
        <f>SUM(E19:E20)</f>
        <v>9.7000000000000003E-2</v>
      </c>
      <c r="F21" s="31">
        <f>SUM(F19:F20)</f>
        <v>4.6455975057795598E-4</v>
      </c>
      <c r="G21" s="15"/>
      <c r="H21" s="15"/>
      <c r="I21" s="15"/>
    </row>
    <row r="22" spans="1:9" x14ac:dyDescent="0.2">
      <c r="A22" s="24"/>
      <c r="B22" s="24"/>
      <c r="C22" s="24"/>
      <c r="D22" s="25"/>
      <c r="E22" s="26"/>
      <c r="F22" s="27"/>
    </row>
    <row r="23" spans="1:9" ht="10.5" x14ac:dyDescent="0.25">
      <c r="A23" s="23" t="s">
        <v>255</v>
      </c>
      <c r="B23" s="24"/>
      <c r="C23" s="24"/>
      <c r="D23" s="25"/>
      <c r="E23" s="26"/>
      <c r="F23" s="27"/>
    </row>
    <row r="24" spans="1:9" x14ac:dyDescent="0.2">
      <c r="A24" s="24" t="s">
        <v>297</v>
      </c>
      <c r="B24" s="24" t="s">
        <v>296</v>
      </c>
      <c r="C24" s="24" t="s">
        <v>59</v>
      </c>
      <c r="D24" s="28">
        <v>22500</v>
      </c>
      <c r="E24" s="26">
        <v>788.93861630000004</v>
      </c>
      <c r="F24" s="27">
        <v>3.7784446062850101</v>
      </c>
    </row>
    <row r="25" spans="1:9" x14ac:dyDescent="0.2">
      <c r="A25" s="24" t="s">
        <v>299</v>
      </c>
      <c r="B25" s="24" t="s">
        <v>298</v>
      </c>
      <c r="C25" s="24" t="s">
        <v>283</v>
      </c>
      <c r="D25" s="28">
        <v>88000</v>
      </c>
      <c r="E25" s="26">
        <v>600.41291200000001</v>
      </c>
      <c r="F25" s="27">
        <v>2.87554301693303</v>
      </c>
    </row>
    <row r="26" spans="1:9" x14ac:dyDescent="0.2">
      <c r="A26" s="24" t="s">
        <v>301</v>
      </c>
      <c r="B26" s="24" t="s">
        <v>300</v>
      </c>
      <c r="C26" s="24" t="s">
        <v>283</v>
      </c>
      <c r="D26" s="28">
        <v>17000</v>
      </c>
      <c r="E26" s="26">
        <v>500.21311930000002</v>
      </c>
      <c r="F26" s="27">
        <v>2.3956585766786498</v>
      </c>
    </row>
    <row r="27" spans="1:9" x14ac:dyDescent="0.2">
      <c r="A27" s="24" t="s">
        <v>303</v>
      </c>
      <c r="B27" s="24" t="s">
        <v>302</v>
      </c>
      <c r="C27" s="24" t="s">
        <v>59</v>
      </c>
      <c r="D27" s="28">
        <v>22500</v>
      </c>
      <c r="E27" s="26">
        <v>416.96433000000002</v>
      </c>
      <c r="F27" s="27">
        <v>1.9969571664402499</v>
      </c>
    </row>
    <row r="28" spans="1:9" x14ac:dyDescent="0.2">
      <c r="A28" s="24" t="s">
        <v>305</v>
      </c>
      <c r="B28" s="24" t="s">
        <v>304</v>
      </c>
      <c r="C28" s="24" t="s">
        <v>59</v>
      </c>
      <c r="D28" s="28">
        <v>280</v>
      </c>
      <c r="E28" s="26">
        <v>411.9251433</v>
      </c>
      <c r="F28" s="27">
        <v>1.97282311163131</v>
      </c>
    </row>
    <row r="29" spans="1:9" x14ac:dyDescent="0.2">
      <c r="A29" s="24" t="s">
        <v>307</v>
      </c>
      <c r="B29" s="24" t="s">
        <v>306</v>
      </c>
      <c r="C29" s="24" t="s">
        <v>283</v>
      </c>
      <c r="D29" s="28">
        <v>2000</v>
      </c>
      <c r="E29" s="26">
        <v>397.79876000000002</v>
      </c>
      <c r="F29" s="27">
        <v>1.9051679662455701</v>
      </c>
    </row>
    <row r="30" spans="1:9" x14ac:dyDescent="0.2">
      <c r="A30" s="24" t="s">
        <v>309</v>
      </c>
      <c r="B30" s="24" t="s">
        <v>308</v>
      </c>
      <c r="C30" s="24" t="s">
        <v>310</v>
      </c>
      <c r="D30" s="28">
        <v>6000</v>
      </c>
      <c r="E30" s="26">
        <v>306.27184499999998</v>
      </c>
      <c r="F30" s="27">
        <v>1.4668203290953701</v>
      </c>
    </row>
    <row r="31" spans="1:9" x14ac:dyDescent="0.2">
      <c r="A31" s="24" t="s">
        <v>312</v>
      </c>
      <c r="B31" s="24" t="s">
        <v>311</v>
      </c>
      <c r="C31" s="24" t="s">
        <v>59</v>
      </c>
      <c r="D31" s="28">
        <v>267</v>
      </c>
      <c r="E31" s="26">
        <v>234.0920825</v>
      </c>
      <c r="F31" s="27">
        <v>1.1211315408090099</v>
      </c>
    </row>
    <row r="32" spans="1:9" x14ac:dyDescent="0.2">
      <c r="A32" s="24" t="s">
        <v>314</v>
      </c>
      <c r="B32" s="24" t="s">
        <v>313</v>
      </c>
      <c r="C32" s="24" t="s">
        <v>283</v>
      </c>
      <c r="D32" s="28">
        <v>23000</v>
      </c>
      <c r="E32" s="26">
        <v>233.67539529999999</v>
      </c>
      <c r="F32" s="27">
        <v>1.11913591089457</v>
      </c>
    </row>
    <row r="33" spans="1:9" x14ac:dyDescent="0.2">
      <c r="A33" s="24" t="s">
        <v>316</v>
      </c>
      <c r="B33" s="24" t="s">
        <v>315</v>
      </c>
      <c r="C33" s="24" t="s">
        <v>59</v>
      </c>
      <c r="D33" s="28">
        <v>1100</v>
      </c>
      <c r="E33" s="26">
        <v>130.9000886</v>
      </c>
      <c r="F33" s="27">
        <v>0.62691662382111701</v>
      </c>
    </row>
    <row r="34" spans="1:9" x14ac:dyDescent="0.2">
      <c r="A34" s="24" t="s">
        <v>318</v>
      </c>
      <c r="B34" s="24" t="s">
        <v>317</v>
      </c>
      <c r="C34" s="24" t="s">
        <v>283</v>
      </c>
      <c r="D34" s="28">
        <v>640</v>
      </c>
      <c r="E34" s="26">
        <v>122.79969250000001</v>
      </c>
      <c r="F34" s="27">
        <v>0.58812159297783195</v>
      </c>
    </row>
    <row r="35" spans="1:9" x14ac:dyDescent="0.2">
      <c r="A35" s="24" t="s">
        <v>320</v>
      </c>
      <c r="B35" s="24" t="s">
        <v>319</v>
      </c>
      <c r="C35" s="24" t="s">
        <v>59</v>
      </c>
      <c r="D35" s="28">
        <v>7500</v>
      </c>
      <c r="E35" s="26">
        <v>67.6548394</v>
      </c>
      <c r="F35" s="27">
        <v>0.32401768368098599</v>
      </c>
    </row>
    <row r="36" spans="1:9" ht="10.5" x14ac:dyDescent="0.25">
      <c r="A36" s="23" t="s">
        <v>24</v>
      </c>
      <c r="B36" s="23"/>
      <c r="C36" s="23"/>
      <c r="D36" s="29"/>
      <c r="E36" s="30">
        <f>SUM(E23:E35)</f>
        <v>4211.6468242000001</v>
      </c>
      <c r="F36" s="31">
        <f>SUM(F23:F35)</f>
        <v>20.170738125492704</v>
      </c>
      <c r="G36" s="15"/>
      <c r="H36" s="15"/>
      <c r="I36" s="15"/>
    </row>
    <row r="37" spans="1:9" x14ac:dyDescent="0.2">
      <c r="A37" s="24"/>
      <c r="B37" s="24"/>
      <c r="C37" s="24"/>
      <c r="D37" s="25"/>
      <c r="E37" s="26"/>
      <c r="F37" s="27"/>
    </row>
    <row r="38" spans="1:9" ht="10.5" x14ac:dyDescent="0.25">
      <c r="A38" s="23" t="s">
        <v>321</v>
      </c>
      <c r="B38" s="24"/>
      <c r="C38" s="24"/>
      <c r="D38" s="25"/>
      <c r="E38" s="26"/>
      <c r="F38" s="27"/>
    </row>
    <row r="39" spans="1:9" x14ac:dyDescent="0.2">
      <c r="A39" s="24" t="s">
        <v>322</v>
      </c>
      <c r="B39" s="24" t="s">
        <v>6</v>
      </c>
      <c r="C39" s="24" t="s">
        <v>323</v>
      </c>
      <c r="D39" s="28">
        <v>91868.481</v>
      </c>
      <c r="E39" s="26">
        <v>2106.6154230000002</v>
      </c>
      <c r="F39" s="27">
        <v>10.0891622213666</v>
      </c>
    </row>
    <row r="40" spans="1:9" ht="10.5" x14ac:dyDescent="0.25">
      <c r="A40" s="23" t="s">
        <v>24</v>
      </c>
      <c r="B40" s="23"/>
      <c r="C40" s="23"/>
      <c r="D40" s="29"/>
      <c r="E40" s="30">
        <f>SUM(E39:E39)</f>
        <v>2106.6154230000002</v>
      </c>
      <c r="F40" s="31">
        <f>SUM(F39:F39)</f>
        <v>10.0891622213666</v>
      </c>
      <c r="G40" s="15"/>
      <c r="H40" s="15"/>
      <c r="I40" s="15"/>
    </row>
    <row r="41" spans="1:9" x14ac:dyDescent="0.2">
      <c r="A41" s="24"/>
      <c r="B41" s="24"/>
      <c r="C41" s="24"/>
      <c r="D41" s="25"/>
      <c r="E41" s="26"/>
      <c r="F41" s="27"/>
    </row>
    <row r="42" spans="1:9" ht="10.5" x14ac:dyDescent="0.25">
      <c r="A42" s="23" t="s">
        <v>25</v>
      </c>
      <c r="B42" s="23"/>
      <c r="C42" s="23"/>
      <c r="D42" s="29"/>
      <c r="E42" s="30">
        <f>E17+E21+E36+E40</f>
        <v>20441.023999200002</v>
      </c>
      <c r="F42" s="31">
        <f>F17+F21+F36+F40</f>
        <v>97.897701140478034</v>
      </c>
      <c r="G42" s="15"/>
      <c r="H42" s="15"/>
      <c r="I42" s="15"/>
    </row>
    <row r="43" spans="1:9" ht="10.5" x14ac:dyDescent="0.25">
      <c r="A43" s="23"/>
      <c r="B43" s="23"/>
      <c r="C43" s="23"/>
      <c r="D43" s="29"/>
      <c r="E43" s="30"/>
      <c r="F43" s="31"/>
      <c r="G43" s="15"/>
      <c r="H43" s="15"/>
      <c r="I43" s="15"/>
    </row>
    <row r="44" spans="1:9" ht="10.5" x14ac:dyDescent="0.25">
      <c r="A44" s="23" t="s">
        <v>27</v>
      </c>
      <c r="B44" s="23"/>
      <c r="C44" s="23"/>
      <c r="D44" s="29"/>
      <c r="E44" s="30">
        <f>E46-(E17+E21+E36+E40)</f>
        <v>438.95965829999841</v>
      </c>
      <c r="F44" s="31">
        <f>F46-(F17+F21+F36+F40)</f>
        <v>2.1022988595219658</v>
      </c>
      <c r="G44" s="15"/>
      <c r="H44" s="15"/>
      <c r="I44" s="15"/>
    </row>
    <row r="45" spans="1:9" ht="10.5" x14ac:dyDescent="0.25">
      <c r="A45" s="23"/>
      <c r="B45" s="23"/>
      <c r="C45" s="23"/>
      <c r="D45" s="29"/>
      <c r="E45" s="30"/>
      <c r="F45" s="31"/>
      <c r="G45" s="15"/>
      <c r="H45" s="15"/>
      <c r="I45" s="15"/>
    </row>
    <row r="46" spans="1:9" ht="10.5" x14ac:dyDescent="0.25">
      <c r="A46" s="32" t="s">
        <v>26</v>
      </c>
      <c r="B46" s="32"/>
      <c r="C46" s="32"/>
      <c r="D46" s="33"/>
      <c r="E46" s="34">
        <v>20879.983657500001</v>
      </c>
      <c r="F46" s="35">
        <v>100</v>
      </c>
      <c r="G46" s="15"/>
      <c r="H46" s="15"/>
      <c r="I46" s="15"/>
    </row>
    <row r="47" spans="1:9" ht="15" customHeight="1" x14ac:dyDescent="0.25">
      <c r="A47" s="15" t="s">
        <v>872</v>
      </c>
      <c r="E47" s="99" t="s">
        <v>37</v>
      </c>
      <c r="F47" s="99"/>
    </row>
    <row r="48" spans="1:9" ht="15" customHeight="1" x14ac:dyDescent="0.25">
      <c r="A48" s="15"/>
      <c r="E48" s="43"/>
      <c r="F48" s="43"/>
    </row>
    <row r="49" spans="1:4" ht="10.5" x14ac:dyDescent="0.25">
      <c r="A49" s="15" t="s">
        <v>28</v>
      </c>
    </row>
    <row r="50" spans="1:4" ht="10.5" x14ac:dyDescent="0.25">
      <c r="A50" s="15" t="s">
        <v>29</v>
      </c>
    </row>
    <row r="51" spans="1:4" ht="10.5" x14ac:dyDescent="0.25">
      <c r="A51" s="15" t="s">
        <v>30</v>
      </c>
      <c r="B51" s="15"/>
      <c r="C51" s="36" t="s">
        <v>32</v>
      </c>
      <c r="D51" s="16" t="s">
        <v>31</v>
      </c>
    </row>
    <row r="52" spans="1:4" x14ac:dyDescent="0.2">
      <c r="A52" s="9" t="s">
        <v>38</v>
      </c>
      <c r="C52" s="37">
        <v>158.6422</v>
      </c>
      <c r="D52" s="37">
        <v>140.33590000000001</v>
      </c>
    </row>
    <row r="53" spans="1:4" x14ac:dyDescent="0.2">
      <c r="A53" s="9" t="s">
        <v>40</v>
      </c>
      <c r="C53" s="37">
        <v>25.129100000000001</v>
      </c>
      <c r="D53" s="37">
        <v>20.474</v>
      </c>
    </row>
    <row r="54" spans="1:4" x14ac:dyDescent="0.2">
      <c r="A54" s="9" t="s">
        <v>39</v>
      </c>
      <c r="C54" s="37">
        <v>164.9068</v>
      </c>
      <c r="D54" s="37">
        <v>146.55160000000001</v>
      </c>
    </row>
    <row r="55" spans="1:4" x14ac:dyDescent="0.2">
      <c r="A55" s="9" t="s">
        <v>41</v>
      </c>
      <c r="C55" s="37">
        <v>26.246200000000002</v>
      </c>
      <c r="D55" s="37">
        <v>21.5626</v>
      </c>
    </row>
    <row r="57" spans="1:4" ht="10.5" x14ac:dyDescent="0.25">
      <c r="A57" s="15" t="s">
        <v>1882</v>
      </c>
    </row>
    <row r="58" spans="1:4" ht="10.5" x14ac:dyDescent="0.25">
      <c r="A58" s="90" t="s">
        <v>33</v>
      </c>
      <c r="B58" s="91"/>
      <c r="C58" s="92" t="s">
        <v>1883</v>
      </c>
      <c r="D58" s="93"/>
    </row>
    <row r="59" spans="1:4" ht="10.5" x14ac:dyDescent="0.25">
      <c r="A59" s="90"/>
      <c r="B59" s="91"/>
      <c r="C59" s="38" t="s">
        <v>34</v>
      </c>
      <c r="D59" s="39" t="s">
        <v>35</v>
      </c>
    </row>
    <row r="60" spans="1:4" x14ac:dyDescent="0.2">
      <c r="A60" s="96" t="s">
        <v>40</v>
      </c>
      <c r="B60" s="97"/>
      <c r="C60" s="40">
        <v>1.77081694</v>
      </c>
      <c r="D60" s="40">
        <v>1.77081694</v>
      </c>
    </row>
    <row r="61" spans="1:4" x14ac:dyDescent="0.2">
      <c r="A61" s="96" t="s">
        <v>41</v>
      </c>
      <c r="B61" s="97"/>
      <c r="C61" s="40">
        <v>1.77081694</v>
      </c>
      <c r="D61" s="40">
        <v>1.77081694</v>
      </c>
    </row>
    <row r="63" spans="1:4" ht="10.5" x14ac:dyDescent="0.25">
      <c r="A63" s="15" t="s">
        <v>175</v>
      </c>
      <c r="D63" s="42">
        <v>0.1469</v>
      </c>
    </row>
    <row r="65" spans="1:1" ht="10.5" x14ac:dyDescent="0.25">
      <c r="A65" s="61" t="s">
        <v>1834</v>
      </c>
    </row>
  </sheetData>
  <mergeCells count="7">
    <mergeCell ref="A61:B61"/>
    <mergeCell ref="E47:F47"/>
    <mergeCell ref="A1:F1"/>
    <mergeCell ref="C58:D58"/>
    <mergeCell ref="A58:B58"/>
    <mergeCell ref="A59:B59"/>
    <mergeCell ref="A60:B60"/>
  </mergeCells>
  <conditionalFormatting sqref="F4:F46 F49:F65536 F2">
    <cfRule type="cellIs" dxfId="26" priority="2" stopIfTrue="1" operator="between">
      <formula>0.009</formula>
      <formula>-0.009</formula>
    </cfRule>
  </conditionalFormatting>
  <conditionalFormatting sqref="E47:E48">
    <cfRule type="cellIs" dxfId="25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0" orientation="portrait" r:id="rId1"/>
  <headerFooter>
    <evenFooter>&amp;LPUBLIC</evenFooter>
    <firstFooter>&amp;LPUBLIC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01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32.26953125" style="9" bestFit="1" customWidth="1"/>
    <col min="3" max="3" width="35.7265625" style="9" bestFit="1" customWidth="1"/>
    <col min="4" max="4" width="15.453125" style="10" bestFit="1" customWidth="1"/>
    <col min="5" max="5" width="14.7265625" style="11" customWidth="1"/>
    <col min="6" max="6" width="8.81640625" style="14" customWidth="1"/>
    <col min="7" max="7" width="5.81640625" style="9" bestFit="1" customWidth="1"/>
    <col min="8" max="8" width="9.54296875" style="9" bestFit="1" customWidth="1"/>
    <col min="9" max="16384" width="9.1796875" style="9"/>
  </cols>
  <sheetData>
    <row r="1" spans="1:6" s="1" customFormat="1" ht="14" x14ac:dyDescent="0.25">
      <c r="A1" s="88" t="s">
        <v>7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325</v>
      </c>
      <c r="B6" s="24" t="s">
        <v>324</v>
      </c>
      <c r="C6" s="24" t="s">
        <v>201</v>
      </c>
      <c r="D6" s="28">
        <v>5710489</v>
      </c>
      <c r="E6" s="26">
        <v>21988.23789</v>
      </c>
      <c r="F6" s="27">
        <v>4.8795775141016202</v>
      </c>
    </row>
    <row r="7" spans="1:6" x14ac:dyDescent="0.2">
      <c r="A7" s="24" t="s">
        <v>327</v>
      </c>
      <c r="B7" s="24" t="s">
        <v>326</v>
      </c>
      <c r="C7" s="24" t="s">
        <v>54</v>
      </c>
      <c r="D7" s="28">
        <v>3462587</v>
      </c>
      <c r="E7" s="26">
        <v>17624.56783</v>
      </c>
      <c r="F7" s="27">
        <v>3.9112022213539399</v>
      </c>
    </row>
    <row r="8" spans="1:6" x14ac:dyDescent="0.2">
      <c r="A8" s="24" t="s">
        <v>58</v>
      </c>
      <c r="B8" s="24" t="s">
        <v>57</v>
      </c>
      <c r="C8" s="24" t="s">
        <v>59</v>
      </c>
      <c r="D8" s="28">
        <v>2703918</v>
      </c>
      <c r="E8" s="26">
        <v>17345.633969999999</v>
      </c>
      <c r="F8" s="27">
        <v>3.8493018818184699</v>
      </c>
    </row>
    <row r="9" spans="1:6" x14ac:dyDescent="0.2">
      <c r="A9" s="24" t="s">
        <v>47</v>
      </c>
      <c r="B9" s="24" t="s">
        <v>46</v>
      </c>
      <c r="C9" s="24" t="s">
        <v>48</v>
      </c>
      <c r="D9" s="28">
        <v>1649964</v>
      </c>
      <c r="E9" s="26">
        <v>14221.039720000001</v>
      </c>
      <c r="F9" s="27">
        <v>3.15589934909777</v>
      </c>
    </row>
    <row r="10" spans="1:6" x14ac:dyDescent="0.2">
      <c r="A10" s="24" t="s">
        <v>329</v>
      </c>
      <c r="B10" s="24" t="s">
        <v>328</v>
      </c>
      <c r="C10" s="24" t="s">
        <v>330</v>
      </c>
      <c r="D10" s="28">
        <v>2832329</v>
      </c>
      <c r="E10" s="26">
        <v>13854.337299999999</v>
      </c>
      <c r="F10" s="27">
        <v>3.0745216192428302</v>
      </c>
    </row>
    <row r="11" spans="1:6" x14ac:dyDescent="0.2">
      <c r="A11" s="24" t="s">
        <v>332</v>
      </c>
      <c r="B11" s="24" t="s">
        <v>331</v>
      </c>
      <c r="C11" s="24" t="s">
        <v>333</v>
      </c>
      <c r="D11" s="28">
        <v>9599486</v>
      </c>
      <c r="E11" s="26">
        <v>12493.731030000001</v>
      </c>
      <c r="F11" s="27">
        <v>2.77257910825803</v>
      </c>
    </row>
    <row r="12" spans="1:6" x14ac:dyDescent="0.2">
      <c r="A12" s="24" t="s">
        <v>82</v>
      </c>
      <c r="B12" s="24" t="s">
        <v>81</v>
      </c>
      <c r="C12" s="24" t="s">
        <v>83</v>
      </c>
      <c r="D12" s="28">
        <v>2521141</v>
      </c>
      <c r="E12" s="26">
        <v>12023.32143</v>
      </c>
      <c r="F12" s="27">
        <v>2.6681869273993102</v>
      </c>
    </row>
    <row r="13" spans="1:6" x14ac:dyDescent="0.2">
      <c r="A13" s="24" t="s">
        <v>77</v>
      </c>
      <c r="B13" s="24" t="s">
        <v>76</v>
      </c>
      <c r="C13" s="24" t="s">
        <v>78</v>
      </c>
      <c r="D13" s="28">
        <v>6289744</v>
      </c>
      <c r="E13" s="26">
        <v>11956.80334</v>
      </c>
      <c r="F13" s="27">
        <v>2.6534253908965302</v>
      </c>
    </row>
    <row r="14" spans="1:6" x14ac:dyDescent="0.2">
      <c r="A14" s="24" t="s">
        <v>335</v>
      </c>
      <c r="B14" s="24" t="s">
        <v>334</v>
      </c>
      <c r="C14" s="24" t="s">
        <v>201</v>
      </c>
      <c r="D14" s="28">
        <v>285642</v>
      </c>
      <c r="E14" s="26">
        <v>11392.68835</v>
      </c>
      <c r="F14" s="27">
        <v>2.5282383325091198</v>
      </c>
    </row>
    <row r="15" spans="1:6" x14ac:dyDescent="0.2">
      <c r="A15" s="24" t="s">
        <v>229</v>
      </c>
      <c r="B15" s="24" t="s">
        <v>228</v>
      </c>
      <c r="C15" s="24" t="s">
        <v>230</v>
      </c>
      <c r="D15" s="28">
        <v>1655675</v>
      </c>
      <c r="E15" s="26">
        <v>10348.79659</v>
      </c>
      <c r="F15" s="27">
        <v>2.2965803531505999</v>
      </c>
    </row>
    <row r="16" spans="1:6" x14ac:dyDescent="0.2">
      <c r="A16" s="24" t="s">
        <v>337</v>
      </c>
      <c r="B16" s="24" t="s">
        <v>336</v>
      </c>
      <c r="C16" s="24" t="s">
        <v>72</v>
      </c>
      <c r="D16" s="28">
        <v>10263765</v>
      </c>
      <c r="E16" s="26">
        <v>9463.1913299999997</v>
      </c>
      <c r="F16" s="27">
        <v>2.1000489378237002</v>
      </c>
    </row>
    <row r="17" spans="1:6" x14ac:dyDescent="0.2">
      <c r="A17" s="24" t="s">
        <v>339</v>
      </c>
      <c r="B17" s="24" t="s">
        <v>338</v>
      </c>
      <c r="C17" s="24" t="s">
        <v>72</v>
      </c>
      <c r="D17" s="28">
        <v>5292185</v>
      </c>
      <c r="E17" s="26">
        <v>9388.33619</v>
      </c>
      <c r="F17" s="27">
        <v>2.0834372629916298</v>
      </c>
    </row>
    <row r="18" spans="1:6" x14ac:dyDescent="0.2">
      <c r="A18" s="24" t="s">
        <v>341</v>
      </c>
      <c r="B18" s="24" t="s">
        <v>340</v>
      </c>
      <c r="C18" s="24" t="s">
        <v>54</v>
      </c>
      <c r="D18" s="28">
        <v>2486330</v>
      </c>
      <c r="E18" s="26">
        <v>9172.0713699999997</v>
      </c>
      <c r="F18" s="27">
        <v>2.0354442879272998</v>
      </c>
    </row>
    <row r="19" spans="1:6" x14ac:dyDescent="0.2">
      <c r="A19" s="24" t="s">
        <v>61</v>
      </c>
      <c r="B19" s="24" t="s">
        <v>60</v>
      </c>
      <c r="C19" s="24" t="s">
        <v>48</v>
      </c>
      <c r="D19" s="28">
        <v>673158</v>
      </c>
      <c r="E19" s="26">
        <v>8724.4642590000003</v>
      </c>
      <c r="F19" s="27">
        <v>1.93611238125456</v>
      </c>
    </row>
    <row r="20" spans="1:6" x14ac:dyDescent="0.2">
      <c r="A20" s="24" t="s">
        <v>56</v>
      </c>
      <c r="B20" s="24" t="s">
        <v>55</v>
      </c>
      <c r="C20" s="24" t="s">
        <v>48</v>
      </c>
      <c r="D20" s="28">
        <v>2299441</v>
      </c>
      <c r="E20" s="26">
        <v>8714.8813900000005</v>
      </c>
      <c r="F20" s="27">
        <v>1.9339857737325299</v>
      </c>
    </row>
    <row r="21" spans="1:6" x14ac:dyDescent="0.2">
      <c r="A21" s="24" t="s">
        <v>343</v>
      </c>
      <c r="B21" s="24" t="s">
        <v>342</v>
      </c>
      <c r="C21" s="24" t="s">
        <v>83</v>
      </c>
      <c r="D21" s="28">
        <v>1882960</v>
      </c>
      <c r="E21" s="26">
        <v>8651.25972</v>
      </c>
      <c r="F21" s="27">
        <v>1.9198670038750001</v>
      </c>
    </row>
    <row r="22" spans="1:6" x14ac:dyDescent="0.2">
      <c r="A22" s="24" t="s">
        <v>211</v>
      </c>
      <c r="B22" s="24" t="s">
        <v>210</v>
      </c>
      <c r="C22" s="24" t="s">
        <v>110</v>
      </c>
      <c r="D22" s="28">
        <v>4112021</v>
      </c>
      <c r="E22" s="26">
        <v>8378.2427879999996</v>
      </c>
      <c r="F22" s="27">
        <v>1.8592797349441801</v>
      </c>
    </row>
    <row r="23" spans="1:6" x14ac:dyDescent="0.2">
      <c r="A23" s="24" t="s">
        <v>345</v>
      </c>
      <c r="B23" s="24" t="s">
        <v>344</v>
      </c>
      <c r="C23" s="24" t="s">
        <v>78</v>
      </c>
      <c r="D23" s="28">
        <v>1497004</v>
      </c>
      <c r="E23" s="26">
        <v>7705.82809</v>
      </c>
      <c r="F23" s="27">
        <v>1.7100590626499099</v>
      </c>
    </row>
    <row r="24" spans="1:6" x14ac:dyDescent="0.2">
      <c r="A24" s="24" t="s">
        <v>222</v>
      </c>
      <c r="B24" s="24" t="s">
        <v>221</v>
      </c>
      <c r="C24" s="24" t="s">
        <v>59</v>
      </c>
      <c r="D24" s="28">
        <v>3303552</v>
      </c>
      <c r="E24" s="26">
        <v>7575.0447359999998</v>
      </c>
      <c r="F24" s="27">
        <v>1.68103593143813</v>
      </c>
    </row>
    <row r="25" spans="1:6" x14ac:dyDescent="0.2">
      <c r="A25" s="24" t="s">
        <v>347</v>
      </c>
      <c r="B25" s="24" t="s">
        <v>346</v>
      </c>
      <c r="C25" s="24" t="s">
        <v>83</v>
      </c>
      <c r="D25" s="28">
        <v>155505</v>
      </c>
      <c r="E25" s="26">
        <v>7564.6184780000003</v>
      </c>
      <c r="F25" s="27">
        <v>1.6787221610329099</v>
      </c>
    </row>
    <row r="26" spans="1:6" x14ac:dyDescent="0.2">
      <c r="A26" s="24" t="s">
        <v>349</v>
      </c>
      <c r="B26" s="24" t="s">
        <v>348</v>
      </c>
      <c r="C26" s="24" t="s">
        <v>333</v>
      </c>
      <c r="D26" s="28">
        <v>1980000</v>
      </c>
      <c r="E26" s="26">
        <v>7441.83</v>
      </c>
      <c r="F26" s="27">
        <v>1.6514732337092599</v>
      </c>
    </row>
    <row r="27" spans="1:6" x14ac:dyDescent="0.2">
      <c r="A27" s="24" t="s">
        <v>351</v>
      </c>
      <c r="B27" s="24" t="s">
        <v>350</v>
      </c>
      <c r="C27" s="24" t="s">
        <v>352</v>
      </c>
      <c r="D27" s="28">
        <v>4183258</v>
      </c>
      <c r="E27" s="26">
        <v>7349.9843060000003</v>
      </c>
      <c r="F27" s="27">
        <v>1.6310910554987399</v>
      </c>
    </row>
    <row r="28" spans="1:6" x14ac:dyDescent="0.2">
      <c r="A28" s="24" t="s">
        <v>354</v>
      </c>
      <c r="B28" s="24" t="s">
        <v>353</v>
      </c>
      <c r="C28" s="24" t="s">
        <v>118</v>
      </c>
      <c r="D28" s="28">
        <v>11177038</v>
      </c>
      <c r="E28" s="26">
        <v>7214.7780290000001</v>
      </c>
      <c r="F28" s="27">
        <v>1.60108639972254</v>
      </c>
    </row>
    <row r="29" spans="1:6" x14ac:dyDescent="0.2">
      <c r="A29" s="24" t="s">
        <v>356</v>
      </c>
      <c r="B29" s="24" t="s">
        <v>355</v>
      </c>
      <c r="C29" s="24" t="s">
        <v>48</v>
      </c>
      <c r="D29" s="28">
        <v>7449096</v>
      </c>
      <c r="E29" s="26">
        <v>7061.7430080000004</v>
      </c>
      <c r="F29" s="27">
        <v>1.56712523143441</v>
      </c>
    </row>
    <row r="30" spans="1:6" x14ac:dyDescent="0.2">
      <c r="A30" s="24" t="s">
        <v>358</v>
      </c>
      <c r="B30" s="24" t="s">
        <v>357</v>
      </c>
      <c r="C30" s="24" t="s">
        <v>110</v>
      </c>
      <c r="D30" s="28">
        <v>189327</v>
      </c>
      <c r="E30" s="26">
        <v>7036.6219460000002</v>
      </c>
      <c r="F30" s="27">
        <v>1.5615504250366099</v>
      </c>
    </row>
    <row r="31" spans="1:6" x14ac:dyDescent="0.2">
      <c r="A31" s="24" t="s">
        <v>360</v>
      </c>
      <c r="B31" s="24" t="s">
        <v>359</v>
      </c>
      <c r="C31" s="24" t="s">
        <v>330</v>
      </c>
      <c r="D31" s="28">
        <v>408284</v>
      </c>
      <c r="E31" s="26">
        <v>6643.1889639999999</v>
      </c>
      <c r="F31" s="27">
        <v>1.47424071236763</v>
      </c>
    </row>
    <row r="32" spans="1:6" x14ac:dyDescent="0.2">
      <c r="A32" s="24" t="s">
        <v>237</v>
      </c>
      <c r="B32" s="24" t="s">
        <v>236</v>
      </c>
      <c r="C32" s="24" t="s">
        <v>110</v>
      </c>
      <c r="D32" s="28">
        <v>1616126</v>
      </c>
      <c r="E32" s="26">
        <v>6347.3348649999998</v>
      </c>
      <c r="F32" s="27">
        <v>1.40858547359146</v>
      </c>
    </row>
    <row r="33" spans="1:6" x14ac:dyDescent="0.2">
      <c r="A33" s="24" t="s">
        <v>362</v>
      </c>
      <c r="B33" s="24" t="s">
        <v>361</v>
      </c>
      <c r="C33" s="24" t="s">
        <v>110</v>
      </c>
      <c r="D33" s="28">
        <v>2767883</v>
      </c>
      <c r="E33" s="26">
        <v>6144.7002599999996</v>
      </c>
      <c r="F33" s="27">
        <v>1.36361728345801</v>
      </c>
    </row>
    <row r="34" spans="1:6" x14ac:dyDescent="0.2">
      <c r="A34" s="24" t="s">
        <v>364</v>
      </c>
      <c r="B34" s="24" t="s">
        <v>363</v>
      </c>
      <c r="C34" s="24" t="s">
        <v>174</v>
      </c>
      <c r="D34" s="28">
        <v>430075</v>
      </c>
      <c r="E34" s="26">
        <v>6028.3612750000002</v>
      </c>
      <c r="F34" s="27">
        <v>1.33779961229858</v>
      </c>
    </row>
    <row r="35" spans="1:6" x14ac:dyDescent="0.2">
      <c r="A35" s="24" t="s">
        <v>247</v>
      </c>
      <c r="B35" s="24" t="s">
        <v>246</v>
      </c>
      <c r="C35" s="24" t="s">
        <v>165</v>
      </c>
      <c r="D35" s="28">
        <v>1694246</v>
      </c>
      <c r="E35" s="26">
        <v>5729.0928489999997</v>
      </c>
      <c r="F35" s="27">
        <v>1.2713866741861399</v>
      </c>
    </row>
    <row r="36" spans="1:6" x14ac:dyDescent="0.2">
      <c r="A36" s="24" t="s">
        <v>366</v>
      </c>
      <c r="B36" s="24" t="s">
        <v>365</v>
      </c>
      <c r="C36" s="24" t="s">
        <v>333</v>
      </c>
      <c r="D36" s="28">
        <v>3270913</v>
      </c>
      <c r="E36" s="26">
        <v>5612.886708</v>
      </c>
      <c r="F36" s="27">
        <v>1.2455984834515801</v>
      </c>
    </row>
    <row r="37" spans="1:6" x14ac:dyDescent="0.2">
      <c r="A37" s="24" t="s">
        <v>368</v>
      </c>
      <c r="B37" s="24" t="s">
        <v>367</v>
      </c>
      <c r="C37" s="24" t="s">
        <v>48</v>
      </c>
      <c r="D37" s="28">
        <v>4308453</v>
      </c>
      <c r="E37" s="26">
        <v>5560.0585970000002</v>
      </c>
      <c r="F37" s="27">
        <v>1.2338749945645899</v>
      </c>
    </row>
    <row r="38" spans="1:6" x14ac:dyDescent="0.2">
      <c r="A38" s="24" t="s">
        <v>370</v>
      </c>
      <c r="B38" s="24" t="s">
        <v>369</v>
      </c>
      <c r="C38" s="24" t="s">
        <v>333</v>
      </c>
      <c r="D38" s="28">
        <v>2805627</v>
      </c>
      <c r="E38" s="26">
        <v>5513.0570550000002</v>
      </c>
      <c r="F38" s="27">
        <v>1.2234445240276299</v>
      </c>
    </row>
    <row r="39" spans="1:6" x14ac:dyDescent="0.2">
      <c r="A39" s="24" t="s">
        <v>232</v>
      </c>
      <c r="B39" s="24" t="s">
        <v>231</v>
      </c>
      <c r="C39" s="24" t="s">
        <v>59</v>
      </c>
      <c r="D39" s="28">
        <v>1410319</v>
      </c>
      <c r="E39" s="26">
        <v>5153.3056260000003</v>
      </c>
      <c r="F39" s="27">
        <v>1.14360934158162</v>
      </c>
    </row>
    <row r="40" spans="1:6" x14ac:dyDescent="0.2">
      <c r="A40" s="24" t="s">
        <v>216</v>
      </c>
      <c r="B40" s="24" t="s">
        <v>215</v>
      </c>
      <c r="C40" s="24" t="s">
        <v>132</v>
      </c>
      <c r="D40" s="28">
        <v>12072603</v>
      </c>
      <c r="E40" s="26">
        <v>5148.9651800000001</v>
      </c>
      <c r="F40" s="27">
        <v>1.1426461201170901</v>
      </c>
    </row>
    <row r="41" spans="1:6" x14ac:dyDescent="0.2">
      <c r="A41" s="24" t="s">
        <v>372</v>
      </c>
      <c r="B41" s="24" t="s">
        <v>371</v>
      </c>
      <c r="C41" s="24" t="s">
        <v>110</v>
      </c>
      <c r="D41" s="28">
        <v>687346</v>
      </c>
      <c r="E41" s="26">
        <v>5100.4509930000004</v>
      </c>
      <c r="F41" s="27">
        <v>1.1318799669953901</v>
      </c>
    </row>
    <row r="42" spans="1:6" x14ac:dyDescent="0.2">
      <c r="A42" s="24" t="s">
        <v>374</v>
      </c>
      <c r="B42" s="24" t="s">
        <v>373</v>
      </c>
      <c r="C42" s="24" t="s">
        <v>162</v>
      </c>
      <c r="D42" s="28">
        <v>23086857</v>
      </c>
      <c r="E42" s="26">
        <v>5079.1085400000002</v>
      </c>
      <c r="F42" s="27">
        <v>1.1271437005298599</v>
      </c>
    </row>
    <row r="43" spans="1:6" x14ac:dyDescent="0.2">
      <c r="A43" s="24" t="s">
        <v>93</v>
      </c>
      <c r="B43" s="24" t="s">
        <v>92</v>
      </c>
      <c r="C43" s="24" t="s">
        <v>94</v>
      </c>
      <c r="D43" s="28">
        <v>1852195</v>
      </c>
      <c r="E43" s="26">
        <v>4993.5177199999998</v>
      </c>
      <c r="F43" s="27">
        <v>1.10814958909743</v>
      </c>
    </row>
    <row r="44" spans="1:6" x14ac:dyDescent="0.2">
      <c r="A44" s="24" t="s">
        <v>376</v>
      </c>
      <c r="B44" s="24" t="s">
        <v>375</v>
      </c>
      <c r="C44" s="24" t="s">
        <v>99</v>
      </c>
      <c r="D44" s="28">
        <v>748449</v>
      </c>
      <c r="E44" s="26">
        <v>4959.2230740000005</v>
      </c>
      <c r="F44" s="27">
        <v>1.10053900273244</v>
      </c>
    </row>
    <row r="45" spans="1:6" x14ac:dyDescent="0.2">
      <c r="A45" s="24" t="s">
        <v>378</v>
      </c>
      <c r="B45" s="24" t="s">
        <v>377</v>
      </c>
      <c r="C45" s="24" t="s">
        <v>379</v>
      </c>
      <c r="D45" s="28">
        <v>2308153</v>
      </c>
      <c r="E45" s="26">
        <v>4919.8281200000001</v>
      </c>
      <c r="F45" s="27">
        <v>1.0917965681331301</v>
      </c>
    </row>
    <row r="46" spans="1:6" x14ac:dyDescent="0.2">
      <c r="A46" s="24" t="s">
        <v>381</v>
      </c>
      <c r="B46" s="24" t="s">
        <v>380</v>
      </c>
      <c r="C46" s="24" t="s">
        <v>83</v>
      </c>
      <c r="D46" s="28">
        <v>2046602</v>
      </c>
      <c r="E46" s="26">
        <v>4914.9147030000004</v>
      </c>
      <c r="F46" s="27">
        <v>1.0907061943055201</v>
      </c>
    </row>
    <row r="47" spans="1:6" x14ac:dyDescent="0.2">
      <c r="A47" s="24" t="s">
        <v>383</v>
      </c>
      <c r="B47" s="24" t="s">
        <v>382</v>
      </c>
      <c r="C47" s="24" t="s">
        <v>143</v>
      </c>
      <c r="D47" s="28">
        <v>2017424</v>
      </c>
      <c r="E47" s="26">
        <v>4801.4691199999997</v>
      </c>
      <c r="F47" s="27">
        <v>1.0655306200439401</v>
      </c>
    </row>
    <row r="48" spans="1:6" x14ac:dyDescent="0.2">
      <c r="A48" s="24" t="s">
        <v>385</v>
      </c>
      <c r="B48" s="24" t="s">
        <v>384</v>
      </c>
      <c r="C48" s="24" t="s">
        <v>66</v>
      </c>
      <c r="D48" s="28">
        <v>2345030</v>
      </c>
      <c r="E48" s="26">
        <v>4596.2587999999996</v>
      </c>
      <c r="F48" s="27">
        <v>1.0199908333569401</v>
      </c>
    </row>
    <row r="49" spans="1:6" x14ac:dyDescent="0.2">
      <c r="A49" s="24" t="s">
        <v>387</v>
      </c>
      <c r="B49" s="24" t="s">
        <v>386</v>
      </c>
      <c r="C49" s="24" t="s">
        <v>118</v>
      </c>
      <c r="D49" s="28">
        <v>2713308</v>
      </c>
      <c r="E49" s="26">
        <v>4513.5878579999999</v>
      </c>
      <c r="F49" s="27">
        <v>1.0016446943133801</v>
      </c>
    </row>
    <row r="50" spans="1:6" x14ac:dyDescent="0.2">
      <c r="A50" s="24" t="s">
        <v>389</v>
      </c>
      <c r="B50" s="24" t="s">
        <v>388</v>
      </c>
      <c r="C50" s="24" t="s">
        <v>118</v>
      </c>
      <c r="D50" s="28">
        <v>1660211</v>
      </c>
      <c r="E50" s="26">
        <v>4361.3742970000003</v>
      </c>
      <c r="F50" s="27">
        <v>0.96786582247687103</v>
      </c>
    </row>
    <row r="51" spans="1:6" x14ac:dyDescent="0.2">
      <c r="A51" s="24" t="s">
        <v>391</v>
      </c>
      <c r="B51" s="24" t="s">
        <v>390</v>
      </c>
      <c r="C51" s="24" t="s">
        <v>333</v>
      </c>
      <c r="D51" s="28">
        <v>2829248</v>
      </c>
      <c r="E51" s="26">
        <v>3786.9484480000001</v>
      </c>
      <c r="F51" s="27">
        <v>0.84039060275615496</v>
      </c>
    </row>
    <row r="52" spans="1:6" x14ac:dyDescent="0.2">
      <c r="A52" s="24" t="s">
        <v>393</v>
      </c>
      <c r="B52" s="24" t="s">
        <v>392</v>
      </c>
      <c r="C52" s="24" t="s">
        <v>132</v>
      </c>
      <c r="D52" s="28">
        <v>3200789</v>
      </c>
      <c r="E52" s="26">
        <v>3756.125892</v>
      </c>
      <c r="F52" s="27">
        <v>0.83355053435517001</v>
      </c>
    </row>
    <row r="53" spans="1:6" x14ac:dyDescent="0.2">
      <c r="A53" s="24" t="s">
        <v>395</v>
      </c>
      <c r="B53" s="24" t="s">
        <v>394</v>
      </c>
      <c r="C53" s="24" t="s">
        <v>118</v>
      </c>
      <c r="D53" s="28">
        <v>24421468</v>
      </c>
      <c r="E53" s="26">
        <v>3638.7987320000002</v>
      </c>
      <c r="F53" s="27">
        <v>0.80751356974738797</v>
      </c>
    </row>
    <row r="54" spans="1:6" x14ac:dyDescent="0.2">
      <c r="A54" s="24" t="s">
        <v>397</v>
      </c>
      <c r="B54" s="24" t="s">
        <v>396</v>
      </c>
      <c r="C54" s="24" t="s">
        <v>196</v>
      </c>
      <c r="D54" s="28">
        <v>156518</v>
      </c>
      <c r="E54" s="26">
        <v>3601.5574390000002</v>
      </c>
      <c r="F54" s="27">
        <v>0.79924907048064597</v>
      </c>
    </row>
    <row r="55" spans="1:6" x14ac:dyDescent="0.2">
      <c r="A55" s="24" t="s">
        <v>399</v>
      </c>
      <c r="B55" s="24" t="s">
        <v>398</v>
      </c>
      <c r="C55" s="24" t="s">
        <v>132</v>
      </c>
      <c r="D55" s="28">
        <v>1054044</v>
      </c>
      <c r="E55" s="26">
        <v>3450.4130340000002</v>
      </c>
      <c r="F55" s="27">
        <v>0.76570746320361704</v>
      </c>
    </row>
    <row r="56" spans="1:6" x14ac:dyDescent="0.2">
      <c r="A56" s="24" t="s">
        <v>401</v>
      </c>
      <c r="B56" s="24" t="s">
        <v>400</v>
      </c>
      <c r="C56" s="24" t="s">
        <v>201</v>
      </c>
      <c r="D56" s="28">
        <v>3836227</v>
      </c>
      <c r="E56" s="26">
        <v>3419.9963710000002</v>
      </c>
      <c r="F56" s="27">
        <v>0.75895746961289301</v>
      </c>
    </row>
    <row r="57" spans="1:6" x14ac:dyDescent="0.2">
      <c r="A57" s="24" t="s">
        <v>122</v>
      </c>
      <c r="B57" s="24" t="s">
        <v>121</v>
      </c>
      <c r="C57" s="24" t="s">
        <v>48</v>
      </c>
      <c r="D57" s="28">
        <v>15898917</v>
      </c>
      <c r="E57" s="26">
        <v>3211.5812340000002</v>
      </c>
      <c r="F57" s="27">
        <v>0.71270647755108196</v>
      </c>
    </row>
    <row r="58" spans="1:6" x14ac:dyDescent="0.2">
      <c r="A58" s="24" t="s">
        <v>403</v>
      </c>
      <c r="B58" s="24" t="s">
        <v>402</v>
      </c>
      <c r="C58" s="24" t="s">
        <v>132</v>
      </c>
      <c r="D58" s="28">
        <v>1324002</v>
      </c>
      <c r="E58" s="26">
        <v>3115.376706</v>
      </c>
      <c r="F58" s="27">
        <v>0.69135699725475197</v>
      </c>
    </row>
    <row r="59" spans="1:6" x14ac:dyDescent="0.2">
      <c r="A59" s="24" t="s">
        <v>405</v>
      </c>
      <c r="B59" s="24" t="s">
        <v>404</v>
      </c>
      <c r="C59" s="24" t="s">
        <v>75</v>
      </c>
      <c r="D59" s="28">
        <v>1000000</v>
      </c>
      <c r="E59" s="26">
        <v>2739</v>
      </c>
      <c r="F59" s="27">
        <v>0.60783237283432601</v>
      </c>
    </row>
    <row r="60" spans="1:6" x14ac:dyDescent="0.2">
      <c r="A60" s="24" t="s">
        <v>407</v>
      </c>
      <c r="B60" s="24" t="s">
        <v>406</v>
      </c>
      <c r="C60" s="24" t="s">
        <v>201</v>
      </c>
      <c r="D60" s="28">
        <v>9156106</v>
      </c>
      <c r="E60" s="26">
        <v>2696.4732170000002</v>
      </c>
      <c r="F60" s="27">
        <v>0.59839493018376</v>
      </c>
    </row>
    <row r="61" spans="1:6" x14ac:dyDescent="0.2">
      <c r="A61" s="24" t="s">
        <v>409</v>
      </c>
      <c r="B61" s="24" t="s">
        <v>408</v>
      </c>
      <c r="C61" s="24" t="s">
        <v>143</v>
      </c>
      <c r="D61" s="28">
        <v>6313159</v>
      </c>
      <c r="E61" s="26">
        <v>2610.4912469999999</v>
      </c>
      <c r="F61" s="27">
        <v>0.57931401567259899</v>
      </c>
    </row>
    <row r="62" spans="1:6" x14ac:dyDescent="0.2">
      <c r="A62" s="24" t="s">
        <v>411</v>
      </c>
      <c r="B62" s="24" t="s">
        <v>410</v>
      </c>
      <c r="C62" s="24" t="s">
        <v>127</v>
      </c>
      <c r="D62" s="28">
        <v>7993256</v>
      </c>
      <c r="E62" s="26">
        <v>2521.8722680000001</v>
      </c>
      <c r="F62" s="27">
        <v>0.55964790238901896</v>
      </c>
    </row>
    <row r="63" spans="1:6" x14ac:dyDescent="0.2">
      <c r="A63" s="24" t="s">
        <v>164</v>
      </c>
      <c r="B63" s="24" t="s">
        <v>163</v>
      </c>
      <c r="C63" s="24" t="s">
        <v>165</v>
      </c>
      <c r="D63" s="28">
        <v>4031266</v>
      </c>
      <c r="E63" s="26">
        <v>2400.618903</v>
      </c>
      <c r="F63" s="27">
        <v>0.53273964369530002</v>
      </c>
    </row>
    <row r="64" spans="1:6" x14ac:dyDescent="0.2">
      <c r="A64" s="24" t="s">
        <v>413</v>
      </c>
      <c r="B64" s="24" t="s">
        <v>412</v>
      </c>
      <c r="C64" s="24" t="s">
        <v>174</v>
      </c>
      <c r="D64" s="28">
        <v>2979897</v>
      </c>
      <c r="E64" s="26">
        <v>2208.1036770000001</v>
      </c>
      <c r="F64" s="27">
        <v>0.49001712210847398</v>
      </c>
    </row>
    <row r="65" spans="1:9" x14ac:dyDescent="0.2">
      <c r="A65" s="24" t="s">
        <v>415</v>
      </c>
      <c r="B65" s="24" t="s">
        <v>414</v>
      </c>
      <c r="C65" s="24" t="s">
        <v>113</v>
      </c>
      <c r="D65" s="28">
        <v>988899</v>
      </c>
      <c r="E65" s="26">
        <v>2190.9057349999998</v>
      </c>
      <c r="F65" s="27">
        <v>0.48620059567775897</v>
      </c>
    </row>
    <row r="66" spans="1:9" x14ac:dyDescent="0.2">
      <c r="A66" s="24" t="s">
        <v>417</v>
      </c>
      <c r="B66" s="24" t="s">
        <v>416</v>
      </c>
      <c r="C66" s="24" t="s">
        <v>110</v>
      </c>
      <c r="D66" s="28">
        <v>1349476</v>
      </c>
      <c r="E66" s="26">
        <v>2059.3003760000001</v>
      </c>
      <c r="F66" s="27">
        <v>0.45699504706925898</v>
      </c>
    </row>
    <row r="67" spans="1:9" x14ac:dyDescent="0.2">
      <c r="A67" s="24" t="s">
        <v>419</v>
      </c>
      <c r="B67" s="24" t="s">
        <v>418</v>
      </c>
      <c r="C67" s="24" t="s">
        <v>110</v>
      </c>
      <c r="D67" s="28">
        <v>1196703</v>
      </c>
      <c r="E67" s="26">
        <v>2001.485768</v>
      </c>
      <c r="F67" s="27">
        <v>0.44416496661466698</v>
      </c>
    </row>
    <row r="68" spans="1:9" x14ac:dyDescent="0.2">
      <c r="A68" s="24" t="s">
        <v>421</v>
      </c>
      <c r="B68" s="24" t="s">
        <v>420</v>
      </c>
      <c r="C68" s="24" t="s">
        <v>174</v>
      </c>
      <c r="D68" s="28">
        <v>702845</v>
      </c>
      <c r="E68" s="26">
        <v>1739.541375</v>
      </c>
      <c r="F68" s="27">
        <v>0.38603488923320001</v>
      </c>
    </row>
    <row r="69" spans="1:9" x14ac:dyDescent="0.2">
      <c r="A69" s="24" t="s">
        <v>423</v>
      </c>
      <c r="B69" s="24" t="s">
        <v>422</v>
      </c>
      <c r="C69" s="24" t="s">
        <v>66</v>
      </c>
      <c r="D69" s="28">
        <v>8639643</v>
      </c>
      <c r="E69" s="26">
        <v>1628.5727059999999</v>
      </c>
      <c r="F69" s="27">
        <v>0.361408985841986</v>
      </c>
    </row>
    <row r="70" spans="1:9" x14ac:dyDescent="0.2">
      <c r="A70" s="24" t="s">
        <v>186</v>
      </c>
      <c r="B70" s="24" t="s">
        <v>185</v>
      </c>
      <c r="C70" s="24" t="s">
        <v>99</v>
      </c>
      <c r="D70" s="28">
        <v>4933939</v>
      </c>
      <c r="E70" s="26">
        <v>1527.0541209999999</v>
      </c>
      <c r="F70" s="27">
        <v>0.33888022264106099</v>
      </c>
    </row>
    <row r="71" spans="1:9" x14ac:dyDescent="0.2">
      <c r="A71" s="24" t="s">
        <v>117</v>
      </c>
      <c r="B71" s="24" t="s">
        <v>116</v>
      </c>
      <c r="C71" s="24" t="s">
        <v>118</v>
      </c>
      <c r="D71" s="28">
        <v>3330705</v>
      </c>
      <c r="E71" s="26">
        <v>1517.1361280000001</v>
      </c>
      <c r="F71" s="27">
        <v>0.336679245197124</v>
      </c>
    </row>
    <row r="72" spans="1:9" x14ac:dyDescent="0.2">
      <c r="A72" s="24" t="s">
        <v>425</v>
      </c>
      <c r="B72" s="24" t="s">
        <v>424</v>
      </c>
      <c r="C72" s="24" t="s">
        <v>75</v>
      </c>
      <c r="D72" s="28">
        <v>1910288</v>
      </c>
      <c r="E72" s="26">
        <v>1242.6423440000001</v>
      </c>
      <c r="F72" s="27">
        <v>0.27576423677909001</v>
      </c>
    </row>
    <row r="73" spans="1:9" x14ac:dyDescent="0.2">
      <c r="A73" s="24" t="s">
        <v>427</v>
      </c>
      <c r="B73" s="24" t="s">
        <v>426</v>
      </c>
      <c r="C73" s="24" t="s">
        <v>94</v>
      </c>
      <c r="D73" s="28">
        <v>8689354</v>
      </c>
      <c r="E73" s="26">
        <v>1225.1989140000001</v>
      </c>
      <c r="F73" s="27">
        <v>0.27189323223463302</v>
      </c>
    </row>
    <row r="74" spans="1:9" x14ac:dyDescent="0.2">
      <c r="A74" s="24" t="s">
        <v>429</v>
      </c>
      <c r="B74" s="24" t="s">
        <v>428</v>
      </c>
      <c r="C74" s="24" t="s">
        <v>118</v>
      </c>
      <c r="D74" s="28">
        <v>11046869</v>
      </c>
      <c r="E74" s="26">
        <v>1104.6868999999999</v>
      </c>
      <c r="F74" s="27">
        <v>0.245149492393573</v>
      </c>
    </row>
    <row r="75" spans="1:9" x14ac:dyDescent="0.2">
      <c r="A75" s="24" t="s">
        <v>295</v>
      </c>
      <c r="B75" s="24" t="s">
        <v>294</v>
      </c>
      <c r="C75" s="24" t="s">
        <v>51</v>
      </c>
      <c r="D75" s="28">
        <v>27762654</v>
      </c>
      <c r="E75" s="26">
        <v>860.64227400000004</v>
      </c>
      <c r="F75" s="27">
        <v>0.19099168877946299</v>
      </c>
    </row>
    <row r="76" spans="1:9" x14ac:dyDescent="0.2">
      <c r="A76" s="24" t="s">
        <v>431</v>
      </c>
      <c r="B76" s="24" t="s">
        <v>430</v>
      </c>
      <c r="C76" s="24" t="s">
        <v>69</v>
      </c>
      <c r="D76" s="28">
        <v>58751</v>
      </c>
      <c r="E76" s="26">
        <v>480.84755949999999</v>
      </c>
      <c r="F76" s="27">
        <v>0.10670854803303401</v>
      </c>
    </row>
    <row r="77" spans="1:9" x14ac:dyDescent="0.2">
      <c r="A77" s="24" t="s">
        <v>433</v>
      </c>
      <c r="B77" s="24" t="s">
        <v>432</v>
      </c>
      <c r="C77" s="24" t="s">
        <v>113</v>
      </c>
      <c r="D77" s="28">
        <v>224349</v>
      </c>
      <c r="E77" s="26">
        <v>328.78345949999999</v>
      </c>
      <c r="F77" s="27">
        <v>7.2962844226565696E-2</v>
      </c>
    </row>
    <row r="78" spans="1:9" x14ac:dyDescent="0.2">
      <c r="A78" s="24" t="s">
        <v>434</v>
      </c>
      <c r="B78" s="24" t="s">
        <v>659</v>
      </c>
      <c r="C78" s="24" t="s">
        <v>333</v>
      </c>
      <c r="D78" s="28">
        <v>2334565</v>
      </c>
      <c r="E78" s="26">
        <v>5.8364124999999998</v>
      </c>
      <c r="F78" s="27">
        <v>1.2952027961719301E-3</v>
      </c>
    </row>
    <row r="79" spans="1:9" ht="10.5" x14ac:dyDescent="0.25">
      <c r="A79" s="23" t="s">
        <v>24</v>
      </c>
      <c r="B79" s="23"/>
      <c r="C79" s="23"/>
      <c r="D79" s="29"/>
      <c r="E79" s="30">
        <f>SUM(E6:E78)</f>
        <v>431882.7289344999</v>
      </c>
      <c r="F79" s="31">
        <f>SUM(F6:F78)</f>
        <v>95.842389161891631</v>
      </c>
      <c r="G79" s="15"/>
      <c r="H79" s="15"/>
      <c r="I79" s="15"/>
    </row>
    <row r="80" spans="1:9" x14ac:dyDescent="0.2">
      <c r="A80" s="24"/>
      <c r="B80" s="24"/>
      <c r="C80" s="24"/>
      <c r="D80" s="25"/>
      <c r="E80" s="26"/>
      <c r="F80" s="27"/>
    </row>
    <row r="81" spans="1:9" ht="10.5" x14ac:dyDescent="0.25">
      <c r="A81" s="23" t="s">
        <v>25</v>
      </c>
      <c r="B81" s="23"/>
      <c r="C81" s="23"/>
      <c r="D81" s="29"/>
      <c r="E81" s="30">
        <f>E79</f>
        <v>431882.7289344999</v>
      </c>
      <c r="F81" s="31">
        <f>F79</f>
        <v>95.842389161891631</v>
      </c>
      <c r="G81" s="15"/>
      <c r="H81" s="15"/>
      <c r="I81" s="15"/>
    </row>
    <row r="82" spans="1:9" ht="10.5" x14ac:dyDescent="0.25">
      <c r="A82" s="23"/>
      <c r="B82" s="23"/>
      <c r="C82" s="23"/>
      <c r="D82" s="29"/>
      <c r="E82" s="30"/>
      <c r="F82" s="31"/>
      <c r="G82" s="15"/>
      <c r="H82" s="15"/>
      <c r="I82" s="15"/>
    </row>
    <row r="83" spans="1:9" ht="10.5" x14ac:dyDescent="0.25">
      <c r="A83" s="23" t="s">
        <v>27</v>
      </c>
      <c r="B83" s="23"/>
      <c r="C83" s="23"/>
      <c r="D83" s="29"/>
      <c r="E83" s="30">
        <f>E85-(E79)</f>
        <v>18734.92856670008</v>
      </c>
      <c r="F83" s="31">
        <f>F85-(F79)</f>
        <v>4.1576108381083685</v>
      </c>
      <c r="G83" s="15"/>
      <c r="H83" s="15"/>
      <c r="I83" s="15"/>
    </row>
    <row r="84" spans="1:9" ht="10.5" x14ac:dyDescent="0.25">
      <c r="A84" s="23"/>
      <c r="B84" s="23"/>
      <c r="C84" s="23"/>
      <c r="D84" s="29"/>
      <c r="E84" s="30"/>
      <c r="F84" s="31"/>
      <c r="G84" s="15"/>
      <c r="H84" s="15"/>
      <c r="I84" s="15"/>
    </row>
    <row r="85" spans="1:9" ht="10.5" x14ac:dyDescent="0.25">
      <c r="A85" s="32" t="s">
        <v>26</v>
      </c>
      <c r="B85" s="32"/>
      <c r="C85" s="32"/>
      <c r="D85" s="33"/>
      <c r="E85" s="34">
        <v>450617.65750119998</v>
      </c>
      <c r="F85" s="35">
        <v>100</v>
      </c>
      <c r="G85" s="15"/>
      <c r="H85" s="15"/>
      <c r="I85" s="15"/>
    </row>
    <row r="86" spans="1:9" ht="10.5" x14ac:dyDescent="0.25">
      <c r="E86" s="99" t="s">
        <v>37</v>
      </c>
      <c r="F86" s="99"/>
    </row>
    <row r="87" spans="1:9" ht="10.5" x14ac:dyDescent="0.25">
      <c r="A87" s="15" t="s">
        <v>28</v>
      </c>
    </row>
    <row r="88" spans="1:9" ht="10.5" x14ac:dyDescent="0.25">
      <c r="A88" s="15" t="s">
        <v>29</v>
      </c>
    </row>
    <row r="89" spans="1:9" ht="10.5" x14ac:dyDescent="0.25">
      <c r="A89" s="15" t="s">
        <v>30</v>
      </c>
      <c r="B89" s="15"/>
      <c r="C89" s="36" t="s">
        <v>32</v>
      </c>
      <c r="D89" s="16" t="s">
        <v>31</v>
      </c>
    </row>
    <row r="90" spans="1:9" x14ac:dyDescent="0.2">
      <c r="A90" s="9" t="s">
        <v>38</v>
      </c>
      <c r="C90" s="37">
        <v>49.6128</v>
      </c>
      <c r="D90" s="37">
        <v>33.755899999999997</v>
      </c>
    </row>
    <row r="91" spans="1:9" x14ac:dyDescent="0.2">
      <c r="A91" s="9" t="s">
        <v>40</v>
      </c>
      <c r="C91" s="37">
        <v>22.453099999999999</v>
      </c>
      <c r="D91" s="37">
        <v>14.2232</v>
      </c>
    </row>
    <row r="92" spans="1:9" x14ac:dyDescent="0.2">
      <c r="A92" s="9" t="s">
        <v>39</v>
      </c>
      <c r="C92" s="37">
        <v>53.465699999999998</v>
      </c>
      <c r="D92" s="37">
        <v>36.540399999999998</v>
      </c>
    </row>
    <row r="93" spans="1:9" x14ac:dyDescent="0.2">
      <c r="A93" s="9" t="s">
        <v>41</v>
      </c>
      <c r="C93" s="37">
        <v>24.754000000000001</v>
      </c>
      <c r="D93" s="37">
        <v>15.863</v>
      </c>
    </row>
    <row r="95" spans="1:9" ht="10.5" x14ac:dyDescent="0.25">
      <c r="A95" s="15" t="s">
        <v>1882</v>
      </c>
    </row>
    <row r="96" spans="1:9" ht="10.5" x14ac:dyDescent="0.25">
      <c r="A96" s="90" t="s">
        <v>33</v>
      </c>
      <c r="B96" s="91"/>
      <c r="C96" s="92" t="s">
        <v>1883</v>
      </c>
      <c r="D96" s="93"/>
    </row>
    <row r="97" spans="1:4" ht="10.5" x14ac:dyDescent="0.25">
      <c r="A97" s="90"/>
      <c r="B97" s="91"/>
      <c r="C97" s="38" t="s">
        <v>34</v>
      </c>
      <c r="D97" s="39" t="s">
        <v>35</v>
      </c>
    </row>
    <row r="98" spans="1:4" x14ac:dyDescent="0.2">
      <c r="A98" s="96" t="s">
        <v>40</v>
      </c>
      <c r="B98" s="97"/>
      <c r="C98" s="40">
        <v>1.3281127049999999</v>
      </c>
      <c r="D98" s="40">
        <v>1.3281127049999999</v>
      </c>
    </row>
    <row r="99" spans="1:4" x14ac:dyDescent="0.2">
      <c r="A99" s="96" t="s">
        <v>41</v>
      </c>
      <c r="B99" s="97"/>
      <c r="C99" s="40">
        <v>1.3281127049999999</v>
      </c>
      <c r="D99" s="40">
        <v>1.3281127049999999</v>
      </c>
    </row>
    <row r="101" spans="1:4" ht="10.5" x14ac:dyDescent="0.25">
      <c r="A101" s="15" t="s">
        <v>175</v>
      </c>
      <c r="D101" s="42">
        <v>0.1173</v>
      </c>
    </row>
  </sheetData>
  <mergeCells count="7">
    <mergeCell ref="A99:B99"/>
    <mergeCell ref="E86:F86"/>
    <mergeCell ref="A1:F1"/>
    <mergeCell ref="C96:D96"/>
    <mergeCell ref="A96:B96"/>
    <mergeCell ref="A97:B97"/>
    <mergeCell ref="A98:B98"/>
  </mergeCells>
  <conditionalFormatting sqref="F2 F4:F85 F87:F65536 E86">
    <cfRule type="cellIs" dxfId="2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4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72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35.1796875" style="9" bestFit="1" customWidth="1"/>
    <col min="3" max="3" width="18.81640625" style="9" bestFit="1" customWidth="1"/>
    <col min="4" max="4" width="15.453125" style="10" bestFit="1" customWidth="1"/>
    <col min="5" max="5" width="13.1796875" style="11" customWidth="1"/>
    <col min="6" max="6" width="8.54296875" style="14" customWidth="1"/>
    <col min="7" max="7" width="4.7265625" style="9" bestFit="1" customWidth="1"/>
    <col min="8" max="16384" width="9.1796875" style="9"/>
  </cols>
  <sheetData>
    <row r="1" spans="1:6" s="1" customFormat="1" ht="14" x14ac:dyDescent="0.25">
      <c r="A1" s="88" t="s">
        <v>9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395485</v>
      </c>
      <c r="E6" s="26">
        <v>3408.685215</v>
      </c>
      <c r="F6" s="27">
        <v>8.7019324581131094</v>
      </c>
    </row>
    <row r="7" spans="1:6" x14ac:dyDescent="0.2">
      <c r="A7" s="24" t="s">
        <v>58</v>
      </c>
      <c r="B7" s="24" t="s">
        <v>57</v>
      </c>
      <c r="C7" s="24" t="s">
        <v>59</v>
      </c>
      <c r="D7" s="28">
        <v>405492</v>
      </c>
      <c r="E7" s="26">
        <v>2601.2311800000002</v>
      </c>
      <c r="F7" s="27">
        <v>6.64060674675643</v>
      </c>
    </row>
    <row r="8" spans="1:6" x14ac:dyDescent="0.2">
      <c r="A8" s="24" t="s">
        <v>61</v>
      </c>
      <c r="B8" s="24" t="s">
        <v>60</v>
      </c>
      <c r="C8" s="24" t="s">
        <v>48</v>
      </c>
      <c r="D8" s="28">
        <v>197693</v>
      </c>
      <c r="E8" s="26">
        <v>2562.2001270000001</v>
      </c>
      <c r="F8" s="27">
        <v>6.5409655169120198</v>
      </c>
    </row>
    <row r="9" spans="1:6" x14ac:dyDescent="0.2">
      <c r="A9" s="24" t="s">
        <v>53</v>
      </c>
      <c r="B9" s="24" t="s">
        <v>52</v>
      </c>
      <c r="C9" s="24" t="s">
        <v>54</v>
      </c>
      <c r="D9" s="28">
        <v>80345</v>
      </c>
      <c r="E9" s="26">
        <v>2507.3665879999999</v>
      </c>
      <c r="F9" s="27">
        <v>6.40098258427936</v>
      </c>
    </row>
    <row r="10" spans="1:6" x14ac:dyDescent="0.2">
      <c r="A10" s="24" t="s">
        <v>56</v>
      </c>
      <c r="B10" s="24" t="s">
        <v>55</v>
      </c>
      <c r="C10" s="24" t="s">
        <v>48</v>
      </c>
      <c r="D10" s="28">
        <v>578281</v>
      </c>
      <c r="E10" s="26">
        <v>2191.6849900000002</v>
      </c>
      <c r="F10" s="27">
        <v>5.5950882963654101</v>
      </c>
    </row>
    <row r="11" spans="1:6" x14ac:dyDescent="0.2">
      <c r="A11" s="24" t="s">
        <v>65</v>
      </c>
      <c r="B11" s="24" t="s">
        <v>64</v>
      </c>
      <c r="C11" s="24" t="s">
        <v>66</v>
      </c>
      <c r="D11" s="28">
        <v>411721</v>
      </c>
      <c r="E11" s="26">
        <v>1960.203681</v>
      </c>
      <c r="F11" s="27">
        <v>5.0041464553970902</v>
      </c>
    </row>
    <row r="12" spans="1:6" x14ac:dyDescent="0.2">
      <c r="A12" s="24" t="s">
        <v>289</v>
      </c>
      <c r="B12" s="24" t="s">
        <v>288</v>
      </c>
      <c r="C12" s="24" t="s">
        <v>59</v>
      </c>
      <c r="D12" s="28">
        <v>95845</v>
      </c>
      <c r="E12" s="26">
        <v>1950.4936729999999</v>
      </c>
      <c r="F12" s="27">
        <v>4.9793580609123396</v>
      </c>
    </row>
    <row r="13" spans="1:6" x14ac:dyDescent="0.2">
      <c r="A13" s="24" t="s">
        <v>63</v>
      </c>
      <c r="B13" s="24" t="s">
        <v>62</v>
      </c>
      <c r="C13" s="24" t="s">
        <v>48</v>
      </c>
      <c r="D13" s="28">
        <v>583651</v>
      </c>
      <c r="E13" s="26">
        <v>1889.570113</v>
      </c>
      <c r="F13" s="27">
        <v>4.8238280923793599</v>
      </c>
    </row>
    <row r="14" spans="1:6" x14ac:dyDescent="0.2">
      <c r="A14" s="24" t="s">
        <v>436</v>
      </c>
      <c r="B14" s="24" t="s">
        <v>435</v>
      </c>
      <c r="C14" s="24" t="s">
        <v>75</v>
      </c>
      <c r="D14" s="28">
        <v>27179</v>
      </c>
      <c r="E14" s="26">
        <v>1669.1439270000001</v>
      </c>
      <c r="F14" s="27">
        <v>4.26110855050712</v>
      </c>
    </row>
    <row r="15" spans="1:6" x14ac:dyDescent="0.2">
      <c r="A15" s="24" t="s">
        <v>107</v>
      </c>
      <c r="B15" s="24" t="s">
        <v>106</v>
      </c>
      <c r="C15" s="24" t="s">
        <v>78</v>
      </c>
      <c r="D15" s="28">
        <v>397644</v>
      </c>
      <c r="E15" s="26">
        <v>1260.133836</v>
      </c>
      <c r="F15" s="27">
        <v>3.2169586915214698</v>
      </c>
    </row>
    <row r="16" spans="1:6" x14ac:dyDescent="0.2">
      <c r="A16" s="24" t="s">
        <v>136</v>
      </c>
      <c r="B16" s="24" t="s">
        <v>135</v>
      </c>
      <c r="C16" s="24" t="s">
        <v>72</v>
      </c>
      <c r="D16" s="28">
        <v>73037</v>
      </c>
      <c r="E16" s="26">
        <v>1217.161605</v>
      </c>
      <c r="F16" s="27">
        <v>3.1072561440140398</v>
      </c>
    </row>
    <row r="17" spans="1:6" x14ac:dyDescent="0.2">
      <c r="A17" s="24" t="s">
        <v>198</v>
      </c>
      <c r="B17" s="24" t="s">
        <v>197</v>
      </c>
      <c r="C17" s="24" t="s">
        <v>66</v>
      </c>
      <c r="D17" s="28">
        <v>121898</v>
      </c>
      <c r="E17" s="26">
        <v>1140.416739</v>
      </c>
      <c r="F17" s="27">
        <v>2.9113364276670599</v>
      </c>
    </row>
    <row r="18" spans="1:6" x14ac:dyDescent="0.2">
      <c r="A18" s="24" t="s">
        <v>96</v>
      </c>
      <c r="B18" s="24" t="s">
        <v>95</v>
      </c>
      <c r="C18" s="24" t="s">
        <v>54</v>
      </c>
      <c r="D18" s="28">
        <v>412368</v>
      </c>
      <c r="E18" s="26">
        <v>1102.05348</v>
      </c>
      <c r="F18" s="27">
        <v>2.8133999895289601</v>
      </c>
    </row>
    <row r="19" spans="1:6" x14ac:dyDescent="0.2">
      <c r="A19" s="24" t="s">
        <v>77</v>
      </c>
      <c r="B19" s="24" t="s">
        <v>76</v>
      </c>
      <c r="C19" s="24" t="s">
        <v>78</v>
      </c>
      <c r="D19" s="28">
        <v>551423</v>
      </c>
      <c r="E19" s="26">
        <v>1048.2551229999999</v>
      </c>
      <c r="F19" s="27">
        <v>2.67605974264686</v>
      </c>
    </row>
    <row r="20" spans="1:6" x14ac:dyDescent="0.2">
      <c r="A20" s="24" t="s">
        <v>184</v>
      </c>
      <c r="B20" s="24" t="s">
        <v>183</v>
      </c>
      <c r="C20" s="24" t="s">
        <v>59</v>
      </c>
      <c r="D20" s="28">
        <v>229692</v>
      </c>
      <c r="E20" s="26">
        <v>1002.375888</v>
      </c>
      <c r="F20" s="27">
        <v>2.5589359899333401</v>
      </c>
    </row>
    <row r="21" spans="1:6" x14ac:dyDescent="0.2">
      <c r="A21" s="24" t="s">
        <v>98</v>
      </c>
      <c r="B21" s="24" t="s">
        <v>97</v>
      </c>
      <c r="C21" s="24" t="s">
        <v>99</v>
      </c>
      <c r="D21" s="28">
        <v>343240</v>
      </c>
      <c r="E21" s="26">
        <v>978.06237999999996</v>
      </c>
      <c r="F21" s="27">
        <v>2.4968667488356999</v>
      </c>
    </row>
    <row r="22" spans="1:6" x14ac:dyDescent="0.2">
      <c r="A22" s="24" t="s">
        <v>142</v>
      </c>
      <c r="B22" s="24" t="s">
        <v>141</v>
      </c>
      <c r="C22" s="24" t="s">
        <v>143</v>
      </c>
      <c r="D22" s="28">
        <v>116490</v>
      </c>
      <c r="E22" s="26">
        <v>941.82164999999998</v>
      </c>
      <c r="F22" s="27">
        <v>2.4043488526964598</v>
      </c>
    </row>
    <row r="23" spans="1:6" x14ac:dyDescent="0.2">
      <c r="A23" s="24" t="s">
        <v>442</v>
      </c>
      <c r="B23" s="24" t="s">
        <v>441</v>
      </c>
      <c r="C23" s="24" t="s">
        <v>91</v>
      </c>
      <c r="D23" s="28">
        <v>278529</v>
      </c>
      <c r="E23" s="26">
        <v>777.23517449999997</v>
      </c>
      <c r="F23" s="27">
        <v>1.98418086915332</v>
      </c>
    </row>
    <row r="24" spans="1:6" x14ac:dyDescent="0.2">
      <c r="A24" s="24" t="s">
        <v>93</v>
      </c>
      <c r="B24" s="24" t="s">
        <v>92</v>
      </c>
      <c r="C24" s="24" t="s">
        <v>94</v>
      </c>
      <c r="D24" s="28">
        <v>278178</v>
      </c>
      <c r="E24" s="26">
        <v>749.96788800000002</v>
      </c>
      <c r="F24" s="27">
        <v>1.91457101360113</v>
      </c>
    </row>
    <row r="25" spans="1:6" x14ac:dyDescent="0.2">
      <c r="A25" s="24" t="s">
        <v>253</v>
      </c>
      <c r="B25" s="24" t="s">
        <v>252</v>
      </c>
      <c r="C25" s="24" t="s">
        <v>91</v>
      </c>
      <c r="D25" s="28">
        <v>183307</v>
      </c>
      <c r="E25" s="26">
        <v>748.90074849999996</v>
      </c>
      <c r="F25" s="27">
        <v>1.9118467444866001</v>
      </c>
    </row>
    <row r="26" spans="1:6" x14ac:dyDescent="0.2">
      <c r="A26" s="24" t="s">
        <v>157</v>
      </c>
      <c r="B26" s="24" t="s">
        <v>156</v>
      </c>
      <c r="C26" s="24" t="s">
        <v>78</v>
      </c>
      <c r="D26" s="28">
        <v>752083</v>
      </c>
      <c r="E26" s="26">
        <v>614.07576949999998</v>
      </c>
      <c r="F26" s="27">
        <v>1.5676560120124901</v>
      </c>
    </row>
    <row r="27" spans="1:6" x14ac:dyDescent="0.2">
      <c r="A27" s="24" t="s">
        <v>216</v>
      </c>
      <c r="B27" s="24" t="s">
        <v>215</v>
      </c>
      <c r="C27" s="24" t="s">
        <v>132</v>
      </c>
      <c r="D27" s="28">
        <v>1247117</v>
      </c>
      <c r="E27" s="26">
        <v>531.89540050000005</v>
      </c>
      <c r="F27" s="27">
        <v>1.3578601595606801</v>
      </c>
    </row>
    <row r="28" spans="1:6" x14ac:dyDescent="0.2">
      <c r="A28" s="24" t="s">
        <v>409</v>
      </c>
      <c r="B28" s="24" t="s">
        <v>408</v>
      </c>
      <c r="C28" s="24" t="s">
        <v>143</v>
      </c>
      <c r="D28" s="28">
        <v>1262673</v>
      </c>
      <c r="E28" s="26">
        <v>522.11528550000003</v>
      </c>
      <c r="F28" s="27">
        <v>1.33289279097291</v>
      </c>
    </row>
    <row r="29" spans="1:6" x14ac:dyDescent="0.2">
      <c r="A29" s="24" t="s">
        <v>287</v>
      </c>
      <c r="B29" s="24" t="s">
        <v>286</v>
      </c>
      <c r="C29" s="24" t="s">
        <v>59</v>
      </c>
      <c r="D29" s="28">
        <v>25813</v>
      </c>
      <c r="E29" s="26">
        <v>471.37119300000001</v>
      </c>
      <c r="F29" s="27">
        <v>1.20334968630601</v>
      </c>
    </row>
    <row r="30" spans="1:6" x14ac:dyDescent="0.2">
      <c r="A30" s="24" t="s">
        <v>124</v>
      </c>
      <c r="B30" s="24" t="s">
        <v>123</v>
      </c>
      <c r="C30" s="24" t="s">
        <v>99</v>
      </c>
      <c r="D30" s="28">
        <v>484457</v>
      </c>
      <c r="E30" s="26">
        <v>344.20669850000002</v>
      </c>
      <c r="F30" s="27">
        <v>0.87871517991640202</v>
      </c>
    </row>
    <row r="31" spans="1:6" x14ac:dyDescent="0.2">
      <c r="A31" s="24" t="s">
        <v>295</v>
      </c>
      <c r="B31" s="24" t="s">
        <v>294</v>
      </c>
      <c r="C31" s="24" t="s">
        <v>51</v>
      </c>
      <c r="D31" s="28">
        <v>9600668</v>
      </c>
      <c r="E31" s="26">
        <v>297.62070799999998</v>
      </c>
      <c r="F31" s="27">
        <v>0.75978717182654398</v>
      </c>
    </row>
    <row r="32" spans="1:6" x14ac:dyDescent="0.2">
      <c r="A32" s="24" t="s">
        <v>393</v>
      </c>
      <c r="B32" s="24" t="s">
        <v>392</v>
      </c>
      <c r="C32" s="24" t="s">
        <v>132</v>
      </c>
      <c r="D32" s="28">
        <v>248911</v>
      </c>
      <c r="E32" s="26">
        <v>292.0970585</v>
      </c>
      <c r="F32" s="27">
        <v>0.74568600910850502</v>
      </c>
    </row>
    <row r="33" spans="1:9" x14ac:dyDescent="0.2">
      <c r="A33" s="24" t="s">
        <v>483</v>
      </c>
      <c r="B33" s="24" t="s">
        <v>482</v>
      </c>
      <c r="C33" s="24" t="s">
        <v>132</v>
      </c>
      <c r="D33" s="28">
        <v>593597</v>
      </c>
      <c r="E33" s="26">
        <v>246.63955350000001</v>
      </c>
      <c r="F33" s="27">
        <v>0.629638878536391</v>
      </c>
    </row>
    <row r="34" spans="1:9" x14ac:dyDescent="0.2">
      <c r="A34" s="24" t="s">
        <v>88</v>
      </c>
      <c r="B34" s="24" t="s">
        <v>87</v>
      </c>
      <c r="C34" s="24" t="s">
        <v>72</v>
      </c>
      <c r="D34" s="28">
        <v>47690</v>
      </c>
      <c r="E34" s="26">
        <v>184.77490499999999</v>
      </c>
      <c r="F34" s="27">
        <v>0.47170643278782998</v>
      </c>
    </row>
    <row r="35" spans="1:9" x14ac:dyDescent="0.2">
      <c r="A35" s="24" t="s">
        <v>487</v>
      </c>
      <c r="B35" s="24" t="s">
        <v>486</v>
      </c>
      <c r="C35" s="24" t="s">
        <v>132</v>
      </c>
      <c r="D35" s="28">
        <v>12795</v>
      </c>
      <c r="E35" s="26">
        <v>122.256225</v>
      </c>
      <c r="F35" s="27">
        <v>0.31210432921535702</v>
      </c>
    </row>
    <row r="36" spans="1:9" x14ac:dyDescent="0.2">
      <c r="A36" s="24" t="s">
        <v>433</v>
      </c>
      <c r="B36" s="24" t="s">
        <v>432</v>
      </c>
      <c r="C36" s="24" t="s">
        <v>113</v>
      </c>
      <c r="D36" s="28">
        <v>32642</v>
      </c>
      <c r="E36" s="26">
        <v>47.836851000000003</v>
      </c>
      <c r="F36" s="27">
        <v>0.122121293154029</v>
      </c>
    </row>
    <row r="37" spans="1:9" x14ac:dyDescent="0.2">
      <c r="A37" s="24" t="s">
        <v>479</v>
      </c>
      <c r="B37" s="24" t="s">
        <v>478</v>
      </c>
      <c r="C37" s="24" t="s">
        <v>59</v>
      </c>
      <c r="D37" s="28">
        <v>36661</v>
      </c>
      <c r="E37" s="26">
        <v>43.241649500000001</v>
      </c>
      <c r="F37" s="27">
        <v>0.110390338090049</v>
      </c>
    </row>
    <row r="38" spans="1:9" x14ac:dyDescent="0.2">
      <c r="A38" s="24" t="s">
        <v>489</v>
      </c>
      <c r="B38" s="24" t="s">
        <v>488</v>
      </c>
      <c r="C38" s="24" t="s">
        <v>214</v>
      </c>
      <c r="D38" s="28">
        <v>98573</v>
      </c>
      <c r="E38" s="26">
        <v>36.2255775</v>
      </c>
      <c r="F38" s="27">
        <v>9.2479213766631804E-2</v>
      </c>
    </row>
    <row r="39" spans="1:9" ht="10.5" x14ac:dyDescent="0.25">
      <c r="A39" s="23" t="s">
        <v>24</v>
      </c>
      <c r="B39" s="23"/>
      <c r="C39" s="23"/>
      <c r="D39" s="29"/>
      <c r="E39" s="30">
        <f>SUM(E6:E38)</f>
        <v>35461.320881000007</v>
      </c>
      <c r="F39" s="31">
        <f>SUM(F6:F38)</f>
        <v>90.528165470961</v>
      </c>
      <c r="G39" s="15"/>
      <c r="H39" s="15"/>
      <c r="I39" s="15"/>
    </row>
    <row r="40" spans="1:9" x14ac:dyDescent="0.2">
      <c r="A40" s="24"/>
      <c r="B40" s="24"/>
      <c r="C40" s="24"/>
      <c r="D40" s="25"/>
      <c r="E40" s="26"/>
      <c r="F40" s="27"/>
    </row>
    <row r="41" spans="1:9" ht="10.5" x14ac:dyDescent="0.25">
      <c r="A41" s="23" t="s">
        <v>1891</v>
      </c>
      <c r="B41" s="24"/>
      <c r="C41" s="24"/>
      <c r="D41" s="25"/>
      <c r="E41" s="26"/>
      <c r="F41" s="27"/>
    </row>
    <row r="42" spans="1:9" x14ac:dyDescent="0.2">
      <c r="A42" s="24"/>
      <c r="B42" s="24" t="s">
        <v>1847</v>
      </c>
      <c r="C42" s="24" t="s">
        <v>59</v>
      </c>
      <c r="D42" s="28">
        <v>489000</v>
      </c>
      <c r="E42" s="26">
        <v>4.8899999999999999E-2</v>
      </c>
      <c r="F42" s="27">
        <v>1.24835375038211E-4</v>
      </c>
    </row>
    <row r="43" spans="1:9" x14ac:dyDescent="0.2">
      <c r="A43" s="24"/>
      <c r="B43" s="24" t="s">
        <v>1848</v>
      </c>
      <c r="C43" s="24" t="s">
        <v>132</v>
      </c>
      <c r="D43" s="28">
        <v>98000</v>
      </c>
      <c r="E43" s="26">
        <v>9.7999999999999997E-3</v>
      </c>
      <c r="F43" s="27">
        <v>2.5018132420745799E-5</v>
      </c>
    </row>
    <row r="44" spans="1:9" x14ac:dyDescent="0.2">
      <c r="A44" s="24" t="s">
        <v>490</v>
      </c>
      <c r="B44" s="24" t="s">
        <v>1849</v>
      </c>
      <c r="C44" s="24" t="s">
        <v>379</v>
      </c>
      <c r="D44" s="28">
        <v>44170</v>
      </c>
      <c r="E44" s="26">
        <v>4.4169999999999999E-3</v>
      </c>
      <c r="F44" s="27">
        <v>1.1276029683921901E-5</v>
      </c>
    </row>
    <row r="45" spans="1:9" x14ac:dyDescent="0.2">
      <c r="A45" s="24"/>
      <c r="B45" s="24" t="s">
        <v>1850</v>
      </c>
      <c r="C45" s="24" t="s">
        <v>59</v>
      </c>
      <c r="D45" s="28">
        <v>23815</v>
      </c>
      <c r="E45" s="26">
        <v>2.3814999999999999E-3</v>
      </c>
      <c r="F45" s="27">
        <v>6.0796614653067596E-6</v>
      </c>
    </row>
    <row r="46" spans="1:9" ht="10.5" x14ac:dyDescent="0.25">
      <c r="A46" s="23" t="s">
        <v>24</v>
      </c>
      <c r="B46" s="23"/>
      <c r="C46" s="23"/>
      <c r="D46" s="29"/>
      <c r="E46" s="30">
        <f>SUM(E41:E45)</f>
        <v>6.5498500000000001E-2</v>
      </c>
      <c r="F46" s="31">
        <f>SUM(F41:F45)</f>
        <v>1.6720919860818548E-4</v>
      </c>
      <c r="G46" s="15"/>
      <c r="H46" s="15"/>
      <c r="I46" s="15"/>
    </row>
    <row r="47" spans="1:9" x14ac:dyDescent="0.2">
      <c r="A47" s="24"/>
      <c r="B47" s="24"/>
      <c r="C47" s="24"/>
      <c r="D47" s="25"/>
      <c r="E47" s="26"/>
      <c r="F47" s="27"/>
    </row>
    <row r="48" spans="1:9" ht="10.5" x14ac:dyDescent="0.25">
      <c r="A48" s="23" t="s">
        <v>25</v>
      </c>
      <c r="B48" s="23"/>
      <c r="C48" s="23"/>
      <c r="D48" s="29"/>
      <c r="E48" s="30">
        <f>E39+E46</f>
        <v>35461.386379500007</v>
      </c>
      <c r="F48" s="31">
        <f>F39+F46</f>
        <v>90.528332680159608</v>
      </c>
      <c r="G48" s="15"/>
      <c r="H48" s="15"/>
      <c r="I48" s="15"/>
    </row>
    <row r="49" spans="1:9" ht="10.5" x14ac:dyDescent="0.25">
      <c r="A49" s="23"/>
      <c r="B49" s="23"/>
      <c r="C49" s="23"/>
      <c r="D49" s="29"/>
      <c r="E49" s="30"/>
      <c r="F49" s="31"/>
      <c r="G49" s="15"/>
      <c r="H49" s="15"/>
      <c r="I49" s="15"/>
    </row>
    <row r="50" spans="1:9" ht="10.5" x14ac:dyDescent="0.25">
      <c r="A50" s="23" t="s">
        <v>27</v>
      </c>
      <c r="B50" s="23"/>
      <c r="C50" s="23"/>
      <c r="D50" s="29"/>
      <c r="E50" s="30">
        <f>E52-(E39+E46)</f>
        <v>3710.2025911999954</v>
      </c>
      <c r="F50" s="31">
        <f>F52-(F39+F46)</f>
        <v>9.4716673198403925</v>
      </c>
      <c r="G50" s="15"/>
      <c r="H50" s="15"/>
      <c r="I50" s="15"/>
    </row>
    <row r="51" spans="1:9" ht="10.5" x14ac:dyDescent="0.25">
      <c r="A51" s="23"/>
      <c r="B51" s="23"/>
      <c r="C51" s="23"/>
      <c r="D51" s="29"/>
      <c r="E51" s="30"/>
      <c r="F51" s="31"/>
      <c r="G51" s="15"/>
      <c r="H51" s="15"/>
      <c r="I51" s="15"/>
    </row>
    <row r="52" spans="1:9" ht="10.5" x14ac:dyDescent="0.25">
      <c r="A52" s="32" t="s">
        <v>26</v>
      </c>
      <c r="B52" s="32"/>
      <c r="C52" s="32"/>
      <c r="D52" s="33"/>
      <c r="E52" s="34">
        <v>39171.588970700002</v>
      </c>
      <c r="F52" s="35">
        <v>100</v>
      </c>
      <c r="G52" s="15"/>
      <c r="H52" s="15"/>
      <c r="I52" s="15"/>
    </row>
    <row r="53" spans="1:9" ht="15" customHeight="1" x14ac:dyDescent="0.25">
      <c r="A53" s="15" t="s">
        <v>872</v>
      </c>
      <c r="E53" s="99" t="s">
        <v>37</v>
      </c>
      <c r="F53" s="99"/>
    </row>
    <row r="54" spans="1:9" ht="10.5" x14ac:dyDescent="0.25">
      <c r="A54" s="15"/>
      <c r="F54" s="17"/>
    </row>
    <row r="55" spans="1:9" ht="10.5" x14ac:dyDescent="0.25">
      <c r="A55" s="15" t="s">
        <v>28</v>
      </c>
    </row>
    <row r="56" spans="1:9" ht="10.5" x14ac:dyDescent="0.25">
      <c r="A56" s="15" t="s">
        <v>29</v>
      </c>
    </row>
    <row r="57" spans="1:9" ht="10.5" x14ac:dyDescent="0.25">
      <c r="A57" s="15" t="s">
        <v>30</v>
      </c>
      <c r="B57" s="15"/>
      <c r="C57" s="36" t="s">
        <v>32</v>
      </c>
      <c r="D57" s="16" t="s">
        <v>31</v>
      </c>
    </row>
    <row r="58" spans="1:9" x14ac:dyDescent="0.2">
      <c r="A58" s="9" t="s">
        <v>38</v>
      </c>
      <c r="C58" s="37">
        <v>70.776200000000003</v>
      </c>
      <c r="D58" s="37">
        <v>52.5625</v>
      </c>
    </row>
    <row r="59" spans="1:9" x14ac:dyDescent="0.2">
      <c r="A59" s="9" t="s">
        <v>40</v>
      </c>
      <c r="C59" s="37">
        <v>17.9803</v>
      </c>
      <c r="D59" s="37">
        <v>12.277200000000001</v>
      </c>
    </row>
    <row r="60" spans="1:9" x14ac:dyDescent="0.2">
      <c r="A60" s="9" t="s">
        <v>39</v>
      </c>
      <c r="C60" s="37">
        <v>73.9114</v>
      </c>
      <c r="D60" s="37">
        <v>55.151499999999999</v>
      </c>
    </row>
    <row r="61" spans="1:9" x14ac:dyDescent="0.2">
      <c r="A61" s="9" t="s">
        <v>41</v>
      </c>
      <c r="C61" s="37">
        <v>18.9711</v>
      </c>
      <c r="D61" s="37">
        <v>13.0741</v>
      </c>
    </row>
    <row r="63" spans="1:9" ht="10.5" x14ac:dyDescent="0.25">
      <c r="A63" s="15" t="s">
        <v>1882</v>
      </c>
    </row>
    <row r="64" spans="1:9" ht="10.5" x14ac:dyDescent="0.25">
      <c r="A64" s="90" t="s">
        <v>33</v>
      </c>
      <c r="B64" s="91"/>
      <c r="C64" s="92" t="s">
        <v>1883</v>
      </c>
      <c r="D64" s="93"/>
    </row>
    <row r="65" spans="1:4" ht="10.5" x14ac:dyDescent="0.25">
      <c r="A65" s="90"/>
      <c r="B65" s="91"/>
      <c r="C65" s="38" t="s">
        <v>34</v>
      </c>
      <c r="D65" s="39" t="s">
        <v>35</v>
      </c>
    </row>
    <row r="66" spans="1:4" x14ac:dyDescent="0.2">
      <c r="A66" s="96" t="s">
        <v>40</v>
      </c>
      <c r="B66" s="97"/>
      <c r="C66" s="40">
        <v>1.3281127049999999</v>
      </c>
      <c r="D66" s="40">
        <v>1.3281127049999999</v>
      </c>
    </row>
    <row r="67" spans="1:4" x14ac:dyDescent="0.2">
      <c r="A67" s="96" t="s">
        <v>41</v>
      </c>
      <c r="B67" s="97"/>
      <c r="C67" s="40">
        <v>1.3281127049999999</v>
      </c>
      <c r="D67" s="40">
        <v>1.3281127049999999</v>
      </c>
    </row>
    <row r="69" spans="1:4" ht="10.5" x14ac:dyDescent="0.25">
      <c r="A69" s="15" t="s">
        <v>175</v>
      </c>
      <c r="D69" s="42">
        <v>3.4599999999999999E-2</v>
      </c>
    </row>
    <row r="71" spans="1:4" ht="10.5" x14ac:dyDescent="0.25">
      <c r="A71" s="15" t="s">
        <v>1846</v>
      </c>
    </row>
    <row r="72" spans="1:4" ht="10.5" x14ac:dyDescent="0.25">
      <c r="A72" s="15"/>
    </row>
  </sheetData>
  <mergeCells count="7">
    <mergeCell ref="A67:B67"/>
    <mergeCell ref="E53:F53"/>
    <mergeCell ref="A1:F1"/>
    <mergeCell ref="C64:D64"/>
    <mergeCell ref="A64:B64"/>
    <mergeCell ref="A65:B65"/>
    <mergeCell ref="A66:B66"/>
  </mergeCells>
  <conditionalFormatting sqref="F2 F4:F52 F54:F65536 E53">
    <cfRule type="cellIs" dxfId="23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4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5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24.1796875" style="9" bestFit="1" customWidth="1"/>
    <col min="3" max="3" width="18.81640625" style="9" bestFit="1" customWidth="1"/>
    <col min="4" max="4" width="15.453125" style="10" bestFit="1" customWidth="1"/>
    <col min="5" max="5" width="12.453125" style="11" customWidth="1"/>
    <col min="6" max="6" width="9.1796875" style="14" customWidth="1"/>
    <col min="7" max="7" width="5.54296875" style="9" bestFit="1" customWidth="1"/>
    <col min="8" max="16384" width="9.1796875" style="9"/>
  </cols>
  <sheetData>
    <row r="1" spans="1:6" s="1" customFormat="1" ht="14" x14ac:dyDescent="0.25">
      <c r="A1" s="88" t="s">
        <v>1844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63</v>
      </c>
      <c r="B6" s="24" t="s">
        <v>62</v>
      </c>
      <c r="C6" s="24" t="s">
        <v>48</v>
      </c>
      <c r="D6" s="28">
        <v>18300000</v>
      </c>
      <c r="E6" s="26">
        <v>59246.25</v>
      </c>
      <c r="F6" s="27">
        <v>9.6005414502667801</v>
      </c>
    </row>
    <row r="7" spans="1:6" x14ac:dyDescent="0.2">
      <c r="A7" s="24" t="s">
        <v>103</v>
      </c>
      <c r="B7" s="24" t="s">
        <v>102</v>
      </c>
      <c r="C7" s="24" t="s">
        <v>48</v>
      </c>
      <c r="D7" s="28">
        <v>30000000</v>
      </c>
      <c r="E7" s="26">
        <v>59055</v>
      </c>
      <c r="F7" s="27">
        <v>9.5695503993164905</v>
      </c>
    </row>
    <row r="8" spans="1:6" x14ac:dyDescent="0.2">
      <c r="A8" s="24" t="s">
        <v>50</v>
      </c>
      <c r="B8" s="24" t="s">
        <v>49</v>
      </c>
      <c r="C8" s="24" t="s">
        <v>51</v>
      </c>
      <c r="D8" s="28">
        <v>11800000</v>
      </c>
      <c r="E8" s="26">
        <v>52026.2</v>
      </c>
      <c r="F8" s="27">
        <v>8.4305705356857104</v>
      </c>
    </row>
    <row r="9" spans="1:6" x14ac:dyDescent="0.2">
      <c r="A9" s="24" t="s">
        <v>157</v>
      </c>
      <c r="B9" s="24" t="s">
        <v>156</v>
      </c>
      <c r="C9" s="24" t="s">
        <v>78</v>
      </c>
      <c r="D9" s="28">
        <v>47494502</v>
      </c>
      <c r="E9" s="26">
        <v>38779.260880000002</v>
      </c>
      <c r="F9" s="27">
        <v>6.2839741163221099</v>
      </c>
    </row>
    <row r="10" spans="1:6" x14ac:dyDescent="0.2">
      <c r="A10" s="24" t="s">
        <v>47</v>
      </c>
      <c r="B10" s="24" t="s">
        <v>46</v>
      </c>
      <c r="C10" s="24" t="s">
        <v>48</v>
      </c>
      <c r="D10" s="28">
        <v>4350000</v>
      </c>
      <c r="E10" s="26">
        <v>37492.65</v>
      </c>
      <c r="F10" s="27">
        <v>6.0754856282945298</v>
      </c>
    </row>
    <row r="11" spans="1:6" x14ac:dyDescent="0.2">
      <c r="A11" s="24" t="s">
        <v>145</v>
      </c>
      <c r="B11" s="24" t="s">
        <v>144</v>
      </c>
      <c r="C11" s="24" t="s">
        <v>66</v>
      </c>
      <c r="D11" s="28">
        <v>1025000</v>
      </c>
      <c r="E11" s="26">
        <v>33259.712500000001</v>
      </c>
      <c r="F11" s="27">
        <v>5.3895604950559104</v>
      </c>
    </row>
    <row r="12" spans="1:6" x14ac:dyDescent="0.2">
      <c r="A12" s="24" t="s">
        <v>492</v>
      </c>
      <c r="B12" s="24" t="s">
        <v>491</v>
      </c>
      <c r="C12" s="24" t="s">
        <v>214</v>
      </c>
      <c r="D12" s="28">
        <v>2828043</v>
      </c>
      <c r="E12" s="26">
        <v>30151.18044</v>
      </c>
      <c r="F12" s="27">
        <v>4.8858393162215803</v>
      </c>
    </row>
    <row r="13" spans="1:6" x14ac:dyDescent="0.2">
      <c r="A13" s="24" t="s">
        <v>494</v>
      </c>
      <c r="B13" s="24" t="s">
        <v>493</v>
      </c>
      <c r="C13" s="24" t="s">
        <v>66</v>
      </c>
      <c r="D13" s="28">
        <v>3100000</v>
      </c>
      <c r="E13" s="26">
        <v>30023.5</v>
      </c>
      <c r="F13" s="27">
        <v>4.8651493762404296</v>
      </c>
    </row>
    <row r="14" spans="1:6" x14ac:dyDescent="0.2">
      <c r="A14" s="24" t="s">
        <v>56</v>
      </c>
      <c r="B14" s="24" t="s">
        <v>55</v>
      </c>
      <c r="C14" s="24" t="s">
        <v>48</v>
      </c>
      <c r="D14" s="28">
        <v>7573548</v>
      </c>
      <c r="E14" s="26">
        <v>28703.746920000001</v>
      </c>
      <c r="F14" s="27">
        <v>4.6512903699968797</v>
      </c>
    </row>
    <row r="15" spans="1:6" x14ac:dyDescent="0.2">
      <c r="A15" s="24" t="s">
        <v>107</v>
      </c>
      <c r="B15" s="24" t="s">
        <v>106</v>
      </c>
      <c r="C15" s="24" t="s">
        <v>78</v>
      </c>
      <c r="D15" s="28">
        <v>8385977</v>
      </c>
      <c r="E15" s="26">
        <v>26575.161110000001</v>
      </c>
      <c r="F15" s="27">
        <v>4.3063642978935004</v>
      </c>
    </row>
    <row r="16" spans="1:6" x14ac:dyDescent="0.2">
      <c r="A16" s="24" t="s">
        <v>101</v>
      </c>
      <c r="B16" s="24" t="s">
        <v>100</v>
      </c>
      <c r="C16" s="24" t="s">
        <v>91</v>
      </c>
      <c r="D16" s="28">
        <v>29000000</v>
      </c>
      <c r="E16" s="26">
        <v>24418</v>
      </c>
      <c r="F16" s="27">
        <v>3.9568077495641401</v>
      </c>
    </row>
    <row r="17" spans="1:6" x14ac:dyDescent="0.2">
      <c r="A17" s="24" t="s">
        <v>496</v>
      </c>
      <c r="B17" s="24" t="s">
        <v>495</v>
      </c>
      <c r="C17" s="24" t="s">
        <v>54</v>
      </c>
      <c r="D17" s="28">
        <v>4000000</v>
      </c>
      <c r="E17" s="26">
        <v>23586</v>
      </c>
      <c r="F17" s="27">
        <v>3.82198655013595</v>
      </c>
    </row>
    <row r="18" spans="1:6" x14ac:dyDescent="0.2">
      <c r="A18" s="24" t="s">
        <v>53</v>
      </c>
      <c r="B18" s="24" t="s">
        <v>52</v>
      </c>
      <c r="C18" s="24" t="s">
        <v>54</v>
      </c>
      <c r="D18" s="28">
        <v>700000</v>
      </c>
      <c r="E18" s="26">
        <v>21845.25</v>
      </c>
      <c r="F18" s="27">
        <v>3.5399072197217598</v>
      </c>
    </row>
    <row r="19" spans="1:6" x14ac:dyDescent="0.2">
      <c r="A19" s="24" t="s">
        <v>218</v>
      </c>
      <c r="B19" s="24" t="s">
        <v>217</v>
      </c>
      <c r="C19" s="24" t="s">
        <v>132</v>
      </c>
      <c r="D19" s="28">
        <v>2500000</v>
      </c>
      <c r="E19" s="26">
        <v>16025</v>
      </c>
      <c r="F19" s="27">
        <v>2.59676649139017</v>
      </c>
    </row>
    <row r="20" spans="1:6" x14ac:dyDescent="0.2">
      <c r="A20" s="24" t="s">
        <v>169</v>
      </c>
      <c r="B20" s="24" t="s">
        <v>168</v>
      </c>
      <c r="C20" s="24" t="s">
        <v>69</v>
      </c>
      <c r="D20" s="28">
        <v>17000000</v>
      </c>
      <c r="E20" s="26">
        <v>13013.5</v>
      </c>
      <c r="F20" s="27">
        <v>2.10876884466184</v>
      </c>
    </row>
    <row r="21" spans="1:6" x14ac:dyDescent="0.2">
      <c r="A21" s="24" t="s">
        <v>498</v>
      </c>
      <c r="B21" s="24" t="s">
        <v>497</v>
      </c>
      <c r="C21" s="24" t="s">
        <v>110</v>
      </c>
      <c r="D21" s="28">
        <v>3996110</v>
      </c>
      <c r="E21" s="26">
        <v>10723.56119</v>
      </c>
      <c r="F21" s="27">
        <v>1.7376963723284999</v>
      </c>
    </row>
    <row r="22" spans="1:6" x14ac:dyDescent="0.2">
      <c r="A22" s="24" t="s">
        <v>500</v>
      </c>
      <c r="B22" s="24" t="s">
        <v>499</v>
      </c>
      <c r="C22" s="24" t="s">
        <v>54</v>
      </c>
      <c r="D22" s="28">
        <v>2000000</v>
      </c>
      <c r="E22" s="26">
        <v>10111</v>
      </c>
      <c r="F22" s="27">
        <v>1.6384340714162899</v>
      </c>
    </row>
    <row r="23" spans="1:6" x14ac:dyDescent="0.2">
      <c r="A23" s="24" t="s">
        <v>295</v>
      </c>
      <c r="B23" s="24" t="s">
        <v>294</v>
      </c>
      <c r="C23" s="24" t="s">
        <v>51</v>
      </c>
      <c r="D23" s="28">
        <v>315778631</v>
      </c>
      <c r="E23" s="26">
        <v>9789.1375609999996</v>
      </c>
      <c r="F23" s="27">
        <v>1.5862779655546799</v>
      </c>
    </row>
    <row r="24" spans="1:6" x14ac:dyDescent="0.2">
      <c r="A24" s="24" t="s">
        <v>186</v>
      </c>
      <c r="B24" s="24" t="s">
        <v>185</v>
      </c>
      <c r="C24" s="24" t="s">
        <v>99</v>
      </c>
      <c r="D24" s="28">
        <v>28845175</v>
      </c>
      <c r="E24" s="26">
        <v>8927.5816630000008</v>
      </c>
      <c r="F24" s="27">
        <v>1.4466673891811399</v>
      </c>
    </row>
    <row r="25" spans="1:6" x14ac:dyDescent="0.2">
      <c r="A25" s="24" t="s">
        <v>385</v>
      </c>
      <c r="B25" s="24" t="s">
        <v>384</v>
      </c>
      <c r="C25" s="24" t="s">
        <v>66</v>
      </c>
      <c r="D25" s="28">
        <v>4500000</v>
      </c>
      <c r="E25" s="26">
        <v>8820</v>
      </c>
      <c r="F25" s="27">
        <v>1.42923434970742</v>
      </c>
    </row>
    <row r="26" spans="1:6" x14ac:dyDescent="0.2">
      <c r="A26" s="24" t="s">
        <v>489</v>
      </c>
      <c r="B26" s="24" t="s">
        <v>488</v>
      </c>
      <c r="C26" s="24" t="s">
        <v>214</v>
      </c>
      <c r="D26" s="28">
        <v>22812513</v>
      </c>
      <c r="E26" s="26">
        <v>8383.5985280000004</v>
      </c>
      <c r="F26" s="27">
        <v>1.35851779936215</v>
      </c>
    </row>
    <row r="27" spans="1:6" x14ac:dyDescent="0.2">
      <c r="A27" s="24" t="s">
        <v>142</v>
      </c>
      <c r="B27" s="24" t="s">
        <v>141</v>
      </c>
      <c r="C27" s="24" t="s">
        <v>143</v>
      </c>
      <c r="D27" s="28">
        <v>1000000</v>
      </c>
      <c r="E27" s="26">
        <v>8085</v>
      </c>
      <c r="F27" s="27">
        <v>1.3101314872318</v>
      </c>
    </row>
    <row r="28" spans="1:6" x14ac:dyDescent="0.2">
      <c r="A28" s="24" t="s">
        <v>502</v>
      </c>
      <c r="B28" s="24" t="s">
        <v>501</v>
      </c>
      <c r="C28" s="24" t="s">
        <v>66</v>
      </c>
      <c r="D28" s="28">
        <v>15021316</v>
      </c>
      <c r="E28" s="26">
        <v>6714.5282520000001</v>
      </c>
      <c r="F28" s="27">
        <v>1.08805378909743</v>
      </c>
    </row>
    <row r="29" spans="1:6" x14ac:dyDescent="0.2">
      <c r="A29" s="24" t="s">
        <v>358</v>
      </c>
      <c r="B29" s="24" t="s">
        <v>357</v>
      </c>
      <c r="C29" s="24" t="s">
        <v>110</v>
      </c>
      <c r="D29" s="28">
        <v>175000</v>
      </c>
      <c r="E29" s="26">
        <v>6504.1374999999998</v>
      </c>
      <c r="F29" s="27">
        <v>1.05396108052382</v>
      </c>
    </row>
    <row r="30" spans="1:6" x14ac:dyDescent="0.2">
      <c r="A30" s="24" t="s">
        <v>391</v>
      </c>
      <c r="B30" s="24" t="s">
        <v>390</v>
      </c>
      <c r="C30" s="24" t="s">
        <v>333</v>
      </c>
      <c r="D30" s="28">
        <v>4800000</v>
      </c>
      <c r="E30" s="26">
        <v>6424.8</v>
      </c>
      <c r="F30" s="27">
        <v>1.04110485827667</v>
      </c>
    </row>
    <row r="31" spans="1:6" x14ac:dyDescent="0.2">
      <c r="A31" s="24" t="s">
        <v>93</v>
      </c>
      <c r="B31" s="24" t="s">
        <v>92</v>
      </c>
      <c r="C31" s="24" t="s">
        <v>94</v>
      </c>
      <c r="D31" s="28">
        <v>2365082</v>
      </c>
      <c r="E31" s="26">
        <v>6376.2610720000002</v>
      </c>
      <c r="F31" s="27">
        <v>1.0332393817238801</v>
      </c>
    </row>
    <row r="32" spans="1:6" x14ac:dyDescent="0.2">
      <c r="A32" s="24" t="s">
        <v>504</v>
      </c>
      <c r="B32" s="24" t="s">
        <v>503</v>
      </c>
      <c r="C32" s="24" t="s">
        <v>333</v>
      </c>
      <c r="D32" s="28">
        <v>15000000</v>
      </c>
      <c r="E32" s="26">
        <v>4462.5</v>
      </c>
      <c r="F32" s="27">
        <v>0.72312452217339496</v>
      </c>
    </row>
    <row r="33" spans="1:9" x14ac:dyDescent="0.2">
      <c r="A33" s="24" t="s">
        <v>506</v>
      </c>
      <c r="B33" s="24" t="s">
        <v>505</v>
      </c>
      <c r="C33" s="24" t="s">
        <v>333</v>
      </c>
      <c r="D33" s="28">
        <v>3200000</v>
      </c>
      <c r="E33" s="26">
        <v>2944</v>
      </c>
      <c r="F33" s="27">
        <v>0.47705962874587698</v>
      </c>
    </row>
    <row r="34" spans="1:9" ht="10.5" x14ac:dyDescent="0.25">
      <c r="A34" s="23" t="s">
        <v>24</v>
      </c>
      <c r="B34" s="23"/>
      <c r="C34" s="23"/>
      <c r="D34" s="29"/>
      <c r="E34" s="30">
        <f>SUM(E6:E33)</f>
        <v>592466.51761600003</v>
      </c>
      <c r="F34" s="31">
        <f>SUM(F6:F33)</f>
        <v>96.006065536090802</v>
      </c>
      <c r="G34" s="15"/>
      <c r="H34" s="15"/>
      <c r="I34" s="15"/>
    </row>
    <row r="35" spans="1:9" x14ac:dyDescent="0.2">
      <c r="A35" s="24"/>
      <c r="B35" s="24"/>
      <c r="C35" s="24"/>
      <c r="D35" s="25"/>
      <c r="E35" s="26"/>
      <c r="F35" s="27"/>
    </row>
    <row r="36" spans="1:9" ht="10.5" x14ac:dyDescent="0.25">
      <c r="A36" s="23" t="s">
        <v>25</v>
      </c>
      <c r="B36" s="23"/>
      <c r="C36" s="23"/>
      <c r="D36" s="29"/>
      <c r="E36" s="30">
        <f>E34</f>
        <v>592466.51761600003</v>
      </c>
      <c r="F36" s="31">
        <f>F34</f>
        <v>96.006065536090802</v>
      </c>
      <c r="G36" s="15"/>
      <c r="H36" s="15"/>
      <c r="I36" s="15"/>
    </row>
    <row r="37" spans="1:9" ht="10.5" x14ac:dyDescent="0.25">
      <c r="A37" s="23"/>
      <c r="B37" s="23"/>
      <c r="C37" s="23"/>
      <c r="D37" s="29"/>
      <c r="E37" s="30"/>
      <c r="F37" s="31"/>
      <c r="G37" s="15"/>
      <c r="H37" s="15"/>
      <c r="I37" s="15"/>
    </row>
    <row r="38" spans="1:9" ht="10.5" x14ac:dyDescent="0.25">
      <c r="A38" s="23" t="s">
        <v>27</v>
      </c>
      <c r="B38" s="23"/>
      <c r="C38" s="23"/>
      <c r="D38" s="29"/>
      <c r="E38" s="30">
        <f>E40-(E34)</f>
        <v>24647.114015199943</v>
      </c>
      <c r="F38" s="31">
        <f>F40-(F34)</f>
        <v>3.9939344639091985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32" t="s">
        <v>26</v>
      </c>
      <c r="B40" s="32"/>
      <c r="C40" s="32"/>
      <c r="D40" s="33"/>
      <c r="E40" s="34">
        <v>617113.63163119997</v>
      </c>
      <c r="F40" s="35">
        <v>100</v>
      </c>
      <c r="G40" s="15"/>
      <c r="H40" s="15"/>
      <c r="I40" s="15"/>
    </row>
    <row r="42" spans="1:9" ht="10.5" x14ac:dyDescent="0.25">
      <c r="A42" s="15" t="s">
        <v>28</v>
      </c>
    </row>
    <row r="43" spans="1:9" ht="10.5" x14ac:dyDescent="0.25">
      <c r="A43" s="15" t="s">
        <v>29</v>
      </c>
    </row>
    <row r="44" spans="1:9" ht="10.5" x14ac:dyDescent="0.25">
      <c r="A44" s="15" t="s">
        <v>30</v>
      </c>
      <c r="B44" s="15"/>
      <c r="C44" s="36" t="s">
        <v>32</v>
      </c>
      <c r="D44" s="16" t="s">
        <v>31</v>
      </c>
    </row>
    <row r="45" spans="1:9" x14ac:dyDescent="0.2">
      <c r="A45" s="9" t="s">
        <v>38</v>
      </c>
      <c r="C45" s="37">
        <v>39.744199999999999</v>
      </c>
      <c r="D45" s="37">
        <v>29.23</v>
      </c>
    </row>
    <row r="46" spans="1:9" x14ac:dyDescent="0.2">
      <c r="A46" s="9" t="s">
        <v>40</v>
      </c>
      <c r="C46" s="37">
        <v>21.5473</v>
      </c>
      <c r="D46" s="37">
        <v>15.847099999999999</v>
      </c>
    </row>
    <row r="47" spans="1:9" x14ac:dyDescent="0.2">
      <c r="A47" s="9" t="s">
        <v>39</v>
      </c>
      <c r="C47" s="37">
        <v>42.696899999999999</v>
      </c>
      <c r="D47" s="37">
        <v>31.5383</v>
      </c>
    </row>
    <row r="48" spans="1:9" x14ac:dyDescent="0.2">
      <c r="A48" s="9" t="s">
        <v>41</v>
      </c>
      <c r="C48" s="37">
        <v>23.731100000000001</v>
      </c>
      <c r="D48" s="37">
        <v>17.5289</v>
      </c>
    </row>
    <row r="50" spans="1:4" ht="10.5" x14ac:dyDescent="0.25">
      <c r="A50" s="15" t="s">
        <v>1882</v>
      </c>
      <c r="D50" s="41" t="s">
        <v>36</v>
      </c>
    </row>
    <row r="52" spans="1:4" ht="10.5" x14ac:dyDescent="0.25">
      <c r="A52" s="15" t="s">
        <v>175</v>
      </c>
      <c r="D52" s="42">
        <v>0.24210000000000001</v>
      </c>
    </row>
    <row r="54" spans="1:4" ht="10.5" x14ac:dyDescent="0.25">
      <c r="A54" s="15" t="s">
        <v>1845</v>
      </c>
    </row>
    <row r="55" spans="1:4" ht="10.5" x14ac:dyDescent="0.25">
      <c r="A55" s="15"/>
    </row>
  </sheetData>
  <mergeCells count="1">
    <mergeCell ref="A1:F1"/>
  </mergeCells>
  <conditionalFormatting sqref="F4:F65536 F2">
    <cfRule type="cellIs" dxfId="2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5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98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33.453125" style="9" bestFit="1" customWidth="1"/>
    <col min="3" max="3" width="35.7265625" style="9" bestFit="1" customWidth="1"/>
    <col min="4" max="4" width="15.453125" style="10" bestFit="1" customWidth="1"/>
    <col min="5" max="5" width="13.81640625" style="11" customWidth="1"/>
    <col min="6" max="6" width="9.7265625" style="14" customWidth="1"/>
    <col min="7" max="7" width="4.54296875" style="9" bestFit="1" customWidth="1"/>
    <col min="8" max="16384" width="9.1796875" style="9"/>
  </cols>
  <sheetData>
    <row r="1" spans="1:6" s="1" customFormat="1" ht="14" x14ac:dyDescent="0.25">
      <c r="A1" s="88" t="s">
        <v>1842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7200000</v>
      </c>
      <c r="E6" s="26">
        <v>62056.800000000003</v>
      </c>
      <c r="F6" s="27">
        <v>8.1670791072515296</v>
      </c>
    </row>
    <row r="7" spans="1:6" x14ac:dyDescent="0.2">
      <c r="A7" s="24" t="s">
        <v>58</v>
      </c>
      <c r="B7" s="24" t="s">
        <v>57</v>
      </c>
      <c r="C7" s="24" t="s">
        <v>59</v>
      </c>
      <c r="D7" s="28">
        <v>8700000</v>
      </c>
      <c r="E7" s="26">
        <v>55810.5</v>
      </c>
      <c r="F7" s="27">
        <v>7.3450253399347298</v>
      </c>
    </row>
    <row r="8" spans="1:6" x14ac:dyDescent="0.2">
      <c r="A8" s="24" t="s">
        <v>50</v>
      </c>
      <c r="B8" s="24" t="s">
        <v>49</v>
      </c>
      <c r="C8" s="24" t="s">
        <v>51</v>
      </c>
      <c r="D8" s="28">
        <v>12000000</v>
      </c>
      <c r="E8" s="26">
        <v>52908</v>
      </c>
      <c r="F8" s="27">
        <v>6.9630374335522296</v>
      </c>
    </row>
    <row r="9" spans="1:6" x14ac:dyDescent="0.2">
      <c r="A9" s="24" t="s">
        <v>63</v>
      </c>
      <c r="B9" s="24" t="s">
        <v>62</v>
      </c>
      <c r="C9" s="24" t="s">
        <v>48</v>
      </c>
      <c r="D9" s="28">
        <v>11500000</v>
      </c>
      <c r="E9" s="26">
        <v>37231.25</v>
      </c>
      <c r="F9" s="27">
        <v>4.8998750179167896</v>
      </c>
    </row>
    <row r="10" spans="1:6" x14ac:dyDescent="0.2">
      <c r="A10" s="24" t="s">
        <v>56</v>
      </c>
      <c r="B10" s="24" t="s">
        <v>55</v>
      </c>
      <c r="C10" s="24" t="s">
        <v>48</v>
      </c>
      <c r="D10" s="28">
        <v>7900000</v>
      </c>
      <c r="E10" s="26">
        <v>29941</v>
      </c>
      <c r="F10" s="27">
        <v>3.94043063049042</v>
      </c>
    </row>
    <row r="11" spans="1:6" x14ac:dyDescent="0.2">
      <c r="A11" s="24" t="s">
        <v>142</v>
      </c>
      <c r="B11" s="24" t="s">
        <v>141</v>
      </c>
      <c r="C11" s="24" t="s">
        <v>143</v>
      </c>
      <c r="D11" s="28">
        <v>3650000</v>
      </c>
      <c r="E11" s="26">
        <v>29510.25</v>
      </c>
      <c r="F11" s="27">
        <v>3.8837411246595002</v>
      </c>
    </row>
    <row r="12" spans="1:6" x14ac:dyDescent="0.2">
      <c r="A12" s="24" t="s">
        <v>184</v>
      </c>
      <c r="B12" s="24" t="s">
        <v>183</v>
      </c>
      <c r="C12" s="24" t="s">
        <v>59</v>
      </c>
      <c r="D12" s="28">
        <v>5300000</v>
      </c>
      <c r="E12" s="26">
        <v>23129.200000000001</v>
      </c>
      <c r="F12" s="27">
        <v>3.0439533796045199</v>
      </c>
    </row>
    <row r="13" spans="1:6" x14ac:dyDescent="0.2">
      <c r="A13" s="24" t="s">
        <v>103</v>
      </c>
      <c r="B13" s="24" t="s">
        <v>102</v>
      </c>
      <c r="C13" s="24" t="s">
        <v>48</v>
      </c>
      <c r="D13" s="28">
        <v>11400000</v>
      </c>
      <c r="E13" s="26">
        <v>22440.9</v>
      </c>
      <c r="F13" s="27">
        <v>2.9533686161374901</v>
      </c>
    </row>
    <row r="14" spans="1:6" x14ac:dyDescent="0.2">
      <c r="A14" s="24" t="s">
        <v>508</v>
      </c>
      <c r="B14" s="24" t="s">
        <v>507</v>
      </c>
      <c r="C14" s="24" t="s">
        <v>72</v>
      </c>
      <c r="D14" s="28">
        <v>7700000</v>
      </c>
      <c r="E14" s="26">
        <v>21163.45</v>
      </c>
      <c r="F14" s="27">
        <v>2.7852478750493499</v>
      </c>
    </row>
    <row r="15" spans="1:6" x14ac:dyDescent="0.2">
      <c r="A15" s="24" t="s">
        <v>98</v>
      </c>
      <c r="B15" s="24" t="s">
        <v>97</v>
      </c>
      <c r="C15" s="24" t="s">
        <v>99</v>
      </c>
      <c r="D15" s="28">
        <v>6700000</v>
      </c>
      <c r="E15" s="26">
        <v>19091.650000000001</v>
      </c>
      <c r="F15" s="27">
        <v>2.5125854997028298</v>
      </c>
    </row>
    <row r="16" spans="1:6" x14ac:dyDescent="0.2">
      <c r="A16" s="24" t="s">
        <v>105</v>
      </c>
      <c r="B16" s="24" t="s">
        <v>104</v>
      </c>
      <c r="C16" s="24" t="s">
        <v>72</v>
      </c>
      <c r="D16" s="28">
        <v>2030000</v>
      </c>
      <c r="E16" s="26">
        <v>18652.654999999999</v>
      </c>
      <c r="F16" s="27">
        <v>2.4548108981654</v>
      </c>
    </row>
    <row r="17" spans="1:6" x14ac:dyDescent="0.2">
      <c r="A17" s="24" t="s">
        <v>77</v>
      </c>
      <c r="B17" s="24" t="s">
        <v>76</v>
      </c>
      <c r="C17" s="24" t="s">
        <v>78</v>
      </c>
      <c r="D17" s="28">
        <v>8900000</v>
      </c>
      <c r="E17" s="26">
        <v>16918.900000000001</v>
      </c>
      <c r="F17" s="27">
        <v>2.2266374467854901</v>
      </c>
    </row>
    <row r="18" spans="1:6" x14ac:dyDescent="0.2">
      <c r="A18" s="24" t="s">
        <v>494</v>
      </c>
      <c r="B18" s="24" t="s">
        <v>493</v>
      </c>
      <c r="C18" s="24" t="s">
        <v>66</v>
      </c>
      <c r="D18" s="28">
        <v>1700000</v>
      </c>
      <c r="E18" s="26">
        <v>16464.5</v>
      </c>
      <c r="F18" s="27">
        <v>2.1668354469025601</v>
      </c>
    </row>
    <row r="19" spans="1:6" x14ac:dyDescent="0.2">
      <c r="A19" s="24" t="s">
        <v>82</v>
      </c>
      <c r="B19" s="24" t="s">
        <v>81</v>
      </c>
      <c r="C19" s="24" t="s">
        <v>83</v>
      </c>
      <c r="D19" s="28">
        <v>3400000</v>
      </c>
      <c r="E19" s="26">
        <v>16214.6</v>
      </c>
      <c r="F19" s="27">
        <v>2.1339469790972201</v>
      </c>
    </row>
    <row r="20" spans="1:6" x14ac:dyDescent="0.2">
      <c r="A20" s="24" t="s">
        <v>112</v>
      </c>
      <c r="B20" s="24" t="s">
        <v>111</v>
      </c>
      <c r="C20" s="24" t="s">
        <v>113</v>
      </c>
      <c r="D20" s="28">
        <v>10600000</v>
      </c>
      <c r="E20" s="26">
        <v>16207.4</v>
      </c>
      <c r="F20" s="27">
        <v>2.1329994121976701</v>
      </c>
    </row>
    <row r="21" spans="1:6" x14ac:dyDescent="0.2">
      <c r="A21" s="24" t="s">
        <v>101</v>
      </c>
      <c r="B21" s="24" t="s">
        <v>100</v>
      </c>
      <c r="C21" s="24" t="s">
        <v>91</v>
      </c>
      <c r="D21" s="28">
        <v>19000000</v>
      </c>
      <c r="E21" s="26">
        <v>15998</v>
      </c>
      <c r="F21" s="27">
        <v>2.1054410082023201</v>
      </c>
    </row>
    <row r="22" spans="1:6" x14ac:dyDescent="0.2">
      <c r="A22" s="24" t="s">
        <v>151</v>
      </c>
      <c r="B22" s="24" t="s">
        <v>150</v>
      </c>
      <c r="C22" s="24" t="s">
        <v>59</v>
      </c>
      <c r="D22" s="28">
        <v>2800000</v>
      </c>
      <c r="E22" s="26">
        <v>15834</v>
      </c>
      <c r="F22" s="27">
        <v>2.0838575399347201</v>
      </c>
    </row>
    <row r="23" spans="1:6" x14ac:dyDescent="0.2">
      <c r="A23" s="24" t="s">
        <v>149</v>
      </c>
      <c r="B23" s="24" t="s">
        <v>148</v>
      </c>
      <c r="C23" s="24" t="s">
        <v>72</v>
      </c>
      <c r="D23" s="28">
        <v>3500000</v>
      </c>
      <c r="E23" s="26">
        <v>15751.75</v>
      </c>
      <c r="F23" s="27">
        <v>2.07303290417246</v>
      </c>
    </row>
    <row r="24" spans="1:6" x14ac:dyDescent="0.2">
      <c r="A24" s="24" t="s">
        <v>61</v>
      </c>
      <c r="B24" s="24" t="s">
        <v>60</v>
      </c>
      <c r="C24" s="24" t="s">
        <v>48</v>
      </c>
      <c r="D24" s="28">
        <v>1200000</v>
      </c>
      <c r="E24" s="26">
        <v>15552.6</v>
      </c>
      <c r="F24" s="27">
        <v>2.0468234669438301</v>
      </c>
    </row>
    <row r="25" spans="1:6" x14ac:dyDescent="0.2">
      <c r="A25" s="24" t="s">
        <v>510</v>
      </c>
      <c r="B25" s="24" t="s">
        <v>509</v>
      </c>
      <c r="C25" s="24" t="s">
        <v>72</v>
      </c>
      <c r="D25" s="28">
        <v>3200000</v>
      </c>
      <c r="E25" s="26">
        <v>15507.2</v>
      </c>
      <c r="F25" s="27">
        <v>2.0408485312160898</v>
      </c>
    </row>
    <row r="26" spans="1:6" x14ac:dyDescent="0.2">
      <c r="A26" s="24" t="s">
        <v>96</v>
      </c>
      <c r="B26" s="24" t="s">
        <v>95</v>
      </c>
      <c r="C26" s="24" t="s">
        <v>54</v>
      </c>
      <c r="D26" s="28">
        <v>5800000</v>
      </c>
      <c r="E26" s="26">
        <v>15500.5</v>
      </c>
      <c r="F26" s="27">
        <v>2.0399667675734499</v>
      </c>
    </row>
    <row r="27" spans="1:6" x14ac:dyDescent="0.2">
      <c r="A27" s="24" t="s">
        <v>145</v>
      </c>
      <c r="B27" s="24" t="s">
        <v>144</v>
      </c>
      <c r="C27" s="24" t="s">
        <v>66</v>
      </c>
      <c r="D27" s="28">
        <v>460000</v>
      </c>
      <c r="E27" s="26">
        <v>14926.31</v>
      </c>
      <c r="F27" s="27">
        <v>1.9643996233992</v>
      </c>
    </row>
    <row r="28" spans="1:6" x14ac:dyDescent="0.2">
      <c r="A28" s="24" t="s">
        <v>65</v>
      </c>
      <c r="B28" s="24" t="s">
        <v>64</v>
      </c>
      <c r="C28" s="24" t="s">
        <v>66</v>
      </c>
      <c r="D28" s="28">
        <v>3100000</v>
      </c>
      <c r="E28" s="26">
        <v>14759.1</v>
      </c>
      <c r="F28" s="27">
        <v>1.9423936982222101</v>
      </c>
    </row>
    <row r="29" spans="1:6" x14ac:dyDescent="0.2">
      <c r="A29" s="24" t="s">
        <v>512</v>
      </c>
      <c r="B29" s="24" t="s">
        <v>511</v>
      </c>
      <c r="C29" s="24" t="s">
        <v>54</v>
      </c>
      <c r="D29" s="28">
        <v>4000000</v>
      </c>
      <c r="E29" s="26">
        <v>14092</v>
      </c>
      <c r="F29" s="27">
        <v>1.8545989928483</v>
      </c>
    </row>
    <row r="30" spans="1:6" x14ac:dyDescent="0.2">
      <c r="A30" s="24" t="s">
        <v>514</v>
      </c>
      <c r="B30" s="24" t="s">
        <v>513</v>
      </c>
      <c r="C30" s="24" t="s">
        <v>132</v>
      </c>
      <c r="D30" s="28">
        <v>3900000</v>
      </c>
      <c r="E30" s="26">
        <v>13872.3</v>
      </c>
      <c r="F30" s="27">
        <v>1.8256850417605399</v>
      </c>
    </row>
    <row r="31" spans="1:6" x14ac:dyDescent="0.2">
      <c r="A31" s="24" t="s">
        <v>496</v>
      </c>
      <c r="B31" s="24" t="s">
        <v>495</v>
      </c>
      <c r="C31" s="24" t="s">
        <v>54</v>
      </c>
      <c r="D31" s="28">
        <v>2300000</v>
      </c>
      <c r="E31" s="26">
        <v>13561.95</v>
      </c>
      <c r="F31" s="27">
        <v>1.78484096019437</v>
      </c>
    </row>
    <row r="32" spans="1:6" x14ac:dyDescent="0.2">
      <c r="A32" s="24" t="s">
        <v>120</v>
      </c>
      <c r="B32" s="24" t="s">
        <v>119</v>
      </c>
      <c r="C32" s="24" t="s">
        <v>99</v>
      </c>
      <c r="D32" s="28">
        <v>4000000</v>
      </c>
      <c r="E32" s="26">
        <v>11902</v>
      </c>
      <c r="F32" s="27">
        <v>1.5663807275674499</v>
      </c>
    </row>
    <row r="33" spans="1:6" x14ac:dyDescent="0.2">
      <c r="A33" s="24" t="s">
        <v>124</v>
      </c>
      <c r="B33" s="24" t="s">
        <v>123</v>
      </c>
      <c r="C33" s="24" t="s">
        <v>99</v>
      </c>
      <c r="D33" s="28">
        <v>16500000</v>
      </c>
      <c r="E33" s="26">
        <v>11723.25</v>
      </c>
      <c r="F33" s="27">
        <v>1.5428560632209001</v>
      </c>
    </row>
    <row r="34" spans="1:6" x14ac:dyDescent="0.2">
      <c r="A34" s="24" t="s">
        <v>131</v>
      </c>
      <c r="B34" s="24" t="s">
        <v>130</v>
      </c>
      <c r="C34" s="24" t="s">
        <v>132</v>
      </c>
      <c r="D34" s="28">
        <v>650000</v>
      </c>
      <c r="E34" s="26">
        <v>10615.15</v>
      </c>
      <c r="F34" s="27">
        <v>1.39702288524934</v>
      </c>
    </row>
    <row r="35" spans="1:6" x14ac:dyDescent="0.2">
      <c r="A35" s="24" t="s">
        <v>169</v>
      </c>
      <c r="B35" s="24" t="s">
        <v>168</v>
      </c>
      <c r="C35" s="24" t="s">
        <v>69</v>
      </c>
      <c r="D35" s="28">
        <v>12000000</v>
      </c>
      <c r="E35" s="26">
        <v>9186</v>
      </c>
      <c r="F35" s="27">
        <v>1.20893743601366</v>
      </c>
    </row>
    <row r="36" spans="1:6" x14ac:dyDescent="0.2">
      <c r="A36" s="24" t="s">
        <v>337</v>
      </c>
      <c r="B36" s="24" t="s">
        <v>336</v>
      </c>
      <c r="C36" s="24" t="s">
        <v>72</v>
      </c>
      <c r="D36" s="28">
        <v>8700000</v>
      </c>
      <c r="E36" s="26">
        <v>8021.4</v>
      </c>
      <c r="F36" s="27">
        <v>1.0556684900108799</v>
      </c>
    </row>
    <row r="37" spans="1:6" x14ac:dyDescent="0.2">
      <c r="A37" s="24" t="s">
        <v>516</v>
      </c>
      <c r="B37" s="24" t="s">
        <v>515</v>
      </c>
      <c r="C37" s="24" t="s">
        <v>78</v>
      </c>
      <c r="D37" s="28">
        <v>700000</v>
      </c>
      <c r="E37" s="26">
        <v>7796.25</v>
      </c>
      <c r="F37" s="27">
        <v>1.02603728342276</v>
      </c>
    </row>
    <row r="38" spans="1:6" x14ac:dyDescent="0.2">
      <c r="A38" s="24" t="s">
        <v>237</v>
      </c>
      <c r="B38" s="24" t="s">
        <v>236</v>
      </c>
      <c r="C38" s="24" t="s">
        <v>110</v>
      </c>
      <c r="D38" s="28">
        <v>1850000</v>
      </c>
      <c r="E38" s="26">
        <v>7265.875</v>
      </c>
      <c r="F38" s="27">
        <v>0.95623647865183503</v>
      </c>
    </row>
    <row r="39" spans="1:6" x14ac:dyDescent="0.2">
      <c r="A39" s="24" t="s">
        <v>85</v>
      </c>
      <c r="B39" s="24" t="s">
        <v>84</v>
      </c>
      <c r="C39" s="24" t="s">
        <v>86</v>
      </c>
      <c r="D39" s="28">
        <v>7500000</v>
      </c>
      <c r="E39" s="26">
        <v>7177.5</v>
      </c>
      <c r="F39" s="27">
        <v>0.94460575299238503</v>
      </c>
    </row>
    <row r="40" spans="1:6" x14ac:dyDescent="0.2">
      <c r="A40" s="24" t="s">
        <v>385</v>
      </c>
      <c r="B40" s="24" t="s">
        <v>384</v>
      </c>
      <c r="C40" s="24" t="s">
        <v>66</v>
      </c>
      <c r="D40" s="28">
        <v>3200000</v>
      </c>
      <c r="E40" s="26">
        <v>6272</v>
      </c>
      <c r="F40" s="27">
        <v>0.82543605472215098</v>
      </c>
    </row>
    <row r="41" spans="1:6" x14ac:dyDescent="0.2">
      <c r="A41" s="24" t="s">
        <v>295</v>
      </c>
      <c r="B41" s="24" t="s">
        <v>294</v>
      </c>
      <c r="C41" s="24" t="s">
        <v>51</v>
      </c>
      <c r="D41" s="28">
        <v>200000000</v>
      </c>
      <c r="E41" s="26">
        <v>6200</v>
      </c>
      <c r="F41" s="27">
        <v>0.815960385726616</v>
      </c>
    </row>
    <row r="42" spans="1:6" x14ac:dyDescent="0.2">
      <c r="A42" s="24" t="s">
        <v>68</v>
      </c>
      <c r="B42" s="24" t="s">
        <v>67</v>
      </c>
      <c r="C42" s="24" t="s">
        <v>69</v>
      </c>
      <c r="D42" s="28">
        <v>3000000</v>
      </c>
      <c r="E42" s="26">
        <v>5991</v>
      </c>
      <c r="F42" s="27">
        <v>0.78845462433680003</v>
      </c>
    </row>
    <row r="43" spans="1:6" x14ac:dyDescent="0.2">
      <c r="A43" s="24" t="s">
        <v>157</v>
      </c>
      <c r="B43" s="24" t="s">
        <v>156</v>
      </c>
      <c r="C43" s="24" t="s">
        <v>78</v>
      </c>
      <c r="D43" s="28">
        <v>7000000</v>
      </c>
      <c r="E43" s="26">
        <v>5715.5</v>
      </c>
      <c r="F43" s="27">
        <v>0.75219702977749603</v>
      </c>
    </row>
    <row r="44" spans="1:6" x14ac:dyDescent="0.2">
      <c r="A44" s="24" t="s">
        <v>438</v>
      </c>
      <c r="B44" s="24" t="s">
        <v>437</v>
      </c>
      <c r="C44" s="24" t="s">
        <v>83</v>
      </c>
      <c r="D44" s="28">
        <v>2600000</v>
      </c>
      <c r="E44" s="26">
        <v>5428.8</v>
      </c>
      <c r="F44" s="27">
        <v>0.71446544226333097</v>
      </c>
    </row>
    <row r="45" spans="1:6" x14ac:dyDescent="0.2">
      <c r="A45" s="24" t="s">
        <v>518</v>
      </c>
      <c r="B45" s="24" t="s">
        <v>517</v>
      </c>
      <c r="C45" s="24" t="s">
        <v>132</v>
      </c>
      <c r="D45" s="28">
        <v>12000000</v>
      </c>
      <c r="E45" s="26">
        <v>5058</v>
      </c>
      <c r="F45" s="27">
        <v>0.66566574693632696</v>
      </c>
    </row>
    <row r="46" spans="1:6" x14ac:dyDescent="0.2">
      <c r="A46" s="24" t="s">
        <v>109</v>
      </c>
      <c r="B46" s="24" t="s">
        <v>108</v>
      </c>
      <c r="C46" s="24" t="s">
        <v>110</v>
      </c>
      <c r="D46" s="28">
        <v>1500000</v>
      </c>
      <c r="E46" s="26">
        <v>4900.5</v>
      </c>
      <c r="F46" s="27">
        <v>0.64493772100859403</v>
      </c>
    </row>
    <row r="47" spans="1:6" x14ac:dyDescent="0.2">
      <c r="A47" s="24" t="s">
        <v>213</v>
      </c>
      <c r="B47" s="24" t="s">
        <v>212</v>
      </c>
      <c r="C47" s="24" t="s">
        <v>214</v>
      </c>
      <c r="D47" s="28">
        <v>7950508</v>
      </c>
      <c r="E47" s="26">
        <v>4790.1810699999996</v>
      </c>
      <c r="F47" s="27">
        <v>0.63041903122218301</v>
      </c>
    </row>
    <row r="48" spans="1:6" x14ac:dyDescent="0.2">
      <c r="A48" s="24" t="s">
        <v>226</v>
      </c>
      <c r="B48" s="24" t="s">
        <v>225</v>
      </c>
      <c r="C48" s="24" t="s">
        <v>227</v>
      </c>
      <c r="D48" s="28">
        <v>1200000</v>
      </c>
      <c r="E48" s="26">
        <v>3553.2</v>
      </c>
      <c r="F48" s="27">
        <v>0.46762426492964698</v>
      </c>
    </row>
    <row r="49" spans="1:9" x14ac:dyDescent="0.2">
      <c r="A49" s="24" t="s">
        <v>117</v>
      </c>
      <c r="B49" s="24" t="s">
        <v>116</v>
      </c>
      <c r="C49" s="24" t="s">
        <v>118</v>
      </c>
      <c r="D49" s="28">
        <v>7000000</v>
      </c>
      <c r="E49" s="26">
        <v>3188.5</v>
      </c>
      <c r="F49" s="27">
        <v>0.41962736933698602</v>
      </c>
    </row>
    <row r="50" spans="1:9" x14ac:dyDescent="0.2">
      <c r="A50" s="24" t="s">
        <v>469</v>
      </c>
      <c r="B50" s="24" t="s">
        <v>468</v>
      </c>
      <c r="C50" s="24" t="s">
        <v>110</v>
      </c>
      <c r="D50" s="28">
        <v>1241725</v>
      </c>
      <c r="E50" s="26">
        <v>2917.4328879999998</v>
      </c>
      <c r="F50" s="27">
        <v>0.38395317171354798</v>
      </c>
    </row>
    <row r="51" spans="1:9" x14ac:dyDescent="0.2">
      <c r="A51" s="24" t="s">
        <v>161</v>
      </c>
      <c r="B51" s="24" t="s">
        <v>160</v>
      </c>
      <c r="C51" s="24" t="s">
        <v>162</v>
      </c>
      <c r="D51" s="28">
        <v>3097076</v>
      </c>
      <c r="E51" s="26">
        <v>2322.8069999999998</v>
      </c>
      <c r="F51" s="27">
        <v>0.30569653156265902</v>
      </c>
    </row>
    <row r="52" spans="1:9" x14ac:dyDescent="0.2">
      <c r="A52" s="24" t="s">
        <v>433</v>
      </c>
      <c r="B52" s="24" t="s">
        <v>432</v>
      </c>
      <c r="C52" s="24" t="s">
        <v>113</v>
      </c>
      <c r="D52" s="28">
        <v>1450000</v>
      </c>
      <c r="E52" s="26">
        <v>2124.9749999999999</v>
      </c>
      <c r="F52" s="27">
        <v>0.27966055171926102</v>
      </c>
    </row>
    <row r="53" spans="1:9" x14ac:dyDescent="0.2">
      <c r="A53" s="24" t="s">
        <v>218</v>
      </c>
      <c r="B53" s="24" t="s">
        <v>217</v>
      </c>
      <c r="C53" s="24" t="s">
        <v>132</v>
      </c>
      <c r="D53" s="28">
        <v>300000</v>
      </c>
      <c r="E53" s="26">
        <v>1923</v>
      </c>
      <c r="F53" s="27">
        <v>0.25307932608907802</v>
      </c>
    </row>
    <row r="54" spans="1:9" x14ac:dyDescent="0.2">
      <c r="A54" s="24" t="s">
        <v>179</v>
      </c>
      <c r="B54" s="24" t="s">
        <v>178</v>
      </c>
      <c r="C54" s="24" t="s">
        <v>75</v>
      </c>
      <c r="D54" s="28">
        <v>2000000</v>
      </c>
      <c r="E54" s="26">
        <v>1588</v>
      </c>
      <c r="F54" s="27">
        <v>0.20899114395707499</v>
      </c>
    </row>
    <row r="55" spans="1:9" x14ac:dyDescent="0.2">
      <c r="A55" s="24" t="s">
        <v>186</v>
      </c>
      <c r="B55" s="24" t="s">
        <v>185</v>
      </c>
      <c r="C55" s="24" t="s">
        <v>99</v>
      </c>
      <c r="D55" s="28">
        <v>5000000</v>
      </c>
      <c r="E55" s="26">
        <v>1547.5</v>
      </c>
      <c r="F55" s="27">
        <v>0.203661080147087</v>
      </c>
    </row>
    <row r="56" spans="1:9" x14ac:dyDescent="0.2">
      <c r="A56" s="24" t="s">
        <v>122</v>
      </c>
      <c r="B56" s="24" t="s">
        <v>121</v>
      </c>
      <c r="C56" s="24" t="s">
        <v>48</v>
      </c>
      <c r="D56" s="28">
        <v>7000000</v>
      </c>
      <c r="E56" s="26">
        <v>1414</v>
      </c>
      <c r="F56" s="27">
        <v>0.18609161055119899</v>
      </c>
    </row>
    <row r="57" spans="1:9" x14ac:dyDescent="0.2">
      <c r="A57" s="24" t="s">
        <v>520</v>
      </c>
      <c r="B57" s="24" t="s">
        <v>519</v>
      </c>
      <c r="C57" s="24" t="s">
        <v>165</v>
      </c>
      <c r="D57" s="28">
        <v>6000000</v>
      </c>
      <c r="E57" s="26">
        <v>1179</v>
      </c>
      <c r="F57" s="27">
        <v>0.15516407980188399</v>
      </c>
    </row>
    <row r="58" spans="1:9" x14ac:dyDescent="0.2">
      <c r="A58" s="24" t="s">
        <v>522</v>
      </c>
      <c r="B58" s="24" t="s">
        <v>521</v>
      </c>
      <c r="C58" s="24" t="s">
        <v>196</v>
      </c>
      <c r="D58" s="28">
        <v>22000000</v>
      </c>
      <c r="E58" s="26">
        <v>1111</v>
      </c>
      <c r="F58" s="27">
        <v>0.14621483686165701</v>
      </c>
    </row>
    <row r="59" spans="1:9" x14ac:dyDescent="0.2">
      <c r="A59" s="45"/>
      <c r="B59" s="45" t="s">
        <v>658</v>
      </c>
      <c r="C59" s="45" t="s">
        <v>165</v>
      </c>
      <c r="D59" s="46">
        <v>493617</v>
      </c>
      <c r="E59" s="47">
        <v>0</v>
      </c>
      <c r="F59" s="47">
        <v>0</v>
      </c>
    </row>
    <row r="60" spans="1:9" ht="10.5" x14ac:dyDescent="0.25">
      <c r="A60" s="23" t="s">
        <v>24</v>
      </c>
      <c r="B60" s="23"/>
      <c r="C60" s="23"/>
      <c r="D60" s="29"/>
      <c r="E60" s="30">
        <f>SUM(E6:E59)</f>
        <v>744009.58595800016</v>
      </c>
      <c r="F60" s="31">
        <f>SUM(F6:F59)</f>
        <v>97.916507861707956</v>
      </c>
      <c r="G60" s="15"/>
      <c r="H60" s="15"/>
      <c r="I60" s="15"/>
    </row>
    <row r="61" spans="1:9" x14ac:dyDescent="0.2">
      <c r="A61" s="24"/>
      <c r="B61" s="24"/>
      <c r="C61" s="24"/>
      <c r="D61" s="25"/>
      <c r="E61" s="26"/>
      <c r="F61" s="27"/>
    </row>
    <row r="62" spans="1:9" ht="10.5" x14ac:dyDescent="0.25">
      <c r="A62" s="23" t="s">
        <v>1891</v>
      </c>
      <c r="B62" s="24"/>
      <c r="C62" s="24"/>
      <c r="D62" s="25"/>
      <c r="E62" s="26"/>
      <c r="F62" s="27"/>
    </row>
    <row r="63" spans="1:9" x14ac:dyDescent="0.2">
      <c r="A63" s="24"/>
      <c r="B63" s="24" t="s">
        <v>1848</v>
      </c>
      <c r="C63" s="24" t="s">
        <v>132</v>
      </c>
      <c r="D63" s="28">
        <v>73500</v>
      </c>
      <c r="E63" s="26">
        <v>7.3499999999999998E-3</v>
      </c>
      <c r="F63" s="27">
        <v>9.6730787662752099E-7</v>
      </c>
    </row>
    <row r="64" spans="1:9" x14ac:dyDescent="0.2">
      <c r="A64" s="24"/>
      <c r="B64" s="24" t="s">
        <v>1852</v>
      </c>
      <c r="C64" s="24" t="s">
        <v>59</v>
      </c>
      <c r="D64" s="28">
        <v>45000</v>
      </c>
      <c r="E64" s="26">
        <v>4.4999999999999997E-3</v>
      </c>
      <c r="F64" s="27">
        <v>5.9222931222093102E-7</v>
      </c>
    </row>
    <row r="65" spans="1:9" x14ac:dyDescent="0.2">
      <c r="A65" s="24" t="s">
        <v>490</v>
      </c>
      <c r="B65" s="24" t="s">
        <v>1849</v>
      </c>
      <c r="C65" s="24" t="s">
        <v>379</v>
      </c>
      <c r="D65" s="28">
        <v>38000</v>
      </c>
      <c r="E65" s="26">
        <v>3.8E-3</v>
      </c>
      <c r="F65" s="27">
        <v>5.0010475254212E-7</v>
      </c>
    </row>
    <row r="66" spans="1:9" ht="10.5" x14ac:dyDescent="0.25">
      <c r="A66" s="23" t="s">
        <v>24</v>
      </c>
      <c r="B66" s="23"/>
      <c r="C66" s="23"/>
      <c r="D66" s="29"/>
      <c r="E66" s="30">
        <f>SUM(E62:E65)</f>
        <v>1.5650000000000001E-2</v>
      </c>
      <c r="F66" s="31">
        <f>SUM(F62:F65)</f>
        <v>2.0596419413905721E-6</v>
      </c>
      <c r="G66" s="15"/>
      <c r="H66" s="15"/>
      <c r="I66" s="15"/>
    </row>
    <row r="67" spans="1:9" x14ac:dyDescent="0.2">
      <c r="A67" s="24"/>
      <c r="B67" s="24"/>
      <c r="C67" s="24"/>
      <c r="D67" s="25"/>
      <c r="E67" s="26"/>
      <c r="F67" s="27"/>
    </row>
    <row r="68" spans="1:9" ht="10.5" x14ac:dyDescent="0.25">
      <c r="A68" s="23" t="s">
        <v>25</v>
      </c>
      <c r="B68" s="23"/>
      <c r="C68" s="23"/>
      <c r="D68" s="29"/>
      <c r="E68" s="30">
        <f>E60+E66</f>
        <v>744009.60160800011</v>
      </c>
      <c r="F68" s="31">
        <f>F60+F66</f>
        <v>97.916509921349899</v>
      </c>
      <c r="G68" s="15"/>
      <c r="H68" s="15"/>
      <c r="I68" s="15"/>
    </row>
    <row r="69" spans="1:9" ht="10.5" x14ac:dyDescent="0.25">
      <c r="A69" s="23"/>
      <c r="B69" s="23"/>
      <c r="C69" s="23"/>
      <c r="D69" s="29"/>
      <c r="E69" s="30"/>
      <c r="F69" s="31"/>
      <c r="G69" s="15"/>
      <c r="H69" s="15"/>
      <c r="I69" s="15"/>
    </row>
    <row r="70" spans="1:9" ht="10.5" x14ac:dyDescent="0.25">
      <c r="A70" s="23" t="s">
        <v>27</v>
      </c>
      <c r="B70" s="23"/>
      <c r="C70" s="23"/>
      <c r="D70" s="29"/>
      <c r="E70" s="30">
        <f>E72-(E60+E66)</f>
        <v>15831.207879199879</v>
      </c>
      <c r="F70" s="31">
        <f>F72-(F60+F66)</f>
        <v>2.0834900786501009</v>
      </c>
      <c r="G70" s="15"/>
      <c r="H70" s="15"/>
      <c r="I70" s="15"/>
    </row>
    <row r="71" spans="1:9" ht="10.5" x14ac:dyDescent="0.25">
      <c r="A71" s="23"/>
      <c r="B71" s="23"/>
      <c r="C71" s="23"/>
      <c r="D71" s="29"/>
      <c r="E71" s="30"/>
      <c r="F71" s="31"/>
      <c r="G71" s="15"/>
      <c r="H71" s="15"/>
      <c r="I71" s="15"/>
    </row>
    <row r="72" spans="1:9" ht="10.5" x14ac:dyDescent="0.25">
      <c r="A72" s="32" t="s">
        <v>26</v>
      </c>
      <c r="B72" s="32"/>
      <c r="C72" s="32"/>
      <c r="D72" s="33"/>
      <c r="E72" s="34">
        <v>759840.80948719999</v>
      </c>
      <c r="F72" s="35">
        <v>100</v>
      </c>
      <c r="G72" s="15"/>
      <c r="H72" s="15"/>
      <c r="I72" s="15"/>
    </row>
    <row r="73" spans="1:9" ht="15" customHeight="1" x14ac:dyDescent="0.25">
      <c r="A73" s="15" t="s">
        <v>657</v>
      </c>
      <c r="E73" s="99" t="s">
        <v>37</v>
      </c>
      <c r="F73" s="99"/>
    </row>
    <row r="74" spans="1:9" ht="10.5" x14ac:dyDescent="0.25">
      <c r="A74" s="15" t="s">
        <v>872</v>
      </c>
      <c r="F74" s="17"/>
    </row>
    <row r="75" spans="1:9" ht="10.5" x14ac:dyDescent="0.25">
      <c r="A75" s="15"/>
      <c r="F75" s="17"/>
    </row>
    <row r="76" spans="1:9" ht="10.5" x14ac:dyDescent="0.25">
      <c r="A76" s="15" t="s">
        <v>28</v>
      </c>
    </row>
    <row r="77" spans="1:9" ht="10.5" x14ac:dyDescent="0.25">
      <c r="A77" s="15" t="s">
        <v>29</v>
      </c>
    </row>
    <row r="78" spans="1:9" ht="10.5" x14ac:dyDescent="0.25">
      <c r="A78" s="15" t="s">
        <v>30</v>
      </c>
      <c r="B78" s="15"/>
      <c r="C78" s="36" t="s">
        <v>32</v>
      </c>
      <c r="D78" s="16" t="s">
        <v>31</v>
      </c>
    </row>
    <row r="79" spans="1:9" x14ac:dyDescent="0.2">
      <c r="A79" s="9" t="s">
        <v>38</v>
      </c>
      <c r="C79" s="37">
        <v>566.09040000000005</v>
      </c>
      <c r="D79" s="37">
        <v>415.64640000000003</v>
      </c>
    </row>
    <row r="80" spans="1:9" x14ac:dyDescent="0.2">
      <c r="A80" s="9" t="s">
        <v>40</v>
      </c>
      <c r="C80" s="37">
        <v>34.568300000000001</v>
      </c>
      <c r="D80" s="37">
        <v>23.4558</v>
      </c>
    </row>
    <row r="81" spans="1:6" x14ac:dyDescent="0.2">
      <c r="A81" s="9" t="s">
        <v>39</v>
      </c>
      <c r="C81" s="37">
        <v>603.06849999999997</v>
      </c>
      <c r="D81" s="37">
        <v>444.58699999999999</v>
      </c>
    </row>
    <row r="82" spans="1:6" x14ac:dyDescent="0.2">
      <c r="A82" s="9" t="s">
        <v>41</v>
      </c>
      <c r="C82" s="37">
        <v>37.461100000000002</v>
      </c>
      <c r="D82" s="37">
        <v>25.688400000000001</v>
      </c>
    </row>
    <row r="84" spans="1:6" ht="10.5" x14ac:dyDescent="0.25">
      <c r="A84" s="15" t="s">
        <v>1882</v>
      </c>
    </row>
    <row r="85" spans="1:6" ht="10.5" x14ac:dyDescent="0.25">
      <c r="A85" s="90" t="s">
        <v>33</v>
      </c>
      <c r="B85" s="91"/>
      <c r="C85" s="92" t="s">
        <v>1883</v>
      </c>
      <c r="D85" s="93"/>
    </row>
    <row r="86" spans="1:6" ht="10.5" x14ac:dyDescent="0.25">
      <c r="A86" s="90"/>
      <c r="B86" s="91"/>
      <c r="C86" s="38" t="s">
        <v>34</v>
      </c>
      <c r="D86" s="39" t="s">
        <v>35</v>
      </c>
    </row>
    <row r="87" spans="1:6" x14ac:dyDescent="0.2">
      <c r="A87" s="96" t="s">
        <v>40</v>
      </c>
      <c r="B87" s="97"/>
      <c r="C87" s="40">
        <v>2.4348732924999998</v>
      </c>
      <c r="D87" s="40">
        <v>2.4348732924999998</v>
      </c>
    </row>
    <row r="88" spans="1:6" x14ac:dyDescent="0.2">
      <c r="A88" s="96" t="s">
        <v>41</v>
      </c>
      <c r="B88" s="97"/>
      <c r="C88" s="40">
        <v>2.4348732924999998</v>
      </c>
      <c r="D88" s="40">
        <v>2.4348732924999998</v>
      </c>
    </row>
    <row r="90" spans="1:6" ht="10.5" x14ac:dyDescent="0.25">
      <c r="A90" s="15" t="s">
        <v>175</v>
      </c>
      <c r="D90" s="42">
        <v>0.20130000000000001</v>
      </c>
    </row>
    <row r="92" spans="1:6" ht="11.25" customHeight="1" x14ac:dyDescent="0.25">
      <c r="A92" s="70" t="s">
        <v>1868</v>
      </c>
      <c r="B92" s="69"/>
      <c r="C92" s="69"/>
      <c r="D92" s="69"/>
      <c r="E92" s="69"/>
      <c r="F92" s="69"/>
    </row>
    <row r="94" spans="1:6" ht="10.5" x14ac:dyDescent="0.25">
      <c r="A94" s="15" t="s">
        <v>1789</v>
      </c>
      <c r="D94" s="41">
        <v>1</v>
      </c>
    </row>
    <row r="95" spans="1:6" x14ac:dyDescent="0.2">
      <c r="A95" s="9" t="s">
        <v>885</v>
      </c>
    </row>
    <row r="96" spans="1:6" ht="14.5" x14ac:dyDescent="0.35">
      <c r="A96" s="49" t="s">
        <v>1898</v>
      </c>
    </row>
    <row r="97" spans="1:1" ht="14.5" x14ac:dyDescent="0.35">
      <c r="A97" s="49"/>
    </row>
    <row r="98" spans="1:1" ht="10.5" x14ac:dyDescent="0.25">
      <c r="A98" s="15" t="s">
        <v>1843</v>
      </c>
    </row>
  </sheetData>
  <mergeCells count="7">
    <mergeCell ref="A88:B88"/>
    <mergeCell ref="E73:F73"/>
    <mergeCell ref="A1:F1"/>
    <mergeCell ref="C85:D85"/>
    <mergeCell ref="A85:B85"/>
    <mergeCell ref="A86:B86"/>
    <mergeCell ref="A87:B87"/>
  </mergeCells>
  <conditionalFormatting sqref="F2 F93 F4:F72 F74:F91 E73 F98:F65536">
    <cfRule type="cellIs" dxfId="21" priority="2" stopIfTrue="1" operator="between">
      <formula>0.009</formula>
      <formula>-0.009</formula>
    </cfRule>
  </conditionalFormatting>
  <conditionalFormatting sqref="F94:F97">
    <cfRule type="cellIs" dxfId="20" priority="1" stopIfTrue="1" operator="between">
      <formula>0.009</formula>
      <formula>-0.009</formula>
    </cfRule>
  </conditionalFormatting>
  <hyperlinks>
    <hyperlink ref="A96" r:id="rId1" xr:uid="{00000000-0004-0000-3000-000000000000}"/>
  </hyperlinks>
  <pageMargins left="0.7" right="0.7" top="0.75" bottom="0.75" header="0.3" footer="0.3"/>
  <pageSetup paperSize="9" scale="57" orientation="portrait" r:id="rId2"/>
  <headerFooter>
    <evenFooter>&amp;LPUBLIC</evenFooter>
    <firstFooter>&amp;LPUBLIC</firstFooter>
  </headerFooter>
  <colBreaks count="1" manualBreakCount="1">
    <brk id="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79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27.54296875" style="9" bestFit="1" customWidth="1"/>
    <col min="3" max="3" width="35.7265625" style="9" bestFit="1" customWidth="1"/>
    <col min="4" max="4" width="15.453125" style="10" bestFit="1" customWidth="1"/>
    <col min="5" max="5" width="14.26953125" style="11" customWidth="1"/>
    <col min="6" max="6" width="9.7265625" style="14" customWidth="1"/>
    <col min="7" max="7" width="5.54296875" style="9" bestFit="1" customWidth="1"/>
    <col min="8" max="16384" width="9.1796875" style="9"/>
  </cols>
  <sheetData>
    <row r="1" spans="1:6" s="1" customFormat="1" ht="14" x14ac:dyDescent="0.25">
      <c r="A1" s="88" t="s">
        <v>1840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56</v>
      </c>
      <c r="B6" s="24" t="s">
        <v>55</v>
      </c>
      <c r="C6" s="24" t="s">
        <v>48</v>
      </c>
      <c r="D6" s="28">
        <v>4033870</v>
      </c>
      <c r="E6" s="26">
        <v>15288.3673</v>
      </c>
      <c r="F6" s="27">
        <v>9.0843122347505894</v>
      </c>
    </row>
    <row r="7" spans="1:6" x14ac:dyDescent="0.2">
      <c r="A7" s="24" t="s">
        <v>47</v>
      </c>
      <c r="B7" s="24" t="s">
        <v>46</v>
      </c>
      <c r="C7" s="24" t="s">
        <v>48</v>
      </c>
      <c r="D7" s="28">
        <v>1638046</v>
      </c>
      <c r="E7" s="26">
        <v>14118.31847</v>
      </c>
      <c r="F7" s="27">
        <v>8.3890719456436802</v>
      </c>
    </row>
    <row r="8" spans="1:6" x14ac:dyDescent="0.2">
      <c r="A8" s="24" t="s">
        <v>58</v>
      </c>
      <c r="B8" s="24" t="s">
        <v>57</v>
      </c>
      <c r="C8" s="24" t="s">
        <v>59</v>
      </c>
      <c r="D8" s="28">
        <v>1679339</v>
      </c>
      <c r="E8" s="26">
        <v>10772.95969</v>
      </c>
      <c r="F8" s="27">
        <v>6.4012675517248896</v>
      </c>
    </row>
    <row r="9" spans="1:6" x14ac:dyDescent="0.2">
      <c r="A9" s="24" t="s">
        <v>63</v>
      </c>
      <c r="B9" s="24" t="s">
        <v>62</v>
      </c>
      <c r="C9" s="24" t="s">
        <v>48</v>
      </c>
      <c r="D9" s="28">
        <v>3085871</v>
      </c>
      <c r="E9" s="26">
        <v>9990.5073630000006</v>
      </c>
      <c r="F9" s="27">
        <v>5.9363362017778503</v>
      </c>
    </row>
    <row r="10" spans="1:6" x14ac:dyDescent="0.2">
      <c r="A10" s="24" t="s">
        <v>50</v>
      </c>
      <c r="B10" s="24" t="s">
        <v>49</v>
      </c>
      <c r="C10" s="24" t="s">
        <v>51</v>
      </c>
      <c r="D10" s="28">
        <v>1883873</v>
      </c>
      <c r="E10" s="26">
        <v>8305.9960570000003</v>
      </c>
      <c r="F10" s="27">
        <v>4.93540350789422</v>
      </c>
    </row>
    <row r="11" spans="1:6" x14ac:dyDescent="0.2">
      <c r="A11" s="24" t="s">
        <v>65</v>
      </c>
      <c r="B11" s="24" t="s">
        <v>64</v>
      </c>
      <c r="C11" s="24" t="s">
        <v>66</v>
      </c>
      <c r="D11" s="28">
        <v>980035</v>
      </c>
      <c r="E11" s="26">
        <v>4665.9466350000002</v>
      </c>
      <c r="F11" s="27">
        <v>2.7724946209935601</v>
      </c>
    </row>
    <row r="12" spans="1:6" x14ac:dyDescent="0.2">
      <c r="A12" s="24" t="s">
        <v>147</v>
      </c>
      <c r="B12" s="24" t="s">
        <v>146</v>
      </c>
      <c r="C12" s="24" t="s">
        <v>91</v>
      </c>
      <c r="D12" s="28">
        <v>14077483</v>
      </c>
      <c r="E12" s="26">
        <v>4624.4531660000002</v>
      </c>
      <c r="F12" s="27">
        <v>2.7478392983745801</v>
      </c>
    </row>
    <row r="13" spans="1:6" x14ac:dyDescent="0.2">
      <c r="A13" s="24" t="s">
        <v>140</v>
      </c>
      <c r="B13" s="24" t="s">
        <v>139</v>
      </c>
      <c r="C13" s="24" t="s">
        <v>132</v>
      </c>
      <c r="D13" s="28">
        <v>1561999</v>
      </c>
      <c r="E13" s="26">
        <v>4529.7970999999998</v>
      </c>
      <c r="F13" s="27">
        <v>2.6915948844627602</v>
      </c>
    </row>
    <row r="14" spans="1:6" x14ac:dyDescent="0.2">
      <c r="A14" s="24" t="s">
        <v>161</v>
      </c>
      <c r="B14" s="24" t="s">
        <v>160</v>
      </c>
      <c r="C14" s="24" t="s">
        <v>162</v>
      </c>
      <c r="D14" s="28">
        <v>5817530</v>
      </c>
      <c r="E14" s="26">
        <v>4363.1475</v>
      </c>
      <c r="F14" s="27">
        <v>2.5925720803601702</v>
      </c>
    </row>
    <row r="15" spans="1:6" x14ac:dyDescent="0.2">
      <c r="A15" s="24" t="s">
        <v>53</v>
      </c>
      <c r="B15" s="24" t="s">
        <v>52</v>
      </c>
      <c r="C15" s="24" t="s">
        <v>54</v>
      </c>
      <c r="D15" s="28">
        <v>132295</v>
      </c>
      <c r="E15" s="26">
        <v>4128.5962129999998</v>
      </c>
      <c r="F15" s="27">
        <v>2.45320225202209</v>
      </c>
    </row>
    <row r="16" spans="1:6" x14ac:dyDescent="0.2">
      <c r="A16" s="24" t="s">
        <v>195</v>
      </c>
      <c r="B16" s="24" t="s">
        <v>194</v>
      </c>
      <c r="C16" s="24" t="s">
        <v>196</v>
      </c>
      <c r="D16" s="28">
        <v>5544411</v>
      </c>
      <c r="E16" s="26">
        <v>4127.8139899999996</v>
      </c>
      <c r="F16" s="27">
        <v>2.4527374569377098</v>
      </c>
    </row>
    <row r="17" spans="1:6" x14ac:dyDescent="0.2">
      <c r="A17" s="24" t="s">
        <v>98</v>
      </c>
      <c r="B17" s="24" t="s">
        <v>97</v>
      </c>
      <c r="C17" s="24" t="s">
        <v>99</v>
      </c>
      <c r="D17" s="28">
        <v>1396570</v>
      </c>
      <c r="E17" s="26">
        <v>3979.5262149999999</v>
      </c>
      <c r="F17" s="27">
        <v>2.36462520647546</v>
      </c>
    </row>
    <row r="18" spans="1:6" x14ac:dyDescent="0.2">
      <c r="A18" s="24" t="s">
        <v>454</v>
      </c>
      <c r="B18" s="24" t="s">
        <v>453</v>
      </c>
      <c r="C18" s="24" t="s">
        <v>455</v>
      </c>
      <c r="D18" s="28">
        <v>711291</v>
      </c>
      <c r="E18" s="26">
        <v>3885.0714419999999</v>
      </c>
      <c r="F18" s="27">
        <v>2.30850040039532</v>
      </c>
    </row>
    <row r="19" spans="1:6" x14ac:dyDescent="0.2">
      <c r="A19" s="24" t="s">
        <v>80</v>
      </c>
      <c r="B19" s="24" t="s">
        <v>79</v>
      </c>
      <c r="C19" s="24" t="s">
        <v>69</v>
      </c>
      <c r="D19" s="28">
        <v>2246147</v>
      </c>
      <c r="E19" s="26">
        <v>3873.4805019999999</v>
      </c>
      <c r="F19" s="27">
        <v>2.3016130908489099</v>
      </c>
    </row>
    <row r="20" spans="1:6" x14ac:dyDescent="0.2">
      <c r="A20" s="24" t="s">
        <v>90</v>
      </c>
      <c r="B20" s="24" t="s">
        <v>89</v>
      </c>
      <c r="C20" s="24" t="s">
        <v>91</v>
      </c>
      <c r="D20" s="28">
        <v>2213612</v>
      </c>
      <c r="E20" s="26">
        <v>3521.8566919999998</v>
      </c>
      <c r="F20" s="27">
        <v>2.0926790420697099</v>
      </c>
    </row>
    <row r="21" spans="1:6" x14ac:dyDescent="0.2">
      <c r="A21" s="24" t="s">
        <v>205</v>
      </c>
      <c r="B21" s="24" t="s">
        <v>204</v>
      </c>
      <c r="C21" s="24" t="s">
        <v>48</v>
      </c>
      <c r="D21" s="28">
        <v>8330054</v>
      </c>
      <c r="E21" s="26">
        <v>3419.4871670000002</v>
      </c>
      <c r="F21" s="27">
        <v>2.0318513087889198</v>
      </c>
    </row>
    <row r="22" spans="1:6" x14ac:dyDescent="0.2">
      <c r="A22" s="24" t="s">
        <v>188</v>
      </c>
      <c r="B22" s="24" t="s">
        <v>187</v>
      </c>
      <c r="C22" s="24" t="s">
        <v>72</v>
      </c>
      <c r="D22" s="28">
        <v>1141207</v>
      </c>
      <c r="E22" s="26">
        <v>3364.8488400000001</v>
      </c>
      <c r="F22" s="27">
        <v>1.99938534216785</v>
      </c>
    </row>
    <row r="23" spans="1:6" x14ac:dyDescent="0.2">
      <c r="A23" s="24" t="s">
        <v>142</v>
      </c>
      <c r="B23" s="24" t="s">
        <v>141</v>
      </c>
      <c r="C23" s="24" t="s">
        <v>143</v>
      </c>
      <c r="D23" s="28">
        <v>399838</v>
      </c>
      <c r="E23" s="26">
        <v>3232.6902300000002</v>
      </c>
      <c r="F23" s="27">
        <v>1.9208570039750199</v>
      </c>
    </row>
    <row r="24" spans="1:6" x14ac:dyDescent="0.2">
      <c r="A24" s="24" t="s">
        <v>157</v>
      </c>
      <c r="B24" s="24" t="s">
        <v>156</v>
      </c>
      <c r="C24" s="24" t="s">
        <v>78</v>
      </c>
      <c r="D24" s="28">
        <v>3938381</v>
      </c>
      <c r="E24" s="26">
        <v>3215.688087</v>
      </c>
      <c r="F24" s="27">
        <v>1.9107543702116401</v>
      </c>
    </row>
    <row r="25" spans="1:6" x14ac:dyDescent="0.2">
      <c r="A25" s="24" t="s">
        <v>105</v>
      </c>
      <c r="B25" s="24" t="s">
        <v>104</v>
      </c>
      <c r="C25" s="24" t="s">
        <v>72</v>
      </c>
      <c r="D25" s="28">
        <v>347050</v>
      </c>
      <c r="E25" s="26">
        <v>3188.8689250000002</v>
      </c>
      <c r="F25" s="27">
        <v>1.8948184866276401</v>
      </c>
    </row>
    <row r="26" spans="1:6" x14ac:dyDescent="0.2">
      <c r="A26" s="24" t="s">
        <v>68</v>
      </c>
      <c r="B26" s="24" t="s">
        <v>67</v>
      </c>
      <c r="C26" s="24" t="s">
        <v>69</v>
      </c>
      <c r="D26" s="28">
        <v>1532307</v>
      </c>
      <c r="E26" s="26">
        <v>3060.0170790000002</v>
      </c>
      <c r="F26" s="27">
        <v>1.81825501990036</v>
      </c>
    </row>
    <row r="27" spans="1:6" x14ac:dyDescent="0.2">
      <c r="A27" s="24" t="s">
        <v>173</v>
      </c>
      <c r="B27" s="24" t="s">
        <v>172</v>
      </c>
      <c r="C27" s="24" t="s">
        <v>174</v>
      </c>
      <c r="D27" s="28">
        <v>257232</v>
      </c>
      <c r="E27" s="26">
        <v>2930.001096</v>
      </c>
      <c r="F27" s="27">
        <v>1.74099982567958</v>
      </c>
    </row>
    <row r="28" spans="1:6" x14ac:dyDescent="0.2">
      <c r="A28" s="24" t="s">
        <v>253</v>
      </c>
      <c r="B28" s="24" t="s">
        <v>252</v>
      </c>
      <c r="C28" s="24" t="s">
        <v>91</v>
      </c>
      <c r="D28" s="28">
        <v>710784</v>
      </c>
      <c r="E28" s="26">
        <v>2903.9080319999998</v>
      </c>
      <c r="F28" s="27">
        <v>1.7254953878357</v>
      </c>
    </row>
    <row r="29" spans="1:6" x14ac:dyDescent="0.2">
      <c r="A29" s="24" t="s">
        <v>74</v>
      </c>
      <c r="B29" s="24" t="s">
        <v>73</v>
      </c>
      <c r="C29" s="24" t="s">
        <v>75</v>
      </c>
      <c r="D29" s="28">
        <v>357387</v>
      </c>
      <c r="E29" s="26">
        <v>2829.2541860000001</v>
      </c>
      <c r="F29" s="27">
        <v>1.68113624645184</v>
      </c>
    </row>
    <row r="30" spans="1:6" x14ac:dyDescent="0.2">
      <c r="A30" s="24" t="s">
        <v>96</v>
      </c>
      <c r="B30" s="24" t="s">
        <v>95</v>
      </c>
      <c r="C30" s="24" t="s">
        <v>54</v>
      </c>
      <c r="D30" s="28">
        <v>1052564</v>
      </c>
      <c r="E30" s="26">
        <v>2812.9772899999998</v>
      </c>
      <c r="F30" s="27">
        <v>1.6714645527663701</v>
      </c>
    </row>
    <row r="31" spans="1:6" x14ac:dyDescent="0.2">
      <c r="A31" s="24" t="s">
        <v>85</v>
      </c>
      <c r="B31" s="24" t="s">
        <v>84</v>
      </c>
      <c r="C31" s="24" t="s">
        <v>86</v>
      </c>
      <c r="D31" s="28">
        <v>2724884</v>
      </c>
      <c r="E31" s="26">
        <v>2607.713988</v>
      </c>
      <c r="F31" s="27">
        <v>1.54949757688767</v>
      </c>
    </row>
    <row r="32" spans="1:6" x14ac:dyDescent="0.2">
      <c r="A32" s="24" t="s">
        <v>77</v>
      </c>
      <c r="B32" s="24" t="s">
        <v>76</v>
      </c>
      <c r="C32" s="24" t="s">
        <v>78</v>
      </c>
      <c r="D32" s="28">
        <v>1225067</v>
      </c>
      <c r="E32" s="26">
        <v>2328.852367</v>
      </c>
      <c r="F32" s="27">
        <v>1.3837986513096101</v>
      </c>
    </row>
    <row r="33" spans="1:6" x14ac:dyDescent="0.2">
      <c r="A33" s="24" t="s">
        <v>200</v>
      </c>
      <c r="B33" s="24" t="s">
        <v>199</v>
      </c>
      <c r="C33" s="24" t="s">
        <v>201</v>
      </c>
      <c r="D33" s="28">
        <v>1001059</v>
      </c>
      <c r="E33" s="26">
        <v>2237.8673950000002</v>
      </c>
      <c r="F33" s="27">
        <v>1.32973559290062</v>
      </c>
    </row>
    <row r="34" spans="1:6" x14ac:dyDescent="0.2">
      <c r="A34" s="24" t="s">
        <v>251</v>
      </c>
      <c r="B34" s="24" t="s">
        <v>250</v>
      </c>
      <c r="C34" s="24" t="s">
        <v>99</v>
      </c>
      <c r="D34" s="28">
        <v>4919680</v>
      </c>
      <c r="E34" s="26">
        <v>2117.9222399999999</v>
      </c>
      <c r="F34" s="27">
        <v>1.2584644612170199</v>
      </c>
    </row>
    <row r="35" spans="1:6" x14ac:dyDescent="0.2">
      <c r="A35" s="24" t="s">
        <v>88</v>
      </c>
      <c r="B35" s="24" t="s">
        <v>87</v>
      </c>
      <c r="C35" s="24" t="s">
        <v>72</v>
      </c>
      <c r="D35" s="28">
        <v>512320</v>
      </c>
      <c r="E35" s="26">
        <v>1984.9838400000001</v>
      </c>
      <c r="F35" s="27">
        <v>1.1794727736227399</v>
      </c>
    </row>
    <row r="36" spans="1:6" x14ac:dyDescent="0.2">
      <c r="A36" s="24" t="s">
        <v>171</v>
      </c>
      <c r="B36" s="24" t="s">
        <v>170</v>
      </c>
      <c r="C36" s="24" t="s">
        <v>132</v>
      </c>
      <c r="D36" s="28">
        <v>1174352</v>
      </c>
      <c r="E36" s="26">
        <v>1904.2117679999999</v>
      </c>
      <c r="F36" s="27">
        <v>1.1314781966023599</v>
      </c>
    </row>
    <row r="37" spans="1:6" x14ac:dyDescent="0.2">
      <c r="A37" s="24" t="s">
        <v>167</v>
      </c>
      <c r="B37" s="24" t="s">
        <v>166</v>
      </c>
      <c r="C37" s="24" t="s">
        <v>110</v>
      </c>
      <c r="D37" s="28">
        <v>2469496</v>
      </c>
      <c r="E37" s="26">
        <v>1697.7784999999999</v>
      </c>
      <c r="F37" s="27">
        <v>1.0088160296519399</v>
      </c>
    </row>
    <row r="38" spans="1:6" x14ac:dyDescent="0.2">
      <c r="A38" s="24" t="s">
        <v>151</v>
      </c>
      <c r="B38" s="24" t="s">
        <v>150</v>
      </c>
      <c r="C38" s="24" t="s">
        <v>59</v>
      </c>
      <c r="D38" s="28">
        <v>283932</v>
      </c>
      <c r="E38" s="26">
        <v>1605.63546</v>
      </c>
      <c r="F38" s="27">
        <v>0.95406484993511298</v>
      </c>
    </row>
    <row r="39" spans="1:6" x14ac:dyDescent="0.2">
      <c r="A39" s="24" t="s">
        <v>524</v>
      </c>
      <c r="B39" s="24" t="s">
        <v>523</v>
      </c>
      <c r="C39" s="24" t="s">
        <v>196</v>
      </c>
      <c r="D39" s="28">
        <v>216824</v>
      </c>
      <c r="E39" s="26">
        <v>1605.4733080000001</v>
      </c>
      <c r="F39" s="27">
        <v>0.95396849959445296</v>
      </c>
    </row>
    <row r="40" spans="1:6" x14ac:dyDescent="0.2">
      <c r="A40" s="24" t="s">
        <v>101</v>
      </c>
      <c r="B40" s="24" t="s">
        <v>100</v>
      </c>
      <c r="C40" s="24" t="s">
        <v>91</v>
      </c>
      <c r="D40" s="28">
        <v>1892345</v>
      </c>
      <c r="E40" s="26">
        <v>1593.3544899999999</v>
      </c>
      <c r="F40" s="27">
        <v>0.94676752617016102</v>
      </c>
    </row>
    <row r="41" spans="1:6" x14ac:dyDescent="0.2">
      <c r="A41" s="24" t="s">
        <v>247</v>
      </c>
      <c r="B41" s="24" t="s">
        <v>246</v>
      </c>
      <c r="C41" s="24" t="s">
        <v>165</v>
      </c>
      <c r="D41" s="28">
        <v>417110</v>
      </c>
      <c r="E41" s="26">
        <v>1410.457465</v>
      </c>
      <c r="F41" s="27">
        <v>0.83809053998164995</v>
      </c>
    </row>
    <row r="42" spans="1:6" x14ac:dyDescent="0.2">
      <c r="A42" s="24" t="s">
        <v>112</v>
      </c>
      <c r="B42" s="24" t="s">
        <v>111</v>
      </c>
      <c r="C42" s="24" t="s">
        <v>113</v>
      </c>
      <c r="D42" s="28">
        <v>805716</v>
      </c>
      <c r="E42" s="26">
        <v>1231.939764</v>
      </c>
      <c r="F42" s="27">
        <v>0.73201573791211505</v>
      </c>
    </row>
    <row r="43" spans="1:6" x14ac:dyDescent="0.2">
      <c r="A43" s="24" t="s">
        <v>226</v>
      </c>
      <c r="B43" s="24" t="s">
        <v>225</v>
      </c>
      <c r="C43" s="24" t="s">
        <v>227</v>
      </c>
      <c r="D43" s="28">
        <v>397199</v>
      </c>
      <c r="E43" s="26">
        <v>1176.106239</v>
      </c>
      <c r="F43" s="27">
        <v>0.69883958742371399</v>
      </c>
    </row>
    <row r="44" spans="1:6" x14ac:dyDescent="0.2">
      <c r="A44" s="24" t="s">
        <v>234</v>
      </c>
      <c r="B44" s="24" t="s">
        <v>233</v>
      </c>
      <c r="C44" s="24" t="s">
        <v>48</v>
      </c>
      <c r="D44" s="28">
        <v>330528</v>
      </c>
      <c r="E44" s="26">
        <v>1161.1448640000001</v>
      </c>
      <c r="F44" s="27">
        <v>0.689949573251881</v>
      </c>
    </row>
    <row r="45" spans="1:6" x14ac:dyDescent="0.2">
      <c r="A45" s="24" t="s">
        <v>374</v>
      </c>
      <c r="B45" s="24" t="s">
        <v>373</v>
      </c>
      <c r="C45" s="24" t="s">
        <v>162</v>
      </c>
      <c r="D45" s="28">
        <v>5150797</v>
      </c>
      <c r="E45" s="26">
        <v>1133.17534</v>
      </c>
      <c r="F45" s="27">
        <v>0.67333014724729001</v>
      </c>
    </row>
    <row r="46" spans="1:6" x14ac:dyDescent="0.2">
      <c r="A46" s="24" t="s">
        <v>186</v>
      </c>
      <c r="B46" s="24" t="s">
        <v>185</v>
      </c>
      <c r="C46" s="24" t="s">
        <v>99</v>
      </c>
      <c r="D46" s="28">
        <v>3415915</v>
      </c>
      <c r="E46" s="26">
        <v>1057.2256930000001</v>
      </c>
      <c r="F46" s="27">
        <v>0.62820104392786003</v>
      </c>
    </row>
    <row r="47" spans="1:6" x14ac:dyDescent="0.2">
      <c r="A47" s="24" t="s">
        <v>222</v>
      </c>
      <c r="B47" s="24" t="s">
        <v>221</v>
      </c>
      <c r="C47" s="24" t="s">
        <v>59</v>
      </c>
      <c r="D47" s="28">
        <v>415509</v>
      </c>
      <c r="E47" s="26">
        <v>952.76213700000005</v>
      </c>
      <c r="F47" s="27">
        <v>0.56612904230500904</v>
      </c>
    </row>
    <row r="48" spans="1:6" x14ac:dyDescent="0.2">
      <c r="A48" s="24" t="s">
        <v>239</v>
      </c>
      <c r="B48" s="24" t="s">
        <v>238</v>
      </c>
      <c r="C48" s="24" t="s">
        <v>86</v>
      </c>
      <c r="D48" s="28">
        <v>3050843</v>
      </c>
      <c r="E48" s="26">
        <v>887.79531299999996</v>
      </c>
      <c r="F48" s="27">
        <v>0.527525906827221</v>
      </c>
    </row>
    <row r="49" spans="1:9" x14ac:dyDescent="0.2">
      <c r="A49" s="24" t="s">
        <v>117</v>
      </c>
      <c r="B49" s="24" t="s">
        <v>116</v>
      </c>
      <c r="C49" s="24" t="s">
        <v>118</v>
      </c>
      <c r="D49" s="28">
        <v>1656994</v>
      </c>
      <c r="E49" s="26">
        <v>754.76076699999999</v>
      </c>
      <c r="F49" s="27">
        <v>0.44847708950371901</v>
      </c>
    </row>
    <row r="50" spans="1:9" x14ac:dyDescent="0.2">
      <c r="A50" s="24" t="s">
        <v>211</v>
      </c>
      <c r="B50" s="24" t="s">
        <v>210</v>
      </c>
      <c r="C50" s="24" t="s">
        <v>110</v>
      </c>
      <c r="D50" s="28">
        <v>360275</v>
      </c>
      <c r="E50" s="26">
        <v>734.06031250000001</v>
      </c>
      <c r="F50" s="27">
        <v>0.436176927662419</v>
      </c>
    </row>
    <row r="51" spans="1:9" x14ac:dyDescent="0.2">
      <c r="A51" s="24" t="s">
        <v>243</v>
      </c>
      <c r="B51" s="24" t="s">
        <v>242</v>
      </c>
      <c r="C51" s="24" t="s">
        <v>75</v>
      </c>
      <c r="D51" s="28">
        <v>42129</v>
      </c>
      <c r="E51" s="26">
        <v>628.67000250000001</v>
      </c>
      <c r="F51" s="27">
        <v>0.37355425097167999</v>
      </c>
    </row>
    <row r="52" spans="1:9" x14ac:dyDescent="0.2">
      <c r="A52" s="24" t="s">
        <v>467</v>
      </c>
      <c r="B52" s="24" t="s">
        <v>466</v>
      </c>
      <c r="C52" s="24" t="s">
        <v>333</v>
      </c>
      <c r="D52" s="28">
        <v>105014</v>
      </c>
      <c r="E52" s="26">
        <v>598.89484200000004</v>
      </c>
      <c r="F52" s="27">
        <v>0.35586191996509797</v>
      </c>
    </row>
    <row r="53" spans="1:9" x14ac:dyDescent="0.2">
      <c r="A53" s="24" t="s">
        <v>216</v>
      </c>
      <c r="B53" s="24" t="s">
        <v>215</v>
      </c>
      <c r="C53" s="24" t="s">
        <v>132</v>
      </c>
      <c r="D53" s="28">
        <v>1113029</v>
      </c>
      <c r="E53" s="26">
        <v>474.70686849999998</v>
      </c>
      <c r="F53" s="27">
        <v>0.28206971541262499</v>
      </c>
    </row>
    <row r="54" spans="1:9" x14ac:dyDescent="0.2">
      <c r="A54" s="24" t="s">
        <v>526</v>
      </c>
      <c r="B54" s="24" t="s">
        <v>525</v>
      </c>
      <c r="C54" s="24" t="s">
        <v>110</v>
      </c>
      <c r="D54" s="28">
        <v>724550</v>
      </c>
      <c r="E54" s="26">
        <v>427.12222500000001</v>
      </c>
      <c r="F54" s="27">
        <v>0.25379503109540003</v>
      </c>
    </row>
    <row r="55" spans="1:9" x14ac:dyDescent="0.2">
      <c r="A55" s="24" t="s">
        <v>164</v>
      </c>
      <c r="B55" s="24" t="s">
        <v>163</v>
      </c>
      <c r="C55" s="24" t="s">
        <v>165</v>
      </c>
      <c r="D55" s="28">
        <v>656332</v>
      </c>
      <c r="E55" s="26">
        <v>390.84570600000001</v>
      </c>
      <c r="F55" s="27">
        <v>0.232239608013312</v>
      </c>
    </row>
    <row r="56" spans="1:9" x14ac:dyDescent="0.2">
      <c r="A56" s="24" t="s">
        <v>528</v>
      </c>
      <c r="B56" s="24" t="s">
        <v>527</v>
      </c>
      <c r="C56" s="24" t="s">
        <v>118</v>
      </c>
      <c r="D56" s="28">
        <v>4997148</v>
      </c>
      <c r="E56" s="26">
        <v>202.38449399999999</v>
      </c>
      <c r="F56" s="27">
        <v>0.120256394871414</v>
      </c>
    </row>
    <row r="57" spans="1:9" x14ac:dyDescent="0.2">
      <c r="A57" s="24" t="s">
        <v>530</v>
      </c>
      <c r="B57" s="24" t="s">
        <v>529</v>
      </c>
      <c r="C57" s="24" t="s">
        <v>113</v>
      </c>
      <c r="D57" s="28">
        <v>269073</v>
      </c>
      <c r="E57" s="26">
        <v>199.78670249999999</v>
      </c>
      <c r="F57" s="27">
        <v>0.118712793213781</v>
      </c>
    </row>
    <row r="58" spans="1:9" ht="10.5" x14ac:dyDescent="0.25">
      <c r="A58" s="23" t="s">
        <v>24</v>
      </c>
      <c r="B58" s="23"/>
      <c r="C58" s="23"/>
      <c r="D58" s="29"/>
      <c r="E58" s="30">
        <f>SUM(E6:E57)</f>
        <v>164239.21135800006</v>
      </c>
      <c r="F58" s="31">
        <f>SUM(F6:F57)</f>
        <v>97.590556786614272</v>
      </c>
      <c r="G58" s="15"/>
      <c r="H58" s="15"/>
      <c r="I58" s="15"/>
    </row>
    <row r="59" spans="1:9" x14ac:dyDescent="0.2">
      <c r="A59" s="24"/>
      <c r="B59" s="24"/>
      <c r="C59" s="24"/>
      <c r="D59" s="25"/>
      <c r="E59" s="26"/>
      <c r="F59" s="27"/>
    </row>
    <row r="60" spans="1:9" ht="10.5" x14ac:dyDescent="0.25">
      <c r="A60" s="23" t="s">
        <v>25</v>
      </c>
      <c r="B60" s="23"/>
      <c r="C60" s="23"/>
      <c r="D60" s="29"/>
      <c r="E60" s="30">
        <f>E58</f>
        <v>164239.21135800006</v>
      </c>
      <c r="F60" s="31">
        <f>F58</f>
        <v>97.590556786614272</v>
      </c>
      <c r="G60" s="15"/>
      <c r="H60" s="15"/>
      <c r="I60" s="15"/>
    </row>
    <row r="61" spans="1:9" ht="10.5" x14ac:dyDescent="0.25">
      <c r="A61" s="23"/>
      <c r="B61" s="23"/>
      <c r="C61" s="23"/>
      <c r="D61" s="29"/>
      <c r="E61" s="30"/>
      <c r="F61" s="31"/>
      <c r="G61" s="15"/>
      <c r="H61" s="15"/>
      <c r="I61" s="15"/>
    </row>
    <row r="62" spans="1:9" ht="10.5" x14ac:dyDescent="0.25">
      <c r="A62" s="23" t="s">
        <v>27</v>
      </c>
      <c r="B62" s="23"/>
      <c r="C62" s="23"/>
      <c r="D62" s="29"/>
      <c r="E62" s="30">
        <f>E64-(E58)</f>
        <v>4054.9523048999545</v>
      </c>
      <c r="F62" s="31">
        <f>F64-(F58)</f>
        <v>2.4094432133857282</v>
      </c>
      <c r="G62" s="15"/>
      <c r="H62" s="15"/>
      <c r="I62" s="15"/>
    </row>
    <row r="63" spans="1:9" ht="10.5" x14ac:dyDescent="0.25">
      <c r="A63" s="23"/>
      <c r="B63" s="23"/>
      <c r="C63" s="23"/>
      <c r="D63" s="29"/>
      <c r="E63" s="30"/>
      <c r="F63" s="31"/>
      <c r="G63" s="15"/>
      <c r="H63" s="15"/>
      <c r="I63" s="15"/>
    </row>
    <row r="64" spans="1:9" ht="10.5" x14ac:dyDescent="0.25">
      <c r="A64" s="32" t="s">
        <v>26</v>
      </c>
      <c r="B64" s="32"/>
      <c r="C64" s="32"/>
      <c r="D64" s="33"/>
      <c r="E64" s="34">
        <v>168294.16366290001</v>
      </c>
      <c r="F64" s="35">
        <v>100</v>
      </c>
      <c r="G64" s="15"/>
      <c r="H64" s="15"/>
      <c r="I64" s="15"/>
    </row>
    <row r="66" spans="1:4" ht="10.5" x14ac:dyDescent="0.25">
      <c r="A66" s="15" t="s">
        <v>28</v>
      </c>
    </row>
    <row r="67" spans="1:4" ht="10.5" x14ac:dyDescent="0.25">
      <c r="A67" s="15" t="s">
        <v>29</v>
      </c>
    </row>
    <row r="68" spans="1:4" ht="10.5" x14ac:dyDescent="0.25">
      <c r="A68" s="15" t="s">
        <v>30</v>
      </c>
      <c r="B68" s="15"/>
      <c r="C68" s="36" t="s">
        <v>32</v>
      </c>
      <c r="D68" s="16" t="s">
        <v>31</v>
      </c>
    </row>
    <row r="69" spans="1:4" x14ac:dyDescent="0.2">
      <c r="A69" s="9" t="s">
        <v>38</v>
      </c>
      <c r="C69" s="37">
        <v>77.102000000000004</v>
      </c>
      <c r="D69" s="37">
        <v>52.690100000000001</v>
      </c>
    </row>
    <row r="70" spans="1:4" x14ac:dyDescent="0.2">
      <c r="A70" s="9" t="s">
        <v>40</v>
      </c>
      <c r="C70" s="37">
        <v>14.7142</v>
      </c>
      <c r="D70" s="37">
        <v>10.055400000000001</v>
      </c>
    </row>
    <row r="71" spans="1:4" x14ac:dyDescent="0.2">
      <c r="A71" s="9" t="s">
        <v>39</v>
      </c>
      <c r="C71" s="37">
        <v>80.953999999999994</v>
      </c>
      <c r="D71" s="37">
        <v>55.579599999999999</v>
      </c>
    </row>
    <row r="72" spans="1:4" x14ac:dyDescent="0.2">
      <c r="A72" s="9" t="s">
        <v>41</v>
      </c>
      <c r="C72" s="37">
        <v>15.7371</v>
      </c>
      <c r="D72" s="37">
        <v>10.803699999999999</v>
      </c>
    </row>
    <row r="74" spans="1:4" ht="10.5" x14ac:dyDescent="0.25">
      <c r="A74" s="15" t="s">
        <v>1882</v>
      </c>
      <c r="D74" s="41" t="s">
        <v>36</v>
      </c>
    </row>
    <row r="76" spans="1:4" ht="10.5" x14ac:dyDescent="0.25">
      <c r="A76" s="15" t="s">
        <v>175</v>
      </c>
      <c r="D76" s="42">
        <v>0.2591</v>
      </c>
    </row>
    <row r="78" spans="1:4" ht="10.5" x14ac:dyDescent="0.25">
      <c r="A78" s="15" t="s">
        <v>1841</v>
      </c>
    </row>
    <row r="79" spans="1:4" ht="10.5" x14ac:dyDescent="0.25">
      <c r="A79" s="15"/>
    </row>
  </sheetData>
  <mergeCells count="1">
    <mergeCell ref="A1:F1"/>
  </mergeCells>
  <conditionalFormatting sqref="F4:F65536 F2">
    <cfRule type="cellIs" dxfId="19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9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24.1796875" style="9" bestFit="1" customWidth="1"/>
    <col min="3" max="3" width="18.81640625" style="9" bestFit="1" customWidth="1"/>
    <col min="4" max="4" width="15.453125" style="10" bestFit="1" customWidth="1"/>
    <col min="5" max="5" width="14.453125" style="11" customWidth="1"/>
    <col min="6" max="6" width="10.54296875" style="14" customWidth="1"/>
    <col min="7" max="7" width="4.54296875" style="9" bestFit="1" customWidth="1"/>
    <col min="8" max="16384" width="9.1796875" style="9"/>
  </cols>
  <sheetData>
    <row r="1" spans="1:6" s="1" customFormat="1" ht="14" x14ac:dyDescent="0.25">
      <c r="A1" s="88" t="s">
        <v>11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63</v>
      </c>
      <c r="B6" s="24" t="s">
        <v>62</v>
      </c>
      <c r="C6" s="24" t="s">
        <v>48</v>
      </c>
      <c r="D6" s="28">
        <v>13000000</v>
      </c>
      <c r="E6" s="26">
        <v>42087.5</v>
      </c>
      <c r="F6" s="27">
        <v>9.4453946960486395</v>
      </c>
    </row>
    <row r="7" spans="1:6" x14ac:dyDescent="0.2">
      <c r="A7" s="24" t="s">
        <v>103</v>
      </c>
      <c r="B7" s="24" t="s">
        <v>102</v>
      </c>
      <c r="C7" s="24" t="s">
        <v>48</v>
      </c>
      <c r="D7" s="28">
        <v>19500000</v>
      </c>
      <c r="E7" s="26">
        <v>38385.75</v>
      </c>
      <c r="F7" s="27">
        <v>8.6146375872610506</v>
      </c>
    </row>
    <row r="8" spans="1:6" x14ac:dyDescent="0.2">
      <c r="A8" s="24" t="s">
        <v>50</v>
      </c>
      <c r="B8" s="24" t="s">
        <v>49</v>
      </c>
      <c r="C8" s="24" t="s">
        <v>51</v>
      </c>
      <c r="D8" s="28">
        <v>8200000</v>
      </c>
      <c r="E8" s="26">
        <v>36153.800000000003</v>
      </c>
      <c r="F8" s="27">
        <v>8.1137371134423208</v>
      </c>
    </row>
    <row r="9" spans="1:6" x14ac:dyDescent="0.2">
      <c r="A9" s="24" t="s">
        <v>47</v>
      </c>
      <c r="B9" s="24" t="s">
        <v>46</v>
      </c>
      <c r="C9" s="24" t="s">
        <v>48</v>
      </c>
      <c r="D9" s="28">
        <v>3800000</v>
      </c>
      <c r="E9" s="26">
        <v>32752.2</v>
      </c>
      <c r="F9" s="27">
        <v>7.3503405087953499</v>
      </c>
    </row>
    <row r="10" spans="1:6" x14ac:dyDescent="0.2">
      <c r="A10" s="24" t="s">
        <v>56</v>
      </c>
      <c r="B10" s="24" t="s">
        <v>55</v>
      </c>
      <c r="C10" s="24" t="s">
        <v>48</v>
      </c>
      <c r="D10" s="28">
        <v>5620642</v>
      </c>
      <c r="E10" s="26">
        <v>21302.233179999999</v>
      </c>
      <c r="F10" s="27">
        <v>4.7807068676534197</v>
      </c>
    </row>
    <row r="11" spans="1:6" x14ac:dyDescent="0.2">
      <c r="A11" s="24" t="s">
        <v>492</v>
      </c>
      <c r="B11" s="24" t="s">
        <v>491</v>
      </c>
      <c r="C11" s="24" t="s">
        <v>214</v>
      </c>
      <c r="D11" s="28">
        <v>1928044</v>
      </c>
      <c r="E11" s="26">
        <v>20555.841110000001</v>
      </c>
      <c r="F11" s="27">
        <v>4.6131994676141996</v>
      </c>
    </row>
    <row r="12" spans="1:6" x14ac:dyDescent="0.2">
      <c r="A12" s="24" t="s">
        <v>145</v>
      </c>
      <c r="B12" s="24" t="s">
        <v>144</v>
      </c>
      <c r="C12" s="24" t="s">
        <v>66</v>
      </c>
      <c r="D12" s="28">
        <v>619751</v>
      </c>
      <c r="E12" s="26">
        <v>20109.990320000001</v>
      </c>
      <c r="F12" s="27">
        <v>4.5131403838697404</v>
      </c>
    </row>
    <row r="13" spans="1:6" x14ac:dyDescent="0.2">
      <c r="A13" s="24" t="s">
        <v>494</v>
      </c>
      <c r="B13" s="24" t="s">
        <v>493</v>
      </c>
      <c r="C13" s="24" t="s">
        <v>66</v>
      </c>
      <c r="D13" s="28">
        <v>2000000</v>
      </c>
      <c r="E13" s="26">
        <v>19370</v>
      </c>
      <c r="F13" s="27">
        <v>4.34706968250579</v>
      </c>
    </row>
    <row r="14" spans="1:6" x14ac:dyDescent="0.2">
      <c r="A14" s="24" t="s">
        <v>157</v>
      </c>
      <c r="B14" s="24" t="s">
        <v>156</v>
      </c>
      <c r="C14" s="24" t="s">
        <v>78</v>
      </c>
      <c r="D14" s="28">
        <v>23500000</v>
      </c>
      <c r="E14" s="26">
        <v>19187.75</v>
      </c>
      <c r="F14" s="27">
        <v>4.30616862676822</v>
      </c>
    </row>
    <row r="15" spans="1:6" x14ac:dyDescent="0.2">
      <c r="A15" s="24" t="s">
        <v>101</v>
      </c>
      <c r="B15" s="24" t="s">
        <v>100</v>
      </c>
      <c r="C15" s="24" t="s">
        <v>91</v>
      </c>
      <c r="D15" s="28">
        <v>21000000</v>
      </c>
      <c r="E15" s="26">
        <v>17682</v>
      </c>
      <c r="F15" s="27">
        <v>3.9682439920530399</v>
      </c>
    </row>
    <row r="16" spans="1:6" x14ac:dyDescent="0.2">
      <c r="A16" s="24" t="s">
        <v>53</v>
      </c>
      <c r="B16" s="24" t="s">
        <v>52</v>
      </c>
      <c r="C16" s="24" t="s">
        <v>54</v>
      </c>
      <c r="D16" s="28">
        <v>550000</v>
      </c>
      <c r="E16" s="26">
        <v>17164.125</v>
      </c>
      <c r="F16" s="27">
        <v>3.8520210332596601</v>
      </c>
    </row>
    <row r="17" spans="1:6" x14ac:dyDescent="0.2">
      <c r="A17" s="24" t="s">
        <v>496</v>
      </c>
      <c r="B17" s="24" t="s">
        <v>495</v>
      </c>
      <c r="C17" s="24" t="s">
        <v>54</v>
      </c>
      <c r="D17" s="28">
        <v>2700000</v>
      </c>
      <c r="E17" s="26">
        <v>15920.55</v>
      </c>
      <c r="F17" s="27">
        <v>3.5729344467639401</v>
      </c>
    </row>
    <row r="18" spans="1:6" x14ac:dyDescent="0.2">
      <c r="A18" s="24" t="s">
        <v>107</v>
      </c>
      <c r="B18" s="24" t="s">
        <v>106</v>
      </c>
      <c r="C18" s="24" t="s">
        <v>78</v>
      </c>
      <c r="D18" s="28">
        <v>4800000</v>
      </c>
      <c r="E18" s="26">
        <v>15211.2</v>
      </c>
      <c r="F18" s="27">
        <v>3.41374013188085</v>
      </c>
    </row>
    <row r="19" spans="1:6" x14ac:dyDescent="0.2">
      <c r="A19" s="24" t="s">
        <v>65</v>
      </c>
      <c r="B19" s="24" t="s">
        <v>64</v>
      </c>
      <c r="C19" s="24" t="s">
        <v>66</v>
      </c>
      <c r="D19" s="28">
        <v>2625000</v>
      </c>
      <c r="E19" s="26">
        <v>12497.625</v>
      </c>
      <c r="F19" s="27">
        <v>2.8047520258557799</v>
      </c>
    </row>
    <row r="20" spans="1:6" x14ac:dyDescent="0.2">
      <c r="A20" s="24" t="s">
        <v>218</v>
      </c>
      <c r="B20" s="24" t="s">
        <v>217</v>
      </c>
      <c r="C20" s="24" t="s">
        <v>132</v>
      </c>
      <c r="D20" s="28">
        <v>1879040</v>
      </c>
      <c r="E20" s="26">
        <v>12044.6464</v>
      </c>
      <c r="F20" s="27">
        <v>2.70309329901613</v>
      </c>
    </row>
    <row r="21" spans="1:6" x14ac:dyDescent="0.2">
      <c r="A21" s="24" t="s">
        <v>169</v>
      </c>
      <c r="B21" s="24" t="s">
        <v>168</v>
      </c>
      <c r="C21" s="24" t="s">
        <v>69</v>
      </c>
      <c r="D21" s="28">
        <v>14500000</v>
      </c>
      <c r="E21" s="26">
        <v>11099.75</v>
      </c>
      <c r="F21" s="27">
        <v>2.4910370009495901</v>
      </c>
    </row>
    <row r="22" spans="1:6" x14ac:dyDescent="0.2">
      <c r="A22" s="24" t="s">
        <v>58</v>
      </c>
      <c r="B22" s="24" t="s">
        <v>57</v>
      </c>
      <c r="C22" s="24" t="s">
        <v>59</v>
      </c>
      <c r="D22" s="28">
        <v>1500000</v>
      </c>
      <c r="E22" s="26">
        <v>9622.5</v>
      </c>
      <c r="F22" s="27">
        <v>2.1595084161028399</v>
      </c>
    </row>
    <row r="23" spans="1:6" x14ac:dyDescent="0.2">
      <c r="A23" s="24" t="s">
        <v>159</v>
      </c>
      <c r="B23" s="24" t="s">
        <v>158</v>
      </c>
      <c r="C23" s="24" t="s">
        <v>66</v>
      </c>
      <c r="D23" s="28">
        <v>6000000</v>
      </c>
      <c r="E23" s="26">
        <v>9342</v>
      </c>
      <c r="F23" s="27">
        <v>2.0965578200293802</v>
      </c>
    </row>
    <row r="24" spans="1:6" x14ac:dyDescent="0.2">
      <c r="A24" s="24" t="s">
        <v>142</v>
      </c>
      <c r="B24" s="24" t="s">
        <v>141</v>
      </c>
      <c r="C24" s="24" t="s">
        <v>143</v>
      </c>
      <c r="D24" s="28">
        <v>929335</v>
      </c>
      <c r="E24" s="26">
        <v>7513.6734749999996</v>
      </c>
      <c r="F24" s="27">
        <v>1.6862396575849501</v>
      </c>
    </row>
    <row r="25" spans="1:6" x14ac:dyDescent="0.2">
      <c r="A25" s="24" t="s">
        <v>184</v>
      </c>
      <c r="B25" s="24" t="s">
        <v>183</v>
      </c>
      <c r="C25" s="24" t="s">
        <v>59</v>
      </c>
      <c r="D25" s="28">
        <v>1538500</v>
      </c>
      <c r="E25" s="26">
        <v>6714.0140000000001</v>
      </c>
      <c r="F25" s="27">
        <v>1.5067778372389999</v>
      </c>
    </row>
    <row r="26" spans="1:6" x14ac:dyDescent="0.2">
      <c r="A26" s="24" t="s">
        <v>295</v>
      </c>
      <c r="B26" s="24" t="s">
        <v>294</v>
      </c>
      <c r="C26" s="24" t="s">
        <v>51</v>
      </c>
      <c r="D26" s="28">
        <v>200000000</v>
      </c>
      <c r="E26" s="26">
        <v>6200</v>
      </c>
      <c r="F26" s="27">
        <v>1.3914213748856901</v>
      </c>
    </row>
    <row r="27" spans="1:6" x14ac:dyDescent="0.2">
      <c r="A27" s="24" t="s">
        <v>68</v>
      </c>
      <c r="B27" s="24" t="s">
        <v>67</v>
      </c>
      <c r="C27" s="24" t="s">
        <v>69</v>
      </c>
      <c r="D27" s="28">
        <v>3097300</v>
      </c>
      <c r="E27" s="26">
        <v>6185.3081000000002</v>
      </c>
      <c r="F27" s="27">
        <v>1.3881241775151001</v>
      </c>
    </row>
    <row r="28" spans="1:6" x14ac:dyDescent="0.2">
      <c r="A28" s="24" t="s">
        <v>85</v>
      </c>
      <c r="B28" s="24" t="s">
        <v>84</v>
      </c>
      <c r="C28" s="24" t="s">
        <v>86</v>
      </c>
      <c r="D28" s="28">
        <v>6200000</v>
      </c>
      <c r="E28" s="26">
        <v>5933.4</v>
      </c>
      <c r="F28" s="27">
        <v>1.3315902557656101</v>
      </c>
    </row>
    <row r="29" spans="1:6" x14ac:dyDescent="0.2">
      <c r="A29" s="24" t="s">
        <v>124</v>
      </c>
      <c r="B29" s="24" t="s">
        <v>123</v>
      </c>
      <c r="C29" s="24" t="s">
        <v>99</v>
      </c>
      <c r="D29" s="28">
        <v>6000000</v>
      </c>
      <c r="E29" s="26">
        <v>4263</v>
      </c>
      <c r="F29" s="27">
        <v>0.95671440663511398</v>
      </c>
    </row>
    <row r="30" spans="1:6" x14ac:dyDescent="0.2">
      <c r="A30" s="24" t="s">
        <v>192</v>
      </c>
      <c r="B30" s="24" t="s">
        <v>191</v>
      </c>
      <c r="C30" s="24" t="s">
        <v>193</v>
      </c>
      <c r="D30" s="28">
        <v>6000000</v>
      </c>
      <c r="E30" s="26">
        <v>4098</v>
      </c>
      <c r="F30" s="27">
        <v>0.91968464423896301</v>
      </c>
    </row>
    <row r="31" spans="1:6" x14ac:dyDescent="0.2">
      <c r="A31" s="24" t="s">
        <v>93</v>
      </c>
      <c r="B31" s="24" t="s">
        <v>92</v>
      </c>
      <c r="C31" s="24" t="s">
        <v>94</v>
      </c>
      <c r="D31" s="28">
        <v>1182542</v>
      </c>
      <c r="E31" s="26">
        <v>3188.1332320000001</v>
      </c>
      <c r="F31" s="27">
        <v>0.71548979435293703</v>
      </c>
    </row>
    <row r="32" spans="1:6" x14ac:dyDescent="0.2">
      <c r="A32" s="24" t="s">
        <v>105</v>
      </c>
      <c r="B32" s="24" t="s">
        <v>104</v>
      </c>
      <c r="C32" s="24" t="s">
        <v>72</v>
      </c>
      <c r="D32" s="28">
        <v>330364</v>
      </c>
      <c r="E32" s="26">
        <v>3035.549614</v>
      </c>
      <c r="F32" s="27">
        <v>0.68124655120090505</v>
      </c>
    </row>
    <row r="33" spans="1:9" x14ac:dyDescent="0.2">
      <c r="A33" s="24" t="s">
        <v>98</v>
      </c>
      <c r="B33" s="24" t="s">
        <v>97</v>
      </c>
      <c r="C33" s="24" t="s">
        <v>99</v>
      </c>
      <c r="D33" s="28">
        <v>1000000</v>
      </c>
      <c r="E33" s="26">
        <v>2849.5</v>
      </c>
      <c r="F33" s="27">
        <v>0.63949277544141603</v>
      </c>
    </row>
    <row r="34" spans="1:9" x14ac:dyDescent="0.2">
      <c r="A34" s="24" t="s">
        <v>179</v>
      </c>
      <c r="B34" s="24" t="s">
        <v>178</v>
      </c>
      <c r="C34" s="24" t="s">
        <v>75</v>
      </c>
      <c r="D34" s="28">
        <v>3500000</v>
      </c>
      <c r="E34" s="26">
        <v>2779</v>
      </c>
      <c r="F34" s="27">
        <v>0.62367096787215204</v>
      </c>
    </row>
    <row r="35" spans="1:9" x14ac:dyDescent="0.2">
      <c r="A35" s="24" t="s">
        <v>186</v>
      </c>
      <c r="B35" s="24" t="s">
        <v>185</v>
      </c>
      <c r="C35" s="24" t="s">
        <v>99</v>
      </c>
      <c r="D35" s="28">
        <v>8000000</v>
      </c>
      <c r="E35" s="26">
        <v>2476</v>
      </c>
      <c r="F35" s="27">
        <v>0.55567085874467304</v>
      </c>
    </row>
    <row r="36" spans="1:9" ht="10.5" x14ac:dyDescent="0.25">
      <c r="A36" s="23" t="s">
        <v>24</v>
      </c>
      <c r="B36" s="23"/>
      <c r="C36" s="23"/>
      <c r="D36" s="29"/>
      <c r="E36" s="30">
        <f>SUM(E6:E35)</f>
        <v>425725.03943100013</v>
      </c>
      <c r="F36" s="31">
        <f>SUM(F6:F35)</f>
        <v>95.542406401346426</v>
      </c>
      <c r="G36" s="15"/>
      <c r="H36" s="15"/>
      <c r="I36" s="15"/>
    </row>
    <row r="37" spans="1:9" x14ac:dyDescent="0.2">
      <c r="A37" s="24"/>
      <c r="B37" s="24"/>
      <c r="C37" s="24"/>
      <c r="D37" s="25"/>
      <c r="E37" s="26"/>
      <c r="F37" s="27"/>
    </row>
    <row r="38" spans="1:9" ht="10.5" x14ac:dyDescent="0.25">
      <c r="A38" s="23" t="s">
        <v>25</v>
      </c>
      <c r="B38" s="23"/>
      <c r="C38" s="23"/>
      <c r="D38" s="29"/>
      <c r="E38" s="30">
        <f>E36</f>
        <v>425725.03943100013</v>
      </c>
      <c r="F38" s="31">
        <f>F36</f>
        <v>95.542406401346426</v>
      </c>
      <c r="G38" s="15"/>
      <c r="H38" s="15"/>
      <c r="I38" s="15"/>
    </row>
    <row r="39" spans="1:9" ht="10.5" x14ac:dyDescent="0.25">
      <c r="A39" s="23"/>
      <c r="B39" s="23"/>
      <c r="C39" s="23"/>
      <c r="D39" s="29"/>
      <c r="E39" s="30"/>
      <c r="F39" s="31"/>
      <c r="G39" s="15"/>
      <c r="H39" s="15"/>
      <c r="I39" s="15"/>
    </row>
    <row r="40" spans="1:9" ht="10.5" x14ac:dyDescent="0.25">
      <c r="A40" s="23" t="s">
        <v>27</v>
      </c>
      <c r="B40" s="23"/>
      <c r="C40" s="23"/>
      <c r="D40" s="29"/>
      <c r="E40" s="30">
        <f>E42-(E36)</f>
        <v>19862.480777199846</v>
      </c>
      <c r="F40" s="31">
        <f>F42-(F36)</f>
        <v>4.457593598653574</v>
      </c>
      <c r="G40" s="15"/>
      <c r="H40" s="15"/>
      <c r="I40" s="15"/>
    </row>
    <row r="41" spans="1:9" ht="10.5" x14ac:dyDescent="0.25">
      <c r="A41" s="23"/>
      <c r="B41" s="23"/>
      <c r="C41" s="23"/>
      <c r="D41" s="29"/>
      <c r="E41" s="30"/>
      <c r="F41" s="31"/>
      <c r="G41" s="15"/>
      <c r="H41" s="15"/>
      <c r="I41" s="15"/>
    </row>
    <row r="42" spans="1:9" ht="10.5" x14ac:dyDescent="0.25">
      <c r="A42" s="32" t="s">
        <v>26</v>
      </c>
      <c r="B42" s="32"/>
      <c r="C42" s="32"/>
      <c r="D42" s="33"/>
      <c r="E42" s="34">
        <v>445587.52020819997</v>
      </c>
      <c r="F42" s="35">
        <v>100</v>
      </c>
      <c r="G42" s="15"/>
      <c r="H42" s="15"/>
      <c r="I42" s="15"/>
    </row>
    <row r="44" spans="1:9" ht="10.5" x14ac:dyDescent="0.25">
      <c r="A44" s="15" t="s">
        <v>28</v>
      </c>
    </row>
    <row r="45" spans="1:9" ht="10.5" x14ac:dyDescent="0.25">
      <c r="A45" s="15" t="s">
        <v>29</v>
      </c>
    </row>
    <row r="46" spans="1:9" ht="10.5" x14ac:dyDescent="0.25">
      <c r="A46" s="15" t="s">
        <v>30</v>
      </c>
      <c r="B46" s="15"/>
      <c r="C46" s="36" t="s">
        <v>32</v>
      </c>
      <c r="D46" s="16" t="s">
        <v>31</v>
      </c>
    </row>
    <row r="47" spans="1:9" x14ac:dyDescent="0.2">
      <c r="A47" s="9" t="s">
        <v>38</v>
      </c>
      <c r="C47" s="37">
        <v>444.27890000000002</v>
      </c>
      <c r="D47" s="37">
        <v>337.03649999999999</v>
      </c>
    </row>
    <row r="48" spans="1:9" x14ac:dyDescent="0.2">
      <c r="A48" s="9" t="s">
        <v>40</v>
      </c>
      <c r="C48" s="37">
        <v>35.967399999999998</v>
      </c>
      <c r="D48" s="37">
        <v>24.8248</v>
      </c>
    </row>
    <row r="49" spans="1:4" x14ac:dyDescent="0.2">
      <c r="A49" s="9" t="s">
        <v>39</v>
      </c>
      <c r="C49" s="37">
        <v>470.01859999999999</v>
      </c>
      <c r="D49" s="37">
        <v>357.96289999999999</v>
      </c>
    </row>
    <row r="50" spans="1:4" x14ac:dyDescent="0.2">
      <c r="A50" s="9" t="s">
        <v>41</v>
      </c>
      <c r="C50" s="37">
        <v>38.826099999999997</v>
      </c>
      <c r="D50" s="37">
        <v>27.103899999999999</v>
      </c>
    </row>
    <row r="52" spans="1:4" ht="10.5" x14ac:dyDescent="0.25">
      <c r="A52" s="15" t="s">
        <v>1882</v>
      </c>
    </row>
    <row r="53" spans="1:4" ht="10.5" x14ac:dyDescent="0.25">
      <c r="A53" s="90" t="s">
        <v>33</v>
      </c>
      <c r="B53" s="91"/>
      <c r="C53" s="92" t="s">
        <v>1883</v>
      </c>
      <c r="D53" s="93"/>
    </row>
    <row r="54" spans="1:4" ht="10.5" x14ac:dyDescent="0.25">
      <c r="A54" s="90"/>
      <c r="B54" s="91"/>
      <c r="C54" s="38" t="s">
        <v>34</v>
      </c>
      <c r="D54" s="39" t="s">
        <v>35</v>
      </c>
    </row>
    <row r="55" spans="1:4" x14ac:dyDescent="0.2">
      <c r="A55" s="96" t="s">
        <v>40</v>
      </c>
      <c r="B55" s="97"/>
      <c r="C55" s="40">
        <v>3.0989296450000001</v>
      </c>
      <c r="D55" s="40">
        <v>3.0989296450000001</v>
      </c>
    </row>
    <row r="56" spans="1:4" x14ac:dyDescent="0.2">
      <c r="A56" s="96" t="s">
        <v>41</v>
      </c>
      <c r="B56" s="97"/>
      <c r="C56" s="40">
        <v>3.0989296450000001</v>
      </c>
      <c r="D56" s="40">
        <v>3.0989296450000001</v>
      </c>
    </row>
    <row r="58" spans="1:4" ht="10.5" x14ac:dyDescent="0.25">
      <c r="A58" s="15" t="s">
        <v>175</v>
      </c>
      <c r="D58" s="42">
        <v>0.2145</v>
      </c>
    </row>
    <row r="59" spans="1:4" ht="10.5" x14ac:dyDescent="0.25">
      <c r="A59" s="15"/>
      <c r="D59" s="42"/>
    </row>
  </sheetData>
  <mergeCells count="6">
    <mergeCell ref="A56:B56"/>
    <mergeCell ref="A1:F1"/>
    <mergeCell ref="C53:D53"/>
    <mergeCell ref="A53:B53"/>
    <mergeCell ref="A54:B54"/>
    <mergeCell ref="A55:B55"/>
  </mergeCells>
  <conditionalFormatting sqref="F4:F65536 F2">
    <cfRule type="cellIs" dxfId="18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1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6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24.7265625" style="9" bestFit="1" customWidth="1"/>
    <col min="3" max="3" width="18.81640625" style="9" bestFit="1" customWidth="1"/>
    <col min="4" max="4" width="15.453125" style="10" bestFit="1" customWidth="1"/>
    <col min="5" max="5" width="12.26953125" style="11" customWidth="1"/>
    <col min="6" max="6" width="9.81640625" style="14" customWidth="1"/>
    <col min="7" max="7" width="4.54296875" style="9" bestFit="1" customWidth="1"/>
    <col min="8" max="16384" width="9.1796875" style="9"/>
  </cols>
  <sheetData>
    <row r="1" spans="1:6" s="1" customFormat="1" ht="14" x14ac:dyDescent="0.25">
      <c r="A1" s="88" t="s">
        <v>12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103</v>
      </c>
      <c r="B6" s="24" t="s">
        <v>102</v>
      </c>
      <c r="C6" s="24" t="s">
        <v>48</v>
      </c>
      <c r="D6" s="28">
        <v>3700000</v>
      </c>
      <c r="E6" s="26">
        <v>7283.45</v>
      </c>
      <c r="F6" s="27">
        <v>9.4423292412828292</v>
      </c>
    </row>
    <row r="7" spans="1:6" x14ac:dyDescent="0.2">
      <c r="A7" s="24" t="s">
        <v>50</v>
      </c>
      <c r="B7" s="24" t="s">
        <v>49</v>
      </c>
      <c r="C7" s="24" t="s">
        <v>51</v>
      </c>
      <c r="D7" s="28">
        <v>1600000</v>
      </c>
      <c r="E7" s="26">
        <v>7054.4</v>
      </c>
      <c r="F7" s="27">
        <v>9.1453867878142301</v>
      </c>
    </row>
    <row r="8" spans="1:6" x14ac:dyDescent="0.2">
      <c r="A8" s="24" t="s">
        <v>63</v>
      </c>
      <c r="B8" s="24" t="s">
        <v>62</v>
      </c>
      <c r="C8" s="24" t="s">
        <v>48</v>
      </c>
      <c r="D8" s="28">
        <v>1875000</v>
      </c>
      <c r="E8" s="26">
        <v>6070.3125</v>
      </c>
      <c r="F8" s="27">
        <v>7.8696070162456904</v>
      </c>
    </row>
    <row r="9" spans="1:6" x14ac:dyDescent="0.2">
      <c r="A9" s="24" t="s">
        <v>145</v>
      </c>
      <c r="B9" s="24" t="s">
        <v>144</v>
      </c>
      <c r="C9" s="24" t="s">
        <v>66</v>
      </c>
      <c r="D9" s="28">
        <v>135000</v>
      </c>
      <c r="E9" s="26">
        <v>4380.5474999999997</v>
      </c>
      <c r="F9" s="27">
        <v>5.6789806687872302</v>
      </c>
    </row>
    <row r="10" spans="1:6" x14ac:dyDescent="0.2">
      <c r="A10" s="24" t="s">
        <v>101</v>
      </c>
      <c r="B10" s="24" t="s">
        <v>100</v>
      </c>
      <c r="C10" s="24" t="s">
        <v>91</v>
      </c>
      <c r="D10" s="28">
        <v>5000000</v>
      </c>
      <c r="E10" s="26">
        <v>4210</v>
      </c>
      <c r="F10" s="27">
        <v>5.4578813756943099</v>
      </c>
    </row>
    <row r="11" spans="1:6" x14ac:dyDescent="0.2">
      <c r="A11" s="24" t="s">
        <v>157</v>
      </c>
      <c r="B11" s="24" t="s">
        <v>156</v>
      </c>
      <c r="C11" s="24" t="s">
        <v>78</v>
      </c>
      <c r="D11" s="28">
        <v>5000000</v>
      </c>
      <c r="E11" s="26">
        <v>4082.5</v>
      </c>
      <c r="F11" s="27">
        <v>5.2925892437700703</v>
      </c>
    </row>
    <row r="12" spans="1:6" x14ac:dyDescent="0.2">
      <c r="A12" s="24" t="s">
        <v>107</v>
      </c>
      <c r="B12" s="24" t="s">
        <v>106</v>
      </c>
      <c r="C12" s="24" t="s">
        <v>78</v>
      </c>
      <c r="D12" s="28">
        <v>1150000</v>
      </c>
      <c r="E12" s="26">
        <v>3644.35</v>
      </c>
      <c r="F12" s="27">
        <v>4.7245676939457297</v>
      </c>
    </row>
    <row r="13" spans="1:6" x14ac:dyDescent="0.2">
      <c r="A13" s="24" t="s">
        <v>47</v>
      </c>
      <c r="B13" s="24" t="s">
        <v>46</v>
      </c>
      <c r="C13" s="24" t="s">
        <v>48</v>
      </c>
      <c r="D13" s="28">
        <v>401041</v>
      </c>
      <c r="E13" s="26">
        <v>3456.5723790000002</v>
      </c>
      <c r="F13" s="27">
        <v>4.4811311190221996</v>
      </c>
    </row>
    <row r="14" spans="1:6" x14ac:dyDescent="0.2">
      <c r="A14" s="24" t="s">
        <v>494</v>
      </c>
      <c r="B14" s="24" t="s">
        <v>493</v>
      </c>
      <c r="C14" s="24" t="s">
        <v>66</v>
      </c>
      <c r="D14" s="28">
        <v>350000</v>
      </c>
      <c r="E14" s="26">
        <v>3389.75</v>
      </c>
      <c r="F14" s="27">
        <v>4.3945019936484</v>
      </c>
    </row>
    <row r="15" spans="1:6" x14ac:dyDescent="0.2">
      <c r="A15" s="24" t="s">
        <v>192</v>
      </c>
      <c r="B15" s="24" t="s">
        <v>191</v>
      </c>
      <c r="C15" s="24" t="s">
        <v>193</v>
      </c>
      <c r="D15" s="28">
        <v>3353549</v>
      </c>
      <c r="E15" s="26">
        <v>2290.4739669999999</v>
      </c>
      <c r="F15" s="27">
        <v>2.9693907852736201</v>
      </c>
    </row>
    <row r="16" spans="1:6" x14ac:dyDescent="0.2">
      <c r="A16" s="24" t="s">
        <v>56</v>
      </c>
      <c r="B16" s="24" t="s">
        <v>55</v>
      </c>
      <c r="C16" s="24" t="s">
        <v>48</v>
      </c>
      <c r="D16" s="28">
        <v>600000</v>
      </c>
      <c r="E16" s="26">
        <v>2274</v>
      </c>
      <c r="F16" s="27">
        <v>2.9480337882016299</v>
      </c>
    </row>
    <row r="17" spans="1:6" x14ac:dyDescent="0.2">
      <c r="A17" s="24" t="s">
        <v>492</v>
      </c>
      <c r="B17" s="24" t="s">
        <v>491</v>
      </c>
      <c r="C17" s="24" t="s">
        <v>214</v>
      </c>
      <c r="D17" s="28">
        <v>200000</v>
      </c>
      <c r="E17" s="26">
        <v>2132.3000000000002</v>
      </c>
      <c r="F17" s="27">
        <v>2.7643326502121099</v>
      </c>
    </row>
    <row r="18" spans="1:6" x14ac:dyDescent="0.2">
      <c r="A18" s="24" t="s">
        <v>498</v>
      </c>
      <c r="B18" s="24" t="s">
        <v>497</v>
      </c>
      <c r="C18" s="24" t="s">
        <v>110</v>
      </c>
      <c r="D18" s="28">
        <v>768249</v>
      </c>
      <c r="E18" s="26">
        <v>2061.596192</v>
      </c>
      <c r="F18" s="27">
        <v>2.6726716058240099</v>
      </c>
    </row>
    <row r="19" spans="1:6" x14ac:dyDescent="0.2">
      <c r="A19" s="24" t="s">
        <v>169</v>
      </c>
      <c r="B19" s="24" t="s">
        <v>168</v>
      </c>
      <c r="C19" s="24" t="s">
        <v>69</v>
      </c>
      <c r="D19" s="28">
        <v>2500000</v>
      </c>
      <c r="E19" s="26">
        <v>1913.75</v>
      </c>
      <c r="F19" s="27">
        <v>2.4810024899608001</v>
      </c>
    </row>
    <row r="20" spans="1:6" x14ac:dyDescent="0.2">
      <c r="A20" s="24" t="s">
        <v>385</v>
      </c>
      <c r="B20" s="24" t="s">
        <v>384</v>
      </c>
      <c r="C20" s="24" t="s">
        <v>66</v>
      </c>
      <c r="D20" s="28">
        <v>825000</v>
      </c>
      <c r="E20" s="26">
        <v>1617</v>
      </c>
      <c r="F20" s="27">
        <v>2.0962931554626301</v>
      </c>
    </row>
    <row r="21" spans="1:6" x14ac:dyDescent="0.2">
      <c r="A21" s="24" t="s">
        <v>532</v>
      </c>
      <c r="B21" s="24" t="s">
        <v>531</v>
      </c>
      <c r="C21" s="24" t="s">
        <v>214</v>
      </c>
      <c r="D21" s="28">
        <v>1500000</v>
      </c>
      <c r="E21" s="26">
        <v>1420.5</v>
      </c>
      <c r="F21" s="27">
        <v>1.8415488109676399</v>
      </c>
    </row>
    <row r="22" spans="1:6" x14ac:dyDescent="0.2">
      <c r="A22" s="24" t="s">
        <v>68</v>
      </c>
      <c r="B22" s="24" t="s">
        <v>67</v>
      </c>
      <c r="C22" s="24" t="s">
        <v>69</v>
      </c>
      <c r="D22" s="28">
        <v>638920</v>
      </c>
      <c r="E22" s="26">
        <v>1275.9232400000001</v>
      </c>
      <c r="F22" s="27">
        <v>1.6541182157747101</v>
      </c>
    </row>
    <row r="23" spans="1:6" x14ac:dyDescent="0.2">
      <c r="A23" s="24" t="s">
        <v>295</v>
      </c>
      <c r="B23" s="24" t="s">
        <v>294</v>
      </c>
      <c r="C23" s="24" t="s">
        <v>51</v>
      </c>
      <c r="D23" s="28">
        <v>40000000</v>
      </c>
      <c r="E23" s="26">
        <v>1240</v>
      </c>
      <c r="F23" s="27">
        <v>1.6075470085180401</v>
      </c>
    </row>
    <row r="24" spans="1:6" x14ac:dyDescent="0.2">
      <c r="A24" s="24" t="s">
        <v>213</v>
      </c>
      <c r="B24" s="24" t="s">
        <v>212</v>
      </c>
      <c r="C24" s="24" t="s">
        <v>214</v>
      </c>
      <c r="D24" s="28">
        <v>2000000</v>
      </c>
      <c r="E24" s="26">
        <v>1205</v>
      </c>
      <c r="F24" s="27">
        <v>1.56217269779374</v>
      </c>
    </row>
    <row r="25" spans="1:6" x14ac:dyDescent="0.2">
      <c r="A25" s="24" t="s">
        <v>358</v>
      </c>
      <c r="B25" s="24" t="s">
        <v>357</v>
      </c>
      <c r="C25" s="24" t="s">
        <v>110</v>
      </c>
      <c r="D25" s="28">
        <v>32381</v>
      </c>
      <c r="E25" s="26">
        <v>1203.488437</v>
      </c>
      <c r="F25" s="27">
        <v>1.5602130941011301</v>
      </c>
    </row>
    <row r="26" spans="1:6" x14ac:dyDescent="0.2">
      <c r="A26" s="24" t="s">
        <v>489</v>
      </c>
      <c r="B26" s="24" t="s">
        <v>488</v>
      </c>
      <c r="C26" s="24" t="s">
        <v>214</v>
      </c>
      <c r="D26" s="28">
        <v>3000000</v>
      </c>
      <c r="E26" s="26">
        <v>1102.5</v>
      </c>
      <c r="F26" s="27">
        <v>1.42929078781543</v>
      </c>
    </row>
    <row r="27" spans="1:6" x14ac:dyDescent="0.2">
      <c r="A27" s="24" t="s">
        <v>211</v>
      </c>
      <c r="B27" s="24" t="s">
        <v>210</v>
      </c>
      <c r="C27" s="24" t="s">
        <v>110</v>
      </c>
      <c r="D27" s="28">
        <v>500000</v>
      </c>
      <c r="E27" s="26">
        <v>1018.75</v>
      </c>
      <c r="F27" s="27">
        <v>1.32071654429657</v>
      </c>
    </row>
    <row r="28" spans="1:6" x14ac:dyDescent="0.2">
      <c r="A28" s="24" t="s">
        <v>239</v>
      </c>
      <c r="B28" s="24" t="s">
        <v>238</v>
      </c>
      <c r="C28" s="24" t="s">
        <v>86</v>
      </c>
      <c r="D28" s="28">
        <v>3500000</v>
      </c>
      <c r="E28" s="26">
        <v>1018.5</v>
      </c>
      <c r="F28" s="27">
        <v>1.32039244207711</v>
      </c>
    </row>
    <row r="29" spans="1:6" x14ac:dyDescent="0.2">
      <c r="A29" s="24" t="s">
        <v>526</v>
      </c>
      <c r="B29" s="24" t="s">
        <v>525</v>
      </c>
      <c r="C29" s="24" t="s">
        <v>110</v>
      </c>
      <c r="D29" s="28">
        <v>1600000</v>
      </c>
      <c r="E29" s="26">
        <v>943.2</v>
      </c>
      <c r="F29" s="27">
        <v>1.2227728535759801</v>
      </c>
    </row>
    <row r="30" spans="1:6" x14ac:dyDescent="0.2">
      <c r="A30" s="24" t="s">
        <v>391</v>
      </c>
      <c r="B30" s="24" t="s">
        <v>390</v>
      </c>
      <c r="C30" s="24" t="s">
        <v>333</v>
      </c>
      <c r="D30" s="28">
        <v>700000</v>
      </c>
      <c r="E30" s="26">
        <v>936.95</v>
      </c>
      <c r="F30" s="27">
        <v>1.2146702980894999</v>
      </c>
    </row>
    <row r="31" spans="1:6" x14ac:dyDescent="0.2">
      <c r="A31" s="24" t="s">
        <v>142</v>
      </c>
      <c r="B31" s="24" t="s">
        <v>141</v>
      </c>
      <c r="C31" s="24" t="s">
        <v>143</v>
      </c>
      <c r="D31" s="28">
        <v>100000</v>
      </c>
      <c r="E31" s="26">
        <v>808.5</v>
      </c>
      <c r="F31" s="27">
        <v>1.0481465777313199</v>
      </c>
    </row>
    <row r="32" spans="1:6" x14ac:dyDescent="0.2">
      <c r="A32" s="24" t="s">
        <v>534</v>
      </c>
      <c r="B32" s="24" t="s">
        <v>533</v>
      </c>
      <c r="C32" s="24" t="s">
        <v>333</v>
      </c>
      <c r="D32" s="28">
        <v>2233265</v>
      </c>
      <c r="E32" s="26">
        <v>789.45917750000001</v>
      </c>
      <c r="F32" s="27">
        <v>1.0234618864010001</v>
      </c>
    </row>
    <row r="33" spans="1:9" x14ac:dyDescent="0.2">
      <c r="A33" s="24" t="s">
        <v>186</v>
      </c>
      <c r="B33" s="24" t="s">
        <v>185</v>
      </c>
      <c r="C33" s="24" t="s">
        <v>99</v>
      </c>
      <c r="D33" s="28">
        <v>2200000</v>
      </c>
      <c r="E33" s="26">
        <v>680.9</v>
      </c>
      <c r="F33" s="27">
        <v>0.88272480491930005</v>
      </c>
    </row>
    <row r="34" spans="1:9" x14ac:dyDescent="0.2">
      <c r="A34" s="24" t="s">
        <v>536</v>
      </c>
      <c r="B34" s="24" t="s">
        <v>535</v>
      </c>
      <c r="C34" s="24" t="s">
        <v>132</v>
      </c>
      <c r="D34" s="28">
        <v>600000</v>
      </c>
      <c r="E34" s="26">
        <v>673.8</v>
      </c>
      <c r="F34" s="27">
        <v>0.87352030188665597</v>
      </c>
    </row>
    <row r="35" spans="1:9" x14ac:dyDescent="0.2">
      <c r="A35" s="24" t="s">
        <v>85</v>
      </c>
      <c r="B35" s="24" t="s">
        <v>84</v>
      </c>
      <c r="C35" s="24" t="s">
        <v>86</v>
      </c>
      <c r="D35" s="28">
        <v>700000</v>
      </c>
      <c r="E35" s="26">
        <v>669.9</v>
      </c>
      <c r="F35" s="27">
        <v>0.86846430726309198</v>
      </c>
    </row>
    <row r="36" spans="1:9" x14ac:dyDescent="0.2">
      <c r="A36" s="24" t="s">
        <v>220</v>
      </c>
      <c r="B36" s="24" t="s">
        <v>219</v>
      </c>
      <c r="C36" s="24" t="s">
        <v>214</v>
      </c>
      <c r="D36" s="28">
        <v>200000</v>
      </c>
      <c r="E36" s="26">
        <v>663.3</v>
      </c>
      <c r="F36" s="27">
        <v>0.85990800866936601</v>
      </c>
    </row>
    <row r="37" spans="1:9" x14ac:dyDescent="0.2">
      <c r="A37" s="24" t="s">
        <v>504</v>
      </c>
      <c r="B37" s="24" t="s">
        <v>503</v>
      </c>
      <c r="C37" s="24" t="s">
        <v>333</v>
      </c>
      <c r="D37" s="28">
        <v>2100000</v>
      </c>
      <c r="E37" s="26">
        <v>624.75</v>
      </c>
      <c r="F37" s="27">
        <v>0.80993144642874504</v>
      </c>
    </row>
    <row r="38" spans="1:9" x14ac:dyDescent="0.2">
      <c r="A38" s="24" t="s">
        <v>506</v>
      </c>
      <c r="B38" s="24" t="s">
        <v>505</v>
      </c>
      <c r="C38" s="24" t="s">
        <v>333</v>
      </c>
      <c r="D38" s="28">
        <v>550000</v>
      </c>
      <c r="E38" s="26">
        <v>506</v>
      </c>
      <c r="F38" s="27">
        <v>0.65598289218558603</v>
      </c>
    </row>
    <row r="39" spans="1:9" x14ac:dyDescent="0.2">
      <c r="A39" s="24" t="s">
        <v>419</v>
      </c>
      <c r="B39" s="24" t="s">
        <v>418</v>
      </c>
      <c r="C39" s="24" t="s">
        <v>110</v>
      </c>
      <c r="D39" s="28">
        <v>250000</v>
      </c>
      <c r="E39" s="26">
        <v>418.125</v>
      </c>
      <c r="F39" s="27">
        <v>0.54206096204564902</v>
      </c>
    </row>
    <row r="40" spans="1:9" x14ac:dyDescent="0.2">
      <c r="A40" s="24" t="s">
        <v>538</v>
      </c>
      <c r="B40" s="24" t="s">
        <v>537</v>
      </c>
      <c r="C40" s="24" t="s">
        <v>48</v>
      </c>
      <c r="D40" s="28">
        <v>1100000</v>
      </c>
      <c r="E40" s="26">
        <v>355.85</v>
      </c>
      <c r="F40" s="27">
        <v>0.46132709917834203</v>
      </c>
    </row>
    <row r="41" spans="1:9" x14ac:dyDescent="0.2">
      <c r="A41" s="24" t="s">
        <v>93</v>
      </c>
      <c r="B41" s="24" t="s">
        <v>92</v>
      </c>
      <c r="C41" s="24" t="s">
        <v>94</v>
      </c>
      <c r="D41" s="28">
        <v>106650</v>
      </c>
      <c r="E41" s="26">
        <v>287.52839999999998</v>
      </c>
      <c r="F41" s="27">
        <v>0.37275437039030501</v>
      </c>
    </row>
    <row r="42" spans="1:9" x14ac:dyDescent="0.2">
      <c r="A42" s="24" t="s">
        <v>540</v>
      </c>
      <c r="B42" s="24" t="s">
        <v>539</v>
      </c>
      <c r="C42" s="24" t="s">
        <v>118</v>
      </c>
      <c r="D42" s="28">
        <v>400000</v>
      </c>
      <c r="E42" s="26">
        <v>152.19999999999999</v>
      </c>
      <c r="F42" s="27">
        <v>0.197313431206811</v>
      </c>
    </row>
    <row r="43" spans="1:9" ht="10.5" x14ac:dyDescent="0.25">
      <c r="A43" s="23" t="s">
        <v>24</v>
      </c>
      <c r="B43" s="23"/>
      <c r="C43" s="23"/>
      <c r="D43" s="29"/>
      <c r="E43" s="30">
        <f>SUM(E6:E42)</f>
        <v>73856.126792499985</v>
      </c>
      <c r="F43" s="31">
        <f>SUM(F6:F42)</f>
        <v>95.747738456461533</v>
      </c>
      <c r="G43" s="15"/>
      <c r="H43" s="15"/>
      <c r="I43" s="15"/>
    </row>
    <row r="44" spans="1:9" x14ac:dyDescent="0.2">
      <c r="A44" s="24"/>
      <c r="B44" s="24"/>
      <c r="C44" s="24"/>
      <c r="D44" s="25"/>
      <c r="E44" s="26"/>
      <c r="F44" s="27"/>
    </row>
    <row r="45" spans="1:9" ht="10.5" x14ac:dyDescent="0.25">
      <c r="A45" s="23" t="s">
        <v>25</v>
      </c>
      <c r="B45" s="23"/>
      <c r="C45" s="23"/>
      <c r="D45" s="29"/>
      <c r="E45" s="30">
        <f>E43</f>
        <v>73856.126792499985</v>
      </c>
      <c r="F45" s="31">
        <f>F43</f>
        <v>95.747738456461533</v>
      </c>
      <c r="G45" s="15"/>
      <c r="H45" s="15"/>
      <c r="I45" s="15"/>
    </row>
    <row r="46" spans="1:9" ht="10.5" x14ac:dyDescent="0.25">
      <c r="A46" s="23"/>
      <c r="B46" s="23"/>
      <c r="C46" s="23"/>
      <c r="D46" s="29"/>
      <c r="E46" s="30"/>
      <c r="F46" s="31"/>
      <c r="G46" s="15"/>
      <c r="H46" s="15"/>
      <c r="I46" s="15"/>
    </row>
    <row r="47" spans="1:9" ht="10.5" x14ac:dyDescent="0.25">
      <c r="A47" s="23" t="s">
        <v>27</v>
      </c>
      <c r="B47" s="23"/>
      <c r="C47" s="23"/>
      <c r="D47" s="29"/>
      <c r="E47" s="30">
        <f>E49-(E43)</f>
        <v>3280.0311817000184</v>
      </c>
      <c r="F47" s="31">
        <f>F49-(F43)</f>
        <v>4.2522615435384665</v>
      </c>
      <c r="G47" s="15"/>
      <c r="H47" s="15"/>
      <c r="I47" s="15"/>
    </row>
    <row r="48" spans="1:9" ht="10.5" x14ac:dyDescent="0.25">
      <c r="A48" s="23"/>
      <c r="B48" s="23"/>
      <c r="C48" s="23"/>
      <c r="D48" s="29"/>
      <c r="E48" s="30"/>
      <c r="F48" s="31"/>
      <c r="G48" s="15"/>
      <c r="H48" s="15"/>
      <c r="I48" s="15"/>
    </row>
    <row r="49" spans="1:9" ht="10.5" x14ac:dyDescent="0.25">
      <c r="A49" s="32" t="s">
        <v>26</v>
      </c>
      <c r="B49" s="32"/>
      <c r="C49" s="32"/>
      <c r="D49" s="33"/>
      <c r="E49" s="34">
        <v>77136.157974200003</v>
      </c>
      <c r="F49" s="35">
        <v>100</v>
      </c>
      <c r="G49" s="15"/>
      <c r="H49" s="15"/>
      <c r="I49" s="15"/>
    </row>
    <row r="51" spans="1:9" ht="10.5" x14ac:dyDescent="0.25">
      <c r="A51" s="15" t="s">
        <v>28</v>
      </c>
    </row>
    <row r="52" spans="1:9" ht="10.5" x14ac:dyDescent="0.25">
      <c r="A52" s="15" t="s">
        <v>29</v>
      </c>
    </row>
    <row r="53" spans="1:9" ht="10.5" x14ac:dyDescent="0.25">
      <c r="A53" s="15" t="s">
        <v>30</v>
      </c>
      <c r="B53" s="15"/>
      <c r="C53" s="36" t="s">
        <v>32</v>
      </c>
      <c r="D53" s="16" t="s">
        <v>31</v>
      </c>
    </row>
    <row r="54" spans="1:9" x14ac:dyDescent="0.2">
      <c r="A54" s="9" t="s">
        <v>38</v>
      </c>
      <c r="C54" s="37">
        <v>40.210799999999999</v>
      </c>
      <c r="D54" s="37">
        <v>27.630099999999999</v>
      </c>
    </row>
    <row r="55" spans="1:9" x14ac:dyDescent="0.2">
      <c r="A55" s="9" t="s">
        <v>40</v>
      </c>
      <c r="C55" s="37">
        <v>20.8993</v>
      </c>
      <c r="D55" s="37">
        <v>13.2056</v>
      </c>
    </row>
    <row r="56" spans="1:9" x14ac:dyDescent="0.2">
      <c r="A56" s="9" t="s">
        <v>39</v>
      </c>
      <c r="C56" s="37">
        <v>43.529899999999998</v>
      </c>
      <c r="D56" s="37">
        <v>30.076699999999999</v>
      </c>
    </row>
    <row r="57" spans="1:9" x14ac:dyDescent="0.2">
      <c r="A57" s="9" t="s">
        <v>41</v>
      </c>
      <c r="C57" s="37">
        <v>23.160799999999998</v>
      </c>
      <c r="D57" s="37">
        <v>14.8451</v>
      </c>
    </row>
    <row r="59" spans="1:9" ht="10.5" x14ac:dyDescent="0.25">
      <c r="A59" s="15" t="s">
        <v>1882</v>
      </c>
    </row>
    <row r="60" spans="1:9" ht="10.5" x14ac:dyDescent="0.25">
      <c r="A60" s="90" t="s">
        <v>33</v>
      </c>
      <c r="B60" s="91"/>
      <c r="C60" s="92" t="s">
        <v>1883</v>
      </c>
      <c r="D60" s="93"/>
    </row>
    <row r="61" spans="1:9" ht="10.5" x14ac:dyDescent="0.25">
      <c r="A61" s="90"/>
      <c r="B61" s="91"/>
      <c r="C61" s="38" t="s">
        <v>34</v>
      </c>
      <c r="D61" s="39" t="s">
        <v>35</v>
      </c>
    </row>
    <row r="62" spans="1:9" x14ac:dyDescent="0.2">
      <c r="A62" s="96" t="s">
        <v>40</v>
      </c>
      <c r="B62" s="97"/>
      <c r="C62" s="40">
        <v>1.5494648225000001</v>
      </c>
      <c r="D62" s="40">
        <v>1.5494648225000001</v>
      </c>
    </row>
    <row r="63" spans="1:9" x14ac:dyDescent="0.2">
      <c r="A63" s="96" t="s">
        <v>41</v>
      </c>
      <c r="B63" s="97"/>
      <c r="C63" s="40">
        <v>1.5494648225000001</v>
      </c>
      <c r="D63" s="40">
        <v>1.5494648225000001</v>
      </c>
    </row>
    <row r="65" spans="1:4" ht="10.5" x14ac:dyDescent="0.25">
      <c r="A65" s="15" t="s">
        <v>175</v>
      </c>
      <c r="D65" s="42">
        <v>0.1421</v>
      </c>
    </row>
  </sheetData>
  <mergeCells count="6">
    <mergeCell ref="A63:B63"/>
    <mergeCell ref="A1:F1"/>
    <mergeCell ref="C60:D60"/>
    <mergeCell ref="A60:B60"/>
    <mergeCell ref="A61:B61"/>
    <mergeCell ref="A62:B62"/>
  </mergeCells>
  <conditionalFormatting sqref="F4:F65536 F2">
    <cfRule type="cellIs" dxfId="1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2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79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36.26953125" style="9" bestFit="1" customWidth="1"/>
    <col min="3" max="3" width="35.7265625" style="9" bestFit="1" customWidth="1"/>
    <col min="4" max="4" width="15.453125" style="10" bestFit="1" customWidth="1"/>
    <col min="5" max="5" width="12.26953125" style="11" customWidth="1"/>
    <col min="6" max="6" width="9.81640625" style="14" customWidth="1"/>
    <col min="7" max="7" width="5.1796875" style="9" bestFit="1" customWidth="1"/>
    <col min="8" max="16384" width="9.1796875" style="9"/>
  </cols>
  <sheetData>
    <row r="1" spans="1:6" s="1" customFormat="1" ht="14" x14ac:dyDescent="0.25">
      <c r="A1" s="88" t="s">
        <v>13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30714</v>
      </c>
      <c r="E6" s="26">
        <v>264.72396600000002</v>
      </c>
      <c r="F6" s="27">
        <v>2.0858848056600898</v>
      </c>
    </row>
    <row r="7" spans="1:6" x14ac:dyDescent="0.2">
      <c r="A7" s="24" t="s">
        <v>61</v>
      </c>
      <c r="B7" s="24" t="s">
        <v>60</v>
      </c>
      <c r="C7" s="24" t="s">
        <v>48</v>
      </c>
      <c r="D7" s="28">
        <v>18256</v>
      </c>
      <c r="E7" s="26">
        <v>236.606888</v>
      </c>
      <c r="F7" s="27">
        <v>1.86433710574478</v>
      </c>
    </row>
    <row r="8" spans="1:6" x14ac:dyDescent="0.2">
      <c r="A8" s="24" t="s">
        <v>444</v>
      </c>
      <c r="B8" s="24" t="s">
        <v>443</v>
      </c>
      <c r="C8" s="24" t="s">
        <v>113</v>
      </c>
      <c r="D8" s="28">
        <v>31568</v>
      </c>
      <c r="E8" s="26">
        <v>152.899608</v>
      </c>
      <c r="F8" s="27">
        <v>1.20476802284907</v>
      </c>
    </row>
    <row r="9" spans="1:6" x14ac:dyDescent="0.2">
      <c r="A9" s="24" t="s">
        <v>161</v>
      </c>
      <c r="B9" s="24" t="s">
        <v>160</v>
      </c>
      <c r="C9" s="24" t="s">
        <v>162</v>
      </c>
      <c r="D9" s="28">
        <v>189501</v>
      </c>
      <c r="E9" s="26">
        <v>142.12575000000001</v>
      </c>
      <c r="F9" s="27">
        <v>1.1198757214828201</v>
      </c>
    </row>
    <row r="10" spans="1:6" x14ac:dyDescent="0.2">
      <c r="A10" s="24" t="s">
        <v>63</v>
      </c>
      <c r="B10" s="24" t="s">
        <v>62</v>
      </c>
      <c r="C10" s="24" t="s">
        <v>48</v>
      </c>
      <c r="D10" s="28">
        <v>41847</v>
      </c>
      <c r="E10" s="26">
        <v>135.47966249999999</v>
      </c>
      <c r="F10" s="27">
        <v>1.06750806794995</v>
      </c>
    </row>
    <row r="11" spans="1:6" x14ac:dyDescent="0.2">
      <c r="A11" s="24" t="s">
        <v>457</v>
      </c>
      <c r="B11" s="24" t="s">
        <v>456</v>
      </c>
      <c r="C11" s="24" t="s">
        <v>333</v>
      </c>
      <c r="D11" s="28">
        <v>27999</v>
      </c>
      <c r="E11" s="26">
        <v>92.886682500000006</v>
      </c>
      <c r="F11" s="27">
        <v>0.73189791843373597</v>
      </c>
    </row>
    <row r="12" spans="1:6" x14ac:dyDescent="0.2">
      <c r="A12" s="24" t="s">
        <v>421</v>
      </c>
      <c r="B12" s="24" t="s">
        <v>420</v>
      </c>
      <c r="C12" s="24" t="s">
        <v>174</v>
      </c>
      <c r="D12" s="28">
        <v>37307</v>
      </c>
      <c r="E12" s="26">
        <v>92.334824999999995</v>
      </c>
      <c r="F12" s="27">
        <v>0.72754957328186798</v>
      </c>
    </row>
    <row r="13" spans="1:6" x14ac:dyDescent="0.2">
      <c r="A13" s="24" t="s">
        <v>188</v>
      </c>
      <c r="B13" s="24" t="s">
        <v>187</v>
      </c>
      <c r="C13" s="24" t="s">
        <v>72</v>
      </c>
      <c r="D13" s="28">
        <v>30332</v>
      </c>
      <c r="E13" s="26">
        <v>89.433902000000003</v>
      </c>
      <c r="F13" s="27">
        <v>0.70469183471168495</v>
      </c>
    </row>
    <row r="14" spans="1:6" x14ac:dyDescent="0.2">
      <c r="A14" s="24" t="s">
        <v>542</v>
      </c>
      <c r="B14" s="24" t="s">
        <v>541</v>
      </c>
      <c r="C14" s="24" t="s">
        <v>333</v>
      </c>
      <c r="D14" s="28">
        <v>14536</v>
      </c>
      <c r="E14" s="26">
        <v>87.688419999999994</v>
      </c>
      <c r="F14" s="27">
        <v>0.69093835996073205</v>
      </c>
    </row>
    <row r="15" spans="1:6" x14ac:dyDescent="0.2">
      <c r="A15" s="24" t="s">
        <v>544</v>
      </c>
      <c r="B15" s="24" t="s">
        <v>543</v>
      </c>
      <c r="C15" s="24" t="s">
        <v>132</v>
      </c>
      <c r="D15" s="28">
        <v>15620</v>
      </c>
      <c r="E15" s="26">
        <v>77.639210000000006</v>
      </c>
      <c r="F15" s="27">
        <v>0.61175590147532399</v>
      </c>
    </row>
    <row r="16" spans="1:6" x14ac:dyDescent="0.2">
      <c r="A16" s="24" t="s">
        <v>514</v>
      </c>
      <c r="B16" s="24" t="s">
        <v>513</v>
      </c>
      <c r="C16" s="24" t="s">
        <v>132</v>
      </c>
      <c r="D16" s="28">
        <v>15523</v>
      </c>
      <c r="E16" s="26">
        <v>55.215311</v>
      </c>
      <c r="F16" s="27">
        <v>0.43506744022827398</v>
      </c>
    </row>
    <row r="17" spans="1:9" x14ac:dyDescent="0.2">
      <c r="A17" s="24" t="s">
        <v>85</v>
      </c>
      <c r="B17" s="24" t="s">
        <v>84</v>
      </c>
      <c r="C17" s="24" t="s">
        <v>86</v>
      </c>
      <c r="D17" s="28">
        <v>56959</v>
      </c>
      <c r="E17" s="26">
        <v>54.509763</v>
      </c>
      <c r="F17" s="27">
        <v>0.42950809524299999</v>
      </c>
    </row>
    <row r="18" spans="1:9" x14ac:dyDescent="0.2">
      <c r="A18" s="24" t="s">
        <v>124</v>
      </c>
      <c r="B18" s="24" t="s">
        <v>123</v>
      </c>
      <c r="C18" s="24" t="s">
        <v>99</v>
      </c>
      <c r="D18" s="28">
        <v>54279</v>
      </c>
      <c r="E18" s="26">
        <v>38.565229500000001</v>
      </c>
      <c r="F18" s="27">
        <v>0.30387360636945299</v>
      </c>
    </row>
    <row r="19" spans="1:9" ht="10.5" x14ac:dyDescent="0.25">
      <c r="A19" s="23" t="s">
        <v>24</v>
      </c>
      <c r="B19" s="23"/>
      <c r="C19" s="23"/>
      <c r="D19" s="29"/>
      <c r="E19" s="30">
        <f>SUM(E6:E18)</f>
        <v>1520.1092174999999</v>
      </c>
      <c r="F19" s="31">
        <f>SUM(F6:F18)</f>
        <v>11.977656453390781</v>
      </c>
      <c r="G19" s="15"/>
      <c r="H19" s="15"/>
      <c r="I19" s="15"/>
    </row>
    <row r="20" spans="1:9" x14ac:dyDescent="0.2">
      <c r="A20" s="24"/>
      <c r="B20" s="24"/>
      <c r="C20" s="24"/>
      <c r="D20" s="25"/>
      <c r="E20" s="26"/>
      <c r="F20" s="27"/>
    </row>
    <row r="21" spans="1:9" ht="10.5" x14ac:dyDescent="0.25">
      <c r="A21" s="23" t="s">
        <v>255</v>
      </c>
      <c r="B21" s="24"/>
      <c r="C21" s="24"/>
      <c r="D21" s="25"/>
      <c r="E21" s="26"/>
      <c r="F21" s="27"/>
    </row>
    <row r="22" spans="1:9" x14ac:dyDescent="0.2">
      <c r="A22" s="24" t="s">
        <v>546</v>
      </c>
      <c r="B22" s="24" t="s">
        <v>545</v>
      </c>
      <c r="C22" s="24" t="s">
        <v>59</v>
      </c>
      <c r="D22" s="28">
        <v>40000</v>
      </c>
      <c r="E22" s="26">
        <v>1479.983097</v>
      </c>
      <c r="F22" s="27">
        <v>11.6614838516965</v>
      </c>
    </row>
    <row r="23" spans="1:9" x14ac:dyDescent="0.2">
      <c r="A23" s="24" t="s">
        <v>548</v>
      </c>
      <c r="B23" s="24" t="s">
        <v>547</v>
      </c>
      <c r="C23" s="24" t="s">
        <v>113</v>
      </c>
      <c r="D23" s="28">
        <v>9063</v>
      </c>
      <c r="E23" s="26">
        <v>1307.9973419999999</v>
      </c>
      <c r="F23" s="27">
        <v>10.3063270875958</v>
      </c>
    </row>
    <row r="24" spans="1:9" x14ac:dyDescent="0.2">
      <c r="A24" s="24" t="s">
        <v>299</v>
      </c>
      <c r="B24" s="24" t="s">
        <v>298</v>
      </c>
      <c r="C24" s="24" t="s">
        <v>283</v>
      </c>
      <c r="D24" s="28">
        <v>146714</v>
      </c>
      <c r="E24" s="26">
        <v>1001.011136</v>
      </c>
      <c r="F24" s="27">
        <v>7.8874381886487299</v>
      </c>
    </row>
    <row r="25" spans="1:9" x14ac:dyDescent="0.2">
      <c r="A25" s="24" t="s">
        <v>301</v>
      </c>
      <c r="B25" s="24" t="s">
        <v>300</v>
      </c>
      <c r="C25" s="24" t="s">
        <v>283</v>
      </c>
      <c r="D25" s="28">
        <v>32100</v>
      </c>
      <c r="E25" s="26">
        <v>944.52006649999998</v>
      </c>
      <c r="F25" s="27">
        <v>7.4423184463525702</v>
      </c>
    </row>
    <row r="26" spans="1:9" x14ac:dyDescent="0.2">
      <c r="A26" s="24" t="s">
        <v>550</v>
      </c>
      <c r="B26" s="24" t="s">
        <v>549</v>
      </c>
      <c r="C26" s="24" t="s">
        <v>132</v>
      </c>
      <c r="D26" s="28">
        <v>112524</v>
      </c>
      <c r="E26" s="26">
        <v>768.17025909999995</v>
      </c>
      <c r="F26" s="27">
        <v>6.0527752580462097</v>
      </c>
    </row>
    <row r="27" spans="1:9" x14ac:dyDescent="0.2">
      <c r="A27" s="24" t="s">
        <v>552</v>
      </c>
      <c r="B27" s="24" t="s">
        <v>551</v>
      </c>
      <c r="C27" s="24" t="s">
        <v>132</v>
      </c>
      <c r="D27" s="28">
        <v>80310</v>
      </c>
      <c r="E27" s="26">
        <v>595.14691259999995</v>
      </c>
      <c r="F27" s="27">
        <v>4.6894428218405197</v>
      </c>
    </row>
    <row r="28" spans="1:9" x14ac:dyDescent="0.2">
      <c r="A28" s="24" t="s">
        <v>554</v>
      </c>
      <c r="B28" s="24" t="s">
        <v>553</v>
      </c>
      <c r="C28" s="24" t="s">
        <v>118</v>
      </c>
      <c r="D28" s="28">
        <v>3547</v>
      </c>
      <c r="E28" s="26">
        <v>371.5719234</v>
      </c>
      <c r="F28" s="27">
        <v>2.9277901843989298</v>
      </c>
    </row>
    <row r="29" spans="1:9" x14ac:dyDescent="0.2">
      <c r="A29" s="24" t="s">
        <v>556</v>
      </c>
      <c r="B29" s="24" t="s">
        <v>555</v>
      </c>
      <c r="C29" s="24" t="s">
        <v>66</v>
      </c>
      <c r="D29" s="28">
        <v>45612</v>
      </c>
      <c r="E29" s="26">
        <v>339.7092452</v>
      </c>
      <c r="F29" s="27">
        <v>2.6767291364354202</v>
      </c>
    </row>
    <row r="30" spans="1:9" x14ac:dyDescent="0.2">
      <c r="A30" s="24" t="s">
        <v>558</v>
      </c>
      <c r="B30" s="24" t="s">
        <v>557</v>
      </c>
      <c r="C30" s="24" t="s">
        <v>559</v>
      </c>
      <c r="D30" s="28">
        <v>3660</v>
      </c>
      <c r="E30" s="26">
        <v>301.02017699999999</v>
      </c>
      <c r="F30" s="27">
        <v>2.3718797466241202</v>
      </c>
    </row>
    <row r="31" spans="1:9" x14ac:dyDescent="0.2">
      <c r="A31" s="24" t="s">
        <v>561</v>
      </c>
      <c r="B31" s="24" t="s">
        <v>560</v>
      </c>
      <c r="C31" s="24" t="s">
        <v>113</v>
      </c>
      <c r="D31" s="28">
        <v>199700</v>
      </c>
      <c r="E31" s="26">
        <v>280.02134699999999</v>
      </c>
      <c r="F31" s="27">
        <v>2.2064200751955001</v>
      </c>
    </row>
    <row r="32" spans="1:9" x14ac:dyDescent="0.2">
      <c r="A32" s="24" t="s">
        <v>563</v>
      </c>
      <c r="B32" s="24" t="s">
        <v>562</v>
      </c>
      <c r="C32" s="24" t="s">
        <v>48</v>
      </c>
      <c r="D32" s="28">
        <v>27842</v>
      </c>
      <c r="E32" s="26">
        <v>273.472309</v>
      </c>
      <c r="F32" s="27">
        <v>2.1548171203807098</v>
      </c>
    </row>
    <row r="33" spans="1:6" x14ac:dyDescent="0.2">
      <c r="A33" s="24" t="s">
        <v>565</v>
      </c>
      <c r="B33" s="24" t="s">
        <v>564</v>
      </c>
      <c r="C33" s="24" t="s">
        <v>333</v>
      </c>
      <c r="D33" s="28">
        <v>84000</v>
      </c>
      <c r="E33" s="26">
        <v>261.58564990000002</v>
      </c>
      <c r="F33" s="27">
        <v>2.06115653504953</v>
      </c>
    </row>
    <row r="34" spans="1:6" x14ac:dyDescent="0.2">
      <c r="A34" s="24" t="s">
        <v>567</v>
      </c>
      <c r="B34" s="24" t="s">
        <v>566</v>
      </c>
      <c r="C34" s="24" t="s">
        <v>48</v>
      </c>
      <c r="D34" s="28">
        <v>195429</v>
      </c>
      <c r="E34" s="26">
        <v>249.76142229999999</v>
      </c>
      <c r="F34" s="27">
        <v>1.9679878769103301</v>
      </c>
    </row>
    <row r="35" spans="1:6" x14ac:dyDescent="0.2">
      <c r="A35" s="24" t="s">
        <v>569</v>
      </c>
      <c r="B35" s="24" t="s">
        <v>568</v>
      </c>
      <c r="C35" s="24" t="s">
        <v>48</v>
      </c>
      <c r="D35" s="28">
        <v>67000</v>
      </c>
      <c r="E35" s="26">
        <v>228.2062311</v>
      </c>
      <c r="F35" s="27">
        <v>1.79814437355644</v>
      </c>
    </row>
    <row r="36" spans="1:6" x14ac:dyDescent="0.2">
      <c r="A36" s="24" t="s">
        <v>571</v>
      </c>
      <c r="B36" s="24" t="s">
        <v>570</v>
      </c>
      <c r="C36" s="24" t="s">
        <v>48</v>
      </c>
      <c r="D36" s="28">
        <v>131360</v>
      </c>
      <c r="E36" s="26">
        <v>201.15062879999999</v>
      </c>
      <c r="F36" s="27">
        <v>1.58496054060664</v>
      </c>
    </row>
    <row r="37" spans="1:6" x14ac:dyDescent="0.2">
      <c r="A37" s="24" t="s">
        <v>573</v>
      </c>
      <c r="B37" s="24" t="s">
        <v>572</v>
      </c>
      <c r="C37" s="24" t="s">
        <v>113</v>
      </c>
      <c r="D37" s="28">
        <v>37521</v>
      </c>
      <c r="E37" s="26">
        <v>183.66526970000001</v>
      </c>
      <c r="F37" s="27">
        <v>1.4471851611451501</v>
      </c>
    </row>
    <row r="38" spans="1:6" x14ac:dyDescent="0.2">
      <c r="A38" s="24" t="s">
        <v>575</v>
      </c>
      <c r="B38" s="24" t="s">
        <v>574</v>
      </c>
      <c r="C38" s="24" t="s">
        <v>72</v>
      </c>
      <c r="D38" s="28">
        <v>1500</v>
      </c>
      <c r="E38" s="26">
        <v>177.1416341</v>
      </c>
      <c r="F38" s="27">
        <v>1.3957823638037701</v>
      </c>
    </row>
    <row r="39" spans="1:6" x14ac:dyDescent="0.2">
      <c r="A39" s="24" t="s">
        <v>577</v>
      </c>
      <c r="B39" s="24" t="s">
        <v>576</v>
      </c>
      <c r="C39" s="24" t="s">
        <v>214</v>
      </c>
      <c r="D39" s="28">
        <v>10238</v>
      </c>
      <c r="E39" s="26">
        <v>173.89161609999999</v>
      </c>
      <c r="F39" s="27">
        <v>1.3701739413146601</v>
      </c>
    </row>
    <row r="40" spans="1:6" x14ac:dyDescent="0.2">
      <c r="A40" s="24" t="s">
        <v>579</v>
      </c>
      <c r="B40" s="24" t="s">
        <v>578</v>
      </c>
      <c r="C40" s="24" t="s">
        <v>72</v>
      </c>
      <c r="D40" s="28">
        <v>66000</v>
      </c>
      <c r="E40" s="26">
        <v>173.0961293</v>
      </c>
      <c r="F40" s="27">
        <v>1.36390592616554</v>
      </c>
    </row>
    <row r="41" spans="1:6" x14ac:dyDescent="0.2">
      <c r="A41" s="24" t="s">
        <v>314</v>
      </c>
      <c r="B41" s="24" t="s">
        <v>313</v>
      </c>
      <c r="C41" s="24" t="s">
        <v>283</v>
      </c>
      <c r="D41" s="28">
        <v>14600</v>
      </c>
      <c r="E41" s="26">
        <v>148.333077</v>
      </c>
      <c r="F41" s="27">
        <v>1.16878617439234</v>
      </c>
    </row>
    <row r="42" spans="1:6" x14ac:dyDescent="0.2">
      <c r="A42" s="24" t="s">
        <v>581</v>
      </c>
      <c r="B42" s="24" t="s">
        <v>580</v>
      </c>
      <c r="C42" s="24" t="s">
        <v>193</v>
      </c>
      <c r="D42" s="28">
        <v>170000</v>
      </c>
      <c r="E42" s="26">
        <v>134.50056799999999</v>
      </c>
      <c r="F42" s="27">
        <v>1.05979332125846</v>
      </c>
    </row>
    <row r="43" spans="1:6" x14ac:dyDescent="0.2">
      <c r="A43" s="24" t="s">
        <v>583</v>
      </c>
      <c r="B43" s="24" t="s">
        <v>582</v>
      </c>
      <c r="C43" s="24" t="s">
        <v>113</v>
      </c>
      <c r="D43" s="28">
        <v>300100</v>
      </c>
      <c r="E43" s="26">
        <v>126.0962701</v>
      </c>
      <c r="F43" s="27">
        <v>0.99357189991631101</v>
      </c>
    </row>
    <row r="44" spans="1:6" x14ac:dyDescent="0.2">
      <c r="A44" s="24" t="s">
        <v>585</v>
      </c>
      <c r="B44" s="24" t="s">
        <v>584</v>
      </c>
      <c r="C44" s="24" t="s">
        <v>66</v>
      </c>
      <c r="D44" s="28">
        <v>132000</v>
      </c>
      <c r="E44" s="26">
        <v>118.82294589999999</v>
      </c>
      <c r="F44" s="27">
        <v>0.93626195301327997</v>
      </c>
    </row>
    <row r="45" spans="1:6" x14ac:dyDescent="0.2">
      <c r="A45" s="24" t="s">
        <v>587</v>
      </c>
      <c r="B45" s="24" t="s">
        <v>586</v>
      </c>
      <c r="C45" s="24" t="s">
        <v>113</v>
      </c>
      <c r="D45" s="28">
        <v>1925400</v>
      </c>
      <c r="E45" s="26">
        <v>115.7972864</v>
      </c>
      <c r="F45" s="27">
        <v>0.91242135681221204</v>
      </c>
    </row>
    <row r="46" spans="1:6" x14ac:dyDescent="0.2">
      <c r="A46" s="24" t="s">
        <v>589</v>
      </c>
      <c r="B46" s="24" t="s">
        <v>588</v>
      </c>
      <c r="C46" s="24" t="s">
        <v>83</v>
      </c>
      <c r="D46" s="28">
        <v>1000</v>
      </c>
      <c r="E46" s="26">
        <v>95.370829999999998</v>
      </c>
      <c r="F46" s="27">
        <v>0.75147168654987495</v>
      </c>
    </row>
    <row r="47" spans="1:6" x14ac:dyDescent="0.2">
      <c r="A47" s="24" t="s">
        <v>591</v>
      </c>
      <c r="B47" s="24" t="s">
        <v>590</v>
      </c>
      <c r="C47" s="24" t="s">
        <v>48</v>
      </c>
      <c r="D47" s="28">
        <v>5267</v>
      </c>
      <c r="E47" s="26">
        <v>92.824395999999993</v>
      </c>
      <c r="F47" s="27">
        <v>0.73140713376504596</v>
      </c>
    </row>
    <row r="48" spans="1:6" x14ac:dyDescent="0.2">
      <c r="A48" s="24" t="s">
        <v>593</v>
      </c>
      <c r="B48" s="24" t="s">
        <v>592</v>
      </c>
      <c r="C48" s="24" t="s">
        <v>66</v>
      </c>
      <c r="D48" s="28">
        <v>244200</v>
      </c>
      <c r="E48" s="26">
        <v>86.142916200000002</v>
      </c>
      <c r="F48" s="27">
        <v>0.67876060763168899</v>
      </c>
    </row>
    <row r="49" spans="1:9" x14ac:dyDescent="0.2">
      <c r="A49" s="24" t="s">
        <v>595</v>
      </c>
      <c r="B49" s="24" t="s">
        <v>594</v>
      </c>
      <c r="C49" s="24" t="s">
        <v>162</v>
      </c>
      <c r="D49" s="28">
        <v>193900</v>
      </c>
      <c r="E49" s="26">
        <v>74.880775099999994</v>
      </c>
      <c r="F49" s="27">
        <v>0.59002089375293099</v>
      </c>
    </row>
    <row r="50" spans="1:9" x14ac:dyDescent="0.2">
      <c r="A50" s="24" t="s">
        <v>597</v>
      </c>
      <c r="B50" s="24" t="s">
        <v>596</v>
      </c>
      <c r="C50" s="24" t="s">
        <v>72</v>
      </c>
      <c r="D50" s="28">
        <v>2300</v>
      </c>
      <c r="E50" s="26">
        <v>73.427524199999993</v>
      </c>
      <c r="F50" s="27">
        <v>0.57857004547151103</v>
      </c>
    </row>
    <row r="51" spans="1:9" x14ac:dyDescent="0.2">
      <c r="A51" s="24" t="s">
        <v>599</v>
      </c>
      <c r="B51" s="24" t="s">
        <v>598</v>
      </c>
      <c r="C51" s="24" t="s">
        <v>72</v>
      </c>
      <c r="D51" s="28">
        <v>101700</v>
      </c>
      <c r="E51" s="26">
        <v>73.040202100000002</v>
      </c>
      <c r="F51" s="27">
        <v>0.57551815222779001</v>
      </c>
    </row>
    <row r="52" spans="1:9" x14ac:dyDescent="0.2">
      <c r="A52" s="24" t="s">
        <v>601</v>
      </c>
      <c r="B52" s="24" t="s">
        <v>600</v>
      </c>
      <c r="C52" s="24" t="s">
        <v>66</v>
      </c>
      <c r="D52" s="28">
        <v>125600</v>
      </c>
      <c r="E52" s="26">
        <v>72.632955199999998</v>
      </c>
      <c r="F52" s="27">
        <v>0.57230926210084898</v>
      </c>
    </row>
    <row r="53" spans="1:9" x14ac:dyDescent="0.2">
      <c r="A53" s="24" t="s">
        <v>320</v>
      </c>
      <c r="B53" s="24" t="s">
        <v>319</v>
      </c>
      <c r="C53" s="24" t="s">
        <v>59</v>
      </c>
      <c r="D53" s="28">
        <v>6900</v>
      </c>
      <c r="E53" s="26">
        <v>66.7980479</v>
      </c>
      <c r="F53" s="27">
        <v>0.52633327940684105</v>
      </c>
    </row>
    <row r="54" spans="1:9" x14ac:dyDescent="0.2">
      <c r="A54" s="24" t="s">
        <v>603</v>
      </c>
      <c r="B54" s="24" t="s">
        <v>602</v>
      </c>
      <c r="C54" s="24" t="s">
        <v>283</v>
      </c>
      <c r="D54" s="28">
        <v>16010</v>
      </c>
      <c r="E54" s="26">
        <v>59.799751499999999</v>
      </c>
      <c r="F54" s="27">
        <v>0.47119040607037199</v>
      </c>
    </row>
    <row r="55" spans="1:9" x14ac:dyDescent="0.2">
      <c r="A55" s="24" t="s">
        <v>605</v>
      </c>
      <c r="B55" s="24" t="s">
        <v>604</v>
      </c>
      <c r="C55" s="24" t="s">
        <v>72</v>
      </c>
      <c r="D55" s="28">
        <v>16000</v>
      </c>
      <c r="E55" s="26">
        <v>44.609695700000003</v>
      </c>
      <c r="F55" s="27">
        <v>0.35150080233291098</v>
      </c>
    </row>
    <row r="56" spans="1:9" x14ac:dyDescent="0.2">
      <c r="A56" s="24" t="s">
        <v>607</v>
      </c>
      <c r="B56" s="24" t="s">
        <v>606</v>
      </c>
      <c r="C56" s="24" t="s">
        <v>162</v>
      </c>
      <c r="D56" s="28">
        <v>9695</v>
      </c>
      <c r="E56" s="26">
        <v>0.31423180000000001</v>
      </c>
      <c r="F56" s="27">
        <v>2.4759803465441502E-3</v>
      </c>
    </row>
    <row r="57" spans="1:9" ht="10.5" x14ac:dyDescent="0.25">
      <c r="A57" s="23" t="s">
        <v>24</v>
      </c>
      <c r="B57" s="23"/>
      <c r="C57" s="23"/>
      <c r="D57" s="29"/>
      <c r="E57" s="30">
        <f>SUM(E21:E56)</f>
        <v>10694.513869200004</v>
      </c>
      <c r="F57" s="31">
        <f>SUM(F21:F56)</f>
        <v>84.267111590816057</v>
      </c>
      <c r="G57" s="15"/>
      <c r="H57" s="15"/>
      <c r="I57" s="15"/>
    </row>
    <row r="58" spans="1:9" x14ac:dyDescent="0.2">
      <c r="A58" s="24"/>
      <c r="B58" s="24"/>
      <c r="C58" s="24"/>
      <c r="D58" s="25"/>
      <c r="E58" s="26"/>
      <c r="F58" s="27"/>
    </row>
    <row r="59" spans="1:9" ht="10.5" x14ac:dyDescent="0.25">
      <c r="A59" s="23" t="s">
        <v>25</v>
      </c>
      <c r="B59" s="23"/>
      <c r="C59" s="23"/>
      <c r="D59" s="29"/>
      <c r="E59" s="30">
        <f>E19+E57</f>
        <v>12214.623086700003</v>
      </c>
      <c r="F59" s="31">
        <f>F19+F57</f>
        <v>96.244768044206836</v>
      </c>
      <c r="G59" s="15"/>
      <c r="H59" s="15"/>
      <c r="I59" s="15"/>
    </row>
    <row r="60" spans="1:9" ht="10.5" x14ac:dyDescent="0.25">
      <c r="A60" s="23"/>
      <c r="B60" s="23"/>
      <c r="C60" s="23"/>
      <c r="D60" s="29"/>
      <c r="E60" s="30"/>
      <c r="F60" s="31"/>
      <c r="G60" s="15"/>
      <c r="H60" s="15"/>
      <c r="I60" s="15"/>
    </row>
    <row r="61" spans="1:9" ht="10.5" x14ac:dyDescent="0.25">
      <c r="A61" s="23" t="s">
        <v>27</v>
      </c>
      <c r="B61" s="23"/>
      <c r="C61" s="23"/>
      <c r="D61" s="29"/>
      <c r="E61" s="30">
        <f>E63-(E19+E57)</f>
        <v>476.5842743999965</v>
      </c>
      <c r="F61" s="31">
        <f>F63-(F19+F57)</f>
        <v>3.7552319557931639</v>
      </c>
      <c r="G61" s="15"/>
      <c r="H61" s="15"/>
      <c r="I61" s="15"/>
    </row>
    <row r="62" spans="1:9" ht="10.5" x14ac:dyDescent="0.25">
      <c r="A62" s="23"/>
      <c r="B62" s="23"/>
      <c r="C62" s="23"/>
      <c r="D62" s="29"/>
      <c r="E62" s="30"/>
      <c r="F62" s="31"/>
      <c r="G62" s="15"/>
      <c r="H62" s="15"/>
      <c r="I62" s="15"/>
    </row>
    <row r="63" spans="1:9" ht="10.5" x14ac:dyDescent="0.25">
      <c r="A63" s="32" t="s">
        <v>26</v>
      </c>
      <c r="B63" s="32"/>
      <c r="C63" s="32"/>
      <c r="D63" s="33"/>
      <c r="E63" s="34">
        <v>12691.2073611</v>
      </c>
      <c r="F63" s="35">
        <v>100</v>
      </c>
      <c r="G63" s="15"/>
      <c r="H63" s="15"/>
      <c r="I63" s="15"/>
    </row>
    <row r="64" spans="1:9" ht="15" customHeight="1" x14ac:dyDescent="0.25">
      <c r="E64" s="99" t="s">
        <v>37</v>
      </c>
      <c r="F64" s="99"/>
    </row>
    <row r="65" spans="1:4" ht="10.5" x14ac:dyDescent="0.25">
      <c r="A65" s="15" t="s">
        <v>28</v>
      </c>
    </row>
    <row r="66" spans="1:4" ht="10.5" x14ac:dyDescent="0.25">
      <c r="A66" s="15" t="s">
        <v>29</v>
      </c>
    </row>
    <row r="67" spans="1:4" ht="10.5" x14ac:dyDescent="0.25">
      <c r="A67" s="15" t="s">
        <v>30</v>
      </c>
      <c r="B67" s="15"/>
      <c r="C67" s="36" t="s">
        <v>32</v>
      </c>
      <c r="D67" s="16" t="s">
        <v>31</v>
      </c>
    </row>
    <row r="68" spans="1:4" x14ac:dyDescent="0.2">
      <c r="A68" s="9" t="s">
        <v>38</v>
      </c>
      <c r="C68" s="37">
        <v>21.857500000000002</v>
      </c>
      <c r="D68" s="37">
        <v>20.614999999999998</v>
      </c>
    </row>
    <row r="69" spans="1:4" x14ac:dyDescent="0.2">
      <c r="A69" s="9" t="s">
        <v>40</v>
      </c>
      <c r="C69" s="37">
        <v>12.8779</v>
      </c>
      <c r="D69" s="37">
        <v>11.352399999999999</v>
      </c>
    </row>
    <row r="70" spans="1:4" x14ac:dyDescent="0.2">
      <c r="A70" s="9" t="s">
        <v>39</v>
      </c>
      <c r="C70" s="37">
        <v>22.8141</v>
      </c>
      <c r="D70" s="37">
        <v>21.5822</v>
      </c>
    </row>
    <row r="71" spans="1:4" x14ac:dyDescent="0.2">
      <c r="A71" s="9" t="s">
        <v>41</v>
      </c>
      <c r="C71" s="37">
        <v>13.489699999999999</v>
      </c>
      <c r="D71" s="37">
        <v>11.9754</v>
      </c>
    </row>
    <row r="73" spans="1:4" ht="10.5" x14ac:dyDescent="0.25">
      <c r="A73" s="15" t="s">
        <v>1882</v>
      </c>
    </row>
    <row r="74" spans="1:4" ht="10.5" x14ac:dyDescent="0.25">
      <c r="A74" s="90" t="s">
        <v>33</v>
      </c>
      <c r="B74" s="91"/>
      <c r="C74" s="92" t="s">
        <v>1883</v>
      </c>
      <c r="D74" s="93"/>
    </row>
    <row r="75" spans="1:4" ht="10.5" x14ac:dyDescent="0.25">
      <c r="A75" s="90"/>
      <c r="B75" s="91"/>
      <c r="C75" s="38" t="s">
        <v>34</v>
      </c>
      <c r="D75" s="39" t="s">
        <v>35</v>
      </c>
    </row>
    <row r="76" spans="1:4" x14ac:dyDescent="0.2">
      <c r="A76" s="96" t="s">
        <v>40</v>
      </c>
      <c r="B76" s="97"/>
      <c r="C76" s="40">
        <v>0.64829042999999997</v>
      </c>
      <c r="D76" s="40">
        <v>0.60032016899999996</v>
      </c>
    </row>
    <row r="77" spans="1:4" x14ac:dyDescent="0.2">
      <c r="A77" s="96" t="s">
        <v>41</v>
      </c>
      <c r="B77" s="97"/>
      <c r="C77" s="40">
        <v>0.64829042999999997</v>
      </c>
      <c r="D77" s="40">
        <v>0.60032016899999996</v>
      </c>
    </row>
    <row r="79" spans="1:4" ht="10.5" x14ac:dyDescent="0.25">
      <c r="A79" s="15" t="s">
        <v>175</v>
      </c>
      <c r="D79" s="42">
        <v>0.19889999999999999</v>
      </c>
    </row>
  </sheetData>
  <mergeCells count="7">
    <mergeCell ref="A76:B76"/>
    <mergeCell ref="A77:B77"/>
    <mergeCell ref="A1:F1"/>
    <mergeCell ref="E64:F64"/>
    <mergeCell ref="A74:B74"/>
    <mergeCell ref="C74:D74"/>
    <mergeCell ref="A75:B75"/>
  </mergeCells>
  <conditionalFormatting sqref="F2 F4:F63 E64 F65:F65536">
    <cfRule type="cellIs" dxfId="1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3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7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33.453125" style="9" bestFit="1" customWidth="1"/>
    <col min="3" max="3" width="26.81640625" style="9" bestFit="1" customWidth="1"/>
    <col min="4" max="4" width="15.453125" style="10" bestFit="1" customWidth="1"/>
    <col min="5" max="5" width="14.1796875" style="11" customWidth="1"/>
    <col min="6" max="6" width="9.54296875" style="14" customWidth="1"/>
    <col min="7" max="7" width="8" style="9" bestFit="1" customWidth="1"/>
    <col min="8" max="16384" width="9.1796875" style="9"/>
  </cols>
  <sheetData>
    <row r="1" spans="1:6" s="1" customFormat="1" ht="14" x14ac:dyDescent="0.25">
      <c r="A1" s="88" t="s">
        <v>1893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4.75" customHeight="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301830</v>
      </c>
      <c r="E6" s="26">
        <v>2601.4727699999999</v>
      </c>
      <c r="F6" s="27">
        <v>10.393407686656399</v>
      </c>
    </row>
    <row r="7" spans="1:6" x14ac:dyDescent="0.2">
      <c r="A7" s="24" t="s">
        <v>516</v>
      </c>
      <c r="B7" s="24" t="s">
        <v>515</v>
      </c>
      <c r="C7" s="24" t="s">
        <v>78</v>
      </c>
      <c r="D7" s="28">
        <v>225166</v>
      </c>
      <c r="E7" s="26">
        <v>2507.786325</v>
      </c>
      <c r="F7" s="27">
        <v>10.0191114692109</v>
      </c>
    </row>
    <row r="8" spans="1:6" x14ac:dyDescent="0.2">
      <c r="A8" s="24" t="s">
        <v>131</v>
      </c>
      <c r="B8" s="24" t="s">
        <v>130</v>
      </c>
      <c r="C8" s="24" t="s">
        <v>132</v>
      </c>
      <c r="D8" s="28">
        <v>120315</v>
      </c>
      <c r="E8" s="26">
        <v>1964.8642649999999</v>
      </c>
      <c r="F8" s="27">
        <v>7.8500284879350897</v>
      </c>
    </row>
    <row r="9" spans="1:6" x14ac:dyDescent="0.2">
      <c r="A9" s="24" t="s">
        <v>58</v>
      </c>
      <c r="B9" s="24" t="s">
        <v>57</v>
      </c>
      <c r="C9" s="24" t="s">
        <v>59</v>
      </c>
      <c r="D9" s="28">
        <v>255131</v>
      </c>
      <c r="E9" s="26">
        <v>1636.6653650000001</v>
      </c>
      <c r="F9" s="27">
        <v>6.5388077789010497</v>
      </c>
    </row>
    <row r="10" spans="1:6" x14ac:dyDescent="0.2">
      <c r="A10" s="24" t="s">
        <v>63</v>
      </c>
      <c r="B10" s="24" t="s">
        <v>62</v>
      </c>
      <c r="C10" s="24" t="s">
        <v>48</v>
      </c>
      <c r="D10" s="28">
        <v>448807</v>
      </c>
      <c r="E10" s="26">
        <v>1453.012663</v>
      </c>
      <c r="F10" s="27">
        <v>5.8050782443643403</v>
      </c>
    </row>
    <row r="11" spans="1:6" x14ac:dyDescent="0.2">
      <c r="A11" s="24" t="s">
        <v>287</v>
      </c>
      <c r="B11" s="24" t="s">
        <v>286</v>
      </c>
      <c r="C11" s="24" t="s">
        <v>59</v>
      </c>
      <c r="D11" s="28">
        <v>73138</v>
      </c>
      <c r="E11" s="26">
        <v>1335.573018</v>
      </c>
      <c r="F11" s="27">
        <v>5.3358832087149004</v>
      </c>
    </row>
    <row r="12" spans="1:6" x14ac:dyDescent="0.2">
      <c r="A12" s="24" t="s">
        <v>61</v>
      </c>
      <c r="B12" s="24" t="s">
        <v>60</v>
      </c>
      <c r="C12" s="24" t="s">
        <v>48</v>
      </c>
      <c r="D12" s="28">
        <v>93112</v>
      </c>
      <c r="E12" s="26">
        <v>1206.7780760000001</v>
      </c>
      <c r="F12" s="27">
        <v>4.8213214744457202</v>
      </c>
    </row>
    <row r="13" spans="1:6" x14ac:dyDescent="0.2">
      <c r="A13" s="24" t="s">
        <v>129</v>
      </c>
      <c r="B13" s="24" t="s">
        <v>128</v>
      </c>
      <c r="C13" s="24" t="s">
        <v>72</v>
      </c>
      <c r="D13" s="28">
        <v>49532</v>
      </c>
      <c r="E13" s="26">
        <v>1138.4930199999999</v>
      </c>
      <c r="F13" s="27">
        <v>4.5485089222258601</v>
      </c>
    </row>
    <row r="14" spans="1:6" x14ac:dyDescent="0.2">
      <c r="A14" s="24" t="s">
        <v>153</v>
      </c>
      <c r="B14" s="24" t="s">
        <v>152</v>
      </c>
      <c r="C14" s="24" t="s">
        <v>72</v>
      </c>
      <c r="D14" s="28">
        <v>604115</v>
      </c>
      <c r="E14" s="26">
        <v>1037.265455</v>
      </c>
      <c r="F14" s="27">
        <v>4.1440844115005397</v>
      </c>
    </row>
    <row r="15" spans="1:6" x14ac:dyDescent="0.2">
      <c r="A15" s="24" t="s">
        <v>142</v>
      </c>
      <c r="B15" s="24" t="s">
        <v>141</v>
      </c>
      <c r="C15" s="24" t="s">
        <v>143</v>
      </c>
      <c r="D15" s="28">
        <v>85499</v>
      </c>
      <c r="E15" s="26">
        <v>691.25941499999999</v>
      </c>
      <c r="F15" s="27">
        <v>2.76172059157651</v>
      </c>
    </row>
    <row r="16" spans="1:6" x14ac:dyDescent="0.2">
      <c r="A16" s="24" t="s">
        <v>50</v>
      </c>
      <c r="B16" s="24" t="s">
        <v>49</v>
      </c>
      <c r="C16" s="24" t="s">
        <v>51</v>
      </c>
      <c r="D16" s="28">
        <v>155792</v>
      </c>
      <c r="E16" s="26">
        <v>686.88692800000001</v>
      </c>
      <c r="F16" s="27">
        <v>2.7442516253356701</v>
      </c>
    </row>
    <row r="17" spans="1:6" x14ac:dyDescent="0.2">
      <c r="A17" s="24" t="s">
        <v>56</v>
      </c>
      <c r="B17" s="24" t="s">
        <v>55</v>
      </c>
      <c r="C17" s="24" t="s">
        <v>48</v>
      </c>
      <c r="D17" s="28">
        <v>154729</v>
      </c>
      <c r="E17" s="26">
        <v>586.42291</v>
      </c>
      <c r="F17" s="27">
        <v>2.3428776386636501</v>
      </c>
    </row>
    <row r="18" spans="1:6" x14ac:dyDescent="0.2">
      <c r="A18" s="24" t="s">
        <v>136</v>
      </c>
      <c r="B18" s="24" t="s">
        <v>135</v>
      </c>
      <c r="C18" s="24" t="s">
        <v>72</v>
      </c>
      <c r="D18" s="28">
        <v>31205</v>
      </c>
      <c r="E18" s="26">
        <v>520.03132500000004</v>
      </c>
      <c r="F18" s="27">
        <v>2.0776298844585201</v>
      </c>
    </row>
    <row r="19" spans="1:6" x14ac:dyDescent="0.2">
      <c r="A19" s="24" t="s">
        <v>103</v>
      </c>
      <c r="B19" s="24" t="s">
        <v>102</v>
      </c>
      <c r="C19" s="24" t="s">
        <v>48</v>
      </c>
      <c r="D19" s="28">
        <v>263722</v>
      </c>
      <c r="E19" s="26">
        <v>519.13675699999999</v>
      </c>
      <c r="F19" s="27">
        <v>2.07405590512088</v>
      </c>
    </row>
    <row r="20" spans="1:6" x14ac:dyDescent="0.2">
      <c r="A20" s="24" t="s">
        <v>155</v>
      </c>
      <c r="B20" s="24" t="s">
        <v>154</v>
      </c>
      <c r="C20" s="24" t="s">
        <v>72</v>
      </c>
      <c r="D20" s="28">
        <v>2472</v>
      </c>
      <c r="E20" s="26">
        <v>402.95083199999999</v>
      </c>
      <c r="F20" s="27">
        <v>1.60986973338698</v>
      </c>
    </row>
    <row r="21" spans="1:6" x14ac:dyDescent="0.2">
      <c r="A21" s="24" t="s">
        <v>134</v>
      </c>
      <c r="B21" s="24" t="s">
        <v>133</v>
      </c>
      <c r="C21" s="24" t="s">
        <v>132</v>
      </c>
      <c r="D21" s="28">
        <v>17671</v>
      </c>
      <c r="E21" s="26">
        <v>391.55401799999999</v>
      </c>
      <c r="F21" s="27">
        <v>1.5643371659901699</v>
      </c>
    </row>
    <row r="22" spans="1:6" x14ac:dyDescent="0.2">
      <c r="A22" s="24" t="s">
        <v>609</v>
      </c>
      <c r="B22" s="24" t="s">
        <v>608</v>
      </c>
      <c r="C22" s="24" t="s">
        <v>99</v>
      </c>
      <c r="D22" s="28">
        <v>9108</v>
      </c>
      <c r="E22" s="26">
        <v>390.57836400000002</v>
      </c>
      <c r="F22" s="27">
        <v>1.5604392317507401</v>
      </c>
    </row>
    <row r="23" spans="1:6" x14ac:dyDescent="0.2">
      <c r="A23" s="24" t="s">
        <v>184</v>
      </c>
      <c r="B23" s="24" t="s">
        <v>183</v>
      </c>
      <c r="C23" s="24" t="s">
        <v>59</v>
      </c>
      <c r="D23" s="28">
        <v>75459</v>
      </c>
      <c r="E23" s="26">
        <v>329.30307599999998</v>
      </c>
      <c r="F23" s="27">
        <v>1.31563211454948</v>
      </c>
    </row>
    <row r="24" spans="1:6" x14ac:dyDescent="0.2">
      <c r="A24" s="24" t="s">
        <v>101</v>
      </c>
      <c r="B24" s="24" t="s">
        <v>100</v>
      </c>
      <c r="C24" s="24" t="s">
        <v>91</v>
      </c>
      <c r="D24" s="28">
        <v>335289</v>
      </c>
      <c r="E24" s="26">
        <v>282.31333799999999</v>
      </c>
      <c r="F24" s="27">
        <v>1.1278986468940899</v>
      </c>
    </row>
    <row r="25" spans="1:6" x14ac:dyDescent="0.2">
      <c r="A25" s="24" t="s">
        <v>90</v>
      </c>
      <c r="B25" s="24" t="s">
        <v>89</v>
      </c>
      <c r="C25" s="24" t="s">
        <v>91</v>
      </c>
      <c r="D25" s="28">
        <v>169920</v>
      </c>
      <c r="E25" s="26">
        <v>270.34271999999999</v>
      </c>
      <c r="F25" s="27">
        <v>1.0800736169456799</v>
      </c>
    </row>
    <row r="26" spans="1:6" x14ac:dyDescent="0.2">
      <c r="A26" s="24" t="s">
        <v>512</v>
      </c>
      <c r="B26" s="24" t="s">
        <v>511</v>
      </c>
      <c r="C26" s="24" t="s">
        <v>54</v>
      </c>
      <c r="D26" s="28">
        <v>75159</v>
      </c>
      <c r="E26" s="26">
        <v>264.78515700000003</v>
      </c>
      <c r="F26" s="27">
        <v>1.0578700333950899</v>
      </c>
    </row>
    <row r="27" spans="1:6" x14ac:dyDescent="0.2">
      <c r="A27" s="24" t="s">
        <v>177</v>
      </c>
      <c r="B27" s="24" t="s">
        <v>176</v>
      </c>
      <c r="C27" s="24" t="s">
        <v>83</v>
      </c>
      <c r="D27" s="28">
        <v>27920</v>
      </c>
      <c r="E27" s="26">
        <v>260.68903999999998</v>
      </c>
      <c r="F27" s="27">
        <v>1.0415052209687601</v>
      </c>
    </row>
    <row r="28" spans="1:6" x14ac:dyDescent="0.2">
      <c r="A28" s="24" t="s">
        <v>53</v>
      </c>
      <c r="B28" s="24" t="s">
        <v>52</v>
      </c>
      <c r="C28" s="24" t="s">
        <v>54</v>
      </c>
      <c r="D28" s="28">
        <v>8304</v>
      </c>
      <c r="E28" s="26">
        <v>259.14708000000002</v>
      </c>
      <c r="F28" s="27">
        <v>1.0353447801979301</v>
      </c>
    </row>
    <row r="29" spans="1:6" x14ac:dyDescent="0.2">
      <c r="A29" s="24" t="s">
        <v>145</v>
      </c>
      <c r="B29" s="24" t="s">
        <v>144</v>
      </c>
      <c r="C29" s="24" t="s">
        <v>66</v>
      </c>
      <c r="D29" s="28">
        <v>7797</v>
      </c>
      <c r="E29" s="26">
        <v>253.00095450000001</v>
      </c>
      <c r="F29" s="27">
        <v>1.0107897709156899</v>
      </c>
    </row>
    <row r="30" spans="1:6" x14ac:dyDescent="0.2">
      <c r="A30" s="24" t="s">
        <v>151</v>
      </c>
      <c r="B30" s="24" t="s">
        <v>150</v>
      </c>
      <c r="C30" s="24" t="s">
        <v>59</v>
      </c>
      <c r="D30" s="28">
        <v>42902</v>
      </c>
      <c r="E30" s="26">
        <v>242.61080999999999</v>
      </c>
      <c r="F30" s="27">
        <v>0.96927905092772804</v>
      </c>
    </row>
    <row r="31" spans="1:6" x14ac:dyDescent="0.2">
      <c r="A31" s="24" t="s">
        <v>611</v>
      </c>
      <c r="B31" s="24" t="s">
        <v>610</v>
      </c>
      <c r="C31" s="24" t="s">
        <v>72</v>
      </c>
      <c r="D31" s="28">
        <v>8058</v>
      </c>
      <c r="E31" s="26">
        <v>216.675591</v>
      </c>
      <c r="F31" s="27">
        <v>0.86566262733175203</v>
      </c>
    </row>
    <row r="32" spans="1:6" x14ac:dyDescent="0.2">
      <c r="A32" s="24" t="s">
        <v>126</v>
      </c>
      <c r="B32" s="24" t="s">
        <v>125</v>
      </c>
      <c r="C32" s="24" t="s">
        <v>127</v>
      </c>
      <c r="D32" s="28">
        <v>142198</v>
      </c>
      <c r="E32" s="26">
        <v>199.14829900000001</v>
      </c>
      <c r="F32" s="27">
        <v>0.79563756556680798</v>
      </c>
    </row>
    <row r="33" spans="1:6" x14ac:dyDescent="0.2">
      <c r="A33" s="24" t="s">
        <v>613</v>
      </c>
      <c r="B33" s="24" t="s">
        <v>612</v>
      </c>
      <c r="C33" s="24" t="s">
        <v>59</v>
      </c>
      <c r="D33" s="28">
        <v>97924</v>
      </c>
      <c r="E33" s="26">
        <v>192.61650800000001</v>
      </c>
      <c r="F33" s="27">
        <v>0.76954174493400795</v>
      </c>
    </row>
    <row r="34" spans="1:6" x14ac:dyDescent="0.2">
      <c r="A34" s="24" t="s">
        <v>615</v>
      </c>
      <c r="B34" s="24" t="s">
        <v>614</v>
      </c>
      <c r="C34" s="24" t="s">
        <v>132</v>
      </c>
      <c r="D34" s="28">
        <v>4028</v>
      </c>
      <c r="E34" s="26">
        <v>184.933536</v>
      </c>
      <c r="F34" s="27">
        <v>0.73884672434335796</v>
      </c>
    </row>
    <row r="35" spans="1:6" x14ac:dyDescent="0.2">
      <c r="A35" s="24" t="s">
        <v>98</v>
      </c>
      <c r="B35" s="24" t="s">
        <v>97</v>
      </c>
      <c r="C35" s="24" t="s">
        <v>99</v>
      </c>
      <c r="D35" s="28">
        <v>64845</v>
      </c>
      <c r="E35" s="26">
        <v>184.77582749999999</v>
      </c>
      <c r="F35" s="27">
        <v>0.73821664712131196</v>
      </c>
    </row>
    <row r="36" spans="1:6" x14ac:dyDescent="0.2">
      <c r="A36" s="24" t="s">
        <v>115</v>
      </c>
      <c r="B36" s="24" t="s">
        <v>114</v>
      </c>
      <c r="C36" s="24" t="s">
        <v>99</v>
      </c>
      <c r="D36" s="28">
        <v>8787</v>
      </c>
      <c r="E36" s="26">
        <v>177.70389449999999</v>
      </c>
      <c r="F36" s="27">
        <v>0.70996285040687601</v>
      </c>
    </row>
    <row r="37" spans="1:6" x14ac:dyDescent="0.2">
      <c r="A37" s="24" t="s">
        <v>107</v>
      </c>
      <c r="B37" s="24" t="s">
        <v>106</v>
      </c>
      <c r="C37" s="24" t="s">
        <v>78</v>
      </c>
      <c r="D37" s="28">
        <v>54213</v>
      </c>
      <c r="E37" s="26">
        <v>171.800997</v>
      </c>
      <c r="F37" s="27">
        <v>0.68637958597392001</v>
      </c>
    </row>
    <row r="38" spans="1:6" x14ac:dyDescent="0.2">
      <c r="A38" s="24" t="s">
        <v>192</v>
      </c>
      <c r="B38" s="24" t="s">
        <v>191</v>
      </c>
      <c r="C38" s="24" t="s">
        <v>193</v>
      </c>
      <c r="D38" s="28">
        <v>247797</v>
      </c>
      <c r="E38" s="26">
        <v>169.245351</v>
      </c>
      <c r="F38" s="27">
        <v>0.67616926546352296</v>
      </c>
    </row>
    <row r="39" spans="1:6" x14ac:dyDescent="0.2">
      <c r="A39" s="24" t="s">
        <v>617</v>
      </c>
      <c r="B39" s="24" t="s">
        <v>616</v>
      </c>
      <c r="C39" s="24" t="s">
        <v>66</v>
      </c>
      <c r="D39" s="28">
        <v>914</v>
      </c>
      <c r="E39" s="26">
        <v>160.373639</v>
      </c>
      <c r="F39" s="27">
        <v>0.64072498914514997</v>
      </c>
    </row>
    <row r="40" spans="1:6" x14ac:dyDescent="0.2">
      <c r="A40" s="24" t="s">
        <v>619</v>
      </c>
      <c r="B40" s="24" t="s">
        <v>618</v>
      </c>
      <c r="C40" s="24" t="s">
        <v>54</v>
      </c>
      <c r="D40" s="28">
        <v>34519</v>
      </c>
      <c r="E40" s="26">
        <v>145.96359150000001</v>
      </c>
      <c r="F40" s="27">
        <v>0.58315394701135803</v>
      </c>
    </row>
    <row r="41" spans="1:6" x14ac:dyDescent="0.2">
      <c r="A41" s="24" t="s">
        <v>234</v>
      </c>
      <c r="B41" s="24" t="s">
        <v>233</v>
      </c>
      <c r="C41" s="24" t="s">
        <v>48</v>
      </c>
      <c r="D41" s="28">
        <v>39640</v>
      </c>
      <c r="E41" s="26">
        <v>139.25532000000001</v>
      </c>
      <c r="F41" s="27">
        <v>0.55635305123558598</v>
      </c>
    </row>
    <row r="42" spans="1:6" x14ac:dyDescent="0.2">
      <c r="A42" s="24" t="s">
        <v>157</v>
      </c>
      <c r="B42" s="24" t="s">
        <v>156</v>
      </c>
      <c r="C42" s="24" t="s">
        <v>78</v>
      </c>
      <c r="D42" s="28">
        <v>167727</v>
      </c>
      <c r="E42" s="26">
        <v>136.9490955</v>
      </c>
      <c r="F42" s="27">
        <v>0.54713921985442804</v>
      </c>
    </row>
    <row r="43" spans="1:6" x14ac:dyDescent="0.2">
      <c r="A43" s="24" t="s">
        <v>190</v>
      </c>
      <c r="B43" s="24" t="s">
        <v>189</v>
      </c>
      <c r="C43" s="24" t="s">
        <v>99</v>
      </c>
      <c r="D43" s="28">
        <v>8451</v>
      </c>
      <c r="E43" s="26">
        <v>134.91598949999999</v>
      </c>
      <c r="F43" s="27">
        <v>0.53901655189039299</v>
      </c>
    </row>
    <row r="44" spans="1:6" x14ac:dyDescent="0.2">
      <c r="A44" s="24" t="s">
        <v>93</v>
      </c>
      <c r="B44" s="24" t="s">
        <v>92</v>
      </c>
      <c r="C44" s="24" t="s">
        <v>94</v>
      </c>
      <c r="D44" s="28">
        <v>49077</v>
      </c>
      <c r="E44" s="26">
        <v>132.31159199999999</v>
      </c>
      <c r="F44" s="27">
        <v>0.528611459318308</v>
      </c>
    </row>
    <row r="45" spans="1:6" x14ac:dyDescent="0.2">
      <c r="A45" s="24" t="s">
        <v>621</v>
      </c>
      <c r="B45" s="24" t="s">
        <v>620</v>
      </c>
      <c r="C45" s="24" t="s">
        <v>214</v>
      </c>
      <c r="D45" s="28">
        <v>51716</v>
      </c>
      <c r="E45" s="26">
        <v>129.96230800000001</v>
      </c>
      <c r="F45" s="27">
        <v>0.51922559656190503</v>
      </c>
    </row>
    <row r="46" spans="1:6" x14ac:dyDescent="0.2">
      <c r="A46" s="24" t="s">
        <v>65</v>
      </c>
      <c r="B46" s="24" t="s">
        <v>64</v>
      </c>
      <c r="C46" s="24" t="s">
        <v>66</v>
      </c>
      <c r="D46" s="28">
        <v>26685</v>
      </c>
      <c r="E46" s="26">
        <v>127.047285</v>
      </c>
      <c r="F46" s="27">
        <v>0.50757949255329804</v>
      </c>
    </row>
    <row r="47" spans="1:6" x14ac:dyDescent="0.2">
      <c r="A47" s="24" t="s">
        <v>623</v>
      </c>
      <c r="B47" s="24" t="s">
        <v>622</v>
      </c>
      <c r="C47" s="24" t="s">
        <v>99</v>
      </c>
      <c r="D47" s="28">
        <v>936</v>
      </c>
      <c r="E47" s="26">
        <v>122.577624</v>
      </c>
      <c r="F47" s="27">
        <v>0.489722296610344</v>
      </c>
    </row>
    <row r="48" spans="1:6" x14ac:dyDescent="0.2">
      <c r="A48" s="24" t="s">
        <v>625</v>
      </c>
      <c r="B48" s="24" t="s">
        <v>624</v>
      </c>
      <c r="C48" s="24" t="s">
        <v>352</v>
      </c>
      <c r="D48" s="28">
        <v>37119</v>
      </c>
      <c r="E48" s="26">
        <v>121.193535</v>
      </c>
      <c r="F48" s="27">
        <v>0.48419258228178902</v>
      </c>
    </row>
    <row r="49" spans="1:9" x14ac:dyDescent="0.2">
      <c r="A49" s="24" t="s">
        <v>627</v>
      </c>
      <c r="B49" s="24" t="s">
        <v>626</v>
      </c>
      <c r="C49" s="24" t="s">
        <v>94</v>
      </c>
      <c r="D49" s="28">
        <v>69208</v>
      </c>
      <c r="E49" s="26">
        <v>101.2167</v>
      </c>
      <c r="F49" s="27">
        <v>0.40438110286197299</v>
      </c>
    </row>
    <row r="50" spans="1:9" x14ac:dyDescent="0.2">
      <c r="A50" s="24" t="s">
        <v>169</v>
      </c>
      <c r="B50" s="24" t="s">
        <v>168</v>
      </c>
      <c r="C50" s="24" t="s">
        <v>69</v>
      </c>
      <c r="D50" s="28">
        <v>124941</v>
      </c>
      <c r="E50" s="26">
        <v>95.642335500000002</v>
      </c>
      <c r="F50" s="27">
        <v>0.38211039393484297</v>
      </c>
    </row>
    <row r="51" spans="1:9" x14ac:dyDescent="0.2">
      <c r="A51" s="24" t="s">
        <v>629</v>
      </c>
      <c r="B51" s="24" t="s">
        <v>628</v>
      </c>
      <c r="C51" s="24" t="s">
        <v>310</v>
      </c>
      <c r="D51" s="28">
        <v>58908</v>
      </c>
      <c r="E51" s="26">
        <v>94.252799999999993</v>
      </c>
      <c r="F51" s="27">
        <v>0.37655891974179101</v>
      </c>
    </row>
    <row r="52" spans="1:9" x14ac:dyDescent="0.2">
      <c r="A52" s="24" t="s">
        <v>85</v>
      </c>
      <c r="B52" s="24" t="s">
        <v>84</v>
      </c>
      <c r="C52" s="24" t="s">
        <v>86</v>
      </c>
      <c r="D52" s="28">
        <v>90679</v>
      </c>
      <c r="E52" s="26">
        <v>86.779803000000001</v>
      </c>
      <c r="F52" s="27">
        <v>0.34670279156784201</v>
      </c>
    </row>
    <row r="53" spans="1:9" x14ac:dyDescent="0.2">
      <c r="A53" s="24" t="s">
        <v>124</v>
      </c>
      <c r="B53" s="24" t="s">
        <v>123</v>
      </c>
      <c r="C53" s="24" t="s">
        <v>99</v>
      </c>
      <c r="D53" s="28">
        <v>115054</v>
      </c>
      <c r="E53" s="26">
        <v>81.745867000000004</v>
      </c>
      <c r="F53" s="27">
        <v>0.32659120334755198</v>
      </c>
    </row>
    <row r="54" spans="1:9" x14ac:dyDescent="0.2">
      <c r="A54" s="24" t="s">
        <v>631</v>
      </c>
      <c r="B54" s="24" t="s">
        <v>630</v>
      </c>
      <c r="C54" s="24" t="s">
        <v>118</v>
      </c>
      <c r="D54" s="28">
        <v>63147</v>
      </c>
      <c r="E54" s="26">
        <v>78.270706500000003</v>
      </c>
      <c r="F54" s="27">
        <v>0.31270723720745502</v>
      </c>
    </row>
    <row r="55" spans="1:9" x14ac:dyDescent="0.2">
      <c r="A55" s="24" t="s">
        <v>209</v>
      </c>
      <c r="B55" s="24" t="s">
        <v>208</v>
      </c>
      <c r="C55" s="24" t="s">
        <v>86</v>
      </c>
      <c r="D55" s="28">
        <v>114126</v>
      </c>
      <c r="E55" s="26">
        <v>73.839522000000002</v>
      </c>
      <c r="F55" s="27">
        <v>0.29500376263167</v>
      </c>
    </row>
    <row r="56" spans="1:9" x14ac:dyDescent="0.2">
      <c r="A56" s="24" t="s">
        <v>632</v>
      </c>
      <c r="B56" s="24" t="s">
        <v>1894</v>
      </c>
      <c r="C56" s="24" t="s">
        <v>48</v>
      </c>
      <c r="D56" s="28">
        <v>92088</v>
      </c>
      <c r="E56" s="26">
        <v>9.2088000000000003E-5</v>
      </c>
      <c r="F56" s="27">
        <v>3.6791010772286902E-7</v>
      </c>
    </row>
    <row r="57" spans="1:9" ht="10.5" x14ac:dyDescent="0.25">
      <c r="A57" s="23" t="s">
        <v>24</v>
      </c>
      <c r="B57" s="23"/>
      <c r="C57" s="23"/>
      <c r="D57" s="29"/>
      <c r="E57" s="30">
        <f>SUM(E6:E56)</f>
        <v>24692.121491087997</v>
      </c>
      <c r="F57" s="31">
        <f>SUM(F6:F56)</f>
        <v>98.649998671839754</v>
      </c>
      <c r="G57" s="15"/>
      <c r="H57" s="15"/>
      <c r="I57" s="15"/>
    </row>
    <row r="58" spans="1:9" x14ac:dyDescent="0.2">
      <c r="A58" s="24"/>
      <c r="B58" s="24"/>
      <c r="C58" s="24"/>
      <c r="D58" s="25"/>
      <c r="E58" s="26"/>
      <c r="F58" s="27"/>
    </row>
    <row r="59" spans="1:9" ht="10.5" x14ac:dyDescent="0.25">
      <c r="A59" s="23" t="s">
        <v>25</v>
      </c>
      <c r="B59" s="23"/>
      <c r="C59" s="23"/>
      <c r="D59" s="29"/>
      <c r="E59" s="30">
        <f>E57</f>
        <v>24692.121491087997</v>
      </c>
      <c r="F59" s="31">
        <f>F57</f>
        <v>98.649998671839754</v>
      </c>
      <c r="G59" s="15"/>
      <c r="H59" s="15"/>
      <c r="I59" s="15"/>
    </row>
    <row r="60" spans="1:9" ht="10.5" x14ac:dyDescent="0.25">
      <c r="A60" s="23"/>
      <c r="B60" s="23"/>
      <c r="C60" s="23"/>
      <c r="D60" s="29"/>
      <c r="E60" s="30"/>
      <c r="F60" s="31"/>
      <c r="G60" s="15"/>
      <c r="H60" s="15"/>
      <c r="I60" s="15"/>
    </row>
    <row r="61" spans="1:9" ht="10.5" x14ac:dyDescent="0.25">
      <c r="A61" s="23" t="s">
        <v>27</v>
      </c>
      <c r="B61" s="23"/>
      <c r="C61" s="23"/>
      <c r="D61" s="29"/>
      <c r="E61" s="30">
        <f>E63-(E57)</f>
        <v>337.9056995120045</v>
      </c>
      <c r="F61" s="31">
        <f>F63-(F57)</f>
        <v>1.3500013281602463</v>
      </c>
      <c r="G61" s="15"/>
      <c r="H61" s="15"/>
      <c r="I61" s="15"/>
    </row>
    <row r="62" spans="1:9" ht="10.5" x14ac:dyDescent="0.25">
      <c r="A62" s="23"/>
      <c r="B62" s="23"/>
      <c r="C62" s="23"/>
      <c r="D62" s="29"/>
      <c r="E62" s="30"/>
      <c r="F62" s="31"/>
      <c r="G62" s="15"/>
      <c r="H62" s="15"/>
      <c r="I62" s="15"/>
    </row>
    <row r="63" spans="1:9" ht="10.5" x14ac:dyDescent="0.25">
      <c r="A63" s="32" t="s">
        <v>26</v>
      </c>
      <c r="B63" s="32"/>
      <c r="C63" s="32"/>
      <c r="D63" s="33"/>
      <c r="E63" s="34">
        <v>25030.027190600002</v>
      </c>
      <c r="F63" s="35">
        <v>100</v>
      </c>
      <c r="G63" s="15"/>
      <c r="H63" s="15"/>
      <c r="I63" s="15"/>
    </row>
    <row r="64" spans="1:9" ht="17" customHeight="1" x14ac:dyDescent="0.25">
      <c r="A64" s="84" t="s">
        <v>1895</v>
      </c>
      <c r="E64" s="99" t="s">
        <v>37</v>
      </c>
      <c r="F64" s="99"/>
    </row>
    <row r="65" spans="1:4" ht="10.5" x14ac:dyDescent="0.25">
      <c r="A65" s="15" t="s">
        <v>28</v>
      </c>
    </row>
    <row r="66" spans="1:4" ht="10.5" x14ac:dyDescent="0.25">
      <c r="A66" s="15" t="s">
        <v>29</v>
      </c>
    </row>
    <row r="67" spans="1:4" ht="10.5" x14ac:dyDescent="0.25">
      <c r="A67" s="15" t="s">
        <v>30</v>
      </c>
      <c r="B67" s="15"/>
      <c r="C67" s="36" t="s">
        <v>32</v>
      </c>
      <c r="D67" s="16" t="s">
        <v>31</v>
      </c>
    </row>
    <row r="68" spans="1:4" x14ac:dyDescent="0.2">
      <c r="A68" s="9" t="s">
        <v>38</v>
      </c>
      <c r="C68" s="37">
        <v>90.936099999999996</v>
      </c>
      <c r="D68" s="37">
        <v>68.326499999999996</v>
      </c>
    </row>
    <row r="69" spans="1:4" x14ac:dyDescent="0.2">
      <c r="A69" s="9" t="s">
        <v>40</v>
      </c>
      <c r="C69" s="37">
        <v>90.936099999999996</v>
      </c>
      <c r="D69" s="37">
        <v>68.326499999999996</v>
      </c>
    </row>
    <row r="70" spans="1:4" x14ac:dyDescent="0.2">
      <c r="A70" s="9" t="s">
        <v>39</v>
      </c>
      <c r="C70" s="37">
        <v>93.282200000000003</v>
      </c>
      <c r="D70" s="37">
        <v>70.283699999999996</v>
      </c>
    </row>
    <row r="71" spans="1:4" x14ac:dyDescent="0.2">
      <c r="A71" s="9" t="s">
        <v>41</v>
      </c>
      <c r="C71" s="37">
        <v>93.282200000000003</v>
      </c>
      <c r="D71" s="37">
        <v>70.283699999999996</v>
      </c>
    </row>
    <row r="73" spans="1:4" ht="10.5" x14ac:dyDescent="0.25">
      <c r="A73" s="15" t="s">
        <v>1882</v>
      </c>
      <c r="D73" s="41" t="s">
        <v>36</v>
      </c>
    </row>
    <row r="75" spans="1:4" ht="10.5" x14ac:dyDescent="0.25">
      <c r="A75" s="15" t="s">
        <v>175</v>
      </c>
      <c r="D75" s="42">
        <v>4.8599999999999997E-2</v>
      </c>
    </row>
  </sheetData>
  <mergeCells count="2">
    <mergeCell ref="A1:F1"/>
    <mergeCell ref="E64:F64"/>
  </mergeCells>
  <conditionalFormatting sqref="F2 F4:F63 E64 F65:F65534">
    <cfRule type="cellIs" dxfId="15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7" orientation="portrait" r:id="rId1"/>
  <headerFooter>
    <evenFooter>&amp;LPUBLIC</evenFooter>
    <firstFooter>&amp;LPUBLIC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85"/>
  <sheetViews>
    <sheetView view="pageBreakPreview" zoomScaleNormal="100" zoomScaleSheetLayoutView="100" workbookViewId="0">
      <selection sqref="A1:F1"/>
    </sheetView>
  </sheetViews>
  <sheetFormatPr defaultColWidth="9.1796875" defaultRowHeight="10" x14ac:dyDescent="0.2"/>
  <cols>
    <col min="1" max="1" width="38.7265625" style="9" bestFit="1" customWidth="1"/>
    <col min="2" max="2" width="27.54296875" style="9" bestFit="1" customWidth="1"/>
    <col min="3" max="3" width="35.7265625" style="9" bestFit="1" customWidth="1"/>
    <col min="4" max="4" width="15.453125" style="10" bestFit="1" customWidth="1"/>
    <col min="5" max="5" width="12.81640625" style="11" customWidth="1"/>
    <col min="6" max="6" width="9.1796875" style="14" customWidth="1"/>
    <col min="7" max="7" width="4.453125" style="9" bestFit="1" customWidth="1"/>
    <col min="8" max="16384" width="9.1796875" style="9"/>
  </cols>
  <sheetData>
    <row r="1" spans="1:6" s="1" customFormat="1" ht="14" x14ac:dyDescent="0.25">
      <c r="A1" s="88" t="s">
        <v>14</v>
      </c>
      <c r="B1" s="89"/>
      <c r="C1" s="89"/>
      <c r="D1" s="89"/>
      <c r="E1" s="89"/>
      <c r="F1" s="89"/>
    </row>
    <row r="2" spans="1:6" s="1" customFormat="1" ht="11.5" x14ac:dyDescent="0.25">
      <c r="A2" s="12" t="s">
        <v>4</v>
      </c>
      <c r="B2" s="2"/>
      <c r="C2" s="3"/>
      <c r="D2" s="4"/>
      <c r="E2" s="5"/>
      <c r="F2" s="14"/>
    </row>
    <row r="3" spans="1:6" s="1" customFormat="1" ht="21" x14ac:dyDescent="0.25">
      <c r="A3" s="8" t="s">
        <v>2</v>
      </c>
      <c r="B3" s="8" t="s">
        <v>0</v>
      </c>
      <c r="C3" s="8" t="s">
        <v>235</v>
      </c>
      <c r="D3" s="71" t="s">
        <v>1</v>
      </c>
      <c r="E3" s="64" t="s">
        <v>1820</v>
      </c>
      <c r="F3" s="63" t="s">
        <v>3</v>
      </c>
    </row>
    <row r="4" spans="1:6" ht="10.5" x14ac:dyDescent="0.25">
      <c r="A4" s="18" t="s">
        <v>45</v>
      </c>
      <c r="B4" s="19"/>
      <c r="C4" s="19"/>
      <c r="D4" s="20"/>
      <c r="E4" s="21"/>
      <c r="F4" s="22"/>
    </row>
    <row r="5" spans="1:6" ht="10.5" x14ac:dyDescent="0.25">
      <c r="A5" s="23" t="s">
        <v>23</v>
      </c>
      <c r="B5" s="24"/>
      <c r="C5" s="24"/>
      <c r="D5" s="25"/>
      <c r="E5" s="26"/>
      <c r="F5" s="27"/>
    </row>
    <row r="6" spans="1:6" x14ac:dyDescent="0.2">
      <c r="A6" s="24" t="s">
        <v>47</v>
      </c>
      <c r="B6" s="24" t="s">
        <v>46</v>
      </c>
      <c r="C6" s="24" t="s">
        <v>48</v>
      </c>
      <c r="D6" s="28">
        <v>3130104</v>
      </c>
      <c r="E6" s="26">
        <v>26978.366379999999</v>
      </c>
      <c r="F6" s="27">
        <v>9.6972002508094999</v>
      </c>
    </row>
    <row r="7" spans="1:6" x14ac:dyDescent="0.2">
      <c r="A7" s="24" t="s">
        <v>56</v>
      </c>
      <c r="B7" s="24" t="s">
        <v>55</v>
      </c>
      <c r="C7" s="24" t="s">
        <v>48</v>
      </c>
      <c r="D7" s="28">
        <v>6849477</v>
      </c>
      <c r="E7" s="26">
        <v>25959.517830000001</v>
      </c>
      <c r="F7" s="27">
        <v>9.3309816934871694</v>
      </c>
    </row>
    <row r="8" spans="1:6" x14ac:dyDescent="0.2">
      <c r="A8" s="24" t="s">
        <v>58</v>
      </c>
      <c r="B8" s="24" t="s">
        <v>57</v>
      </c>
      <c r="C8" s="24" t="s">
        <v>59</v>
      </c>
      <c r="D8" s="28">
        <v>3270979</v>
      </c>
      <c r="E8" s="26">
        <v>20983.330290000002</v>
      </c>
      <c r="F8" s="27">
        <v>7.5423230926930103</v>
      </c>
    </row>
    <row r="9" spans="1:6" x14ac:dyDescent="0.2">
      <c r="A9" s="24" t="s">
        <v>63</v>
      </c>
      <c r="B9" s="24" t="s">
        <v>62</v>
      </c>
      <c r="C9" s="24" t="s">
        <v>48</v>
      </c>
      <c r="D9" s="28">
        <v>4883052</v>
      </c>
      <c r="E9" s="26">
        <v>15808.88085</v>
      </c>
      <c r="F9" s="27">
        <v>5.68240052730863</v>
      </c>
    </row>
    <row r="10" spans="1:6" x14ac:dyDescent="0.2">
      <c r="A10" s="24" t="s">
        <v>50</v>
      </c>
      <c r="B10" s="24" t="s">
        <v>49</v>
      </c>
      <c r="C10" s="24" t="s">
        <v>51</v>
      </c>
      <c r="D10" s="28">
        <v>3044619</v>
      </c>
      <c r="E10" s="26">
        <v>13423.72517</v>
      </c>
      <c r="F10" s="27">
        <v>4.8250716611893596</v>
      </c>
    </row>
    <row r="11" spans="1:6" x14ac:dyDescent="0.2">
      <c r="A11" s="24" t="s">
        <v>90</v>
      </c>
      <c r="B11" s="24" t="s">
        <v>89</v>
      </c>
      <c r="C11" s="24" t="s">
        <v>91</v>
      </c>
      <c r="D11" s="28">
        <v>7119223</v>
      </c>
      <c r="E11" s="26">
        <v>11326.683789999999</v>
      </c>
      <c r="F11" s="27">
        <v>4.0713036268442799</v>
      </c>
    </row>
    <row r="12" spans="1:6" x14ac:dyDescent="0.2">
      <c r="A12" s="24" t="s">
        <v>53</v>
      </c>
      <c r="B12" s="24" t="s">
        <v>52</v>
      </c>
      <c r="C12" s="24" t="s">
        <v>54</v>
      </c>
      <c r="D12" s="28">
        <v>352107</v>
      </c>
      <c r="E12" s="26">
        <v>10988.379199999999</v>
      </c>
      <c r="F12" s="27">
        <v>3.9497022181900499</v>
      </c>
    </row>
    <row r="13" spans="1:6" x14ac:dyDescent="0.2">
      <c r="A13" s="24" t="s">
        <v>65</v>
      </c>
      <c r="B13" s="24" t="s">
        <v>64</v>
      </c>
      <c r="C13" s="24" t="s">
        <v>66</v>
      </c>
      <c r="D13" s="28">
        <v>2081440</v>
      </c>
      <c r="E13" s="26">
        <v>9909.7358399999994</v>
      </c>
      <c r="F13" s="27">
        <v>3.5619908010569401</v>
      </c>
    </row>
    <row r="14" spans="1:6" x14ac:dyDescent="0.2">
      <c r="A14" s="24" t="s">
        <v>101</v>
      </c>
      <c r="B14" s="24" t="s">
        <v>100</v>
      </c>
      <c r="C14" s="24" t="s">
        <v>91</v>
      </c>
      <c r="D14" s="28">
        <v>10065496</v>
      </c>
      <c r="E14" s="26">
        <v>8475.1476320000002</v>
      </c>
      <c r="F14" s="27">
        <v>3.0463372980064798</v>
      </c>
    </row>
    <row r="15" spans="1:6" x14ac:dyDescent="0.2">
      <c r="A15" s="24" t="s">
        <v>68</v>
      </c>
      <c r="B15" s="24" t="s">
        <v>67</v>
      </c>
      <c r="C15" s="24" t="s">
        <v>69</v>
      </c>
      <c r="D15" s="28">
        <v>4078627</v>
      </c>
      <c r="E15" s="26">
        <v>8145.0181190000003</v>
      </c>
      <c r="F15" s="27">
        <v>2.92767436819185</v>
      </c>
    </row>
    <row r="16" spans="1:6" x14ac:dyDescent="0.2">
      <c r="A16" s="24" t="s">
        <v>105</v>
      </c>
      <c r="B16" s="24" t="s">
        <v>104</v>
      </c>
      <c r="C16" s="24" t="s">
        <v>72</v>
      </c>
      <c r="D16" s="28">
        <v>871834</v>
      </c>
      <c r="E16" s="26">
        <v>8010.8467090000004</v>
      </c>
      <c r="F16" s="27">
        <v>2.87944731795548</v>
      </c>
    </row>
    <row r="17" spans="1:6" x14ac:dyDescent="0.2">
      <c r="A17" s="24" t="s">
        <v>151</v>
      </c>
      <c r="B17" s="24" t="s">
        <v>150</v>
      </c>
      <c r="C17" s="24" t="s">
        <v>59</v>
      </c>
      <c r="D17" s="28">
        <v>1405548</v>
      </c>
      <c r="E17" s="26">
        <v>7948.3739400000004</v>
      </c>
      <c r="F17" s="27">
        <v>2.85699188300873</v>
      </c>
    </row>
    <row r="18" spans="1:6" x14ac:dyDescent="0.2">
      <c r="A18" s="24" t="s">
        <v>510</v>
      </c>
      <c r="B18" s="24" t="s">
        <v>509</v>
      </c>
      <c r="C18" s="24" t="s">
        <v>72</v>
      </c>
      <c r="D18" s="28">
        <v>1396279</v>
      </c>
      <c r="E18" s="26">
        <v>6766.3680340000001</v>
      </c>
      <c r="F18" s="27">
        <v>2.4321274636190302</v>
      </c>
    </row>
    <row r="19" spans="1:6" x14ac:dyDescent="0.2">
      <c r="A19" s="24" t="s">
        <v>61</v>
      </c>
      <c r="B19" s="24" t="s">
        <v>60</v>
      </c>
      <c r="C19" s="24" t="s">
        <v>48</v>
      </c>
      <c r="D19" s="28">
        <v>474652</v>
      </c>
      <c r="E19" s="26">
        <v>6151.7272460000004</v>
      </c>
      <c r="F19" s="27">
        <v>2.2111987861891702</v>
      </c>
    </row>
    <row r="20" spans="1:6" x14ac:dyDescent="0.2">
      <c r="A20" s="24" t="s">
        <v>142</v>
      </c>
      <c r="B20" s="24" t="s">
        <v>141</v>
      </c>
      <c r="C20" s="24" t="s">
        <v>143</v>
      </c>
      <c r="D20" s="28">
        <v>757133</v>
      </c>
      <c r="E20" s="26">
        <v>6121.4203049999996</v>
      </c>
      <c r="F20" s="27">
        <v>2.2003051512030201</v>
      </c>
    </row>
    <row r="21" spans="1:6" x14ac:dyDescent="0.2">
      <c r="A21" s="24" t="s">
        <v>98</v>
      </c>
      <c r="B21" s="24" t="s">
        <v>97</v>
      </c>
      <c r="C21" s="24" t="s">
        <v>99</v>
      </c>
      <c r="D21" s="28">
        <v>2059699</v>
      </c>
      <c r="E21" s="26">
        <v>5869.1123010000001</v>
      </c>
      <c r="F21" s="27">
        <v>2.1096146621938798</v>
      </c>
    </row>
    <row r="22" spans="1:6" x14ac:dyDescent="0.2">
      <c r="A22" s="24" t="s">
        <v>85</v>
      </c>
      <c r="B22" s="24" t="s">
        <v>84</v>
      </c>
      <c r="C22" s="24" t="s">
        <v>86</v>
      </c>
      <c r="D22" s="28">
        <v>6049242</v>
      </c>
      <c r="E22" s="26">
        <v>5789.1245939999999</v>
      </c>
      <c r="F22" s="27">
        <v>2.08086359545185</v>
      </c>
    </row>
    <row r="23" spans="1:6" x14ac:dyDescent="0.2">
      <c r="A23" s="24" t="s">
        <v>80</v>
      </c>
      <c r="B23" s="24" t="s">
        <v>79</v>
      </c>
      <c r="C23" s="24" t="s">
        <v>69</v>
      </c>
      <c r="D23" s="28">
        <v>2995176</v>
      </c>
      <c r="E23" s="26">
        <v>5165.181012</v>
      </c>
      <c r="F23" s="27">
        <v>1.8565910885610399</v>
      </c>
    </row>
    <row r="24" spans="1:6" x14ac:dyDescent="0.2">
      <c r="A24" s="24" t="s">
        <v>147</v>
      </c>
      <c r="B24" s="24" t="s">
        <v>146</v>
      </c>
      <c r="C24" s="24" t="s">
        <v>91</v>
      </c>
      <c r="D24" s="28">
        <v>15624428</v>
      </c>
      <c r="E24" s="26">
        <v>5132.6245980000003</v>
      </c>
      <c r="F24" s="27">
        <v>1.84488889497529</v>
      </c>
    </row>
    <row r="25" spans="1:6" x14ac:dyDescent="0.2">
      <c r="A25" s="24" t="s">
        <v>157</v>
      </c>
      <c r="B25" s="24" t="s">
        <v>156</v>
      </c>
      <c r="C25" s="24" t="s">
        <v>78</v>
      </c>
      <c r="D25" s="28">
        <v>5948967</v>
      </c>
      <c r="E25" s="26">
        <v>4857.3315560000001</v>
      </c>
      <c r="F25" s="27">
        <v>1.74593658191353</v>
      </c>
    </row>
    <row r="26" spans="1:6" x14ac:dyDescent="0.2">
      <c r="A26" s="24" t="s">
        <v>77</v>
      </c>
      <c r="B26" s="24" t="s">
        <v>76</v>
      </c>
      <c r="C26" s="24" t="s">
        <v>78</v>
      </c>
      <c r="D26" s="28">
        <v>2520962</v>
      </c>
      <c r="E26" s="26">
        <v>4792.3487619999996</v>
      </c>
      <c r="F26" s="27">
        <v>1.7225789346268401</v>
      </c>
    </row>
    <row r="27" spans="1:6" x14ac:dyDescent="0.2">
      <c r="A27" s="24" t="s">
        <v>161</v>
      </c>
      <c r="B27" s="24" t="s">
        <v>160</v>
      </c>
      <c r="C27" s="24" t="s">
        <v>162</v>
      </c>
      <c r="D27" s="28">
        <v>6223868</v>
      </c>
      <c r="E27" s="26">
        <v>4667.9009999999998</v>
      </c>
      <c r="F27" s="27">
        <v>1.6778469871144901</v>
      </c>
    </row>
    <row r="28" spans="1:6" x14ac:dyDescent="0.2">
      <c r="A28" s="24" t="s">
        <v>140</v>
      </c>
      <c r="B28" s="24" t="s">
        <v>139</v>
      </c>
      <c r="C28" s="24" t="s">
        <v>132</v>
      </c>
      <c r="D28" s="28">
        <v>1338759</v>
      </c>
      <c r="E28" s="26">
        <v>3882.4011</v>
      </c>
      <c r="F28" s="27">
        <v>1.39550410096636</v>
      </c>
    </row>
    <row r="29" spans="1:6" x14ac:dyDescent="0.2">
      <c r="A29" s="24" t="s">
        <v>103</v>
      </c>
      <c r="B29" s="24" t="s">
        <v>102</v>
      </c>
      <c r="C29" s="24" t="s">
        <v>48</v>
      </c>
      <c r="D29" s="28">
        <v>1935519</v>
      </c>
      <c r="E29" s="26">
        <v>3810.069152</v>
      </c>
      <c r="F29" s="27">
        <v>1.36950484754948</v>
      </c>
    </row>
    <row r="30" spans="1:6" x14ac:dyDescent="0.2">
      <c r="A30" s="24" t="s">
        <v>88</v>
      </c>
      <c r="B30" s="24" t="s">
        <v>87</v>
      </c>
      <c r="C30" s="24" t="s">
        <v>72</v>
      </c>
      <c r="D30" s="28">
        <v>907174</v>
      </c>
      <c r="E30" s="26">
        <v>3514.8456630000001</v>
      </c>
      <c r="F30" s="27">
        <v>1.2633886635207101</v>
      </c>
    </row>
    <row r="31" spans="1:6" x14ac:dyDescent="0.2">
      <c r="A31" s="24" t="s">
        <v>74</v>
      </c>
      <c r="B31" s="24" t="s">
        <v>73</v>
      </c>
      <c r="C31" s="24" t="s">
        <v>75</v>
      </c>
      <c r="D31" s="28">
        <v>402972</v>
      </c>
      <c r="E31" s="26">
        <v>3190.1278379999999</v>
      </c>
      <c r="F31" s="27">
        <v>1.14667093014577</v>
      </c>
    </row>
    <row r="32" spans="1:6" x14ac:dyDescent="0.2">
      <c r="A32" s="24" t="s">
        <v>195</v>
      </c>
      <c r="B32" s="24" t="s">
        <v>194</v>
      </c>
      <c r="C32" s="24" t="s">
        <v>196</v>
      </c>
      <c r="D32" s="28">
        <v>3970503</v>
      </c>
      <c r="E32" s="26">
        <v>2956.0394839999999</v>
      </c>
      <c r="F32" s="27">
        <v>1.0625293771270801</v>
      </c>
    </row>
    <row r="33" spans="1:6" x14ac:dyDescent="0.2">
      <c r="A33" s="24" t="s">
        <v>115</v>
      </c>
      <c r="B33" s="24" t="s">
        <v>114</v>
      </c>
      <c r="C33" s="24" t="s">
        <v>99</v>
      </c>
      <c r="D33" s="28">
        <v>137369</v>
      </c>
      <c r="E33" s="26">
        <v>2778.081972</v>
      </c>
      <c r="F33" s="27">
        <v>0.99856369419087698</v>
      </c>
    </row>
    <row r="34" spans="1:6" x14ac:dyDescent="0.2">
      <c r="A34" s="24" t="s">
        <v>93</v>
      </c>
      <c r="B34" s="24" t="s">
        <v>92</v>
      </c>
      <c r="C34" s="24" t="s">
        <v>94</v>
      </c>
      <c r="D34" s="28">
        <v>960704</v>
      </c>
      <c r="E34" s="26">
        <v>2590.057984</v>
      </c>
      <c r="F34" s="27">
        <v>0.93097968121136998</v>
      </c>
    </row>
    <row r="35" spans="1:6" x14ac:dyDescent="0.2">
      <c r="A35" s="24" t="s">
        <v>96</v>
      </c>
      <c r="B35" s="24" t="s">
        <v>95</v>
      </c>
      <c r="C35" s="24" t="s">
        <v>54</v>
      </c>
      <c r="D35" s="28">
        <v>920735</v>
      </c>
      <c r="E35" s="26">
        <v>2460.6642879999999</v>
      </c>
      <c r="F35" s="27">
        <v>0.88446994953856695</v>
      </c>
    </row>
    <row r="36" spans="1:6" x14ac:dyDescent="0.2">
      <c r="A36" s="24" t="s">
        <v>169</v>
      </c>
      <c r="B36" s="24" t="s">
        <v>168</v>
      </c>
      <c r="C36" s="24" t="s">
        <v>69</v>
      </c>
      <c r="D36" s="28">
        <v>2792178</v>
      </c>
      <c r="E36" s="26">
        <v>2137.4122590000002</v>
      </c>
      <c r="F36" s="27">
        <v>0.76827908710675996</v>
      </c>
    </row>
    <row r="37" spans="1:6" x14ac:dyDescent="0.2">
      <c r="A37" s="24" t="s">
        <v>211</v>
      </c>
      <c r="B37" s="24" t="s">
        <v>210</v>
      </c>
      <c r="C37" s="24" t="s">
        <v>110</v>
      </c>
      <c r="D37" s="28">
        <v>990217</v>
      </c>
      <c r="E37" s="26">
        <v>2017.5671380000001</v>
      </c>
      <c r="F37" s="27">
        <v>0.72520152929432502</v>
      </c>
    </row>
    <row r="38" spans="1:6" x14ac:dyDescent="0.2">
      <c r="A38" s="24" t="s">
        <v>124</v>
      </c>
      <c r="B38" s="24" t="s">
        <v>123</v>
      </c>
      <c r="C38" s="24" t="s">
        <v>99</v>
      </c>
      <c r="D38" s="28">
        <v>2746634</v>
      </c>
      <c r="E38" s="26">
        <v>1951.483457</v>
      </c>
      <c r="F38" s="27">
        <v>0.70144817525719305</v>
      </c>
    </row>
    <row r="39" spans="1:6" x14ac:dyDescent="0.2">
      <c r="A39" s="24" t="s">
        <v>171</v>
      </c>
      <c r="B39" s="24" t="s">
        <v>170</v>
      </c>
      <c r="C39" s="24" t="s">
        <v>132</v>
      </c>
      <c r="D39" s="28">
        <v>1158898</v>
      </c>
      <c r="E39" s="26">
        <v>1879.1531070000001</v>
      </c>
      <c r="F39" s="27">
        <v>0.67544949623113004</v>
      </c>
    </row>
    <row r="40" spans="1:6" x14ac:dyDescent="0.2">
      <c r="A40" s="24" t="s">
        <v>177</v>
      </c>
      <c r="B40" s="24" t="s">
        <v>176</v>
      </c>
      <c r="C40" s="24" t="s">
        <v>83</v>
      </c>
      <c r="D40" s="28">
        <v>199808</v>
      </c>
      <c r="E40" s="26">
        <v>1865.6072959999999</v>
      </c>
      <c r="F40" s="27">
        <v>0.67058054160369196</v>
      </c>
    </row>
    <row r="41" spans="1:6" x14ac:dyDescent="0.2">
      <c r="A41" s="24" t="s">
        <v>167</v>
      </c>
      <c r="B41" s="24" t="s">
        <v>166</v>
      </c>
      <c r="C41" s="24" t="s">
        <v>110</v>
      </c>
      <c r="D41" s="28">
        <v>2516044</v>
      </c>
      <c r="E41" s="26">
        <v>1729.78025</v>
      </c>
      <c r="F41" s="27">
        <v>0.62175838365737701</v>
      </c>
    </row>
    <row r="42" spans="1:6" x14ac:dyDescent="0.2">
      <c r="A42" s="24" t="s">
        <v>112</v>
      </c>
      <c r="B42" s="24" t="s">
        <v>111</v>
      </c>
      <c r="C42" s="24" t="s">
        <v>113</v>
      </c>
      <c r="D42" s="28">
        <v>1075124</v>
      </c>
      <c r="E42" s="26">
        <v>1643.8645959999999</v>
      </c>
      <c r="F42" s="27">
        <v>0.59087655449907395</v>
      </c>
    </row>
    <row r="43" spans="1:6" x14ac:dyDescent="0.2">
      <c r="A43" s="24" t="s">
        <v>82</v>
      </c>
      <c r="B43" s="24" t="s">
        <v>81</v>
      </c>
      <c r="C43" s="24" t="s">
        <v>83</v>
      </c>
      <c r="D43" s="28">
        <v>300000</v>
      </c>
      <c r="E43" s="26">
        <v>1430.7</v>
      </c>
      <c r="F43" s="27">
        <v>0.51425591169664997</v>
      </c>
    </row>
    <row r="44" spans="1:6" x14ac:dyDescent="0.2">
      <c r="A44" s="24" t="s">
        <v>117</v>
      </c>
      <c r="B44" s="24" t="s">
        <v>116</v>
      </c>
      <c r="C44" s="24" t="s">
        <v>118</v>
      </c>
      <c r="D44" s="28">
        <v>3057159</v>
      </c>
      <c r="E44" s="26">
        <v>1392.5359249999999</v>
      </c>
      <c r="F44" s="27">
        <v>0.50053808043699799</v>
      </c>
    </row>
    <row r="45" spans="1:6" x14ac:dyDescent="0.2">
      <c r="A45" s="24" t="s">
        <v>374</v>
      </c>
      <c r="B45" s="24" t="s">
        <v>373</v>
      </c>
      <c r="C45" s="24" t="s">
        <v>162</v>
      </c>
      <c r="D45" s="28">
        <v>6320734</v>
      </c>
      <c r="E45" s="26">
        <v>1390.5614800000001</v>
      </c>
      <c r="F45" s="27">
        <v>0.49982837888281501</v>
      </c>
    </row>
    <row r="46" spans="1:6" x14ac:dyDescent="0.2">
      <c r="A46" s="24" t="s">
        <v>222</v>
      </c>
      <c r="B46" s="24" t="s">
        <v>221</v>
      </c>
      <c r="C46" s="24" t="s">
        <v>59</v>
      </c>
      <c r="D46" s="28">
        <v>481063</v>
      </c>
      <c r="E46" s="26">
        <v>1103.0774590000001</v>
      </c>
      <c r="F46" s="27">
        <v>0.39649409684075598</v>
      </c>
    </row>
    <row r="47" spans="1:6" x14ac:dyDescent="0.2">
      <c r="A47" s="24" t="s">
        <v>213</v>
      </c>
      <c r="B47" s="24" t="s">
        <v>212</v>
      </c>
      <c r="C47" s="24" t="s">
        <v>214</v>
      </c>
      <c r="D47" s="28">
        <v>1774842</v>
      </c>
      <c r="E47" s="26">
        <v>1069.3423049999999</v>
      </c>
      <c r="F47" s="27">
        <v>0.384368212744511</v>
      </c>
    </row>
    <row r="48" spans="1:6" x14ac:dyDescent="0.2">
      <c r="A48" s="24" t="s">
        <v>120</v>
      </c>
      <c r="B48" s="24" t="s">
        <v>119</v>
      </c>
      <c r="C48" s="24" t="s">
        <v>99</v>
      </c>
      <c r="D48" s="28">
        <v>265282</v>
      </c>
      <c r="E48" s="26">
        <v>789.34659099999999</v>
      </c>
      <c r="F48" s="27">
        <v>0.28372555448336301</v>
      </c>
    </row>
    <row r="49" spans="1:9" x14ac:dyDescent="0.2">
      <c r="A49" s="24" t="s">
        <v>164</v>
      </c>
      <c r="B49" s="24" t="s">
        <v>163</v>
      </c>
      <c r="C49" s="24" t="s">
        <v>165</v>
      </c>
      <c r="D49" s="28">
        <v>1278633</v>
      </c>
      <c r="E49" s="26">
        <v>761.4259515</v>
      </c>
      <c r="F49" s="27">
        <v>0.27368966022095598</v>
      </c>
    </row>
    <row r="50" spans="1:9" x14ac:dyDescent="0.2">
      <c r="A50" s="24" t="s">
        <v>216</v>
      </c>
      <c r="B50" s="24" t="s">
        <v>215</v>
      </c>
      <c r="C50" s="24" t="s">
        <v>132</v>
      </c>
      <c r="D50" s="28">
        <v>1695647</v>
      </c>
      <c r="E50" s="26">
        <v>723.19344550000005</v>
      </c>
      <c r="F50" s="27">
        <v>0.25994723187855201</v>
      </c>
    </row>
    <row r="51" spans="1:9" x14ac:dyDescent="0.2">
      <c r="A51" s="24" t="s">
        <v>186</v>
      </c>
      <c r="B51" s="24" t="s">
        <v>185</v>
      </c>
      <c r="C51" s="24" t="s">
        <v>99</v>
      </c>
      <c r="D51" s="28">
        <v>1791828</v>
      </c>
      <c r="E51" s="26">
        <v>554.57076600000005</v>
      </c>
      <c r="F51" s="27">
        <v>0.199336894436038</v>
      </c>
    </row>
    <row r="52" spans="1:9" x14ac:dyDescent="0.2">
      <c r="A52" s="24" t="s">
        <v>528</v>
      </c>
      <c r="B52" s="24" t="s">
        <v>527</v>
      </c>
      <c r="C52" s="24" t="s">
        <v>118</v>
      </c>
      <c r="D52" s="28">
        <v>2436728</v>
      </c>
      <c r="E52" s="26">
        <v>98.687483999999998</v>
      </c>
      <c r="F52" s="27">
        <v>3.5472581294099803E-2</v>
      </c>
    </row>
    <row r="53" spans="1:9" ht="10.5" x14ac:dyDescent="0.25">
      <c r="A53" s="23" t="s">
        <v>24</v>
      </c>
      <c r="B53" s="23"/>
      <c r="C53" s="23"/>
      <c r="D53" s="29"/>
      <c r="E53" s="30">
        <f>SUM(E6:E52)</f>
        <v>270991.74214899994</v>
      </c>
      <c r="F53" s="31">
        <f>SUM(F6:F52)</f>
        <v>97.406238499404154</v>
      </c>
      <c r="G53" s="15"/>
      <c r="H53" s="15"/>
      <c r="I53" s="15"/>
    </row>
    <row r="54" spans="1:9" x14ac:dyDescent="0.2">
      <c r="A54" s="24"/>
      <c r="B54" s="24"/>
      <c r="C54" s="24"/>
      <c r="D54" s="25"/>
      <c r="E54" s="26"/>
      <c r="F54" s="27"/>
    </row>
    <row r="55" spans="1:9" ht="10.5" x14ac:dyDescent="0.25">
      <c r="A55" s="23" t="s">
        <v>1891</v>
      </c>
      <c r="B55" s="24"/>
      <c r="C55" s="24"/>
      <c r="D55" s="25"/>
      <c r="E55" s="26"/>
      <c r="F55" s="27"/>
    </row>
    <row r="56" spans="1:9" x14ac:dyDescent="0.2">
      <c r="A56" s="24" t="s">
        <v>180</v>
      </c>
      <c r="B56" s="24" t="s">
        <v>1851</v>
      </c>
      <c r="C56" s="24" t="s">
        <v>59</v>
      </c>
      <c r="D56" s="28">
        <v>30000</v>
      </c>
      <c r="E56" s="26">
        <v>3.0000000000000001E-3</v>
      </c>
      <c r="F56" s="27">
        <v>1.0783307018172599E-6</v>
      </c>
    </row>
    <row r="57" spans="1:9" x14ac:dyDescent="0.2">
      <c r="A57" s="24" t="s">
        <v>490</v>
      </c>
      <c r="B57" s="24" t="s">
        <v>1849</v>
      </c>
      <c r="C57" s="24" t="s">
        <v>379</v>
      </c>
      <c r="D57" s="28">
        <v>3500</v>
      </c>
      <c r="E57" s="26">
        <v>3.5E-4</v>
      </c>
      <c r="F57" s="27">
        <v>1.25805248545347E-7</v>
      </c>
    </row>
    <row r="58" spans="1:9" x14ac:dyDescent="0.2">
      <c r="A58" s="24"/>
      <c r="B58" s="24" t="s">
        <v>1848</v>
      </c>
      <c r="C58" s="24" t="s">
        <v>132</v>
      </c>
      <c r="D58" s="28">
        <v>2900</v>
      </c>
      <c r="E58" s="26">
        <v>2.9E-4</v>
      </c>
      <c r="F58" s="27">
        <v>1.04238634509002E-7</v>
      </c>
    </row>
    <row r="59" spans="1:9" ht="10.5" x14ac:dyDescent="0.25">
      <c r="A59" s="23" t="s">
        <v>24</v>
      </c>
      <c r="B59" s="23"/>
      <c r="C59" s="23"/>
      <c r="D59" s="29"/>
      <c r="E59" s="30">
        <f>SUM(E55:E58)</f>
        <v>3.64E-3</v>
      </c>
      <c r="F59" s="31">
        <f>SUM(F55:F58)</f>
        <v>1.3083745848716089E-6</v>
      </c>
      <c r="G59" s="15"/>
      <c r="H59" s="15"/>
      <c r="I59" s="15"/>
    </row>
    <row r="60" spans="1:9" x14ac:dyDescent="0.2">
      <c r="A60" s="24"/>
      <c r="B60" s="24"/>
      <c r="C60" s="24"/>
      <c r="D60" s="25"/>
      <c r="E60" s="26"/>
      <c r="F60" s="27"/>
    </row>
    <row r="61" spans="1:9" ht="10.5" x14ac:dyDescent="0.25">
      <c r="A61" s="23" t="s">
        <v>25</v>
      </c>
      <c r="B61" s="23"/>
      <c r="C61" s="23"/>
      <c r="D61" s="29"/>
      <c r="E61" s="30">
        <f>E53+E59</f>
        <v>270991.74578899995</v>
      </c>
      <c r="F61" s="31">
        <f>F53+F59</f>
        <v>97.406239807778732</v>
      </c>
      <c r="G61" s="15"/>
      <c r="H61" s="15"/>
      <c r="I61" s="15"/>
    </row>
    <row r="62" spans="1:9" ht="10.5" x14ac:dyDescent="0.25">
      <c r="A62" s="23"/>
      <c r="B62" s="23"/>
      <c r="C62" s="23"/>
      <c r="D62" s="29"/>
      <c r="E62" s="30"/>
      <c r="F62" s="31"/>
      <c r="G62" s="15"/>
      <c r="H62" s="15"/>
      <c r="I62" s="15"/>
    </row>
    <row r="63" spans="1:9" ht="10.5" x14ac:dyDescent="0.25">
      <c r="A63" s="23" t="s">
        <v>27</v>
      </c>
      <c r="B63" s="23"/>
      <c r="C63" s="23"/>
      <c r="D63" s="29"/>
      <c r="E63" s="30">
        <f>E65-(E53+E59)</f>
        <v>7216.0428740000352</v>
      </c>
      <c r="F63" s="31">
        <f>F65-(F53+F59)</f>
        <v>2.5937601922212679</v>
      </c>
      <c r="G63" s="15"/>
      <c r="H63" s="15"/>
      <c r="I63" s="15"/>
    </row>
    <row r="64" spans="1:9" ht="10.5" x14ac:dyDescent="0.25">
      <c r="A64" s="23"/>
      <c r="B64" s="23"/>
      <c r="C64" s="23"/>
      <c r="D64" s="29"/>
      <c r="E64" s="30"/>
      <c r="F64" s="31"/>
      <c r="G64" s="15"/>
      <c r="H64" s="15"/>
      <c r="I64" s="15"/>
    </row>
    <row r="65" spans="1:9" ht="10.5" x14ac:dyDescent="0.25">
      <c r="A65" s="32" t="s">
        <v>26</v>
      </c>
      <c r="B65" s="32"/>
      <c r="C65" s="32"/>
      <c r="D65" s="33"/>
      <c r="E65" s="34">
        <v>278207.78866299998</v>
      </c>
      <c r="F65" s="35">
        <v>100</v>
      </c>
      <c r="G65" s="15"/>
      <c r="H65" s="15"/>
      <c r="I65" s="15"/>
    </row>
    <row r="66" spans="1:9" ht="15" customHeight="1" x14ac:dyDescent="0.25">
      <c r="A66" s="15" t="s">
        <v>872</v>
      </c>
      <c r="E66" s="99" t="s">
        <v>37</v>
      </c>
      <c r="F66" s="99"/>
    </row>
    <row r="67" spans="1:9" ht="15" customHeight="1" x14ac:dyDescent="0.25">
      <c r="A67" s="15"/>
      <c r="E67" s="43"/>
      <c r="F67" s="43"/>
    </row>
    <row r="68" spans="1:9" ht="10.5" x14ac:dyDescent="0.25">
      <c r="A68" s="15" t="s">
        <v>28</v>
      </c>
    </row>
    <row r="69" spans="1:9" ht="10.5" x14ac:dyDescent="0.25">
      <c r="A69" s="15" t="s">
        <v>29</v>
      </c>
    </row>
    <row r="70" spans="1:9" ht="10.5" x14ac:dyDescent="0.25">
      <c r="A70" s="15" t="s">
        <v>30</v>
      </c>
      <c r="B70" s="15"/>
      <c r="C70" s="36" t="s">
        <v>32</v>
      </c>
      <c r="D70" s="16" t="s">
        <v>31</v>
      </c>
    </row>
    <row r="71" spans="1:9" x14ac:dyDescent="0.2">
      <c r="A71" s="9" t="s">
        <v>38</v>
      </c>
      <c r="C71" s="37">
        <v>557.75189999999998</v>
      </c>
      <c r="D71" s="37">
        <v>392.8451</v>
      </c>
    </row>
    <row r="72" spans="1:9" x14ac:dyDescent="0.2">
      <c r="A72" s="9" t="s">
        <v>40</v>
      </c>
      <c r="C72" s="37">
        <v>40.186199999999999</v>
      </c>
      <c r="D72" s="37">
        <v>26.125299999999999</v>
      </c>
    </row>
    <row r="73" spans="1:9" x14ac:dyDescent="0.2">
      <c r="A73" s="9" t="s">
        <v>39</v>
      </c>
      <c r="C73" s="37">
        <v>591.89530000000002</v>
      </c>
      <c r="D73" s="37">
        <v>419.00420000000003</v>
      </c>
    </row>
    <row r="74" spans="1:9" x14ac:dyDescent="0.2">
      <c r="A74" s="9" t="s">
        <v>41</v>
      </c>
      <c r="C74" s="37">
        <v>43.425400000000003</v>
      </c>
      <c r="D74" s="37">
        <v>28.557099999999998</v>
      </c>
    </row>
    <row r="76" spans="1:9" ht="10.5" x14ac:dyDescent="0.25">
      <c r="A76" s="15" t="s">
        <v>1882</v>
      </c>
    </row>
    <row r="77" spans="1:9" ht="10.5" x14ac:dyDescent="0.25">
      <c r="A77" s="90" t="s">
        <v>33</v>
      </c>
      <c r="B77" s="91"/>
      <c r="C77" s="92" t="s">
        <v>1883</v>
      </c>
      <c r="D77" s="93"/>
    </row>
    <row r="78" spans="1:9" ht="10.5" x14ac:dyDescent="0.25">
      <c r="A78" s="90"/>
      <c r="B78" s="91"/>
      <c r="C78" s="38" t="s">
        <v>34</v>
      </c>
      <c r="D78" s="39" t="s">
        <v>35</v>
      </c>
    </row>
    <row r="79" spans="1:9" x14ac:dyDescent="0.2">
      <c r="A79" s="96" t="s">
        <v>40</v>
      </c>
      <c r="B79" s="97"/>
      <c r="C79" s="40">
        <v>2.8775775275000002</v>
      </c>
      <c r="D79" s="40">
        <v>2.8775775275000002</v>
      </c>
    </row>
    <row r="80" spans="1:9" x14ac:dyDescent="0.2">
      <c r="A80" s="96" t="s">
        <v>41</v>
      </c>
      <c r="B80" s="97"/>
      <c r="C80" s="40">
        <v>2.8775775275000002</v>
      </c>
      <c r="D80" s="40">
        <v>2.8775775275000002</v>
      </c>
    </row>
    <row r="82" spans="1:4" ht="10.5" x14ac:dyDescent="0.25">
      <c r="A82" s="15" t="s">
        <v>175</v>
      </c>
      <c r="D82" s="42">
        <v>0.12429999999999999</v>
      </c>
    </row>
    <row r="84" spans="1:4" ht="10.5" x14ac:dyDescent="0.25">
      <c r="A84" s="15" t="s">
        <v>1839</v>
      </c>
    </row>
    <row r="85" spans="1:4" ht="10.5" x14ac:dyDescent="0.25">
      <c r="A85" s="15"/>
    </row>
  </sheetData>
  <mergeCells count="7">
    <mergeCell ref="A80:B80"/>
    <mergeCell ref="E66:F66"/>
    <mergeCell ref="A1:F1"/>
    <mergeCell ref="C77:D77"/>
    <mergeCell ref="A77:B77"/>
    <mergeCell ref="A78:B78"/>
    <mergeCell ref="A79:B79"/>
  </mergeCells>
  <conditionalFormatting sqref="F2 F4:F65 F68:F65536 E66:E67">
    <cfRule type="cellIs" dxfId="1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evenFooter>&amp;LPUBLIC</evenFooter>
    <firstFooter>&amp;LPUBLIC</firstFooter>
  </headerFooter>
  <colBreaks count="1" manualBreakCount="1">
    <brk id="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4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33.54296875" style="9" bestFit="1" customWidth="1"/>
    <col min="3" max="3" width="18.81640625" style="9" bestFit="1" customWidth="1"/>
    <col min="4" max="4" width="13.81640625" style="10" customWidth="1"/>
    <col min="5" max="5" width="8" style="11" customWidth="1"/>
    <col min="6" max="6" width="13.54296875" style="14" bestFit="1" customWidth="1"/>
    <col min="7" max="7" width="4.81640625" style="9" bestFit="1" customWidth="1"/>
    <col min="8" max="16384" width="9.1796875" style="9"/>
  </cols>
  <sheetData>
    <row r="1" spans="1:9" s="1" customFormat="1" ht="14" x14ac:dyDescent="0.25">
      <c r="A1" s="88" t="s">
        <v>15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3.25" customHeight="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321</v>
      </c>
      <c r="B4" s="19"/>
      <c r="C4" s="20"/>
      <c r="D4" s="21"/>
      <c r="E4" s="22"/>
    </row>
    <row r="5" spans="1:9" x14ac:dyDescent="0.2">
      <c r="A5" s="24" t="s">
        <v>634</v>
      </c>
      <c r="B5" s="24" t="s">
        <v>633</v>
      </c>
      <c r="C5" s="28">
        <v>3835085.4920000001</v>
      </c>
      <c r="D5" s="26">
        <v>128714.61195533295</v>
      </c>
      <c r="E5" s="27">
        <v>99.918855054226114</v>
      </c>
    </row>
    <row r="6" spans="1:9" ht="10.5" x14ac:dyDescent="0.25">
      <c r="A6" s="23" t="s">
        <v>24</v>
      </c>
      <c r="B6" s="23"/>
      <c r="C6" s="29"/>
      <c r="D6" s="30">
        <f>SUM(D5:D5)</f>
        <v>128714.61195533295</v>
      </c>
      <c r="E6" s="31">
        <f>SUM(E5:E5)</f>
        <v>99.918855054226114</v>
      </c>
      <c r="G6" s="15"/>
      <c r="H6" s="15"/>
      <c r="I6" s="15"/>
    </row>
    <row r="7" spans="1:9" x14ac:dyDescent="0.2">
      <c r="A7" s="24"/>
      <c r="B7" s="24"/>
      <c r="C7" s="25"/>
      <c r="D7" s="26"/>
      <c r="E7" s="27"/>
    </row>
    <row r="8" spans="1:9" ht="10.5" x14ac:dyDescent="0.25">
      <c r="A8" s="23" t="s">
        <v>25</v>
      </c>
      <c r="B8" s="23"/>
      <c r="C8" s="29"/>
      <c r="D8" s="30">
        <f>D6</f>
        <v>128714.61195533295</v>
      </c>
      <c r="E8" s="31">
        <f>E6</f>
        <v>99.918855054226114</v>
      </c>
      <c r="G8" s="15"/>
      <c r="H8" s="15"/>
      <c r="I8" s="15"/>
    </row>
    <row r="9" spans="1:9" ht="10.5" x14ac:dyDescent="0.25">
      <c r="A9" s="23"/>
      <c r="B9" s="23"/>
      <c r="C9" s="29"/>
      <c r="D9" s="30"/>
      <c r="E9" s="31"/>
      <c r="G9" s="15"/>
      <c r="H9" s="15"/>
      <c r="I9" s="15"/>
    </row>
    <row r="10" spans="1:9" ht="10.5" x14ac:dyDescent="0.25">
      <c r="A10" s="23" t="s">
        <v>27</v>
      </c>
      <c r="B10" s="23"/>
      <c r="C10" s="29"/>
      <c r="D10" s="30">
        <f>D12-(D6)</f>
        <v>104.53022306704952</v>
      </c>
      <c r="E10" s="31">
        <f>E12-(E6)</f>
        <v>8.1144945773885979E-2</v>
      </c>
      <c r="G10" s="15"/>
      <c r="H10" s="15"/>
      <c r="I10" s="15"/>
    </row>
    <row r="11" spans="1:9" ht="10.5" x14ac:dyDescent="0.25">
      <c r="A11" s="23"/>
      <c r="B11" s="23"/>
      <c r="C11" s="29"/>
      <c r="D11" s="30"/>
      <c r="E11" s="31"/>
      <c r="G11" s="15"/>
      <c r="H11" s="15"/>
      <c r="I11" s="15"/>
    </row>
    <row r="12" spans="1:9" ht="10.5" x14ac:dyDescent="0.25">
      <c r="A12" s="32" t="s">
        <v>26</v>
      </c>
      <c r="B12" s="32"/>
      <c r="C12" s="33"/>
      <c r="D12" s="34">
        <v>128819.1421784</v>
      </c>
      <c r="E12" s="35">
        <v>100</v>
      </c>
      <c r="G12" s="15"/>
      <c r="H12" s="15"/>
      <c r="I12" s="15"/>
    </row>
    <row r="14" spans="1:9" ht="10.5" x14ac:dyDescent="0.25">
      <c r="A14" s="15" t="s">
        <v>28</v>
      </c>
    </row>
    <row r="15" spans="1:9" ht="10.5" x14ac:dyDescent="0.25">
      <c r="A15" s="15" t="s">
        <v>29</v>
      </c>
    </row>
    <row r="16" spans="1:9" ht="10.5" x14ac:dyDescent="0.25">
      <c r="A16" s="15" t="s">
        <v>30</v>
      </c>
      <c r="B16" s="15"/>
      <c r="C16" s="36" t="s">
        <v>32</v>
      </c>
      <c r="D16" s="41" t="s">
        <v>31</v>
      </c>
    </row>
    <row r="17" spans="1:4" x14ac:dyDescent="0.2">
      <c r="A17" s="9" t="s">
        <v>38</v>
      </c>
      <c r="C17" s="37">
        <v>31.636500000000002</v>
      </c>
      <c r="D17" s="37">
        <v>31.8446</v>
      </c>
    </row>
    <row r="18" spans="1:4" x14ac:dyDescent="0.2">
      <c r="A18" s="9" t="s">
        <v>40</v>
      </c>
      <c r="C18" s="37">
        <v>31.636500000000002</v>
      </c>
      <c r="D18" s="37">
        <v>31.8446</v>
      </c>
    </row>
    <row r="19" spans="1:4" x14ac:dyDescent="0.2">
      <c r="A19" s="9" t="s">
        <v>39</v>
      </c>
      <c r="C19" s="37">
        <v>33.7652</v>
      </c>
      <c r="D19" s="37">
        <v>34.158700000000003</v>
      </c>
    </row>
    <row r="20" spans="1:4" x14ac:dyDescent="0.2">
      <c r="A20" s="9" t="s">
        <v>41</v>
      </c>
      <c r="C20" s="37">
        <v>33.7652</v>
      </c>
      <c r="D20" s="37">
        <v>34.158700000000003</v>
      </c>
    </row>
    <row r="22" spans="1:4" ht="10.5" x14ac:dyDescent="0.25">
      <c r="A22" s="15" t="s">
        <v>1882</v>
      </c>
      <c r="D22" s="41" t="s">
        <v>36</v>
      </c>
    </row>
    <row r="24" spans="1:4" ht="10.5" x14ac:dyDescent="0.25">
      <c r="A24" s="15" t="s">
        <v>175</v>
      </c>
      <c r="D24" s="42">
        <v>3.5900000000000001E-2</v>
      </c>
    </row>
  </sheetData>
  <mergeCells count="1">
    <mergeCell ref="A1:E1"/>
  </mergeCells>
  <conditionalFormatting sqref="E4:E12 F13:F65536 F2">
    <cfRule type="cellIs" dxfId="13" priority="1" stopIfTrue="1" operator="between">
      <formula>0.009</formula>
      <formula>-0.009</formula>
    </cfRule>
  </conditionalFormatting>
  <pageMargins left="0.7" right="0.7" top="0.75" bottom="0.75" header="0.3" footer="0.3"/>
  <pageSetup paperSize="9" scale="81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4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2" width="33.453125" style="9" bestFit="1" customWidth="1"/>
    <col min="3" max="3" width="18.81640625" style="9" bestFit="1" customWidth="1"/>
    <col min="4" max="4" width="14.453125" style="10" customWidth="1"/>
    <col min="5" max="5" width="9.453125" style="11" customWidth="1"/>
    <col min="6" max="6" width="13.54296875" style="14" bestFit="1" customWidth="1"/>
    <col min="7" max="7" width="5.453125" style="9" bestFit="1" customWidth="1"/>
    <col min="8" max="16384" width="9.1796875" style="9"/>
  </cols>
  <sheetData>
    <row r="1" spans="1:9" s="1" customFormat="1" ht="14" x14ac:dyDescent="0.25">
      <c r="A1" s="88" t="s">
        <v>16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321</v>
      </c>
      <c r="B4" s="19"/>
      <c r="C4" s="20"/>
      <c r="D4" s="21"/>
      <c r="E4" s="22"/>
    </row>
    <row r="5" spans="1:9" x14ac:dyDescent="0.2">
      <c r="A5" s="24" t="s">
        <v>636</v>
      </c>
      <c r="B5" s="24" t="s">
        <v>635</v>
      </c>
      <c r="C5" s="28">
        <v>73938.172999999995</v>
      </c>
      <c r="D5" s="26">
        <v>1364.381476059865</v>
      </c>
      <c r="E5" s="27">
        <v>98.118654485923869</v>
      </c>
    </row>
    <row r="6" spans="1:9" ht="10.5" x14ac:dyDescent="0.25">
      <c r="A6" s="23" t="s">
        <v>24</v>
      </c>
      <c r="B6" s="23"/>
      <c r="C6" s="29"/>
      <c r="D6" s="30">
        <f>SUM(D5:D5)</f>
        <v>1364.381476059865</v>
      </c>
      <c r="E6" s="31">
        <f>SUM(E5:E5)</f>
        <v>98.118654485923869</v>
      </c>
      <c r="G6" s="15"/>
      <c r="H6" s="15"/>
      <c r="I6" s="15"/>
    </row>
    <row r="7" spans="1:9" x14ac:dyDescent="0.2">
      <c r="A7" s="24"/>
      <c r="B7" s="24"/>
      <c r="C7" s="25"/>
      <c r="D7" s="26"/>
      <c r="E7" s="27"/>
    </row>
    <row r="8" spans="1:9" ht="10.5" x14ac:dyDescent="0.25">
      <c r="A8" s="23" t="s">
        <v>25</v>
      </c>
      <c r="B8" s="23"/>
      <c r="C8" s="29"/>
      <c r="D8" s="30">
        <f>D6</f>
        <v>1364.381476059865</v>
      </c>
      <c r="E8" s="31">
        <f>E6</f>
        <v>98.118654485923869</v>
      </c>
      <c r="G8" s="15"/>
      <c r="H8" s="15"/>
      <c r="I8" s="15"/>
    </row>
    <row r="9" spans="1:9" ht="10.5" x14ac:dyDescent="0.25">
      <c r="A9" s="23"/>
      <c r="B9" s="23"/>
      <c r="C9" s="29"/>
      <c r="D9" s="30"/>
      <c r="E9" s="31"/>
      <c r="G9" s="15"/>
      <c r="H9" s="15"/>
      <c r="I9" s="15"/>
    </row>
    <row r="10" spans="1:9" ht="10.5" x14ac:dyDescent="0.25">
      <c r="A10" s="23" t="s">
        <v>27</v>
      </c>
      <c r="B10" s="23"/>
      <c r="C10" s="29"/>
      <c r="D10" s="30">
        <f>D12-(D6)</f>
        <v>26.160906740135033</v>
      </c>
      <c r="E10" s="31">
        <f>E12-(E6)</f>
        <v>1.8813455140761306</v>
      </c>
      <c r="G10" s="15"/>
      <c r="H10" s="15"/>
      <c r="I10" s="15"/>
    </row>
    <row r="11" spans="1:9" ht="10.5" x14ac:dyDescent="0.25">
      <c r="A11" s="23"/>
      <c r="B11" s="23"/>
      <c r="C11" s="29"/>
      <c r="D11" s="30"/>
      <c r="E11" s="31"/>
      <c r="G11" s="15"/>
      <c r="H11" s="15"/>
      <c r="I11" s="15"/>
    </row>
    <row r="12" spans="1:9" ht="10.5" x14ac:dyDescent="0.25">
      <c r="A12" s="32" t="s">
        <v>26</v>
      </c>
      <c r="B12" s="32"/>
      <c r="C12" s="33"/>
      <c r="D12" s="34">
        <v>1390.5423828</v>
      </c>
      <c r="E12" s="35">
        <v>100</v>
      </c>
      <c r="G12" s="15"/>
      <c r="H12" s="15"/>
      <c r="I12" s="15"/>
    </row>
    <row r="14" spans="1:9" ht="10.5" x14ac:dyDescent="0.25">
      <c r="A14" s="15" t="s">
        <v>28</v>
      </c>
    </row>
    <row r="15" spans="1:9" ht="10.5" x14ac:dyDescent="0.25">
      <c r="A15" s="15" t="s">
        <v>29</v>
      </c>
    </row>
    <row r="16" spans="1:9" ht="10.5" x14ac:dyDescent="0.25">
      <c r="A16" s="15" t="s">
        <v>30</v>
      </c>
      <c r="B16" s="15"/>
      <c r="C16" s="36" t="s">
        <v>32</v>
      </c>
      <c r="D16" s="41" t="s">
        <v>31</v>
      </c>
    </row>
    <row r="17" spans="1:4" x14ac:dyDescent="0.2">
      <c r="A17" s="9" t="s">
        <v>38</v>
      </c>
      <c r="C17" s="37">
        <v>9.0203000000000007</v>
      </c>
      <c r="D17" s="37">
        <v>7.0502000000000002</v>
      </c>
    </row>
    <row r="18" spans="1:4" x14ac:dyDescent="0.2">
      <c r="A18" s="9" t="s">
        <v>40</v>
      </c>
      <c r="C18" s="37">
        <v>9.0203000000000007</v>
      </c>
      <c r="D18" s="37">
        <v>7.0502000000000002</v>
      </c>
    </row>
    <row r="19" spans="1:4" x14ac:dyDescent="0.2">
      <c r="A19" s="9" t="s">
        <v>39</v>
      </c>
      <c r="C19" s="37">
        <v>9.66</v>
      </c>
      <c r="D19" s="37">
        <v>7.5838999999999999</v>
      </c>
    </row>
    <row r="20" spans="1:4" x14ac:dyDescent="0.2">
      <c r="A20" s="9" t="s">
        <v>41</v>
      </c>
      <c r="C20" s="37">
        <v>9.66</v>
      </c>
      <c r="D20" s="37">
        <v>7.5838999999999999</v>
      </c>
    </row>
    <row r="22" spans="1:4" ht="10.5" x14ac:dyDescent="0.25">
      <c r="A22" s="15" t="s">
        <v>1882</v>
      </c>
      <c r="D22" s="41" t="s">
        <v>36</v>
      </c>
    </row>
    <row r="24" spans="1:4" ht="10.5" x14ac:dyDescent="0.25">
      <c r="A24" s="15" t="s">
        <v>175</v>
      </c>
      <c r="D24" s="42">
        <v>7.9399999999999998E-2</v>
      </c>
    </row>
  </sheetData>
  <mergeCells count="1">
    <mergeCell ref="A1:E1"/>
  </mergeCells>
  <conditionalFormatting sqref="E4:E12 F13:F65536 F2">
    <cfRule type="cellIs" dxfId="1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9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9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42.7265625" style="9" customWidth="1"/>
    <col min="3" max="3" width="15.453125" style="9" bestFit="1" customWidth="1"/>
    <col min="4" max="4" width="13.453125" style="10" customWidth="1"/>
    <col min="5" max="5" width="10.54296875" style="11" customWidth="1"/>
    <col min="6" max="6" width="14.7265625" style="14" bestFit="1" customWidth="1"/>
    <col min="7" max="7" width="5.81640625" style="9" bestFit="1" customWidth="1"/>
    <col min="8" max="16384" width="9.1796875" style="9"/>
  </cols>
  <sheetData>
    <row r="1" spans="1:9" s="1" customFormat="1" ht="14" x14ac:dyDescent="0.25">
      <c r="A1" s="88" t="s">
        <v>17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1793</v>
      </c>
      <c r="B4" s="19"/>
      <c r="C4" s="20"/>
      <c r="D4" s="21"/>
      <c r="E4" s="22"/>
    </row>
    <row r="5" spans="1:9" x14ac:dyDescent="0.2">
      <c r="A5" s="24" t="s">
        <v>638</v>
      </c>
      <c r="B5" s="24" t="s">
        <v>637</v>
      </c>
      <c r="C5" s="28">
        <v>30284.16</v>
      </c>
      <c r="D5" s="26">
        <v>1227.190934</v>
      </c>
      <c r="E5" s="27">
        <v>49.998341513181302</v>
      </c>
    </row>
    <row r="6" spans="1:9" x14ac:dyDescent="0.2">
      <c r="A6" s="24" t="s">
        <v>640</v>
      </c>
      <c r="B6" s="24" t="s">
        <v>639</v>
      </c>
      <c r="C6" s="28">
        <v>1713359</v>
      </c>
      <c r="D6" s="26">
        <v>654.67447389999995</v>
      </c>
      <c r="E6" s="27">
        <v>26.672815956456901</v>
      </c>
    </row>
    <row r="7" spans="1:9" x14ac:dyDescent="0.2">
      <c r="A7" s="24" t="s">
        <v>641</v>
      </c>
      <c r="B7" s="24" t="s">
        <v>11</v>
      </c>
      <c r="C7" s="28">
        <v>150866.81599999999</v>
      </c>
      <c r="D7" s="26">
        <v>540.0472297</v>
      </c>
      <c r="E7" s="27">
        <v>22.0026607724174</v>
      </c>
    </row>
    <row r="8" spans="1:9" ht="20" x14ac:dyDescent="0.2">
      <c r="A8" s="24" t="s">
        <v>642</v>
      </c>
      <c r="B8" s="44" t="s">
        <v>1884</v>
      </c>
      <c r="C8" s="28">
        <v>24846.464</v>
      </c>
      <c r="D8" s="26">
        <v>0</v>
      </c>
      <c r="E8" s="27">
        <v>0</v>
      </c>
    </row>
    <row r="9" spans="1:9" ht="31.5" customHeight="1" x14ac:dyDescent="0.2">
      <c r="A9" s="24" t="s">
        <v>643</v>
      </c>
      <c r="B9" s="44" t="s">
        <v>1885</v>
      </c>
      <c r="C9" s="28">
        <v>24846.464</v>
      </c>
      <c r="D9" s="26">
        <v>0</v>
      </c>
      <c r="E9" s="27">
        <v>0</v>
      </c>
    </row>
    <row r="10" spans="1:9" ht="20" x14ac:dyDescent="0.2">
      <c r="A10" s="45" t="s">
        <v>644</v>
      </c>
      <c r="B10" s="50" t="s">
        <v>1890</v>
      </c>
      <c r="C10" s="46">
        <v>23973.544999999998</v>
      </c>
      <c r="D10" s="47">
        <v>0</v>
      </c>
      <c r="E10" s="47">
        <v>0</v>
      </c>
    </row>
    <row r="11" spans="1:9" ht="10.5" x14ac:dyDescent="0.25">
      <c r="A11" s="23" t="s">
        <v>24</v>
      </c>
      <c r="B11" s="23"/>
      <c r="C11" s="29"/>
      <c r="D11" s="30">
        <f>SUM(D5:D10)</f>
        <v>2421.9126375999999</v>
      </c>
      <c r="E11" s="31">
        <f>SUM(E5:E10)</f>
        <v>98.673818242055603</v>
      </c>
      <c r="G11" s="15"/>
      <c r="H11" s="15"/>
      <c r="I11" s="15"/>
    </row>
    <row r="12" spans="1:9" x14ac:dyDescent="0.2">
      <c r="A12" s="24"/>
      <c r="B12" s="24"/>
      <c r="C12" s="25"/>
      <c r="D12" s="26"/>
      <c r="E12" s="27"/>
    </row>
    <row r="13" spans="1:9" ht="10.5" x14ac:dyDescent="0.25">
      <c r="A13" s="23" t="s">
        <v>25</v>
      </c>
      <c r="B13" s="23"/>
      <c r="C13" s="29"/>
      <c r="D13" s="30">
        <f>D11</f>
        <v>2421.9126375999999</v>
      </c>
      <c r="E13" s="31">
        <f>E11</f>
        <v>98.673818242055603</v>
      </c>
      <c r="G13" s="15"/>
      <c r="H13" s="15"/>
      <c r="I13" s="15"/>
    </row>
    <row r="14" spans="1:9" ht="10.5" x14ac:dyDescent="0.25">
      <c r="A14" s="23"/>
      <c r="B14" s="23"/>
      <c r="C14" s="29"/>
      <c r="D14" s="30"/>
      <c r="E14" s="31"/>
      <c r="G14" s="15"/>
      <c r="H14" s="15"/>
      <c r="I14" s="15"/>
    </row>
    <row r="15" spans="1:9" ht="10.5" x14ac:dyDescent="0.25">
      <c r="A15" s="23" t="s">
        <v>27</v>
      </c>
      <c r="B15" s="23"/>
      <c r="C15" s="29"/>
      <c r="D15" s="30">
        <f>D17-(D11)</f>
        <v>32.550644299999931</v>
      </c>
      <c r="E15" s="31">
        <f>E17-(E11)</f>
        <v>1.3261817579443971</v>
      </c>
      <c r="G15" s="15"/>
      <c r="H15" s="15"/>
      <c r="I15" s="15"/>
    </row>
    <row r="16" spans="1:9" ht="10.5" x14ac:dyDescent="0.25">
      <c r="A16" s="23"/>
      <c r="B16" s="23"/>
      <c r="C16" s="29"/>
      <c r="D16" s="30"/>
      <c r="E16" s="31"/>
      <c r="G16" s="15"/>
      <c r="H16" s="15"/>
      <c r="I16" s="15"/>
    </row>
    <row r="17" spans="1:9" ht="10.5" x14ac:dyDescent="0.25">
      <c r="A17" s="32" t="s">
        <v>26</v>
      </c>
      <c r="B17" s="32"/>
      <c r="C17" s="33"/>
      <c r="D17" s="34">
        <v>2454.4632818999999</v>
      </c>
      <c r="E17" s="35">
        <v>100</v>
      </c>
      <c r="G17" s="15"/>
      <c r="H17" s="15"/>
      <c r="I17" s="15"/>
    </row>
    <row r="18" spans="1:9" ht="15" customHeight="1" x14ac:dyDescent="0.25">
      <c r="C18" s="10"/>
      <c r="D18" s="99" t="s">
        <v>37</v>
      </c>
      <c r="E18" s="99"/>
    </row>
    <row r="19" spans="1:9" ht="10.5" x14ac:dyDescent="0.25">
      <c r="A19" s="15" t="s">
        <v>28</v>
      </c>
    </row>
    <row r="20" spans="1:9" ht="10.5" x14ac:dyDescent="0.25">
      <c r="A20" s="15" t="s">
        <v>29</v>
      </c>
    </row>
    <row r="21" spans="1:9" ht="10.5" x14ac:dyDescent="0.25">
      <c r="A21" s="15" t="s">
        <v>30</v>
      </c>
      <c r="B21" s="15"/>
      <c r="C21" s="36" t="s">
        <v>32</v>
      </c>
      <c r="D21" s="41" t="s">
        <v>31</v>
      </c>
    </row>
    <row r="22" spans="1:9" x14ac:dyDescent="0.2">
      <c r="A22" s="9" t="s">
        <v>38</v>
      </c>
      <c r="C22" s="37">
        <v>12.783899999999999</v>
      </c>
      <c r="D22" s="37">
        <v>12.0504</v>
      </c>
    </row>
    <row r="23" spans="1:9" x14ac:dyDescent="0.2">
      <c r="A23" s="9" t="s">
        <v>40</v>
      </c>
      <c r="C23" s="37">
        <v>12.783899999999999</v>
      </c>
      <c r="D23" s="37">
        <v>12.0504</v>
      </c>
    </row>
    <row r="24" spans="1:9" x14ac:dyDescent="0.2">
      <c r="A24" s="9" t="s">
        <v>39</v>
      </c>
      <c r="C24" s="37">
        <v>13.6975</v>
      </c>
      <c r="D24" s="37">
        <v>12.9499</v>
      </c>
    </row>
    <row r="25" spans="1:9" x14ac:dyDescent="0.2">
      <c r="A25" s="9" t="s">
        <v>41</v>
      </c>
      <c r="C25" s="37">
        <v>13.6975</v>
      </c>
      <c r="D25" s="37">
        <v>12.9499</v>
      </c>
    </row>
    <row r="27" spans="1:9" ht="10.5" x14ac:dyDescent="0.25">
      <c r="A27" s="15" t="s">
        <v>1882</v>
      </c>
      <c r="D27" s="41" t="s">
        <v>36</v>
      </c>
    </row>
    <row r="29" spans="1:9" ht="10.5" x14ac:dyDescent="0.25">
      <c r="A29" s="15" t="s">
        <v>175</v>
      </c>
      <c r="D29" s="42">
        <v>0.48020000000000002</v>
      </c>
    </row>
  </sheetData>
  <mergeCells count="2">
    <mergeCell ref="A1:E1"/>
    <mergeCell ref="D18:E18"/>
  </mergeCells>
  <conditionalFormatting sqref="E4:E7 F2 F19:F65536 E11:E17 D18">
    <cfRule type="cellIs" dxfId="11" priority="2" stopIfTrue="1" operator="between">
      <formula>0.009</formula>
      <formula>-0.009</formula>
    </cfRule>
  </conditionalFormatting>
  <conditionalFormatting sqref="E8:E10">
    <cfRule type="cellIs" dxfId="1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2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33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21.453125" style="9" bestFit="1" customWidth="1"/>
    <col min="3" max="3" width="15.453125" style="9" bestFit="1" customWidth="1"/>
    <col min="4" max="4" width="12.26953125" style="10" customWidth="1"/>
    <col min="5" max="5" width="13.54296875" style="11" customWidth="1"/>
    <col min="6" max="6" width="13.54296875" style="14" bestFit="1" customWidth="1"/>
    <col min="7" max="7" width="10.54296875" style="9" bestFit="1" customWidth="1"/>
    <col min="8" max="16384" width="9.1796875" style="9"/>
  </cols>
  <sheetData>
    <row r="1" spans="1:9" s="1" customFormat="1" ht="14" x14ac:dyDescent="0.25">
      <c r="A1" s="88" t="s">
        <v>18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44</v>
      </c>
      <c r="B4" s="19"/>
      <c r="C4" s="20"/>
      <c r="D4" s="21"/>
      <c r="E4" s="22"/>
    </row>
    <row r="5" spans="1:9" x14ac:dyDescent="0.2">
      <c r="A5" s="24" t="s">
        <v>645</v>
      </c>
      <c r="B5" s="24" t="s">
        <v>1821</v>
      </c>
      <c r="C5" s="28">
        <v>5235868.8260000004</v>
      </c>
      <c r="D5" s="26">
        <v>1985.0749480013799</v>
      </c>
      <c r="E5" s="27">
        <v>82.655139634924211</v>
      </c>
    </row>
    <row r="6" spans="1:9" x14ac:dyDescent="0.2">
      <c r="A6" s="24" t="s">
        <v>641</v>
      </c>
      <c r="B6" s="24" t="s">
        <v>11</v>
      </c>
      <c r="C6" s="28">
        <v>88215.463000000003</v>
      </c>
      <c r="D6" s="26">
        <v>315.77862960322699</v>
      </c>
      <c r="E6" s="27">
        <v>13.148484267487515</v>
      </c>
    </row>
    <row r="7" spans="1:9" x14ac:dyDescent="0.2">
      <c r="A7" s="24" t="s">
        <v>646</v>
      </c>
      <c r="B7" s="24" t="s">
        <v>1832</v>
      </c>
      <c r="C7" s="28">
        <v>60175.788999999997</v>
      </c>
      <c r="D7" s="26">
        <v>101.87664796437599</v>
      </c>
      <c r="E7" s="27">
        <v>4.2419700936287574</v>
      </c>
    </row>
    <row r="8" spans="1:9" ht="10.5" x14ac:dyDescent="0.25">
      <c r="A8" s="23" t="s">
        <v>24</v>
      </c>
      <c r="B8" s="23"/>
      <c r="C8" s="29"/>
      <c r="D8" s="30">
        <f>SUM(D5:D7)</f>
        <v>2402.7302255689829</v>
      </c>
      <c r="E8" s="31">
        <f>SUM(E5:E7)</f>
        <v>100.04559399604048</v>
      </c>
      <c r="G8" s="15"/>
      <c r="H8" s="15"/>
      <c r="I8" s="15"/>
    </row>
    <row r="9" spans="1:9" x14ac:dyDescent="0.2">
      <c r="A9" s="24"/>
      <c r="B9" s="24"/>
      <c r="C9" s="25"/>
      <c r="D9" s="26"/>
      <c r="E9" s="27"/>
    </row>
    <row r="10" spans="1:9" ht="10.5" x14ac:dyDescent="0.25">
      <c r="A10" s="23" t="s">
        <v>25</v>
      </c>
      <c r="B10" s="23"/>
      <c r="C10" s="29"/>
      <c r="D10" s="30">
        <f>D8</f>
        <v>2402.7302255689829</v>
      </c>
      <c r="E10" s="31">
        <f>E8</f>
        <v>100.04559399604048</v>
      </c>
      <c r="G10" s="15"/>
      <c r="H10" s="15"/>
      <c r="I10" s="15"/>
    </row>
    <row r="11" spans="1:9" ht="10.5" x14ac:dyDescent="0.25">
      <c r="A11" s="23"/>
      <c r="B11" s="23"/>
      <c r="C11" s="29"/>
      <c r="D11" s="30"/>
      <c r="E11" s="31"/>
      <c r="G11" s="15"/>
      <c r="H11" s="15"/>
      <c r="I11" s="15"/>
    </row>
    <row r="12" spans="1:9" ht="10.5" x14ac:dyDescent="0.25">
      <c r="A12" s="23" t="s">
        <v>27</v>
      </c>
      <c r="B12" s="23"/>
      <c r="C12" s="29"/>
      <c r="D12" s="79">
        <f>D14-(D8)</f>
        <v>-1.0950014689829004</v>
      </c>
      <c r="E12" s="80">
        <f>E14-(E8)</f>
        <v>-4.5593996040480533E-2</v>
      </c>
      <c r="G12" s="15"/>
      <c r="H12" s="15"/>
      <c r="I12" s="15"/>
    </row>
    <row r="13" spans="1:9" ht="10.5" x14ac:dyDescent="0.25">
      <c r="A13" s="23"/>
      <c r="B13" s="23"/>
      <c r="C13" s="29"/>
      <c r="D13" s="30"/>
      <c r="E13" s="31"/>
      <c r="G13" s="15"/>
      <c r="H13" s="15"/>
      <c r="I13" s="15"/>
    </row>
    <row r="14" spans="1:9" ht="10.5" x14ac:dyDescent="0.25">
      <c r="A14" s="32" t="s">
        <v>26</v>
      </c>
      <c r="B14" s="32"/>
      <c r="C14" s="33"/>
      <c r="D14" s="34">
        <v>2401.6352241</v>
      </c>
      <c r="E14" s="35">
        <v>100</v>
      </c>
      <c r="G14" s="15"/>
      <c r="H14" s="15"/>
      <c r="I14" s="15"/>
    </row>
    <row r="16" spans="1:9" ht="10.5" x14ac:dyDescent="0.25">
      <c r="A16" s="15" t="s">
        <v>28</v>
      </c>
    </row>
    <row r="17" spans="1:4" ht="10.5" x14ac:dyDescent="0.25">
      <c r="A17" s="15" t="s">
        <v>29</v>
      </c>
    </row>
    <row r="18" spans="1:4" ht="10.5" x14ac:dyDescent="0.25">
      <c r="A18" s="15" t="s">
        <v>30</v>
      </c>
      <c r="B18" s="15"/>
      <c r="C18" s="36" t="s">
        <v>32</v>
      </c>
      <c r="D18" s="41" t="s">
        <v>31</v>
      </c>
    </row>
    <row r="19" spans="1:4" x14ac:dyDescent="0.2">
      <c r="A19" s="9" t="s">
        <v>42</v>
      </c>
      <c r="C19" s="37">
        <v>38.401499999999999</v>
      </c>
      <c r="D19" s="37">
        <v>37.337400000000002</v>
      </c>
    </row>
    <row r="20" spans="1:4" x14ac:dyDescent="0.2">
      <c r="A20" s="9" t="s">
        <v>647</v>
      </c>
      <c r="C20" s="37">
        <v>13.9598</v>
      </c>
      <c r="D20" s="37">
        <v>13.0396</v>
      </c>
    </row>
    <row r="21" spans="1:4" x14ac:dyDescent="0.2">
      <c r="A21" s="9" t="s">
        <v>43</v>
      </c>
      <c r="C21" s="37">
        <v>39.4621</v>
      </c>
      <c r="D21" s="37">
        <v>38.467700000000001</v>
      </c>
    </row>
    <row r="22" spans="1:4" x14ac:dyDescent="0.2">
      <c r="A22" s="9" t="s">
        <v>648</v>
      </c>
      <c r="C22" s="37">
        <v>14.3744</v>
      </c>
      <c r="D22" s="37">
        <v>13.475899999999999</v>
      </c>
    </row>
    <row r="24" spans="1:4" ht="10.5" x14ac:dyDescent="0.25">
      <c r="A24" s="15" t="s">
        <v>1882</v>
      </c>
    </row>
    <row r="25" spans="1:4" ht="10.5" x14ac:dyDescent="0.25">
      <c r="A25" s="90" t="s">
        <v>33</v>
      </c>
      <c r="B25" s="91"/>
      <c r="C25" s="92" t="s">
        <v>1883</v>
      </c>
      <c r="D25" s="93"/>
    </row>
    <row r="26" spans="1:4" ht="10.5" x14ac:dyDescent="0.25">
      <c r="A26" s="90"/>
      <c r="B26" s="91"/>
      <c r="C26" s="38" t="s">
        <v>34</v>
      </c>
      <c r="D26" s="39" t="s">
        <v>35</v>
      </c>
    </row>
    <row r="27" spans="1:4" x14ac:dyDescent="0.2">
      <c r="A27" s="96" t="s">
        <v>647</v>
      </c>
      <c r="B27" s="97"/>
      <c r="C27" s="40">
        <v>0.38897425800000002</v>
      </c>
      <c r="D27" s="40">
        <v>0.36019210149999997</v>
      </c>
    </row>
    <row r="28" spans="1:4" x14ac:dyDescent="0.2">
      <c r="A28" s="96" t="s">
        <v>648</v>
      </c>
      <c r="B28" s="97"/>
      <c r="C28" s="40">
        <v>0.38897425800000002</v>
      </c>
      <c r="D28" s="40">
        <v>0.36019210149999997</v>
      </c>
    </row>
    <row r="30" spans="1:4" ht="10.5" x14ac:dyDescent="0.25">
      <c r="A30" s="15" t="s">
        <v>175</v>
      </c>
      <c r="D30" s="42">
        <v>5.3124625096296153E-2</v>
      </c>
    </row>
    <row r="32" spans="1:4" ht="10.5" x14ac:dyDescent="0.25">
      <c r="A32" s="15" t="s">
        <v>1838</v>
      </c>
    </row>
    <row r="33" spans="1:1" ht="10.5" x14ac:dyDescent="0.25">
      <c r="A33" s="15" t="s">
        <v>1833</v>
      </c>
    </row>
  </sheetData>
  <mergeCells count="6">
    <mergeCell ref="A28:B28"/>
    <mergeCell ref="A1:E1"/>
    <mergeCell ref="C25:D25"/>
    <mergeCell ref="A25:B25"/>
    <mergeCell ref="A26:B26"/>
    <mergeCell ref="A27:B27"/>
  </mergeCells>
  <conditionalFormatting sqref="E4:E14 F2 F15:F65536">
    <cfRule type="cellIs" dxfId="9" priority="1" stopIfTrue="1" operator="between">
      <formula>0.009</formula>
      <formula>-0.009</formula>
    </cfRule>
  </conditionalFormatting>
  <pageMargins left="0.7" right="0.7" top="0.75" bottom="0.75" header="0.3" footer="0.3"/>
  <pageSetup paperSize="9" scale="90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38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42.7265625" style="9" customWidth="1"/>
    <col min="3" max="3" width="15.453125" style="9" bestFit="1" customWidth="1"/>
    <col min="4" max="4" width="13.54296875" style="10" customWidth="1"/>
    <col min="5" max="5" width="8.54296875" style="11" customWidth="1"/>
    <col min="6" max="6" width="14.7265625" style="14" bestFit="1" customWidth="1"/>
    <col min="7" max="7" width="9.54296875" style="9" bestFit="1" customWidth="1"/>
    <col min="8" max="16384" width="9.1796875" style="9"/>
  </cols>
  <sheetData>
    <row r="1" spans="1:9" s="1" customFormat="1" ht="14" x14ac:dyDescent="0.25">
      <c r="A1" s="88" t="s">
        <v>19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44</v>
      </c>
      <c r="B4" s="19"/>
      <c r="C4" s="20"/>
      <c r="D4" s="21"/>
      <c r="E4" s="22"/>
    </row>
    <row r="5" spans="1:9" x14ac:dyDescent="0.2">
      <c r="A5" s="24" t="s">
        <v>650</v>
      </c>
      <c r="B5" s="24" t="s">
        <v>649</v>
      </c>
      <c r="C5" s="28">
        <v>448226.20600000001</v>
      </c>
      <c r="D5" s="26">
        <v>318.3822457</v>
      </c>
      <c r="E5" s="27">
        <v>52.233642116564447</v>
      </c>
    </row>
    <row r="6" spans="1:9" x14ac:dyDescent="0.2">
      <c r="A6" s="24" t="s">
        <v>651</v>
      </c>
      <c r="B6" s="24" t="s">
        <v>1826</v>
      </c>
      <c r="C6" s="28">
        <v>250607.87100000001</v>
      </c>
      <c r="D6" s="26">
        <v>188.8951816</v>
      </c>
      <c r="E6" s="27">
        <v>30.990055025037005</v>
      </c>
    </row>
    <row r="7" spans="1:9" x14ac:dyDescent="0.2">
      <c r="A7" s="24" t="s">
        <v>641</v>
      </c>
      <c r="B7" s="24" t="s">
        <v>11</v>
      </c>
      <c r="C7" s="28">
        <v>14680.728999999999</v>
      </c>
      <c r="D7" s="26">
        <v>52.551563299999998</v>
      </c>
      <c r="E7" s="27">
        <v>8.6215848626956983</v>
      </c>
    </row>
    <row r="8" spans="1:9" x14ac:dyDescent="0.2">
      <c r="A8" s="24" t="s">
        <v>646</v>
      </c>
      <c r="B8" s="24" t="s">
        <v>1832</v>
      </c>
      <c r="C8" s="28">
        <v>29893.921999999999</v>
      </c>
      <c r="D8" s="26">
        <v>50.609931600000003</v>
      </c>
      <c r="E8" s="27">
        <v>8.3030416753486911</v>
      </c>
    </row>
    <row r="9" spans="1:9" ht="20" x14ac:dyDescent="0.2">
      <c r="A9" s="24" t="s">
        <v>654</v>
      </c>
      <c r="B9" s="44" t="s">
        <v>1888</v>
      </c>
      <c r="C9" s="28">
        <v>403150.37400000001</v>
      </c>
      <c r="D9" s="26">
        <v>0</v>
      </c>
      <c r="E9" s="27">
        <v>0</v>
      </c>
    </row>
    <row r="10" spans="1:9" ht="27.75" customHeight="1" x14ac:dyDescent="0.2">
      <c r="A10" s="24" t="s">
        <v>653</v>
      </c>
      <c r="B10" s="44" t="s">
        <v>1887</v>
      </c>
      <c r="C10" s="28">
        <v>403150.37400000001</v>
      </c>
      <c r="D10" s="26">
        <v>0</v>
      </c>
      <c r="E10" s="27">
        <v>0</v>
      </c>
    </row>
    <row r="11" spans="1:9" ht="20" x14ac:dyDescent="0.2">
      <c r="A11" s="45" t="s">
        <v>652</v>
      </c>
      <c r="B11" s="50" t="s">
        <v>1889</v>
      </c>
      <c r="C11" s="46">
        <v>489502.28</v>
      </c>
      <c r="D11" s="47">
        <v>0</v>
      </c>
      <c r="E11" s="47">
        <v>0</v>
      </c>
    </row>
    <row r="12" spans="1:9" ht="10.5" x14ac:dyDescent="0.25">
      <c r="A12" s="23" t="s">
        <v>24</v>
      </c>
      <c r="B12" s="23"/>
      <c r="C12" s="29"/>
      <c r="D12" s="30">
        <f>SUM(D5:D11)</f>
        <v>610.43892219999998</v>
      </c>
      <c r="E12" s="31">
        <f>SUM(E5:E11)</f>
        <v>100.14832367964584</v>
      </c>
      <c r="G12" s="15"/>
      <c r="H12" s="15"/>
      <c r="I12" s="15"/>
    </row>
    <row r="13" spans="1:9" x14ac:dyDescent="0.2">
      <c r="A13" s="24"/>
      <c r="B13" s="24"/>
      <c r="C13" s="25"/>
      <c r="D13" s="26"/>
      <c r="E13" s="27"/>
    </row>
    <row r="14" spans="1:9" ht="10.5" x14ac:dyDescent="0.25">
      <c r="A14" s="23" t="s">
        <v>25</v>
      </c>
      <c r="B14" s="23"/>
      <c r="C14" s="29"/>
      <c r="D14" s="30">
        <f>D12</f>
        <v>610.43892219999998</v>
      </c>
      <c r="E14" s="31">
        <f>E12</f>
        <v>100.14832367964584</v>
      </c>
      <c r="G14" s="15"/>
      <c r="H14" s="15"/>
      <c r="I14" s="15"/>
    </row>
    <row r="15" spans="1:9" ht="10.5" x14ac:dyDescent="0.25">
      <c r="A15" s="23"/>
      <c r="B15" s="23"/>
      <c r="C15" s="29"/>
      <c r="D15" s="30"/>
      <c r="E15" s="31"/>
      <c r="G15" s="15"/>
      <c r="H15" s="15"/>
      <c r="I15" s="15"/>
    </row>
    <row r="16" spans="1:9" ht="10.5" x14ac:dyDescent="0.25">
      <c r="A16" s="23" t="s">
        <v>27</v>
      </c>
      <c r="B16" s="23"/>
      <c r="C16" s="29"/>
      <c r="D16" s="79">
        <f>D18-(D12)</f>
        <v>-0.90408449999995355</v>
      </c>
      <c r="E16" s="80">
        <f>E18-(E12)</f>
        <v>-0.14832367964584137</v>
      </c>
      <c r="G16" s="15"/>
      <c r="H16" s="15"/>
      <c r="I16" s="15"/>
    </row>
    <row r="17" spans="1:9" ht="10.5" x14ac:dyDescent="0.25">
      <c r="A17" s="23"/>
      <c r="B17" s="23"/>
      <c r="C17" s="29"/>
      <c r="D17" s="30"/>
      <c r="E17" s="31"/>
      <c r="G17" s="15"/>
      <c r="H17" s="15"/>
      <c r="I17" s="15"/>
    </row>
    <row r="18" spans="1:9" ht="10.5" x14ac:dyDescent="0.25">
      <c r="A18" s="32" t="s">
        <v>26</v>
      </c>
      <c r="B18" s="32"/>
      <c r="C18" s="33"/>
      <c r="D18" s="34">
        <v>609.53483770000003</v>
      </c>
      <c r="E18" s="35">
        <v>100</v>
      </c>
      <c r="G18" s="15"/>
      <c r="H18" s="15"/>
      <c r="I18" s="15"/>
    </row>
    <row r="19" spans="1:9" ht="15" customHeight="1" x14ac:dyDescent="0.25">
      <c r="C19" s="10"/>
      <c r="D19" s="99" t="s">
        <v>37</v>
      </c>
      <c r="E19" s="99"/>
    </row>
    <row r="20" spans="1:9" ht="10.5" x14ac:dyDescent="0.25">
      <c r="A20" s="15" t="s">
        <v>28</v>
      </c>
    </row>
    <row r="21" spans="1:9" ht="10.5" x14ac:dyDescent="0.25">
      <c r="A21" s="15" t="s">
        <v>29</v>
      </c>
    </row>
    <row r="22" spans="1:9" ht="10.5" x14ac:dyDescent="0.25">
      <c r="A22" s="15" t="s">
        <v>30</v>
      </c>
      <c r="B22" s="15"/>
      <c r="C22" s="36" t="s">
        <v>32</v>
      </c>
      <c r="D22" s="41" t="s">
        <v>31</v>
      </c>
    </row>
    <row r="23" spans="1:9" x14ac:dyDescent="0.2">
      <c r="A23" s="9" t="s">
        <v>42</v>
      </c>
      <c r="C23" s="37">
        <v>36.173099999999998</v>
      </c>
      <c r="D23" s="37">
        <v>34.174900000000001</v>
      </c>
    </row>
    <row r="24" spans="1:9" x14ac:dyDescent="0.2">
      <c r="A24" s="9" t="s">
        <v>647</v>
      </c>
      <c r="C24" s="37">
        <v>12.9436</v>
      </c>
      <c r="D24" s="37">
        <v>11.7006</v>
      </c>
    </row>
    <row r="25" spans="1:9" x14ac:dyDescent="0.2">
      <c r="A25" s="9" t="s">
        <v>43</v>
      </c>
      <c r="C25" s="37">
        <v>37.8752</v>
      </c>
      <c r="D25" s="37">
        <v>35.891300000000001</v>
      </c>
    </row>
    <row r="26" spans="1:9" x14ac:dyDescent="0.2">
      <c r="A26" s="9" t="s">
        <v>648</v>
      </c>
      <c r="C26" s="37">
        <v>13.559200000000001</v>
      </c>
      <c r="D26" s="37">
        <v>12.312799999999999</v>
      </c>
    </row>
    <row r="28" spans="1:9" ht="10.5" x14ac:dyDescent="0.25">
      <c r="A28" s="15" t="s">
        <v>1882</v>
      </c>
    </row>
    <row r="29" spans="1:9" ht="10.5" x14ac:dyDescent="0.25">
      <c r="A29" s="90" t="s">
        <v>33</v>
      </c>
      <c r="B29" s="91"/>
      <c r="C29" s="92" t="s">
        <v>1883</v>
      </c>
      <c r="D29" s="93"/>
    </row>
    <row r="30" spans="1:9" ht="10.5" x14ac:dyDescent="0.25">
      <c r="A30" s="90"/>
      <c r="B30" s="91"/>
      <c r="C30" s="38" t="s">
        <v>34</v>
      </c>
      <c r="D30" s="39" t="s">
        <v>35</v>
      </c>
    </row>
    <row r="31" spans="1:9" x14ac:dyDescent="0.2">
      <c r="A31" s="96" t="s">
        <v>647</v>
      </c>
      <c r="B31" s="97"/>
      <c r="C31" s="40">
        <v>0.38897425800000002</v>
      </c>
      <c r="D31" s="40">
        <v>0.36019210149999997</v>
      </c>
    </row>
    <row r="32" spans="1:9" x14ac:dyDescent="0.2">
      <c r="A32" s="96" t="s">
        <v>648</v>
      </c>
      <c r="B32" s="97"/>
      <c r="C32" s="40">
        <v>0.38897425800000002</v>
      </c>
      <c r="D32" s="40">
        <v>0.36019210149999997</v>
      </c>
    </row>
    <row r="34" spans="1:4" ht="10.5" x14ac:dyDescent="0.25">
      <c r="A34" s="15" t="s">
        <v>175</v>
      </c>
      <c r="D34" s="42">
        <v>0.16950000000000001</v>
      </c>
    </row>
    <row r="36" spans="1:4" ht="10.5" x14ac:dyDescent="0.25">
      <c r="A36" s="15" t="s">
        <v>1837</v>
      </c>
    </row>
    <row r="37" spans="1:4" ht="10.5" x14ac:dyDescent="0.25">
      <c r="A37" s="15" t="s">
        <v>1833</v>
      </c>
    </row>
    <row r="38" spans="1:4" ht="10.5" x14ac:dyDescent="0.25">
      <c r="A38" s="15"/>
    </row>
  </sheetData>
  <mergeCells count="7">
    <mergeCell ref="A31:B31"/>
    <mergeCell ref="A32:B32"/>
    <mergeCell ref="A1:E1"/>
    <mergeCell ref="D19:E19"/>
    <mergeCell ref="C29:D29"/>
    <mergeCell ref="A29:B29"/>
    <mergeCell ref="A30:B30"/>
  </mergeCells>
  <conditionalFormatting sqref="F2 F20:F65536 E12:E18 D19 E4:E10">
    <cfRule type="cellIs" dxfId="8" priority="2" stopIfTrue="1" operator="between">
      <formula>0.009</formula>
      <formula>-0.009</formula>
    </cfRule>
  </conditionalFormatting>
  <conditionalFormatting sqref="E11">
    <cfRule type="cellIs" dxfId="7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2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38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42.453125" style="9" customWidth="1"/>
    <col min="3" max="3" width="15.453125" style="9" bestFit="1" customWidth="1"/>
    <col min="4" max="4" width="12" style="10" customWidth="1"/>
    <col min="5" max="5" width="9.81640625" style="11" customWidth="1"/>
    <col min="6" max="6" width="14.7265625" style="14" bestFit="1" customWidth="1"/>
    <col min="7" max="7" width="9.54296875" style="9" bestFit="1" customWidth="1"/>
    <col min="8" max="16384" width="9.1796875" style="9"/>
  </cols>
  <sheetData>
    <row r="1" spans="1:9" s="1" customFormat="1" ht="14" x14ac:dyDescent="0.25">
      <c r="A1" s="88" t="s">
        <v>20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44</v>
      </c>
      <c r="B4" s="19"/>
      <c r="C4" s="20"/>
      <c r="D4" s="21"/>
      <c r="E4" s="22"/>
    </row>
    <row r="5" spans="1:9" x14ac:dyDescent="0.2">
      <c r="A5" s="24" t="s">
        <v>650</v>
      </c>
      <c r="B5" s="24" t="s">
        <v>649</v>
      </c>
      <c r="C5" s="28">
        <v>612512.21499999997</v>
      </c>
      <c r="D5" s="26">
        <v>435.07722650993998</v>
      </c>
      <c r="E5" s="27">
        <v>38.141273359185099</v>
      </c>
    </row>
    <row r="6" spans="1:9" x14ac:dyDescent="0.2">
      <c r="A6" s="24" t="s">
        <v>651</v>
      </c>
      <c r="B6" s="24" t="s">
        <v>1826</v>
      </c>
      <c r="C6" s="28">
        <v>488049.71499999997</v>
      </c>
      <c r="D6" s="26">
        <v>367.86649658181994</v>
      </c>
      <c r="E6" s="27">
        <v>32.249209452686372</v>
      </c>
    </row>
    <row r="7" spans="1:9" x14ac:dyDescent="0.2">
      <c r="A7" s="24" t="s">
        <v>641</v>
      </c>
      <c r="B7" s="24" t="s">
        <v>11</v>
      </c>
      <c r="C7" s="28">
        <v>54845.002</v>
      </c>
      <c r="D7" s="26">
        <v>196.32475966425798</v>
      </c>
      <c r="E7" s="27">
        <v>17.210913073060386</v>
      </c>
    </row>
    <row r="8" spans="1:9" x14ac:dyDescent="0.2">
      <c r="A8" s="24" t="s">
        <v>655</v>
      </c>
      <c r="B8" s="24" t="s">
        <v>8</v>
      </c>
      <c r="C8" s="28">
        <v>12605.805</v>
      </c>
      <c r="D8" s="26">
        <v>93.806715591944993</v>
      </c>
      <c r="E8" s="27">
        <v>8.2236149453755942</v>
      </c>
    </row>
    <row r="9" spans="1:9" x14ac:dyDescent="0.2">
      <c r="A9" s="24" t="s">
        <v>646</v>
      </c>
      <c r="B9" s="24" t="s">
        <v>1832</v>
      </c>
      <c r="C9" s="28">
        <v>27733.752</v>
      </c>
      <c r="D9" s="26">
        <v>46.952798395967996</v>
      </c>
      <c r="E9" s="27">
        <v>4.116141708829268</v>
      </c>
    </row>
    <row r="10" spans="1:9" ht="20" x14ac:dyDescent="0.2">
      <c r="A10" s="24" t="s">
        <v>654</v>
      </c>
      <c r="B10" s="44" t="s">
        <v>1888</v>
      </c>
      <c r="C10" s="28">
        <v>635092.41099999996</v>
      </c>
      <c r="D10" s="26">
        <v>6.3509241099999995E-4</v>
      </c>
      <c r="E10" s="27">
        <v>0</v>
      </c>
    </row>
    <row r="11" spans="1:9" ht="28.5" customHeight="1" x14ac:dyDescent="0.2">
      <c r="A11" s="24" t="s">
        <v>653</v>
      </c>
      <c r="B11" s="44" t="s">
        <v>1887</v>
      </c>
      <c r="C11" s="28">
        <v>635092.41099999996</v>
      </c>
      <c r="D11" s="26">
        <v>6.3509241099999995E-4</v>
      </c>
      <c r="E11" s="27">
        <v>0</v>
      </c>
    </row>
    <row r="12" spans="1:9" ht="20" x14ac:dyDescent="0.2">
      <c r="A12" s="45" t="s">
        <v>652</v>
      </c>
      <c r="B12" s="50" t="s">
        <v>1889</v>
      </c>
      <c r="C12" s="46">
        <v>631308.71</v>
      </c>
      <c r="D12" s="47">
        <v>6.3130871E-4</v>
      </c>
      <c r="E12" s="47">
        <v>0</v>
      </c>
    </row>
    <row r="13" spans="1:9" ht="10.5" x14ac:dyDescent="0.25">
      <c r="A13" s="23" t="s">
        <v>24</v>
      </c>
      <c r="B13" s="23"/>
      <c r="C13" s="29"/>
      <c r="D13" s="30">
        <f>SUM(D5:D12)</f>
        <v>1140.0298982374627</v>
      </c>
      <c r="E13" s="31">
        <f>SUM(E5:E12)</f>
        <v>99.941152539136709</v>
      </c>
      <c r="G13" s="15"/>
      <c r="H13" s="15"/>
      <c r="I13" s="15"/>
    </row>
    <row r="14" spans="1:9" x14ac:dyDescent="0.2">
      <c r="A14" s="24"/>
      <c r="B14" s="24"/>
      <c r="C14" s="25"/>
      <c r="D14" s="26"/>
      <c r="E14" s="27"/>
    </row>
    <row r="15" spans="1:9" ht="10.5" x14ac:dyDescent="0.25">
      <c r="A15" s="23" t="s">
        <v>25</v>
      </c>
      <c r="B15" s="23"/>
      <c r="C15" s="29"/>
      <c r="D15" s="30">
        <f>D13</f>
        <v>1140.0298982374627</v>
      </c>
      <c r="E15" s="31">
        <f>E13</f>
        <v>99.941152539136709</v>
      </c>
      <c r="G15" s="15"/>
      <c r="H15" s="15"/>
      <c r="I15" s="15"/>
    </row>
    <row r="16" spans="1:9" ht="10.5" x14ac:dyDescent="0.25">
      <c r="A16" s="23"/>
      <c r="B16" s="23"/>
      <c r="C16" s="29"/>
      <c r="D16" s="30"/>
      <c r="E16" s="31"/>
      <c r="G16" s="15"/>
      <c r="H16" s="15"/>
      <c r="I16" s="15"/>
    </row>
    <row r="17" spans="1:9" ht="10.5" x14ac:dyDescent="0.25">
      <c r="A17" s="23" t="s">
        <v>27</v>
      </c>
      <c r="B17" s="23"/>
      <c r="C17" s="29"/>
      <c r="D17" s="30">
        <f>D19-(D13)</f>
        <v>0.66937106253726597</v>
      </c>
      <c r="E17" s="31">
        <f>E19-(E13)</f>
        <v>5.8847460863290735E-2</v>
      </c>
      <c r="G17" s="15"/>
      <c r="H17" s="15"/>
      <c r="I17" s="15"/>
    </row>
    <row r="18" spans="1:9" ht="10.5" x14ac:dyDescent="0.25">
      <c r="A18" s="23"/>
      <c r="B18" s="23"/>
      <c r="C18" s="29"/>
      <c r="D18" s="30"/>
      <c r="E18" s="31"/>
      <c r="G18" s="15"/>
      <c r="H18" s="15"/>
      <c r="I18" s="15"/>
    </row>
    <row r="19" spans="1:9" ht="10.5" x14ac:dyDescent="0.25">
      <c r="A19" s="32" t="s">
        <v>26</v>
      </c>
      <c r="B19" s="32"/>
      <c r="C19" s="33"/>
      <c r="D19" s="34">
        <v>1140.6992693</v>
      </c>
      <c r="E19" s="35">
        <v>100</v>
      </c>
      <c r="G19" s="15"/>
      <c r="H19" s="15"/>
      <c r="I19" s="15"/>
    </row>
    <row r="20" spans="1:9" ht="15" customHeight="1" x14ac:dyDescent="0.25">
      <c r="C20" s="10"/>
      <c r="D20" s="99" t="s">
        <v>37</v>
      </c>
      <c r="E20" s="99"/>
    </row>
    <row r="21" spans="1:9" ht="10.5" x14ac:dyDescent="0.25">
      <c r="A21" s="15" t="s">
        <v>28</v>
      </c>
    </row>
    <row r="22" spans="1:9" ht="10.5" x14ac:dyDescent="0.25">
      <c r="A22" s="15" t="s">
        <v>29</v>
      </c>
    </row>
    <row r="23" spans="1:9" ht="10.5" x14ac:dyDescent="0.25">
      <c r="A23" s="15" t="s">
        <v>30</v>
      </c>
      <c r="B23" s="15"/>
      <c r="C23" s="36" t="s">
        <v>32</v>
      </c>
      <c r="D23" s="41" t="s">
        <v>31</v>
      </c>
    </row>
    <row r="24" spans="1:9" x14ac:dyDescent="0.2">
      <c r="A24" s="9" t="s">
        <v>42</v>
      </c>
      <c r="C24" s="37">
        <v>48.142400000000002</v>
      </c>
      <c r="D24" s="37">
        <v>43.972000000000001</v>
      </c>
    </row>
    <row r="25" spans="1:9" x14ac:dyDescent="0.2">
      <c r="A25" s="9" t="s">
        <v>647</v>
      </c>
      <c r="C25" s="37">
        <v>14.975899999999999</v>
      </c>
      <c r="D25" s="37">
        <v>12.559699999999999</v>
      </c>
    </row>
    <row r="26" spans="1:9" x14ac:dyDescent="0.2">
      <c r="A26" s="9" t="s">
        <v>43</v>
      </c>
      <c r="C26" s="37">
        <v>50.360599999999998</v>
      </c>
      <c r="D26" s="37">
        <v>46.145899999999997</v>
      </c>
    </row>
    <row r="27" spans="1:9" x14ac:dyDescent="0.2">
      <c r="A27" s="9" t="s">
        <v>648</v>
      </c>
      <c r="C27" s="37">
        <v>15.561400000000001</v>
      </c>
      <c r="D27" s="37">
        <v>13.13</v>
      </c>
    </row>
    <row r="29" spans="1:9" ht="10.5" x14ac:dyDescent="0.25">
      <c r="A29" s="15" t="s">
        <v>1882</v>
      </c>
    </row>
    <row r="30" spans="1:9" ht="10.5" x14ac:dyDescent="0.25">
      <c r="A30" s="90" t="s">
        <v>33</v>
      </c>
      <c r="B30" s="91"/>
      <c r="C30" s="92" t="s">
        <v>1883</v>
      </c>
      <c r="D30" s="93"/>
    </row>
    <row r="31" spans="1:9" ht="10.5" x14ac:dyDescent="0.25">
      <c r="A31" s="90"/>
      <c r="B31" s="91"/>
      <c r="C31" s="38" t="s">
        <v>34</v>
      </c>
      <c r="D31" s="39" t="s">
        <v>35</v>
      </c>
    </row>
    <row r="32" spans="1:9" x14ac:dyDescent="0.2">
      <c r="A32" s="96" t="s">
        <v>647</v>
      </c>
      <c r="B32" s="97"/>
      <c r="C32" s="40">
        <v>0.90040337500000001</v>
      </c>
      <c r="D32" s="40">
        <v>0.83377801250000005</v>
      </c>
    </row>
    <row r="33" spans="1:4" x14ac:dyDescent="0.2">
      <c r="A33" s="96" t="s">
        <v>648</v>
      </c>
      <c r="B33" s="97"/>
      <c r="C33" s="40">
        <v>0.90040337500000001</v>
      </c>
      <c r="D33" s="40">
        <v>0.83377801250000005</v>
      </c>
    </row>
    <row r="35" spans="1:4" ht="10.5" x14ac:dyDescent="0.25">
      <c r="A35" s="15" t="s">
        <v>175</v>
      </c>
      <c r="D35" s="42">
        <v>7.3499999999999996E-2</v>
      </c>
    </row>
    <row r="37" spans="1:4" ht="10.5" x14ac:dyDescent="0.25">
      <c r="A37" s="15" t="s">
        <v>1827</v>
      </c>
    </row>
    <row r="38" spans="1:4" ht="10.5" x14ac:dyDescent="0.25">
      <c r="A38" s="15" t="s">
        <v>1833</v>
      </c>
    </row>
  </sheetData>
  <mergeCells count="7">
    <mergeCell ref="A32:B32"/>
    <mergeCell ref="A33:B33"/>
    <mergeCell ref="A1:E1"/>
    <mergeCell ref="D20:E20"/>
    <mergeCell ref="C30:D30"/>
    <mergeCell ref="A30:B30"/>
    <mergeCell ref="A31:B31"/>
  </mergeCells>
  <conditionalFormatting sqref="F2 F21:F65536 E4:E19 D20">
    <cfRule type="cellIs" dxfId="6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4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39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42.26953125" style="9" customWidth="1"/>
    <col min="3" max="3" width="15.453125" style="9" bestFit="1" customWidth="1"/>
    <col min="4" max="4" width="13.1796875" style="10" customWidth="1"/>
    <col min="5" max="5" width="9.453125" style="11" customWidth="1"/>
    <col min="6" max="6" width="14.7265625" style="14" bestFit="1" customWidth="1"/>
    <col min="7" max="7" width="9.54296875" style="9" bestFit="1" customWidth="1"/>
    <col min="8" max="16384" width="9.1796875" style="9"/>
  </cols>
  <sheetData>
    <row r="1" spans="1:9" s="1" customFormat="1" ht="14" x14ac:dyDescent="0.25">
      <c r="A1" s="88" t="s">
        <v>21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4.75" customHeight="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44</v>
      </c>
      <c r="B4" s="19"/>
      <c r="C4" s="20"/>
      <c r="D4" s="21"/>
      <c r="E4" s="22"/>
    </row>
    <row r="5" spans="1:9" x14ac:dyDescent="0.2">
      <c r="A5" s="24" t="s">
        <v>641</v>
      </c>
      <c r="B5" s="24" t="s">
        <v>11</v>
      </c>
      <c r="C5" s="28">
        <v>40927.613000000005</v>
      </c>
      <c r="D5" s="26">
        <v>146.505670395577</v>
      </c>
      <c r="E5" s="27">
        <v>31.612454868381135</v>
      </c>
    </row>
    <row r="6" spans="1:9" x14ac:dyDescent="0.2">
      <c r="A6" s="24" t="s">
        <v>650</v>
      </c>
      <c r="B6" s="24" t="s">
        <v>649</v>
      </c>
      <c r="C6" s="28">
        <v>189192.829</v>
      </c>
      <c r="D6" s="26">
        <v>134.386693523964</v>
      </c>
      <c r="E6" s="27">
        <v>28.997466599528526</v>
      </c>
    </row>
    <row r="7" spans="1:9" x14ac:dyDescent="0.2">
      <c r="A7" s="24" t="s">
        <v>651</v>
      </c>
      <c r="B7" s="24" t="s">
        <v>1826</v>
      </c>
      <c r="C7" s="28">
        <v>141393.40100000001</v>
      </c>
      <c r="D7" s="26">
        <v>106.574993216948</v>
      </c>
      <c r="E7" s="27">
        <v>22.996360168667625</v>
      </c>
    </row>
    <row r="8" spans="1:9" x14ac:dyDescent="0.2">
      <c r="A8" s="24" t="s">
        <v>655</v>
      </c>
      <c r="B8" s="24" t="s">
        <v>8</v>
      </c>
      <c r="C8" s="28">
        <v>5382.5969999999998</v>
      </c>
      <c r="D8" s="26">
        <v>40.054859322752996</v>
      </c>
      <c r="E8" s="27">
        <v>8.642890266164823</v>
      </c>
    </row>
    <row r="9" spans="1:9" x14ac:dyDescent="0.2">
      <c r="A9" s="24" t="s">
        <v>646</v>
      </c>
      <c r="B9" s="24" t="s">
        <v>1832</v>
      </c>
      <c r="C9" s="28">
        <v>23648.371999999999</v>
      </c>
      <c r="D9" s="26">
        <v>40.036315422047998</v>
      </c>
      <c r="E9" s="27">
        <v>8.6388889314551314</v>
      </c>
    </row>
    <row r="10" spans="1:9" ht="20" x14ac:dyDescent="0.2">
      <c r="A10" s="24" t="s">
        <v>654</v>
      </c>
      <c r="B10" s="44" t="s">
        <v>1888</v>
      </c>
      <c r="C10" s="28">
        <v>192562.454</v>
      </c>
      <c r="D10" s="26">
        <v>0</v>
      </c>
      <c r="E10" s="27">
        <v>0</v>
      </c>
    </row>
    <row r="11" spans="1:9" ht="23.25" customHeight="1" x14ac:dyDescent="0.2">
      <c r="A11" s="24" t="s">
        <v>653</v>
      </c>
      <c r="B11" s="44" t="s">
        <v>1887</v>
      </c>
      <c r="C11" s="28">
        <v>192562.454</v>
      </c>
      <c r="D11" s="26">
        <v>0</v>
      </c>
      <c r="E11" s="27">
        <v>0</v>
      </c>
    </row>
    <row r="12" spans="1:9" ht="20" x14ac:dyDescent="0.2">
      <c r="A12" s="45" t="s">
        <v>652</v>
      </c>
      <c r="B12" s="50" t="s">
        <v>1889</v>
      </c>
      <c r="C12" s="46">
        <v>196087.27</v>
      </c>
      <c r="D12" s="47">
        <v>0</v>
      </c>
      <c r="E12" s="47">
        <v>0</v>
      </c>
    </row>
    <row r="13" spans="1:9" ht="10.5" x14ac:dyDescent="0.25">
      <c r="A13" s="23" t="s">
        <v>24</v>
      </c>
      <c r="B13" s="23"/>
      <c r="C13" s="29"/>
      <c r="D13" s="30">
        <f>SUM(D5:D12)</f>
        <v>467.55853188128998</v>
      </c>
      <c r="E13" s="31">
        <f>SUM(E5:E12)</f>
        <v>100.88806083419723</v>
      </c>
      <c r="G13" s="15"/>
      <c r="H13" s="15"/>
      <c r="I13" s="15"/>
    </row>
    <row r="14" spans="1:9" x14ac:dyDescent="0.2">
      <c r="A14" s="24"/>
      <c r="B14" s="24"/>
      <c r="C14" s="25"/>
      <c r="D14" s="26"/>
      <c r="E14" s="27"/>
    </row>
    <row r="15" spans="1:9" ht="10.5" x14ac:dyDescent="0.25">
      <c r="A15" s="23" t="s">
        <v>25</v>
      </c>
      <c r="B15" s="23"/>
      <c r="C15" s="29"/>
      <c r="D15" s="30">
        <f>D13</f>
        <v>467.55853188128998</v>
      </c>
      <c r="E15" s="31">
        <f>E13</f>
        <v>100.88806083419723</v>
      </c>
      <c r="G15" s="15"/>
      <c r="H15" s="15"/>
      <c r="I15" s="15"/>
    </row>
    <row r="16" spans="1:9" ht="10.5" x14ac:dyDescent="0.25">
      <c r="A16" s="23"/>
      <c r="B16" s="23"/>
      <c r="C16" s="29"/>
      <c r="D16" s="30"/>
      <c r="E16" s="31"/>
      <c r="G16" s="15"/>
      <c r="H16" s="15"/>
      <c r="I16" s="15"/>
    </row>
    <row r="17" spans="1:9" ht="10.5" x14ac:dyDescent="0.25">
      <c r="A17" s="23" t="s">
        <v>27</v>
      </c>
      <c r="B17" s="23"/>
      <c r="C17" s="29"/>
      <c r="D17" s="79">
        <f>D19-(D13)</f>
        <v>-4.1156546812899819</v>
      </c>
      <c r="E17" s="80">
        <f>E19-(E13)</f>
        <v>-0.88806083419723336</v>
      </c>
      <c r="G17" s="15"/>
      <c r="H17" s="15"/>
      <c r="I17" s="15"/>
    </row>
    <row r="18" spans="1:9" ht="10.5" x14ac:dyDescent="0.25">
      <c r="A18" s="23"/>
      <c r="B18" s="23"/>
      <c r="C18" s="29"/>
      <c r="D18" s="30"/>
      <c r="E18" s="31"/>
      <c r="G18" s="15"/>
      <c r="H18" s="15"/>
      <c r="I18" s="15"/>
    </row>
    <row r="19" spans="1:9" ht="10.5" x14ac:dyDescent="0.25">
      <c r="A19" s="32" t="s">
        <v>26</v>
      </c>
      <c r="B19" s="32"/>
      <c r="C19" s="33"/>
      <c r="D19" s="34">
        <v>463.4428772</v>
      </c>
      <c r="E19" s="35">
        <v>100</v>
      </c>
      <c r="G19" s="15"/>
      <c r="H19" s="15"/>
      <c r="I19" s="15"/>
    </row>
    <row r="20" spans="1:9" ht="15" customHeight="1" x14ac:dyDescent="0.25">
      <c r="C20" s="10"/>
      <c r="D20" s="99" t="s">
        <v>37</v>
      </c>
      <c r="E20" s="99"/>
    </row>
    <row r="21" spans="1:9" ht="10.5" x14ac:dyDescent="0.25">
      <c r="A21" s="15" t="s">
        <v>28</v>
      </c>
    </row>
    <row r="22" spans="1:9" ht="10.5" x14ac:dyDescent="0.25">
      <c r="A22" s="15" t="s">
        <v>29</v>
      </c>
    </row>
    <row r="23" spans="1:9" ht="10.5" x14ac:dyDescent="0.25">
      <c r="A23" s="15" t="s">
        <v>30</v>
      </c>
      <c r="B23" s="15"/>
      <c r="C23" s="36" t="s">
        <v>32</v>
      </c>
      <c r="D23" s="41" t="s">
        <v>31</v>
      </c>
    </row>
    <row r="24" spans="1:9" x14ac:dyDescent="0.2">
      <c r="A24" s="9" t="s">
        <v>42</v>
      </c>
      <c r="C24" s="37">
        <v>58.923499999999997</v>
      </c>
      <c r="D24" s="37">
        <v>50.683599999999998</v>
      </c>
    </row>
    <row r="25" spans="1:9" x14ac:dyDescent="0.2">
      <c r="A25" s="9" t="s">
        <v>647</v>
      </c>
      <c r="C25" s="37">
        <v>22.738499999999998</v>
      </c>
      <c r="D25" s="37">
        <v>17.883400000000002</v>
      </c>
    </row>
    <row r="26" spans="1:9" x14ac:dyDescent="0.2">
      <c r="A26" s="9" t="s">
        <v>43</v>
      </c>
      <c r="C26" s="37">
        <v>61.210299999999997</v>
      </c>
      <c r="D26" s="37">
        <v>52.812800000000003</v>
      </c>
    </row>
    <row r="27" spans="1:9" x14ac:dyDescent="0.2">
      <c r="A27" s="9" t="s">
        <v>648</v>
      </c>
      <c r="C27" s="37">
        <v>23.8002</v>
      </c>
      <c r="D27" s="37">
        <v>18.850999999999999</v>
      </c>
    </row>
    <row r="29" spans="1:9" ht="10.5" x14ac:dyDescent="0.25">
      <c r="A29" s="15" t="s">
        <v>1882</v>
      </c>
    </row>
    <row r="30" spans="1:9" ht="10.5" x14ac:dyDescent="0.25">
      <c r="A30" s="90" t="s">
        <v>33</v>
      </c>
      <c r="B30" s="91"/>
      <c r="C30" s="92" t="s">
        <v>1883</v>
      </c>
      <c r="D30" s="93"/>
    </row>
    <row r="31" spans="1:9" ht="10.5" x14ac:dyDescent="0.25">
      <c r="A31" s="90"/>
      <c r="B31" s="91"/>
      <c r="C31" s="38" t="s">
        <v>34</v>
      </c>
      <c r="D31" s="39" t="s">
        <v>35</v>
      </c>
    </row>
    <row r="32" spans="1:9" x14ac:dyDescent="0.2">
      <c r="A32" s="96" t="s">
        <v>647</v>
      </c>
      <c r="B32" s="97"/>
      <c r="C32" s="40">
        <v>1.4406454</v>
      </c>
      <c r="D32" s="40">
        <v>1.3340448199999999</v>
      </c>
    </row>
    <row r="33" spans="1:4" x14ac:dyDescent="0.2">
      <c r="A33" s="96" t="s">
        <v>648</v>
      </c>
      <c r="B33" s="97"/>
      <c r="C33" s="40">
        <v>1.4406454</v>
      </c>
      <c r="D33" s="40">
        <v>1.3340448199999999</v>
      </c>
    </row>
    <row r="35" spans="1:4" ht="10.5" x14ac:dyDescent="0.25">
      <c r="A35" s="15" t="s">
        <v>175</v>
      </c>
      <c r="D35" s="42">
        <v>9.2146296796456306E-2</v>
      </c>
    </row>
    <row r="37" spans="1:4" ht="10.5" x14ac:dyDescent="0.25">
      <c r="A37" s="15" t="s">
        <v>1827</v>
      </c>
    </row>
    <row r="38" spans="1:4" ht="10.5" x14ac:dyDescent="0.25">
      <c r="A38" s="15" t="s">
        <v>1833</v>
      </c>
    </row>
    <row r="39" spans="1:4" ht="10.5" x14ac:dyDescent="0.25">
      <c r="A39" s="15"/>
    </row>
  </sheetData>
  <mergeCells count="7">
    <mergeCell ref="A32:B32"/>
    <mergeCell ref="A33:B33"/>
    <mergeCell ref="A1:E1"/>
    <mergeCell ref="D20:E20"/>
    <mergeCell ref="C30:D30"/>
    <mergeCell ref="A30:B30"/>
    <mergeCell ref="A31:B31"/>
  </mergeCells>
  <conditionalFormatting sqref="F2 F21:F65536 E4:E16 D20 E18:E19">
    <cfRule type="cellIs" dxfId="5" priority="2" stopIfTrue="1" operator="between">
      <formula>0.009</formula>
      <formula>-0.009</formula>
    </cfRule>
  </conditionalFormatting>
  <conditionalFormatting sqref="E17">
    <cfRule type="cellIs" dxfId="4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3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39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42.54296875" style="9" customWidth="1"/>
    <col min="3" max="3" width="15.453125" style="9" bestFit="1" customWidth="1"/>
    <col min="4" max="4" width="14.1796875" style="10" customWidth="1"/>
    <col min="5" max="5" width="9.81640625" style="11" customWidth="1"/>
    <col min="6" max="6" width="14.7265625" style="14" bestFit="1" customWidth="1"/>
    <col min="7" max="7" width="9.54296875" style="9" bestFit="1" customWidth="1"/>
    <col min="8" max="16384" width="9.1796875" style="9"/>
  </cols>
  <sheetData>
    <row r="1" spans="1:9" s="1" customFormat="1" ht="14" x14ac:dyDescent="0.25">
      <c r="A1" s="88" t="s">
        <v>22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44</v>
      </c>
      <c r="B4" s="19"/>
      <c r="C4" s="20"/>
      <c r="D4" s="21"/>
      <c r="E4" s="22"/>
    </row>
    <row r="5" spans="1:9" x14ac:dyDescent="0.2">
      <c r="A5" s="24" t="s">
        <v>641</v>
      </c>
      <c r="B5" s="24" t="s">
        <v>11</v>
      </c>
      <c r="C5" s="28">
        <v>120065.74400000001</v>
      </c>
      <c r="D5" s="26">
        <v>429.79081912897601</v>
      </c>
      <c r="E5" s="27">
        <v>48.104751718379376</v>
      </c>
    </row>
    <row r="6" spans="1:9" x14ac:dyDescent="0.2">
      <c r="A6" s="24" t="s">
        <v>655</v>
      </c>
      <c r="B6" s="24" t="s">
        <v>8</v>
      </c>
      <c r="C6" s="28">
        <v>16621.971999999998</v>
      </c>
      <c r="D6" s="26">
        <v>123.69321911462799</v>
      </c>
      <c r="E6" s="27">
        <v>13.844482780751703</v>
      </c>
    </row>
    <row r="7" spans="1:9" x14ac:dyDescent="0.2">
      <c r="A7" s="24" t="s">
        <v>646</v>
      </c>
      <c r="B7" s="24" t="s">
        <v>1832</v>
      </c>
      <c r="C7" s="28">
        <v>72789.682000000001</v>
      </c>
      <c r="D7" s="26">
        <v>123.23176699108799</v>
      </c>
      <c r="E7" s="27">
        <v>13.792834307017904</v>
      </c>
    </row>
    <row r="8" spans="1:9" x14ac:dyDescent="0.2">
      <c r="A8" s="24" t="s">
        <v>650</v>
      </c>
      <c r="B8" s="24" t="s">
        <v>649</v>
      </c>
      <c r="C8" s="28">
        <v>158029.163</v>
      </c>
      <c r="D8" s="26">
        <v>112.25064294550799</v>
      </c>
      <c r="E8" s="27">
        <v>12.563761413204341</v>
      </c>
    </row>
    <row r="9" spans="1:9" x14ac:dyDescent="0.2">
      <c r="A9" s="24" t="s">
        <v>651</v>
      </c>
      <c r="B9" s="52" t="s">
        <v>1826</v>
      </c>
      <c r="C9" s="28">
        <v>147830.96899999998</v>
      </c>
      <c r="D9" s="26">
        <v>111.42729722181197</v>
      </c>
      <c r="E9" s="27">
        <v>12.471607649433738</v>
      </c>
    </row>
    <row r="10" spans="1:9" ht="20" x14ac:dyDescent="0.2">
      <c r="A10" s="24" t="s">
        <v>654</v>
      </c>
      <c r="B10" s="82" t="s">
        <v>1888</v>
      </c>
      <c r="C10" s="28">
        <v>160182.31</v>
      </c>
      <c r="D10" s="26">
        <v>0</v>
      </c>
      <c r="E10" s="27">
        <v>0</v>
      </c>
    </row>
    <row r="11" spans="1:9" ht="27.75" customHeight="1" x14ac:dyDescent="0.2">
      <c r="A11" s="24" t="s">
        <v>653</v>
      </c>
      <c r="B11" s="82" t="s">
        <v>1887</v>
      </c>
      <c r="C11" s="28">
        <v>160182.31</v>
      </c>
      <c r="D11" s="26">
        <v>0</v>
      </c>
      <c r="E11" s="27">
        <v>0</v>
      </c>
    </row>
    <row r="12" spans="1:9" ht="20" x14ac:dyDescent="0.2">
      <c r="A12" s="45" t="s">
        <v>652</v>
      </c>
      <c r="B12" s="82" t="s">
        <v>1889</v>
      </c>
      <c r="C12" s="46">
        <v>167004.62</v>
      </c>
      <c r="D12" s="47">
        <v>0</v>
      </c>
      <c r="E12" s="47">
        <v>0</v>
      </c>
    </row>
    <row r="13" spans="1:9" ht="10.5" x14ac:dyDescent="0.25">
      <c r="A13" s="23" t="s">
        <v>24</v>
      </c>
      <c r="B13" s="55"/>
      <c r="C13" s="29"/>
      <c r="D13" s="30">
        <f>SUM(D5:D12)</f>
        <v>900.39374540201186</v>
      </c>
      <c r="E13" s="31">
        <f>SUM(E5:E12)</f>
        <v>100.77743786878706</v>
      </c>
      <c r="G13" s="15"/>
      <c r="H13" s="15"/>
      <c r="I13" s="15"/>
    </row>
    <row r="14" spans="1:9" x14ac:dyDescent="0.2">
      <c r="A14" s="24"/>
      <c r="B14" s="24"/>
      <c r="C14" s="25"/>
      <c r="D14" s="26"/>
      <c r="E14" s="27"/>
    </row>
    <row r="15" spans="1:9" ht="10.5" x14ac:dyDescent="0.25">
      <c r="A15" s="23" t="s">
        <v>25</v>
      </c>
      <c r="B15" s="23"/>
      <c r="C15" s="29"/>
      <c r="D15" s="30">
        <f>D13</f>
        <v>900.39374540201186</v>
      </c>
      <c r="E15" s="31">
        <f>E13</f>
        <v>100.77743786878706</v>
      </c>
      <c r="G15" s="15"/>
      <c r="H15" s="15"/>
      <c r="I15" s="15"/>
    </row>
    <row r="16" spans="1:9" ht="10.5" x14ac:dyDescent="0.25">
      <c r="A16" s="23"/>
      <c r="B16" s="23"/>
      <c r="C16" s="29"/>
      <c r="D16" s="30"/>
      <c r="E16" s="31"/>
      <c r="G16" s="15"/>
      <c r="H16" s="15"/>
      <c r="I16" s="15"/>
    </row>
    <row r="17" spans="1:9" ht="10.5" x14ac:dyDescent="0.25">
      <c r="A17" s="23" t="s">
        <v>27</v>
      </c>
      <c r="B17" s="23"/>
      <c r="C17" s="29"/>
      <c r="D17" s="79">
        <f>D19-(D13)</f>
        <v>-6.9460011020119055</v>
      </c>
      <c r="E17" s="80">
        <f>E19-(E13)</f>
        <v>-0.77743786878706089</v>
      </c>
      <c r="G17" s="15"/>
      <c r="H17" s="15"/>
      <c r="I17" s="15"/>
    </row>
    <row r="18" spans="1:9" ht="10.5" x14ac:dyDescent="0.25">
      <c r="A18" s="23"/>
      <c r="B18" s="23"/>
      <c r="C18" s="29"/>
      <c r="D18" s="30"/>
      <c r="E18" s="31"/>
      <c r="G18" s="15"/>
      <c r="H18" s="15"/>
      <c r="I18" s="15"/>
    </row>
    <row r="19" spans="1:9" ht="10.5" x14ac:dyDescent="0.25">
      <c r="A19" s="32" t="s">
        <v>26</v>
      </c>
      <c r="B19" s="32"/>
      <c r="C19" s="33"/>
      <c r="D19" s="34">
        <v>893.44774429999995</v>
      </c>
      <c r="E19" s="35">
        <v>100</v>
      </c>
      <c r="G19" s="15"/>
      <c r="H19" s="15"/>
      <c r="I19" s="15"/>
    </row>
    <row r="20" spans="1:9" ht="10.5" x14ac:dyDescent="0.25">
      <c r="C20" s="10"/>
      <c r="D20" s="11"/>
      <c r="E20" s="43" t="s">
        <v>37</v>
      </c>
    </row>
    <row r="21" spans="1:9" ht="10.5" x14ac:dyDescent="0.25">
      <c r="A21" s="15" t="s">
        <v>28</v>
      </c>
    </row>
    <row r="22" spans="1:9" ht="10.5" x14ac:dyDescent="0.25">
      <c r="A22" s="15" t="s">
        <v>29</v>
      </c>
    </row>
    <row r="23" spans="1:9" ht="10.5" x14ac:dyDescent="0.25">
      <c r="A23" s="15" t="s">
        <v>30</v>
      </c>
      <c r="B23" s="15"/>
      <c r="C23" s="36" t="s">
        <v>32</v>
      </c>
      <c r="D23" s="41" t="s">
        <v>31</v>
      </c>
    </row>
    <row r="24" spans="1:9" x14ac:dyDescent="0.2">
      <c r="A24" s="9" t="s">
        <v>38</v>
      </c>
      <c r="C24" s="37">
        <v>79.758799999999994</v>
      </c>
      <c r="D24" s="37">
        <v>63.396799999999999</v>
      </c>
    </row>
    <row r="25" spans="1:9" x14ac:dyDescent="0.2">
      <c r="A25" s="9" t="s">
        <v>40</v>
      </c>
      <c r="C25" s="37">
        <v>28.494800000000001</v>
      </c>
      <c r="D25" s="37">
        <v>20.727699999999999</v>
      </c>
    </row>
    <row r="26" spans="1:9" x14ac:dyDescent="0.2">
      <c r="A26" s="9" t="s">
        <v>39</v>
      </c>
      <c r="C26" s="37">
        <v>82.070800000000006</v>
      </c>
      <c r="D26" s="37">
        <v>65.430099999999996</v>
      </c>
    </row>
    <row r="27" spans="1:9" x14ac:dyDescent="0.2">
      <c r="A27" s="9" t="s">
        <v>41</v>
      </c>
      <c r="C27" s="37">
        <v>29.4909</v>
      </c>
      <c r="D27" s="37">
        <v>21.579699999999999</v>
      </c>
    </row>
    <row r="29" spans="1:9" ht="10.5" x14ac:dyDescent="0.25">
      <c r="A29" s="15" t="s">
        <v>1882</v>
      </c>
    </row>
    <row r="30" spans="1:9" ht="10.5" x14ac:dyDescent="0.25">
      <c r="A30" s="90" t="s">
        <v>33</v>
      </c>
      <c r="B30" s="91"/>
      <c r="C30" s="92" t="s">
        <v>1883</v>
      </c>
      <c r="D30" s="93"/>
    </row>
    <row r="31" spans="1:9" ht="10.5" x14ac:dyDescent="0.25">
      <c r="A31" s="90"/>
      <c r="B31" s="91"/>
      <c r="C31" s="38" t="s">
        <v>34</v>
      </c>
      <c r="D31" s="39" t="s">
        <v>35</v>
      </c>
    </row>
    <row r="32" spans="1:9" x14ac:dyDescent="0.2">
      <c r="A32" s="96" t="s">
        <v>40</v>
      </c>
      <c r="B32" s="97"/>
      <c r="C32" s="40">
        <v>1.80080675</v>
      </c>
      <c r="D32" s="40">
        <v>1.6675560250000001</v>
      </c>
    </row>
    <row r="33" spans="1:4" x14ac:dyDescent="0.2">
      <c r="A33" s="96" t="s">
        <v>41</v>
      </c>
      <c r="B33" s="97"/>
      <c r="C33" s="40">
        <v>1.80080675</v>
      </c>
      <c r="D33" s="40">
        <v>1.6675560250000001</v>
      </c>
    </row>
    <row r="35" spans="1:4" ht="10.5" x14ac:dyDescent="0.25">
      <c r="A35" s="15" t="s">
        <v>175</v>
      </c>
      <c r="D35" s="42">
        <v>6.8025061869644687E-2</v>
      </c>
    </row>
    <row r="37" spans="1:4" ht="10.5" x14ac:dyDescent="0.25">
      <c r="A37" s="15" t="s">
        <v>1833</v>
      </c>
    </row>
    <row r="38" spans="1:4" ht="10.5" x14ac:dyDescent="0.25">
      <c r="A38" s="15" t="s">
        <v>1837</v>
      </c>
    </row>
    <row r="39" spans="1:4" ht="10.5" x14ac:dyDescent="0.25">
      <c r="A39" s="15"/>
    </row>
  </sheetData>
  <mergeCells count="6">
    <mergeCell ref="A33:B33"/>
    <mergeCell ref="A1:E1"/>
    <mergeCell ref="C30:D30"/>
    <mergeCell ref="A30:B30"/>
    <mergeCell ref="A31:B31"/>
    <mergeCell ref="A32:B32"/>
  </mergeCells>
  <conditionalFormatting sqref="F2 F21:F65536 E4:E16 E18:E20">
    <cfRule type="cellIs" dxfId="3" priority="2" stopIfTrue="1" operator="between">
      <formula>0.009</formula>
      <formula>-0.009</formula>
    </cfRule>
  </conditionalFormatting>
  <conditionalFormatting sqref="E17">
    <cfRule type="cellIs" dxfId="2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3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35"/>
  <sheetViews>
    <sheetView view="pageBreakPreview" zoomScaleNormal="100" zoomScaleSheetLayoutView="100" workbookViewId="0">
      <selection sqref="A1:E1"/>
    </sheetView>
  </sheetViews>
  <sheetFormatPr defaultColWidth="9.1796875" defaultRowHeight="10" x14ac:dyDescent="0.2"/>
  <cols>
    <col min="1" max="1" width="33.453125" style="9" bestFit="1" customWidth="1"/>
    <col min="2" max="2" width="43.81640625" style="9" customWidth="1"/>
    <col min="3" max="3" width="15.453125" style="9" bestFit="1" customWidth="1"/>
    <col min="4" max="4" width="12" style="10" customWidth="1"/>
    <col min="5" max="5" width="9.54296875" style="11" customWidth="1"/>
    <col min="6" max="6" width="14.7265625" style="14" bestFit="1" customWidth="1"/>
    <col min="7" max="7" width="3" style="9" bestFit="1" customWidth="1"/>
    <col min="8" max="16384" width="9.1796875" style="9"/>
  </cols>
  <sheetData>
    <row r="1" spans="1:9" s="1" customFormat="1" ht="14" x14ac:dyDescent="0.25">
      <c r="A1" s="89" t="s">
        <v>1835</v>
      </c>
      <c r="B1" s="89"/>
      <c r="C1" s="89"/>
      <c r="D1" s="89"/>
      <c r="E1" s="89"/>
    </row>
    <row r="2" spans="1:9" s="1" customFormat="1" ht="11.5" x14ac:dyDescent="0.25">
      <c r="A2" s="12" t="s">
        <v>4</v>
      </c>
      <c r="B2" s="2"/>
      <c r="C2" s="3"/>
      <c r="D2" s="4"/>
      <c r="E2" s="5"/>
      <c r="F2" s="14"/>
    </row>
    <row r="3" spans="1:9" s="1" customFormat="1" ht="28.5" customHeight="1" x14ac:dyDescent="0.25">
      <c r="A3" s="8" t="s">
        <v>2</v>
      </c>
      <c r="B3" s="8" t="s">
        <v>0</v>
      </c>
      <c r="C3" s="71" t="s">
        <v>1</v>
      </c>
      <c r="D3" s="64" t="s">
        <v>1820</v>
      </c>
      <c r="E3" s="63" t="s">
        <v>3</v>
      </c>
    </row>
    <row r="4" spans="1:9" ht="10.5" x14ac:dyDescent="0.25">
      <c r="A4" s="18" t="s">
        <v>44</v>
      </c>
      <c r="B4" s="19"/>
      <c r="C4" s="20"/>
      <c r="D4" s="21"/>
      <c r="E4" s="22"/>
    </row>
    <row r="5" spans="1:9" x14ac:dyDescent="0.2">
      <c r="A5" s="24" t="s">
        <v>656</v>
      </c>
      <c r="B5" s="24" t="s">
        <v>10</v>
      </c>
      <c r="C5" s="28">
        <v>10782662.210000001</v>
      </c>
      <c r="D5" s="26">
        <v>47938.314439572707</v>
      </c>
      <c r="E5" s="27">
        <v>54.610718711187133</v>
      </c>
    </row>
    <row r="6" spans="1:9" x14ac:dyDescent="0.2">
      <c r="A6" s="24" t="s">
        <v>638</v>
      </c>
      <c r="B6" s="24" t="s">
        <v>637</v>
      </c>
      <c r="C6" s="28">
        <v>987528.60899999994</v>
      </c>
      <c r="D6" s="26">
        <v>40017.162621703814</v>
      </c>
      <c r="E6" s="27">
        <v>45.587043205459395</v>
      </c>
    </row>
    <row r="7" spans="1:9" ht="20" x14ac:dyDescent="0.2">
      <c r="A7" s="24" t="s">
        <v>642</v>
      </c>
      <c r="B7" s="44" t="s">
        <v>1884</v>
      </c>
      <c r="C7" s="28">
        <v>1341516.8259999999</v>
      </c>
      <c r="D7" s="26">
        <v>0</v>
      </c>
      <c r="E7" s="27">
        <v>0</v>
      </c>
    </row>
    <row r="8" spans="1:9" ht="20" x14ac:dyDescent="0.2">
      <c r="A8" s="24" t="s">
        <v>643</v>
      </c>
      <c r="B8" s="44" t="s">
        <v>1885</v>
      </c>
      <c r="C8" s="28">
        <v>1341516.8259999999</v>
      </c>
      <c r="D8" s="26">
        <v>0</v>
      </c>
      <c r="E8" s="27">
        <v>0</v>
      </c>
    </row>
    <row r="9" spans="1:9" ht="20" x14ac:dyDescent="0.2">
      <c r="A9" s="45" t="s">
        <v>644</v>
      </c>
      <c r="B9" s="50" t="s">
        <v>1886</v>
      </c>
      <c r="C9" s="46">
        <v>1370528.45</v>
      </c>
      <c r="D9" s="47">
        <v>0</v>
      </c>
      <c r="E9" s="47">
        <v>0</v>
      </c>
    </row>
    <row r="10" spans="1:9" ht="10.5" x14ac:dyDescent="0.25">
      <c r="A10" s="23" t="s">
        <v>24</v>
      </c>
      <c r="B10" s="23"/>
      <c r="C10" s="29"/>
      <c r="D10" s="30">
        <f>SUM(D5:D9)</f>
        <v>87955.477061276528</v>
      </c>
      <c r="E10" s="31">
        <f>SUM(E5:E9)</f>
        <v>100.19776191664653</v>
      </c>
      <c r="G10" s="15"/>
      <c r="H10" s="15"/>
      <c r="I10" s="15"/>
    </row>
    <row r="11" spans="1:9" x14ac:dyDescent="0.2">
      <c r="A11" s="24"/>
      <c r="B11" s="24"/>
      <c r="C11" s="25"/>
      <c r="D11" s="26"/>
      <c r="E11" s="27"/>
    </row>
    <row r="12" spans="1:9" ht="10.5" x14ac:dyDescent="0.25">
      <c r="A12" s="23" t="s">
        <v>25</v>
      </c>
      <c r="B12" s="23"/>
      <c r="C12" s="29"/>
      <c r="D12" s="30">
        <f>D10</f>
        <v>87955.477061276528</v>
      </c>
      <c r="E12" s="31">
        <f>E10</f>
        <v>100.19776191664653</v>
      </c>
      <c r="G12" s="15"/>
      <c r="H12" s="15"/>
      <c r="I12" s="15"/>
    </row>
    <row r="13" spans="1:9" ht="10.5" x14ac:dyDescent="0.25">
      <c r="A13" s="23"/>
      <c r="B13" s="23"/>
      <c r="C13" s="29"/>
      <c r="D13" s="30"/>
      <c r="E13" s="31"/>
      <c r="G13" s="15"/>
      <c r="H13" s="15"/>
      <c r="I13" s="15"/>
    </row>
    <row r="14" spans="1:9" ht="10.5" x14ac:dyDescent="0.25">
      <c r="A14" s="23" t="s">
        <v>27</v>
      </c>
      <c r="B14" s="23"/>
      <c r="C14" s="29"/>
      <c r="D14" s="79">
        <f>D16-(D10)</f>
        <v>-173.59912427653035</v>
      </c>
      <c r="E14" s="80">
        <f>E16-(E10)</f>
        <v>-0.19776191664652742</v>
      </c>
      <c r="G14" s="15"/>
      <c r="H14" s="15"/>
      <c r="I14" s="15"/>
    </row>
    <row r="15" spans="1:9" ht="10.5" x14ac:dyDescent="0.25">
      <c r="A15" s="23"/>
      <c r="B15" s="23"/>
      <c r="C15" s="29"/>
      <c r="D15" s="30"/>
      <c r="E15" s="31"/>
      <c r="G15" s="15"/>
      <c r="H15" s="15"/>
      <c r="I15" s="15"/>
    </row>
    <row r="16" spans="1:9" ht="10.5" x14ac:dyDescent="0.25">
      <c r="A16" s="32" t="s">
        <v>26</v>
      </c>
      <c r="B16" s="32"/>
      <c r="C16" s="33"/>
      <c r="D16" s="34">
        <v>87781.877936999997</v>
      </c>
      <c r="E16" s="35">
        <v>100</v>
      </c>
      <c r="G16" s="15"/>
      <c r="H16" s="15"/>
      <c r="I16" s="15"/>
    </row>
    <row r="17" spans="1:5" ht="10.5" x14ac:dyDescent="0.25">
      <c r="C17" s="10"/>
      <c r="D17" s="11"/>
      <c r="E17" s="43" t="s">
        <v>37</v>
      </c>
    </row>
    <row r="19" spans="1:5" ht="10.5" x14ac:dyDescent="0.25">
      <c r="A19" s="15" t="s">
        <v>28</v>
      </c>
    </row>
    <row r="20" spans="1:5" ht="10.5" x14ac:dyDescent="0.25">
      <c r="A20" s="15" t="s">
        <v>29</v>
      </c>
    </row>
    <row r="21" spans="1:5" ht="10.5" x14ac:dyDescent="0.25">
      <c r="A21" s="15" t="s">
        <v>30</v>
      </c>
      <c r="B21" s="15"/>
      <c r="C21" s="36" t="s">
        <v>32</v>
      </c>
      <c r="D21" s="41" t="s">
        <v>31</v>
      </c>
    </row>
    <row r="22" spans="1:5" x14ac:dyDescent="0.2">
      <c r="A22" s="9" t="s">
        <v>38</v>
      </c>
      <c r="C22" s="37">
        <v>84.574399999999997</v>
      </c>
      <c r="D22" s="37">
        <v>69.771199999999993</v>
      </c>
    </row>
    <row r="23" spans="1:5" x14ac:dyDescent="0.2">
      <c r="A23" s="9" t="s">
        <v>40</v>
      </c>
      <c r="C23" s="37">
        <v>36.375799999999998</v>
      </c>
      <c r="D23" s="37">
        <v>28.785399999999999</v>
      </c>
    </row>
    <row r="24" spans="1:5" x14ac:dyDescent="0.2">
      <c r="A24" s="9" t="s">
        <v>39</v>
      </c>
      <c r="C24" s="37">
        <v>90.389399999999995</v>
      </c>
      <c r="D24" s="37">
        <v>74.978499999999997</v>
      </c>
    </row>
    <row r="25" spans="1:5" x14ac:dyDescent="0.2">
      <c r="A25" s="9" t="s">
        <v>41</v>
      </c>
      <c r="C25" s="37">
        <v>39.676400000000001</v>
      </c>
      <c r="D25" s="37">
        <v>31.6831</v>
      </c>
    </row>
    <row r="27" spans="1:5" ht="10.5" x14ac:dyDescent="0.25">
      <c r="A27" s="15" t="s">
        <v>1882</v>
      </c>
    </row>
    <row r="28" spans="1:5" ht="10.5" x14ac:dyDescent="0.25">
      <c r="A28" s="90" t="s">
        <v>33</v>
      </c>
      <c r="B28" s="91"/>
      <c r="C28" s="92" t="s">
        <v>1883</v>
      </c>
      <c r="D28" s="93"/>
    </row>
    <row r="29" spans="1:5" ht="10.5" x14ac:dyDescent="0.25">
      <c r="A29" s="90"/>
      <c r="B29" s="91"/>
      <c r="C29" s="38" t="s">
        <v>34</v>
      </c>
      <c r="D29" s="39" t="s">
        <v>35</v>
      </c>
    </row>
    <row r="30" spans="1:5" x14ac:dyDescent="0.2">
      <c r="A30" s="96" t="s">
        <v>40</v>
      </c>
      <c r="B30" s="97"/>
      <c r="C30" s="40">
        <v>1.0804840499999999</v>
      </c>
      <c r="D30" s="40">
        <v>1.0005336149999999</v>
      </c>
    </row>
    <row r="31" spans="1:5" x14ac:dyDescent="0.2">
      <c r="A31" s="96" t="s">
        <v>41</v>
      </c>
      <c r="B31" s="97"/>
      <c r="C31" s="40">
        <v>1.0804840499999999</v>
      </c>
      <c r="D31" s="40">
        <v>1.0005336149999999</v>
      </c>
    </row>
    <row r="33" spans="1:5" ht="10.5" x14ac:dyDescent="0.25">
      <c r="A33" s="15" t="s">
        <v>175</v>
      </c>
      <c r="D33" s="42">
        <v>0.91018360821787037</v>
      </c>
    </row>
    <row r="35" spans="1:5" ht="24" customHeight="1" x14ac:dyDescent="0.25">
      <c r="A35" s="100" t="s">
        <v>1836</v>
      </c>
      <c r="B35" s="100"/>
      <c r="C35" s="100"/>
      <c r="D35" s="100"/>
      <c r="E35" s="100"/>
    </row>
  </sheetData>
  <mergeCells count="7">
    <mergeCell ref="A1:E1"/>
    <mergeCell ref="A35:E35"/>
    <mergeCell ref="C28:D28"/>
    <mergeCell ref="A28:B28"/>
    <mergeCell ref="A29:B29"/>
    <mergeCell ref="A30:B30"/>
    <mergeCell ref="A31:B31"/>
  </mergeCells>
  <conditionalFormatting sqref="E4:E13 F2 F18:F65536 E15:E17">
    <cfRule type="cellIs" dxfId="1" priority="2" stopIfTrue="1" operator="between">
      <formula>0.009</formula>
      <formula>-0.009</formula>
    </cfRule>
  </conditionalFormatting>
  <conditionalFormatting sqref="E14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73" orientation="portrait" r:id="rId1"/>
  <headerFooter>
    <evenFooter>&amp;LPUBLIC</evenFooter>
    <firstFooter>&amp;LPUBLIC</firstFooter>
  </headerFooter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64</vt:i4>
      </vt:variant>
    </vt:vector>
  </HeadingPairs>
  <TitlesOfParts>
    <vt:vector size="128" baseType="lpstr">
      <vt:lpstr>FIUBF</vt:lpstr>
      <vt:lpstr>FISTIP</vt:lpstr>
      <vt:lpstr>FISF</vt:lpstr>
      <vt:lpstr>FILDF</vt:lpstr>
      <vt:lpstr>FIIOF</vt:lpstr>
      <vt:lpstr>FIGSF</vt:lpstr>
      <vt:lpstr>FIFRF</vt:lpstr>
      <vt:lpstr>FIDA</vt:lpstr>
      <vt:lpstr>FICRF</vt:lpstr>
      <vt:lpstr>FICDF</vt:lpstr>
      <vt:lpstr>FBPF</vt:lpstr>
      <vt:lpstr>FIONF</vt:lpstr>
      <vt:lpstr>FILF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FIPP</vt:lpstr>
      <vt:lpstr>FIDHY</vt:lpstr>
      <vt:lpstr>FIESF</vt:lpstr>
      <vt:lpstr>FIEHF</vt:lpstr>
      <vt:lpstr>FIPF</vt:lpstr>
      <vt:lpstr>TIVF</vt:lpstr>
      <vt:lpstr>TIEIF</vt:lpstr>
      <vt:lpstr>FITF</vt:lpstr>
      <vt:lpstr>FISCF</vt:lpstr>
      <vt:lpstr>FIOF</vt:lpstr>
      <vt:lpstr>FIFEF</vt:lpstr>
      <vt:lpstr>FIEF</vt:lpstr>
      <vt:lpstr>FIEAF</vt:lpstr>
      <vt:lpstr>FIBF</vt:lpstr>
      <vt:lpstr>FBIF</vt:lpstr>
      <vt:lpstr>FAEF</vt:lpstr>
      <vt:lpstr>FIIF-NSE</vt:lpstr>
      <vt:lpstr>FITX</vt:lpstr>
      <vt:lpstr>FIUS</vt:lpstr>
      <vt:lpstr>FEGF</vt:lpstr>
      <vt:lpstr>FIMAS</vt:lpstr>
      <vt:lpstr>FIFOF-50's+</vt:lpstr>
      <vt:lpstr>FIFOF-50's</vt:lpstr>
      <vt:lpstr>FIFOF-40's</vt:lpstr>
      <vt:lpstr>FIFOF-30's</vt:lpstr>
      <vt:lpstr>FIFOF-20's</vt:lpstr>
      <vt:lpstr>FF</vt:lpstr>
      <vt:lpstr>FAEF!Print_Area</vt:lpstr>
      <vt:lpstr>FBIF!Print_Area</vt:lpstr>
      <vt:lpstr>FBPF!Print_Area</vt:lpstr>
      <vt:lpstr>FEGF!Print_Area</vt:lpstr>
      <vt:lpstr>FF!Print_Area</vt:lpstr>
      <vt:lpstr>FIBF!Print_Area</vt:lpstr>
      <vt:lpstr>FICDF!Print_Area</vt:lpstr>
      <vt:lpstr>FICRF!Print_Area</vt:lpstr>
      <vt:lpstr>FIDA!Print_Area</vt:lpstr>
      <vt:lpstr>FIDHY!Print_Area</vt:lpstr>
      <vt:lpstr>FIEAF!Print_Area</vt:lpstr>
      <vt:lpstr>FIEF!Print_Area</vt:lpstr>
      <vt:lpstr>FIEHF!Print_Area</vt:lpstr>
      <vt:lpstr>FIESF!Print_Area</vt:lpstr>
      <vt:lpstr>FIFEF!Print_Area</vt:lpstr>
      <vt:lpstr>'FIFOF-20''s'!Print_Area</vt:lpstr>
      <vt:lpstr>'FIFOF-30''s'!Print_Area</vt:lpstr>
      <vt:lpstr>'FIFOF-40''s'!Print_Area</vt:lpstr>
      <vt:lpstr>'FIFOF-50''s'!Print_Area</vt:lpstr>
      <vt:lpstr>'FIFOF-50''s+'!Print_Area</vt:lpstr>
      <vt:lpstr>FIFRF!Print_Area</vt:lpstr>
      <vt:lpstr>FIGSF!Print_Area</vt:lpstr>
      <vt:lpstr>'FIIF-NSE'!Print_Area</vt:lpstr>
      <vt:lpstr>FIIOF!Print_Area</vt:lpstr>
      <vt:lpstr>FILDF!Print_Area</vt:lpstr>
      <vt:lpstr>FILF!Print_Area</vt:lpstr>
      <vt:lpstr>FIMAS!Print_Area</vt:lpstr>
      <vt:lpstr>FIOF!Print_Area</vt:lpstr>
      <vt:lpstr>FIONF!Print_Area</vt:lpstr>
      <vt:lpstr>FIPF!Print_Area</vt:lpstr>
      <vt:lpstr>FIPP!Print_Area</vt:lpstr>
      <vt:lpstr>FISCF!Print_Area</vt:lpstr>
      <vt:lpstr>FISF!Print_Area</vt:lpstr>
      <vt:lpstr>FISTIP!Print_Area</vt:lpstr>
      <vt:lpstr>FITF!Print_Area</vt:lpstr>
      <vt:lpstr>FITX!Print_Area</vt:lpstr>
      <vt:lpstr>FIUBF!Print_Area</vt:lpstr>
      <vt:lpstr>FIUS!Print_Area</vt:lpstr>
      <vt:lpstr>FMPS1A!Print_Area</vt:lpstr>
      <vt:lpstr>FMPS1B!Print_Area</vt:lpstr>
      <vt:lpstr>FMPS2A!Print_Area</vt:lpstr>
      <vt:lpstr>FMPS2B!Print_Area</vt:lpstr>
      <vt:lpstr>FMPS2C!Print_Area</vt:lpstr>
      <vt:lpstr>FMPS3A!Print_Area</vt:lpstr>
      <vt:lpstr>FMPS3B!Print_Area</vt:lpstr>
      <vt:lpstr>FMPS3C!Print_Area</vt:lpstr>
      <vt:lpstr>FMPS3D!Print_Area</vt:lpstr>
      <vt:lpstr>FMPS3E!Print_Area</vt:lpstr>
      <vt:lpstr>FMPS3F!Print_Area</vt:lpstr>
      <vt:lpstr>FMPS4A!Print_Area</vt:lpstr>
      <vt:lpstr>FMPS4B!Print_Area</vt:lpstr>
      <vt:lpstr>FMPS4C!Print_Area</vt:lpstr>
      <vt:lpstr>FMPS4D!Print_Area</vt:lpstr>
      <vt:lpstr>FMPS4E!Print_Area</vt:lpstr>
      <vt:lpstr>FMPS4F!Print_Area</vt:lpstr>
      <vt:lpstr>FMPS5A!Print_Area</vt:lpstr>
      <vt:lpstr>FMPS5B!Print_Area</vt:lpstr>
      <vt:lpstr>FMPS5C!Print_Area</vt:lpstr>
      <vt:lpstr>FMPS5D!Print_Area</vt:lpstr>
      <vt:lpstr>FMPS5E!Print_Area</vt:lpstr>
      <vt:lpstr>FMPS5F!Print_Area</vt:lpstr>
      <vt:lpstr>FMPS6C!Print_Area</vt:lpstr>
      <vt:lpstr>TIEIF!Print_Area</vt:lpstr>
      <vt:lpstr>TIVF!Print_Area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2020-04-09T07:23:56Z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No Footers</vt:lpwstr>
  </property>
  <property fmtid="{D5CDD505-2E9C-101B-9397-08002B2CF9AE}" pid="5" name="DocClassification">
    <vt:lpwstr>CLAPUBLIC</vt:lpwstr>
  </property>
</Properties>
</file>